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\Desktop\Excel\"/>
    </mc:Choice>
  </mc:AlternateContent>
  <xr:revisionPtr revIDLastSave="0" documentId="13_ncr:1_{2EBD0963-3F1D-4963-A05F-1F375C23B6E5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Important High Low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E10" i="4" l="1"/>
  <c r="GE11" i="4"/>
  <c r="GE12" i="4"/>
  <c r="GE13" i="4"/>
  <c r="GE14" i="4"/>
  <c r="GE15" i="4"/>
  <c r="GE16" i="4"/>
  <c r="GE17" i="4"/>
  <c r="GE18" i="4"/>
  <c r="GE19" i="4"/>
  <c r="GE20" i="4"/>
  <c r="GE21" i="4"/>
  <c r="GE22" i="4"/>
  <c r="GE23" i="4"/>
  <c r="GE24" i="4"/>
  <c r="GE25" i="4"/>
  <c r="GE26" i="4"/>
  <c r="GE27" i="4"/>
  <c r="GE28" i="4"/>
  <c r="GE29" i="4"/>
  <c r="GE30" i="4"/>
  <c r="GE31" i="4"/>
  <c r="GE32" i="4"/>
  <c r="GE33" i="4"/>
  <c r="GE34" i="4"/>
  <c r="GE35" i="4"/>
  <c r="GE36" i="4"/>
  <c r="GE37" i="4"/>
  <c r="GE38" i="4"/>
  <c r="GE39" i="4"/>
  <c r="GE40" i="4"/>
  <c r="GE41" i="4"/>
  <c r="GE42" i="4"/>
  <c r="GE43" i="4"/>
  <c r="GE44" i="4"/>
  <c r="GE45" i="4"/>
  <c r="GE46" i="4"/>
  <c r="GE47" i="4"/>
  <c r="GE48" i="4"/>
  <c r="GE49" i="4"/>
  <c r="GE50" i="4"/>
  <c r="GE51" i="4"/>
  <c r="GE52" i="4"/>
  <c r="GE53" i="4"/>
  <c r="GE54" i="4"/>
  <c r="GE55" i="4"/>
  <c r="GE56" i="4"/>
  <c r="GE57" i="4"/>
  <c r="GE58" i="4"/>
  <c r="GE59" i="4"/>
  <c r="GE60" i="4"/>
  <c r="GE61" i="4"/>
  <c r="GE62" i="4"/>
  <c r="GE63" i="4"/>
  <c r="GE64" i="4"/>
  <c r="GE65" i="4"/>
  <c r="GE66" i="4"/>
  <c r="GE67" i="4"/>
  <c r="GE68" i="4"/>
  <c r="GE69" i="4"/>
  <c r="GE70" i="4"/>
  <c r="GE71" i="4"/>
  <c r="GE72" i="4"/>
  <c r="GE73" i="4"/>
  <c r="GE74" i="4"/>
  <c r="GE75" i="4"/>
  <c r="GE76" i="4"/>
  <c r="GE77" i="4"/>
  <c r="GE78" i="4"/>
  <c r="GE79" i="4"/>
  <c r="GE80" i="4"/>
  <c r="GE81" i="4"/>
  <c r="GE82" i="4"/>
  <c r="GE83" i="4"/>
  <c r="GE84" i="4"/>
  <c r="GE85" i="4"/>
  <c r="GE86" i="4"/>
  <c r="GE87" i="4"/>
  <c r="GE88" i="4"/>
  <c r="GE89" i="4"/>
  <c r="GE90" i="4"/>
  <c r="GE91" i="4"/>
  <c r="GE92" i="4"/>
  <c r="GE93" i="4"/>
  <c r="GE94" i="4"/>
  <c r="GE95" i="4"/>
  <c r="GE96" i="4"/>
  <c r="GE97" i="4"/>
  <c r="GE98" i="4"/>
  <c r="GE99" i="4"/>
  <c r="GE100" i="4"/>
  <c r="GE101" i="4"/>
  <c r="GE102" i="4"/>
  <c r="GE103" i="4"/>
  <c r="GE9" i="4"/>
  <c r="AT104" i="4"/>
  <c r="GS103" i="4"/>
  <c r="GO103" i="4"/>
  <c r="GM103" i="4"/>
  <c r="GL103" i="4"/>
  <c r="GJ103" i="4"/>
  <c r="GI103" i="4"/>
  <c r="FZ103" i="4"/>
  <c r="FX103" i="4"/>
  <c r="FV103" i="4"/>
  <c r="FU103" i="4"/>
  <c r="FT103" i="4"/>
  <c r="GD103" i="4" s="1"/>
  <c r="FQ103" i="4"/>
  <c r="FO103" i="4"/>
  <c r="GB103" i="4" s="1"/>
  <c r="FI103" i="4"/>
  <c r="FL103" i="4" s="1"/>
  <c r="FH103" i="4"/>
  <c r="FK103" i="4" s="1"/>
  <c r="EX103" i="4"/>
  <c r="EV103" i="4"/>
  <c r="EU103" i="4"/>
  <c r="ET103" i="4"/>
  <c r="ES103" i="4"/>
  <c r="FF103" i="4" s="1"/>
  <c r="ER103" i="4"/>
  <c r="EQ103" i="4"/>
  <c r="EO103" i="4"/>
  <c r="EN103" i="4"/>
  <c r="EM103" i="4"/>
  <c r="EL103" i="4"/>
  <c r="EZ103" i="4" s="1"/>
  <c r="EK103" i="4"/>
  <c r="EY103" i="4" s="1"/>
  <c r="EJ103" i="4"/>
  <c r="EH103" i="4"/>
  <c r="EG103" i="4"/>
  <c r="EF103" i="4"/>
  <c r="EE103" i="4"/>
  <c r="ED103" i="4"/>
  <c r="EC103" i="4"/>
  <c r="DM103" i="4"/>
  <c r="DL103" i="4"/>
  <c r="DK103" i="4"/>
  <c r="DJ103" i="4"/>
  <c r="DI103" i="4"/>
  <c r="DH103" i="4"/>
  <c r="BK103" i="4"/>
  <c r="BJ103" i="4"/>
  <c r="BG103" i="4"/>
  <c r="BF103" i="4"/>
  <c r="BN103" i="4" s="1"/>
  <c r="BE103" i="4"/>
  <c r="BD103" i="4"/>
  <c r="BM103" i="4" s="1"/>
  <c r="BC103" i="4"/>
  <c r="BB103" i="4"/>
  <c r="BL103" i="4" s="1"/>
  <c r="BA103" i="4"/>
  <c r="AZ103" i="4"/>
  <c r="AY103" i="4"/>
  <c r="AX103" i="4"/>
  <c r="AW103" i="4"/>
  <c r="AV103" i="4"/>
  <c r="BI103" i="4" s="1"/>
  <c r="AT103" i="4"/>
  <c r="AS103" i="4"/>
  <c r="AR103" i="4"/>
  <c r="AP103" i="4"/>
  <c r="AO103" i="4"/>
  <c r="AN103" i="4"/>
  <c r="AM103" i="4"/>
  <c r="GS102" i="4"/>
  <c r="GO102" i="4"/>
  <c r="GM102" i="4"/>
  <c r="GL102" i="4"/>
  <c r="GJ102" i="4"/>
  <c r="GI102" i="4"/>
  <c r="GB102" i="4"/>
  <c r="GA102" i="4"/>
  <c r="FX102" i="4"/>
  <c r="FV102" i="4"/>
  <c r="FU102" i="4"/>
  <c r="FT102" i="4"/>
  <c r="FQ102" i="4"/>
  <c r="FO102" i="4"/>
  <c r="FK102" i="4"/>
  <c r="FI102" i="4"/>
  <c r="FL102" i="4" s="1"/>
  <c r="FH102" i="4"/>
  <c r="EX102" i="4"/>
  <c r="EV102" i="4"/>
  <c r="EU102" i="4"/>
  <c r="ET102" i="4"/>
  <c r="ES102" i="4"/>
  <c r="ER102" i="4"/>
  <c r="EQ102" i="4"/>
  <c r="EO102" i="4"/>
  <c r="EN102" i="4"/>
  <c r="EM102" i="4"/>
  <c r="EL102" i="4"/>
  <c r="EK102" i="4"/>
  <c r="EJ102" i="4"/>
  <c r="EZ102" i="4" s="1"/>
  <c r="EH102" i="4"/>
  <c r="EG102" i="4"/>
  <c r="EF102" i="4"/>
  <c r="EE102" i="4"/>
  <c r="ED102" i="4"/>
  <c r="EC102" i="4"/>
  <c r="DM102" i="4"/>
  <c r="DL102" i="4"/>
  <c r="DK102" i="4"/>
  <c r="DJ102" i="4"/>
  <c r="DI102" i="4"/>
  <c r="DH102" i="4"/>
  <c r="BM102" i="4"/>
  <c r="BL102" i="4"/>
  <c r="BK102" i="4"/>
  <c r="BG102" i="4"/>
  <c r="BF102" i="4"/>
  <c r="BN102" i="4" s="1"/>
  <c r="BE102" i="4"/>
  <c r="BD102" i="4"/>
  <c r="BC102" i="4"/>
  <c r="BB102" i="4"/>
  <c r="BA102" i="4"/>
  <c r="AZ102" i="4"/>
  <c r="AY102" i="4"/>
  <c r="AX102" i="4"/>
  <c r="BJ102" i="4" s="1"/>
  <c r="AW102" i="4"/>
  <c r="AV102" i="4"/>
  <c r="BI102" i="4" s="1"/>
  <c r="AS102" i="4"/>
  <c r="AT102" i="4" s="1"/>
  <c r="AR102" i="4"/>
  <c r="AO102" i="4"/>
  <c r="AN102" i="4"/>
  <c r="AM102" i="4"/>
  <c r="AP102" i="4" s="1"/>
  <c r="GS101" i="4"/>
  <c r="GO101" i="4"/>
  <c r="GM101" i="4"/>
  <c r="GL101" i="4"/>
  <c r="GJ101" i="4"/>
  <c r="GI101" i="4"/>
  <c r="GB101" i="4"/>
  <c r="FV101" i="4"/>
  <c r="FU101" i="4"/>
  <c r="FT101" i="4"/>
  <c r="FQ101" i="4"/>
  <c r="FO101" i="4"/>
  <c r="FX101" i="4" s="1"/>
  <c r="FL101" i="4"/>
  <c r="FK101" i="4"/>
  <c r="FI101" i="4"/>
  <c r="FH101" i="4"/>
  <c r="EX101" i="4"/>
  <c r="EV101" i="4"/>
  <c r="EU101" i="4"/>
  <c r="ET101" i="4"/>
  <c r="ES101" i="4"/>
  <c r="FA101" i="4" s="1"/>
  <c r="ER101" i="4"/>
  <c r="FE101" i="4" s="1"/>
  <c r="EQ101" i="4"/>
  <c r="FD101" i="4" s="1"/>
  <c r="EO101" i="4"/>
  <c r="EN101" i="4"/>
  <c r="EM101" i="4"/>
  <c r="EL101" i="4"/>
  <c r="EK101" i="4"/>
  <c r="EY101" i="4" s="1"/>
  <c r="EJ101" i="4"/>
  <c r="EH101" i="4"/>
  <c r="EG101" i="4"/>
  <c r="EF101" i="4"/>
  <c r="EE101" i="4"/>
  <c r="ED101" i="4"/>
  <c r="EC101" i="4"/>
  <c r="DM101" i="4"/>
  <c r="DL101" i="4"/>
  <c r="DK101" i="4"/>
  <c r="DJ101" i="4"/>
  <c r="DI101" i="4"/>
  <c r="DH101" i="4"/>
  <c r="CB101" i="4"/>
  <c r="CI101" i="4" s="1"/>
  <c r="BN101" i="4"/>
  <c r="BM101" i="4"/>
  <c r="BG101" i="4"/>
  <c r="BF101" i="4"/>
  <c r="BE101" i="4"/>
  <c r="BD101" i="4"/>
  <c r="BC101" i="4"/>
  <c r="BB101" i="4"/>
  <c r="BL101" i="4" s="1"/>
  <c r="BA101" i="4"/>
  <c r="AZ101" i="4"/>
  <c r="AY101" i="4"/>
  <c r="AX101" i="4"/>
  <c r="BJ101" i="4" s="1"/>
  <c r="AW101" i="4"/>
  <c r="AV101" i="4"/>
  <c r="BI101" i="4" s="1"/>
  <c r="AS101" i="4"/>
  <c r="AT101" i="4" s="1"/>
  <c r="AR101" i="4"/>
  <c r="AO101" i="4"/>
  <c r="AN101" i="4"/>
  <c r="AM101" i="4"/>
  <c r="GS100" i="4"/>
  <c r="GO100" i="4"/>
  <c r="GM100" i="4"/>
  <c r="GL100" i="4"/>
  <c r="GJ100" i="4"/>
  <c r="GI100" i="4"/>
  <c r="GD100" i="4"/>
  <c r="FV100" i="4"/>
  <c r="FU100" i="4"/>
  <c r="FT100" i="4"/>
  <c r="FQ100" i="4"/>
  <c r="FO100" i="4"/>
  <c r="FX100" i="4" s="1"/>
  <c r="FL100" i="4"/>
  <c r="FK100" i="4"/>
  <c r="FI100" i="4"/>
  <c r="FH100" i="4"/>
  <c r="FB100" i="4"/>
  <c r="FA100" i="4"/>
  <c r="EX100" i="4"/>
  <c r="EV100" i="4"/>
  <c r="EU100" i="4"/>
  <c r="FC100" i="4" s="1"/>
  <c r="ET100" i="4"/>
  <c r="ES100" i="4"/>
  <c r="FF100" i="4" s="1"/>
  <c r="ER100" i="4"/>
  <c r="EQ100" i="4"/>
  <c r="FE100" i="4" s="1"/>
  <c r="EO100" i="4"/>
  <c r="EN100" i="4"/>
  <c r="EM100" i="4"/>
  <c r="EL100" i="4"/>
  <c r="EK100" i="4"/>
  <c r="EZ100" i="4" s="1"/>
  <c r="EJ100" i="4"/>
  <c r="EH100" i="4"/>
  <c r="EG100" i="4"/>
  <c r="EF100" i="4"/>
  <c r="EE100" i="4"/>
  <c r="ED100" i="4"/>
  <c r="EC100" i="4"/>
  <c r="DM100" i="4"/>
  <c r="DL100" i="4"/>
  <c r="DK100" i="4"/>
  <c r="DJ100" i="4"/>
  <c r="DI100" i="4"/>
  <c r="DH100" i="4"/>
  <c r="BN100" i="4"/>
  <c r="BG100" i="4"/>
  <c r="BF100" i="4"/>
  <c r="BE100" i="4"/>
  <c r="BD100" i="4"/>
  <c r="BM100" i="4" s="1"/>
  <c r="BC100" i="4"/>
  <c r="BB100" i="4"/>
  <c r="BA100" i="4"/>
  <c r="AZ100" i="4"/>
  <c r="BK100" i="4" s="1"/>
  <c r="AY100" i="4"/>
  <c r="AX100" i="4"/>
  <c r="BJ100" i="4" s="1"/>
  <c r="AW100" i="4"/>
  <c r="AV100" i="4"/>
  <c r="BI100" i="4" s="1"/>
  <c r="AS100" i="4"/>
  <c r="AR100" i="4"/>
  <c r="AT100" i="4" s="1"/>
  <c r="AO100" i="4"/>
  <c r="AN100" i="4"/>
  <c r="AM100" i="4"/>
  <c r="AP100" i="4" s="1"/>
  <c r="GS99" i="4"/>
  <c r="GO99" i="4"/>
  <c r="GM99" i="4"/>
  <c r="GL99" i="4"/>
  <c r="GJ99" i="4"/>
  <c r="GI99" i="4"/>
  <c r="GB99" i="4"/>
  <c r="FV99" i="4"/>
  <c r="FU99" i="4"/>
  <c r="FT99" i="4"/>
  <c r="FZ102" i="4" s="1"/>
  <c r="FQ99" i="4"/>
  <c r="FO99" i="4"/>
  <c r="FX99" i="4" s="1"/>
  <c r="FL99" i="4"/>
  <c r="FK99" i="4"/>
  <c r="FI99" i="4"/>
  <c r="FH99" i="4"/>
  <c r="EX99" i="4"/>
  <c r="EV99" i="4"/>
  <c r="EU99" i="4"/>
  <c r="ET99" i="4"/>
  <c r="ES99" i="4"/>
  <c r="ER99" i="4"/>
  <c r="EQ99" i="4"/>
  <c r="EO99" i="4"/>
  <c r="EN99" i="4"/>
  <c r="EM99" i="4"/>
  <c r="EL99" i="4"/>
  <c r="EZ99" i="4" s="1"/>
  <c r="EK99" i="4"/>
  <c r="EJ99" i="4"/>
  <c r="EY99" i="4" s="1"/>
  <c r="EH99" i="4"/>
  <c r="EG99" i="4"/>
  <c r="EF99" i="4"/>
  <c r="EE99" i="4"/>
  <c r="ED99" i="4"/>
  <c r="EC99" i="4"/>
  <c r="DM99" i="4"/>
  <c r="DL99" i="4"/>
  <c r="DK99" i="4"/>
  <c r="DJ99" i="4"/>
  <c r="DI99" i="4"/>
  <c r="DH99" i="4"/>
  <c r="CC99" i="4"/>
  <c r="CJ99" i="4" s="1"/>
  <c r="CX99" i="4" s="1"/>
  <c r="BG99" i="4"/>
  <c r="BF99" i="4"/>
  <c r="BN99" i="4" s="1"/>
  <c r="BE99" i="4"/>
  <c r="BD99" i="4"/>
  <c r="BC99" i="4"/>
  <c r="BB99" i="4"/>
  <c r="BL99" i="4" s="1"/>
  <c r="BA99" i="4"/>
  <c r="AZ99" i="4"/>
  <c r="BK99" i="4" s="1"/>
  <c r="AY99" i="4"/>
  <c r="AX99" i="4"/>
  <c r="BJ99" i="4" s="1"/>
  <c r="AW99" i="4"/>
  <c r="AV99" i="4"/>
  <c r="BI99" i="4" s="1"/>
  <c r="AS99" i="4"/>
  <c r="AR99" i="4"/>
  <c r="AT99" i="4" s="1"/>
  <c r="AP99" i="4"/>
  <c r="AO99" i="4"/>
  <c r="AN99" i="4"/>
  <c r="AM99" i="4"/>
  <c r="GS98" i="4"/>
  <c r="GO98" i="4"/>
  <c r="GM98" i="4"/>
  <c r="GL98" i="4"/>
  <c r="GJ98" i="4"/>
  <c r="GI98" i="4"/>
  <c r="FX98" i="4"/>
  <c r="FV98" i="4"/>
  <c r="FU98" i="4"/>
  <c r="FT98" i="4"/>
  <c r="FQ98" i="4"/>
  <c r="FO98" i="4"/>
  <c r="GB98" i="4" s="1"/>
  <c r="FL98" i="4"/>
  <c r="FI98" i="4"/>
  <c r="FH98" i="4"/>
  <c r="FK98" i="4" s="1"/>
  <c r="FC98" i="4"/>
  <c r="EX98" i="4"/>
  <c r="EV98" i="4"/>
  <c r="EU98" i="4"/>
  <c r="ET98" i="4"/>
  <c r="ES98" i="4"/>
  <c r="ER98" i="4"/>
  <c r="FE98" i="4" s="1"/>
  <c r="EQ98" i="4"/>
  <c r="FF98" i="4" s="1"/>
  <c r="EO98" i="4"/>
  <c r="EN98" i="4"/>
  <c r="EM98" i="4"/>
  <c r="EL98" i="4"/>
  <c r="EK98" i="4"/>
  <c r="EY98" i="4" s="1"/>
  <c r="EJ98" i="4"/>
  <c r="EH98" i="4"/>
  <c r="EG98" i="4"/>
  <c r="EF98" i="4"/>
  <c r="EE98" i="4"/>
  <c r="ED98" i="4"/>
  <c r="EC98" i="4"/>
  <c r="DM98" i="4"/>
  <c r="DL98" i="4"/>
  <c r="DK98" i="4"/>
  <c r="DJ98" i="4"/>
  <c r="DI98" i="4"/>
  <c r="DH98" i="4"/>
  <c r="CG98" i="4"/>
  <c r="CN98" i="4" s="1"/>
  <c r="DB98" i="4" s="1"/>
  <c r="BG98" i="4"/>
  <c r="BF98" i="4"/>
  <c r="BN98" i="4" s="1"/>
  <c r="BE98" i="4"/>
  <c r="BD98" i="4"/>
  <c r="BM98" i="4" s="1"/>
  <c r="CF98" i="4" s="1"/>
  <c r="CM98" i="4" s="1"/>
  <c r="BC98" i="4"/>
  <c r="BB98" i="4"/>
  <c r="BL98" i="4" s="1"/>
  <c r="BA98" i="4"/>
  <c r="BK98" i="4" s="1"/>
  <c r="AZ98" i="4"/>
  <c r="AY98" i="4"/>
  <c r="AX98" i="4"/>
  <c r="BJ98" i="4" s="1"/>
  <c r="AW98" i="4"/>
  <c r="AV98" i="4"/>
  <c r="BI98" i="4" s="1"/>
  <c r="AS98" i="4"/>
  <c r="AT98" i="4" s="1"/>
  <c r="AR98" i="4"/>
  <c r="AO98" i="4"/>
  <c r="AN98" i="4"/>
  <c r="AP98" i="4" s="1"/>
  <c r="AM98" i="4"/>
  <c r="GS97" i="4"/>
  <c r="GO97" i="4"/>
  <c r="GM97" i="4"/>
  <c r="GL97" i="4"/>
  <c r="GJ97" i="4"/>
  <c r="GI97" i="4"/>
  <c r="GB97" i="4"/>
  <c r="FZ97" i="4"/>
  <c r="FX97" i="4"/>
  <c r="FV97" i="4"/>
  <c r="FU97" i="4"/>
  <c r="FT97" i="4"/>
  <c r="GD97" i="4" s="1"/>
  <c r="FQ97" i="4"/>
  <c r="FO97" i="4"/>
  <c r="FI97" i="4"/>
  <c r="FL97" i="4" s="1"/>
  <c r="FH97" i="4"/>
  <c r="FK97" i="4" s="1"/>
  <c r="EX97" i="4"/>
  <c r="EV97" i="4"/>
  <c r="EU97" i="4"/>
  <c r="ET97" i="4"/>
  <c r="ES97" i="4"/>
  <c r="ER97" i="4"/>
  <c r="EQ97" i="4"/>
  <c r="FA97" i="4" s="1"/>
  <c r="EO97" i="4"/>
  <c r="EN97" i="4"/>
  <c r="EM97" i="4"/>
  <c r="EL97" i="4"/>
  <c r="EK97" i="4"/>
  <c r="EJ97" i="4"/>
  <c r="EZ97" i="4" s="1"/>
  <c r="EH97" i="4"/>
  <c r="EG97" i="4"/>
  <c r="EF97" i="4"/>
  <c r="EE97" i="4"/>
  <c r="ED97" i="4"/>
  <c r="EC97" i="4"/>
  <c r="DM97" i="4"/>
  <c r="DL97" i="4"/>
  <c r="DK97" i="4"/>
  <c r="DJ97" i="4"/>
  <c r="DI97" i="4"/>
  <c r="DH97" i="4"/>
  <c r="CF97" i="4"/>
  <c r="CM97" i="4" s="1"/>
  <c r="DA97" i="4" s="1"/>
  <c r="CD97" i="4"/>
  <c r="CK97" i="4" s="1"/>
  <c r="BK97" i="4"/>
  <c r="BJ97" i="4"/>
  <c r="BG97" i="4"/>
  <c r="BF97" i="4"/>
  <c r="BE97" i="4"/>
  <c r="BD97" i="4"/>
  <c r="BM97" i="4" s="1"/>
  <c r="BC97" i="4"/>
  <c r="BL97" i="4" s="1"/>
  <c r="BB97" i="4"/>
  <c r="BA97" i="4"/>
  <c r="AZ97" i="4"/>
  <c r="AY97" i="4"/>
  <c r="AX97" i="4"/>
  <c r="AW97" i="4"/>
  <c r="AV97" i="4"/>
  <c r="BI97" i="4" s="1"/>
  <c r="AT97" i="4"/>
  <c r="AS97" i="4"/>
  <c r="AR97" i="4"/>
  <c r="AP97" i="4"/>
  <c r="AO97" i="4"/>
  <c r="AN97" i="4"/>
  <c r="AM97" i="4"/>
  <c r="GS96" i="4"/>
  <c r="GO96" i="4"/>
  <c r="GM96" i="4"/>
  <c r="GL96" i="4"/>
  <c r="GJ96" i="4"/>
  <c r="GI96" i="4"/>
  <c r="GB96" i="4"/>
  <c r="GA96" i="4"/>
  <c r="FX96" i="4"/>
  <c r="FV96" i="4"/>
  <c r="FU96" i="4"/>
  <c r="FT96" i="4"/>
  <c r="FQ96" i="4"/>
  <c r="FO96" i="4"/>
  <c r="FL96" i="4"/>
  <c r="FI96" i="4"/>
  <c r="FH96" i="4"/>
  <c r="FK96" i="4" s="1"/>
  <c r="EX96" i="4"/>
  <c r="EV96" i="4"/>
  <c r="EU96" i="4"/>
  <c r="ET96" i="4"/>
  <c r="ES96" i="4"/>
  <c r="ER96" i="4"/>
  <c r="EQ96" i="4"/>
  <c r="FF96" i="4" s="1"/>
  <c r="EO96" i="4"/>
  <c r="EN96" i="4"/>
  <c r="EM96" i="4"/>
  <c r="EL96" i="4"/>
  <c r="EK96" i="4"/>
  <c r="EJ96" i="4"/>
  <c r="EH96" i="4"/>
  <c r="EG96" i="4"/>
  <c r="EF96" i="4"/>
  <c r="EE96" i="4"/>
  <c r="ED96" i="4"/>
  <c r="EC96" i="4"/>
  <c r="DM96" i="4"/>
  <c r="DL96" i="4"/>
  <c r="DK96" i="4"/>
  <c r="DJ96" i="4"/>
  <c r="DI96" i="4"/>
  <c r="DH96" i="4"/>
  <c r="CF96" i="4"/>
  <c r="CM96" i="4" s="1"/>
  <c r="BM96" i="4"/>
  <c r="BL96" i="4"/>
  <c r="BK96" i="4"/>
  <c r="BJ96" i="4"/>
  <c r="BG96" i="4"/>
  <c r="BF96" i="4"/>
  <c r="BN96" i="4" s="1"/>
  <c r="BE96" i="4"/>
  <c r="BD96" i="4"/>
  <c r="BC96" i="4"/>
  <c r="BB96" i="4"/>
  <c r="BA96" i="4"/>
  <c r="AZ96" i="4"/>
  <c r="AY96" i="4"/>
  <c r="AX96" i="4"/>
  <c r="AW96" i="4"/>
  <c r="AV96" i="4"/>
  <c r="BI96" i="4" s="1"/>
  <c r="AS96" i="4"/>
  <c r="AT96" i="4" s="1"/>
  <c r="AR96" i="4"/>
  <c r="AO96" i="4"/>
  <c r="AN96" i="4"/>
  <c r="AM96" i="4"/>
  <c r="AP96" i="4" s="1"/>
  <c r="GS95" i="4"/>
  <c r="GO95" i="4"/>
  <c r="GM95" i="4"/>
  <c r="GL95" i="4"/>
  <c r="GJ95" i="4"/>
  <c r="GI95" i="4"/>
  <c r="GD95" i="4"/>
  <c r="GB95" i="4"/>
  <c r="FV95" i="4"/>
  <c r="FU95" i="4"/>
  <c r="FT95" i="4"/>
  <c r="FQ95" i="4"/>
  <c r="FO95" i="4"/>
  <c r="FX95" i="4" s="1"/>
  <c r="FL95" i="4"/>
  <c r="FK95" i="4"/>
  <c r="FI95" i="4"/>
  <c r="FH95" i="4"/>
  <c r="EX95" i="4"/>
  <c r="EV95" i="4"/>
  <c r="EU95" i="4"/>
  <c r="ET95" i="4"/>
  <c r="ES95" i="4"/>
  <c r="ER95" i="4"/>
  <c r="EQ95" i="4"/>
  <c r="FD95" i="4" s="1"/>
  <c r="EO95" i="4"/>
  <c r="EN95" i="4"/>
  <c r="EM95" i="4"/>
  <c r="EL95" i="4"/>
  <c r="EK95" i="4"/>
  <c r="EJ95" i="4"/>
  <c r="EZ95" i="4" s="1"/>
  <c r="EH95" i="4"/>
  <c r="EG95" i="4"/>
  <c r="EF95" i="4"/>
  <c r="EE95" i="4"/>
  <c r="ED95" i="4"/>
  <c r="EC95" i="4"/>
  <c r="DM95" i="4"/>
  <c r="DL95" i="4"/>
  <c r="DK95" i="4"/>
  <c r="DJ95" i="4"/>
  <c r="DI95" i="4"/>
  <c r="DH95" i="4"/>
  <c r="BN95" i="4"/>
  <c r="BM95" i="4"/>
  <c r="BJ95" i="4"/>
  <c r="BG95" i="4"/>
  <c r="BF95" i="4"/>
  <c r="BE95" i="4"/>
  <c r="BD95" i="4"/>
  <c r="BC95" i="4"/>
  <c r="BB95" i="4"/>
  <c r="BL95" i="4" s="1"/>
  <c r="BA95" i="4"/>
  <c r="BK95" i="4" s="1"/>
  <c r="AZ95" i="4"/>
  <c r="AY95" i="4"/>
  <c r="AX95" i="4"/>
  <c r="AW95" i="4"/>
  <c r="AV95" i="4"/>
  <c r="BI95" i="4" s="1"/>
  <c r="AT95" i="4"/>
  <c r="AS95" i="4"/>
  <c r="AR95" i="4"/>
  <c r="AO95" i="4"/>
  <c r="AN95" i="4"/>
  <c r="AM95" i="4"/>
  <c r="GS94" i="4"/>
  <c r="GO94" i="4"/>
  <c r="GM94" i="4"/>
  <c r="GL94" i="4"/>
  <c r="GJ94" i="4"/>
  <c r="GI94" i="4"/>
  <c r="FV94" i="4"/>
  <c r="FU94" i="4"/>
  <c r="FT94" i="4"/>
  <c r="FQ94" i="4"/>
  <c r="FO94" i="4"/>
  <c r="FL94" i="4"/>
  <c r="FK94" i="4"/>
  <c r="FI94" i="4"/>
  <c r="FH94" i="4"/>
  <c r="EX94" i="4"/>
  <c r="EV94" i="4"/>
  <c r="FA94" i="4" s="1"/>
  <c r="EU94" i="4"/>
  <c r="FB94" i="4" s="1"/>
  <c r="ET94" i="4"/>
  <c r="ES94" i="4"/>
  <c r="ER94" i="4"/>
  <c r="EQ94" i="4"/>
  <c r="EO94" i="4"/>
  <c r="EN94" i="4"/>
  <c r="EM94" i="4"/>
  <c r="EL94" i="4"/>
  <c r="EK94" i="4"/>
  <c r="EY94" i="4" s="1"/>
  <c r="EJ94" i="4"/>
  <c r="EZ94" i="4" s="1"/>
  <c r="EH94" i="4"/>
  <c r="EG94" i="4"/>
  <c r="EF94" i="4"/>
  <c r="EE94" i="4"/>
  <c r="ED94" i="4"/>
  <c r="EC94" i="4"/>
  <c r="DM94" i="4"/>
  <c r="DL94" i="4"/>
  <c r="DK94" i="4"/>
  <c r="DJ94" i="4"/>
  <c r="DI94" i="4"/>
  <c r="DH94" i="4"/>
  <c r="BN94" i="4"/>
  <c r="BG94" i="4"/>
  <c r="BF94" i="4"/>
  <c r="BE94" i="4"/>
  <c r="BD94" i="4"/>
  <c r="BM94" i="4" s="1"/>
  <c r="BC94" i="4"/>
  <c r="BB94" i="4"/>
  <c r="BL94" i="4" s="1"/>
  <c r="BA94" i="4"/>
  <c r="AZ94" i="4"/>
  <c r="AY94" i="4"/>
  <c r="BJ94" i="4" s="1"/>
  <c r="AX94" i="4"/>
  <c r="AW94" i="4"/>
  <c r="AV94" i="4"/>
  <c r="BI94" i="4" s="1"/>
  <c r="AS94" i="4"/>
  <c r="AR94" i="4"/>
  <c r="AT94" i="4" s="1"/>
  <c r="AP94" i="4"/>
  <c r="AO94" i="4"/>
  <c r="AN94" i="4"/>
  <c r="AM94" i="4"/>
  <c r="GS93" i="4"/>
  <c r="GO93" i="4"/>
  <c r="GM93" i="4"/>
  <c r="GL93" i="4"/>
  <c r="GJ93" i="4"/>
  <c r="GI93" i="4"/>
  <c r="GD93" i="4"/>
  <c r="GB93" i="4"/>
  <c r="FV93" i="4"/>
  <c r="FU93" i="4"/>
  <c r="FT93" i="4"/>
  <c r="FZ95" i="4" s="1"/>
  <c r="FQ93" i="4"/>
  <c r="FO93" i="4"/>
  <c r="FX93" i="4" s="1"/>
  <c r="FL93" i="4"/>
  <c r="FK93" i="4"/>
  <c r="FI93" i="4"/>
  <c r="FH93" i="4"/>
  <c r="EX93" i="4"/>
  <c r="EV93" i="4"/>
  <c r="EU93" i="4"/>
  <c r="ET93" i="4"/>
  <c r="ES93" i="4"/>
  <c r="ER93" i="4"/>
  <c r="EQ93" i="4"/>
  <c r="EO93" i="4"/>
  <c r="EN93" i="4"/>
  <c r="EM93" i="4"/>
  <c r="EL93" i="4"/>
  <c r="EZ93" i="4" s="1"/>
  <c r="EK93" i="4"/>
  <c r="EY93" i="4" s="1"/>
  <c r="EJ93" i="4"/>
  <c r="EH93" i="4"/>
  <c r="EG93" i="4"/>
  <c r="EF93" i="4"/>
  <c r="EE93" i="4"/>
  <c r="ED93" i="4"/>
  <c r="EC93" i="4"/>
  <c r="DM93" i="4"/>
  <c r="DL93" i="4"/>
  <c r="DK93" i="4"/>
  <c r="DJ93" i="4"/>
  <c r="DI93" i="4"/>
  <c r="DH93" i="4"/>
  <c r="CC93" i="4"/>
  <c r="CJ93" i="4" s="1"/>
  <c r="CX93" i="4" s="1"/>
  <c r="BG93" i="4"/>
  <c r="BF93" i="4"/>
  <c r="BN93" i="4" s="1"/>
  <c r="BE93" i="4"/>
  <c r="BD93" i="4"/>
  <c r="BM93" i="4" s="1"/>
  <c r="BC93" i="4"/>
  <c r="BB93" i="4"/>
  <c r="BA93" i="4"/>
  <c r="BK93" i="4" s="1"/>
  <c r="AZ93" i="4"/>
  <c r="AY93" i="4"/>
  <c r="AX93" i="4"/>
  <c r="BJ93" i="4" s="1"/>
  <c r="AW93" i="4"/>
  <c r="AV93" i="4"/>
  <c r="BI93" i="4" s="1"/>
  <c r="AT93" i="4"/>
  <c r="AS93" i="4"/>
  <c r="AR93" i="4"/>
  <c r="AO93" i="4"/>
  <c r="AN93" i="4"/>
  <c r="AM93" i="4"/>
  <c r="AP93" i="4" s="1"/>
  <c r="GS92" i="4"/>
  <c r="GO92" i="4"/>
  <c r="GM92" i="4"/>
  <c r="GL92" i="4"/>
  <c r="GJ92" i="4"/>
  <c r="GI92" i="4"/>
  <c r="FV92" i="4"/>
  <c r="FU92" i="4"/>
  <c r="FT92" i="4"/>
  <c r="FZ92" i="4" s="1"/>
  <c r="FQ92" i="4"/>
  <c r="FO92" i="4"/>
  <c r="GB92" i="4" s="1"/>
  <c r="FI92" i="4"/>
  <c r="FL92" i="4" s="1"/>
  <c r="FH92" i="4"/>
  <c r="FK92" i="4" s="1"/>
  <c r="FD92" i="4"/>
  <c r="EX92" i="4"/>
  <c r="EV92" i="4"/>
  <c r="EU92" i="4"/>
  <c r="ET92" i="4"/>
  <c r="ES92" i="4"/>
  <c r="ER92" i="4"/>
  <c r="EQ92" i="4"/>
  <c r="EO92" i="4"/>
  <c r="EN92" i="4"/>
  <c r="EM92" i="4"/>
  <c r="EL92" i="4"/>
  <c r="EZ92" i="4" s="1"/>
  <c r="EK92" i="4"/>
  <c r="EJ92" i="4"/>
  <c r="EH92" i="4"/>
  <c r="EG92" i="4"/>
  <c r="EF92" i="4"/>
  <c r="EE92" i="4"/>
  <c r="ED92" i="4"/>
  <c r="EC92" i="4"/>
  <c r="DM92" i="4"/>
  <c r="DL92" i="4"/>
  <c r="DK92" i="4"/>
  <c r="DJ92" i="4"/>
  <c r="DI92" i="4"/>
  <c r="DH92" i="4"/>
  <c r="BJ92" i="4"/>
  <c r="BG92" i="4"/>
  <c r="BF92" i="4"/>
  <c r="BN92" i="4" s="1"/>
  <c r="BE92" i="4"/>
  <c r="BM92" i="4" s="1"/>
  <c r="CF92" i="4" s="1"/>
  <c r="CM92" i="4" s="1"/>
  <c r="BD92" i="4"/>
  <c r="BC92" i="4"/>
  <c r="BB92" i="4"/>
  <c r="BL92" i="4" s="1"/>
  <c r="BA92" i="4"/>
  <c r="AZ92" i="4"/>
  <c r="BK92" i="4" s="1"/>
  <c r="AY92" i="4"/>
  <c r="AX92" i="4"/>
  <c r="AW92" i="4"/>
  <c r="AV92" i="4"/>
  <c r="BI92" i="4" s="1"/>
  <c r="AS92" i="4"/>
  <c r="AR92" i="4"/>
  <c r="AO92" i="4"/>
  <c r="AN92" i="4"/>
  <c r="AP92" i="4" s="1"/>
  <c r="AM92" i="4"/>
  <c r="GS91" i="4"/>
  <c r="GO91" i="4"/>
  <c r="GM91" i="4"/>
  <c r="GL91" i="4"/>
  <c r="GJ91" i="4"/>
  <c r="GI91" i="4"/>
  <c r="GB91" i="4"/>
  <c r="FX91" i="4"/>
  <c r="FV91" i="4"/>
  <c r="GA91" i="4" s="1"/>
  <c r="FU91" i="4"/>
  <c r="FT91" i="4"/>
  <c r="FQ91" i="4"/>
  <c r="FO91" i="4"/>
  <c r="FK91" i="4"/>
  <c r="FI91" i="4"/>
  <c r="FL91" i="4" s="1"/>
  <c r="FH91" i="4"/>
  <c r="FF91" i="4"/>
  <c r="FB91" i="4"/>
  <c r="EX91" i="4"/>
  <c r="EV91" i="4"/>
  <c r="EU91" i="4"/>
  <c r="ET91" i="4"/>
  <c r="ES91" i="4"/>
  <c r="ER91" i="4"/>
  <c r="EQ91" i="4"/>
  <c r="EO91" i="4"/>
  <c r="EN91" i="4"/>
  <c r="EM91" i="4"/>
  <c r="EL91" i="4"/>
  <c r="EZ91" i="4" s="1"/>
  <c r="EK91" i="4"/>
  <c r="EJ91" i="4"/>
  <c r="EH91" i="4"/>
  <c r="EG91" i="4"/>
  <c r="EF91" i="4"/>
  <c r="EE91" i="4"/>
  <c r="ED91" i="4"/>
  <c r="EC91" i="4"/>
  <c r="DM91" i="4"/>
  <c r="DL91" i="4"/>
  <c r="DK91" i="4"/>
  <c r="DJ91" i="4"/>
  <c r="DI91" i="4"/>
  <c r="DH91" i="4"/>
  <c r="CG91" i="4"/>
  <c r="CN91" i="4" s="1"/>
  <c r="DB91" i="4" s="1"/>
  <c r="CD91" i="4"/>
  <c r="CK91" i="4" s="1"/>
  <c r="CY91" i="4" s="1"/>
  <c r="BL91" i="4"/>
  <c r="BK91" i="4"/>
  <c r="BG91" i="4"/>
  <c r="BF91" i="4"/>
  <c r="BN91" i="4" s="1"/>
  <c r="BE91" i="4"/>
  <c r="BD91" i="4"/>
  <c r="BM91" i="4" s="1"/>
  <c r="BC91" i="4"/>
  <c r="BB91" i="4"/>
  <c r="BA91" i="4"/>
  <c r="AZ91" i="4"/>
  <c r="AY91" i="4"/>
  <c r="AX91" i="4"/>
  <c r="BJ91" i="4" s="1"/>
  <c r="AW91" i="4"/>
  <c r="AV91" i="4"/>
  <c r="BI91" i="4" s="1"/>
  <c r="AT91" i="4"/>
  <c r="AS91" i="4"/>
  <c r="AR91" i="4"/>
  <c r="AP91" i="4"/>
  <c r="AO91" i="4"/>
  <c r="AN91" i="4"/>
  <c r="AM91" i="4"/>
  <c r="GS90" i="4"/>
  <c r="GO90" i="4"/>
  <c r="GM90" i="4"/>
  <c r="GL90" i="4"/>
  <c r="GJ90" i="4"/>
  <c r="GI90" i="4"/>
  <c r="FV90" i="4"/>
  <c r="FU90" i="4"/>
  <c r="FT90" i="4"/>
  <c r="FQ90" i="4"/>
  <c r="FO90" i="4"/>
  <c r="GB90" i="4" s="1"/>
  <c r="FI90" i="4"/>
  <c r="FL90" i="4" s="1"/>
  <c r="FH90" i="4"/>
  <c r="FK90" i="4" s="1"/>
  <c r="EX90" i="4"/>
  <c r="EV90" i="4"/>
  <c r="EU90" i="4"/>
  <c r="ET90" i="4"/>
  <c r="ES90" i="4"/>
  <c r="ER90" i="4"/>
  <c r="EQ90" i="4"/>
  <c r="EO90" i="4"/>
  <c r="EN90" i="4"/>
  <c r="EM90" i="4"/>
  <c r="EL90" i="4"/>
  <c r="EK90" i="4"/>
  <c r="EY90" i="4" s="1"/>
  <c r="EJ90" i="4"/>
  <c r="EZ90" i="4" s="1"/>
  <c r="EH90" i="4"/>
  <c r="EG90" i="4"/>
  <c r="EF90" i="4"/>
  <c r="EE90" i="4"/>
  <c r="ED90" i="4"/>
  <c r="EC90" i="4"/>
  <c r="DM90" i="4"/>
  <c r="DL90" i="4"/>
  <c r="DK90" i="4"/>
  <c r="DJ90" i="4"/>
  <c r="DI90" i="4"/>
  <c r="DH90" i="4"/>
  <c r="CT90" i="4"/>
  <c r="CF90" i="4"/>
  <c r="CM90" i="4" s="1"/>
  <c r="DA90" i="4" s="1"/>
  <c r="BN90" i="4"/>
  <c r="BM90" i="4"/>
  <c r="BL90" i="4"/>
  <c r="BJ90" i="4"/>
  <c r="BG90" i="4"/>
  <c r="BF90" i="4"/>
  <c r="BE90" i="4"/>
  <c r="BD90" i="4"/>
  <c r="BC90" i="4"/>
  <c r="BB90" i="4"/>
  <c r="BA90" i="4"/>
  <c r="BK90" i="4" s="1"/>
  <c r="AZ90" i="4"/>
  <c r="AY90" i="4"/>
  <c r="AX90" i="4"/>
  <c r="AW90" i="4"/>
  <c r="AV90" i="4"/>
  <c r="BI90" i="4" s="1"/>
  <c r="AS90" i="4"/>
  <c r="AT90" i="4" s="1"/>
  <c r="AR90" i="4"/>
  <c r="AO90" i="4"/>
  <c r="AN90" i="4"/>
  <c r="AM90" i="4"/>
  <c r="AP90" i="4" s="1"/>
  <c r="GS89" i="4"/>
  <c r="GO89" i="4"/>
  <c r="GM89" i="4"/>
  <c r="GL89" i="4"/>
  <c r="GJ89" i="4"/>
  <c r="GI89" i="4"/>
  <c r="GB89" i="4"/>
  <c r="FX89" i="4"/>
  <c r="FV89" i="4"/>
  <c r="FU89" i="4"/>
  <c r="FT89" i="4"/>
  <c r="FQ89" i="4"/>
  <c r="FO89" i="4"/>
  <c r="FL89" i="4"/>
  <c r="FK89" i="4"/>
  <c r="FI89" i="4"/>
  <c r="FH89" i="4"/>
  <c r="EX89" i="4"/>
  <c r="EV89" i="4"/>
  <c r="FF89" i="4" s="1"/>
  <c r="EU89" i="4"/>
  <c r="ET89" i="4"/>
  <c r="ES89" i="4"/>
  <c r="FA89" i="4" s="1"/>
  <c r="ER89" i="4"/>
  <c r="EQ89" i="4"/>
  <c r="FC89" i="4" s="1"/>
  <c r="EO89" i="4"/>
  <c r="EN89" i="4"/>
  <c r="EM89" i="4"/>
  <c r="EL89" i="4"/>
  <c r="EK89" i="4"/>
  <c r="EJ89" i="4"/>
  <c r="EH89" i="4"/>
  <c r="EG89" i="4"/>
  <c r="EF89" i="4"/>
  <c r="EE89" i="4"/>
  <c r="ED89" i="4"/>
  <c r="EC89" i="4"/>
  <c r="DM89" i="4"/>
  <c r="DL89" i="4"/>
  <c r="DK89" i="4"/>
  <c r="DJ89" i="4"/>
  <c r="DI89" i="4"/>
  <c r="DH89" i="4"/>
  <c r="BN89" i="4"/>
  <c r="BM89" i="4"/>
  <c r="CF89" i="4" s="1"/>
  <c r="CM89" i="4" s="1"/>
  <c r="BL89" i="4"/>
  <c r="BG89" i="4"/>
  <c r="BF89" i="4"/>
  <c r="BE89" i="4"/>
  <c r="BD89" i="4"/>
  <c r="BC89" i="4"/>
  <c r="BB89" i="4"/>
  <c r="BA89" i="4"/>
  <c r="BK89" i="4" s="1"/>
  <c r="AZ89" i="4"/>
  <c r="AY89" i="4"/>
  <c r="AX89" i="4"/>
  <c r="BJ89" i="4" s="1"/>
  <c r="AW89" i="4"/>
  <c r="AV89" i="4"/>
  <c r="BI89" i="4" s="1"/>
  <c r="AS89" i="4"/>
  <c r="AT89" i="4" s="1"/>
  <c r="AR89" i="4"/>
  <c r="AO89" i="4"/>
  <c r="AN89" i="4"/>
  <c r="AM89" i="4"/>
  <c r="GS88" i="4"/>
  <c r="GO88" i="4"/>
  <c r="GM88" i="4"/>
  <c r="GL88" i="4"/>
  <c r="GJ88" i="4"/>
  <c r="GI88" i="4"/>
  <c r="GB88" i="4"/>
  <c r="FV88" i="4"/>
  <c r="FU88" i="4"/>
  <c r="FT88" i="4"/>
  <c r="FZ89" i="4" s="1"/>
  <c r="FQ88" i="4"/>
  <c r="FO88" i="4"/>
  <c r="FX88" i="4" s="1"/>
  <c r="FK88" i="4"/>
  <c r="FI88" i="4"/>
  <c r="FL88" i="4" s="1"/>
  <c r="FH88" i="4"/>
  <c r="FA88" i="4"/>
  <c r="EX88" i="4"/>
  <c r="EV88" i="4"/>
  <c r="EU88" i="4"/>
  <c r="ET88" i="4"/>
  <c r="ES88" i="4"/>
  <c r="FF88" i="4" s="1"/>
  <c r="ER88" i="4"/>
  <c r="EQ88" i="4"/>
  <c r="EO88" i="4"/>
  <c r="EN88" i="4"/>
  <c r="EM88" i="4"/>
  <c r="EL88" i="4"/>
  <c r="EK88" i="4"/>
  <c r="EJ88" i="4"/>
  <c r="EZ88" i="4" s="1"/>
  <c r="EH88" i="4"/>
  <c r="EG88" i="4"/>
  <c r="EF88" i="4"/>
  <c r="EE88" i="4"/>
  <c r="ED88" i="4"/>
  <c r="EC88" i="4"/>
  <c r="DM88" i="4"/>
  <c r="DL88" i="4"/>
  <c r="DK88" i="4"/>
  <c r="DJ88" i="4"/>
  <c r="DI88" i="4"/>
  <c r="DH88" i="4"/>
  <c r="BN88" i="4"/>
  <c r="BL88" i="4"/>
  <c r="BG88" i="4"/>
  <c r="BF88" i="4"/>
  <c r="BE88" i="4"/>
  <c r="BM88" i="4" s="1"/>
  <c r="BD88" i="4"/>
  <c r="BC88" i="4"/>
  <c r="BB88" i="4"/>
  <c r="BA88" i="4"/>
  <c r="AZ88" i="4"/>
  <c r="BK88" i="4" s="1"/>
  <c r="AY88" i="4"/>
  <c r="AX88" i="4"/>
  <c r="BJ88" i="4" s="1"/>
  <c r="AW88" i="4"/>
  <c r="AV88" i="4"/>
  <c r="BI88" i="4" s="1"/>
  <c r="AS88" i="4"/>
  <c r="AR88" i="4"/>
  <c r="AT88" i="4" s="1"/>
  <c r="AO88" i="4"/>
  <c r="AN88" i="4"/>
  <c r="AM88" i="4"/>
  <c r="AP88" i="4" s="1"/>
  <c r="GS87" i="4"/>
  <c r="GO87" i="4"/>
  <c r="GM87" i="4"/>
  <c r="GL87" i="4"/>
  <c r="GJ87" i="4"/>
  <c r="GI87" i="4"/>
  <c r="GB87" i="4"/>
  <c r="FV87" i="4"/>
  <c r="FU87" i="4"/>
  <c r="FT87" i="4"/>
  <c r="FZ87" i="4" s="1"/>
  <c r="FQ87" i="4"/>
  <c r="FO87" i="4"/>
  <c r="FX87" i="4" s="1"/>
  <c r="FK87" i="4"/>
  <c r="FI87" i="4"/>
  <c r="FL87" i="4" s="1"/>
  <c r="FH87" i="4"/>
  <c r="EX87" i="4"/>
  <c r="EV87" i="4"/>
  <c r="EU87" i="4"/>
  <c r="ET87" i="4"/>
  <c r="ES87" i="4"/>
  <c r="ER87" i="4"/>
  <c r="EQ87" i="4"/>
  <c r="FF87" i="4" s="1"/>
  <c r="EO87" i="4"/>
  <c r="EN87" i="4"/>
  <c r="EM87" i="4"/>
  <c r="EL87" i="4"/>
  <c r="EZ87" i="4" s="1"/>
  <c r="EK87" i="4"/>
  <c r="EY87" i="4" s="1"/>
  <c r="EJ87" i="4"/>
  <c r="EH87" i="4"/>
  <c r="EG87" i="4"/>
  <c r="EF87" i="4"/>
  <c r="EE87" i="4"/>
  <c r="ED87" i="4"/>
  <c r="EC87" i="4"/>
  <c r="DM87" i="4"/>
  <c r="DL87" i="4"/>
  <c r="DK87" i="4"/>
  <c r="DJ87" i="4"/>
  <c r="DI87" i="4"/>
  <c r="DH87" i="4"/>
  <c r="CE87" i="4"/>
  <c r="CL87" i="4" s="1"/>
  <c r="BL87" i="4"/>
  <c r="BG87" i="4"/>
  <c r="BN87" i="4" s="1"/>
  <c r="BF87" i="4"/>
  <c r="BE87" i="4"/>
  <c r="BD87" i="4"/>
  <c r="BM87" i="4" s="1"/>
  <c r="BC87" i="4"/>
  <c r="BB87" i="4"/>
  <c r="BA87" i="4"/>
  <c r="BK87" i="4" s="1"/>
  <c r="AZ87" i="4"/>
  <c r="AY87" i="4"/>
  <c r="AX87" i="4"/>
  <c r="BJ87" i="4" s="1"/>
  <c r="AW87" i="4"/>
  <c r="AV87" i="4"/>
  <c r="BI87" i="4" s="1"/>
  <c r="AS87" i="4"/>
  <c r="AR87" i="4"/>
  <c r="AT87" i="4" s="1"/>
  <c r="AO87" i="4"/>
  <c r="AN87" i="4"/>
  <c r="AM87" i="4"/>
  <c r="AP87" i="4" s="1"/>
  <c r="GS86" i="4"/>
  <c r="GO86" i="4"/>
  <c r="GM86" i="4"/>
  <c r="GL86" i="4"/>
  <c r="GJ86" i="4"/>
  <c r="GI86" i="4"/>
  <c r="GB86" i="4"/>
  <c r="FV86" i="4"/>
  <c r="FU86" i="4"/>
  <c r="FT86" i="4"/>
  <c r="FQ86" i="4"/>
  <c r="FO86" i="4"/>
  <c r="FX86" i="4" s="1"/>
  <c r="FI86" i="4"/>
  <c r="FL86" i="4" s="1"/>
  <c r="FH86" i="4"/>
  <c r="FK86" i="4" s="1"/>
  <c r="EX86" i="4"/>
  <c r="EV86" i="4"/>
  <c r="EU86" i="4"/>
  <c r="ET86" i="4"/>
  <c r="ES86" i="4"/>
  <c r="ER86" i="4"/>
  <c r="FA86" i="4" s="1"/>
  <c r="EQ86" i="4"/>
  <c r="FB86" i="4" s="1"/>
  <c r="EO86" i="4"/>
  <c r="EN86" i="4"/>
  <c r="EM86" i="4"/>
  <c r="EL86" i="4"/>
  <c r="EK86" i="4"/>
  <c r="EJ86" i="4"/>
  <c r="EZ86" i="4" s="1"/>
  <c r="EH86" i="4"/>
  <c r="EG86" i="4"/>
  <c r="EF86" i="4"/>
  <c r="EE86" i="4"/>
  <c r="ED86" i="4"/>
  <c r="EC86" i="4"/>
  <c r="DM86" i="4"/>
  <c r="DL86" i="4"/>
  <c r="DK86" i="4"/>
  <c r="DJ86" i="4"/>
  <c r="DI86" i="4"/>
  <c r="DH86" i="4"/>
  <c r="CF86" i="4"/>
  <c r="CM86" i="4" s="1"/>
  <c r="BM86" i="4"/>
  <c r="BK86" i="4"/>
  <c r="CD86" i="4" s="1"/>
  <c r="CK86" i="4" s="1"/>
  <c r="BG86" i="4"/>
  <c r="BF86" i="4"/>
  <c r="BN86" i="4" s="1"/>
  <c r="BE86" i="4"/>
  <c r="BD86" i="4"/>
  <c r="BC86" i="4"/>
  <c r="BL86" i="4" s="1"/>
  <c r="BB86" i="4"/>
  <c r="BA86" i="4"/>
  <c r="AZ86" i="4"/>
  <c r="AY86" i="4"/>
  <c r="AX86" i="4"/>
  <c r="BJ86" i="4" s="1"/>
  <c r="AW86" i="4"/>
  <c r="AV86" i="4"/>
  <c r="BI86" i="4" s="1"/>
  <c r="AT86" i="4"/>
  <c r="AS86" i="4"/>
  <c r="AR86" i="4"/>
  <c r="AO86" i="4"/>
  <c r="AN86" i="4"/>
  <c r="AM86" i="4"/>
  <c r="AP86" i="4" s="1"/>
  <c r="GS85" i="4"/>
  <c r="GO85" i="4"/>
  <c r="GM85" i="4"/>
  <c r="GL85" i="4"/>
  <c r="GJ85" i="4"/>
  <c r="GI85" i="4"/>
  <c r="GB85" i="4"/>
  <c r="GA85" i="4"/>
  <c r="FX85" i="4"/>
  <c r="FV85" i="4"/>
  <c r="FU85" i="4"/>
  <c r="FT85" i="4"/>
  <c r="GD86" i="4" s="1"/>
  <c r="FQ85" i="4"/>
  <c r="FO85" i="4"/>
  <c r="FL85" i="4"/>
  <c r="FI85" i="4"/>
  <c r="FH85" i="4"/>
  <c r="FK85" i="4" s="1"/>
  <c r="EX85" i="4"/>
  <c r="EV85" i="4"/>
  <c r="EU85" i="4"/>
  <c r="ET85" i="4"/>
  <c r="ES85" i="4"/>
  <c r="ER85" i="4"/>
  <c r="FE85" i="4" s="1"/>
  <c r="EQ85" i="4"/>
  <c r="EO85" i="4"/>
  <c r="EN85" i="4"/>
  <c r="EM85" i="4"/>
  <c r="EL85" i="4"/>
  <c r="EK85" i="4"/>
  <c r="EJ85" i="4"/>
  <c r="EZ85" i="4" s="1"/>
  <c r="EH85" i="4"/>
  <c r="EG85" i="4"/>
  <c r="EF85" i="4"/>
  <c r="EE85" i="4"/>
  <c r="ED85" i="4"/>
  <c r="EC85" i="4"/>
  <c r="DM85" i="4"/>
  <c r="DL85" i="4"/>
  <c r="DK85" i="4"/>
  <c r="DJ85" i="4"/>
  <c r="DI85" i="4"/>
  <c r="DH85" i="4"/>
  <c r="BN85" i="4"/>
  <c r="BM85" i="4"/>
  <c r="CF85" i="4" s="1"/>
  <c r="CM85" i="4" s="1"/>
  <c r="BL85" i="4"/>
  <c r="BG85" i="4"/>
  <c r="BF85" i="4"/>
  <c r="BE85" i="4"/>
  <c r="BD85" i="4"/>
  <c r="BC85" i="4"/>
  <c r="BB85" i="4"/>
  <c r="BA85" i="4"/>
  <c r="AZ85" i="4"/>
  <c r="BK85" i="4" s="1"/>
  <c r="AY85" i="4"/>
  <c r="BJ85" i="4" s="1"/>
  <c r="AX85" i="4"/>
  <c r="AW85" i="4"/>
  <c r="AV85" i="4"/>
  <c r="AS85" i="4"/>
  <c r="AR85" i="4"/>
  <c r="AT85" i="4" s="1"/>
  <c r="AO85" i="4"/>
  <c r="AN85" i="4"/>
  <c r="AM85" i="4"/>
  <c r="AP85" i="4" s="1"/>
  <c r="GS84" i="4"/>
  <c r="GO84" i="4"/>
  <c r="GM84" i="4"/>
  <c r="GL84" i="4"/>
  <c r="GJ84" i="4"/>
  <c r="GI84" i="4"/>
  <c r="FV84" i="4"/>
  <c r="FU84" i="4"/>
  <c r="FT84" i="4"/>
  <c r="FQ84" i="4"/>
  <c r="FO84" i="4"/>
  <c r="FK84" i="4"/>
  <c r="FI84" i="4"/>
  <c r="FL84" i="4" s="1"/>
  <c r="FH84" i="4"/>
  <c r="EX84" i="4"/>
  <c r="EV84" i="4"/>
  <c r="EU84" i="4"/>
  <c r="ET84" i="4"/>
  <c r="ES84" i="4"/>
  <c r="ER84" i="4"/>
  <c r="EQ84" i="4"/>
  <c r="FF84" i="4" s="1"/>
  <c r="EO84" i="4"/>
  <c r="EN84" i="4"/>
  <c r="EM84" i="4"/>
  <c r="EL84" i="4"/>
  <c r="EK84" i="4"/>
  <c r="EZ84" i="4" s="1"/>
  <c r="EJ84" i="4"/>
  <c r="EH84" i="4"/>
  <c r="EG84" i="4"/>
  <c r="EF84" i="4"/>
  <c r="EE84" i="4"/>
  <c r="ED84" i="4"/>
  <c r="EC84" i="4"/>
  <c r="DM84" i="4"/>
  <c r="DL84" i="4"/>
  <c r="DK84" i="4"/>
  <c r="DJ84" i="4"/>
  <c r="DI84" i="4"/>
  <c r="DH84" i="4"/>
  <c r="BN84" i="4"/>
  <c r="BM84" i="4"/>
  <c r="CF84" i="4" s="1"/>
  <c r="CM84" i="4" s="1"/>
  <c r="BL84" i="4"/>
  <c r="BG84" i="4"/>
  <c r="BF84" i="4"/>
  <c r="BE84" i="4"/>
  <c r="BD84" i="4"/>
  <c r="BC84" i="4"/>
  <c r="BB84" i="4"/>
  <c r="BA84" i="4"/>
  <c r="BK84" i="4" s="1"/>
  <c r="AZ84" i="4"/>
  <c r="AY84" i="4"/>
  <c r="AX84" i="4"/>
  <c r="AW84" i="4"/>
  <c r="AV84" i="4"/>
  <c r="BI84" i="4" s="1"/>
  <c r="AT84" i="4"/>
  <c r="AS84" i="4"/>
  <c r="AR84" i="4"/>
  <c r="AO84" i="4"/>
  <c r="AN84" i="4"/>
  <c r="AM84" i="4"/>
  <c r="GS83" i="4"/>
  <c r="GO83" i="4"/>
  <c r="GM83" i="4"/>
  <c r="GL83" i="4"/>
  <c r="GJ83" i="4"/>
  <c r="GI83" i="4"/>
  <c r="FV83" i="4"/>
  <c r="FU83" i="4"/>
  <c r="FT83" i="4"/>
  <c r="FQ83" i="4"/>
  <c r="FO83" i="4"/>
  <c r="FL83" i="4"/>
  <c r="FI83" i="4"/>
  <c r="FH83" i="4"/>
  <c r="FK83" i="4" s="1"/>
  <c r="FB83" i="4"/>
  <c r="FA83" i="4"/>
  <c r="EX83" i="4"/>
  <c r="EV83" i="4"/>
  <c r="EU83" i="4"/>
  <c r="ET83" i="4"/>
  <c r="FC83" i="4" s="1"/>
  <c r="ES83" i="4"/>
  <c r="ER83" i="4"/>
  <c r="EQ83" i="4"/>
  <c r="FF83" i="4" s="1"/>
  <c r="EO83" i="4"/>
  <c r="EN83" i="4"/>
  <c r="EM83" i="4"/>
  <c r="EL83" i="4"/>
  <c r="EK83" i="4"/>
  <c r="EJ83" i="4"/>
  <c r="EZ83" i="4" s="1"/>
  <c r="EH83" i="4"/>
  <c r="EG83" i="4"/>
  <c r="EF83" i="4"/>
  <c r="EE83" i="4"/>
  <c r="ED83" i="4"/>
  <c r="EC83" i="4"/>
  <c r="DM83" i="4"/>
  <c r="DL83" i="4"/>
  <c r="DK83" i="4"/>
  <c r="DJ83" i="4"/>
  <c r="DI83" i="4"/>
  <c r="DH83" i="4"/>
  <c r="BN83" i="4"/>
  <c r="BJ83" i="4"/>
  <c r="BG83" i="4"/>
  <c r="BF83" i="4"/>
  <c r="BE83" i="4"/>
  <c r="BD83" i="4"/>
  <c r="BM83" i="4" s="1"/>
  <c r="BC83" i="4"/>
  <c r="BB83" i="4"/>
  <c r="BL83" i="4" s="1"/>
  <c r="BA83" i="4"/>
  <c r="AZ83" i="4"/>
  <c r="BK83" i="4" s="1"/>
  <c r="CD83" i="4" s="1"/>
  <c r="CK83" i="4" s="1"/>
  <c r="AY83" i="4"/>
  <c r="AX83" i="4"/>
  <c r="AW83" i="4"/>
  <c r="AV83" i="4"/>
  <c r="BI83" i="4" s="1"/>
  <c r="AS83" i="4"/>
  <c r="AT83" i="4" s="1"/>
  <c r="AR83" i="4"/>
  <c r="AP83" i="4"/>
  <c r="AO83" i="4"/>
  <c r="AN83" i="4"/>
  <c r="AM83" i="4"/>
  <c r="GS82" i="4"/>
  <c r="GO82" i="4"/>
  <c r="GM82" i="4"/>
  <c r="GL82" i="4"/>
  <c r="GJ82" i="4"/>
  <c r="GI82" i="4"/>
  <c r="FV82" i="4"/>
  <c r="FU82" i="4"/>
  <c r="FT82" i="4"/>
  <c r="GD82" i="4" s="1"/>
  <c r="FQ82" i="4"/>
  <c r="FO82" i="4"/>
  <c r="GB82" i="4" s="1"/>
  <c r="FK82" i="4"/>
  <c r="FI82" i="4"/>
  <c r="FL82" i="4" s="1"/>
  <c r="FH82" i="4"/>
  <c r="FA82" i="4"/>
  <c r="EZ82" i="4"/>
  <c r="EX82" i="4"/>
  <c r="EV82" i="4"/>
  <c r="FD82" i="4" s="1"/>
  <c r="EU82" i="4"/>
  <c r="ET82" i="4"/>
  <c r="ES82" i="4"/>
  <c r="ER82" i="4"/>
  <c r="EQ82" i="4"/>
  <c r="EO82" i="4"/>
  <c r="EN82" i="4"/>
  <c r="EM82" i="4"/>
  <c r="EL82" i="4"/>
  <c r="EK82" i="4"/>
  <c r="EY82" i="4" s="1"/>
  <c r="EJ82" i="4"/>
  <c r="EH82" i="4"/>
  <c r="EG82" i="4"/>
  <c r="EF82" i="4"/>
  <c r="EE82" i="4"/>
  <c r="ED82" i="4"/>
  <c r="EC82" i="4"/>
  <c r="DM82" i="4"/>
  <c r="DL82" i="4"/>
  <c r="DK82" i="4"/>
  <c r="DJ82" i="4"/>
  <c r="DI82" i="4"/>
  <c r="DH82" i="4"/>
  <c r="CF82" i="4"/>
  <c r="CM82" i="4" s="1"/>
  <c r="DA82" i="4" s="1"/>
  <c r="BN82" i="4"/>
  <c r="BL82" i="4"/>
  <c r="CE82" i="4" s="1"/>
  <c r="CL82" i="4" s="1"/>
  <c r="BG82" i="4"/>
  <c r="BF82" i="4"/>
  <c r="BE82" i="4"/>
  <c r="BD82" i="4"/>
  <c r="BM82" i="4" s="1"/>
  <c r="BC82" i="4"/>
  <c r="BB82" i="4"/>
  <c r="BA82" i="4"/>
  <c r="BK82" i="4" s="1"/>
  <c r="AZ82" i="4"/>
  <c r="AY82" i="4"/>
  <c r="AX82" i="4"/>
  <c r="BJ82" i="4" s="1"/>
  <c r="AW82" i="4"/>
  <c r="AV82" i="4"/>
  <c r="BI82" i="4" s="1"/>
  <c r="AS82" i="4"/>
  <c r="AR82" i="4"/>
  <c r="AO82" i="4"/>
  <c r="AN82" i="4"/>
  <c r="AM82" i="4"/>
  <c r="GS81" i="4"/>
  <c r="GO81" i="4"/>
  <c r="GM81" i="4"/>
  <c r="GL81" i="4"/>
  <c r="GJ81" i="4"/>
  <c r="GI81" i="4"/>
  <c r="FX81" i="4"/>
  <c r="FV81" i="4"/>
  <c r="GA82" i="4" s="1"/>
  <c r="FU81" i="4"/>
  <c r="FT81" i="4"/>
  <c r="FQ81" i="4"/>
  <c r="FO81" i="4"/>
  <c r="GB81" i="4" s="1"/>
  <c r="FI81" i="4"/>
  <c r="FL81" i="4" s="1"/>
  <c r="FH81" i="4"/>
  <c r="FK81" i="4" s="1"/>
  <c r="FA81" i="4"/>
  <c r="EX81" i="4"/>
  <c r="EV81" i="4"/>
  <c r="EU81" i="4"/>
  <c r="ET81" i="4"/>
  <c r="ES81" i="4"/>
  <c r="FF81" i="4" s="1"/>
  <c r="ER81" i="4"/>
  <c r="EQ81" i="4"/>
  <c r="EO81" i="4"/>
  <c r="EN81" i="4"/>
  <c r="EM81" i="4"/>
  <c r="EL81" i="4"/>
  <c r="EK81" i="4"/>
  <c r="EY81" i="4" s="1"/>
  <c r="EJ81" i="4"/>
  <c r="EH81" i="4"/>
  <c r="EG81" i="4"/>
  <c r="EF81" i="4"/>
  <c r="EE81" i="4"/>
  <c r="ED81" i="4"/>
  <c r="EC81" i="4"/>
  <c r="DM81" i="4"/>
  <c r="DL81" i="4"/>
  <c r="DK81" i="4"/>
  <c r="DJ81" i="4"/>
  <c r="DI81" i="4"/>
  <c r="DH81" i="4"/>
  <c r="BG81" i="4"/>
  <c r="BF81" i="4"/>
  <c r="BN81" i="4" s="1"/>
  <c r="BE81" i="4"/>
  <c r="BM81" i="4" s="1"/>
  <c r="BD81" i="4"/>
  <c r="BC81" i="4"/>
  <c r="BL81" i="4" s="1"/>
  <c r="BB81" i="4"/>
  <c r="BA81" i="4"/>
  <c r="AZ81" i="4"/>
  <c r="BK81" i="4" s="1"/>
  <c r="AY81" i="4"/>
  <c r="AX81" i="4"/>
  <c r="BJ81" i="4" s="1"/>
  <c r="AW81" i="4"/>
  <c r="AV81" i="4"/>
  <c r="BI81" i="4" s="1"/>
  <c r="AS81" i="4"/>
  <c r="AR81" i="4"/>
  <c r="AT81" i="4" s="1"/>
  <c r="AP81" i="4"/>
  <c r="AO81" i="4"/>
  <c r="AN81" i="4"/>
  <c r="AM81" i="4"/>
  <c r="GS80" i="4"/>
  <c r="GO80" i="4"/>
  <c r="GM80" i="4"/>
  <c r="GL80" i="4"/>
  <c r="GJ80" i="4"/>
  <c r="GI80" i="4"/>
  <c r="FX80" i="4"/>
  <c r="FV80" i="4"/>
  <c r="FU80" i="4"/>
  <c r="FT80" i="4"/>
  <c r="GD80" i="4" s="1"/>
  <c r="FQ80" i="4"/>
  <c r="FO80" i="4"/>
  <c r="GB80" i="4" s="1"/>
  <c r="FL80" i="4"/>
  <c r="FI80" i="4"/>
  <c r="FH80" i="4"/>
  <c r="FK80" i="4" s="1"/>
  <c r="FD80" i="4"/>
  <c r="FC80" i="4"/>
  <c r="EX80" i="4"/>
  <c r="EV80" i="4"/>
  <c r="FA80" i="4" s="1"/>
  <c r="EU80" i="4"/>
  <c r="ET80" i="4"/>
  <c r="ES80" i="4"/>
  <c r="ER80" i="4"/>
  <c r="EQ80" i="4"/>
  <c r="EO80" i="4"/>
  <c r="EN80" i="4"/>
  <c r="EM80" i="4"/>
  <c r="EL80" i="4"/>
  <c r="EZ80" i="4" s="1"/>
  <c r="EK80" i="4"/>
  <c r="EJ80" i="4"/>
  <c r="EY80" i="4" s="1"/>
  <c r="EH80" i="4"/>
  <c r="EG80" i="4"/>
  <c r="EF80" i="4"/>
  <c r="EE80" i="4"/>
  <c r="ED80" i="4"/>
  <c r="EC80" i="4"/>
  <c r="DM80" i="4"/>
  <c r="DL80" i="4"/>
  <c r="DK80" i="4"/>
  <c r="DJ80" i="4"/>
  <c r="DI80" i="4"/>
  <c r="DH80" i="4"/>
  <c r="CD80" i="4"/>
  <c r="CK80" i="4" s="1"/>
  <c r="BL80" i="4"/>
  <c r="BK80" i="4"/>
  <c r="BG80" i="4"/>
  <c r="BF80" i="4"/>
  <c r="BN80" i="4" s="1"/>
  <c r="BE80" i="4"/>
  <c r="BD80" i="4"/>
  <c r="BM80" i="4" s="1"/>
  <c r="BC80" i="4"/>
  <c r="BB80" i="4"/>
  <c r="BA80" i="4"/>
  <c r="AZ80" i="4"/>
  <c r="AY80" i="4"/>
  <c r="BJ80" i="4" s="1"/>
  <c r="AX80" i="4"/>
  <c r="AW80" i="4"/>
  <c r="AV80" i="4"/>
  <c r="BI80" i="4" s="1"/>
  <c r="AS80" i="4"/>
  <c r="AR80" i="4"/>
  <c r="AT80" i="4" s="1"/>
  <c r="AP80" i="4"/>
  <c r="AO80" i="4"/>
  <c r="AN80" i="4"/>
  <c r="AM80" i="4"/>
  <c r="GS79" i="4"/>
  <c r="GO79" i="4"/>
  <c r="GM79" i="4"/>
  <c r="GL79" i="4"/>
  <c r="GJ79" i="4"/>
  <c r="GI79" i="4"/>
  <c r="FV79" i="4"/>
  <c r="FU79" i="4"/>
  <c r="FT79" i="4"/>
  <c r="GD79" i="4" s="1"/>
  <c r="FQ79" i="4"/>
  <c r="FO79" i="4"/>
  <c r="GB79" i="4" s="1"/>
  <c r="FK79" i="4"/>
  <c r="FI79" i="4"/>
  <c r="FL79" i="4" s="1"/>
  <c r="FH79" i="4"/>
  <c r="EX79" i="4"/>
  <c r="EV79" i="4"/>
  <c r="EU79" i="4"/>
  <c r="ET79" i="4"/>
  <c r="ES79" i="4"/>
  <c r="ER79" i="4"/>
  <c r="EQ79" i="4"/>
  <c r="FD79" i="4" s="1"/>
  <c r="EO79" i="4"/>
  <c r="EN79" i="4"/>
  <c r="EM79" i="4"/>
  <c r="EL79" i="4"/>
  <c r="EK79" i="4"/>
  <c r="EY79" i="4" s="1"/>
  <c r="EJ79" i="4"/>
  <c r="EZ79" i="4" s="1"/>
  <c r="EH79" i="4"/>
  <c r="EG79" i="4"/>
  <c r="EF79" i="4"/>
  <c r="EE79" i="4"/>
  <c r="ED79" i="4"/>
  <c r="EC79" i="4"/>
  <c r="DM79" i="4"/>
  <c r="DL79" i="4"/>
  <c r="DK79" i="4"/>
  <c r="DJ79" i="4"/>
  <c r="DI79" i="4"/>
  <c r="DH79" i="4"/>
  <c r="BL79" i="4"/>
  <c r="CE79" i="4" s="1"/>
  <c r="CL79" i="4" s="1"/>
  <c r="BG79" i="4"/>
  <c r="BF79" i="4"/>
  <c r="BN79" i="4" s="1"/>
  <c r="BE79" i="4"/>
  <c r="BD79" i="4"/>
  <c r="BM79" i="4" s="1"/>
  <c r="BC79" i="4"/>
  <c r="BB79" i="4"/>
  <c r="BA79" i="4"/>
  <c r="BK79" i="4" s="1"/>
  <c r="AZ79" i="4"/>
  <c r="AY79" i="4"/>
  <c r="AX79" i="4"/>
  <c r="BJ79" i="4" s="1"/>
  <c r="AW79" i="4"/>
  <c r="AV79" i="4"/>
  <c r="BI79" i="4" s="1"/>
  <c r="AS79" i="4"/>
  <c r="AT79" i="4" s="1"/>
  <c r="AR79" i="4"/>
  <c r="AO79" i="4"/>
  <c r="AN79" i="4"/>
  <c r="AM79" i="4"/>
  <c r="AP79" i="4" s="1"/>
  <c r="GS78" i="4"/>
  <c r="GO78" i="4"/>
  <c r="GM78" i="4"/>
  <c r="GL78" i="4"/>
  <c r="GJ78" i="4"/>
  <c r="GI78" i="4"/>
  <c r="FX78" i="4"/>
  <c r="FV78" i="4"/>
  <c r="FU78" i="4"/>
  <c r="FT78" i="4"/>
  <c r="FQ78" i="4"/>
  <c r="FO78" i="4"/>
  <c r="GB78" i="4" s="1"/>
  <c r="FI78" i="4"/>
  <c r="FL78" i="4" s="1"/>
  <c r="FH78" i="4"/>
  <c r="FK78" i="4" s="1"/>
  <c r="EX78" i="4"/>
  <c r="EV78" i="4"/>
  <c r="EU78" i="4"/>
  <c r="ET78" i="4"/>
  <c r="ES78" i="4"/>
  <c r="FF78" i="4" s="1"/>
  <c r="ER78" i="4"/>
  <c r="FE78" i="4" s="1"/>
  <c r="EQ78" i="4"/>
  <c r="FD78" i="4" s="1"/>
  <c r="EO78" i="4"/>
  <c r="EN78" i="4"/>
  <c r="EM78" i="4"/>
  <c r="EL78" i="4"/>
  <c r="EK78" i="4"/>
  <c r="EY78" i="4" s="1"/>
  <c r="EJ78" i="4"/>
  <c r="EZ78" i="4" s="1"/>
  <c r="EH78" i="4"/>
  <c r="EG78" i="4"/>
  <c r="EF78" i="4"/>
  <c r="EE78" i="4"/>
  <c r="ED78" i="4"/>
  <c r="EC78" i="4"/>
  <c r="DM78" i="4"/>
  <c r="DL78" i="4"/>
  <c r="DK78" i="4"/>
  <c r="DJ78" i="4"/>
  <c r="DI78" i="4"/>
  <c r="DH78" i="4"/>
  <c r="BN78" i="4"/>
  <c r="CG78" i="4" s="1"/>
  <c r="CN78" i="4" s="1"/>
  <c r="BM78" i="4"/>
  <c r="CF78" i="4" s="1"/>
  <c r="CM78" i="4" s="1"/>
  <c r="BK78" i="4"/>
  <c r="CD78" i="4" s="1"/>
  <c r="CK78" i="4" s="1"/>
  <c r="BJ78" i="4"/>
  <c r="CC78" i="4" s="1"/>
  <c r="CJ78" i="4" s="1"/>
  <c r="BG78" i="4"/>
  <c r="BF78" i="4"/>
  <c r="BE78" i="4"/>
  <c r="BD78" i="4"/>
  <c r="BC78" i="4"/>
  <c r="BL78" i="4" s="1"/>
  <c r="BB78" i="4"/>
  <c r="BA78" i="4"/>
  <c r="AZ78" i="4"/>
  <c r="AY78" i="4"/>
  <c r="AX78" i="4"/>
  <c r="AW78" i="4"/>
  <c r="AV78" i="4"/>
  <c r="BI78" i="4" s="1"/>
  <c r="AT78" i="4"/>
  <c r="AS78" i="4"/>
  <c r="AR78" i="4"/>
  <c r="AO78" i="4"/>
  <c r="AN78" i="4"/>
  <c r="AM78" i="4"/>
  <c r="AP78" i="4" s="1"/>
  <c r="GS77" i="4"/>
  <c r="GO77" i="4"/>
  <c r="GM77" i="4"/>
  <c r="GL77" i="4"/>
  <c r="GJ77" i="4"/>
  <c r="GI77" i="4"/>
  <c r="GB77" i="4"/>
  <c r="FV77" i="4"/>
  <c r="FU77" i="4"/>
  <c r="FT77" i="4"/>
  <c r="GD78" i="4" s="1"/>
  <c r="FQ77" i="4"/>
  <c r="FO77" i="4"/>
  <c r="FX77" i="4" s="1"/>
  <c r="FK77" i="4"/>
  <c r="FI77" i="4"/>
  <c r="FL77" i="4" s="1"/>
  <c r="FH77" i="4"/>
  <c r="EX77" i="4"/>
  <c r="EV77" i="4"/>
  <c r="EU77" i="4"/>
  <c r="FC77" i="4" s="1"/>
  <c r="ET77" i="4"/>
  <c r="ES77" i="4"/>
  <c r="FF77" i="4" s="1"/>
  <c r="ER77" i="4"/>
  <c r="EQ77" i="4"/>
  <c r="FE77" i="4" s="1"/>
  <c r="EO77" i="4"/>
  <c r="EN77" i="4"/>
  <c r="EM77" i="4"/>
  <c r="EL77" i="4"/>
  <c r="EK77" i="4"/>
  <c r="EJ77" i="4"/>
  <c r="EZ77" i="4" s="1"/>
  <c r="EH77" i="4"/>
  <c r="EG77" i="4"/>
  <c r="EF77" i="4"/>
  <c r="EE77" i="4"/>
  <c r="ED77" i="4"/>
  <c r="EC77" i="4"/>
  <c r="DM77" i="4"/>
  <c r="DL77" i="4"/>
  <c r="DK77" i="4"/>
  <c r="DJ77" i="4"/>
  <c r="DI77" i="4"/>
  <c r="DH77" i="4"/>
  <c r="BN77" i="4"/>
  <c r="CG77" i="4" s="1"/>
  <c r="CN77" i="4" s="1"/>
  <c r="BM77" i="4"/>
  <c r="CF77" i="4" s="1"/>
  <c r="CM77" i="4" s="1"/>
  <c r="BL77" i="4"/>
  <c r="CE77" i="4" s="1"/>
  <c r="CL77" i="4" s="1"/>
  <c r="BK77" i="4"/>
  <c r="BG77" i="4"/>
  <c r="BF77" i="4"/>
  <c r="BE77" i="4"/>
  <c r="BD77" i="4"/>
  <c r="BC77" i="4"/>
  <c r="BB77" i="4"/>
  <c r="BA77" i="4"/>
  <c r="AZ77" i="4"/>
  <c r="AY77" i="4"/>
  <c r="AX77" i="4"/>
  <c r="BJ77" i="4" s="1"/>
  <c r="AW77" i="4"/>
  <c r="AV77" i="4"/>
  <c r="BI77" i="4" s="1"/>
  <c r="AS77" i="4"/>
  <c r="AR77" i="4"/>
  <c r="AT77" i="4" s="1"/>
  <c r="AO77" i="4"/>
  <c r="AN77" i="4"/>
  <c r="AM77" i="4"/>
  <c r="AP77" i="4" s="1"/>
  <c r="GS76" i="4"/>
  <c r="GO76" i="4"/>
  <c r="GM76" i="4"/>
  <c r="GL76" i="4"/>
  <c r="GJ76" i="4"/>
  <c r="GI76" i="4"/>
  <c r="FV76" i="4"/>
  <c r="FU76" i="4"/>
  <c r="FT76" i="4"/>
  <c r="FQ76" i="4"/>
  <c r="FO76" i="4"/>
  <c r="FX76" i="4" s="1"/>
  <c r="FL76" i="4"/>
  <c r="FK76" i="4"/>
  <c r="FI76" i="4"/>
  <c r="FH76" i="4"/>
  <c r="EX76" i="4"/>
  <c r="EV76" i="4"/>
  <c r="FC76" i="4" s="1"/>
  <c r="EU76" i="4"/>
  <c r="ET76" i="4"/>
  <c r="ES76" i="4"/>
  <c r="ER76" i="4"/>
  <c r="FF76" i="4" s="1"/>
  <c r="EQ76" i="4"/>
  <c r="FD76" i="4" s="1"/>
  <c r="EO76" i="4"/>
  <c r="EN76" i="4"/>
  <c r="EM76" i="4"/>
  <c r="EL76" i="4"/>
  <c r="EK76" i="4"/>
  <c r="EY76" i="4" s="1"/>
  <c r="EJ76" i="4"/>
  <c r="EH76" i="4"/>
  <c r="EG76" i="4"/>
  <c r="EF76" i="4"/>
  <c r="EE76" i="4"/>
  <c r="ED76" i="4"/>
  <c r="EC76" i="4"/>
  <c r="DM76" i="4"/>
  <c r="DL76" i="4"/>
  <c r="DK76" i="4"/>
  <c r="DJ76" i="4"/>
  <c r="DI76" i="4"/>
  <c r="DH76" i="4"/>
  <c r="BN76" i="4"/>
  <c r="BM76" i="4"/>
  <c r="BG76" i="4"/>
  <c r="BF76" i="4"/>
  <c r="BE76" i="4"/>
  <c r="BD76" i="4"/>
  <c r="BC76" i="4"/>
  <c r="BB76" i="4"/>
  <c r="BL76" i="4" s="1"/>
  <c r="BA76" i="4"/>
  <c r="AZ76" i="4"/>
  <c r="BK76" i="4" s="1"/>
  <c r="AY76" i="4"/>
  <c r="AX76" i="4"/>
  <c r="BJ76" i="4" s="1"/>
  <c r="AW76" i="4"/>
  <c r="AV76" i="4"/>
  <c r="BI76" i="4" s="1"/>
  <c r="AT76" i="4"/>
  <c r="AS76" i="4"/>
  <c r="AR76" i="4"/>
  <c r="AO76" i="4"/>
  <c r="AN76" i="4"/>
  <c r="AM76" i="4"/>
  <c r="AP76" i="4" s="1"/>
  <c r="GS75" i="4"/>
  <c r="GO75" i="4"/>
  <c r="GM75" i="4"/>
  <c r="GL75" i="4"/>
  <c r="GJ75" i="4"/>
  <c r="GI75" i="4"/>
  <c r="FV75" i="4"/>
  <c r="FU75" i="4"/>
  <c r="FT75" i="4"/>
  <c r="FQ75" i="4"/>
  <c r="FO75" i="4"/>
  <c r="GB75" i="4" s="1"/>
  <c r="FL75" i="4"/>
  <c r="FI75" i="4"/>
  <c r="FH75" i="4"/>
  <c r="FK75" i="4" s="1"/>
  <c r="FA75" i="4"/>
  <c r="EX75" i="4"/>
  <c r="EV75" i="4"/>
  <c r="EU75" i="4"/>
  <c r="ET75" i="4"/>
  <c r="FB75" i="4" s="1"/>
  <c r="ES75" i="4"/>
  <c r="ER75" i="4"/>
  <c r="FE75" i="4" s="1"/>
  <c r="EQ75" i="4"/>
  <c r="FF75" i="4" s="1"/>
  <c r="EO75" i="4"/>
  <c r="EN75" i="4"/>
  <c r="EM75" i="4"/>
  <c r="EL75" i="4"/>
  <c r="EZ75" i="4" s="1"/>
  <c r="EK75" i="4"/>
  <c r="EY75" i="4" s="1"/>
  <c r="EJ75" i="4"/>
  <c r="EH75" i="4"/>
  <c r="EG75" i="4"/>
  <c r="EF75" i="4"/>
  <c r="EE75" i="4"/>
  <c r="ED75" i="4"/>
  <c r="EC75" i="4"/>
  <c r="DM75" i="4"/>
  <c r="DL75" i="4"/>
  <c r="DK75" i="4"/>
  <c r="DJ75" i="4"/>
  <c r="DI75" i="4"/>
  <c r="DH75" i="4"/>
  <c r="CB75" i="4"/>
  <c r="CI75" i="4" s="1"/>
  <c r="CW75" i="4" s="1"/>
  <c r="BN75" i="4"/>
  <c r="BJ75" i="4"/>
  <c r="CC75" i="4" s="1"/>
  <c r="CJ75" i="4" s="1"/>
  <c r="BG75" i="4"/>
  <c r="BF75" i="4"/>
  <c r="BE75" i="4"/>
  <c r="BD75" i="4"/>
  <c r="BM75" i="4" s="1"/>
  <c r="BC75" i="4"/>
  <c r="BB75" i="4"/>
  <c r="BL75" i="4" s="1"/>
  <c r="BA75" i="4"/>
  <c r="AZ75" i="4"/>
  <c r="AY75" i="4"/>
  <c r="AX75" i="4"/>
  <c r="AW75" i="4"/>
  <c r="AV75" i="4"/>
  <c r="BI75" i="4" s="1"/>
  <c r="AT75" i="4"/>
  <c r="AS75" i="4"/>
  <c r="AR75" i="4"/>
  <c r="AO75" i="4"/>
  <c r="AN75" i="4"/>
  <c r="AM75" i="4"/>
  <c r="AP75" i="4" s="1"/>
  <c r="GS74" i="4"/>
  <c r="GO74" i="4"/>
  <c r="GM74" i="4"/>
  <c r="GL74" i="4"/>
  <c r="GJ74" i="4"/>
  <c r="GI74" i="4"/>
  <c r="FV74" i="4"/>
  <c r="GA77" i="4" s="1"/>
  <c r="FU74" i="4"/>
  <c r="FT74" i="4"/>
  <c r="FQ74" i="4"/>
  <c r="FO74" i="4"/>
  <c r="GB74" i="4" s="1"/>
  <c r="FK74" i="4"/>
  <c r="FI74" i="4"/>
  <c r="FL74" i="4" s="1"/>
  <c r="FH74" i="4"/>
  <c r="FA74" i="4"/>
  <c r="EX74" i="4"/>
  <c r="EV74" i="4"/>
  <c r="EU74" i="4"/>
  <c r="ET74" i="4"/>
  <c r="FC74" i="4" s="1"/>
  <c r="ES74" i="4"/>
  <c r="ER74" i="4"/>
  <c r="EQ74" i="4"/>
  <c r="EO74" i="4"/>
  <c r="EN74" i="4"/>
  <c r="EM74" i="4"/>
  <c r="EL74" i="4"/>
  <c r="EK74" i="4"/>
  <c r="EZ74" i="4" s="1"/>
  <c r="EJ74" i="4"/>
  <c r="EH74" i="4"/>
  <c r="EG74" i="4"/>
  <c r="EF74" i="4"/>
  <c r="EE74" i="4"/>
  <c r="ED74" i="4"/>
  <c r="EC74" i="4"/>
  <c r="DM74" i="4"/>
  <c r="DL74" i="4"/>
  <c r="DK74" i="4"/>
  <c r="DJ74" i="4"/>
  <c r="DI74" i="4"/>
  <c r="DH74" i="4"/>
  <c r="CF74" i="4"/>
  <c r="CM74" i="4" s="1"/>
  <c r="DA74" i="4" s="1"/>
  <c r="CD74" i="4"/>
  <c r="CK74" i="4" s="1"/>
  <c r="CY74" i="4" s="1"/>
  <c r="BK74" i="4"/>
  <c r="BJ74" i="4"/>
  <c r="BG74" i="4"/>
  <c r="BF74" i="4"/>
  <c r="BN74" i="4" s="1"/>
  <c r="BE74" i="4"/>
  <c r="BD74" i="4"/>
  <c r="BM74" i="4" s="1"/>
  <c r="BC74" i="4"/>
  <c r="BL74" i="4" s="1"/>
  <c r="BB74" i="4"/>
  <c r="BA74" i="4"/>
  <c r="AZ74" i="4"/>
  <c r="AY74" i="4"/>
  <c r="AX74" i="4"/>
  <c r="AW74" i="4"/>
  <c r="AV74" i="4"/>
  <c r="BI74" i="4" s="1"/>
  <c r="AS74" i="4"/>
  <c r="AR74" i="4"/>
  <c r="AT74" i="4" s="1"/>
  <c r="AO74" i="4"/>
  <c r="AP74" i="4" s="1"/>
  <c r="AN74" i="4"/>
  <c r="AM74" i="4"/>
  <c r="GS73" i="4"/>
  <c r="GO73" i="4"/>
  <c r="GM73" i="4"/>
  <c r="GL73" i="4"/>
  <c r="GJ73" i="4"/>
  <c r="GI73" i="4"/>
  <c r="FV73" i="4"/>
  <c r="FU73" i="4"/>
  <c r="FT73" i="4"/>
  <c r="FQ73" i="4"/>
  <c r="FO73" i="4"/>
  <c r="FX73" i="4" s="1"/>
  <c r="FL73" i="4"/>
  <c r="FK73" i="4"/>
  <c r="FI73" i="4"/>
  <c r="FH73" i="4"/>
  <c r="EX73" i="4"/>
  <c r="EV73" i="4"/>
  <c r="EU73" i="4"/>
  <c r="ET73" i="4"/>
  <c r="ES73" i="4"/>
  <c r="FD73" i="4" s="1"/>
  <c r="ER73" i="4"/>
  <c r="EQ73" i="4"/>
  <c r="FF73" i="4" s="1"/>
  <c r="EO73" i="4"/>
  <c r="EN73" i="4"/>
  <c r="EM73" i="4"/>
  <c r="EL73" i="4"/>
  <c r="EK73" i="4"/>
  <c r="EY73" i="4" s="1"/>
  <c r="EJ73" i="4"/>
  <c r="EH73" i="4"/>
  <c r="EG73" i="4"/>
  <c r="EF73" i="4"/>
  <c r="EE73" i="4"/>
  <c r="ED73" i="4"/>
  <c r="EC73" i="4"/>
  <c r="DM73" i="4"/>
  <c r="DL73" i="4"/>
  <c r="DK73" i="4"/>
  <c r="DJ73" i="4"/>
  <c r="DI73" i="4"/>
  <c r="DH73" i="4"/>
  <c r="BM73" i="4"/>
  <c r="BL73" i="4"/>
  <c r="BK73" i="4"/>
  <c r="BJ73" i="4"/>
  <c r="BG73" i="4"/>
  <c r="BF73" i="4"/>
  <c r="BN73" i="4" s="1"/>
  <c r="BE73" i="4"/>
  <c r="BD73" i="4"/>
  <c r="BC73" i="4"/>
  <c r="BB73" i="4"/>
  <c r="BA73" i="4"/>
  <c r="AZ73" i="4"/>
  <c r="AY73" i="4"/>
  <c r="AX73" i="4"/>
  <c r="AW73" i="4"/>
  <c r="AV73" i="4"/>
  <c r="BI73" i="4" s="1"/>
  <c r="AT73" i="4"/>
  <c r="AS73" i="4"/>
  <c r="AR73" i="4"/>
  <c r="AO73" i="4"/>
  <c r="AN73" i="4"/>
  <c r="AM73" i="4"/>
  <c r="AP73" i="4" s="1"/>
  <c r="GS72" i="4"/>
  <c r="GO72" i="4"/>
  <c r="GM72" i="4"/>
  <c r="GL72" i="4"/>
  <c r="GJ72" i="4"/>
  <c r="GI72" i="4"/>
  <c r="FX72" i="4"/>
  <c r="FV72" i="4"/>
  <c r="GA72" i="4" s="1"/>
  <c r="FU72" i="4"/>
  <c r="FT72" i="4"/>
  <c r="FQ72" i="4"/>
  <c r="FO72" i="4"/>
  <c r="GB72" i="4" s="1"/>
  <c r="FL72" i="4"/>
  <c r="FI72" i="4"/>
  <c r="FH72" i="4"/>
  <c r="FK72" i="4" s="1"/>
  <c r="FC72" i="4"/>
  <c r="EX72" i="4"/>
  <c r="EV72" i="4"/>
  <c r="EU72" i="4"/>
  <c r="ET72" i="4"/>
  <c r="ES72" i="4"/>
  <c r="ER72" i="4"/>
  <c r="EQ72" i="4"/>
  <c r="FB72" i="4" s="1"/>
  <c r="EO72" i="4"/>
  <c r="EN72" i="4"/>
  <c r="EM72" i="4"/>
  <c r="EL72" i="4"/>
  <c r="EK72" i="4"/>
  <c r="EY72" i="4" s="1"/>
  <c r="EJ72" i="4"/>
  <c r="EZ72" i="4" s="1"/>
  <c r="EH72" i="4"/>
  <c r="EG72" i="4"/>
  <c r="EF72" i="4"/>
  <c r="EE72" i="4"/>
  <c r="ED72" i="4"/>
  <c r="EC72" i="4"/>
  <c r="DM72" i="4"/>
  <c r="DL72" i="4"/>
  <c r="DK72" i="4"/>
  <c r="DJ72" i="4"/>
  <c r="DI72" i="4"/>
  <c r="DH72" i="4"/>
  <c r="CF72" i="4"/>
  <c r="CM72" i="4" s="1"/>
  <c r="BM72" i="4"/>
  <c r="BK72" i="4"/>
  <c r="CD72" i="4" s="1"/>
  <c r="CK72" i="4" s="1"/>
  <c r="BG72" i="4"/>
  <c r="BF72" i="4"/>
  <c r="BN72" i="4" s="1"/>
  <c r="BE72" i="4"/>
  <c r="BD72" i="4"/>
  <c r="BC72" i="4"/>
  <c r="BL72" i="4" s="1"/>
  <c r="BB72" i="4"/>
  <c r="BA72" i="4"/>
  <c r="AZ72" i="4"/>
  <c r="AY72" i="4"/>
  <c r="AX72" i="4"/>
  <c r="BJ72" i="4" s="1"/>
  <c r="AW72" i="4"/>
  <c r="AV72" i="4"/>
  <c r="BI72" i="4" s="1"/>
  <c r="AS72" i="4"/>
  <c r="AT72" i="4" s="1"/>
  <c r="AR72" i="4"/>
  <c r="AO72" i="4"/>
  <c r="AP72" i="4" s="1"/>
  <c r="AN72" i="4"/>
  <c r="AM72" i="4"/>
  <c r="GS71" i="4"/>
  <c r="GO71" i="4"/>
  <c r="GM71" i="4"/>
  <c r="GL71" i="4"/>
  <c r="GJ71" i="4"/>
  <c r="GI71" i="4"/>
  <c r="GB71" i="4"/>
  <c r="FX71" i="4"/>
  <c r="FV71" i="4"/>
  <c r="FU71" i="4"/>
  <c r="FT71" i="4"/>
  <c r="GD72" i="4" s="1"/>
  <c r="FQ71" i="4"/>
  <c r="FO71" i="4"/>
  <c r="FL71" i="4"/>
  <c r="FI71" i="4"/>
  <c r="FH71" i="4"/>
  <c r="FK71" i="4" s="1"/>
  <c r="EX71" i="4"/>
  <c r="EV71" i="4"/>
  <c r="EU71" i="4"/>
  <c r="ET71" i="4"/>
  <c r="ES71" i="4"/>
  <c r="FF71" i="4" s="1"/>
  <c r="ER71" i="4"/>
  <c r="FE71" i="4" s="1"/>
  <c r="EQ71" i="4"/>
  <c r="FD71" i="4" s="1"/>
  <c r="EO71" i="4"/>
  <c r="EN71" i="4"/>
  <c r="EM71" i="4"/>
  <c r="EL71" i="4"/>
  <c r="EK71" i="4"/>
  <c r="EJ71" i="4"/>
  <c r="EZ71" i="4" s="1"/>
  <c r="EH71" i="4"/>
  <c r="EG71" i="4"/>
  <c r="EF71" i="4"/>
  <c r="EE71" i="4"/>
  <c r="ED71" i="4"/>
  <c r="EC71" i="4"/>
  <c r="DM71" i="4"/>
  <c r="DL71" i="4"/>
  <c r="DK71" i="4"/>
  <c r="DJ71" i="4"/>
  <c r="DI71" i="4"/>
  <c r="DH71" i="4"/>
  <c r="BM71" i="4"/>
  <c r="CF71" i="4" s="1"/>
  <c r="CM71" i="4" s="1"/>
  <c r="BJ71" i="4"/>
  <c r="CC71" i="4" s="1"/>
  <c r="CJ71" i="4" s="1"/>
  <c r="BG71" i="4"/>
  <c r="BF71" i="4"/>
  <c r="BN71" i="4" s="1"/>
  <c r="BE71" i="4"/>
  <c r="BD71" i="4"/>
  <c r="BC71" i="4"/>
  <c r="BB71" i="4"/>
  <c r="BL71" i="4" s="1"/>
  <c r="BA71" i="4"/>
  <c r="AZ71" i="4"/>
  <c r="BK71" i="4" s="1"/>
  <c r="AY71" i="4"/>
  <c r="AX71" i="4"/>
  <c r="AW71" i="4"/>
  <c r="AV71" i="4"/>
  <c r="BI71" i="4" s="1"/>
  <c r="AT71" i="4"/>
  <c r="AS71" i="4"/>
  <c r="AR71" i="4"/>
  <c r="AO71" i="4"/>
  <c r="AN71" i="4"/>
  <c r="AM71" i="4"/>
  <c r="AP71" i="4" s="1"/>
  <c r="GS70" i="4"/>
  <c r="GO70" i="4"/>
  <c r="GM70" i="4"/>
  <c r="GL70" i="4"/>
  <c r="GJ70" i="4"/>
  <c r="GI70" i="4"/>
  <c r="GB70" i="4"/>
  <c r="FV70" i="4"/>
  <c r="FU70" i="4"/>
  <c r="FT70" i="4"/>
  <c r="FQ70" i="4"/>
  <c r="FO70" i="4"/>
  <c r="FX70" i="4" s="1"/>
  <c r="FK70" i="4"/>
  <c r="FI70" i="4"/>
  <c r="FL70" i="4" s="1"/>
  <c r="FH70" i="4"/>
  <c r="EX70" i="4"/>
  <c r="EV70" i="4"/>
  <c r="EU70" i="4"/>
  <c r="ET70" i="4"/>
  <c r="FB70" i="4" s="1"/>
  <c r="ES70" i="4"/>
  <c r="ER70" i="4"/>
  <c r="FF70" i="4" s="1"/>
  <c r="EQ70" i="4"/>
  <c r="FD70" i="4" s="1"/>
  <c r="EO70" i="4"/>
  <c r="EN70" i="4"/>
  <c r="EM70" i="4"/>
  <c r="EL70" i="4"/>
  <c r="EZ70" i="4" s="1"/>
  <c r="EK70" i="4"/>
  <c r="EJ70" i="4"/>
  <c r="EY70" i="4" s="1"/>
  <c r="EH70" i="4"/>
  <c r="EG70" i="4"/>
  <c r="EF70" i="4"/>
  <c r="EE70" i="4"/>
  <c r="ED70" i="4"/>
  <c r="EC70" i="4"/>
  <c r="DM70" i="4"/>
  <c r="DL70" i="4"/>
  <c r="DK70" i="4"/>
  <c r="DJ70" i="4"/>
  <c r="DI70" i="4"/>
  <c r="DH70" i="4"/>
  <c r="BM70" i="4"/>
  <c r="CF70" i="4" s="1"/>
  <c r="CM70" i="4" s="1"/>
  <c r="BL70" i="4"/>
  <c r="CE70" i="4" s="1"/>
  <c r="CL70" i="4" s="1"/>
  <c r="BK70" i="4"/>
  <c r="CD70" i="4" s="1"/>
  <c r="CK70" i="4" s="1"/>
  <c r="BG70" i="4"/>
  <c r="BN70" i="4" s="1"/>
  <c r="BF70" i="4"/>
  <c r="BE70" i="4"/>
  <c r="BD70" i="4"/>
  <c r="BC70" i="4"/>
  <c r="BB70" i="4"/>
  <c r="BA70" i="4"/>
  <c r="AZ70" i="4"/>
  <c r="AY70" i="4"/>
  <c r="AX70" i="4"/>
  <c r="BJ70" i="4" s="1"/>
  <c r="AW70" i="4"/>
  <c r="AV70" i="4"/>
  <c r="BI70" i="4" s="1"/>
  <c r="AT70" i="4"/>
  <c r="AS70" i="4"/>
  <c r="AR70" i="4"/>
  <c r="AO70" i="4"/>
  <c r="AN70" i="4"/>
  <c r="AM70" i="4"/>
  <c r="AP70" i="4" s="1"/>
  <c r="GS69" i="4"/>
  <c r="GO69" i="4"/>
  <c r="GM69" i="4"/>
  <c r="GL69" i="4"/>
  <c r="GJ69" i="4"/>
  <c r="GI69" i="4"/>
  <c r="FV69" i="4"/>
  <c r="FU69" i="4"/>
  <c r="FT69" i="4"/>
  <c r="GD71" i="4" s="1"/>
  <c r="FQ69" i="4"/>
  <c r="FO69" i="4"/>
  <c r="FX69" i="4" s="1"/>
  <c r="FL69" i="4"/>
  <c r="FK69" i="4"/>
  <c r="FI69" i="4"/>
  <c r="FH69" i="4"/>
  <c r="EX69" i="4"/>
  <c r="EV69" i="4"/>
  <c r="EU69" i="4"/>
  <c r="ET69" i="4"/>
  <c r="FB69" i="4" s="1"/>
  <c r="ES69" i="4"/>
  <c r="ER69" i="4"/>
  <c r="EQ69" i="4"/>
  <c r="FF69" i="4" s="1"/>
  <c r="EO69" i="4"/>
  <c r="EN69" i="4"/>
  <c r="EM69" i="4"/>
  <c r="EL69" i="4"/>
  <c r="EK69" i="4"/>
  <c r="EY69" i="4" s="1"/>
  <c r="EJ69" i="4"/>
  <c r="EZ69" i="4" s="1"/>
  <c r="EH69" i="4"/>
  <c r="EG69" i="4"/>
  <c r="EF69" i="4"/>
  <c r="EE69" i="4"/>
  <c r="ED69" i="4"/>
  <c r="EC69" i="4"/>
  <c r="DM69" i="4"/>
  <c r="DL69" i="4"/>
  <c r="DK69" i="4"/>
  <c r="DJ69" i="4"/>
  <c r="DI69" i="4"/>
  <c r="DH69" i="4"/>
  <c r="BN69" i="4"/>
  <c r="CG69" i="4" s="1"/>
  <c r="CN69" i="4" s="1"/>
  <c r="BM69" i="4"/>
  <c r="CF69" i="4" s="1"/>
  <c r="CM69" i="4" s="1"/>
  <c r="BL69" i="4"/>
  <c r="BG69" i="4"/>
  <c r="BF69" i="4"/>
  <c r="BE69" i="4"/>
  <c r="BD69" i="4"/>
  <c r="BC69" i="4"/>
  <c r="BB69" i="4"/>
  <c r="BA69" i="4"/>
  <c r="AZ69" i="4"/>
  <c r="BK69" i="4" s="1"/>
  <c r="AY69" i="4"/>
  <c r="BJ69" i="4" s="1"/>
  <c r="AX69" i="4"/>
  <c r="AW69" i="4"/>
  <c r="AV69" i="4"/>
  <c r="BI69" i="4" s="1"/>
  <c r="AS69" i="4"/>
  <c r="AR69" i="4"/>
  <c r="AT69" i="4" s="1"/>
  <c r="AO69" i="4"/>
  <c r="AN69" i="4"/>
  <c r="AM69" i="4"/>
  <c r="AP69" i="4" s="1"/>
  <c r="GS68" i="4"/>
  <c r="GO68" i="4"/>
  <c r="GM68" i="4"/>
  <c r="GL68" i="4"/>
  <c r="GJ68" i="4"/>
  <c r="GI68" i="4"/>
  <c r="FV68" i="4"/>
  <c r="FU68" i="4"/>
  <c r="FT68" i="4"/>
  <c r="FQ68" i="4"/>
  <c r="FO68" i="4"/>
  <c r="GB68" i="4" s="1"/>
  <c r="FL68" i="4"/>
  <c r="FK68" i="4"/>
  <c r="FI68" i="4"/>
  <c r="FH68" i="4"/>
  <c r="FA68" i="4"/>
  <c r="EX68" i="4"/>
  <c r="EV68" i="4"/>
  <c r="EU68" i="4"/>
  <c r="ET68" i="4"/>
  <c r="ES68" i="4"/>
  <c r="ER68" i="4"/>
  <c r="EQ68" i="4"/>
  <c r="FF68" i="4" s="1"/>
  <c r="EO68" i="4"/>
  <c r="EN68" i="4"/>
  <c r="EM68" i="4"/>
  <c r="EL68" i="4"/>
  <c r="EK68" i="4"/>
  <c r="EY68" i="4" s="1"/>
  <c r="EJ68" i="4"/>
  <c r="EH68" i="4"/>
  <c r="EG68" i="4"/>
  <c r="EF68" i="4"/>
  <c r="EE68" i="4"/>
  <c r="ED68" i="4"/>
  <c r="EC68" i="4"/>
  <c r="DM68" i="4"/>
  <c r="DL68" i="4"/>
  <c r="DK68" i="4"/>
  <c r="DJ68" i="4"/>
  <c r="DI68" i="4"/>
  <c r="DH68" i="4"/>
  <c r="BN68" i="4"/>
  <c r="BM68" i="4"/>
  <c r="BG68" i="4"/>
  <c r="BF68" i="4"/>
  <c r="BE68" i="4"/>
  <c r="BD68" i="4"/>
  <c r="BC68" i="4"/>
  <c r="BL68" i="4" s="1"/>
  <c r="BB68" i="4"/>
  <c r="BA68" i="4"/>
  <c r="AZ68" i="4"/>
  <c r="BK68" i="4" s="1"/>
  <c r="AY68" i="4"/>
  <c r="AX68" i="4"/>
  <c r="BJ68" i="4" s="1"/>
  <c r="AW68" i="4"/>
  <c r="AV68" i="4"/>
  <c r="BI68" i="4" s="1"/>
  <c r="AS68" i="4"/>
  <c r="AT68" i="4" s="1"/>
  <c r="AR68" i="4"/>
  <c r="AO68" i="4"/>
  <c r="AN68" i="4"/>
  <c r="AM68" i="4"/>
  <c r="AP68" i="4" s="1"/>
  <c r="GS67" i="4"/>
  <c r="GO67" i="4"/>
  <c r="GM67" i="4"/>
  <c r="GL67" i="4"/>
  <c r="GJ67" i="4"/>
  <c r="GI67" i="4"/>
  <c r="FV67" i="4"/>
  <c r="FU67" i="4"/>
  <c r="FT67" i="4"/>
  <c r="FQ67" i="4"/>
  <c r="FO67" i="4"/>
  <c r="GB67" i="4" s="1"/>
  <c r="FI67" i="4"/>
  <c r="FL67" i="4" s="1"/>
  <c r="FH67" i="4"/>
  <c r="FK67" i="4" s="1"/>
  <c r="FC67" i="4"/>
  <c r="FB67" i="4"/>
  <c r="FA67" i="4"/>
  <c r="EX67" i="4"/>
  <c r="EV67" i="4"/>
  <c r="EU67" i="4"/>
  <c r="ET67" i="4"/>
  <c r="ES67" i="4"/>
  <c r="FF67" i="4" s="1"/>
  <c r="ER67" i="4"/>
  <c r="EQ67" i="4"/>
  <c r="FE67" i="4" s="1"/>
  <c r="EO67" i="4"/>
  <c r="EN67" i="4"/>
  <c r="EM67" i="4"/>
  <c r="EL67" i="4"/>
  <c r="EK67" i="4"/>
  <c r="EZ67" i="4" s="1"/>
  <c r="EJ67" i="4"/>
  <c r="EH67" i="4"/>
  <c r="EG67" i="4"/>
  <c r="EF67" i="4"/>
  <c r="EE67" i="4"/>
  <c r="ED67" i="4"/>
  <c r="EC67" i="4"/>
  <c r="DM67" i="4"/>
  <c r="DL67" i="4"/>
  <c r="DK67" i="4"/>
  <c r="DJ67" i="4"/>
  <c r="DI67" i="4"/>
  <c r="DH67" i="4"/>
  <c r="BN67" i="4"/>
  <c r="BG67" i="4"/>
  <c r="BF67" i="4"/>
  <c r="BE67" i="4"/>
  <c r="BD67" i="4"/>
  <c r="BM67" i="4" s="1"/>
  <c r="BC67" i="4"/>
  <c r="BB67" i="4"/>
  <c r="BL67" i="4" s="1"/>
  <c r="BA67" i="4"/>
  <c r="BK67" i="4" s="1"/>
  <c r="AZ67" i="4"/>
  <c r="AY67" i="4"/>
  <c r="AX67" i="4"/>
  <c r="BJ67" i="4" s="1"/>
  <c r="BQ67" i="4" s="1"/>
  <c r="AW67" i="4"/>
  <c r="AV67" i="4"/>
  <c r="BI67" i="4" s="1"/>
  <c r="AS67" i="4"/>
  <c r="AR67" i="4"/>
  <c r="AT67" i="4" s="1"/>
  <c r="AO67" i="4"/>
  <c r="AN67" i="4"/>
  <c r="AM67" i="4"/>
  <c r="AP67" i="4" s="1"/>
  <c r="GS66" i="4"/>
  <c r="GO66" i="4"/>
  <c r="GM66" i="4"/>
  <c r="GL66" i="4"/>
  <c r="GJ66" i="4"/>
  <c r="GI66" i="4"/>
  <c r="GB66" i="4"/>
  <c r="FX66" i="4"/>
  <c r="FV66" i="4"/>
  <c r="GA69" i="4" s="1"/>
  <c r="FU66" i="4"/>
  <c r="FT66" i="4"/>
  <c r="FQ66" i="4"/>
  <c r="FO66" i="4"/>
  <c r="FK66" i="4"/>
  <c r="FI66" i="4"/>
  <c r="FL66" i="4" s="1"/>
  <c r="FH66" i="4"/>
  <c r="FC66" i="4"/>
  <c r="FA66" i="4"/>
  <c r="EX66" i="4"/>
  <c r="EV66" i="4"/>
  <c r="EU66" i="4"/>
  <c r="ET66" i="4"/>
  <c r="ES66" i="4"/>
  <c r="ER66" i="4"/>
  <c r="FE66" i="4" s="1"/>
  <c r="EQ66" i="4"/>
  <c r="FB66" i="4" s="1"/>
  <c r="EO66" i="4"/>
  <c r="EN66" i="4"/>
  <c r="EM66" i="4"/>
  <c r="EL66" i="4"/>
  <c r="EK66" i="4"/>
  <c r="EJ66" i="4"/>
  <c r="EH66" i="4"/>
  <c r="EG66" i="4"/>
  <c r="EF66" i="4"/>
  <c r="EE66" i="4"/>
  <c r="ED66" i="4"/>
  <c r="EC66" i="4"/>
  <c r="DM66" i="4"/>
  <c r="DL66" i="4"/>
  <c r="DK66" i="4"/>
  <c r="DJ66" i="4"/>
  <c r="DI66" i="4"/>
  <c r="DH66" i="4"/>
  <c r="CE66" i="4"/>
  <c r="CL66" i="4" s="1"/>
  <c r="CZ66" i="4" s="1"/>
  <c r="BK66" i="4"/>
  <c r="BG66" i="4"/>
  <c r="BF66" i="4"/>
  <c r="BE66" i="4"/>
  <c r="BM66" i="4" s="1"/>
  <c r="BD66" i="4"/>
  <c r="BC66" i="4"/>
  <c r="BL66" i="4" s="1"/>
  <c r="BB66" i="4"/>
  <c r="BA66" i="4"/>
  <c r="AZ66" i="4"/>
  <c r="AY66" i="4"/>
  <c r="AX66" i="4"/>
  <c r="BJ66" i="4" s="1"/>
  <c r="AW66" i="4"/>
  <c r="AV66" i="4"/>
  <c r="BI66" i="4" s="1"/>
  <c r="AT66" i="4"/>
  <c r="AS66" i="4"/>
  <c r="AR66" i="4"/>
  <c r="AO66" i="4"/>
  <c r="AP66" i="4" s="1"/>
  <c r="AN66" i="4"/>
  <c r="AM66" i="4"/>
  <c r="GS65" i="4"/>
  <c r="GO65" i="4"/>
  <c r="GM65" i="4"/>
  <c r="GL65" i="4"/>
  <c r="GJ65" i="4"/>
  <c r="GI65" i="4"/>
  <c r="GB65" i="4"/>
  <c r="FX65" i="4"/>
  <c r="FV65" i="4"/>
  <c r="FU65" i="4"/>
  <c r="FT65" i="4"/>
  <c r="FQ65" i="4"/>
  <c r="FO65" i="4"/>
  <c r="FL65" i="4"/>
  <c r="FI65" i="4"/>
  <c r="FH65" i="4"/>
  <c r="FK65" i="4" s="1"/>
  <c r="EX65" i="4"/>
  <c r="EV65" i="4"/>
  <c r="EU65" i="4"/>
  <c r="ET65" i="4"/>
  <c r="ES65" i="4"/>
  <c r="ER65" i="4"/>
  <c r="FF65" i="4" s="1"/>
  <c r="EQ65" i="4"/>
  <c r="EO65" i="4"/>
  <c r="EN65" i="4"/>
  <c r="EM65" i="4"/>
  <c r="EL65" i="4"/>
  <c r="EK65" i="4"/>
  <c r="EJ65" i="4"/>
  <c r="EH65" i="4"/>
  <c r="EG65" i="4"/>
  <c r="EF65" i="4"/>
  <c r="EE65" i="4"/>
  <c r="ED65" i="4"/>
  <c r="EC65" i="4"/>
  <c r="DM65" i="4"/>
  <c r="DL65" i="4"/>
  <c r="DK65" i="4"/>
  <c r="DJ65" i="4"/>
  <c r="DI65" i="4"/>
  <c r="DH65" i="4"/>
  <c r="CE65" i="4"/>
  <c r="CL65" i="4" s="1"/>
  <c r="BM65" i="4"/>
  <c r="BK65" i="4"/>
  <c r="BJ65" i="4"/>
  <c r="BG65" i="4"/>
  <c r="BF65" i="4"/>
  <c r="BN65" i="4" s="1"/>
  <c r="BE65" i="4"/>
  <c r="BD65" i="4"/>
  <c r="BC65" i="4"/>
  <c r="BB65" i="4"/>
  <c r="BL65" i="4" s="1"/>
  <c r="BA65" i="4"/>
  <c r="AZ65" i="4"/>
  <c r="AY65" i="4"/>
  <c r="AX65" i="4"/>
  <c r="AW65" i="4"/>
  <c r="AV65" i="4"/>
  <c r="BI65" i="4" s="1"/>
  <c r="AT65" i="4"/>
  <c r="AS65" i="4"/>
  <c r="AR65" i="4"/>
  <c r="AO65" i="4"/>
  <c r="AN65" i="4"/>
  <c r="AM65" i="4"/>
  <c r="AP65" i="4" s="1"/>
  <c r="GS64" i="4"/>
  <c r="GO64" i="4"/>
  <c r="GM64" i="4"/>
  <c r="GL64" i="4"/>
  <c r="GJ64" i="4"/>
  <c r="GI64" i="4"/>
  <c r="GB64" i="4"/>
  <c r="FX64" i="4"/>
  <c r="FV64" i="4"/>
  <c r="FU64" i="4"/>
  <c r="FT64" i="4"/>
  <c r="FQ64" i="4"/>
  <c r="FO64" i="4"/>
  <c r="FK64" i="4"/>
  <c r="FI64" i="4"/>
  <c r="FL64" i="4" s="1"/>
  <c r="FH64" i="4"/>
  <c r="EX64" i="4"/>
  <c r="EV64" i="4"/>
  <c r="EU64" i="4"/>
  <c r="ET64" i="4"/>
  <c r="ES64" i="4"/>
  <c r="ER64" i="4"/>
  <c r="FF64" i="4" s="1"/>
  <c r="EQ64" i="4"/>
  <c r="EO64" i="4"/>
  <c r="EN64" i="4"/>
  <c r="EM64" i="4"/>
  <c r="EL64" i="4"/>
  <c r="EK64" i="4"/>
  <c r="EZ64" i="4" s="1"/>
  <c r="EJ64" i="4"/>
  <c r="EH64" i="4"/>
  <c r="EG64" i="4"/>
  <c r="EF64" i="4"/>
  <c r="EE64" i="4"/>
  <c r="ED64" i="4"/>
  <c r="EC64" i="4"/>
  <c r="DM64" i="4"/>
  <c r="DL64" i="4"/>
  <c r="DK64" i="4"/>
  <c r="DJ64" i="4"/>
  <c r="DI64" i="4"/>
  <c r="DH64" i="4"/>
  <c r="CC64" i="4"/>
  <c r="CJ64" i="4" s="1"/>
  <c r="BN64" i="4"/>
  <c r="BM64" i="4"/>
  <c r="BJ64" i="4"/>
  <c r="BG64" i="4"/>
  <c r="BF64" i="4"/>
  <c r="BE64" i="4"/>
  <c r="BD64" i="4"/>
  <c r="BC64" i="4"/>
  <c r="BB64" i="4"/>
  <c r="BL64" i="4" s="1"/>
  <c r="BA64" i="4"/>
  <c r="AZ64" i="4"/>
  <c r="BK64" i="4" s="1"/>
  <c r="AY64" i="4"/>
  <c r="AX64" i="4"/>
  <c r="AW64" i="4"/>
  <c r="AV64" i="4"/>
  <c r="BI64" i="4" s="1"/>
  <c r="AT64" i="4"/>
  <c r="AS64" i="4"/>
  <c r="AR64" i="4"/>
  <c r="AO64" i="4"/>
  <c r="AN64" i="4"/>
  <c r="AM64" i="4"/>
  <c r="AP64" i="4" s="1"/>
  <c r="GS63" i="4"/>
  <c r="GO63" i="4"/>
  <c r="GM63" i="4"/>
  <c r="GL63" i="4"/>
  <c r="GJ63" i="4"/>
  <c r="GI63" i="4"/>
  <c r="FV63" i="4"/>
  <c r="FU63" i="4"/>
  <c r="FT63" i="4"/>
  <c r="FQ63" i="4"/>
  <c r="FO63" i="4"/>
  <c r="GB63" i="4" s="1"/>
  <c r="FK63" i="4"/>
  <c r="FI63" i="4"/>
  <c r="FL63" i="4" s="1"/>
  <c r="FH63" i="4"/>
  <c r="FC63" i="4"/>
  <c r="FB63" i="4"/>
  <c r="FA63" i="4"/>
  <c r="EX63" i="4"/>
  <c r="EV63" i="4"/>
  <c r="EU63" i="4"/>
  <c r="ET63" i="4"/>
  <c r="ES63" i="4"/>
  <c r="ER63" i="4"/>
  <c r="EQ63" i="4"/>
  <c r="EO63" i="4"/>
  <c r="EN63" i="4"/>
  <c r="EM63" i="4"/>
  <c r="EL63" i="4"/>
  <c r="EZ63" i="4" s="1"/>
  <c r="EK63" i="4"/>
  <c r="EY63" i="4" s="1"/>
  <c r="EJ63" i="4"/>
  <c r="EH63" i="4"/>
  <c r="EG63" i="4"/>
  <c r="EF63" i="4"/>
  <c r="EE63" i="4"/>
  <c r="ED63" i="4"/>
  <c r="EC63" i="4"/>
  <c r="DM63" i="4"/>
  <c r="DL63" i="4"/>
  <c r="DK63" i="4"/>
  <c r="DJ63" i="4"/>
  <c r="DI63" i="4"/>
  <c r="DH63" i="4"/>
  <c r="BN63" i="4"/>
  <c r="BM63" i="4"/>
  <c r="BG63" i="4"/>
  <c r="BF63" i="4"/>
  <c r="BE63" i="4"/>
  <c r="BD63" i="4"/>
  <c r="BC63" i="4"/>
  <c r="BB63" i="4"/>
  <c r="BL63" i="4" s="1"/>
  <c r="BA63" i="4"/>
  <c r="AZ63" i="4"/>
  <c r="BK63" i="4" s="1"/>
  <c r="AY63" i="4"/>
  <c r="BJ63" i="4" s="1"/>
  <c r="AX63" i="4"/>
  <c r="AW63" i="4"/>
  <c r="AV63" i="4"/>
  <c r="BI63" i="4" s="1"/>
  <c r="AS63" i="4"/>
  <c r="AT63" i="4" s="1"/>
  <c r="AR63" i="4"/>
  <c r="AO63" i="4"/>
  <c r="AN63" i="4"/>
  <c r="AM63" i="4"/>
  <c r="AP63" i="4" s="1"/>
  <c r="GS62" i="4"/>
  <c r="GO62" i="4"/>
  <c r="GM62" i="4"/>
  <c r="GL62" i="4"/>
  <c r="GJ62" i="4"/>
  <c r="GI62" i="4"/>
  <c r="FV62" i="4"/>
  <c r="FU62" i="4"/>
  <c r="FT62" i="4"/>
  <c r="FQ62" i="4"/>
  <c r="FO62" i="4"/>
  <c r="GB62" i="4" s="1"/>
  <c r="FK62" i="4"/>
  <c r="FI62" i="4"/>
  <c r="FL62" i="4" s="1"/>
  <c r="FH62" i="4"/>
  <c r="FC62" i="4"/>
  <c r="FA62" i="4"/>
  <c r="EZ62" i="4"/>
  <c r="EX62" i="4"/>
  <c r="EV62" i="4"/>
  <c r="EU62" i="4"/>
  <c r="ET62" i="4"/>
  <c r="ES62" i="4"/>
  <c r="ER62" i="4"/>
  <c r="EQ62" i="4"/>
  <c r="FF62" i="4" s="1"/>
  <c r="EO62" i="4"/>
  <c r="EN62" i="4"/>
  <c r="EM62" i="4"/>
  <c r="EL62" i="4"/>
  <c r="EK62" i="4"/>
  <c r="EY62" i="4" s="1"/>
  <c r="EJ62" i="4"/>
  <c r="EH62" i="4"/>
  <c r="EG62" i="4"/>
  <c r="EF62" i="4"/>
  <c r="EE62" i="4"/>
  <c r="ED62" i="4"/>
  <c r="EC62" i="4"/>
  <c r="DM62" i="4"/>
  <c r="DL62" i="4"/>
  <c r="DK62" i="4"/>
  <c r="DJ62" i="4"/>
  <c r="DI62" i="4"/>
  <c r="DH62" i="4"/>
  <c r="CB62" i="4"/>
  <c r="CI62" i="4" s="1"/>
  <c r="CW62" i="4" s="1"/>
  <c r="BG62" i="4"/>
  <c r="BF62" i="4"/>
  <c r="BN62" i="4" s="1"/>
  <c r="BE62" i="4"/>
  <c r="BD62" i="4"/>
  <c r="BM62" i="4" s="1"/>
  <c r="BC62" i="4"/>
  <c r="BB62" i="4"/>
  <c r="BL62" i="4" s="1"/>
  <c r="BA62" i="4"/>
  <c r="BK62" i="4" s="1"/>
  <c r="AZ62" i="4"/>
  <c r="AY62" i="4"/>
  <c r="AX62" i="4"/>
  <c r="BJ62" i="4" s="1"/>
  <c r="AW62" i="4"/>
  <c r="AV62" i="4"/>
  <c r="BI62" i="4" s="1"/>
  <c r="AS62" i="4"/>
  <c r="AR62" i="4"/>
  <c r="AT62" i="4" s="1"/>
  <c r="AO62" i="4"/>
  <c r="AN62" i="4"/>
  <c r="AM62" i="4"/>
  <c r="AP62" i="4" s="1"/>
  <c r="GS61" i="4"/>
  <c r="GO61" i="4"/>
  <c r="GM61" i="4"/>
  <c r="GL61" i="4"/>
  <c r="GJ61" i="4"/>
  <c r="GI61" i="4"/>
  <c r="FX61" i="4"/>
  <c r="FV61" i="4"/>
  <c r="FU61" i="4"/>
  <c r="FT61" i="4"/>
  <c r="FQ61" i="4"/>
  <c r="FO61" i="4"/>
  <c r="GB61" i="4" s="1"/>
  <c r="FL61" i="4"/>
  <c r="FK61" i="4"/>
  <c r="FI61" i="4"/>
  <c r="FH61" i="4"/>
  <c r="FC61" i="4"/>
  <c r="FB61" i="4"/>
  <c r="EX61" i="4"/>
  <c r="EV61" i="4"/>
  <c r="EU61" i="4"/>
  <c r="ET61" i="4"/>
  <c r="ES61" i="4"/>
  <c r="ER61" i="4"/>
  <c r="FA61" i="4" s="1"/>
  <c r="EQ61" i="4"/>
  <c r="FD61" i="4" s="1"/>
  <c r="EO61" i="4"/>
  <c r="EN61" i="4"/>
  <c r="EM61" i="4"/>
  <c r="EL61" i="4"/>
  <c r="EK61" i="4"/>
  <c r="EY61" i="4" s="1"/>
  <c r="EJ61" i="4"/>
  <c r="EZ61" i="4" s="1"/>
  <c r="EH61" i="4"/>
  <c r="EG61" i="4"/>
  <c r="EF61" i="4"/>
  <c r="EE61" i="4"/>
  <c r="ED61" i="4"/>
  <c r="EC61" i="4"/>
  <c r="DM61" i="4"/>
  <c r="DL61" i="4"/>
  <c r="DK61" i="4"/>
  <c r="DJ61" i="4"/>
  <c r="DI61" i="4"/>
  <c r="DH61" i="4"/>
  <c r="BG61" i="4"/>
  <c r="BN61" i="4" s="1"/>
  <c r="BF61" i="4"/>
  <c r="BE61" i="4"/>
  <c r="BD61" i="4"/>
  <c r="BC61" i="4"/>
  <c r="BL61" i="4" s="1"/>
  <c r="CE61" i="4" s="1"/>
  <c r="CL61" i="4" s="1"/>
  <c r="BB61" i="4"/>
  <c r="BA61" i="4"/>
  <c r="AZ61" i="4"/>
  <c r="BK61" i="4" s="1"/>
  <c r="CD61" i="4" s="1"/>
  <c r="CK61" i="4" s="1"/>
  <c r="AY61" i="4"/>
  <c r="AX61" i="4"/>
  <c r="BJ61" i="4" s="1"/>
  <c r="AW61" i="4"/>
  <c r="AV61" i="4"/>
  <c r="BI61" i="4" s="1"/>
  <c r="AS61" i="4"/>
  <c r="AR61" i="4"/>
  <c r="AT61" i="4" s="1"/>
  <c r="AP61" i="4"/>
  <c r="AO61" i="4"/>
  <c r="AN61" i="4"/>
  <c r="AM61" i="4"/>
  <c r="GS60" i="4"/>
  <c r="GO60" i="4"/>
  <c r="GM60" i="4"/>
  <c r="GL60" i="4"/>
  <c r="GJ60" i="4"/>
  <c r="GI60" i="4"/>
  <c r="FX60" i="4"/>
  <c r="FV60" i="4"/>
  <c r="FU60" i="4"/>
  <c r="FT60" i="4"/>
  <c r="FQ60" i="4"/>
  <c r="FO60" i="4"/>
  <c r="GB60" i="4" s="1"/>
  <c r="FI60" i="4"/>
  <c r="FL60" i="4" s="1"/>
  <c r="FH60" i="4"/>
  <c r="FK60" i="4" s="1"/>
  <c r="EX60" i="4"/>
  <c r="EV60" i="4"/>
  <c r="EU60" i="4"/>
  <c r="ET60" i="4"/>
  <c r="ES60" i="4"/>
  <c r="ER60" i="4"/>
  <c r="EQ60" i="4"/>
  <c r="FE60" i="4" s="1"/>
  <c r="EO60" i="4"/>
  <c r="EN60" i="4"/>
  <c r="EM60" i="4"/>
  <c r="EL60" i="4"/>
  <c r="EK60" i="4"/>
  <c r="EZ60" i="4" s="1"/>
  <c r="EJ60" i="4"/>
  <c r="EH60" i="4"/>
  <c r="EG60" i="4"/>
  <c r="EF60" i="4"/>
  <c r="EE60" i="4"/>
  <c r="ED60" i="4"/>
  <c r="EC60" i="4"/>
  <c r="DM60" i="4"/>
  <c r="DL60" i="4"/>
  <c r="DK60" i="4"/>
  <c r="DJ60" i="4"/>
  <c r="DI60" i="4"/>
  <c r="DH60" i="4"/>
  <c r="BK60" i="4"/>
  <c r="CD60" i="4" s="1"/>
  <c r="CK60" i="4" s="1"/>
  <c r="BG60" i="4"/>
  <c r="BF60" i="4"/>
  <c r="BN60" i="4" s="1"/>
  <c r="BE60" i="4"/>
  <c r="BM60" i="4" s="1"/>
  <c r="BD60" i="4"/>
  <c r="BC60" i="4"/>
  <c r="BL60" i="4" s="1"/>
  <c r="BB60" i="4"/>
  <c r="BA60" i="4"/>
  <c r="AZ60" i="4"/>
  <c r="AY60" i="4"/>
  <c r="AX60" i="4"/>
  <c r="BJ60" i="4" s="1"/>
  <c r="AW60" i="4"/>
  <c r="AV60" i="4"/>
  <c r="BI60" i="4" s="1"/>
  <c r="AS60" i="4"/>
  <c r="AT60" i="4" s="1"/>
  <c r="AR60" i="4"/>
  <c r="AO60" i="4"/>
  <c r="AN60" i="4"/>
  <c r="AM60" i="4"/>
  <c r="AP60" i="4" s="1"/>
  <c r="GS59" i="4"/>
  <c r="GO59" i="4"/>
  <c r="GM59" i="4"/>
  <c r="GL59" i="4"/>
  <c r="GJ59" i="4"/>
  <c r="GI59" i="4"/>
  <c r="GB59" i="4"/>
  <c r="GA59" i="4"/>
  <c r="FX59" i="4"/>
  <c r="FV59" i="4"/>
  <c r="FU59" i="4"/>
  <c r="FT59" i="4"/>
  <c r="GD60" i="4" s="1"/>
  <c r="FQ59" i="4"/>
  <c r="FO59" i="4"/>
  <c r="FL59" i="4"/>
  <c r="FI59" i="4"/>
  <c r="FH59" i="4"/>
  <c r="FK59" i="4" s="1"/>
  <c r="EX59" i="4"/>
  <c r="EV59" i="4"/>
  <c r="EU59" i="4"/>
  <c r="ET59" i="4"/>
  <c r="ES59" i="4"/>
  <c r="ER59" i="4"/>
  <c r="EQ59" i="4"/>
  <c r="EO59" i="4"/>
  <c r="EN59" i="4"/>
  <c r="EM59" i="4"/>
  <c r="EL59" i="4"/>
  <c r="EK59" i="4"/>
  <c r="EJ59" i="4"/>
  <c r="EZ59" i="4" s="1"/>
  <c r="EH59" i="4"/>
  <c r="EG59" i="4"/>
  <c r="EF59" i="4"/>
  <c r="EE59" i="4"/>
  <c r="ED59" i="4"/>
  <c r="EC59" i="4"/>
  <c r="DM59" i="4"/>
  <c r="DL59" i="4"/>
  <c r="DK59" i="4"/>
  <c r="DJ59" i="4"/>
  <c r="DI59" i="4"/>
  <c r="DH59" i="4"/>
  <c r="BN59" i="4"/>
  <c r="CG59" i="4" s="1"/>
  <c r="CN59" i="4" s="1"/>
  <c r="BM59" i="4"/>
  <c r="CF59" i="4" s="1"/>
  <c r="CM59" i="4" s="1"/>
  <c r="BL59" i="4"/>
  <c r="CE59" i="4" s="1"/>
  <c r="CL59" i="4" s="1"/>
  <c r="BJ59" i="4"/>
  <c r="BG59" i="4"/>
  <c r="BF59" i="4"/>
  <c r="BE59" i="4"/>
  <c r="BD59" i="4"/>
  <c r="BC59" i="4"/>
  <c r="BB59" i="4"/>
  <c r="BA59" i="4"/>
  <c r="AZ59" i="4"/>
  <c r="BK59" i="4" s="1"/>
  <c r="AY59" i="4"/>
  <c r="AX59" i="4"/>
  <c r="AW59" i="4"/>
  <c r="AV59" i="4"/>
  <c r="BI59" i="4" s="1"/>
  <c r="AT59" i="4"/>
  <c r="AS59" i="4"/>
  <c r="AR59" i="4"/>
  <c r="AO59" i="4"/>
  <c r="AN59" i="4"/>
  <c r="AM59" i="4"/>
  <c r="AP59" i="4" s="1"/>
  <c r="GS58" i="4"/>
  <c r="GO58" i="4"/>
  <c r="GP58" i="4" s="1"/>
  <c r="GM58" i="4"/>
  <c r="GL58" i="4"/>
  <c r="GJ58" i="4"/>
  <c r="GI58" i="4"/>
  <c r="FZ58" i="4"/>
  <c r="FV58" i="4"/>
  <c r="FU58" i="4"/>
  <c r="FT58" i="4"/>
  <c r="FQ58" i="4"/>
  <c r="FO58" i="4"/>
  <c r="FK58" i="4"/>
  <c r="FI58" i="4"/>
  <c r="FL58" i="4" s="1"/>
  <c r="FH58" i="4"/>
  <c r="EX58" i="4"/>
  <c r="EV58" i="4"/>
  <c r="EU58" i="4"/>
  <c r="FA58" i="4" s="1"/>
  <c r="ET58" i="4"/>
  <c r="ES58" i="4"/>
  <c r="ER58" i="4"/>
  <c r="EQ58" i="4"/>
  <c r="EO58" i="4"/>
  <c r="EN58" i="4"/>
  <c r="EM58" i="4"/>
  <c r="EL58" i="4"/>
  <c r="EK58" i="4"/>
  <c r="EZ58" i="4" s="1"/>
  <c r="EJ58" i="4"/>
  <c r="EH58" i="4"/>
  <c r="EG58" i="4"/>
  <c r="EF58" i="4"/>
  <c r="EE58" i="4"/>
  <c r="ED58" i="4"/>
  <c r="EC58" i="4"/>
  <c r="DM58" i="4"/>
  <c r="DL58" i="4"/>
  <c r="DK58" i="4"/>
  <c r="DJ58" i="4"/>
  <c r="DI58" i="4"/>
  <c r="DH58" i="4"/>
  <c r="BN58" i="4"/>
  <c r="BM58" i="4"/>
  <c r="CF58" i="4" s="1"/>
  <c r="CM58" i="4" s="1"/>
  <c r="BL58" i="4"/>
  <c r="BG58" i="4"/>
  <c r="BF58" i="4"/>
  <c r="BE58" i="4"/>
  <c r="BD58" i="4"/>
  <c r="BC58" i="4"/>
  <c r="BB58" i="4"/>
  <c r="BA58" i="4"/>
  <c r="BK58" i="4" s="1"/>
  <c r="AZ58" i="4"/>
  <c r="AY58" i="4"/>
  <c r="AX58" i="4"/>
  <c r="BJ58" i="4" s="1"/>
  <c r="AW58" i="4"/>
  <c r="AV58" i="4"/>
  <c r="BI58" i="4" s="1"/>
  <c r="AT58" i="4"/>
  <c r="AS58" i="4"/>
  <c r="AR58" i="4"/>
  <c r="AO58" i="4"/>
  <c r="AN58" i="4"/>
  <c r="AM58" i="4"/>
  <c r="AP58" i="4" s="1"/>
  <c r="GS57" i="4"/>
  <c r="GO57" i="4"/>
  <c r="GM57" i="4"/>
  <c r="GL57" i="4"/>
  <c r="GJ57" i="4"/>
  <c r="GI57" i="4"/>
  <c r="FV57" i="4"/>
  <c r="FU57" i="4"/>
  <c r="FT57" i="4"/>
  <c r="FQ57" i="4"/>
  <c r="FO57" i="4"/>
  <c r="FL57" i="4"/>
  <c r="FK57" i="4"/>
  <c r="FI57" i="4"/>
  <c r="FH57" i="4"/>
  <c r="FB57" i="4"/>
  <c r="FA57" i="4"/>
  <c r="EX57" i="4"/>
  <c r="EV57" i="4"/>
  <c r="EU57" i="4"/>
  <c r="ET57" i="4"/>
  <c r="ES57" i="4"/>
  <c r="FF57" i="4" s="1"/>
  <c r="ER57" i="4"/>
  <c r="FE57" i="4" s="1"/>
  <c r="EQ57" i="4"/>
  <c r="FD57" i="4" s="1"/>
  <c r="EO57" i="4"/>
  <c r="EN57" i="4"/>
  <c r="EM57" i="4"/>
  <c r="EL57" i="4"/>
  <c r="EK57" i="4"/>
  <c r="EJ57" i="4"/>
  <c r="EZ57" i="4" s="1"/>
  <c r="EH57" i="4"/>
  <c r="EG57" i="4"/>
  <c r="EF57" i="4"/>
  <c r="EE57" i="4"/>
  <c r="ED57" i="4"/>
  <c r="EC57" i="4"/>
  <c r="DM57" i="4"/>
  <c r="DL57" i="4"/>
  <c r="DK57" i="4"/>
  <c r="DJ57" i="4"/>
  <c r="DI57" i="4"/>
  <c r="DH57" i="4"/>
  <c r="BN57" i="4"/>
  <c r="BM57" i="4"/>
  <c r="BG57" i="4"/>
  <c r="BF57" i="4"/>
  <c r="BE57" i="4"/>
  <c r="BD57" i="4"/>
  <c r="BC57" i="4"/>
  <c r="BL57" i="4" s="1"/>
  <c r="BB57" i="4"/>
  <c r="BA57" i="4"/>
  <c r="AZ57" i="4"/>
  <c r="AY57" i="4"/>
  <c r="BJ57" i="4" s="1"/>
  <c r="AX57" i="4"/>
  <c r="AW57" i="4"/>
  <c r="AV57" i="4"/>
  <c r="BI57" i="4" s="1"/>
  <c r="AT57" i="4"/>
  <c r="AS57" i="4"/>
  <c r="AR57" i="4"/>
  <c r="AO57" i="4"/>
  <c r="AN57" i="4"/>
  <c r="AM57" i="4"/>
  <c r="AP57" i="4" s="1"/>
  <c r="GS56" i="4"/>
  <c r="GO56" i="4"/>
  <c r="GM56" i="4"/>
  <c r="GL56" i="4"/>
  <c r="GJ56" i="4"/>
  <c r="GI56" i="4"/>
  <c r="FV56" i="4"/>
  <c r="FU56" i="4"/>
  <c r="FT56" i="4"/>
  <c r="FQ56" i="4"/>
  <c r="FO56" i="4"/>
  <c r="GB56" i="4" s="1"/>
  <c r="FK56" i="4"/>
  <c r="FI56" i="4"/>
  <c r="FL56" i="4" s="1"/>
  <c r="FH56" i="4"/>
  <c r="FC56" i="4"/>
  <c r="FA56" i="4"/>
  <c r="EX56" i="4"/>
  <c r="EV56" i="4"/>
  <c r="EU56" i="4"/>
  <c r="ET56" i="4"/>
  <c r="ES56" i="4"/>
  <c r="ER56" i="4"/>
  <c r="EQ56" i="4"/>
  <c r="FF56" i="4" s="1"/>
  <c r="EO56" i="4"/>
  <c r="EN56" i="4"/>
  <c r="EM56" i="4"/>
  <c r="EL56" i="4"/>
  <c r="EK56" i="4"/>
  <c r="EY56" i="4" s="1"/>
  <c r="EJ56" i="4"/>
  <c r="EH56" i="4"/>
  <c r="EG56" i="4"/>
  <c r="EF56" i="4"/>
  <c r="EE56" i="4"/>
  <c r="ED56" i="4"/>
  <c r="EC56" i="4"/>
  <c r="DM56" i="4"/>
  <c r="DL56" i="4"/>
  <c r="DK56" i="4"/>
  <c r="DJ56" i="4"/>
  <c r="DI56" i="4"/>
  <c r="DH56" i="4"/>
  <c r="CP56" i="4"/>
  <c r="CB56" i="4"/>
  <c r="CI56" i="4" s="1"/>
  <c r="CW56" i="4" s="1"/>
  <c r="BN56" i="4"/>
  <c r="BG56" i="4"/>
  <c r="BF56" i="4"/>
  <c r="BE56" i="4"/>
  <c r="BD56" i="4"/>
  <c r="BM56" i="4" s="1"/>
  <c r="BC56" i="4"/>
  <c r="BB56" i="4"/>
  <c r="BL56" i="4" s="1"/>
  <c r="BA56" i="4"/>
  <c r="BK56" i="4" s="1"/>
  <c r="AZ56" i="4"/>
  <c r="AY56" i="4"/>
  <c r="AX56" i="4"/>
  <c r="BJ56" i="4" s="1"/>
  <c r="AW56" i="4"/>
  <c r="AV56" i="4"/>
  <c r="BI56" i="4" s="1"/>
  <c r="AS56" i="4"/>
  <c r="AR56" i="4"/>
  <c r="AT56" i="4" s="1"/>
  <c r="AO56" i="4"/>
  <c r="AN56" i="4"/>
  <c r="AM56" i="4"/>
  <c r="AP56" i="4" s="1"/>
  <c r="GS55" i="4"/>
  <c r="GO55" i="4"/>
  <c r="GM55" i="4"/>
  <c r="GL55" i="4"/>
  <c r="GJ55" i="4"/>
  <c r="GI55" i="4"/>
  <c r="FX55" i="4"/>
  <c r="FV55" i="4"/>
  <c r="GA58" i="4" s="1"/>
  <c r="FU55" i="4"/>
  <c r="FT55" i="4"/>
  <c r="FQ55" i="4"/>
  <c r="FO55" i="4"/>
  <c r="GB55" i="4" s="1"/>
  <c r="FL55" i="4"/>
  <c r="FK55" i="4"/>
  <c r="FI55" i="4"/>
  <c r="FH55" i="4"/>
  <c r="FF55" i="4"/>
  <c r="FE55" i="4"/>
  <c r="FC55" i="4"/>
  <c r="FB55" i="4"/>
  <c r="EX55" i="4"/>
  <c r="EV55" i="4"/>
  <c r="EU55" i="4"/>
  <c r="ET55" i="4"/>
  <c r="ES55" i="4"/>
  <c r="ER55" i="4"/>
  <c r="FA55" i="4" s="1"/>
  <c r="EQ55" i="4"/>
  <c r="FD55" i="4" s="1"/>
  <c r="EO55" i="4"/>
  <c r="EN55" i="4"/>
  <c r="EM55" i="4"/>
  <c r="EL55" i="4"/>
  <c r="EK55" i="4"/>
  <c r="EY55" i="4" s="1"/>
  <c r="EJ55" i="4"/>
  <c r="EZ55" i="4" s="1"/>
  <c r="EH55" i="4"/>
  <c r="EG55" i="4"/>
  <c r="EF55" i="4"/>
  <c r="EE55" i="4"/>
  <c r="ED55" i="4"/>
  <c r="EC55" i="4"/>
  <c r="DM55" i="4"/>
  <c r="DL55" i="4"/>
  <c r="DK55" i="4"/>
  <c r="DJ55" i="4"/>
  <c r="DI55" i="4"/>
  <c r="DH55" i="4"/>
  <c r="BM55" i="4"/>
  <c r="BL55" i="4"/>
  <c r="BK55" i="4"/>
  <c r="BG55" i="4"/>
  <c r="BN55" i="4" s="1"/>
  <c r="BF55" i="4"/>
  <c r="BE55" i="4"/>
  <c r="BD55" i="4"/>
  <c r="BC55" i="4"/>
  <c r="BB55" i="4"/>
  <c r="BA55" i="4"/>
  <c r="AZ55" i="4"/>
  <c r="AY55" i="4"/>
  <c r="AX55" i="4"/>
  <c r="BJ55" i="4" s="1"/>
  <c r="AW55" i="4"/>
  <c r="AV55" i="4"/>
  <c r="BI55" i="4" s="1"/>
  <c r="AT55" i="4"/>
  <c r="AS55" i="4"/>
  <c r="AR55" i="4"/>
  <c r="AO55" i="4"/>
  <c r="AN55" i="4"/>
  <c r="AM55" i="4"/>
  <c r="AP55" i="4" s="1"/>
  <c r="GS54" i="4"/>
  <c r="GO54" i="4"/>
  <c r="GM54" i="4"/>
  <c r="GL54" i="4"/>
  <c r="GJ54" i="4"/>
  <c r="GI54" i="4"/>
  <c r="GB54" i="4"/>
  <c r="FX54" i="4"/>
  <c r="FV54" i="4"/>
  <c r="FU54" i="4"/>
  <c r="FT54" i="4"/>
  <c r="FQ54" i="4"/>
  <c r="FO54" i="4"/>
  <c r="FK54" i="4"/>
  <c r="FI54" i="4"/>
  <c r="FL54" i="4" s="1"/>
  <c r="FH54" i="4"/>
  <c r="EX54" i="4"/>
  <c r="EV54" i="4"/>
  <c r="EU54" i="4"/>
  <c r="ET54" i="4"/>
  <c r="ES54" i="4"/>
  <c r="ER54" i="4"/>
  <c r="EQ54" i="4"/>
  <c r="EO54" i="4"/>
  <c r="EN54" i="4"/>
  <c r="EM54" i="4"/>
  <c r="EL54" i="4"/>
  <c r="EK54" i="4"/>
  <c r="EJ54" i="4"/>
  <c r="EZ54" i="4" s="1"/>
  <c r="EH54" i="4"/>
  <c r="EG54" i="4"/>
  <c r="EF54" i="4"/>
  <c r="EE54" i="4"/>
  <c r="ED54" i="4"/>
  <c r="EC54" i="4"/>
  <c r="DM54" i="4"/>
  <c r="DL54" i="4"/>
  <c r="DK54" i="4"/>
  <c r="DJ54" i="4"/>
  <c r="DI54" i="4"/>
  <c r="DH54" i="4"/>
  <c r="BN54" i="4"/>
  <c r="BM54" i="4"/>
  <c r="BG54" i="4"/>
  <c r="BF54" i="4"/>
  <c r="BE54" i="4"/>
  <c r="BD54" i="4"/>
  <c r="BC54" i="4"/>
  <c r="BB54" i="4"/>
  <c r="BL54" i="4" s="1"/>
  <c r="BA54" i="4"/>
  <c r="AZ54" i="4"/>
  <c r="AY54" i="4"/>
  <c r="AX54" i="4"/>
  <c r="BJ54" i="4" s="1"/>
  <c r="AW54" i="4"/>
  <c r="AV54" i="4"/>
  <c r="BI54" i="4" s="1"/>
  <c r="AS54" i="4"/>
  <c r="AR54" i="4"/>
  <c r="AT54" i="4" s="1"/>
  <c r="AO54" i="4"/>
  <c r="AN54" i="4"/>
  <c r="AM54" i="4"/>
  <c r="GS53" i="4"/>
  <c r="GO53" i="4"/>
  <c r="GM53" i="4"/>
  <c r="GL53" i="4"/>
  <c r="GJ53" i="4"/>
  <c r="GI53" i="4"/>
  <c r="FV53" i="4"/>
  <c r="GA53" i="4" s="1"/>
  <c r="FU53" i="4"/>
  <c r="FT53" i="4"/>
  <c r="FQ53" i="4"/>
  <c r="FO53" i="4"/>
  <c r="FL53" i="4"/>
  <c r="FI53" i="4"/>
  <c r="FH53" i="4"/>
  <c r="FK53" i="4" s="1"/>
  <c r="FE53" i="4"/>
  <c r="FC53" i="4"/>
  <c r="FB53" i="4"/>
  <c r="FA53" i="4"/>
  <c r="EX53" i="4"/>
  <c r="EV53" i="4"/>
  <c r="EU53" i="4"/>
  <c r="ET53" i="4"/>
  <c r="ES53" i="4"/>
  <c r="ER53" i="4"/>
  <c r="FF53" i="4" s="1"/>
  <c r="EQ53" i="4"/>
  <c r="FD53" i="4" s="1"/>
  <c r="EO53" i="4"/>
  <c r="EN53" i="4"/>
  <c r="EM53" i="4"/>
  <c r="EL53" i="4"/>
  <c r="EK53" i="4"/>
  <c r="EJ53" i="4"/>
  <c r="EZ53" i="4" s="1"/>
  <c r="EH53" i="4"/>
  <c r="EG53" i="4"/>
  <c r="EF53" i="4"/>
  <c r="EE53" i="4"/>
  <c r="ED53" i="4"/>
  <c r="EC53" i="4"/>
  <c r="DM53" i="4"/>
  <c r="DL53" i="4"/>
  <c r="DK53" i="4"/>
  <c r="DJ53" i="4"/>
  <c r="DI53" i="4"/>
  <c r="DH53" i="4"/>
  <c r="BM53" i="4"/>
  <c r="BL53" i="4"/>
  <c r="BG53" i="4"/>
  <c r="BF53" i="4"/>
  <c r="BN53" i="4" s="1"/>
  <c r="BE53" i="4"/>
  <c r="BD53" i="4"/>
  <c r="BC53" i="4"/>
  <c r="BB53" i="4"/>
  <c r="BA53" i="4"/>
  <c r="AZ53" i="4"/>
  <c r="BK53" i="4" s="1"/>
  <c r="AY53" i="4"/>
  <c r="AX53" i="4"/>
  <c r="AW53" i="4"/>
  <c r="AV53" i="4"/>
  <c r="BI53" i="4" s="1"/>
  <c r="AS53" i="4"/>
  <c r="AR53" i="4"/>
  <c r="AT53" i="4" s="1"/>
  <c r="AO53" i="4"/>
  <c r="AN53" i="4"/>
  <c r="AP53" i="4" s="1"/>
  <c r="AM53" i="4"/>
  <c r="GS52" i="4"/>
  <c r="GO52" i="4"/>
  <c r="GM52" i="4"/>
  <c r="GL52" i="4"/>
  <c r="GJ52" i="4"/>
  <c r="GI52" i="4"/>
  <c r="FV52" i="4"/>
  <c r="GA52" i="4" s="1"/>
  <c r="FU52" i="4"/>
  <c r="FT52" i="4"/>
  <c r="FQ52" i="4"/>
  <c r="FO52" i="4"/>
  <c r="FL52" i="4"/>
  <c r="FI52" i="4"/>
  <c r="FH52" i="4"/>
  <c r="FK52" i="4" s="1"/>
  <c r="FC52" i="4"/>
  <c r="FB52" i="4"/>
  <c r="EX52" i="4"/>
  <c r="EV52" i="4"/>
  <c r="EU52" i="4"/>
  <c r="ET52" i="4"/>
  <c r="ES52" i="4"/>
  <c r="ER52" i="4"/>
  <c r="EQ52" i="4"/>
  <c r="FF52" i="4" s="1"/>
  <c r="EO52" i="4"/>
  <c r="EN52" i="4"/>
  <c r="EM52" i="4"/>
  <c r="EL52" i="4"/>
  <c r="EZ52" i="4" s="1"/>
  <c r="EK52" i="4"/>
  <c r="EY52" i="4" s="1"/>
  <c r="EJ52" i="4"/>
  <c r="EH52" i="4"/>
  <c r="EG52" i="4"/>
  <c r="EF52" i="4"/>
  <c r="EE52" i="4"/>
  <c r="ED52" i="4"/>
  <c r="EC52" i="4"/>
  <c r="DM52" i="4"/>
  <c r="DL52" i="4"/>
  <c r="DK52" i="4"/>
  <c r="DJ52" i="4"/>
  <c r="DI52" i="4"/>
  <c r="DH52" i="4"/>
  <c r="BN52" i="4"/>
  <c r="BJ52" i="4"/>
  <c r="BG52" i="4"/>
  <c r="BF52" i="4"/>
  <c r="BE52" i="4"/>
  <c r="BD52" i="4"/>
  <c r="BM52" i="4" s="1"/>
  <c r="BC52" i="4"/>
  <c r="BB52" i="4"/>
  <c r="BL52" i="4" s="1"/>
  <c r="BA52" i="4"/>
  <c r="AZ52" i="4"/>
  <c r="AY52" i="4"/>
  <c r="AX52" i="4"/>
  <c r="AW52" i="4"/>
  <c r="AV52" i="4"/>
  <c r="BI52" i="4" s="1"/>
  <c r="AS52" i="4"/>
  <c r="AR52" i="4"/>
  <c r="AT52" i="4" s="1"/>
  <c r="AO52" i="4"/>
  <c r="AN52" i="4"/>
  <c r="AM52" i="4"/>
  <c r="AP52" i="4" s="1"/>
  <c r="GS51" i="4"/>
  <c r="GO51" i="4"/>
  <c r="GM51" i="4"/>
  <c r="GL51" i="4"/>
  <c r="GJ51" i="4"/>
  <c r="GI51" i="4"/>
  <c r="FX51" i="4"/>
  <c r="FV51" i="4"/>
  <c r="GA51" i="4" s="1"/>
  <c r="FU51" i="4"/>
  <c r="FT51" i="4"/>
  <c r="FQ51" i="4"/>
  <c r="FO51" i="4"/>
  <c r="GB51" i="4" s="1"/>
  <c r="FI51" i="4"/>
  <c r="FL51" i="4" s="1"/>
  <c r="FH51" i="4"/>
  <c r="FK51" i="4" s="1"/>
  <c r="FB51" i="4"/>
  <c r="FA51" i="4"/>
  <c r="EX51" i="4"/>
  <c r="EV51" i="4"/>
  <c r="EU51" i="4"/>
  <c r="ET51" i="4"/>
  <c r="ES51" i="4"/>
  <c r="ER51" i="4"/>
  <c r="FE51" i="4" s="1"/>
  <c r="EQ51" i="4"/>
  <c r="FF51" i="4" s="1"/>
  <c r="EO51" i="4"/>
  <c r="EN51" i="4"/>
  <c r="EM51" i="4"/>
  <c r="EL51" i="4"/>
  <c r="EK51" i="4"/>
  <c r="EJ51" i="4"/>
  <c r="EH51" i="4"/>
  <c r="EG51" i="4"/>
  <c r="EF51" i="4"/>
  <c r="EE51" i="4"/>
  <c r="ED51" i="4"/>
  <c r="EC51" i="4"/>
  <c r="DM51" i="4"/>
  <c r="DL51" i="4"/>
  <c r="DK51" i="4"/>
  <c r="DJ51" i="4"/>
  <c r="DI51" i="4"/>
  <c r="DH51" i="4"/>
  <c r="CD51" i="4"/>
  <c r="CK51" i="4" s="1"/>
  <c r="CC51" i="4"/>
  <c r="CJ51" i="4" s="1"/>
  <c r="BK51" i="4"/>
  <c r="BJ51" i="4"/>
  <c r="BG51" i="4"/>
  <c r="BF51" i="4"/>
  <c r="BN51" i="4" s="1"/>
  <c r="BE51" i="4"/>
  <c r="BD51" i="4"/>
  <c r="BM51" i="4" s="1"/>
  <c r="BC51" i="4"/>
  <c r="BL51" i="4" s="1"/>
  <c r="BB51" i="4"/>
  <c r="BA51" i="4"/>
  <c r="AZ51" i="4"/>
  <c r="AY51" i="4"/>
  <c r="AX51" i="4"/>
  <c r="AW51" i="4"/>
  <c r="AV51" i="4"/>
  <c r="BI51" i="4" s="1"/>
  <c r="AT51" i="4"/>
  <c r="AS51" i="4"/>
  <c r="AR51" i="4"/>
  <c r="AO51" i="4"/>
  <c r="AP51" i="4" s="1"/>
  <c r="AN51" i="4"/>
  <c r="AM51" i="4"/>
  <c r="GS50" i="4"/>
  <c r="GO50" i="4"/>
  <c r="GM50" i="4"/>
  <c r="GL50" i="4"/>
  <c r="GJ50" i="4"/>
  <c r="GI50" i="4"/>
  <c r="GB50" i="4"/>
  <c r="FX50" i="4"/>
  <c r="FV50" i="4"/>
  <c r="FU50" i="4"/>
  <c r="FT50" i="4"/>
  <c r="FQ50" i="4"/>
  <c r="FO50" i="4"/>
  <c r="FI50" i="4"/>
  <c r="FL50" i="4" s="1"/>
  <c r="FH50" i="4"/>
  <c r="FK50" i="4" s="1"/>
  <c r="EX50" i="4"/>
  <c r="EV50" i="4"/>
  <c r="EU50" i="4"/>
  <c r="ET50" i="4"/>
  <c r="ES50" i="4"/>
  <c r="ER50" i="4"/>
  <c r="EQ50" i="4"/>
  <c r="EO50" i="4"/>
  <c r="EN50" i="4"/>
  <c r="EM50" i="4"/>
  <c r="EL50" i="4"/>
  <c r="EK50" i="4"/>
  <c r="EJ50" i="4"/>
  <c r="EZ50" i="4" s="1"/>
  <c r="EH50" i="4"/>
  <c r="EG50" i="4"/>
  <c r="EF50" i="4"/>
  <c r="EE50" i="4"/>
  <c r="ED50" i="4"/>
  <c r="EC50" i="4"/>
  <c r="DM50" i="4"/>
  <c r="DL50" i="4"/>
  <c r="DK50" i="4"/>
  <c r="DJ50" i="4"/>
  <c r="DI50" i="4"/>
  <c r="DH50" i="4"/>
  <c r="CE50" i="4"/>
  <c r="CL50" i="4" s="1"/>
  <c r="CZ50" i="4" s="1"/>
  <c r="BL50" i="4"/>
  <c r="BK50" i="4"/>
  <c r="CD50" i="4" s="1"/>
  <c r="CK50" i="4" s="1"/>
  <c r="BJ50" i="4"/>
  <c r="BG50" i="4"/>
  <c r="BF50" i="4"/>
  <c r="BN50" i="4" s="1"/>
  <c r="BE50" i="4"/>
  <c r="BM50" i="4" s="1"/>
  <c r="BD50" i="4"/>
  <c r="BC50" i="4"/>
  <c r="BB50" i="4"/>
  <c r="BA50" i="4"/>
  <c r="AZ50" i="4"/>
  <c r="AY50" i="4"/>
  <c r="AX50" i="4"/>
  <c r="AW50" i="4"/>
  <c r="AV50" i="4"/>
  <c r="BI50" i="4" s="1"/>
  <c r="AS50" i="4"/>
  <c r="AR50" i="4"/>
  <c r="AO50" i="4"/>
  <c r="AN50" i="4"/>
  <c r="AM50" i="4"/>
  <c r="AP50" i="4" s="1"/>
  <c r="GS49" i="4"/>
  <c r="GO49" i="4"/>
  <c r="GM49" i="4"/>
  <c r="GL49" i="4"/>
  <c r="GJ49" i="4"/>
  <c r="GI49" i="4"/>
  <c r="FX49" i="4"/>
  <c r="FV49" i="4"/>
  <c r="FU49" i="4"/>
  <c r="FT49" i="4"/>
  <c r="FQ49" i="4"/>
  <c r="FO49" i="4"/>
  <c r="GB49" i="4" s="1"/>
  <c r="FK49" i="4"/>
  <c r="FI49" i="4"/>
  <c r="FL49" i="4" s="1"/>
  <c r="FH49" i="4"/>
  <c r="EX49" i="4"/>
  <c r="EV49" i="4"/>
  <c r="EU49" i="4"/>
  <c r="ET49" i="4"/>
  <c r="ES49" i="4"/>
  <c r="ER49" i="4"/>
  <c r="EQ49" i="4"/>
  <c r="EO49" i="4"/>
  <c r="EN49" i="4"/>
  <c r="EM49" i="4"/>
  <c r="EL49" i="4"/>
  <c r="EK49" i="4"/>
  <c r="EY49" i="4" s="1"/>
  <c r="EJ49" i="4"/>
  <c r="EH49" i="4"/>
  <c r="EG49" i="4"/>
  <c r="EF49" i="4"/>
  <c r="EE49" i="4"/>
  <c r="ED49" i="4"/>
  <c r="EC49" i="4"/>
  <c r="DM49" i="4"/>
  <c r="DL49" i="4"/>
  <c r="DK49" i="4"/>
  <c r="DJ49" i="4"/>
  <c r="DI49" i="4"/>
  <c r="DH49" i="4"/>
  <c r="BM49" i="4"/>
  <c r="CF49" i="4" s="1"/>
  <c r="CM49" i="4" s="1"/>
  <c r="BL49" i="4"/>
  <c r="BK49" i="4"/>
  <c r="BG49" i="4"/>
  <c r="BN49" i="4" s="1"/>
  <c r="BF49" i="4"/>
  <c r="BE49" i="4"/>
  <c r="BD49" i="4"/>
  <c r="BC49" i="4"/>
  <c r="BB49" i="4"/>
  <c r="BA49" i="4"/>
  <c r="AZ49" i="4"/>
  <c r="AY49" i="4"/>
  <c r="AX49" i="4"/>
  <c r="AW49" i="4"/>
  <c r="AV49" i="4"/>
  <c r="BI49" i="4" s="1"/>
  <c r="AT49" i="4"/>
  <c r="AS49" i="4"/>
  <c r="AR49" i="4"/>
  <c r="AO49" i="4"/>
  <c r="AN49" i="4"/>
  <c r="AM49" i="4"/>
  <c r="AP49" i="4" s="1"/>
  <c r="GS48" i="4"/>
  <c r="GO48" i="4"/>
  <c r="GM48" i="4"/>
  <c r="GL48" i="4"/>
  <c r="GJ48" i="4"/>
  <c r="GI48" i="4"/>
  <c r="GB48" i="4"/>
  <c r="FV48" i="4"/>
  <c r="FU48" i="4"/>
  <c r="FT48" i="4"/>
  <c r="FQ48" i="4"/>
  <c r="FO48" i="4"/>
  <c r="FX48" i="4" s="1"/>
  <c r="FL48" i="4"/>
  <c r="FI48" i="4"/>
  <c r="FH48" i="4"/>
  <c r="FK48" i="4" s="1"/>
  <c r="FA48" i="4"/>
  <c r="EX48" i="4"/>
  <c r="EV48" i="4"/>
  <c r="EU48" i="4"/>
  <c r="ET48" i="4"/>
  <c r="ES48" i="4"/>
  <c r="ER48" i="4"/>
  <c r="EQ48" i="4"/>
  <c r="FD48" i="4" s="1"/>
  <c r="EO48" i="4"/>
  <c r="EN48" i="4"/>
  <c r="EM48" i="4"/>
  <c r="EL48" i="4"/>
  <c r="EK48" i="4"/>
  <c r="EJ48" i="4"/>
  <c r="EH48" i="4"/>
  <c r="EG48" i="4"/>
  <c r="EF48" i="4"/>
  <c r="EE48" i="4"/>
  <c r="ED48" i="4"/>
  <c r="EC48" i="4"/>
  <c r="DM48" i="4"/>
  <c r="DL48" i="4"/>
  <c r="DK48" i="4"/>
  <c r="DJ48" i="4"/>
  <c r="DI48" i="4"/>
  <c r="DH48" i="4"/>
  <c r="BN48" i="4"/>
  <c r="BM48" i="4"/>
  <c r="BK48" i="4"/>
  <c r="BG48" i="4"/>
  <c r="BF48" i="4"/>
  <c r="BE48" i="4"/>
  <c r="BD48" i="4"/>
  <c r="BC48" i="4"/>
  <c r="BB48" i="4"/>
  <c r="BA48" i="4"/>
  <c r="AZ48" i="4"/>
  <c r="AY48" i="4"/>
  <c r="AX48" i="4"/>
  <c r="BJ48" i="4" s="1"/>
  <c r="AW48" i="4"/>
  <c r="AV48" i="4"/>
  <c r="AS48" i="4"/>
  <c r="AR48" i="4"/>
  <c r="AT48" i="4" s="1"/>
  <c r="AO48" i="4"/>
  <c r="AN48" i="4"/>
  <c r="AM48" i="4"/>
  <c r="GS47" i="4"/>
  <c r="GO47" i="4"/>
  <c r="GM47" i="4"/>
  <c r="GL47" i="4"/>
  <c r="GJ47" i="4"/>
  <c r="GI47" i="4"/>
  <c r="GB47" i="4"/>
  <c r="FV47" i="4"/>
  <c r="FU47" i="4"/>
  <c r="FT47" i="4"/>
  <c r="FQ47" i="4"/>
  <c r="FO47" i="4"/>
  <c r="FX47" i="4" s="1"/>
  <c r="FL47" i="4"/>
  <c r="FK47" i="4"/>
  <c r="FI47" i="4"/>
  <c r="FH47" i="4"/>
  <c r="FC47" i="4"/>
  <c r="FB47" i="4"/>
  <c r="FA47" i="4"/>
  <c r="EZ47" i="4"/>
  <c r="EX47" i="4"/>
  <c r="EV47" i="4"/>
  <c r="EU47" i="4"/>
  <c r="ET47" i="4"/>
  <c r="ES47" i="4"/>
  <c r="ER47" i="4"/>
  <c r="EQ47" i="4"/>
  <c r="FF47" i="4" s="1"/>
  <c r="EO47" i="4"/>
  <c r="EN47" i="4"/>
  <c r="EM47" i="4"/>
  <c r="EL47" i="4"/>
  <c r="EK47" i="4"/>
  <c r="EJ47" i="4"/>
  <c r="EH47" i="4"/>
  <c r="EG47" i="4"/>
  <c r="EF47" i="4"/>
  <c r="EE47" i="4"/>
  <c r="ED47" i="4"/>
  <c r="EC47" i="4"/>
  <c r="DM47" i="4"/>
  <c r="DL47" i="4"/>
  <c r="DK47" i="4"/>
  <c r="DJ47" i="4"/>
  <c r="DI47" i="4"/>
  <c r="DH47" i="4"/>
  <c r="CP47" i="4"/>
  <c r="CB47" i="4"/>
  <c r="CI47" i="4" s="1"/>
  <c r="CW47" i="4" s="1"/>
  <c r="BL47" i="4"/>
  <c r="BG47" i="4"/>
  <c r="BN47" i="4" s="1"/>
  <c r="BF47" i="4"/>
  <c r="BE47" i="4"/>
  <c r="BD47" i="4"/>
  <c r="BM47" i="4" s="1"/>
  <c r="BC47" i="4"/>
  <c r="BB47" i="4"/>
  <c r="BA47" i="4"/>
  <c r="BK47" i="4" s="1"/>
  <c r="AZ47" i="4"/>
  <c r="AY47" i="4"/>
  <c r="AX47" i="4"/>
  <c r="AW47" i="4"/>
  <c r="AV47" i="4"/>
  <c r="BI47" i="4" s="1"/>
  <c r="AS47" i="4"/>
  <c r="AR47" i="4"/>
  <c r="AT47" i="4" s="1"/>
  <c r="AP47" i="4"/>
  <c r="AO47" i="4"/>
  <c r="AN47" i="4"/>
  <c r="AM47" i="4"/>
  <c r="GS46" i="4"/>
  <c r="GO46" i="4"/>
  <c r="GM46" i="4"/>
  <c r="GL46" i="4"/>
  <c r="GJ46" i="4"/>
  <c r="GI46" i="4"/>
  <c r="GB46" i="4"/>
  <c r="FX46" i="4"/>
  <c r="FV46" i="4"/>
  <c r="FU46" i="4"/>
  <c r="FT46" i="4"/>
  <c r="FQ46" i="4"/>
  <c r="FO46" i="4"/>
  <c r="FL46" i="4"/>
  <c r="FI46" i="4"/>
  <c r="FH46" i="4"/>
  <c r="FK46" i="4" s="1"/>
  <c r="FC46" i="4"/>
  <c r="FA46" i="4"/>
  <c r="EZ46" i="4"/>
  <c r="EX46" i="4"/>
  <c r="EV46" i="4"/>
  <c r="EU46" i="4"/>
  <c r="ET46" i="4"/>
  <c r="ES46" i="4"/>
  <c r="ER46" i="4"/>
  <c r="FE46" i="4" s="1"/>
  <c r="EQ46" i="4"/>
  <c r="FF46" i="4" s="1"/>
  <c r="EO46" i="4"/>
  <c r="EN46" i="4"/>
  <c r="EM46" i="4"/>
  <c r="EL46" i="4"/>
  <c r="EK46" i="4"/>
  <c r="EJ46" i="4"/>
  <c r="EH46" i="4"/>
  <c r="EG46" i="4"/>
  <c r="EF46" i="4"/>
  <c r="EE46" i="4"/>
  <c r="ED46" i="4"/>
  <c r="EC46" i="4"/>
  <c r="DM46" i="4"/>
  <c r="DL46" i="4"/>
  <c r="DK46" i="4"/>
  <c r="DJ46" i="4"/>
  <c r="DI46" i="4"/>
  <c r="DH46" i="4"/>
  <c r="CG46" i="4"/>
  <c r="CN46" i="4" s="1"/>
  <c r="CU46" i="4" s="1"/>
  <c r="BN46" i="4"/>
  <c r="BM46" i="4"/>
  <c r="BJ46" i="4"/>
  <c r="BG46" i="4"/>
  <c r="BF46" i="4"/>
  <c r="BE46" i="4"/>
  <c r="BD46" i="4"/>
  <c r="BC46" i="4"/>
  <c r="BB46" i="4"/>
  <c r="BL46" i="4" s="1"/>
  <c r="BA46" i="4"/>
  <c r="AZ46" i="4"/>
  <c r="AY46" i="4"/>
  <c r="AX46" i="4"/>
  <c r="AW46" i="4"/>
  <c r="AV46" i="4"/>
  <c r="BI46" i="4" s="1"/>
  <c r="AS46" i="4"/>
  <c r="AR46" i="4"/>
  <c r="AT46" i="4" s="1"/>
  <c r="AO46" i="4"/>
  <c r="AN46" i="4"/>
  <c r="AM46" i="4"/>
  <c r="AP46" i="4" s="1"/>
  <c r="GS45" i="4"/>
  <c r="GO45" i="4"/>
  <c r="GM45" i="4"/>
  <c r="GL45" i="4"/>
  <c r="GJ45" i="4"/>
  <c r="GI45" i="4"/>
  <c r="GA45" i="4"/>
  <c r="FV45" i="4"/>
  <c r="FU45" i="4"/>
  <c r="FT45" i="4"/>
  <c r="GD46" i="4" s="1"/>
  <c r="FQ45" i="4"/>
  <c r="FO45" i="4"/>
  <c r="FX45" i="4" s="1"/>
  <c r="FK45" i="4"/>
  <c r="FI45" i="4"/>
  <c r="FL45" i="4" s="1"/>
  <c r="FH45" i="4"/>
  <c r="EX45" i="4"/>
  <c r="EV45" i="4"/>
  <c r="EU45" i="4"/>
  <c r="ET45" i="4"/>
  <c r="ES45" i="4"/>
  <c r="ER45" i="4"/>
  <c r="FE45" i="4" s="1"/>
  <c r="EQ45" i="4"/>
  <c r="FF45" i="4" s="1"/>
  <c r="EO45" i="4"/>
  <c r="EN45" i="4"/>
  <c r="EM45" i="4"/>
  <c r="EL45" i="4"/>
  <c r="EK45" i="4"/>
  <c r="EZ45" i="4" s="1"/>
  <c r="EJ45" i="4"/>
  <c r="EH45" i="4"/>
  <c r="EG45" i="4"/>
  <c r="EF45" i="4"/>
  <c r="EE45" i="4"/>
  <c r="ED45" i="4"/>
  <c r="EC45" i="4"/>
  <c r="DM45" i="4"/>
  <c r="DL45" i="4"/>
  <c r="DK45" i="4"/>
  <c r="DJ45" i="4"/>
  <c r="DI45" i="4"/>
  <c r="DH45" i="4"/>
  <c r="BN45" i="4"/>
  <c r="CG45" i="4" s="1"/>
  <c r="CN45" i="4" s="1"/>
  <c r="BL45" i="4"/>
  <c r="BK45" i="4"/>
  <c r="BG45" i="4"/>
  <c r="BF45" i="4"/>
  <c r="BE45" i="4"/>
  <c r="BD45" i="4"/>
  <c r="BM45" i="4" s="1"/>
  <c r="BC45" i="4"/>
  <c r="BB45" i="4"/>
  <c r="BA45" i="4"/>
  <c r="AZ45" i="4"/>
  <c r="AY45" i="4"/>
  <c r="AX45" i="4"/>
  <c r="AW45" i="4"/>
  <c r="AV45" i="4"/>
  <c r="BI45" i="4" s="1"/>
  <c r="AS45" i="4"/>
  <c r="AR45" i="4"/>
  <c r="AT45" i="4" s="1"/>
  <c r="AO45" i="4"/>
  <c r="AN45" i="4"/>
  <c r="AM45" i="4"/>
  <c r="AP45" i="4" s="1"/>
  <c r="GS44" i="4"/>
  <c r="GO44" i="4"/>
  <c r="GM44" i="4"/>
  <c r="GL44" i="4"/>
  <c r="GJ44" i="4"/>
  <c r="GI44" i="4"/>
  <c r="FV44" i="4"/>
  <c r="FU44" i="4"/>
  <c r="FT44" i="4"/>
  <c r="FQ44" i="4"/>
  <c r="FO44" i="4"/>
  <c r="FX44" i="4" s="1"/>
  <c r="FL44" i="4"/>
  <c r="FI44" i="4"/>
  <c r="FH44" i="4"/>
  <c r="FK44" i="4" s="1"/>
  <c r="FA44" i="4"/>
  <c r="EX44" i="4"/>
  <c r="EV44" i="4"/>
  <c r="EU44" i="4"/>
  <c r="ET44" i="4"/>
  <c r="ES44" i="4"/>
  <c r="ER44" i="4"/>
  <c r="FE44" i="4" s="1"/>
  <c r="EQ44" i="4"/>
  <c r="FF44" i="4" s="1"/>
  <c r="EO44" i="4"/>
  <c r="EN44" i="4"/>
  <c r="EM44" i="4"/>
  <c r="EL44" i="4"/>
  <c r="EK44" i="4"/>
  <c r="EJ44" i="4"/>
  <c r="EZ44" i="4" s="1"/>
  <c r="EH44" i="4"/>
  <c r="EG44" i="4"/>
  <c r="EF44" i="4"/>
  <c r="EE44" i="4"/>
  <c r="ED44" i="4"/>
  <c r="EC44" i="4"/>
  <c r="DM44" i="4"/>
  <c r="DL44" i="4"/>
  <c r="DK44" i="4"/>
  <c r="DJ44" i="4"/>
  <c r="DI44" i="4"/>
  <c r="DH44" i="4"/>
  <c r="CC44" i="4"/>
  <c r="CJ44" i="4" s="1"/>
  <c r="BN44" i="4"/>
  <c r="BM44" i="4"/>
  <c r="BJ44" i="4"/>
  <c r="BG44" i="4"/>
  <c r="BF44" i="4"/>
  <c r="BE44" i="4"/>
  <c r="BD44" i="4"/>
  <c r="BC44" i="4"/>
  <c r="BL44" i="4" s="1"/>
  <c r="BB44" i="4"/>
  <c r="BA44" i="4"/>
  <c r="AZ44" i="4"/>
  <c r="AY44" i="4"/>
  <c r="AX44" i="4"/>
  <c r="AW44" i="4"/>
  <c r="AV44" i="4"/>
  <c r="BI44" i="4" s="1"/>
  <c r="AT44" i="4"/>
  <c r="AS44" i="4"/>
  <c r="AR44" i="4"/>
  <c r="AO44" i="4"/>
  <c r="AN44" i="4"/>
  <c r="AM44" i="4"/>
  <c r="AP44" i="4" s="1"/>
  <c r="GS43" i="4"/>
  <c r="GO43" i="4"/>
  <c r="GM43" i="4"/>
  <c r="GL43" i="4"/>
  <c r="GJ43" i="4"/>
  <c r="GI43" i="4"/>
  <c r="FX43" i="4"/>
  <c r="FV43" i="4"/>
  <c r="FU43" i="4"/>
  <c r="FT43" i="4"/>
  <c r="FZ43" i="4" s="1"/>
  <c r="FQ43" i="4"/>
  <c r="FO43" i="4"/>
  <c r="GB43" i="4" s="1"/>
  <c r="FI43" i="4"/>
  <c r="FL43" i="4" s="1"/>
  <c r="FH43" i="4"/>
  <c r="FK43" i="4" s="1"/>
  <c r="FA43" i="4"/>
  <c r="EX43" i="4"/>
  <c r="EV43" i="4"/>
  <c r="EU43" i="4"/>
  <c r="ET43" i="4"/>
  <c r="FC43" i="4" s="1"/>
  <c r="ES43" i="4"/>
  <c r="FF43" i="4" s="1"/>
  <c r="ER43" i="4"/>
  <c r="EQ43" i="4"/>
  <c r="FE43" i="4" s="1"/>
  <c r="EO43" i="4"/>
  <c r="EN43" i="4"/>
  <c r="EM43" i="4"/>
  <c r="EZ43" i="4" s="1"/>
  <c r="EL43" i="4"/>
  <c r="EK43" i="4"/>
  <c r="EJ43" i="4"/>
  <c r="EH43" i="4"/>
  <c r="EG43" i="4"/>
  <c r="EF43" i="4"/>
  <c r="EE43" i="4"/>
  <c r="ED43" i="4"/>
  <c r="EC43" i="4"/>
  <c r="DM43" i="4"/>
  <c r="DL43" i="4"/>
  <c r="DK43" i="4"/>
  <c r="DJ43" i="4"/>
  <c r="DI43" i="4"/>
  <c r="DH43" i="4"/>
  <c r="CQ43" i="4"/>
  <c r="CC43" i="4"/>
  <c r="CJ43" i="4" s="1"/>
  <c r="CX43" i="4" s="1"/>
  <c r="BK43" i="4"/>
  <c r="BJ43" i="4"/>
  <c r="BG43" i="4"/>
  <c r="BF43" i="4"/>
  <c r="BN43" i="4" s="1"/>
  <c r="BE43" i="4"/>
  <c r="BM43" i="4" s="1"/>
  <c r="BD43" i="4"/>
  <c r="BC43" i="4"/>
  <c r="BB43" i="4"/>
  <c r="BA43" i="4"/>
  <c r="AZ43" i="4"/>
  <c r="AY43" i="4"/>
  <c r="AX43" i="4"/>
  <c r="AW43" i="4"/>
  <c r="AV43" i="4"/>
  <c r="BI43" i="4" s="1"/>
  <c r="AS43" i="4"/>
  <c r="AR43" i="4"/>
  <c r="AT43" i="4" s="1"/>
  <c r="AO43" i="4"/>
  <c r="AN43" i="4"/>
  <c r="AM43" i="4"/>
  <c r="AP43" i="4" s="1"/>
  <c r="GS42" i="4"/>
  <c r="GO42" i="4"/>
  <c r="GM42" i="4"/>
  <c r="GL42" i="4"/>
  <c r="GJ42" i="4"/>
  <c r="GI42" i="4"/>
  <c r="FV42" i="4"/>
  <c r="FU42" i="4"/>
  <c r="FT42" i="4"/>
  <c r="FZ45" i="4" s="1"/>
  <c r="FQ42" i="4"/>
  <c r="FO42" i="4"/>
  <c r="GB42" i="4" s="1"/>
  <c r="FK42" i="4"/>
  <c r="FI42" i="4"/>
  <c r="FL42" i="4" s="1"/>
  <c r="FH42" i="4"/>
  <c r="FC42" i="4"/>
  <c r="FB42" i="4"/>
  <c r="EX42" i="4"/>
  <c r="EV42" i="4"/>
  <c r="EU42" i="4"/>
  <c r="ET42" i="4"/>
  <c r="ES42" i="4"/>
  <c r="ER42" i="4"/>
  <c r="FA42" i="4" s="1"/>
  <c r="EQ42" i="4"/>
  <c r="FD42" i="4" s="1"/>
  <c r="EO42" i="4"/>
  <c r="EN42" i="4"/>
  <c r="EM42" i="4"/>
  <c r="EL42" i="4"/>
  <c r="EK42" i="4"/>
  <c r="EY42" i="4" s="1"/>
  <c r="EJ42" i="4"/>
  <c r="EZ42" i="4" s="1"/>
  <c r="EH42" i="4"/>
  <c r="EG42" i="4"/>
  <c r="EF42" i="4"/>
  <c r="EE42" i="4"/>
  <c r="ED42" i="4"/>
  <c r="EC42" i="4"/>
  <c r="DM42" i="4"/>
  <c r="DL42" i="4"/>
  <c r="DK42" i="4"/>
  <c r="DJ42" i="4"/>
  <c r="DI42" i="4"/>
  <c r="DH42" i="4"/>
  <c r="CE42" i="4"/>
  <c r="CL42" i="4" s="1"/>
  <c r="CD42" i="4"/>
  <c r="CK42" i="4" s="1"/>
  <c r="BN42" i="4"/>
  <c r="BL42" i="4"/>
  <c r="BG42" i="4"/>
  <c r="BF42" i="4"/>
  <c r="BE42" i="4"/>
  <c r="BD42" i="4"/>
  <c r="BM42" i="4" s="1"/>
  <c r="BC42" i="4"/>
  <c r="BB42" i="4"/>
  <c r="BA42" i="4"/>
  <c r="BK42" i="4" s="1"/>
  <c r="AZ42" i="4"/>
  <c r="AY42" i="4"/>
  <c r="AX42" i="4"/>
  <c r="AW42" i="4"/>
  <c r="AV42" i="4"/>
  <c r="BI42" i="4" s="1"/>
  <c r="AS42" i="4"/>
  <c r="AR42" i="4"/>
  <c r="AT42" i="4" s="1"/>
  <c r="AP42" i="4"/>
  <c r="AO42" i="4"/>
  <c r="AN42" i="4"/>
  <c r="AM42" i="4"/>
  <c r="GS41" i="4"/>
  <c r="GO41" i="4"/>
  <c r="GM41" i="4"/>
  <c r="GL41" i="4"/>
  <c r="GJ41" i="4"/>
  <c r="GI41" i="4"/>
  <c r="FV41" i="4"/>
  <c r="FU41" i="4"/>
  <c r="FT41" i="4"/>
  <c r="FQ41" i="4"/>
  <c r="FO41" i="4"/>
  <c r="FL41" i="4"/>
  <c r="FI41" i="4"/>
  <c r="FH41" i="4"/>
  <c r="FK41" i="4" s="1"/>
  <c r="EX41" i="4"/>
  <c r="EV41" i="4"/>
  <c r="EU41" i="4"/>
  <c r="ET41" i="4"/>
  <c r="ES41" i="4"/>
  <c r="ER41" i="4"/>
  <c r="EQ41" i="4"/>
  <c r="EO41" i="4"/>
  <c r="EN41" i="4"/>
  <c r="EM41" i="4"/>
  <c r="EL41" i="4"/>
  <c r="EK41" i="4"/>
  <c r="EY41" i="4" s="1"/>
  <c r="EJ41" i="4"/>
  <c r="EH41" i="4"/>
  <c r="EG41" i="4"/>
  <c r="EF41" i="4"/>
  <c r="EE41" i="4"/>
  <c r="ED41" i="4"/>
  <c r="EC41" i="4"/>
  <c r="DM41" i="4"/>
  <c r="DL41" i="4"/>
  <c r="DK41" i="4"/>
  <c r="DJ41" i="4"/>
  <c r="DI41" i="4"/>
  <c r="DH41" i="4"/>
  <c r="CT41" i="4"/>
  <c r="CF41" i="4"/>
  <c r="CM41" i="4" s="1"/>
  <c r="DA41" i="4" s="1"/>
  <c r="BU41" i="4"/>
  <c r="BQ41" i="4"/>
  <c r="BN41" i="4"/>
  <c r="BM41" i="4"/>
  <c r="BJ41" i="4"/>
  <c r="BG41" i="4"/>
  <c r="BF41" i="4"/>
  <c r="BE41" i="4"/>
  <c r="BD41" i="4"/>
  <c r="BC41" i="4"/>
  <c r="BL41" i="4" s="1"/>
  <c r="BB41" i="4"/>
  <c r="BA41" i="4"/>
  <c r="AZ41" i="4"/>
  <c r="AY41" i="4"/>
  <c r="AX41" i="4"/>
  <c r="AW41" i="4"/>
  <c r="AV41" i="4"/>
  <c r="AS41" i="4"/>
  <c r="AT41" i="4" s="1"/>
  <c r="AR41" i="4"/>
  <c r="AO41" i="4"/>
  <c r="AN41" i="4"/>
  <c r="AM41" i="4"/>
  <c r="AP41" i="4" s="1"/>
  <c r="GS40" i="4"/>
  <c r="GO40" i="4"/>
  <c r="GM40" i="4"/>
  <c r="GL40" i="4"/>
  <c r="GJ40" i="4"/>
  <c r="GI40" i="4"/>
  <c r="FX40" i="4"/>
  <c r="FV40" i="4"/>
  <c r="FU40" i="4"/>
  <c r="FT40" i="4"/>
  <c r="FQ40" i="4"/>
  <c r="FO40" i="4"/>
  <c r="GB40" i="4" s="1"/>
  <c r="FL40" i="4"/>
  <c r="FI40" i="4"/>
  <c r="FH40" i="4"/>
  <c r="FK40" i="4" s="1"/>
  <c r="FF40" i="4"/>
  <c r="FC40" i="4"/>
  <c r="FA40" i="4"/>
  <c r="EX40" i="4"/>
  <c r="EV40" i="4"/>
  <c r="EU40" i="4"/>
  <c r="ET40" i="4"/>
  <c r="ES40" i="4"/>
  <c r="ER40" i="4"/>
  <c r="EQ40" i="4"/>
  <c r="EO40" i="4"/>
  <c r="EN40" i="4"/>
  <c r="EM40" i="4"/>
  <c r="EL40" i="4"/>
  <c r="EK40" i="4"/>
  <c r="EZ40" i="4" s="1"/>
  <c r="EJ40" i="4"/>
  <c r="EH40" i="4"/>
  <c r="EG40" i="4"/>
  <c r="EF40" i="4"/>
  <c r="EE40" i="4"/>
  <c r="ED40" i="4"/>
  <c r="EC40" i="4"/>
  <c r="DM40" i="4"/>
  <c r="DL40" i="4"/>
  <c r="DK40" i="4"/>
  <c r="DJ40" i="4"/>
  <c r="DI40" i="4"/>
  <c r="DH40" i="4"/>
  <c r="BN40" i="4"/>
  <c r="CG40" i="4" s="1"/>
  <c r="CN40" i="4" s="1"/>
  <c r="BG40" i="4"/>
  <c r="BF40" i="4"/>
  <c r="BE40" i="4"/>
  <c r="BM40" i="4" s="1"/>
  <c r="BD40" i="4"/>
  <c r="BC40" i="4"/>
  <c r="BL40" i="4" s="1"/>
  <c r="BB40" i="4"/>
  <c r="BA40" i="4"/>
  <c r="AZ40" i="4"/>
  <c r="BK40" i="4" s="1"/>
  <c r="AY40" i="4"/>
  <c r="BJ40" i="4" s="1"/>
  <c r="AX40" i="4"/>
  <c r="AW40" i="4"/>
  <c r="AV40" i="4"/>
  <c r="BI40" i="4" s="1"/>
  <c r="AS40" i="4"/>
  <c r="AR40" i="4"/>
  <c r="AT40" i="4" s="1"/>
  <c r="AO40" i="4"/>
  <c r="AN40" i="4"/>
  <c r="AM40" i="4"/>
  <c r="GS39" i="4"/>
  <c r="GO39" i="4"/>
  <c r="GM39" i="4"/>
  <c r="GL39" i="4"/>
  <c r="GJ39" i="4"/>
  <c r="GI39" i="4"/>
  <c r="GA39" i="4"/>
  <c r="FV39" i="4"/>
  <c r="FU39" i="4"/>
  <c r="FT39" i="4"/>
  <c r="FQ39" i="4"/>
  <c r="FO39" i="4"/>
  <c r="FK39" i="4"/>
  <c r="FI39" i="4"/>
  <c r="FL39" i="4" s="1"/>
  <c r="FH39" i="4"/>
  <c r="FE39" i="4"/>
  <c r="EX39" i="4"/>
  <c r="EV39" i="4"/>
  <c r="EU39" i="4"/>
  <c r="ET39" i="4"/>
  <c r="ES39" i="4"/>
  <c r="ER39" i="4"/>
  <c r="FC39" i="4" s="1"/>
  <c r="EQ39" i="4"/>
  <c r="FF39" i="4" s="1"/>
  <c r="EO39" i="4"/>
  <c r="EN39" i="4"/>
  <c r="EM39" i="4"/>
  <c r="EL39" i="4"/>
  <c r="EK39" i="4"/>
  <c r="EJ39" i="4"/>
  <c r="EH39" i="4"/>
  <c r="EG39" i="4"/>
  <c r="EF39" i="4"/>
  <c r="EE39" i="4"/>
  <c r="ED39" i="4"/>
  <c r="EC39" i="4"/>
  <c r="DM39" i="4"/>
  <c r="DL39" i="4"/>
  <c r="DK39" i="4"/>
  <c r="DJ39" i="4"/>
  <c r="DI39" i="4"/>
  <c r="DH39" i="4"/>
  <c r="DB39" i="4"/>
  <c r="CG39" i="4"/>
  <c r="CN39" i="4" s="1"/>
  <c r="CU39" i="4" s="1"/>
  <c r="CF39" i="4"/>
  <c r="CM39" i="4" s="1"/>
  <c r="BG39" i="4"/>
  <c r="BN39" i="4" s="1"/>
  <c r="BF39" i="4"/>
  <c r="BE39" i="4"/>
  <c r="BD39" i="4"/>
  <c r="BM39" i="4" s="1"/>
  <c r="BC39" i="4"/>
  <c r="BB39" i="4"/>
  <c r="BL39" i="4" s="1"/>
  <c r="BA39" i="4"/>
  <c r="BK39" i="4" s="1"/>
  <c r="AZ39" i="4"/>
  <c r="AY39" i="4"/>
  <c r="AX39" i="4"/>
  <c r="AW39" i="4"/>
  <c r="AV39" i="4"/>
  <c r="BI39" i="4" s="1"/>
  <c r="AT39" i="4"/>
  <c r="AS39" i="4"/>
  <c r="AR39" i="4"/>
  <c r="AO39" i="4"/>
  <c r="AN39" i="4"/>
  <c r="AM39" i="4"/>
  <c r="AP39" i="4" s="1"/>
  <c r="GS38" i="4"/>
  <c r="GO38" i="4"/>
  <c r="GM38" i="4"/>
  <c r="GL38" i="4"/>
  <c r="GJ38" i="4"/>
  <c r="GI38" i="4"/>
  <c r="GB38" i="4"/>
  <c r="FX38" i="4"/>
  <c r="FV38" i="4"/>
  <c r="FU38" i="4"/>
  <c r="FT38" i="4"/>
  <c r="FQ38" i="4"/>
  <c r="FO38" i="4"/>
  <c r="FL38" i="4"/>
  <c r="FI38" i="4"/>
  <c r="FH38" i="4"/>
  <c r="FK38" i="4" s="1"/>
  <c r="EX38" i="4"/>
  <c r="EV38" i="4"/>
  <c r="EU38" i="4"/>
  <c r="ET38" i="4"/>
  <c r="ES38" i="4"/>
  <c r="ER38" i="4"/>
  <c r="EQ38" i="4"/>
  <c r="FE38" i="4" s="1"/>
  <c r="EO38" i="4"/>
  <c r="EN38" i="4"/>
  <c r="EM38" i="4"/>
  <c r="EL38" i="4"/>
  <c r="EK38" i="4"/>
  <c r="EY38" i="4" s="1"/>
  <c r="EJ38" i="4"/>
  <c r="EH38" i="4"/>
  <c r="EG38" i="4"/>
  <c r="EF38" i="4"/>
  <c r="EE38" i="4"/>
  <c r="ED38" i="4"/>
  <c r="EC38" i="4"/>
  <c r="DM38" i="4"/>
  <c r="DL38" i="4"/>
  <c r="DK38" i="4"/>
  <c r="DJ38" i="4"/>
  <c r="DI38" i="4"/>
  <c r="DH38" i="4"/>
  <c r="CF38" i="4"/>
  <c r="CM38" i="4" s="1"/>
  <c r="BJ38" i="4"/>
  <c r="BG38" i="4"/>
  <c r="BF38" i="4"/>
  <c r="BN38" i="4" s="1"/>
  <c r="BE38" i="4"/>
  <c r="BM38" i="4" s="1"/>
  <c r="BD38" i="4"/>
  <c r="BC38" i="4"/>
  <c r="BB38" i="4"/>
  <c r="BL38" i="4" s="1"/>
  <c r="BA38" i="4"/>
  <c r="AZ38" i="4"/>
  <c r="BK38" i="4" s="1"/>
  <c r="AY38" i="4"/>
  <c r="AX38" i="4"/>
  <c r="AW38" i="4"/>
  <c r="AV38" i="4"/>
  <c r="BI38" i="4" s="1"/>
  <c r="AS38" i="4"/>
  <c r="AR38" i="4"/>
  <c r="AO38" i="4"/>
  <c r="AN38" i="4"/>
  <c r="AP38" i="4" s="1"/>
  <c r="AM38" i="4"/>
  <c r="GS37" i="4"/>
  <c r="GO37" i="4"/>
  <c r="GM37" i="4"/>
  <c r="GL37" i="4"/>
  <c r="GJ37" i="4"/>
  <c r="GI37" i="4"/>
  <c r="FX37" i="4"/>
  <c r="FV37" i="4"/>
  <c r="FU37" i="4"/>
  <c r="FT37" i="4"/>
  <c r="FQ37" i="4"/>
  <c r="FO37" i="4"/>
  <c r="GB37" i="4" s="1"/>
  <c r="FI37" i="4"/>
  <c r="FL37" i="4" s="1"/>
  <c r="FH37" i="4"/>
  <c r="FK37" i="4" s="1"/>
  <c r="FF37" i="4"/>
  <c r="EX37" i="4"/>
  <c r="EV37" i="4"/>
  <c r="EU37" i="4"/>
  <c r="ET37" i="4"/>
  <c r="ES37" i="4"/>
  <c r="ER37" i="4"/>
  <c r="FE37" i="4" s="1"/>
  <c r="EQ37" i="4"/>
  <c r="FD37" i="4" s="1"/>
  <c r="EO37" i="4"/>
  <c r="EN37" i="4"/>
  <c r="EM37" i="4"/>
  <c r="EL37" i="4"/>
  <c r="EZ37" i="4" s="1"/>
  <c r="EK37" i="4"/>
  <c r="EY37" i="4" s="1"/>
  <c r="EJ37" i="4"/>
  <c r="EH37" i="4"/>
  <c r="EG37" i="4"/>
  <c r="EF37" i="4"/>
  <c r="EE37" i="4"/>
  <c r="ED37" i="4"/>
  <c r="EC37" i="4"/>
  <c r="DM37" i="4"/>
  <c r="DL37" i="4"/>
  <c r="DK37" i="4"/>
  <c r="DJ37" i="4"/>
  <c r="DI37" i="4"/>
  <c r="DH37" i="4"/>
  <c r="BL37" i="4"/>
  <c r="CE37" i="4" s="1"/>
  <c r="CL37" i="4" s="1"/>
  <c r="BK37" i="4"/>
  <c r="CD37" i="4" s="1"/>
  <c r="CK37" i="4" s="1"/>
  <c r="BJ37" i="4"/>
  <c r="BG37" i="4"/>
  <c r="BF37" i="4"/>
  <c r="BE37" i="4"/>
  <c r="BD37" i="4"/>
  <c r="BM37" i="4" s="1"/>
  <c r="BC37" i="4"/>
  <c r="BB37" i="4"/>
  <c r="BA37" i="4"/>
  <c r="AZ37" i="4"/>
  <c r="AY37" i="4"/>
  <c r="AX37" i="4"/>
  <c r="AW37" i="4"/>
  <c r="AV37" i="4"/>
  <c r="BI37" i="4" s="1"/>
  <c r="AT37" i="4"/>
  <c r="AS37" i="4"/>
  <c r="AR37" i="4"/>
  <c r="AO37" i="4"/>
  <c r="AN37" i="4"/>
  <c r="AP37" i="4" s="1"/>
  <c r="AM37" i="4"/>
  <c r="GS36" i="4"/>
  <c r="GO36" i="4"/>
  <c r="GM36" i="4"/>
  <c r="GL36" i="4"/>
  <c r="GJ36" i="4"/>
  <c r="GI36" i="4"/>
  <c r="GB36" i="4"/>
  <c r="FV36" i="4"/>
  <c r="FU36" i="4"/>
  <c r="FT36" i="4"/>
  <c r="GD36" i="4" s="1"/>
  <c r="FQ36" i="4"/>
  <c r="FO36" i="4"/>
  <c r="FX36" i="4" s="1"/>
  <c r="FI36" i="4"/>
  <c r="FL36" i="4" s="1"/>
  <c r="FH36" i="4"/>
  <c r="FK36" i="4" s="1"/>
  <c r="EX36" i="4"/>
  <c r="EV36" i="4"/>
  <c r="EU36" i="4"/>
  <c r="ET36" i="4"/>
  <c r="ES36" i="4"/>
  <c r="ER36" i="4"/>
  <c r="EQ36" i="4"/>
  <c r="EO36" i="4"/>
  <c r="EN36" i="4"/>
  <c r="EM36" i="4"/>
  <c r="EL36" i="4"/>
  <c r="EK36" i="4"/>
  <c r="EJ36" i="4"/>
  <c r="EZ36" i="4" s="1"/>
  <c r="EH36" i="4"/>
  <c r="EG36" i="4"/>
  <c r="EF36" i="4"/>
  <c r="EE36" i="4"/>
  <c r="ED36" i="4"/>
  <c r="EC36" i="4"/>
  <c r="DM36" i="4"/>
  <c r="DL36" i="4"/>
  <c r="DK36" i="4"/>
  <c r="DJ36" i="4"/>
  <c r="DI36" i="4"/>
  <c r="DH36" i="4"/>
  <c r="BN36" i="4"/>
  <c r="CG36" i="4" s="1"/>
  <c r="CN36" i="4" s="1"/>
  <c r="BM36" i="4"/>
  <c r="CF36" i="4" s="1"/>
  <c r="CM36" i="4" s="1"/>
  <c r="BL36" i="4"/>
  <c r="CE36" i="4" s="1"/>
  <c r="CL36" i="4" s="1"/>
  <c r="BK36" i="4"/>
  <c r="BG36" i="4"/>
  <c r="BF36" i="4"/>
  <c r="BE36" i="4"/>
  <c r="BD36" i="4"/>
  <c r="BC36" i="4"/>
  <c r="BB36" i="4"/>
  <c r="BA36" i="4"/>
  <c r="AZ36" i="4"/>
  <c r="AY36" i="4"/>
  <c r="AX36" i="4"/>
  <c r="BJ36" i="4" s="1"/>
  <c r="AW36" i="4"/>
  <c r="AV36" i="4"/>
  <c r="BI36" i="4" s="1"/>
  <c r="AS36" i="4"/>
  <c r="AT36" i="4" s="1"/>
  <c r="AR36" i="4"/>
  <c r="AO36" i="4"/>
  <c r="AN36" i="4"/>
  <c r="AM36" i="4"/>
  <c r="AP36" i="4" s="1"/>
  <c r="GS35" i="4"/>
  <c r="GO35" i="4"/>
  <c r="GM35" i="4"/>
  <c r="GL35" i="4"/>
  <c r="GJ35" i="4"/>
  <c r="GI35" i="4"/>
  <c r="GB35" i="4"/>
  <c r="FV35" i="4"/>
  <c r="FU35" i="4"/>
  <c r="FT35" i="4"/>
  <c r="GD37" i="4" s="1"/>
  <c r="FQ35" i="4"/>
  <c r="FO35" i="4"/>
  <c r="FX35" i="4" s="1"/>
  <c r="FL35" i="4"/>
  <c r="FK35" i="4"/>
  <c r="FI35" i="4"/>
  <c r="FH35" i="4"/>
  <c r="EX35" i="4"/>
  <c r="EV35" i="4"/>
  <c r="EU35" i="4"/>
  <c r="ET35" i="4"/>
  <c r="ES35" i="4"/>
  <c r="FF35" i="4" s="1"/>
  <c r="ER35" i="4"/>
  <c r="EQ35" i="4"/>
  <c r="EO35" i="4"/>
  <c r="EN35" i="4"/>
  <c r="EM35" i="4"/>
  <c r="EL35" i="4"/>
  <c r="EK35" i="4"/>
  <c r="EJ35" i="4"/>
  <c r="EH35" i="4"/>
  <c r="EG35" i="4"/>
  <c r="EF35" i="4"/>
  <c r="EE35" i="4"/>
  <c r="ED35" i="4"/>
  <c r="EC35" i="4"/>
  <c r="DM35" i="4"/>
  <c r="DL35" i="4"/>
  <c r="DK35" i="4"/>
  <c r="DJ35" i="4"/>
  <c r="DI35" i="4"/>
  <c r="DH35" i="4"/>
  <c r="BN35" i="4"/>
  <c r="CG35" i="4" s="1"/>
  <c r="CN35" i="4" s="1"/>
  <c r="BM35" i="4"/>
  <c r="BL35" i="4"/>
  <c r="BG35" i="4"/>
  <c r="BF35" i="4"/>
  <c r="BE35" i="4"/>
  <c r="BD35" i="4"/>
  <c r="BC35" i="4"/>
  <c r="BB35" i="4"/>
  <c r="BA35" i="4"/>
  <c r="AZ35" i="4"/>
  <c r="BK35" i="4" s="1"/>
  <c r="AY35" i="4"/>
  <c r="AX35" i="4"/>
  <c r="AW35" i="4"/>
  <c r="AV35" i="4"/>
  <c r="BI35" i="4" s="1"/>
  <c r="AS35" i="4"/>
  <c r="AT35" i="4" s="1"/>
  <c r="AR35" i="4"/>
  <c r="AO35" i="4"/>
  <c r="AN35" i="4"/>
  <c r="AM35" i="4"/>
  <c r="AP35" i="4" s="1"/>
  <c r="GS34" i="4"/>
  <c r="GO34" i="4"/>
  <c r="GM34" i="4"/>
  <c r="GL34" i="4"/>
  <c r="GJ34" i="4"/>
  <c r="GI34" i="4"/>
  <c r="FV34" i="4"/>
  <c r="FU34" i="4"/>
  <c r="FT34" i="4"/>
  <c r="FQ34" i="4"/>
  <c r="FO34" i="4"/>
  <c r="FL34" i="4"/>
  <c r="FK34" i="4"/>
  <c r="FI34" i="4"/>
  <c r="FH34" i="4"/>
  <c r="FB34" i="4"/>
  <c r="FA34" i="4"/>
  <c r="EX34" i="4"/>
  <c r="EV34" i="4"/>
  <c r="EU34" i="4"/>
  <c r="FC34" i="4" s="1"/>
  <c r="ET34" i="4"/>
  <c r="ES34" i="4"/>
  <c r="FF34" i="4" s="1"/>
  <c r="ER34" i="4"/>
  <c r="FE34" i="4" s="1"/>
  <c r="EQ34" i="4"/>
  <c r="FD34" i="4" s="1"/>
  <c r="EO34" i="4"/>
  <c r="EN34" i="4"/>
  <c r="EM34" i="4"/>
  <c r="EL34" i="4"/>
  <c r="EK34" i="4"/>
  <c r="EZ34" i="4" s="1"/>
  <c r="EJ34" i="4"/>
  <c r="EH34" i="4"/>
  <c r="EG34" i="4"/>
  <c r="EF34" i="4"/>
  <c r="EE34" i="4"/>
  <c r="ED34" i="4"/>
  <c r="EC34" i="4"/>
  <c r="DM34" i="4"/>
  <c r="DL34" i="4"/>
  <c r="DK34" i="4"/>
  <c r="DJ34" i="4"/>
  <c r="DI34" i="4"/>
  <c r="DH34" i="4"/>
  <c r="CB34" i="4"/>
  <c r="CI34" i="4" s="1"/>
  <c r="BN34" i="4"/>
  <c r="BM34" i="4"/>
  <c r="BG34" i="4"/>
  <c r="BF34" i="4"/>
  <c r="BE34" i="4"/>
  <c r="BD34" i="4"/>
  <c r="BC34" i="4"/>
  <c r="BB34" i="4"/>
  <c r="BL34" i="4" s="1"/>
  <c r="BA34" i="4"/>
  <c r="AZ34" i="4"/>
  <c r="BK34" i="4" s="1"/>
  <c r="AY34" i="4"/>
  <c r="AX34" i="4"/>
  <c r="BJ34" i="4" s="1"/>
  <c r="CC34" i="4" s="1"/>
  <c r="CJ34" i="4" s="1"/>
  <c r="AW34" i="4"/>
  <c r="AV34" i="4"/>
  <c r="BI34" i="4" s="1"/>
  <c r="AS34" i="4"/>
  <c r="AR34" i="4"/>
  <c r="AT34" i="4" s="1"/>
  <c r="AO34" i="4"/>
  <c r="AN34" i="4"/>
  <c r="AM34" i="4"/>
  <c r="GS33" i="4"/>
  <c r="GO33" i="4"/>
  <c r="GM33" i="4"/>
  <c r="GL33" i="4"/>
  <c r="GJ33" i="4"/>
  <c r="GI33" i="4"/>
  <c r="FV33" i="4"/>
  <c r="FU33" i="4"/>
  <c r="FT33" i="4"/>
  <c r="FQ33" i="4"/>
  <c r="FO33" i="4"/>
  <c r="GB33" i="4" s="1"/>
  <c r="FL33" i="4"/>
  <c r="FK33" i="4"/>
  <c r="FI33" i="4"/>
  <c r="FH33" i="4"/>
  <c r="FC33" i="4"/>
  <c r="FB33" i="4"/>
  <c r="FA33" i="4"/>
  <c r="EX33" i="4"/>
  <c r="EV33" i="4"/>
  <c r="EU33" i="4"/>
  <c r="ET33" i="4"/>
  <c r="ES33" i="4"/>
  <c r="ER33" i="4"/>
  <c r="EQ33" i="4"/>
  <c r="FF33" i="4" s="1"/>
  <c r="EO33" i="4"/>
  <c r="EN33" i="4"/>
  <c r="EM33" i="4"/>
  <c r="EL33" i="4"/>
  <c r="EK33" i="4"/>
  <c r="EZ33" i="4" s="1"/>
  <c r="EJ33" i="4"/>
  <c r="EH33" i="4"/>
  <c r="EG33" i="4"/>
  <c r="EF33" i="4"/>
  <c r="EE33" i="4"/>
  <c r="ED33" i="4"/>
  <c r="EC33" i="4"/>
  <c r="DM33" i="4"/>
  <c r="DL33" i="4"/>
  <c r="DK33" i="4"/>
  <c r="DJ33" i="4"/>
  <c r="DI33" i="4"/>
  <c r="DH33" i="4"/>
  <c r="CD33" i="4"/>
  <c r="CK33" i="4" s="1"/>
  <c r="CC33" i="4"/>
  <c r="CJ33" i="4" s="1"/>
  <c r="BK33" i="4"/>
  <c r="BG33" i="4"/>
  <c r="BF33" i="4"/>
  <c r="BN33" i="4" s="1"/>
  <c r="BE33" i="4"/>
  <c r="BD33" i="4"/>
  <c r="BM33" i="4" s="1"/>
  <c r="BC33" i="4"/>
  <c r="BB33" i="4"/>
  <c r="BL33" i="4" s="1"/>
  <c r="BA33" i="4"/>
  <c r="AZ33" i="4"/>
  <c r="AY33" i="4"/>
  <c r="AX33" i="4"/>
  <c r="BJ33" i="4" s="1"/>
  <c r="AW33" i="4"/>
  <c r="AV33" i="4"/>
  <c r="BI33" i="4" s="1"/>
  <c r="AS33" i="4"/>
  <c r="AR33" i="4"/>
  <c r="AT33" i="4" s="1"/>
  <c r="AO33" i="4"/>
  <c r="AP33" i="4" s="1"/>
  <c r="AN33" i="4"/>
  <c r="AM33" i="4"/>
  <c r="GS32" i="4"/>
  <c r="GO32" i="4"/>
  <c r="GM32" i="4"/>
  <c r="GL32" i="4"/>
  <c r="GJ32" i="4"/>
  <c r="GI32" i="4"/>
  <c r="GB32" i="4"/>
  <c r="FX32" i="4"/>
  <c r="FV32" i="4"/>
  <c r="FU32" i="4"/>
  <c r="FT32" i="4"/>
  <c r="FQ32" i="4"/>
  <c r="FO32" i="4"/>
  <c r="FL32" i="4"/>
  <c r="FI32" i="4"/>
  <c r="FH32" i="4"/>
  <c r="FK32" i="4" s="1"/>
  <c r="EX32" i="4"/>
  <c r="EV32" i="4"/>
  <c r="EU32" i="4"/>
  <c r="ET32" i="4"/>
  <c r="ES32" i="4"/>
  <c r="ER32" i="4"/>
  <c r="EQ32" i="4"/>
  <c r="FE32" i="4" s="1"/>
  <c r="EO32" i="4"/>
  <c r="EN32" i="4"/>
  <c r="EM32" i="4"/>
  <c r="EL32" i="4"/>
  <c r="EK32" i="4"/>
  <c r="EJ32" i="4"/>
  <c r="EH32" i="4"/>
  <c r="EG32" i="4"/>
  <c r="EF32" i="4"/>
  <c r="EE32" i="4"/>
  <c r="ED32" i="4"/>
  <c r="EC32" i="4"/>
  <c r="DM32" i="4"/>
  <c r="DL32" i="4"/>
  <c r="DK32" i="4"/>
  <c r="DJ32" i="4"/>
  <c r="DI32" i="4"/>
  <c r="DH32" i="4"/>
  <c r="CE32" i="4"/>
  <c r="CL32" i="4" s="1"/>
  <c r="CZ32" i="4" s="1"/>
  <c r="BJ32" i="4"/>
  <c r="BG32" i="4"/>
  <c r="BF32" i="4"/>
  <c r="BE32" i="4"/>
  <c r="BM32" i="4" s="1"/>
  <c r="BD32" i="4"/>
  <c r="BC32" i="4"/>
  <c r="BB32" i="4"/>
  <c r="BL32" i="4" s="1"/>
  <c r="BA32" i="4"/>
  <c r="AZ32" i="4"/>
  <c r="BK32" i="4" s="1"/>
  <c r="AY32" i="4"/>
  <c r="AX32" i="4"/>
  <c r="AW32" i="4"/>
  <c r="AV32" i="4"/>
  <c r="BI32" i="4" s="1"/>
  <c r="AT32" i="4"/>
  <c r="AS32" i="4"/>
  <c r="AR32" i="4"/>
  <c r="AP32" i="4"/>
  <c r="AO32" i="4"/>
  <c r="AN32" i="4"/>
  <c r="AM32" i="4"/>
  <c r="GS31" i="4"/>
  <c r="GO31" i="4"/>
  <c r="GM31" i="4"/>
  <c r="GL31" i="4"/>
  <c r="GJ31" i="4"/>
  <c r="GI31" i="4"/>
  <c r="FX31" i="4"/>
  <c r="FV31" i="4"/>
  <c r="FU31" i="4"/>
  <c r="FT31" i="4"/>
  <c r="FQ31" i="4"/>
  <c r="FO31" i="4"/>
  <c r="GB31" i="4" s="1"/>
  <c r="FK31" i="4"/>
  <c r="FI31" i="4"/>
  <c r="FL31" i="4" s="1"/>
  <c r="FH31" i="4"/>
  <c r="EZ31" i="4"/>
  <c r="EX31" i="4"/>
  <c r="EV31" i="4"/>
  <c r="EU31" i="4"/>
  <c r="ET31" i="4"/>
  <c r="ES31" i="4"/>
  <c r="ER31" i="4"/>
  <c r="FF31" i="4" s="1"/>
  <c r="EQ31" i="4"/>
  <c r="EO31" i="4"/>
  <c r="EN31" i="4"/>
  <c r="EM31" i="4"/>
  <c r="EL31" i="4"/>
  <c r="EK31" i="4"/>
  <c r="EY31" i="4" s="1"/>
  <c r="EJ31" i="4"/>
  <c r="EH31" i="4"/>
  <c r="EG31" i="4"/>
  <c r="EF31" i="4"/>
  <c r="EE31" i="4"/>
  <c r="ED31" i="4"/>
  <c r="EC31" i="4"/>
  <c r="DM31" i="4"/>
  <c r="DL31" i="4"/>
  <c r="DK31" i="4"/>
  <c r="DJ31" i="4"/>
  <c r="DI31" i="4"/>
  <c r="DH31" i="4"/>
  <c r="BK31" i="4"/>
  <c r="BG31" i="4"/>
  <c r="BF31" i="4"/>
  <c r="BN31" i="4" s="1"/>
  <c r="BE31" i="4"/>
  <c r="BD31" i="4"/>
  <c r="BM31" i="4" s="1"/>
  <c r="BC31" i="4"/>
  <c r="BB31" i="4"/>
  <c r="BL31" i="4" s="1"/>
  <c r="BA31" i="4"/>
  <c r="AZ31" i="4"/>
  <c r="AY31" i="4"/>
  <c r="AX31" i="4"/>
  <c r="BJ31" i="4" s="1"/>
  <c r="AW31" i="4"/>
  <c r="AV31" i="4"/>
  <c r="BI31" i="4" s="1"/>
  <c r="AS31" i="4"/>
  <c r="AT31" i="4" s="1"/>
  <c r="AR31" i="4"/>
  <c r="AO31" i="4"/>
  <c r="AN31" i="4"/>
  <c r="AP31" i="4" s="1"/>
  <c r="AM31" i="4"/>
  <c r="GS30" i="4"/>
  <c r="GO30" i="4"/>
  <c r="GM30" i="4"/>
  <c r="GL30" i="4"/>
  <c r="GJ30" i="4"/>
  <c r="GI30" i="4"/>
  <c r="FV30" i="4"/>
  <c r="FU30" i="4"/>
  <c r="FT30" i="4"/>
  <c r="FQ30" i="4"/>
  <c r="FO30" i="4"/>
  <c r="FX30" i="4" s="1"/>
  <c r="FL30" i="4"/>
  <c r="FK30" i="4"/>
  <c r="FI30" i="4"/>
  <c r="FH30" i="4"/>
  <c r="EX30" i="4"/>
  <c r="EV30" i="4"/>
  <c r="EU30" i="4"/>
  <c r="ET30" i="4"/>
  <c r="ES30" i="4"/>
  <c r="ER30" i="4"/>
  <c r="EQ30" i="4"/>
  <c r="FE30" i="4" s="1"/>
  <c r="EO30" i="4"/>
  <c r="EN30" i="4"/>
  <c r="EM30" i="4"/>
  <c r="EL30" i="4"/>
  <c r="EK30" i="4"/>
  <c r="EJ30" i="4"/>
  <c r="EH30" i="4"/>
  <c r="EG30" i="4"/>
  <c r="EF30" i="4"/>
  <c r="EE30" i="4"/>
  <c r="ED30" i="4"/>
  <c r="EC30" i="4"/>
  <c r="DM30" i="4"/>
  <c r="DL30" i="4"/>
  <c r="DK30" i="4"/>
  <c r="DJ30" i="4"/>
  <c r="DI30" i="4"/>
  <c r="DH30" i="4"/>
  <c r="CU30" i="4"/>
  <c r="CG30" i="4"/>
  <c r="CN30" i="4" s="1"/>
  <c r="DB30" i="4" s="1"/>
  <c r="CF30" i="4"/>
  <c r="CM30" i="4" s="1"/>
  <c r="BJ30" i="4"/>
  <c r="CC30" i="4" s="1"/>
  <c r="CJ30" i="4" s="1"/>
  <c r="CQ30" i="4" s="1"/>
  <c r="BG30" i="4"/>
  <c r="BF30" i="4"/>
  <c r="BN30" i="4" s="1"/>
  <c r="BE30" i="4"/>
  <c r="BD30" i="4"/>
  <c r="BM30" i="4" s="1"/>
  <c r="BC30" i="4"/>
  <c r="BL30" i="4" s="1"/>
  <c r="BB30" i="4"/>
  <c r="BA30" i="4"/>
  <c r="BK30" i="4" s="1"/>
  <c r="AZ30" i="4"/>
  <c r="AY30" i="4"/>
  <c r="AX30" i="4"/>
  <c r="AW30" i="4"/>
  <c r="AV30" i="4"/>
  <c r="BI30" i="4" s="1"/>
  <c r="AS30" i="4"/>
  <c r="AR30" i="4"/>
  <c r="AT30" i="4" s="1"/>
  <c r="AP30" i="4"/>
  <c r="AO30" i="4"/>
  <c r="AN30" i="4"/>
  <c r="AM30" i="4"/>
  <c r="GS29" i="4"/>
  <c r="GO29" i="4"/>
  <c r="GM29" i="4"/>
  <c r="GL29" i="4"/>
  <c r="GJ29" i="4"/>
  <c r="GI29" i="4"/>
  <c r="FX29" i="4"/>
  <c r="FV29" i="4"/>
  <c r="FU29" i="4"/>
  <c r="FT29" i="4"/>
  <c r="FQ29" i="4"/>
  <c r="FO29" i="4"/>
  <c r="GB29" i="4" s="1"/>
  <c r="FI29" i="4"/>
  <c r="FL29" i="4" s="1"/>
  <c r="FH29" i="4"/>
  <c r="FK29" i="4" s="1"/>
  <c r="FD29" i="4"/>
  <c r="FC29" i="4"/>
  <c r="FA29" i="4"/>
  <c r="EX29" i="4"/>
  <c r="EV29" i="4"/>
  <c r="EU29" i="4"/>
  <c r="ET29" i="4"/>
  <c r="ES29" i="4"/>
  <c r="ER29" i="4"/>
  <c r="EQ29" i="4"/>
  <c r="FB29" i="4" s="1"/>
  <c r="EO29" i="4"/>
  <c r="EN29" i="4"/>
  <c r="EM29" i="4"/>
  <c r="EL29" i="4"/>
  <c r="EK29" i="4"/>
  <c r="EJ29" i="4"/>
  <c r="EH29" i="4"/>
  <c r="EG29" i="4"/>
  <c r="EF29" i="4"/>
  <c r="EE29" i="4"/>
  <c r="ED29" i="4"/>
  <c r="EC29" i="4"/>
  <c r="DM29" i="4"/>
  <c r="DL29" i="4"/>
  <c r="DK29" i="4"/>
  <c r="DJ29" i="4"/>
  <c r="DI29" i="4"/>
  <c r="DH29" i="4"/>
  <c r="BM29" i="4"/>
  <c r="BL29" i="4"/>
  <c r="BK29" i="4"/>
  <c r="BJ29" i="4"/>
  <c r="BG29" i="4"/>
  <c r="BF29" i="4"/>
  <c r="BN29" i="4" s="1"/>
  <c r="BE29" i="4"/>
  <c r="BD29" i="4"/>
  <c r="BC29" i="4"/>
  <c r="BB29" i="4"/>
  <c r="BA29" i="4"/>
  <c r="AZ29" i="4"/>
  <c r="AY29" i="4"/>
  <c r="AX29" i="4"/>
  <c r="AW29" i="4"/>
  <c r="AV29" i="4"/>
  <c r="BI29" i="4" s="1"/>
  <c r="AT29" i="4"/>
  <c r="AS29" i="4"/>
  <c r="AR29" i="4"/>
  <c r="AO29" i="4"/>
  <c r="AN29" i="4"/>
  <c r="AM29" i="4"/>
  <c r="GS28" i="4"/>
  <c r="GO28" i="4"/>
  <c r="GM28" i="4"/>
  <c r="GL28" i="4"/>
  <c r="GJ28" i="4"/>
  <c r="GI28" i="4"/>
  <c r="GB28" i="4"/>
  <c r="GA28" i="4"/>
  <c r="FX28" i="4"/>
  <c r="FV28" i="4"/>
  <c r="FU28" i="4"/>
  <c r="FT28" i="4"/>
  <c r="FQ28" i="4"/>
  <c r="FO28" i="4"/>
  <c r="FL28" i="4"/>
  <c r="FK28" i="4"/>
  <c r="FI28" i="4"/>
  <c r="FH28" i="4"/>
  <c r="EX28" i="4"/>
  <c r="EV28" i="4"/>
  <c r="EU28" i="4"/>
  <c r="FB28" i="4" s="1"/>
  <c r="ET28" i="4"/>
  <c r="ES28" i="4"/>
  <c r="FF28" i="4" s="1"/>
  <c r="ER28" i="4"/>
  <c r="FE28" i="4" s="1"/>
  <c r="EQ28" i="4"/>
  <c r="FD28" i="4" s="1"/>
  <c r="EO28" i="4"/>
  <c r="EN28" i="4"/>
  <c r="EM28" i="4"/>
  <c r="EL28" i="4"/>
  <c r="EK28" i="4"/>
  <c r="EJ28" i="4"/>
  <c r="EH28" i="4"/>
  <c r="EG28" i="4"/>
  <c r="EF28" i="4"/>
  <c r="EE28" i="4"/>
  <c r="ED28" i="4"/>
  <c r="EC28" i="4"/>
  <c r="DM28" i="4"/>
  <c r="DL28" i="4"/>
  <c r="DK28" i="4"/>
  <c r="DJ28" i="4"/>
  <c r="DI28" i="4"/>
  <c r="DH28" i="4"/>
  <c r="BM28" i="4"/>
  <c r="BL28" i="4"/>
  <c r="BK28" i="4"/>
  <c r="BG28" i="4"/>
  <c r="BN28" i="4" s="1"/>
  <c r="BF28" i="4"/>
  <c r="BE28" i="4"/>
  <c r="BD28" i="4"/>
  <c r="BC28" i="4"/>
  <c r="BB28" i="4"/>
  <c r="BA28" i="4"/>
  <c r="AZ28" i="4"/>
  <c r="AY28" i="4"/>
  <c r="AX28" i="4"/>
  <c r="BJ28" i="4" s="1"/>
  <c r="AW28" i="4"/>
  <c r="AV28" i="4"/>
  <c r="AT28" i="4"/>
  <c r="AS28" i="4"/>
  <c r="AR28" i="4"/>
  <c r="AP28" i="4"/>
  <c r="AO28" i="4"/>
  <c r="AN28" i="4"/>
  <c r="AM28" i="4"/>
  <c r="GS27" i="4"/>
  <c r="GO27" i="4"/>
  <c r="GM27" i="4"/>
  <c r="GL27" i="4"/>
  <c r="GJ27" i="4"/>
  <c r="GI27" i="4"/>
  <c r="GB27" i="4"/>
  <c r="FV27" i="4"/>
  <c r="FU27" i="4"/>
  <c r="FT27" i="4"/>
  <c r="FQ27" i="4"/>
  <c r="FO27" i="4"/>
  <c r="FX27" i="4" s="1"/>
  <c r="FL27" i="4"/>
  <c r="FK27" i="4"/>
  <c r="FI27" i="4"/>
  <c r="FH27" i="4"/>
  <c r="EX27" i="4"/>
  <c r="EV27" i="4"/>
  <c r="FD27" i="4" s="1"/>
  <c r="EU27" i="4"/>
  <c r="ET27" i="4"/>
  <c r="ES27" i="4"/>
  <c r="ER27" i="4"/>
  <c r="EQ27" i="4"/>
  <c r="EO27" i="4"/>
  <c r="EN27" i="4"/>
  <c r="EM27" i="4"/>
  <c r="EL27" i="4"/>
  <c r="EK27" i="4"/>
  <c r="EJ27" i="4"/>
  <c r="EH27" i="4"/>
  <c r="EG27" i="4"/>
  <c r="EF27" i="4"/>
  <c r="EE27" i="4"/>
  <c r="ED27" i="4"/>
  <c r="EC27" i="4"/>
  <c r="DM27" i="4"/>
  <c r="DL27" i="4"/>
  <c r="DK27" i="4"/>
  <c r="DJ27" i="4"/>
  <c r="DI27" i="4"/>
  <c r="DH27" i="4"/>
  <c r="CB27" i="4"/>
  <c r="CI27" i="4" s="1"/>
  <c r="BM27" i="4"/>
  <c r="BL27" i="4"/>
  <c r="BK27" i="4"/>
  <c r="BJ27" i="4"/>
  <c r="BG27" i="4"/>
  <c r="BF27" i="4"/>
  <c r="BN27" i="4" s="1"/>
  <c r="BE27" i="4"/>
  <c r="BD27" i="4"/>
  <c r="BC27" i="4"/>
  <c r="BB27" i="4"/>
  <c r="BA27" i="4"/>
  <c r="AZ27" i="4"/>
  <c r="AY27" i="4"/>
  <c r="AX27" i="4"/>
  <c r="AW27" i="4"/>
  <c r="AV27" i="4"/>
  <c r="BI27" i="4" s="1"/>
  <c r="AS27" i="4"/>
  <c r="AR27" i="4"/>
  <c r="AO27" i="4"/>
  <c r="AN27" i="4"/>
  <c r="AM27" i="4"/>
  <c r="AP27" i="4" s="1"/>
  <c r="GS26" i="4"/>
  <c r="GO26" i="4"/>
  <c r="GM26" i="4"/>
  <c r="GL26" i="4"/>
  <c r="GJ26" i="4"/>
  <c r="GI26" i="4"/>
  <c r="FX26" i="4"/>
  <c r="FV26" i="4"/>
  <c r="FU26" i="4"/>
  <c r="FT26" i="4"/>
  <c r="FZ26" i="4" s="1"/>
  <c r="FQ26" i="4"/>
  <c r="FO26" i="4"/>
  <c r="GB26" i="4" s="1"/>
  <c r="FL26" i="4"/>
  <c r="FK26" i="4"/>
  <c r="FI26" i="4"/>
  <c r="FH26" i="4"/>
  <c r="FF26" i="4"/>
  <c r="FB26" i="4"/>
  <c r="FA26" i="4"/>
  <c r="EX26" i="4"/>
  <c r="EV26" i="4"/>
  <c r="EU26" i="4"/>
  <c r="ET26" i="4"/>
  <c r="ES26" i="4"/>
  <c r="ER26" i="4"/>
  <c r="EQ26" i="4"/>
  <c r="EO26" i="4"/>
  <c r="EN26" i="4"/>
  <c r="EM26" i="4"/>
  <c r="EL26" i="4"/>
  <c r="EK26" i="4"/>
  <c r="EZ26" i="4" s="1"/>
  <c r="EJ26" i="4"/>
  <c r="EH26" i="4"/>
  <c r="EG26" i="4"/>
  <c r="EF26" i="4"/>
  <c r="EE26" i="4"/>
  <c r="ED26" i="4"/>
  <c r="EC26" i="4"/>
  <c r="DM26" i="4"/>
  <c r="DL26" i="4"/>
  <c r="DK26" i="4"/>
  <c r="DJ26" i="4"/>
  <c r="DI26" i="4"/>
  <c r="DH26" i="4"/>
  <c r="BN26" i="4"/>
  <c r="BG26" i="4"/>
  <c r="BF26" i="4"/>
  <c r="BE26" i="4"/>
  <c r="BD26" i="4"/>
  <c r="BM26" i="4" s="1"/>
  <c r="BC26" i="4"/>
  <c r="BB26" i="4"/>
  <c r="BL26" i="4" s="1"/>
  <c r="BA26" i="4"/>
  <c r="AZ26" i="4"/>
  <c r="AY26" i="4"/>
  <c r="AX26" i="4"/>
  <c r="AW26" i="4"/>
  <c r="AV26" i="4"/>
  <c r="BI26" i="4" s="1"/>
  <c r="AT26" i="4"/>
  <c r="AS26" i="4"/>
  <c r="AR26" i="4"/>
  <c r="AO26" i="4"/>
  <c r="AN26" i="4"/>
  <c r="AM26" i="4"/>
  <c r="GS25" i="4"/>
  <c r="GO25" i="4"/>
  <c r="GM25" i="4"/>
  <c r="GL25" i="4"/>
  <c r="GJ25" i="4"/>
  <c r="GI25" i="4"/>
  <c r="FV25" i="4"/>
  <c r="FU25" i="4"/>
  <c r="FT25" i="4"/>
  <c r="FZ28" i="4" s="1"/>
  <c r="FQ25" i="4"/>
  <c r="FO25" i="4"/>
  <c r="FI25" i="4"/>
  <c r="FL25" i="4" s="1"/>
  <c r="FH25" i="4"/>
  <c r="FK25" i="4" s="1"/>
  <c r="FD25" i="4"/>
  <c r="EX25" i="4"/>
  <c r="EV25" i="4"/>
  <c r="EU25" i="4"/>
  <c r="ET25" i="4"/>
  <c r="ES25" i="4"/>
  <c r="ER25" i="4"/>
  <c r="EQ25" i="4"/>
  <c r="EO25" i="4"/>
  <c r="EN25" i="4"/>
  <c r="EM25" i="4"/>
  <c r="EL25" i="4"/>
  <c r="EZ25" i="4" s="1"/>
  <c r="EK25" i="4"/>
  <c r="EY25" i="4" s="1"/>
  <c r="EJ25" i="4"/>
  <c r="EH25" i="4"/>
  <c r="EG25" i="4"/>
  <c r="EF25" i="4"/>
  <c r="EE25" i="4"/>
  <c r="ED25" i="4"/>
  <c r="EC25" i="4"/>
  <c r="DM25" i="4"/>
  <c r="DL25" i="4"/>
  <c r="DK25" i="4"/>
  <c r="DJ25" i="4"/>
  <c r="DI25" i="4"/>
  <c r="DH25" i="4"/>
  <c r="BL25" i="4"/>
  <c r="BK25" i="4"/>
  <c r="BJ25" i="4"/>
  <c r="BG25" i="4"/>
  <c r="BF25" i="4"/>
  <c r="BN25" i="4" s="1"/>
  <c r="BE25" i="4"/>
  <c r="BD25" i="4"/>
  <c r="BC25" i="4"/>
  <c r="BB25" i="4"/>
  <c r="BA25" i="4"/>
  <c r="AZ25" i="4"/>
  <c r="AY25" i="4"/>
  <c r="AX25" i="4"/>
  <c r="AW25" i="4"/>
  <c r="AV25" i="4"/>
  <c r="AS25" i="4"/>
  <c r="AR25" i="4"/>
  <c r="AT25" i="4" s="1"/>
  <c r="AO25" i="4"/>
  <c r="AN25" i="4"/>
  <c r="AM25" i="4"/>
  <c r="AP25" i="4" s="1"/>
  <c r="GS24" i="4"/>
  <c r="GO24" i="4"/>
  <c r="GM24" i="4"/>
  <c r="GL24" i="4"/>
  <c r="GJ24" i="4"/>
  <c r="GI24" i="4"/>
  <c r="FX24" i="4"/>
  <c r="FV24" i="4"/>
  <c r="FU24" i="4"/>
  <c r="FT24" i="4"/>
  <c r="FQ24" i="4"/>
  <c r="FO24" i="4"/>
  <c r="GB24" i="4" s="1"/>
  <c r="FL24" i="4"/>
  <c r="FI24" i="4"/>
  <c r="FH24" i="4"/>
  <c r="FK24" i="4" s="1"/>
  <c r="FC24" i="4"/>
  <c r="FB24" i="4"/>
  <c r="EX24" i="4"/>
  <c r="EV24" i="4"/>
  <c r="EU24" i="4"/>
  <c r="ET24" i="4"/>
  <c r="ES24" i="4"/>
  <c r="ER24" i="4"/>
  <c r="FF24" i="4" s="1"/>
  <c r="EQ24" i="4"/>
  <c r="FA24" i="4" s="1"/>
  <c r="EO24" i="4"/>
  <c r="EN24" i="4"/>
  <c r="EM24" i="4"/>
  <c r="EL24" i="4"/>
  <c r="EK24" i="4"/>
  <c r="EY24" i="4" s="1"/>
  <c r="EJ24" i="4"/>
  <c r="EH24" i="4"/>
  <c r="EG24" i="4"/>
  <c r="EF24" i="4"/>
  <c r="EE24" i="4"/>
  <c r="ED24" i="4"/>
  <c r="EC24" i="4"/>
  <c r="DM24" i="4"/>
  <c r="DL24" i="4"/>
  <c r="DK24" i="4"/>
  <c r="DJ24" i="4"/>
  <c r="DI24" i="4"/>
  <c r="DH24" i="4"/>
  <c r="BM24" i="4"/>
  <c r="BL24" i="4"/>
  <c r="BG24" i="4"/>
  <c r="BF24" i="4"/>
  <c r="BN24" i="4" s="1"/>
  <c r="BE24" i="4"/>
  <c r="BD24" i="4"/>
  <c r="BC24" i="4"/>
  <c r="BB24" i="4"/>
  <c r="BA24" i="4"/>
  <c r="AZ24" i="4"/>
  <c r="AY24" i="4"/>
  <c r="BJ24" i="4" s="1"/>
  <c r="AX24" i="4"/>
  <c r="AW24" i="4"/>
  <c r="AV24" i="4"/>
  <c r="BI24" i="4" s="1"/>
  <c r="AT24" i="4"/>
  <c r="AS24" i="4"/>
  <c r="AR24" i="4"/>
  <c r="AO24" i="4"/>
  <c r="AN24" i="4"/>
  <c r="AM24" i="4"/>
  <c r="AP24" i="4" s="1"/>
  <c r="GS23" i="4"/>
  <c r="GO23" i="4"/>
  <c r="GM23" i="4"/>
  <c r="GL23" i="4"/>
  <c r="GJ23" i="4"/>
  <c r="GI23" i="4"/>
  <c r="GB23" i="4"/>
  <c r="GA23" i="4"/>
  <c r="FX23" i="4"/>
  <c r="FV23" i="4"/>
  <c r="FU23" i="4"/>
  <c r="FT23" i="4"/>
  <c r="FQ23" i="4"/>
  <c r="FO23" i="4"/>
  <c r="FL23" i="4"/>
  <c r="FK23" i="4"/>
  <c r="FI23" i="4"/>
  <c r="FH23" i="4"/>
  <c r="EX23" i="4"/>
  <c r="EV23" i="4"/>
  <c r="EU23" i="4"/>
  <c r="ET23" i="4"/>
  <c r="ES23" i="4"/>
  <c r="FF23" i="4" s="1"/>
  <c r="ER23" i="4"/>
  <c r="FE23" i="4" s="1"/>
  <c r="EQ23" i="4"/>
  <c r="FD23" i="4" s="1"/>
  <c r="EO23" i="4"/>
  <c r="EN23" i="4"/>
  <c r="EM23" i="4"/>
  <c r="EL23" i="4"/>
  <c r="EK23" i="4"/>
  <c r="EJ23" i="4"/>
  <c r="EH23" i="4"/>
  <c r="EG23" i="4"/>
  <c r="EF23" i="4"/>
  <c r="EE23" i="4"/>
  <c r="ED23" i="4"/>
  <c r="EC23" i="4"/>
  <c r="DM23" i="4"/>
  <c r="DL23" i="4"/>
  <c r="DK23" i="4"/>
  <c r="DJ23" i="4"/>
  <c r="DI23" i="4"/>
  <c r="DH23" i="4"/>
  <c r="BM23" i="4"/>
  <c r="BL23" i="4"/>
  <c r="BG23" i="4"/>
  <c r="BN23" i="4" s="1"/>
  <c r="BF23" i="4"/>
  <c r="BE23" i="4"/>
  <c r="BD23" i="4"/>
  <c r="BC23" i="4"/>
  <c r="BB23" i="4"/>
  <c r="BA23" i="4"/>
  <c r="AZ23" i="4"/>
  <c r="BK23" i="4" s="1"/>
  <c r="AY23" i="4"/>
  <c r="BJ23" i="4" s="1"/>
  <c r="AX23" i="4"/>
  <c r="AW23" i="4"/>
  <c r="AV23" i="4"/>
  <c r="BI23" i="4" s="1"/>
  <c r="AT23" i="4"/>
  <c r="AS23" i="4"/>
  <c r="AR23" i="4"/>
  <c r="AO23" i="4"/>
  <c r="AN23" i="4"/>
  <c r="AP23" i="4" s="1"/>
  <c r="AM23" i="4"/>
  <c r="GS22" i="4"/>
  <c r="GT22" i="4" s="1"/>
  <c r="GO22" i="4"/>
  <c r="GM22" i="4"/>
  <c r="GL22" i="4"/>
  <c r="GJ22" i="4"/>
  <c r="GI22" i="4"/>
  <c r="FV22" i="4"/>
  <c r="FU22" i="4"/>
  <c r="FT22" i="4"/>
  <c r="FQ22" i="4"/>
  <c r="FO22" i="4"/>
  <c r="FI22" i="4"/>
  <c r="FL22" i="4" s="1"/>
  <c r="FH22" i="4"/>
  <c r="FK22" i="4" s="1"/>
  <c r="FC22" i="4"/>
  <c r="EX22" i="4"/>
  <c r="EV22" i="4"/>
  <c r="EU22" i="4"/>
  <c r="FB22" i="4" s="1"/>
  <c r="ET22" i="4"/>
  <c r="ES22" i="4"/>
  <c r="ER22" i="4"/>
  <c r="EQ22" i="4"/>
  <c r="FF22" i="4" s="1"/>
  <c r="EO22" i="4"/>
  <c r="EN22" i="4"/>
  <c r="EM22" i="4"/>
  <c r="EL22" i="4"/>
  <c r="EK22" i="4"/>
  <c r="EZ22" i="4" s="1"/>
  <c r="EJ22" i="4"/>
  <c r="EH22" i="4"/>
  <c r="EG22" i="4"/>
  <c r="EF22" i="4"/>
  <c r="EE22" i="4"/>
  <c r="ED22" i="4"/>
  <c r="EC22" i="4"/>
  <c r="DM22" i="4"/>
  <c r="DL22" i="4"/>
  <c r="DK22" i="4"/>
  <c r="DJ22" i="4"/>
  <c r="DI22" i="4"/>
  <c r="DH22" i="4"/>
  <c r="BP22" i="4"/>
  <c r="BN22" i="4"/>
  <c r="BG22" i="4"/>
  <c r="BF22" i="4"/>
  <c r="BE22" i="4"/>
  <c r="BD22" i="4"/>
  <c r="BM22" i="4" s="1"/>
  <c r="BC22" i="4"/>
  <c r="BB22" i="4"/>
  <c r="BL22" i="4" s="1"/>
  <c r="BA22" i="4"/>
  <c r="BK22" i="4" s="1"/>
  <c r="AZ22" i="4"/>
  <c r="AY22" i="4"/>
  <c r="AX22" i="4"/>
  <c r="BJ22" i="4" s="1"/>
  <c r="AW22" i="4"/>
  <c r="AV22" i="4"/>
  <c r="BI22" i="4" s="1"/>
  <c r="AS22" i="4"/>
  <c r="AR22" i="4"/>
  <c r="AT22" i="4" s="1"/>
  <c r="AO22" i="4"/>
  <c r="AN22" i="4"/>
  <c r="AM22" i="4"/>
  <c r="GS21" i="4"/>
  <c r="GO21" i="4"/>
  <c r="GM21" i="4"/>
  <c r="GL21" i="4"/>
  <c r="GJ21" i="4"/>
  <c r="GI21" i="4"/>
  <c r="FV21" i="4"/>
  <c r="FU21" i="4"/>
  <c r="FT21" i="4"/>
  <c r="FQ21" i="4"/>
  <c r="FO21" i="4"/>
  <c r="GB21" i="4" s="1"/>
  <c r="FL21" i="4"/>
  <c r="FK21" i="4"/>
  <c r="FI21" i="4"/>
  <c r="FH21" i="4"/>
  <c r="FB21" i="4"/>
  <c r="FA21" i="4"/>
  <c r="EX21" i="4"/>
  <c r="EV21" i="4"/>
  <c r="EU21" i="4"/>
  <c r="ET21" i="4"/>
  <c r="ES21" i="4"/>
  <c r="ER21" i="4"/>
  <c r="FF21" i="4" s="1"/>
  <c r="EQ21" i="4"/>
  <c r="FD21" i="4" s="1"/>
  <c r="EO21" i="4"/>
  <c r="EN21" i="4"/>
  <c r="EM21" i="4"/>
  <c r="EL21" i="4"/>
  <c r="EK21" i="4"/>
  <c r="EJ21" i="4"/>
  <c r="EH21" i="4"/>
  <c r="EG21" i="4"/>
  <c r="EF21" i="4"/>
  <c r="EE21" i="4"/>
  <c r="ED21" i="4"/>
  <c r="EC21" i="4"/>
  <c r="DM21" i="4"/>
  <c r="DL21" i="4"/>
  <c r="DK21" i="4"/>
  <c r="DJ21" i="4"/>
  <c r="DI21" i="4"/>
  <c r="DH21" i="4"/>
  <c r="BG21" i="4"/>
  <c r="BN21" i="4" s="1"/>
  <c r="BF21" i="4"/>
  <c r="BE21" i="4"/>
  <c r="BD21" i="4"/>
  <c r="BM21" i="4" s="1"/>
  <c r="BC21" i="4"/>
  <c r="BL21" i="4" s="1"/>
  <c r="BB21" i="4"/>
  <c r="BA21" i="4"/>
  <c r="AZ21" i="4"/>
  <c r="BK21" i="4" s="1"/>
  <c r="CD21" i="4" s="1"/>
  <c r="CK21" i="4" s="1"/>
  <c r="AY21" i="4"/>
  <c r="AX21" i="4"/>
  <c r="BJ21" i="4" s="1"/>
  <c r="AW21" i="4"/>
  <c r="AV21" i="4"/>
  <c r="BI21" i="4" s="1"/>
  <c r="AT21" i="4"/>
  <c r="AS21" i="4"/>
  <c r="AR21" i="4"/>
  <c r="AO21" i="4"/>
  <c r="AP21" i="4" s="1"/>
  <c r="AN21" i="4"/>
  <c r="AM21" i="4"/>
  <c r="GS20" i="4"/>
  <c r="GO20" i="4"/>
  <c r="GM20" i="4"/>
  <c r="GL20" i="4"/>
  <c r="GJ20" i="4"/>
  <c r="GI20" i="4"/>
  <c r="FV20" i="4"/>
  <c r="FU20" i="4"/>
  <c r="FT20" i="4"/>
  <c r="FQ20" i="4"/>
  <c r="FO20" i="4"/>
  <c r="GB20" i="4" s="1"/>
  <c r="FI20" i="4"/>
  <c r="FL20" i="4" s="1"/>
  <c r="FH20" i="4"/>
  <c r="FK20" i="4" s="1"/>
  <c r="EX20" i="4"/>
  <c r="EV20" i="4"/>
  <c r="EU20" i="4"/>
  <c r="ET20" i="4"/>
  <c r="ES20" i="4"/>
  <c r="ER20" i="4"/>
  <c r="EQ20" i="4"/>
  <c r="EO20" i="4"/>
  <c r="EN20" i="4"/>
  <c r="EM20" i="4"/>
  <c r="EL20" i="4"/>
  <c r="EK20" i="4"/>
  <c r="EJ20" i="4"/>
  <c r="EH20" i="4"/>
  <c r="EG20" i="4"/>
  <c r="EF20" i="4"/>
  <c r="EE20" i="4"/>
  <c r="ED20" i="4"/>
  <c r="EC20" i="4"/>
  <c r="DM20" i="4"/>
  <c r="DL20" i="4"/>
  <c r="DK20" i="4"/>
  <c r="DJ20" i="4"/>
  <c r="DI20" i="4"/>
  <c r="DH20" i="4"/>
  <c r="CT20" i="4"/>
  <c r="CF20" i="4"/>
  <c r="CM20" i="4" s="1"/>
  <c r="DA20" i="4" s="1"/>
  <c r="BJ20" i="4"/>
  <c r="CC20" i="4" s="1"/>
  <c r="CJ20" i="4" s="1"/>
  <c r="BG20" i="4"/>
  <c r="BF20" i="4"/>
  <c r="BN20" i="4" s="1"/>
  <c r="BE20" i="4"/>
  <c r="BM20" i="4" s="1"/>
  <c r="BD20" i="4"/>
  <c r="BC20" i="4"/>
  <c r="BB20" i="4"/>
  <c r="BL20" i="4" s="1"/>
  <c r="BA20" i="4"/>
  <c r="BK20" i="4" s="1"/>
  <c r="AZ20" i="4"/>
  <c r="AY20" i="4"/>
  <c r="AX20" i="4"/>
  <c r="AW20" i="4"/>
  <c r="AV20" i="4"/>
  <c r="BI20" i="4" s="1"/>
  <c r="AS20" i="4"/>
  <c r="AR20" i="4"/>
  <c r="AT20" i="4" s="1"/>
  <c r="AO20" i="4"/>
  <c r="AN20" i="4"/>
  <c r="AM20" i="4"/>
  <c r="AP20" i="4" s="1"/>
  <c r="GS19" i="4"/>
  <c r="GO19" i="4"/>
  <c r="GM19" i="4"/>
  <c r="GL19" i="4"/>
  <c r="GJ19" i="4"/>
  <c r="GI19" i="4"/>
  <c r="GB19" i="4"/>
  <c r="FX19" i="4"/>
  <c r="FV19" i="4"/>
  <c r="FU19" i="4"/>
  <c r="FT19" i="4"/>
  <c r="GD19" i="4" s="1"/>
  <c r="FQ19" i="4"/>
  <c r="FO19" i="4"/>
  <c r="FL19" i="4"/>
  <c r="FK19" i="4"/>
  <c r="FI19" i="4"/>
  <c r="FH19" i="4"/>
  <c r="EX19" i="4"/>
  <c r="EV19" i="4"/>
  <c r="EU19" i="4"/>
  <c r="ET19" i="4"/>
  <c r="ES19" i="4"/>
  <c r="ER19" i="4"/>
  <c r="EQ19" i="4"/>
  <c r="FD19" i="4" s="1"/>
  <c r="EO19" i="4"/>
  <c r="EN19" i="4"/>
  <c r="EM19" i="4"/>
  <c r="EL19" i="4"/>
  <c r="EK19" i="4"/>
  <c r="EJ19" i="4"/>
  <c r="EZ19" i="4" s="1"/>
  <c r="EH19" i="4"/>
  <c r="EG19" i="4"/>
  <c r="EF19" i="4"/>
  <c r="EE19" i="4"/>
  <c r="ED19" i="4"/>
  <c r="EC19" i="4"/>
  <c r="DM19" i="4"/>
  <c r="DL19" i="4"/>
  <c r="DK19" i="4"/>
  <c r="DJ19" i="4"/>
  <c r="DI19" i="4"/>
  <c r="DH19" i="4"/>
  <c r="CG19" i="4"/>
  <c r="CN19" i="4" s="1"/>
  <c r="DB19" i="4" s="1"/>
  <c r="BM19" i="4"/>
  <c r="CF19" i="4" s="1"/>
  <c r="CM19" i="4" s="1"/>
  <c r="BL19" i="4"/>
  <c r="CE19" i="4" s="1"/>
  <c r="CL19" i="4" s="1"/>
  <c r="BK19" i="4"/>
  <c r="CD19" i="4" s="1"/>
  <c r="CK19" i="4" s="1"/>
  <c r="BG19" i="4"/>
  <c r="BN19" i="4" s="1"/>
  <c r="BF19" i="4"/>
  <c r="BE19" i="4"/>
  <c r="BD19" i="4"/>
  <c r="BC19" i="4"/>
  <c r="BB19" i="4"/>
  <c r="BA19" i="4"/>
  <c r="AZ19" i="4"/>
  <c r="AY19" i="4"/>
  <c r="AX19" i="4"/>
  <c r="BJ19" i="4" s="1"/>
  <c r="AW19" i="4"/>
  <c r="AV19" i="4"/>
  <c r="BI19" i="4" s="1"/>
  <c r="AT19" i="4"/>
  <c r="AS19" i="4"/>
  <c r="AR19" i="4"/>
  <c r="AO19" i="4"/>
  <c r="AP19" i="4" s="1"/>
  <c r="AN19" i="4"/>
  <c r="AM19" i="4"/>
  <c r="GS18" i="4"/>
  <c r="GO18" i="4"/>
  <c r="GM18" i="4"/>
  <c r="GL18" i="4"/>
  <c r="GJ18" i="4"/>
  <c r="GI18" i="4"/>
  <c r="FZ18" i="4"/>
  <c r="FV18" i="4"/>
  <c r="FU18" i="4"/>
  <c r="FT18" i="4"/>
  <c r="FZ19" i="4" s="1"/>
  <c r="FQ18" i="4"/>
  <c r="FO18" i="4"/>
  <c r="FX18" i="4" s="1"/>
  <c r="FI18" i="4"/>
  <c r="FL18" i="4" s="1"/>
  <c r="FH18" i="4"/>
  <c r="FK18" i="4" s="1"/>
  <c r="EX18" i="4"/>
  <c r="EV18" i="4"/>
  <c r="EU18" i="4"/>
  <c r="ET18" i="4"/>
  <c r="FC18" i="4" s="1"/>
  <c r="ES18" i="4"/>
  <c r="ER18" i="4"/>
  <c r="EQ18" i="4"/>
  <c r="FF18" i="4" s="1"/>
  <c r="EO18" i="4"/>
  <c r="EN18" i="4"/>
  <c r="EM18" i="4"/>
  <c r="EL18" i="4"/>
  <c r="EK18" i="4"/>
  <c r="EY18" i="4" s="1"/>
  <c r="EJ18" i="4"/>
  <c r="EZ18" i="4" s="1"/>
  <c r="EH18" i="4"/>
  <c r="EG18" i="4"/>
  <c r="EF18" i="4"/>
  <c r="EE18" i="4"/>
  <c r="ED18" i="4"/>
  <c r="EC18" i="4"/>
  <c r="DM18" i="4"/>
  <c r="DL18" i="4"/>
  <c r="DK18" i="4"/>
  <c r="DJ18" i="4"/>
  <c r="DI18" i="4"/>
  <c r="DH18" i="4"/>
  <c r="BN18" i="4"/>
  <c r="CG18" i="4" s="1"/>
  <c r="CN18" i="4" s="1"/>
  <c r="BM18" i="4"/>
  <c r="CF18" i="4" s="1"/>
  <c r="CM18" i="4" s="1"/>
  <c r="BK18" i="4"/>
  <c r="BG18" i="4"/>
  <c r="BF18" i="4"/>
  <c r="BE18" i="4"/>
  <c r="BD18" i="4"/>
  <c r="BC18" i="4"/>
  <c r="BB18" i="4"/>
  <c r="BL18" i="4" s="1"/>
  <c r="BA18" i="4"/>
  <c r="AZ18" i="4"/>
  <c r="AY18" i="4"/>
  <c r="AX18" i="4"/>
  <c r="BJ18" i="4" s="1"/>
  <c r="AW18" i="4"/>
  <c r="AV18" i="4"/>
  <c r="AS18" i="4"/>
  <c r="AR18" i="4"/>
  <c r="AT18" i="4" s="1"/>
  <c r="AO18" i="4"/>
  <c r="AN18" i="4"/>
  <c r="AM18" i="4"/>
  <c r="AP18" i="4" s="1"/>
  <c r="GS17" i="4"/>
  <c r="GP17" i="4"/>
  <c r="GO17" i="4"/>
  <c r="GM17" i="4"/>
  <c r="GL17" i="4"/>
  <c r="GJ17" i="4"/>
  <c r="GI17" i="4"/>
  <c r="GB17" i="4"/>
  <c r="GA17" i="4"/>
  <c r="FX17" i="4"/>
  <c r="FV17" i="4"/>
  <c r="FU17" i="4"/>
  <c r="FT17" i="4"/>
  <c r="FQ17" i="4"/>
  <c r="FO17" i="4"/>
  <c r="FL17" i="4"/>
  <c r="FK17" i="4"/>
  <c r="FI17" i="4"/>
  <c r="FH17" i="4"/>
  <c r="EX17" i="4"/>
  <c r="EV17" i="4"/>
  <c r="EU17" i="4"/>
  <c r="ET17" i="4"/>
  <c r="ES17" i="4"/>
  <c r="ER17" i="4"/>
  <c r="FF17" i="4" s="1"/>
  <c r="EQ17" i="4"/>
  <c r="FD17" i="4" s="1"/>
  <c r="EO17" i="4"/>
  <c r="EN17" i="4"/>
  <c r="EM17" i="4"/>
  <c r="EL17" i="4"/>
  <c r="EK17" i="4"/>
  <c r="EJ17" i="4"/>
  <c r="EH17" i="4"/>
  <c r="EG17" i="4"/>
  <c r="EF17" i="4"/>
  <c r="EE17" i="4"/>
  <c r="ED17" i="4"/>
  <c r="EC17" i="4"/>
  <c r="DM17" i="4"/>
  <c r="DL17" i="4"/>
  <c r="DK17" i="4"/>
  <c r="DJ17" i="4"/>
  <c r="DI17" i="4"/>
  <c r="DH17" i="4"/>
  <c r="BM17" i="4"/>
  <c r="BL17" i="4"/>
  <c r="BG17" i="4"/>
  <c r="BN17" i="4" s="1"/>
  <c r="BF17" i="4"/>
  <c r="BE17" i="4"/>
  <c r="BD17" i="4"/>
  <c r="BC17" i="4"/>
  <c r="BB17" i="4"/>
  <c r="BA17" i="4"/>
  <c r="AZ17" i="4"/>
  <c r="BK17" i="4" s="1"/>
  <c r="AY17" i="4"/>
  <c r="BJ17" i="4" s="1"/>
  <c r="AX17" i="4"/>
  <c r="AW17" i="4"/>
  <c r="AV17" i="4"/>
  <c r="BI17" i="4" s="1"/>
  <c r="AT17" i="4"/>
  <c r="AS17" i="4"/>
  <c r="AR17" i="4"/>
  <c r="AO17" i="4"/>
  <c r="AN17" i="4"/>
  <c r="AP17" i="4" s="1"/>
  <c r="AM17" i="4"/>
  <c r="GT16" i="4"/>
  <c r="GS16" i="4"/>
  <c r="GO16" i="4"/>
  <c r="GM16" i="4"/>
  <c r="GL16" i="4"/>
  <c r="GJ16" i="4"/>
  <c r="GI16" i="4"/>
  <c r="FV16" i="4"/>
  <c r="FU16" i="4"/>
  <c r="FT16" i="4"/>
  <c r="FZ17" i="4" s="1"/>
  <c r="FQ16" i="4"/>
  <c r="FO16" i="4"/>
  <c r="FI16" i="4"/>
  <c r="FL16" i="4" s="1"/>
  <c r="FH16" i="4"/>
  <c r="FK16" i="4" s="1"/>
  <c r="FC16" i="4"/>
  <c r="EX16" i="4"/>
  <c r="EV16" i="4"/>
  <c r="EU16" i="4"/>
  <c r="ET16" i="4"/>
  <c r="FB16" i="4" s="1"/>
  <c r="ES16" i="4"/>
  <c r="ER16" i="4"/>
  <c r="EQ16" i="4"/>
  <c r="FF16" i="4" s="1"/>
  <c r="EO16" i="4"/>
  <c r="EN16" i="4"/>
  <c r="EM16" i="4"/>
  <c r="EL16" i="4"/>
  <c r="EK16" i="4"/>
  <c r="EZ16" i="4" s="1"/>
  <c r="EJ16" i="4"/>
  <c r="EH16" i="4"/>
  <c r="EG16" i="4"/>
  <c r="EF16" i="4"/>
  <c r="EE16" i="4"/>
  <c r="ED16" i="4"/>
  <c r="EC16" i="4"/>
  <c r="DM16" i="4"/>
  <c r="DL16" i="4"/>
  <c r="DK16" i="4"/>
  <c r="DJ16" i="4"/>
  <c r="DI16" i="4"/>
  <c r="DH16" i="4"/>
  <c r="CP16" i="4"/>
  <c r="CB16" i="4"/>
  <c r="CI16" i="4" s="1"/>
  <c r="CW16" i="4" s="1"/>
  <c r="BN16" i="4"/>
  <c r="BJ16" i="4"/>
  <c r="BG16" i="4"/>
  <c r="BF16" i="4"/>
  <c r="BE16" i="4"/>
  <c r="BD16" i="4"/>
  <c r="BM16" i="4" s="1"/>
  <c r="BC16" i="4"/>
  <c r="BB16" i="4"/>
  <c r="BL16" i="4" s="1"/>
  <c r="BA16" i="4"/>
  <c r="BK16" i="4" s="1"/>
  <c r="AZ16" i="4"/>
  <c r="AY16" i="4"/>
  <c r="AX16" i="4"/>
  <c r="AW16" i="4"/>
  <c r="AV16" i="4"/>
  <c r="BI16" i="4" s="1"/>
  <c r="AS16" i="4"/>
  <c r="AR16" i="4"/>
  <c r="AT16" i="4" s="1"/>
  <c r="AO16" i="4"/>
  <c r="AN16" i="4"/>
  <c r="AM16" i="4"/>
  <c r="GS15" i="4"/>
  <c r="GO15" i="4"/>
  <c r="GM15" i="4"/>
  <c r="GL15" i="4"/>
  <c r="GJ15" i="4"/>
  <c r="GI15" i="4"/>
  <c r="GB15" i="4"/>
  <c r="FX15" i="4"/>
  <c r="FV15" i="4"/>
  <c r="GA16" i="4" s="1"/>
  <c r="FU15" i="4"/>
  <c r="FT15" i="4"/>
  <c r="FQ15" i="4"/>
  <c r="FK15" i="4"/>
  <c r="FI15" i="4"/>
  <c r="FL15" i="4" s="1"/>
  <c r="FH15" i="4"/>
  <c r="FA15" i="4"/>
  <c r="EZ15" i="4"/>
  <c r="EX15" i="4"/>
  <c r="EV15" i="4"/>
  <c r="EU15" i="4"/>
  <c r="ET15" i="4"/>
  <c r="ES15" i="4"/>
  <c r="ER15" i="4"/>
  <c r="EQ15" i="4"/>
  <c r="FF15" i="4" s="1"/>
  <c r="EO15" i="4"/>
  <c r="EN15" i="4"/>
  <c r="EM15" i="4"/>
  <c r="EL15" i="4"/>
  <c r="EK15" i="4"/>
  <c r="EJ15" i="4"/>
  <c r="EY15" i="4" s="1"/>
  <c r="EH15" i="4"/>
  <c r="EG15" i="4"/>
  <c r="EF15" i="4"/>
  <c r="EE15" i="4"/>
  <c r="ED15" i="4"/>
  <c r="EC15" i="4"/>
  <c r="DM15" i="4"/>
  <c r="DL15" i="4"/>
  <c r="DK15" i="4"/>
  <c r="DJ15" i="4"/>
  <c r="DI15" i="4"/>
  <c r="DH15" i="4"/>
  <c r="CF15" i="4"/>
  <c r="CM15" i="4" s="1"/>
  <c r="CB15" i="4"/>
  <c r="CI15" i="4" s="1"/>
  <c r="CW15" i="4" s="1"/>
  <c r="BM15" i="4"/>
  <c r="BK15" i="4"/>
  <c r="BG15" i="4"/>
  <c r="BF15" i="4"/>
  <c r="BN15" i="4" s="1"/>
  <c r="BE15" i="4"/>
  <c r="BD15" i="4"/>
  <c r="BC15" i="4"/>
  <c r="BB15" i="4"/>
  <c r="BA15" i="4"/>
  <c r="AZ15" i="4"/>
  <c r="AY15" i="4"/>
  <c r="AX15" i="4"/>
  <c r="BJ15" i="4" s="1"/>
  <c r="AW15" i="4"/>
  <c r="AV15" i="4"/>
  <c r="BI15" i="4" s="1"/>
  <c r="AS15" i="4"/>
  <c r="AT15" i="4" s="1"/>
  <c r="AR15" i="4"/>
  <c r="AO15" i="4"/>
  <c r="AN15" i="4"/>
  <c r="AM15" i="4"/>
  <c r="AP15" i="4" s="1"/>
  <c r="GS14" i="4"/>
  <c r="GO14" i="4"/>
  <c r="GM14" i="4"/>
  <c r="GL14" i="4"/>
  <c r="GJ14" i="4"/>
  <c r="GI14" i="4"/>
  <c r="GB14" i="4"/>
  <c r="FX14" i="4"/>
  <c r="FV14" i="4"/>
  <c r="FU14" i="4"/>
  <c r="FT14" i="4"/>
  <c r="FQ14" i="4"/>
  <c r="FL14" i="4"/>
  <c r="FK14" i="4"/>
  <c r="FI14" i="4"/>
  <c r="FH14" i="4"/>
  <c r="FB14" i="4"/>
  <c r="FA14" i="4"/>
  <c r="EX14" i="4"/>
  <c r="EV14" i="4"/>
  <c r="EU14" i="4"/>
  <c r="ET14" i="4"/>
  <c r="ES14" i="4"/>
  <c r="ER14" i="4"/>
  <c r="FF14" i="4" s="1"/>
  <c r="EQ14" i="4"/>
  <c r="FD14" i="4" s="1"/>
  <c r="EO14" i="4"/>
  <c r="EN14" i="4"/>
  <c r="EM14" i="4"/>
  <c r="EL14" i="4"/>
  <c r="EK14" i="4"/>
  <c r="EJ14" i="4"/>
  <c r="EH14" i="4"/>
  <c r="EG14" i="4"/>
  <c r="EF14" i="4"/>
  <c r="EE14" i="4"/>
  <c r="ED14" i="4"/>
  <c r="EC14" i="4"/>
  <c r="DM14" i="4"/>
  <c r="DL14" i="4"/>
  <c r="DK14" i="4"/>
  <c r="DJ14" i="4"/>
  <c r="DI14" i="4"/>
  <c r="DH14" i="4"/>
  <c r="CR14" i="4"/>
  <c r="CD14" i="4"/>
  <c r="CK14" i="4" s="1"/>
  <c r="CY14" i="4" s="1"/>
  <c r="BG14" i="4"/>
  <c r="BF14" i="4"/>
  <c r="BN14" i="4" s="1"/>
  <c r="BE14" i="4"/>
  <c r="BD14" i="4"/>
  <c r="BM14" i="4" s="1"/>
  <c r="BC14" i="4"/>
  <c r="BL14" i="4" s="1"/>
  <c r="BB14" i="4"/>
  <c r="BA14" i="4"/>
  <c r="AZ14" i="4"/>
  <c r="BK14" i="4" s="1"/>
  <c r="AY14" i="4"/>
  <c r="AX14" i="4"/>
  <c r="BJ14" i="4" s="1"/>
  <c r="BQ14" i="4" s="1"/>
  <c r="AW14" i="4"/>
  <c r="AV14" i="4"/>
  <c r="BI14" i="4" s="1"/>
  <c r="AT14" i="4"/>
  <c r="AS14" i="4"/>
  <c r="AR14" i="4"/>
  <c r="AO14" i="4"/>
  <c r="AP14" i="4" s="1"/>
  <c r="AN14" i="4"/>
  <c r="AM14" i="4"/>
  <c r="GS13" i="4"/>
  <c r="GO13" i="4"/>
  <c r="GM13" i="4"/>
  <c r="GL13" i="4"/>
  <c r="GJ13" i="4"/>
  <c r="GI13" i="4"/>
  <c r="GB13" i="4"/>
  <c r="FX13" i="4"/>
  <c r="FV13" i="4"/>
  <c r="FU13" i="4"/>
  <c r="FT13" i="4"/>
  <c r="FQ13" i="4"/>
  <c r="FL13" i="4"/>
  <c r="FI13" i="4"/>
  <c r="FH13" i="4"/>
  <c r="FK13" i="4" s="1"/>
  <c r="FC13" i="4"/>
  <c r="FB13" i="4"/>
  <c r="EX13" i="4"/>
  <c r="EV13" i="4"/>
  <c r="EU13" i="4"/>
  <c r="ET13" i="4"/>
  <c r="ES13" i="4"/>
  <c r="FF13" i="4" s="1"/>
  <c r="ER13" i="4"/>
  <c r="FE13" i="4" s="1"/>
  <c r="EQ13" i="4"/>
  <c r="FA13" i="4" s="1"/>
  <c r="EO13" i="4"/>
  <c r="EN13" i="4"/>
  <c r="EM13" i="4"/>
  <c r="EL13" i="4"/>
  <c r="EK13" i="4"/>
  <c r="EJ13" i="4"/>
  <c r="EH13" i="4"/>
  <c r="EG13" i="4"/>
  <c r="EF13" i="4"/>
  <c r="EE13" i="4"/>
  <c r="ED13" i="4"/>
  <c r="EC13" i="4"/>
  <c r="DM13" i="4"/>
  <c r="DL13" i="4"/>
  <c r="DK13" i="4"/>
  <c r="DJ13" i="4"/>
  <c r="DI13" i="4"/>
  <c r="DH13" i="4"/>
  <c r="CE13" i="4"/>
  <c r="CL13" i="4" s="1"/>
  <c r="CZ13" i="4" s="1"/>
  <c r="BN13" i="4"/>
  <c r="BL13" i="4"/>
  <c r="BJ13" i="4"/>
  <c r="CC13" i="4" s="1"/>
  <c r="CJ13" i="4" s="1"/>
  <c r="BG13" i="4"/>
  <c r="BF13" i="4"/>
  <c r="BE13" i="4"/>
  <c r="BD13" i="4"/>
  <c r="BM13" i="4" s="1"/>
  <c r="BC13" i="4"/>
  <c r="BB13" i="4"/>
  <c r="BA13" i="4"/>
  <c r="AZ13" i="4"/>
  <c r="BK13" i="4" s="1"/>
  <c r="CD13" i="4" s="1"/>
  <c r="CK13" i="4" s="1"/>
  <c r="AY13" i="4"/>
  <c r="AX13" i="4"/>
  <c r="AW13" i="4"/>
  <c r="AV13" i="4"/>
  <c r="BI13" i="4" s="1"/>
  <c r="AS13" i="4"/>
  <c r="AR13" i="4"/>
  <c r="AT13" i="4" s="1"/>
  <c r="AP13" i="4"/>
  <c r="AO13" i="4"/>
  <c r="AN13" i="4"/>
  <c r="AM13" i="4"/>
  <c r="GS12" i="4"/>
  <c r="GO12" i="4"/>
  <c r="GP12" i="4" s="1"/>
  <c r="GM12" i="4"/>
  <c r="GL12" i="4"/>
  <c r="GJ12" i="4"/>
  <c r="GI12" i="4"/>
  <c r="GB12" i="4"/>
  <c r="FX12" i="4"/>
  <c r="FV12" i="4"/>
  <c r="FU12" i="4"/>
  <c r="FT12" i="4"/>
  <c r="FQ12" i="4"/>
  <c r="FI12" i="4"/>
  <c r="FL12" i="4" s="1"/>
  <c r="FH12" i="4"/>
  <c r="FK12" i="4" s="1"/>
  <c r="FD12" i="4"/>
  <c r="FC12" i="4"/>
  <c r="EX12" i="4"/>
  <c r="EV12" i="4"/>
  <c r="EU12" i="4"/>
  <c r="ET12" i="4"/>
  <c r="ES12" i="4"/>
  <c r="ER12" i="4"/>
  <c r="EQ12" i="4"/>
  <c r="EO12" i="4"/>
  <c r="EN12" i="4"/>
  <c r="EM12" i="4"/>
  <c r="EL12" i="4"/>
  <c r="EK12" i="4"/>
  <c r="EZ12" i="4" s="1"/>
  <c r="EJ12" i="4"/>
  <c r="EH12" i="4"/>
  <c r="EG12" i="4"/>
  <c r="EF12" i="4"/>
  <c r="EE12" i="4"/>
  <c r="ED12" i="4"/>
  <c r="EC12" i="4"/>
  <c r="DM12" i="4"/>
  <c r="DL12" i="4"/>
  <c r="DK12" i="4"/>
  <c r="DJ12" i="4"/>
  <c r="DI12" i="4"/>
  <c r="DH12" i="4"/>
  <c r="CF12" i="4"/>
  <c r="CM12" i="4" s="1"/>
  <c r="DA12" i="4" s="1"/>
  <c r="BK12" i="4"/>
  <c r="CD12" i="4" s="1"/>
  <c r="CK12" i="4" s="1"/>
  <c r="BJ12" i="4"/>
  <c r="BG12" i="4"/>
  <c r="BF12" i="4"/>
  <c r="BN12" i="4" s="1"/>
  <c r="BE12" i="4"/>
  <c r="BM12" i="4" s="1"/>
  <c r="BD12" i="4"/>
  <c r="BC12" i="4"/>
  <c r="BB12" i="4"/>
  <c r="BL12" i="4" s="1"/>
  <c r="BA12" i="4"/>
  <c r="AZ12" i="4"/>
  <c r="AY12" i="4"/>
  <c r="AX12" i="4"/>
  <c r="AW12" i="4"/>
  <c r="AV12" i="4"/>
  <c r="BI12" i="4" s="1"/>
  <c r="AS12" i="4"/>
  <c r="AR12" i="4"/>
  <c r="AO12" i="4"/>
  <c r="AN12" i="4"/>
  <c r="AM12" i="4"/>
  <c r="AP12" i="4" s="1"/>
  <c r="GS11" i="4"/>
  <c r="GO11" i="4"/>
  <c r="GM11" i="4"/>
  <c r="GL11" i="4"/>
  <c r="GJ11" i="4"/>
  <c r="GI11" i="4"/>
  <c r="GB11" i="4"/>
  <c r="FX11" i="4"/>
  <c r="FV11" i="4"/>
  <c r="FU11" i="4"/>
  <c r="FT11" i="4"/>
  <c r="FQ11" i="4"/>
  <c r="FK11" i="4"/>
  <c r="FI11" i="4"/>
  <c r="FL11" i="4" s="1"/>
  <c r="FH11" i="4"/>
  <c r="EX11" i="4"/>
  <c r="EV11" i="4"/>
  <c r="EU11" i="4"/>
  <c r="ET11" i="4"/>
  <c r="ES11" i="4"/>
  <c r="ER11" i="4"/>
  <c r="FD11" i="4" s="1"/>
  <c r="EQ11" i="4"/>
  <c r="FE11" i="4" s="1"/>
  <c r="EO11" i="4"/>
  <c r="EN11" i="4"/>
  <c r="EM11" i="4"/>
  <c r="EL11" i="4"/>
  <c r="EZ11" i="4" s="1"/>
  <c r="EK11" i="4"/>
  <c r="EY11" i="4" s="1"/>
  <c r="EJ11" i="4"/>
  <c r="EH11" i="4"/>
  <c r="EG11" i="4"/>
  <c r="EF11" i="4"/>
  <c r="EE11" i="4"/>
  <c r="ED11" i="4"/>
  <c r="EC11" i="4"/>
  <c r="DM11" i="4"/>
  <c r="DL11" i="4"/>
  <c r="DK11" i="4"/>
  <c r="DJ11" i="4"/>
  <c r="DI11" i="4"/>
  <c r="DH11" i="4"/>
  <c r="CF11" i="4"/>
  <c r="CM11" i="4" s="1"/>
  <c r="DA11" i="4" s="1"/>
  <c r="BM11" i="4"/>
  <c r="BL11" i="4"/>
  <c r="BK11" i="4"/>
  <c r="BJ11" i="4"/>
  <c r="BG11" i="4"/>
  <c r="BF11" i="4"/>
  <c r="BE11" i="4"/>
  <c r="BD11" i="4"/>
  <c r="BC11" i="4"/>
  <c r="BB11" i="4"/>
  <c r="BA11" i="4"/>
  <c r="AZ11" i="4"/>
  <c r="AY11" i="4"/>
  <c r="AX11" i="4"/>
  <c r="AW11" i="4"/>
  <c r="AV11" i="4"/>
  <c r="BI11" i="4" s="1"/>
  <c r="AT11" i="4"/>
  <c r="AS11" i="4"/>
  <c r="AR11" i="4"/>
  <c r="AO11" i="4"/>
  <c r="AN11" i="4"/>
  <c r="AM11" i="4"/>
  <c r="AP11" i="4" s="1"/>
  <c r="GS10" i="4"/>
  <c r="GO10" i="4"/>
  <c r="GM10" i="4"/>
  <c r="GL10" i="4"/>
  <c r="GJ10" i="4"/>
  <c r="GI10" i="4"/>
  <c r="GB10" i="4"/>
  <c r="FX10" i="4"/>
  <c r="FV10" i="4"/>
  <c r="FU10" i="4"/>
  <c r="FT10" i="4"/>
  <c r="FQ10" i="4"/>
  <c r="FL10" i="4"/>
  <c r="FK10" i="4"/>
  <c r="FI10" i="4"/>
  <c r="FH10" i="4"/>
  <c r="FF10" i="4"/>
  <c r="FE10" i="4"/>
  <c r="EX10" i="4"/>
  <c r="EV10" i="4"/>
  <c r="EU10" i="4"/>
  <c r="ET10" i="4"/>
  <c r="ES10" i="4"/>
  <c r="ER10" i="4"/>
  <c r="EQ10" i="4"/>
  <c r="EO10" i="4"/>
  <c r="EN10" i="4"/>
  <c r="EM10" i="4"/>
  <c r="EL10" i="4"/>
  <c r="EK10" i="4"/>
  <c r="EJ10" i="4"/>
  <c r="EH10" i="4"/>
  <c r="EG10" i="4"/>
  <c r="EF10" i="4"/>
  <c r="EE10" i="4"/>
  <c r="ED10" i="4"/>
  <c r="EC10" i="4"/>
  <c r="DM10" i="4"/>
  <c r="DL10" i="4"/>
  <c r="DK10" i="4"/>
  <c r="DJ10" i="4"/>
  <c r="DI10" i="4"/>
  <c r="DH10" i="4"/>
  <c r="BM10" i="4"/>
  <c r="BG10" i="4"/>
  <c r="BN10" i="4" s="1"/>
  <c r="BF10" i="4"/>
  <c r="BE10" i="4"/>
  <c r="BD10" i="4"/>
  <c r="BC10" i="4"/>
  <c r="BL10" i="4" s="1"/>
  <c r="BB10" i="4"/>
  <c r="BA10" i="4"/>
  <c r="AZ10" i="4"/>
  <c r="BK10" i="4" s="1"/>
  <c r="AY10" i="4"/>
  <c r="AX10" i="4"/>
  <c r="AW10" i="4"/>
  <c r="AV10" i="4"/>
  <c r="BI10" i="4" s="1"/>
  <c r="AT10" i="4"/>
  <c r="AS10" i="4"/>
  <c r="AR10" i="4"/>
  <c r="AO10" i="4"/>
  <c r="AN10" i="4"/>
  <c r="AP10" i="4" s="1"/>
  <c r="AM10" i="4"/>
  <c r="GT9" i="4"/>
  <c r="GS9" i="4"/>
  <c r="GO9" i="4"/>
  <c r="GM9" i="4"/>
  <c r="GL9" i="4"/>
  <c r="GJ9" i="4"/>
  <c r="GI9" i="4"/>
  <c r="GB9" i="4"/>
  <c r="FZ9" i="4"/>
  <c r="FX9" i="4"/>
  <c r="FV9" i="4"/>
  <c r="FU9" i="4"/>
  <c r="FT9" i="4"/>
  <c r="GD9" i="4" s="1"/>
  <c r="FQ9" i="4"/>
  <c r="FL9" i="4"/>
  <c r="FI9" i="4"/>
  <c r="FH9" i="4"/>
  <c r="FK9" i="4" s="1"/>
  <c r="FF9" i="4"/>
  <c r="FB9" i="4"/>
  <c r="EX9" i="4"/>
  <c r="EV9" i="4"/>
  <c r="EU9" i="4"/>
  <c r="ET9" i="4"/>
  <c r="ES9" i="4"/>
  <c r="ER9" i="4"/>
  <c r="EQ9" i="4"/>
  <c r="EO9" i="4"/>
  <c r="EN9" i="4"/>
  <c r="EM9" i="4"/>
  <c r="EL9" i="4"/>
  <c r="EK9" i="4"/>
  <c r="EJ9" i="4"/>
  <c r="EH9" i="4"/>
  <c r="EG9" i="4"/>
  <c r="EF9" i="4"/>
  <c r="EE9" i="4"/>
  <c r="ED9" i="4"/>
  <c r="EC9" i="4"/>
  <c r="DM9" i="4"/>
  <c r="DL9" i="4"/>
  <c r="DK9" i="4"/>
  <c r="DJ9" i="4"/>
  <c r="DI9" i="4"/>
  <c r="DH9" i="4"/>
  <c r="BN9" i="4"/>
  <c r="BM9" i="4"/>
  <c r="BL9" i="4"/>
  <c r="BG9" i="4"/>
  <c r="BF9" i="4"/>
  <c r="BE9" i="4"/>
  <c r="BD9" i="4"/>
  <c r="BC9" i="4"/>
  <c r="BB9" i="4"/>
  <c r="BA9" i="4"/>
  <c r="AZ9" i="4"/>
  <c r="BK9" i="4" s="1"/>
  <c r="AY9" i="4"/>
  <c r="BJ9" i="4" s="1"/>
  <c r="AX9" i="4"/>
  <c r="AW9" i="4"/>
  <c r="AV9" i="4"/>
  <c r="BI9" i="4" s="1"/>
  <c r="AS9" i="4"/>
  <c r="AR9" i="4"/>
  <c r="AT9" i="4" s="1"/>
  <c r="AP9" i="4"/>
  <c r="AO9" i="4"/>
  <c r="AN9" i="4"/>
  <c r="AM9" i="4"/>
  <c r="GS8" i="4"/>
  <c r="GT8" i="4" s="1"/>
  <c r="GO8" i="4"/>
  <c r="GP8" i="4" s="1"/>
  <c r="GM8" i="4"/>
  <c r="GL8" i="4"/>
  <c r="GJ8" i="4"/>
  <c r="GI8" i="4"/>
  <c r="FV8" i="4"/>
  <c r="FU8" i="4"/>
  <c r="FT8" i="4"/>
  <c r="FQ8" i="4"/>
  <c r="FR8" i="4" s="1"/>
  <c r="FL8" i="4"/>
  <c r="FK8" i="4"/>
  <c r="FI8" i="4"/>
  <c r="FH8" i="4"/>
  <c r="EX8" i="4"/>
  <c r="EV8" i="4"/>
  <c r="FE8" i="4" s="1"/>
  <c r="EU8" i="4"/>
  <c r="ET8" i="4"/>
  <c r="ES8" i="4"/>
  <c r="ER8" i="4"/>
  <c r="EQ8" i="4"/>
  <c r="EO8" i="4"/>
  <c r="EN8" i="4"/>
  <c r="EM8" i="4"/>
  <c r="EL8" i="4"/>
  <c r="EK8" i="4"/>
  <c r="EJ8" i="4"/>
  <c r="EZ8" i="4" s="1"/>
  <c r="EH8" i="4"/>
  <c r="EG8" i="4"/>
  <c r="EF8" i="4"/>
  <c r="EE8" i="4"/>
  <c r="ED8" i="4"/>
  <c r="EC8" i="4"/>
  <c r="DM8" i="4"/>
  <c r="DL8" i="4"/>
  <c r="DK8" i="4"/>
  <c r="DJ8" i="4"/>
  <c r="DI8" i="4"/>
  <c r="DH8" i="4"/>
  <c r="CC8" i="4"/>
  <c r="CJ8" i="4" s="1"/>
  <c r="CX8" i="4" s="1"/>
  <c r="BG8" i="4"/>
  <c r="BF8" i="4"/>
  <c r="BN8" i="4" s="1"/>
  <c r="BE8" i="4"/>
  <c r="BD8" i="4"/>
  <c r="BM8" i="4" s="1"/>
  <c r="BC8" i="4"/>
  <c r="BB8" i="4"/>
  <c r="BL8" i="4" s="1"/>
  <c r="BA8" i="4"/>
  <c r="AZ8" i="4"/>
  <c r="AY8" i="4"/>
  <c r="BJ8" i="4" s="1"/>
  <c r="AX8" i="4"/>
  <c r="AW8" i="4"/>
  <c r="AV8" i="4"/>
  <c r="BI8" i="4" s="1"/>
  <c r="AS8" i="4"/>
  <c r="AT8" i="4" s="1"/>
  <c r="AR8" i="4"/>
  <c r="AP8" i="4"/>
  <c r="AO8" i="4"/>
  <c r="AN8" i="4"/>
  <c r="AM8" i="4"/>
  <c r="GS7" i="4"/>
  <c r="GT7" i="4" s="1"/>
  <c r="GO7" i="4"/>
  <c r="GP5" i="4" s="1"/>
  <c r="GM7" i="4"/>
  <c r="GL7" i="4"/>
  <c r="GJ7" i="4"/>
  <c r="GI7" i="4"/>
  <c r="FV7" i="4"/>
  <c r="GA10" i="4" s="1"/>
  <c r="FU7" i="4"/>
  <c r="FT7" i="4"/>
  <c r="FQ7" i="4"/>
  <c r="FL7" i="4"/>
  <c r="FK7" i="4"/>
  <c r="FI7" i="4"/>
  <c r="FH7" i="4"/>
  <c r="FD7" i="4"/>
  <c r="FC7" i="4"/>
  <c r="EX7" i="4"/>
  <c r="EV7" i="4"/>
  <c r="EU7" i="4"/>
  <c r="ET7" i="4"/>
  <c r="ES7" i="4"/>
  <c r="ER7" i="4"/>
  <c r="EQ7" i="4"/>
  <c r="FF7" i="4" s="1"/>
  <c r="EO7" i="4"/>
  <c r="EN7" i="4"/>
  <c r="EM7" i="4"/>
  <c r="EL7" i="4"/>
  <c r="EZ7" i="4" s="1"/>
  <c r="EK7" i="4"/>
  <c r="EJ7" i="4"/>
  <c r="EH7" i="4"/>
  <c r="EG7" i="4"/>
  <c r="EF7" i="4"/>
  <c r="EE7" i="4"/>
  <c r="ED7" i="4"/>
  <c r="EC7" i="4"/>
  <c r="DM7" i="4"/>
  <c r="DL7" i="4"/>
  <c r="DK7" i="4"/>
  <c r="DJ7" i="4"/>
  <c r="DI7" i="4"/>
  <c r="DH7" i="4"/>
  <c r="BL7" i="4"/>
  <c r="BK7" i="4"/>
  <c r="BJ7" i="4"/>
  <c r="BG7" i="4"/>
  <c r="BF7" i="4"/>
  <c r="BE7" i="4"/>
  <c r="BD7" i="4"/>
  <c r="BM7" i="4" s="1"/>
  <c r="BC7" i="4"/>
  <c r="BB7" i="4"/>
  <c r="BA7" i="4"/>
  <c r="AZ7" i="4"/>
  <c r="AY7" i="4"/>
  <c r="AX7" i="4"/>
  <c r="AW7" i="4"/>
  <c r="AV7" i="4"/>
  <c r="BI7" i="4" s="1"/>
  <c r="AT7" i="4"/>
  <c r="AS7" i="4"/>
  <c r="AR7" i="4"/>
  <c r="AO7" i="4"/>
  <c r="AN7" i="4"/>
  <c r="AP7" i="4" s="1"/>
  <c r="AM7" i="4"/>
  <c r="GS6" i="4"/>
  <c r="GT6" i="4" s="1"/>
  <c r="GP6" i="4"/>
  <c r="GO6" i="4"/>
  <c r="GM6" i="4"/>
  <c r="GL6" i="4"/>
  <c r="GJ6" i="4"/>
  <c r="GI6" i="4"/>
  <c r="FV6" i="4"/>
  <c r="FU6" i="4"/>
  <c r="FT6" i="4"/>
  <c r="FQ6" i="4"/>
  <c r="FR6" i="4" s="1"/>
  <c r="FL6" i="4"/>
  <c r="FK6" i="4"/>
  <c r="FI6" i="4"/>
  <c r="FH6" i="4"/>
  <c r="EX6" i="4"/>
  <c r="EV6" i="4"/>
  <c r="EU6" i="4"/>
  <c r="ET6" i="4"/>
  <c r="ES6" i="4"/>
  <c r="ER6" i="4"/>
  <c r="EQ6" i="4"/>
  <c r="FF6" i="4" s="1"/>
  <c r="EO6" i="4"/>
  <c r="EN6" i="4"/>
  <c r="EM6" i="4"/>
  <c r="EL6" i="4"/>
  <c r="EK6" i="4"/>
  <c r="EJ6" i="4"/>
  <c r="EY6" i="4" s="1"/>
  <c r="EH6" i="4"/>
  <c r="EG6" i="4"/>
  <c r="EF6" i="4"/>
  <c r="EE6" i="4"/>
  <c r="ED6" i="4"/>
  <c r="EC6" i="4"/>
  <c r="DM6" i="4"/>
  <c r="DL6" i="4"/>
  <c r="DK6" i="4"/>
  <c r="DJ6" i="4"/>
  <c r="DI6" i="4"/>
  <c r="DH6" i="4"/>
  <c r="BN6" i="4"/>
  <c r="CG6" i="4" s="1"/>
  <c r="CN6" i="4" s="1"/>
  <c r="BM6" i="4"/>
  <c r="BZ6" i="4" s="1"/>
  <c r="BG6" i="4"/>
  <c r="BF6" i="4"/>
  <c r="BE6" i="4"/>
  <c r="BD6" i="4"/>
  <c r="BC6" i="4"/>
  <c r="BB6" i="4"/>
  <c r="BL6" i="4" s="1"/>
  <c r="BA6" i="4"/>
  <c r="AZ6" i="4"/>
  <c r="BK6" i="4" s="1"/>
  <c r="AY6" i="4"/>
  <c r="AX6" i="4"/>
  <c r="BJ6" i="4" s="1"/>
  <c r="AW6" i="4"/>
  <c r="AV6" i="4"/>
  <c r="BI6" i="4" s="1"/>
  <c r="AS6" i="4"/>
  <c r="AR6" i="4"/>
  <c r="AT6" i="4" s="1"/>
  <c r="AO6" i="4"/>
  <c r="AN6" i="4"/>
  <c r="AM6" i="4"/>
  <c r="AP6" i="4" s="1"/>
  <c r="GT5" i="4"/>
  <c r="GS5" i="4"/>
  <c r="GO5" i="4"/>
  <c r="GP23" i="4" s="1"/>
  <c r="GM5" i="4"/>
  <c r="GL5" i="4"/>
  <c r="GJ5" i="4"/>
  <c r="GI5" i="4"/>
  <c r="FT5" i="4"/>
  <c r="FQ5" i="4"/>
  <c r="FR21" i="4" s="1"/>
  <c r="FL5" i="4"/>
  <c r="FK5" i="4"/>
  <c r="FI5" i="4"/>
  <c r="FH5" i="4"/>
  <c r="FA5" i="4"/>
  <c r="EY5" i="4"/>
  <c r="EX5" i="4"/>
  <c r="EV5" i="4"/>
  <c r="EU5" i="4"/>
  <c r="ET5" i="4"/>
  <c r="ES5" i="4"/>
  <c r="ER5" i="4"/>
  <c r="FE5" i="4" s="1"/>
  <c r="EQ5" i="4"/>
  <c r="FF5" i="4" s="1"/>
  <c r="EO5" i="4"/>
  <c r="EN5" i="4"/>
  <c r="EM5" i="4"/>
  <c r="EL5" i="4"/>
  <c r="EK5" i="4"/>
  <c r="EZ5" i="4" s="1"/>
  <c r="EJ5" i="4"/>
  <c r="EH5" i="4"/>
  <c r="EG5" i="4"/>
  <c r="EF5" i="4"/>
  <c r="EE5" i="4"/>
  <c r="ED5" i="4"/>
  <c r="EC5" i="4"/>
  <c r="DM5" i="4"/>
  <c r="DL5" i="4"/>
  <c r="DK5" i="4"/>
  <c r="DJ5" i="4"/>
  <c r="DI5" i="4"/>
  <c r="DH5" i="4"/>
  <c r="CF5" i="4"/>
  <c r="CM5" i="4" s="1"/>
  <c r="BT5" i="4"/>
  <c r="BN5" i="4"/>
  <c r="BU5" i="4" s="1"/>
  <c r="BM5" i="4"/>
  <c r="BZ5" i="4" s="1"/>
  <c r="BG5" i="4"/>
  <c r="BF5" i="4"/>
  <c r="BE5" i="4"/>
  <c r="BD5" i="4"/>
  <c r="BC5" i="4"/>
  <c r="BB5" i="4"/>
  <c r="BL5" i="4" s="1"/>
  <c r="BA5" i="4"/>
  <c r="AZ5" i="4"/>
  <c r="BK5" i="4" s="1"/>
  <c r="AY5" i="4"/>
  <c r="AX5" i="4"/>
  <c r="BJ5" i="4" s="1"/>
  <c r="AW5" i="4"/>
  <c r="AV5" i="4"/>
  <c r="BI5" i="4" s="1"/>
  <c r="AT5" i="4"/>
  <c r="AS5" i="4"/>
  <c r="AR5" i="4"/>
  <c r="AM5" i="4"/>
  <c r="AP5" i="4" s="1"/>
  <c r="BX5" i="4" l="1"/>
  <c r="CD5" i="4"/>
  <c r="CK5" i="4" s="1"/>
  <c r="BR5" i="4"/>
  <c r="CC9" i="4"/>
  <c r="CJ9" i="4" s="1"/>
  <c r="CY13" i="4"/>
  <c r="CR13" i="4"/>
  <c r="CC18" i="4"/>
  <c r="CJ18" i="4" s="1"/>
  <c r="BP8" i="4"/>
  <c r="BX6" i="4"/>
  <c r="BX7" i="4" s="1"/>
  <c r="CD6" i="4"/>
  <c r="CK6" i="4" s="1"/>
  <c r="BR6" i="4"/>
  <c r="BR7" i="4" s="1"/>
  <c r="CD9" i="4"/>
  <c r="CK9" i="4" s="1"/>
  <c r="BY5" i="4"/>
  <c r="BY6" i="4" s="1"/>
  <c r="BY7" i="4" s="1"/>
  <c r="BY8" i="4" s="1"/>
  <c r="BY9" i="4" s="1"/>
  <c r="BY10" i="4" s="1"/>
  <c r="BY11" i="4" s="1"/>
  <c r="BY12" i="4" s="1"/>
  <c r="BY13" i="4" s="1"/>
  <c r="BY14" i="4" s="1"/>
  <c r="CE5" i="4"/>
  <c r="CL5" i="4" s="1"/>
  <c r="BS5" i="4"/>
  <c r="BS6" i="4" s="1"/>
  <c r="BS7" i="4" s="1"/>
  <c r="BS8" i="4" s="1"/>
  <c r="BS9" i="4" s="1"/>
  <c r="BS10" i="4" s="1"/>
  <c r="BS11" i="4" s="1"/>
  <c r="BS12" i="4" s="1"/>
  <c r="BS13" i="4" s="1"/>
  <c r="BS14" i="4" s="1"/>
  <c r="BP10" i="4"/>
  <c r="CE6" i="4"/>
  <c r="CL6" i="4" s="1"/>
  <c r="CY21" i="4"/>
  <c r="CR21" i="4"/>
  <c r="BW5" i="4"/>
  <c r="CC5" i="4"/>
  <c r="CJ5" i="4" s="1"/>
  <c r="BQ5" i="4"/>
  <c r="BZ7" i="4"/>
  <c r="BZ8" i="4" s="1"/>
  <c r="BZ9" i="4" s="1"/>
  <c r="BZ10" i="4" s="1"/>
  <c r="BZ11" i="4" s="1"/>
  <c r="BZ12" i="4" s="1"/>
  <c r="BZ13" i="4" s="1"/>
  <c r="BZ14" i="4" s="1"/>
  <c r="BZ15" i="4" s="1"/>
  <c r="BZ16" i="4" s="1"/>
  <c r="BZ17" i="4" s="1"/>
  <c r="BZ18" i="4" s="1"/>
  <c r="BZ19" i="4" s="1"/>
  <c r="BZ20" i="4" s="1"/>
  <c r="BZ21" i="4" s="1"/>
  <c r="BZ22" i="4" s="1"/>
  <c r="BZ23" i="4" s="1"/>
  <c r="BZ24" i="4" s="1"/>
  <c r="CF7" i="4"/>
  <c r="CM7" i="4" s="1"/>
  <c r="CE8" i="4"/>
  <c r="CL8" i="4" s="1"/>
  <c r="DA5" i="4"/>
  <c r="CT5" i="4"/>
  <c r="CD10" i="4"/>
  <c r="CK10" i="4" s="1"/>
  <c r="BP19" i="4"/>
  <c r="BW6" i="4"/>
  <c r="BW7" i="4" s="1"/>
  <c r="BW8" i="4" s="1"/>
  <c r="BW9" i="4" s="1"/>
  <c r="CC6" i="4"/>
  <c r="CJ6" i="4" s="1"/>
  <c r="BQ6" i="4"/>
  <c r="CF8" i="4"/>
  <c r="CM8" i="4" s="1"/>
  <c r="DB6" i="4"/>
  <c r="CU6" i="4"/>
  <c r="CB5" i="4"/>
  <c r="CI5" i="4" s="1"/>
  <c r="BV5" i="4"/>
  <c r="BV6" i="4" s="1"/>
  <c r="BP5" i="4"/>
  <c r="BP6" i="4" s="1"/>
  <c r="BV7" i="4" s="1"/>
  <c r="BP13" i="4"/>
  <c r="CC28" i="4"/>
  <c r="CJ28" i="4" s="1"/>
  <c r="CB6" i="4"/>
  <c r="CI6" i="4" s="1"/>
  <c r="BP7" i="4"/>
  <c r="BV8" i="4" s="1"/>
  <c r="CB7" i="4"/>
  <c r="CI7" i="4" s="1"/>
  <c r="CG8" i="4"/>
  <c r="CN8" i="4" s="1"/>
  <c r="BP9" i="4"/>
  <c r="CE10" i="4"/>
  <c r="CL10" i="4" s="1"/>
  <c r="CD20" i="4"/>
  <c r="CK20" i="4" s="1"/>
  <c r="CE9" i="4"/>
  <c r="CL9" i="4" s="1"/>
  <c r="FB20" i="4"/>
  <c r="FA20" i="4"/>
  <c r="FF20" i="4"/>
  <c r="FE20" i="4"/>
  <c r="BQ15" i="4"/>
  <c r="CE21" i="4"/>
  <c r="CL21" i="4" s="1"/>
  <c r="CF24" i="4"/>
  <c r="CM24" i="4" s="1"/>
  <c r="CD68" i="4"/>
  <c r="CK68" i="4" s="1"/>
  <c r="CB73" i="4"/>
  <c r="CI73" i="4" s="1"/>
  <c r="CE14" i="4"/>
  <c r="CL14" i="4" s="1"/>
  <c r="CF21" i="4"/>
  <c r="CM21" i="4" s="1"/>
  <c r="GP22" i="4"/>
  <c r="FB5" i="4"/>
  <c r="FA6" i="4"/>
  <c r="CQ8" i="4"/>
  <c r="EY8" i="4"/>
  <c r="CT12" i="4"/>
  <c r="FR12" i="4"/>
  <c r="CF14" i="4"/>
  <c r="CM14" i="4" s="1"/>
  <c r="BT14" i="4"/>
  <c r="BT15" i="4" s="1"/>
  <c r="BT16" i="4" s="1"/>
  <c r="BT17" i="4" s="1"/>
  <c r="BT18" i="4" s="1"/>
  <c r="BT19" i="4" s="1"/>
  <c r="BT20" i="4" s="1"/>
  <c r="BT21" i="4" s="1"/>
  <c r="BT22" i="4" s="1"/>
  <c r="BT23" i="4" s="1"/>
  <c r="BT24" i="4" s="1"/>
  <c r="GA20" i="4"/>
  <c r="GT21" i="4"/>
  <c r="CE22" i="4"/>
  <c r="CL22" i="4" s="1"/>
  <c r="GB22" i="4"/>
  <c r="FX22" i="4"/>
  <c r="CD23" i="4"/>
  <c r="CK23" i="4" s="1"/>
  <c r="CC24" i="4"/>
  <c r="CJ24" i="4" s="1"/>
  <c r="GT25" i="4"/>
  <c r="GT26" i="4"/>
  <c r="EZ29" i="4"/>
  <c r="CF23" i="4"/>
  <c r="CM23" i="4" s="1"/>
  <c r="CC69" i="4"/>
  <c r="CJ69" i="4" s="1"/>
  <c r="GD20" i="4"/>
  <c r="FZ21" i="4"/>
  <c r="FZ20" i="4"/>
  <c r="CC72" i="4"/>
  <c r="CJ72" i="4" s="1"/>
  <c r="CG9" i="4"/>
  <c r="CN9" i="4" s="1"/>
  <c r="CE18" i="4"/>
  <c r="CL18" i="4" s="1"/>
  <c r="CD22" i="4"/>
  <c r="CK22" i="4" s="1"/>
  <c r="CW27" i="4"/>
  <c r="CP27" i="4"/>
  <c r="FC5" i="4"/>
  <c r="FB6" i="4"/>
  <c r="CC7" i="4"/>
  <c r="CJ7" i="4" s="1"/>
  <c r="FE9" i="4"/>
  <c r="BN11" i="4"/>
  <c r="GA11" i="4"/>
  <c r="AT12" i="4"/>
  <c r="CG12" i="4"/>
  <c r="CN12" i="4" s="1"/>
  <c r="FB12" i="4"/>
  <c r="FA12" i="4"/>
  <c r="FF12" i="4"/>
  <c r="FE12" i="4"/>
  <c r="GD14" i="4"/>
  <c r="FZ15" i="4"/>
  <c r="FZ14" i="4"/>
  <c r="GT14" i="4"/>
  <c r="BL15" i="4"/>
  <c r="DA15" i="4"/>
  <c r="CT15" i="4"/>
  <c r="AP22" i="4"/>
  <c r="FR22" i="4"/>
  <c r="FR25" i="4"/>
  <c r="AP26" i="4"/>
  <c r="CE26" i="4"/>
  <c r="CL26" i="4" s="1"/>
  <c r="FR26" i="4"/>
  <c r="CS37" i="4"/>
  <c r="CZ37" i="4"/>
  <c r="CA5" i="4"/>
  <c r="FR103" i="4"/>
  <c r="FR97" i="4"/>
  <c r="FR102" i="4"/>
  <c r="FR99" i="4"/>
  <c r="FR93" i="4"/>
  <c r="FR94" i="4"/>
  <c r="FR87" i="4"/>
  <c r="FR86" i="4"/>
  <c r="FR89" i="4"/>
  <c r="FR92" i="4"/>
  <c r="FR81" i="4"/>
  <c r="FR82" i="4"/>
  <c r="FR80" i="4"/>
  <c r="FR83" i="4"/>
  <c r="FR73" i="4"/>
  <c r="FR78" i="4"/>
  <c r="FR77" i="4"/>
  <c r="FR67" i="4"/>
  <c r="FR66" i="4"/>
  <c r="FR68" i="4"/>
  <c r="FR74" i="4"/>
  <c r="FR61" i="4"/>
  <c r="FR60" i="4"/>
  <c r="FR59" i="4"/>
  <c r="FR50" i="4"/>
  <c r="FR62" i="4"/>
  <c r="FR57" i="4"/>
  <c r="FR42" i="4"/>
  <c r="FR41" i="4"/>
  <c r="FR55" i="4"/>
  <c r="FR48" i="4"/>
  <c r="FR51" i="4"/>
  <c r="FR45" i="4"/>
  <c r="FR44" i="4"/>
  <c r="FR43" i="4"/>
  <c r="FR32" i="4"/>
  <c r="FR40" i="4"/>
  <c r="FR46" i="4"/>
  <c r="FR39" i="4"/>
  <c r="FR38" i="4"/>
  <c r="FR36" i="4"/>
  <c r="FR29" i="4"/>
  <c r="FR28" i="4"/>
  <c r="FR30" i="4"/>
  <c r="FR24" i="4"/>
  <c r="FR33" i="4"/>
  <c r="FR20" i="4"/>
  <c r="FR19" i="4"/>
  <c r="FR11" i="4"/>
  <c r="FR10" i="4"/>
  <c r="FR23" i="4"/>
  <c r="FR17" i="4"/>
  <c r="GD13" i="4"/>
  <c r="FZ13" i="4"/>
  <c r="CE24" i="4"/>
  <c r="CL24" i="4" s="1"/>
  <c r="CT71" i="4"/>
  <c r="DA71" i="4"/>
  <c r="CA6" i="4"/>
  <c r="FD5" i="4"/>
  <c r="FC6" i="4"/>
  <c r="BQ7" i="4"/>
  <c r="CD7" i="4"/>
  <c r="CK7" i="4" s="1"/>
  <c r="FA8" i="4"/>
  <c r="EZ13" i="4"/>
  <c r="CG14" i="4"/>
  <c r="CN14" i="4" s="1"/>
  <c r="CP15" i="4"/>
  <c r="CG16" i="4"/>
  <c r="CN16" i="4" s="1"/>
  <c r="GD16" i="4"/>
  <c r="FB17" i="4"/>
  <c r="FA17" i="4"/>
  <c r="GA19" i="4"/>
  <c r="CG20" i="4"/>
  <c r="CN20" i="4" s="1"/>
  <c r="CG21" i="4"/>
  <c r="CN21" i="4" s="1"/>
  <c r="GD21" i="4"/>
  <c r="CF22" i="4"/>
  <c r="CM22" i="4" s="1"/>
  <c r="FZ23" i="4"/>
  <c r="GT23" i="4"/>
  <c r="FF25" i="4"/>
  <c r="FE25" i="4"/>
  <c r="FC25" i="4"/>
  <c r="FB25" i="4"/>
  <c r="FA25" i="4"/>
  <c r="BP29" i="4"/>
  <c r="CC29" i="4"/>
  <c r="CJ29" i="4" s="1"/>
  <c r="CC70" i="4"/>
  <c r="CJ70" i="4" s="1"/>
  <c r="CD69" i="4"/>
  <c r="CK69" i="4" s="1"/>
  <c r="DA72" i="4"/>
  <c r="CT72" i="4"/>
  <c r="EZ6" i="4"/>
  <c r="BT6" i="4"/>
  <c r="BT7" i="4" s="1"/>
  <c r="BT8" i="4" s="1"/>
  <c r="BT9" i="4" s="1"/>
  <c r="BT10" i="4" s="1"/>
  <c r="BT11" i="4" s="1"/>
  <c r="BT12" i="4" s="1"/>
  <c r="BT13" i="4" s="1"/>
  <c r="CF6" i="4"/>
  <c r="CM6" i="4" s="1"/>
  <c r="FD6" i="4"/>
  <c r="CE7" i="4"/>
  <c r="CL7" i="4" s="1"/>
  <c r="GP7" i="4"/>
  <c r="FB8" i="4"/>
  <c r="FC9" i="4"/>
  <c r="FA9" i="4"/>
  <c r="FR9" i="4"/>
  <c r="CG10" i="4"/>
  <c r="CN10" i="4" s="1"/>
  <c r="FD10" i="4"/>
  <c r="BP11" i="4"/>
  <c r="CC11" i="4"/>
  <c r="CJ11" i="4" s="1"/>
  <c r="BP12" i="4"/>
  <c r="CC12" i="4"/>
  <c r="CJ12" i="4" s="1"/>
  <c r="GA13" i="4"/>
  <c r="GA12" i="4"/>
  <c r="CF13" i="4"/>
  <c r="CM13" i="4" s="1"/>
  <c r="EY16" i="4"/>
  <c r="CG17" i="4"/>
  <c r="CN17" i="4" s="1"/>
  <c r="EZ17" i="4"/>
  <c r="EY17" i="4"/>
  <c r="BP21" i="4"/>
  <c r="EZ21" i="4"/>
  <c r="CF26" i="4"/>
  <c r="CM26" i="4" s="1"/>
  <c r="EY26" i="4"/>
  <c r="CD29" i="4"/>
  <c r="CK29" i="4" s="1"/>
  <c r="CC31" i="4"/>
  <c r="CJ31" i="4" s="1"/>
  <c r="FR16" i="4"/>
  <c r="FR18" i="4"/>
  <c r="FC19" i="4"/>
  <c r="FB19" i="4"/>
  <c r="FA19" i="4"/>
  <c r="CC23" i="4"/>
  <c r="CJ23" i="4" s="1"/>
  <c r="CG5" i="4"/>
  <c r="CN5" i="4" s="1"/>
  <c r="BU6" i="4"/>
  <c r="FE6" i="4"/>
  <c r="GD12" i="4"/>
  <c r="FZ11" i="4"/>
  <c r="FC10" i="4"/>
  <c r="FB10" i="4"/>
  <c r="FA10" i="4"/>
  <c r="CD11" i="4"/>
  <c r="CK11" i="4" s="1"/>
  <c r="CR12" i="4"/>
  <c r="CY12" i="4"/>
  <c r="BP14" i="4"/>
  <c r="BP15" i="4" s="1"/>
  <c r="BP16" i="4" s="1"/>
  <c r="BP17" i="4" s="1"/>
  <c r="EZ14" i="4"/>
  <c r="CB17" i="4"/>
  <c r="CI17" i="4" s="1"/>
  <c r="CE17" i="4"/>
  <c r="CL17" i="4" s="1"/>
  <c r="CR19" i="4"/>
  <c r="CY19" i="4"/>
  <c r="FE19" i="4"/>
  <c r="CB20" i="4"/>
  <c r="CI20" i="4" s="1"/>
  <c r="BP20" i="4"/>
  <c r="CQ20" i="4"/>
  <c r="CX20" i="4"/>
  <c r="EZ20" i="4"/>
  <c r="FC20" i="4"/>
  <c r="EY21" i="4"/>
  <c r="GA22" i="4"/>
  <c r="CG27" i="4"/>
  <c r="CN27" i="4" s="1"/>
  <c r="EZ27" i="4"/>
  <c r="EY27" i="4"/>
  <c r="CB32" i="4"/>
  <c r="CI32" i="4" s="1"/>
  <c r="CB24" i="4"/>
  <c r="CI24" i="4" s="1"/>
  <c r="CF9" i="4"/>
  <c r="CM9" i="4" s="1"/>
  <c r="CD58" i="4"/>
  <c r="CK58" i="4" s="1"/>
  <c r="FR75" i="4"/>
  <c r="GP101" i="4"/>
  <c r="GP95" i="4"/>
  <c r="GP89" i="4"/>
  <c r="GP85" i="4"/>
  <c r="GP83" i="4"/>
  <c r="GP82" i="4"/>
  <c r="GP76" i="4"/>
  <c r="GP79" i="4"/>
  <c r="GP84" i="4"/>
  <c r="GP69" i="4"/>
  <c r="GP73" i="4"/>
  <c r="GP68" i="4"/>
  <c r="GP74" i="4"/>
  <c r="GP57" i="4"/>
  <c r="GP63" i="4"/>
  <c r="GP62" i="4"/>
  <c r="GP56" i="4"/>
  <c r="GP61" i="4"/>
  <c r="GP55" i="4"/>
  <c r="GP59" i="4"/>
  <c r="GP53" i="4"/>
  <c r="GP52" i="4"/>
  <c r="GP46" i="4"/>
  <c r="GP43" i="4"/>
  <c r="GP42" i="4"/>
  <c r="GP49" i="4"/>
  <c r="GP47" i="4"/>
  <c r="GP40" i="4"/>
  <c r="GP32" i="4"/>
  <c r="GP30" i="4"/>
  <c r="GP29" i="4"/>
  <c r="GP35" i="4"/>
  <c r="GP21" i="4"/>
  <c r="GP15" i="4"/>
  <c r="GP14" i="4"/>
  <c r="GP24" i="4"/>
  <c r="GP26" i="4"/>
  <c r="GP19" i="4"/>
  <c r="GP28" i="4"/>
  <c r="EY7" i="4"/>
  <c r="FR7" i="4"/>
  <c r="BK8" i="4"/>
  <c r="FF8" i="4"/>
  <c r="GD11" i="4"/>
  <c r="CE11" i="4"/>
  <c r="CL11" i="4" s="1"/>
  <c r="CT11" i="4"/>
  <c r="FZ12" i="4"/>
  <c r="CG15" i="4"/>
  <c r="CN15" i="4" s="1"/>
  <c r="FR15" i="4"/>
  <c r="FS15" i="4" s="1"/>
  <c r="CF17" i="4"/>
  <c r="CM17" i="4" s="1"/>
  <c r="BI18" i="4"/>
  <c r="CC19" i="4"/>
  <c r="CJ19" i="4" s="1"/>
  <c r="CS19" i="4"/>
  <c r="CZ19" i="4"/>
  <c r="FF19" i="4"/>
  <c r="FD20" i="4"/>
  <c r="CC21" i="4"/>
  <c r="CJ21" i="4" s="1"/>
  <c r="GB34" i="4"/>
  <c r="FX34" i="4"/>
  <c r="GP45" i="4"/>
  <c r="EZ10" i="4"/>
  <c r="EY10" i="4"/>
  <c r="CT70" i="4"/>
  <c r="DA70" i="4"/>
  <c r="FR31" i="4"/>
  <c r="FE7" i="4"/>
  <c r="FR14" i="4"/>
  <c r="CU19" i="4"/>
  <c r="BN7" i="4"/>
  <c r="BQ8" i="4"/>
  <c r="BQ9" i="4" s="1"/>
  <c r="GP9" i="4"/>
  <c r="BJ10" i="4"/>
  <c r="GP10" i="4"/>
  <c r="CS13" i="4"/>
  <c r="CD16" i="4"/>
  <c r="CK16" i="4" s="1"/>
  <c r="CD18" i="4"/>
  <c r="CK18" i="4" s="1"/>
  <c r="CT19" i="4"/>
  <c r="DA19" i="4"/>
  <c r="GP20" i="4"/>
  <c r="CG22" i="4"/>
  <c r="CN22" i="4" s="1"/>
  <c r="GD22" i="4"/>
  <c r="FB23" i="4"/>
  <c r="FA23" i="4"/>
  <c r="GD24" i="4"/>
  <c r="FZ24" i="4"/>
  <c r="FZ25" i="4"/>
  <c r="GD26" i="4"/>
  <c r="FZ27" i="4"/>
  <c r="GD25" i="4"/>
  <c r="CC27" i="4"/>
  <c r="CJ27" i="4" s="1"/>
  <c r="BI28" i="4"/>
  <c r="FR34" i="4"/>
  <c r="CF16" i="4"/>
  <c r="CM16" i="4" s="1"/>
  <c r="FA7" i="4"/>
  <c r="EZ9" i="4"/>
  <c r="CF10" i="4"/>
  <c r="CM10" i="4" s="1"/>
  <c r="GP13" i="4"/>
  <c r="GD15" i="4"/>
  <c r="GT15" i="4"/>
  <c r="CE16" i="4"/>
  <c r="CL16" i="4" s="1"/>
  <c r="GP16" i="4"/>
  <c r="BQ17" i="4"/>
  <c r="BQ18" i="4" s="1"/>
  <c r="BQ19" i="4" s="1"/>
  <c r="BQ20" i="4" s="1"/>
  <c r="BQ21" i="4" s="1"/>
  <c r="BQ22" i="4" s="1"/>
  <c r="BQ23" i="4" s="1"/>
  <c r="BQ24" i="4" s="1"/>
  <c r="BQ25" i="4" s="1"/>
  <c r="CT18" i="4"/>
  <c r="DA18" i="4"/>
  <c r="GP18" i="4"/>
  <c r="CE20" i="4"/>
  <c r="CL20" i="4" s="1"/>
  <c r="GT20" i="4"/>
  <c r="EY22" i="4"/>
  <c r="CG23" i="4"/>
  <c r="CN23" i="4" s="1"/>
  <c r="EZ23" i="4"/>
  <c r="EY23" i="4"/>
  <c r="CG24" i="4"/>
  <c r="CN24" i="4" s="1"/>
  <c r="CG25" i="4"/>
  <c r="CN25" i="4" s="1"/>
  <c r="BP26" i="4"/>
  <c r="BP27" i="4" s="1"/>
  <c r="CD28" i="4"/>
  <c r="CK28" i="4" s="1"/>
  <c r="FR5" i="4"/>
  <c r="FS6" i="4" s="1"/>
  <c r="GT103" i="4"/>
  <c r="GT97" i="4"/>
  <c r="GT99" i="4"/>
  <c r="GT98" i="4"/>
  <c r="GT95" i="4"/>
  <c r="GT89" i="4"/>
  <c r="GT100" i="4"/>
  <c r="GT94" i="4"/>
  <c r="GT91" i="4"/>
  <c r="GT85" i="4"/>
  <c r="GT87" i="4"/>
  <c r="GT93" i="4"/>
  <c r="GT74" i="4"/>
  <c r="GT80" i="4"/>
  <c r="GT82" i="4"/>
  <c r="GT66" i="4"/>
  <c r="GT71" i="4"/>
  <c r="GT65" i="4"/>
  <c r="GT75" i="4"/>
  <c r="GT70" i="4"/>
  <c r="GT64" i="4"/>
  <c r="GT63" i="4"/>
  <c r="GT62" i="4"/>
  <c r="GT56" i="4"/>
  <c r="GT40" i="4"/>
  <c r="GT47" i="4"/>
  <c r="GT33" i="4"/>
  <c r="GT53" i="4"/>
  <c r="GT32" i="4"/>
  <c r="GT37" i="4"/>
  <c r="GT43" i="4"/>
  <c r="GT31" i="4"/>
  <c r="GT12" i="4"/>
  <c r="GT19" i="4"/>
  <c r="GT11" i="4"/>
  <c r="GT27" i="4"/>
  <c r="GT17" i="4"/>
  <c r="FB7" i="4"/>
  <c r="EY9" i="4"/>
  <c r="GT10" i="4"/>
  <c r="FC11" i="4"/>
  <c r="FB11" i="4"/>
  <c r="FA11" i="4"/>
  <c r="FF11" i="4"/>
  <c r="GP11" i="4"/>
  <c r="GQ58" i="4" s="1"/>
  <c r="CE12" i="4"/>
  <c r="CL12" i="4" s="1"/>
  <c r="CQ13" i="4"/>
  <c r="CX13" i="4"/>
  <c r="FR13" i="4"/>
  <c r="GT13" i="4"/>
  <c r="AP16" i="4"/>
  <c r="GB16" i="4"/>
  <c r="FX16" i="4"/>
  <c r="CD17" i="4"/>
  <c r="CK17" i="4" s="1"/>
  <c r="CU18" i="4"/>
  <c r="DB18" i="4"/>
  <c r="GT18" i="4"/>
  <c r="CC22" i="4"/>
  <c r="CJ22" i="4" s="1"/>
  <c r="CB23" i="4"/>
  <c r="CI23" i="4" s="1"/>
  <c r="BP23" i="4"/>
  <c r="BP24" i="4" s="1"/>
  <c r="CE23" i="4"/>
  <c r="CL23" i="4" s="1"/>
  <c r="GP27" i="4"/>
  <c r="GA9" i="4"/>
  <c r="FZ10" i="4"/>
  <c r="FD13" i="4"/>
  <c r="FC14" i="4"/>
  <c r="CD15" i="4"/>
  <c r="CK15" i="4" s="1"/>
  <c r="FB15" i="4"/>
  <c r="BQ16" i="4"/>
  <c r="FA16" i="4"/>
  <c r="GA18" i="4"/>
  <c r="FC21" i="4"/>
  <c r="FA22" i="4"/>
  <c r="BK24" i="4"/>
  <c r="FD24" i="4"/>
  <c r="CD27" i="4"/>
  <c r="CK27" i="4" s="1"/>
  <c r="CF27" i="4"/>
  <c r="CM27" i="4" s="1"/>
  <c r="CE28" i="4"/>
  <c r="CL28" i="4" s="1"/>
  <c r="GD28" i="4"/>
  <c r="CT30" i="4"/>
  <c r="DA30" i="4"/>
  <c r="CD38" i="4"/>
  <c r="CK38" i="4" s="1"/>
  <c r="CG13" i="4"/>
  <c r="CN13" i="4" s="1"/>
  <c r="FC15" i="4"/>
  <c r="GD17" i="4"/>
  <c r="GB18" i="4"/>
  <c r="FX20" i="4"/>
  <c r="GD23" i="4"/>
  <c r="FE24" i="4"/>
  <c r="BI25" i="4"/>
  <c r="GB25" i="4"/>
  <c r="FX25" i="4"/>
  <c r="CE27" i="4"/>
  <c r="CL27" i="4" s="1"/>
  <c r="GA27" i="4"/>
  <c r="CF28" i="4"/>
  <c r="CM28" i="4" s="1"/>
  <c r="GT29" i="4"/>
  <c r="CD30" i="4"/>
  <c r="CK30" i="4" s="1"/>
  <c r="CF32" i="4"/>
  <c r="CM32" i="4" s="1"/>
  <c r="CX34" i="4"/>
  <c r="CQ34" i="4"/>
  <c r="GP37" i="4"/>
  <c r="FE14" i="4"/>
  <c r="FD15" i="4"/>
  <c r="FE21" i="4"/>
  <c r="CW34" i="4"/>
  <c r="CP34" i="4"/>
  <c r="FE15" i="4"/>
  <c r="FD16" i="4"/>
  <c r="GD18" i="4"/>
  <c r="FX21" i="4"/>
  <c r="FD22" i="4"/>
  <c r="FD26" i="4"/>
  <c r="GA26" i="4"/>
  <c r="EZ28" i="4"/>
  <c r="EY28" i="4"/>
  <c r="GT28" i="4"/>
  <c r="CE30" i="4"/>
  <c r="CL30" i="4" s="1"/>
  <c r="CE31" i="4"/>
  <c r="CL31" i="4" s="1"/>
  <c r="CD34" i="4"/>
  <c r="CK34" i="4" s="1"/>
  <c r="GT38" i="4"/>
  <c r="CD39" i="4"/>
  <c r="CK39" i="4" s="1"/>
  <c r="CF47" i="4"/>
  <c r="CM47" i="4" s="1"/>
  <c r="FC8" i="4"/>
  <c r="GD10" i="4"/>
  <c r="FE16" i="4"/>
  <c r="FC17" i="4"/>
  <c r="FA18" i="4"/>
  <c r="EY19" i="4"/>
  <c r="FE22" i="4"/>
  <c r="FC23" i="4"/>
  <c r="GA24" i="4"/>
  <c r="CC25" i="4"/>
  <c r="CJ25" i="4" s="1"/>
  <c r="FE26" i="4"/>
  <c r="GD27" i="4"/>
  <c r="FZ30" i="4"/>
  <c r="GD29" i="4"/>
  <c r="FZ29" i="4"/>
  <c r="FF30" i="4"/>
  <c r="GP33" i="4"/>
  <c r="CE39" i="4"/>
  <c r="CL39" i="4" s="1"/>
  <c r="FD8" i="4"/>
  <c r="GA14" i="4"/>
  <c r="FB18" i="4"/>
  <c r="GT24" i="4"/>
  <c r="CD25" i="4"/>
  <c r="CK25" i="4" s="1"/>
  <c r="FC26" i="4"/>
  <c r="FF27" i="4"/>
  <c r="FE27" i="4"/>
  <c r="FC27" i="4"/>
  <c r="FB27" i="4"/>
  <c r="FA27" i="4"/>
  <c r="CX30" i="4"/>
  <c r="FB30" i="4"/>
  <c r="CC32" i="4"/>
  <c r="CJ32" i="4" s="1"/>
  <c r="EY12" i="4"/>
  <c r="GA15" i="4"/>
  <c r="FE17" i="4"/>
  <c r="EY20" i="4"/>
  <c r="GA21" i="4"/>
  <c r="CE25" i="4"/>
  <c r="CL25" i="4" s="1"/>
  <c r="CE29" i="4"/>
  <c r="CL29" i="4" s="1"/>
  <c r="GA29" i="4"/>
  <c r="CD35" i="4"/>
  <c r="CK35" i="4" s="1"/>
  <c r="FC38" i="4"/>
  <c r="FA38" i="4"/>
  <c r="FF38" i="4"/>
  <c r="EY13" i="4"/>
  <c r="FZ16" i="4"/>
  <c r="FD18" i="4"/>
  <c r="FZ22" i="4"/>
  <c r="EZ24" i="4"/>
  <c r="GA25" i="4"/>
  <c r="GP25" i="4"/>
  <c r="BJ26" i="4"/>
  <c r="GA30" i="4"/>
  <c r="GP31" i="4"/>
  <c r="GP34" i="4"/>
  <c r="FD9" i="4"/>
  <c r="EY14" i="4"/>
  <c r="FE18" i="4"/>
  <c r="CG26" i="4"/>
  <c r="CN26" i="4" s="1"/>
  <c r="FR27" i="4"/>
  <c r="CG28" i="4"/>
  <c r="CN28" i="4" s="1"/>
  <c r="CG29" i="4"/>
  <c r="CN29" i="4" s="1"/>
  <c r="CB30" i="4"/>
  <c r="CI30" i="4" s="1"/>
  <c r="BP30" i="4"/>
  <c r="GB30" i="4"/>
  <c r="CX33" i="4"/>
  <c r="CQ33" i="4"/>
  <c r="GT34" i="4"/>
  <c r="CS36" i="4"/>
  <c r="CZ36" i="4"/>
  <c r="BP37" i="4"/>
  <c r="BM25" i="4"/>
  <c r="BK26" i="4"/>
  <c r="AT27" i="4"/>
  <c r="EY29" i="4"/>
  <c r="EZ30" i="4"/>
  <c r="EY30" i="4"/>
  <c r="BP31" i="4"/>
  <c r="BP32" i="4" s="1"/>
  <c r="BP33" i="4" s="1"/>
  <c r="BP34" i="4" s="1"/>
  <c r="CY33" i="4"/>
  <c r="CR33" i="4"/>
  <c r="CC36" i="4"/>
  <c r="CJ36" i="4" s="1"/>
  <c r="CT36" i="4"/>
  <c r="DA36" i="4"/>
  <c r="CR37" i="4"/>
  <c r="CY37" i="4"/>
  <c r="DA38" i="4"/>
  <c r="CT38" i="4"/>
  <c r="FE29" i="4"/>
  <c r="GD32" i="4"/>
  <c r="FZ32" i="4"/>
  <c r="CE33" i="4"/>
  <c r="CL33" i="4" s="1"/>
  <c r="CE34" i="4"/>
  <c r="CL34" i="4" s="1"/>
  <c r="CU36" i="4"/>
  <c r="DB36" i="4"/>
  <c r="DT36" i="4"/>
  <c r="EA36" i="4" s="1" a="1"/>
  <c r="EA36" i="4" s="1"/>
  <c r="GP36" i="4"/>
  <c r="FF29" i="4"/>
  <c r="FA30" i="4"/>
  <c r="CS32" i="4"/>
  <c r="GD33" i="4"/>
  <c r="FZ34" i="4"/>
  <c r="FZ33" i="4"/>
  <c r="GD35" i="4"/>
  <c r="AP34" i="4"/>
  <c r="FZ35" i="4"/>
  <c r="FE35" i="4"/>
  <c r="FR35" i="4"/>
  <c r="GT36" i="4"/>
  <c r="GA40" i="4"/>
  <c r="BP40" i="4"/>
  <c r="CB40" i="4"/>
  <c r="CI40" i="4" s="1"/>
  <c r="FC41" i="4"/>
  <c r="FB41" i="4"/>
  <c r="FA41" i="4"/>
  <c r="FF41" i="4"/>
  <c r="FE41" i="4"/>
  <c r="FD41" i="4"/>
  <c r="FA28" i="4"/>
  <c r="AP29" i="4"/>
  <c r="CD32" i="4"/>
  <c r="CK32" i="4" s="1"/>
  <c r="GA32" i="4"/>
  <c r="CF33" i="4"/>
  <c r="CM33" i="4" s="1"/>
  <c r="EY34" i="4"/>
  <c r="GT35" i="4"/>
  <c r="FR37" i="4"/>
  <c r="DO38" i="4"/>
  <c r="DV38" i="4" s="1" a="1"/>
  <c r="DV38" i="4" s="1"/>
  <c r="CX44" i="4"/>
  <c r="CQ44" i="4"/>
  <c r="FC30" i="4"/>
  <c r="GD30" i="4"/>
  <c r="EZ32" i="4"/>
  <c r="EY32" i="4"/>
  <c r="GA34" i="4"/>
  <c r="FE36" i="4"/>
  <c r="FR54" i="4"/>
  <c r="FC28" i="4"/>
  <c r="CF29" i="4"/>
  <c r="CM29" i="4" s="1"/>
  <c r="FD30" i="4"/>
  <c r="CF31" i="4"/>
  <c r="CM31" i="4" s="1"/>
  <c r="FE31" i="4"/>
  <c r="FZ31" i="4"/>
  <c r="FC32" i="4"/>
  <c r="CG33" i="4"/>
  <c r="CN33" i="4" s="1"/>
  <c r="CF37" i="4"/>
  <c r="CM37" i="4" s="1"/>
  <c r="AT38" i="4"/>
  <c r="CG38" i="4"/>
  <c r="CN38" i="4" s="1"/>
  <c r="DQ38" i="4"/>
  <c r="DX38" i="4" s="1" a="1"/>
  <c r="DX38" i="4" s="1"/>
  <c r="BQ40" i="4"/>
  <c r="CG31" i="4"/>
  <c r="CN31" i="4" s="1"/>
  <c r="GA31" i="4"/>
  <c r="FD32" i="4"/>
  <c r="GD34" i="4"/>
  <c r="FA35" i="4"/>
  <c r="GA35" i="4"/>
  <c r="FF36" i="4"/>
  <c r="GA37" i="4"/>
  <c r="BJ45" i="4"/>
  <c r="CU45" i="4"/>
  <c r="DB45" i="4"/>
  <c r="CD31" i="4"/>
  <c r="CK31" i="4" s="1"/>
  <c r="GD31" i="4"/>
  <c r="CB33" i="4"/>
  <c r="CI33" i="4" s="1"/>
  <c r="FZ36" i="4"/>
  <c r="BN37" i="4"/>
  <c r="CB38" i="4"/>
  <c r="CI38" i="4" s="1"/>
  <c r="BP38" i="4"/>
  <c r="BP39" i="4" s="1"/>
  <c r="GP39" i="4"/>
  <c r="BU43" i="4"/>
  <c r="CB46" i="4"/>
  <c r="CI46" i="4" s="1"/>
  <c r="CB52" i="4"/>
  <c r="CI52" i="4" s="1"/>
  <c r="CG34" i="4"/>
  <c r="CN34" i="4" s="1"/>
  <c r="CB35" i="4"/>
  <c r="CI35" i="4" s="1"/>
  <c r="BP35" i="4"/>
  <c r="BP36" i="4" s="1"/>
  <c r="BV37" i="4" s="1"/>
  <c r="CE35" i="4"/>
  <c r="CL35" i="4" s="1"/>
  <c r="EZ35" i="4"/>
  <c r="EY35" i="4"/>
  <c r="DA39" i="4"/>
  <c r="CT39" i="4"/>
  <c r="CY42" i="4"/>
  <c r="CR42" i="4"/>
  <c r="CG52" i="4"/>
  <c r="CN52" i="4" s="1"/>
  <c r="GT30" i="4"/>
  <c r="FD31" i="4"/>
  <c r="BN32" i="4"/>
  <c r="CF35" i="4"/>
  <c r="CM35" i="4" s="1"/>
  <c r="DS35" i="4"/>
  <c r="DZ35" i="4" s="1" a="1"/>
  <c r="DZ35" i="4" s="1"/>
  <c r="CB36" i="4"/>
  <c r="CI36" i="4" s="1"/>
  <c r="AP40" i="4"/>
  <c r="CE40" i="4"/>
  <c r="CL40" i="4" s="1"/>
  <c r="GP41" i="4"/>
  <c r="CZ42" i="4"/>
  <c r="CS42" i="4"/>
  <c r="GT50" i="4"/>
  <c r="FB32" i="4"/>
  <c r="FA32" i="4"/>
  <c r="FF32" i="4"/>
  <c r="BJ35" i="4"/>
  <c r="CU35" i="4"/>
  <c r="DB35" i="4"/>
  <c r="CD36" i="4"/>
  <c r="CK36" i="4" s="1"/>
  <c r="CE38" i="4"/>
  <c r="CL38" i="4" s="1"/>
  <c r="GT41" i="4"/>
  <c r="GA36" i="4"/>
  <c r="CF40" i="4"/>
  <c r="CM40" i="4" s="1"/>
  <c r="CE41" i="4"/>
  <c r="CL41" i="4" s="1"/>
  <c r="GB41" i="4"/>
  <c r="FX41" i="4"/>
  <c r="CE44" i="4"/>
  <c r="CL44" i="4" s="1"/>
  <c r="GP44" i="4"/>
  <c r="GT45" i="4"/>
  <c r="CE46" i="4"/>
  <c r="CL46" i="4" s="1"/>
  <c r="CD48" i="4"/>
  <c r="CK48" i="4" s="1"/>
  <c r="GT48" i="4"/>
  <c r="GD51" i="4"/>
  <c r="GD50" i="4"/>
  <c r="FZ51" i="4"/>
  <c r="FZ50" i="4"/>
  <c r="GD53" i="4"/>
  <c r="GD52" i="4"/>
  <c r="FF54" i="4"/>
  <c r="FE54" i="4"/>
  <c r="FR56" i="4"/>
  <c r="FD33" i="4"/>
  <c r="FZ37" i="4"/>
  <c r="CG47" i="4"/>
  <c r="CN47" i="4" s="1"/>
  <c r="CF48" i="4"/>
  <c r="CM48" i="4" s="1"/>
  <c r="CB50" i="4"/>
  <c r="CI50" i="4" s="1"/>
  <c r="FB50" i="4"/>
  <c r="FA50" i="4"/>
  <c r="FF50" i="4"/>
  <c r="FE50" i="4"/>
  <c r="FD50" i="4"/>
  <c r="FC50" i="4"/>
  <c r="FE33" i="4"/>
  <c r="EY36" i="4"/>
  <c r="FX39" i="4"/>
  <c r="GB39" i="4"/>
  <c r="CF42" i="4"/>
  <c r="CM42" i="4" s="1"/>
  <c r="GD43" i="4"/>
  <c r="GT44" i="4"/>
  <c r="CC48" i="4"/>
  <c r="CJ48" i="4" s="1"/>
  <c r="CR50" i="4"/>
  <c r="CY50" i="4"/>
  <c r="CC56" i="4"/>
  <c r="CJ56" i="4" s="1"/>
  <c r="FX33" i="4"/>
  <c r="CF34" i="4"/>
  <c r="CM34" i="4" s="1"/>
  <c r="FB35" i="4"/>
  <c r="EZ38" i="4"/>
  <c r="FE40" i="4"/>
  <c r="EY43" i="4"/>
  <c r="FZ44" i="4"/>
  <c r="FC35" i="4"/>
  <c r="FA36" i="4"/>
  <c r="GA42" i="4"/>
  <c r="GA41" i="4"/>
  <c r="CB43" i="4"/>
  <c r="CI43" i="4" s="1"/>
  <c r="CF45" i="4"/>
  <c r="CM45" i="4" s="1"/>
  <c r="DB46" i="4"/>
  <c r="GT52" i="4"/>
  <c r="CB55" i="4"/>
  <c r="CI55" i="4" s="1"/>
  <c r="FD35" i="4"/>
  <c r="FB36" i="4"/>
  <c r="FB40" i="4"/>
  <c r="BI41" i="4"/>
  <c r="EZ41" i="4"/>
  <c r="CB44" i="4"/>
  <c r="CI44" i="4" s="1"/>
  <c r="GA44" i="4"/>
  <c r="FC45" i="4"/>
  <c r="FA31" i="4"/>
  <c r="GA33" i="4"/>
  <c r="FC36" i="4"/>
  <c r="BQ37" i="4"/>
  <c r="FA37" i="4"/>
  <c r="FB38" i="4"/>
  <c r="FZ38" i="4"/>
  <c r="GD38" i="4"/>
  <c r="CB39" i="4"/>
  <c r="CI39" i="4" s="1"/>
  <c r="EZ39" i="4"/>
  <c r="EY39" i="4"/>
  <c r="GD39" i="4"/>
  <c r="CU40" i="4"/>
  <c r="DB40" i="4"/>
  <c r="CB42" i="4"/>
  <c r="CI42" i="4" s="1"/>
  <c r="GT42" i="4"/>
  <c r="BL43" i="4"/>
  <c r="CF44" i="4"/>
  <c r="CM44" i="4" s="1"/>
  <c r="GB44" i="4"/>
  <c r="CG49" i="4"/>
  <c r="CN49" i="4" s="1"/>
  <c r="GD61" i="4"/>
  <c r="FZ61" i="4"/>
  <c r="GD62" i="4"/>
  <c r="GD63" i="4"/>
  <c r="FB31" i="4"/>
  <c r="FD36" i="4"/>
  <c r="FB37" i="4"/>
  <c r="FA39" i="4"/>
  <c r="CD40" i="4"/>
  <c r="CK40" i="4" s="1"/>
  <c r="CG44" i="4"/>
  <c r="CN44" i="4" s="1"/>
  <c r="BU44" i="4"/>
  <c r="BU45" i="4" s="1"/>
  <c r="BU46" i="4" s="1"/>
  <c r="BU47" i="4" s="1"/>
  <c r="BU48" i="4" s="1"/>
  <c r="BU49" i="4" s="1"/>
  <c r="BU50" i="4" s="1"/>
  <c r="BU51" i="4" s="1"/>
  <c r="BU52" i="4" s="1"/>
  <c r="BU53" i="4" s="1"/>
  <c r="CA54" i="4" s="1"/>
  <c r="CC46" i="4"/>
  <c r="CJ46" i="4" s="1"/>
  <c r="GT46" i="4"/>
  <c r="CD47" i="4"/>
  <c r="CK47" i="4" s="1"/>
  <c r="EZ48" i="4"/>
  <c r="CB49" i="4"/>
  <c r="CI49" i="4" s="1"/>
  <c r="CX51" i="4"/>
  <c r="CQ51" i="4"/>
  <c r="CE54" i="4"/>
  <c r="CL54" i="4" s="1"/>
  <c r="GA60" i="4"/>
  <c r="FC31" i="4"/>
  <c r="EY33" i="4"/>
  <c r="FC37" i="4"/>
  <c r="BQ38" i="4"/>
  <c r="FD38" i="4"/>
  <c r="GA38" i="4"/>
  <c r="GP38" i="4"/>
  <c r="BJ39" i="4"/>
  <c r="FB39" i="4"/>
  <c r="GD41" i="4"/>
  <c r="GD40" i="4"/>
  <c r="FZ41" i="4"/>
  <c r="FZ40" i="4"/>
  <c r="BJ42" i="4"/>
  <c r="GD42" i="4"/>
  <c r="FZ42" i="4"/>
  <c r="EY44" i="4"/>
  <c r="CB45" i="4"/>
  <c r="CI45" i="4" s="1"/>
  <c r="CD45" i="4"/>
  <c r="CK45" i="4" s="1"/>
  <c r="FR47" i="4"/>
  <c r="CY51" i="4"/>
  <c r="CR51" i="4"/>
  <c r="GB53" i="4"/>
  <c r="FX53" i="4"/>
  <c r="FZ39" i="4"/>
  <c r="GT39" i="4"/>
  <c r="BK41" i="4"/>
  <c r="CF43" i="4"/>
  <c r="CM43" i="4" s="1"/>
  <c r="BK44" i="4"/>
  <c r="CE45" i="4"/>
  <c r="CL45" i="4" s="1"/>
  <c r="EY46" i="4"/>
  <c r="FZ47" i="4"/>
  <c r="FZ48" i="4"/>
  <c r="FZ49" i="4"/>
  <c r="GD47" i="4"/>
  <c r="GD48" i="4"/>
  <c r="FR53" i="4"/>
  <c r="GT54" i="4"/>
  <c r="CD43" i="4"/>
  <c r="CK43" i="4" s="1"/>
  <c r="FB43" i="4"/>
  <c r="GD44" i="4"/>
  <c r="GB45" i="4"/>
  <c r="FB46" i="4"/>
  <c r="FZ46" i="4"/>
  <c r="GA48" i="4"/>
  <c r="CG48" i="4"/>
  <c r="CN48" i="4" s="1"/>
  <c r="FD49" i="4"/>
  <c r="CG53" i="4"/>
  <c r="CN53" i="4" s="1"/>
  <c r="FZ53" i="4"/>
  <c r="BU42" i="4"/>
  <c r="FE42" i="4"/>
  <c r="EY45" i="4"/>
  <c r="GA47" i="4"/>
  <c r="FC49" i="4"/>
  <c r="FA49" i="4"/>
  <c r="FR49" i="4"/>
  <c r="CE51" i="4"/>
  <c r="CL51" i="4" s="1"/>
  <c r="FX57" i="4"/>
  <c r="GB57" i="4"/>
  <c r="FF42" i="4"/>
  <c r="FX42" i="4"/>
  <c r="FD43" i="4"/>
  <c r="FB44" i="4"/>
  <c r="GD45" i="4"/>
  <c r="BK46" i="4"/>
  <c r="FD46" i="4"/>
  <c r="GA46" i="4"/>
  <c r="FE48" i="4"/>
  <c r="GT49" i="4"/>
  <c r="CF51" i="4"/>
  <c r="CM51" i="4" s="1"/>
  <c r="BK52" i="4"/>
  <c r="CB53" i="4"/>
  <c r="CI53" i="4" s="1"/>
  <c r="CE53" i="4"/>
  <c r="CL53" i="4" s="1"/>
  <c r="EY53" i="4"/>
  <c r="EY40" i="4"/>
  <c r="FC44" i="4"/>
  <c r="FA45" i="4"/>
  <c r="BL48" i="4"/>
  <c r="FF48" i="4"/>
  <c r="GP51" i="4"/>
  <c r="CF53" i="4"/>
  <c r="CM53" i="4" s="1"/>
  <c r="CE56" i="4"/>
  <c r="CL56" i="4" s="1"/>
  <c r="FD44" i="4"/>
  <c r="FB45" i="4"/>
  <c r="BJ47" i="4"/>
  <c r="AP48" i="4"/>
  <c r="FC48" i="4"/>
  <c r="FB48" i="4"/>
  <c r="GA50" i="4"/>
  <c r="CG51" i="4"/>
  <c r="CN51" i="4" s="1"/>
  <c r="GT51" i="4"/>
  <c r="CE52" i="4"/>
  <c r="CL52" i="4" s="1"/>
  <c r="BJ53" i="4"/>
  <c r="BU55" i="4"/>
  <c r="CY61" i="4"/>
  <c r="CR61" i="4"/>
  <c r="GD49" i="4"/>
  <c r="CD49" i="4"/>
  <c r="CK49" i="4" s="1"/>
  <c r="CF50" i="4"/>
  <c r="CM50" i="4" s="1"/>
  <c r="CF54" i="4"/>
  <c r="CM54" i="4" s="1"/>
  <c r="CC57" i="4"/>
  <c r="CJ57" i="4" s="1"/>
  <c r="FR63" i="4"/>
  <c r="FD39" i="4"/>
  <c r="FD45" i="4"/>
  <c r="CF46" i="4"/>
  <c r="CM46" i="4" s="1"/>
  <c r="CE47" i="4"/>
  <c r="CL47" i="4" s="1"/>
  <c r="GP48" i="4"/>
  <c r="BJ49" i="4"/>
  <c r="CE49" i="4"/>
  <c r="CL49" i="4" s="1"/>
  <c r="EZ49" i="4"/>
  <c r="AT50" i="4"/>
  <c r="CG50" i="4"/>
  <c r="CN50" i="4" s="1"/>
  <c r="CB51" i="4"/>
  <c r="CI51" i="4" s="1"/>
  <c r="CF52" i="4"/>
  <c r="CM52" i="4" s="1"/>
  <c r="CD53" i="4"/>
  <c r="CK53" i="4" s="1"/>
  <c r="BU54" i="4"/>
  <c r="GT59" i="4"/>
  <c r="CC63" i="4"/>
  <c r="CJ63" i="4" s="1"/>
  <c r="GA43" i="4"/>
  <c r="CT49" i="4"/>
  <c r="DA49" i="4"/>
  <c r="FE49" i="4"/>
  <c r="GA49" i="4"/>
  <c r="GB52" i="4"/>
  <c r="FX52" i="4"/>
  <c r="CC54" i="4"/>
  <c r="CJ54" i="4" s="1"/>
  <c r="CC55" i="4"/>
  <c r="CJ55" i="4" s="1"/>
  <c r="CT58" i="4"/>
  <c r="DA58" i="4"/>
  <c r="CB59" i="4"/>
  <c r="CI59" i="4" s="1"/>
  <c r="CZ61" i="4"/>
  <c r="CS61" i="4"/>
  <c r="GT61" i="4"/>
  <c r="CE62" i="4"/>
  <c r="CL62" i="4" s="1"/>
  <c r="CD63" i="4"/>
  <c r="CK63" i="4" s="1"/>
  <c r="FD40" i="4"/>
  <c r="EY48" i="4"/>
  <c r="FF49" i="4"/>
  <c r="CS50" i="4"/>
  <c r="FR52" i="4"/>
  <c r="CB54" i="4"/>
  <c r="CI54" i="4" s="1"/>
  <c r="CC58" i="4"/>
  <c r="CJ58" i="4" s="1"/>
  <c r="CG58" i="4"/>
  <c r="CN58" i="4" s="1"/>
  <c r="FE59" i="4"/>
  <c r="EY47" i="4"/>
  <c r="BI48" i="4"/>
  <c r="CC50" i="4"/>
  <c r="CJ50" i="4" s="1"/>
  <c r="GP50" i="4"/>
  <c r="EZ51" i="4"/>
  <c r="FZ52" i="4"/>
  <c r="BK54" i="4"/>
  <c r="FB54" i="4"/>
  <c r="FD54" i="4"/>
  <c r="FC54" i="4"/>
  <c r="FA54" i="4"/>
  <c r="GP54" i="4"/>
  <c r="FC59" i="4"/>
  <c r="FB59" i="4"/>
  <c r="FA59" i="4"/>
  <c r="FF59" i="4"/>
  <c r="FC51" i="4"/>
  <c r="CC52" i="4"/>
  <c r="CJ52" i="4" s="1"/>
  <c r="FA52" i="4"/>
  <c r="AP54" i="4"/>
  <c r="FZ54" i="4"/>
  <c r="BK57" i="4"/>
  <c r="CE60" i="4"/>
  <c r="CL60" i="4" s="1"/>
  <c r="BU61" i="4"/>
  <c r="CA62" i="4" s="1"/>
  <c r="CF62" i="4"/>
  <c r="CM62" i="4" s="1"/>
  <c r="CZ65" i="4"/>
  <c r="CS65" i="4"/>
  <c r="FD51" i="4"/>
  <c r="GA54" i="4"/>
  <c r="GD55" i="4"/>
  <c r="FZ55" i="4"/>
  <c r="CD56" i="4"/>
  <c r="CK56" i="4" s="1"/>
  <c r="FZ56" i="4"/>
  <c r="GD58" i="4"/>
  <c r="GD57" i="4"/>
  <c r="FZ57" i="4"/>
  <c r="GT57" i="4"/>
  <c r="CB61" i="4"/>
  <c r="CI61" i="4" s="1"/>
  <c r="CE63" i="4"/>
  <c r="CL63" i="4" s="1"/>
  <c r="GP64" i="4"/>
  <c r="GP66" i="4"/>
  <c r="CD67" i="4"/>
  <c r="CK67" i="4" s="1"/>
  <c r="DQ55" i="4"/>
  <c r="DX55" i="4" s="1" a="1"/>
  <c r="DX55" i="4" s="1"/>
  <c r="GT55" i="4"/>
  <c r="EY58" i="4"/>
  <c r="BU62" i="4"/>
  <c r="BU63" i="4" s="1"/>
  <c r="FZ62" i="4"/>
  <c r="CF64" i="4"/>
  <c r="CM64" i="4" s="1"/>
  <c r="CE67" i="4"/>
  <c r="CL67" i="4" s="1"/>
  <c r="FD52" i="4"/>
  <c r="GA57" i="4"/>
  <c r="GA56" i="4"/>
  <c r="GA55" i="4"/>
  <c r="CE57" i="4"/>
  <c r="CL57" i="4" s="1"/>
  <c r="EY57" i="4"/>
  <c r="CC59" i="4"/>
  <c r="CJ59" i="4" s="1"/>
  <c r="FD60" i="4"/>
  <c r="CC61" i="4"/>
  <c r="CJ61" i="4" s="1"/>
  <c r="BU64" i="4"/>
  <c r="FR64" i="4"/>
  <c r="FE52" i="4"/>
  <c r="GD54" i="4"/>
  <c r="CD55" i="4"/>
  <c r="CK55" i="4" s="1"/>
  <c r="DD56" i="4"/>
  <c r="DE56" i="4" s="1"/>
  <c r="EZ56" i="4"/>
  <c r="GD56" i="4"/>
  <c r="CS59" i="4"/>
  <c r="CZ59" i="4"/>
  <c r="CB64" i="4"/>
  <c r="CI64" i="4" s="1"/>
  <c r="CB66" i="4"/>
  <c r="CI66" i="4" s="1"/>
  <c r="CD66" i="4"/>
  <c r="CK66" i="4" s="1"/>
  <c r="FD47" i="4"/>
  <c r="EY54" i="4"/>
  <c r="CE55" i="4"/>
  <c r="CL55" i="4" s="1"/>
  <c r="CT59" i="4"/>
  <c r="DA59" i="4"/>
  <c r="CB60" i="4"/>
  <c r="CI60" i="4" s="1"/>
  <c r="CR60" i="4"/>
  <c r="CY60" i="4"/>
  <c r="GP60" i="4"/>
  <c r="CD64" i="4"/>
  <c r="CK64" i="4" s="1"/>
  <c r="CQ64" i="4"/>
  <c r="CX64" i="4"/>
  <c r="FE47" i="4"/>
  <c r="EY50" i="4"/>
  <c r="CF55" i="4"/>
  <c r="CM55" i="4" s="1"/>
  <c r="FX58" i="4"/>
  <c r="GB58" i="4"/>
  <c r="CD59" i="4"/>
  <c r="CK59" i="4" s="1"/>
  <c r="CU59" i="4"/>
  <c r="DB59" i="4"/>
  <c r="GT60" i="4"/>
  <c r="FB49" i="4"/>
  <c r="CF56" i="4"/>
  <c r="CM56" i="4" s="1"/>
  <c r="FF58" i="4"/>
  <c r="FR58" i="4"/>
  <c r="GT58" i="4"/>
  <c r="CC60" i="4"/>
  <c r="CJ60" i="4" s="1"/>
  <c r="BU60" i="4"/>
  <c r="CA61" i="4" s="1"/>
  <c r="CG61" i="4" s="1"/>
  <c r="CN61" i="4" s="1"/>
  <c r="CC62" i="4"/>
  <c r="CJ62" i="4" s="1"/>
  <c r="CB63" i="4"/>
  <c r="CI63" i="4" s="1"/>
  <c r="CF63" i="4"/>
  <c r="CM63" i="4" s="1"/>
  <c r="GD64" i="4"/>
  <c r="CE64" i="4"/>
  <c r="CL64" i="4" s="1"/>
  <c r="BU65" i="4"/>
  <c r="EY51" i="4"/>
  <c r="CB57" i="4"/>
  <c r="CI57" i="4" s="1"/>
  <c r="CF57" i="4"/>
  <c r="CM57" i="4" s="1"/>
  <c r="CB58" i="4"/>
  <c r="CI58" i="4" s="1"/>
  <c r="FE58" i="4"/>
  <c r="CF60" i="4"/>
  <c r="CM60" i="4" s="1"/>
  <c r="FC60" i="4"/>
  <c r="FB60" i="4"/>
  <c r="FA60" i="4"/>
  <c r="FF60" i="4"/>
  <c r="CP62" i="4"/>
  <c r="CG63" i="4"/>
  <c r="CN63" i="4" s="1"/>
  <c r="CG56" i="4"/>
  <c r="CN56" i="4" s="1"/>
  <c r="BU56" i="4"/>
  <c r="BU57" i="4" s="1"/>
  <c r="BU58" i="4" s="1"/>
  <c r="BU59" i="4" s="1"/>
  <c r="CA60" i="4" s="1"/>
  <c r="CG60" i="4" s="1"/>
  <c r="CN60" i="4" s="1"/>
  <c r="CG57" i="4"/>
  <c r="CN57" i="4" s="1"/>
  <c r="CE58" i="4"/>
  <c r="CL58" i="4" s="1"/>
  <c r="FD59" i="4"/>
  <c r="BM61" i="4"/>
  <c r="CD62" i="4"/>
  <c r="CK62" i="4" s="1"/>
  <c r="CB65" i="4"/>
  <c r="CI65" i="4" s="1"/>
  <c r="FB56" i="4"/>
  <c r="FZ59" i="4"/>
  <c r="FB62" i="4"/>
  <c r="FD65" i="4"/>
  <c r="GD66" i="4"/>
  <c r="FZ66" i="4"/>
  <c r="GP67" i="4"/>
  <c r="FE61" i="4"/>
  <c r="EY64" i="4"/>
  <c r="CC65" i="4"/>
  <c r="CJ65" i="4" s="1"/>
  <c r="CF67" i="4"/>
  <c r="CM67" i="4" s="1"/>
  <c r="GT67" i="4"/>
  <c r="GT68" i="4"/>
  <c r="GT69" i="4"/>
  <c r="GP70" i="4"/>
  <c r="CD71" i="4"/>
  <c r="CK71" i="4" s="1"/>
  <c r="FD56" i="4"/>
  <c r="FZ60" i="4"/>
  <c r="FF61" i="4"/>
  <c r="FD62" i="4"/>
  <c r="CD65" i="4"/>
  <c r="CK65" i="4" s="1"/>
  <c r="FR65" i="4"/>
  <c r="GP65" i="4"/>
  <c r="CE68" i="4"/>
  <c r="CL68" i="4" s="1"/>
  <c r="GP71" i="4"/>
  <c r="CX75" i="4"/>
  <c r="CQ75" i="4"/>
  <c r="FE56" i="4"/>
  <c r="FC57" i="4"/>
  <c r="EY59" i="4"/>
  <c r="FE62" i="4"/>
  <c r="FE63" i="4"/>
  <c r="FD63" i="4"/>
  <c r="FE64" i="4"/>
  <c r="CF65" i="4"/>
  <c r="CM65" i="4" s="1"/>
  <c r="GD65" i="4"/>
  <c r="FZ65" i="4"/>
  <c r="CE71" i="4"/>
  <c r="CL71" i="4" s="1"/>
  <c r="GP72" i="4"/>
  <c r="FX56" i="4"/>
  <c r="FB58" i="4"/>
  <c r="GD59" i="4"/>
  <c r="FX62" i="4"/>
  <c r="FF63" i="4"/>
  <c r="FX63" i="4"/>
  <c r="FZ64" i="4"/>
  <c r="CC66" i="4"/>
  <c r="CJ66" i="4" s="1"/>
  <c r="DQ66" i="4"/>
  <c r="DX66" i="4" s="1" a="1"/>
  <c r="DX66" i="4" s="1"/>
  <c r="EZ66" i="4"/>
  <c r="FR69" i="4"/>
  <c r="FR70" i="4"/>
  <c r="FR71" i="4"/>
  <c r="CE72" i="4"/>
  <c r="CL72" i="4" s="1"/>
  <c r="GT72" i="4"/>
  <c r="FC58" i="4"/>
  <c r="EY60" i="4"/>
  <c r="GA61" i="4"/>
  <c r="GA64" i="4"/>
  <c r="GA65" i="4"/>
  <c r="BP67" i="4"/>
  <c r="GD67" i="4"/>
  <c r="FZ69" i="4"/>
  <c r="FD58" i="4"/>
  <c r="FZ63" i="4"/>
  <c r="FD64" i="4"/>
  <c r="EZ65" i="4"/>
  <c r="EY65" i="4"/>
  <c r="FR72" i="4"/>
  <c r="GA62" i="4"/>
  <c r="GA63" i="4"/>
  <c r="FB64" i="4"/>
  <c r="FA64" i="4"/>
  <c r="FC65" i="4"/>
  <c r="GA67" i="4"/>
  <c r="BP68" i="4"/>
  <c r="CB69" i="4"/>
  <c r="CI69" i="4" s="1"/>
  <c r="BP69" i="4"/>
  <c r="BP70" i="4" s="1"/>
  <c r="BP71" i="4" s="1"/>
  <c r="BP72" i="4" s="1"/>
  <c r="BP73" i="4" s="1"/>
  <c r="BP74" i="4" s="1"/>
  <c r="BP75" i="4" s="1"/>
  <c r="BP76" i="4" s="1"/>
  <c r="BP77" i="4" s="1"/>
  <c r="BP78" i="4" s="1"/>
  <c r="BP79" i="4" s="1"/>
  <c r="BP80" i="4" s="1"/>
  <c r="BP81" i="4" s="1"/>
  <c r="BP82" i="4" s="1"/>
  <c r="BP83" i="4" s="1"/>
  <c r="BP84" i="4" s="1"/>
  <c r="CG70" i="4"/>
  <c r="CN70" i="4" s="1"/>
  <c r="CG71" i="4"/>
  <c r="CN71" i="4" s="1"/>
  <c r="CG72" i="4"/>
  <c r="CN72" i="4" s="1"/>
  <c r="CE74" i="4"/>
  <c r="CL74" i="4" s="1"/>
  <c r="FE65" i="4"/>
  <c r="CF66" i="4"/>
  <c r="CM66" i="4" s="1"/>
  <c r="CT69" i="4"/>
  <c r="DA69" i="4"/>
  <c r="CB70" i="4"/>
  <c r="CI70" i="4" s="1"/>
  <c r="CR70" i="4"/>
  <c r="CY70" i="4"/>
  <c r="BN66" i="4"/>
  <c r="CS66" i="4"/>
  <c r="BQ68" i="4"/>
  <c r="BQ69" i="4" s="1"/>
  <c r="BQ70" i="4" s="1"/>
  <c r="BQ71" i="4" s="1"/>
  <c r="BQ72" i="4" s="1"/>
  <c r="BQ73" i="4" s="1"/>
  <c r="BQ74" i="4" s="1"/>
  <c r="BQ75" i="4" s="1"/>
  <c r="BQ76" i="4" s="1"/>
  <c r="BQ77" i="4" s="1"/>
  <c r="BQ78" i="4" s="1"/>
  <c r="BQ79" i="4" s="1"/>
  <c r="CU69" i="4"/>
  <c r="DB69" i="4"/>
  <c r="CS70" i="4"/>
  <c r="CZ70" i="4"/>
  <c r="CB71" i="4"/>
  <c r="CI71" i="4" s="1"/>
  <c r="CQ71" i="4"/>
  <c r="CX71" i="4"/>
  <c r="CB72" i="4"/>
  <c r="CI72" i="4" s="1"/>
  <c r="CR72" i="4"/>
  <c r="CY72" i="4"/>
  <c r="CG73" i="4"/>
  <c r="CN73" i="4" s="1"/>
  <c r="FD66" i="4"/>
  <c r="EZ68" i="4"/>
  <c r="GD68" i="4"/>
  <c r="GB69" i="4"/>
  <c r="FZ70" i="4"/>
  <c r="FF72" i="4"/>
  <c r="CD73" i="4"/>
  <c r="CK73" i="4" s="1"/>
  <c r="FE73" i="4"/>
  <c r="GA73" i="4"/>
  <c r="CT74" i="4"/>
  <c r="CB76" i="4"/>
  <c r="CI76" i="4" s="1"/>
  <c r="CF76" i="4"/>
  <c r="CM76" i="4" s="1"/>
  <c r="EZ76" i="4"/>
  <c r="GT78" i="4"/>
  <c r="FR79" i="4"/>
  <c r="CF80" i="4"/>
  <c r="CM80" i="4" s="1"/>
  <c r="GA70" i="4"/>
  <c r="FZ72" i="4"/>
  <c r="CE73" i="4"/>
  <c r="CL73" i="4" s="1"/>
  <c r="GB73" i="4"/>
  <c r="CG76" i="4"/>
  <c r="CN76" i="4" s="1"/>
  <c r="CB77" i="4"/>
  <c r="CI77" i="4" s="1"/>
  <c r="CD77" i="4"/>
  <c r="CK77" i="4" s="1"/>
  <c r="CE78" i="4"/>
  <c r="CL78" i="4" s="1"/>
  <c r="FF66" i="4"/>
  <c r="FD67" i="4"/>
  <c r="FB68" i="4"/>
  <c r="GD69" i="4"/>
  <c r="FZ71" i="4"/>
  <c r="CF73" i="4"/>
  <c r="CM73" i="4" s="1"/>
  <c r="FB73" i="4"/>
  <c r="FA73" i="4"/>
  <c r="FZ77" i="4"/>
  <c r="GD74" i="4"/>
  <c r="FZ74" i="4"/>
  <c r="GD76" i="4"/>
  <c r="BK75" i="4"/>
  <c r="CC76" i="4"/>
  <c r="CJ76" i="4" s="1"/>
  <c r="CS77" i="4"/>
  <c r="CZ77" i="4"/>
  <c r="CF79" i="4"/>
  <c r="CM79" i="4" s="1"/>
  <c r="CG80" i="4"/>
  <c r="CN80" i="4" s="1"/>
  <c r="CE81" i="4"/>
  <c r="CL81" i="4" s="1"/>
  <c r="CF83" i="4"/>
  <c r="CM83" i="4" s="1"/>
  <c r="BU67" i="4"/>
  <c r="FC68" i="4"/>
  <c r="FA69" i="4"/>
  <c r="GA71" i="4"/>
  <c r="CC74" i="4"/>
  <c r="CJ74" i="4" s="1"/>
  <c r="GP75" i="4"/>
  <c r="CC77" i="4"/>
  <c r="CJ77" i="4" s="1"/>
  <c r="CT77" i="4"/>
  <c r="DA77" i="4"/>
  <c r="FX67" i="4"/>
  <c r="CF68" i="4"/>
  <c r="CM68" i="4" s="1"/>
  <c r="FD68" i="4"/>
  <c r="GD70" i="4"/>
  <c r="CG74" i="4"/>
  <c r="CN74" i="4" s="1"/>
  <c r="CE75" i="4"/>
  <c r="CL75" i="4" s="1"/>
  <c r="CD76" i="4"/>
  <c r="CK76" i="4" s="1"/>
  <c r="CU77" i="4"/>
  <c r="DB77" i="4"/>
  <c r="CG79" i="4"/>
  <c r="CN79" i="4" s="1"/>
  <c r="CB80" i="4"/>
  <c r="CI80" i="4" s="1"/>
  <c r="CF81" i="4"/>
  <c r="CM81" i="4" s="1"/>
  <c r="CB82" i="4"/>
  <c r="CI82" i="4" s="1"/>
  <c r="CZ82" i="4"/>
  <c r="CS82" i="4"/>
  <c r="GA66" i="4"/>
  <c r="BU68" i="4"/>
  <c r="BU69" i="4" s="1"/>
  <c r="BU70" i="4" s="1"/>
  <c r="BU71" i="4" s="1"/>
  <c r="BU72" i="4" s="1"/>
  <c r="BU73" i="4" s="1"/>
  <c r="BU74" i="4" s="1"/>
  <c r="BU75" i="4" s="1"/>
  <c r="BU76" i="4" s="1"/>
  <c r="FE68" i="4"/>
  <c r="CE69" i="4"/>
  <c r="CL69" i="4" s="1"/>
  <c r="FC69" i="4"/>
  <c r="FA70" i="4"/>
  <c r="EY71" i="4"/>
  <c r="FB74" i="4"/>
  <c r="GA74" i="4"/>
  <c r="CG81" i="4"/>
  <c r="CN81" i="4" s="1"/>
  <c r="FZ67" i="4"/>
  <c r="FX68" i="4"/>
  <c r="FD69" i="4"/>
  <c r="CB74" i="4"/>
  <c r="CI74" i="4" s="1"/>
  <c r="CF75" i="4"/>
  <c r="CM75" i="4" s="1"/>
  <c r="FZ75" i="4"/>
  <c r="CE76" i="4"/>
  <c r="CL76" i="4" s="1"/>
  <c r="CB78" i="4"/>
  <c r="CI78" i="4" s="1"/>
  <c r="CQ78" i="4"/>
  <c r="CX78" i="4"/>
  <c r="CB79" i="4"/>
  <c r="CI79" i="4" s="1"/>
  <c r="CS79" i="4"/>
  <c r="CZ79" i="4"/>
  <c r="CR80" i="4"/>
  <c r="CY80" i="4"/>
  <c r="FC64" i="4"/>
  <c r="FA65" i="4"/>
  <c r="EY66" i="4"/>
  <c r="FE69" i="4"/>
  <c r="FC70" i="4"/>
  <c r="FA71" i="4"/>
  <c r="FR76" i="4"/>
  <c r="GT76" i="4"/>
  <c r="CR78" i="4"/>
  <c r="CY78" i="4"/>
  <c r="CC80" i="4"/>
  <c r="CJ80" i="4" s="1"/>
  <c r="BQ80" i="4"/>
  <c r="BQ81" i="4" s="1"/>
  <c r="BQ82" i="4" s="1"/>
  <c r="BQ83" i="4" s="1"/>
  <c r="CB81" i="4"/>
  <c r="CI81" i="4" s="1"/>
  <c r="FB65" i="4"/>
  <c r="FZ68" i="4"/>
  <c r="FB71" i="4"/>
  <c r="FA72" i="4"/>
  <c r="EZ73" i="4"/>
  <c r="GD73" i="4"/>
  <c r="FZ73" i="4"/>
  <c r="CP75" i="4"/>
  <c r="GA76" i="4"/>
  <c r="FZ76" i="4"/>
  <c r="CT78" i="4"/>
  <c r="DA78" i="4"/>
  <c r="CC79" i="4"/>
  <c r="CJ79" i="4" s="1"/>
  <c r="EY67" i="4"/>
  <c r="GA68" i="4"/>
  <c r="FE70" i="4"/>
  <c r="FC71" i="4"/>
  <c r="FF74" i="4"/>
  <c r="FE74" i="4"/>
  <c r="FD74" i="4"/>
  <c r="GD75" i="4"/>
  <c r="CU78" i="4"/>
  <c r="DB78" i="4"/>
  <c r="GT79" i="4"/>
  <c r="CC81" i="4"/>
  <c r="CJ81" i="4" s="1"/>
  <c r="CC85" i="4"/>
  <c r="CJ85" i="4" s="1"/>
  <c r="FD72" i="4"/>
  <c r="FC73" i="4"/>
  <c r="CR74" i="4"/>
  <c r="GP77" i="4"/>
  <c r="CY83" i="4"/>
  <c r="CR83" i="4"/>
  <c r="FE72" i="4"/>
  <c r="CC73" i="4"/>
  <c r="CJ73" i="4" s="1"/>
  <c r="GT73" i="4"/>
  <c r="CG75" i="4"/>
  <c r="CN75" i="4" s="1"/>
  <c r="GB76" i="4"/>
  <c r="GT77" i="4"/>
  <c r="GP78" i="4"/>
  <c r="GQ78" i="4" s="1"/>
  <c r="CD79" i="4"/>
  <c r="CK79" i="4" s="1"/>
  <c r="GP80" i="4"/>
  <c r="CD81" i="4"/>
  <c r="CK81" i="4" s="1"/>
  <c r="FE79" i="4"/>
  <c r="CE80" i="4"/>
  <c r="CL80" i="4" s="1"/>
  <c r="GD81" i="4"/>
  <c r="CG82" i="4"/>
  <c r="CN82" i="4" s="1"/>
  <c r="EY83" i="4"/>
  <c r="CT85" i="4"/>
  <c r="DA85" i="4"/>
  <c r="DS85" i="4"/>
  <c r="DZ85" i="4" s="1" a="1"/>
  <c r="DZ85" i="4" s="1"/>
  <c r="CD89" i="4"/>
  <c r="CK89" i="4" s="1"/>
  <c r="CB91" i="4"/>
  <c r="CI91" i="4" s="1"/>
  <c r="FZ78" i="4"/>
  <c r="FF79" i="4"/>
  <c r="FX79" i="4"/>
  <c r="FB80" i="4"/>
  <c r="FE80" i="4"/>
  <c r="FB81" i="4"/>
  <c r="CE83" i="4"/>
  <c r="CL83" i="4" s="1"/>
  <c r="GP86" i="4"/>
  <c r="CD87" i="4"/>
  <c r="CK87" i="4" s="1"/>
  <c r="GT88" i="4"/>
  <c r="DA92" i="4"/>
  <c r="CT92" i="4"/>
  <c r="FC75" i="4"/>
  <c r="FA76" i="4"/>
  <c r="EY77" i="4"/>
  <c r="GA78" i="4"/>
  <c r="FF80" i="4"/>
  <c r="FC81" i="4"/>
  <c r="GA81" i="4"/>
  <c r="GP81" i="4"/>
  <c r="FC82" i="4"/>
  <c r="CD85" i="4"/>
  <c r="CK85" i="4" s="1"/>
  <c r="FR85" i="4"/>
  <c r="GT86" i="4"/>
  <c r="CD90" i="4"/>
  <c r="CK90" i="4" s="1"/>
  <c r="FX74" i="4"/>
  <c r="FD75" i="4"/>
  <c r="FB76" i="4"/>
  <c r="GD77" i="4"/>
  <c r="FZ79" i="4"/>
  <c r="FZ80" i="4"/>
  <c r="FE81" i="4"/>
  <c r="CD82" i="4"/>
  <c r="CK82" i="4" s="1"/>
  <c r="CC83" i="4"/>
  <c r="CJ83" i="4" s="1"/>
  <c r="FX84" i="4"/>
  <c r="GB84" i="4"/>
  <c r="FD85" i="4"/>
  <c r="FR88" i="4"/>
  <c r="FA77" i="4"/>
  <c r="GA79" i="4"/>
  <c r="GA80" i="4"/>
  <c r="FD81" i="4"/>
  <c r="FZ81" i="4"/>
  <c r="GT81" i="4"/>
  <c r="CE84" i="4"/>
  <c r="CL84" i="4" s="1"/>
  <c r="FR84" i="4"/>
  <c r="GT84" i="4"/>
  <c r="CE86" i="4"/>
  <c r="CL86" i="4" s="1"/>
  <c r="CF87" i="4"/>
  <c r="CM87" i="4" s="1"/>
  <c r="CF88" i="4"/>
  <c r="CM88" i="4" s="1"/>
  <c r="FX75" i="4"/>
  <c r="FB77" i="4"/>
  <c r="AP82" i="4"/>
  <c r="FF82" i="4"/>
  <c r="FE82" i="4"/>
  <c r="FB82" i="4"/>
  <c r="CT84" i="4"/>
  <c r="DA84" i="4"/>
  <c r="FE84" i="4"/>
  <c r="FC85" i="4"/>
  <c r="FE76" i="4"/>
  <c r="FA78" i="4"/>
  <c r="CT82" i="4"/>
  <c r="FX83" i="4"/>
  <c r="GB83" i="4"/>
  <c r="BJ84" i="4"/>
  <c r="CG84" i="4"/>
  <c r="CN84" i="4" s="1"/>
  <c r="FD77" i="4"/>
  <c r="FB78" i="4"/>
  <c r="CB83" i="4"/>
  <c r="CI83" i="4" s="1"/>
  <c r="CG86" i="4"/>
  <c r="CN86" i="4" s="1"/>
  <c r="CG87" i="4"/>
  <c r="CN87" i="4" s="1"/>
  <c r="CB88" i="4"/>
  <c r="CI88" i="4" s="1"/>
  <c r="CB89" i="4"/>
  <c r="CI89" i="4" s="1"/>
  <c r="EY74" i="4"/>
  <c r="GA75" i="4"/>
  <c r="BU77" i="4"/>
  <c r="BU78" i="4" s="1"/>
  <c r="BU79" i="4" s="1"/>
  <c r="BU80" i="4" s="1"/>
  <c r="BU81" i="4" s="1"/>
  <c r="BU82" i="4" s="1"/>
  <c r="BU83" i="4" s="1"/>
  <c r="BU84" i="4" s="1"/>
  <c r="BU85" i="4" s="1"/>
  <c r="BU86" i="4" s="1"/>
  <c r="BU87" i="4" s="1"/>
  <c r="BU88" i="4" s="1"/>
  <c r="BU89" i="4" s="1"/>
  <c r="BU90" i="4" s="1"/>
  <c r="BU91" i="4" s="1"/>
  <c r="BU92" i="4" s="1"/>
  <c r="BU93" i="4" s="1"/>
  <c r="BU94" i="4" s="1"/>
  <c r="BU95" i="4" s="1"/>
  <c r="BU96" i="4" s="1"/>
  <c r="FC78" i="4"/>
  <c r="FA79" i="4"/>
  <c r="AT82" i="4"/>
  <c r="FA84" i="4"/>
  <c r="GA84" i="4"/>
  <c r="CB87" i="4"/>
  <c r="CI87" i="4" s="1"/>
  <c r="DA89" i="4"/>
  <c r="CT89" i="4"/>
  <c r="FB79" i="4"/>
  <c r="CC82" i="4"/>
  <c r="CJ82" i="4" s="1"/>
  <c r="CG83" i="4"/>
  <c r="CN83" i="4" s="1"/>
  <c r="GT83" i="4"/>
  <c r="CD84" i="4"/>
  <c r="CK84" i="4" s="1"/>
  <c r="CB86" i="4"/>
  <c r="CI86" i="4" s="1"/>
  <c r="CR86" i="4"/>
  <c r="CY86" i="4"/>
  <c r="CZ87" i="4"/>
  <c r="CS87" i="4"/>
  <c r="CB90" i="4"/>
  <c r="CI90" i="4" s="1"/>
  <c r="FC79" i="4"/>
  <c r="EZ81" i="4"/>
  <c r="FZ82" i="4"/>
  <c r="GD84" i="4"/>
  <c r="GD83" i="4"/>
  <c r="FZ84" i="4"/>
  <c r="FZ83" i="4"/>
  <c r="AP84" i="4"/>
  <c r="AP2" i="4" s="1"/>
  <c r="DQ40" i="4" s="1"/>
  <c r="DX40" i="4" s="1" a="1"/>
  <c r="DX40" i="4" s="1"/>
  <c r="CB84" i="4"/>
  <c r="CI84" i="4" s="1"/>
  <c r="BI85" i="4"/>
  <c r="CC87" i="4"/>
  <c r="CJ87" i="4" s="1"/>
  <c r="EY84" i="4"/>
  <c r="CE85" i="4"/>
  <c r="CL85" i="4" s="1"/>
  <c r="CC86" i="4"/>
  <c r="CJ86" i="4" s="1"/>
  <c r="DA86" i="4"/>
  <c r="CT86" i="4"/>
  <c r="CD88" i="4"/>
  <c r="CK88" i="4" s="1"/>
  <c r="GA83" i="4"/>
  <c r="CG85" i="4"/>
  <c r="CN85" i="4" s="1"/>
  <c r="FC86" i="4"/>
  <c r="FB87" i="4"/>
  <c r="GD88" i="4"/>
  <c r="AP89" i="4"/>
  <c r="FR90" i="4"/>
  <c r="DR92" i="4"/>
  <c r="DY92" i="4" s="1" a="1"/>
  <c r="DY92" i="4" s="1"/>
  <c r="EY92" i="4"/>
  <c r="CB93" i="4"/>
  <c r="CI93" i="4" s="1"/>
  <c r="GP93" i="4"/>
  <c r="CC94" i="4"/>
  <c r="CJ94" i="4" s="1"/>
  <c r="CF103" i="4"/>
  <c r="CM103" i="4" s="1"/>
  <c r="FF85" i="4"/>
  <c r="FD86" i="4"/>
  <c r="FC87" i="4"/>
  <c r="FA90" i="4"/>
  <c r="FF90" i="4"/>
  <c r="FE90" i="4"/>
  <c r="FC90" i="4"/>
  <c r="FB90" i="4"/>
  <c r="GD90" i="4"/>
  <c r="DT91" i="4"/>
  <c r="EA91" i="4" s="1" a="1"/>
  <c r="EA91" i="4" s="1"/>
  <c r="BK94" i="4"/>
  <c r="CB95" i="4"/>
  <c r="CI95" i="4" s="1"/>
  <c r="BS99" i="4"/>
  <c r="CW101" i="4"/>
  <c r="CP101" i="4"/>
  <c r="FE86" i="4"/>
  <c r="FD87" i="4"/>
  <c r="GA90" i="4"/>
  <c r="GA88" i="4"/>
  <c r="GA87" i="4"/>
  <c r="GP87" i="4"/>
  <c r="GA89" i="4"/>
  <c r="CB97" i="4"/>
  <c r="CI97" i="4" s="1"/>
  <c r="DA98" i="4"/>
  <c r="CT98" i="4"/>
  <c r="FR98" i="4"/>
  <c r="FZ85" i="4"/>
  <c r="FF86" i="4"/>
  <c r="FE87" i="4"/>
  <c r="CC88" i="4"/>
  <c r="CJ88" i="4" s="1"/>
  <c r="EY88" i="4"/>
  <c r="CF91" i="4"/>
  <c r="CM91" i="4" s="1"/>
  <c r="BS94" i="4"/>
  <c r="CG88" i="4"/>
  <c r="CN88" i="4" s="1"/>
  <c r="DS89" i="4"/>
  <c r="DZ89" i="4" s="1" a="1"/>
  <c r="DZ89" i="4" s="1"/>
  <c r="CR91" i="4"/>
  <c r="CB92" i="4"/>
  <c r="CI92" i="4" s="1"/>
  <c r="CB103" i="4"/>
  <c r="CI103" i="4" s="1"/>
  <c r="FZ86" i="4"/>
  <c r="CE88" i="4"/>
  <c r="CL88" i="4" s="1"/>
  <c r="FZ91" i="4"/>
  <c r="GD89" i="4"/>
  <c r="GD91" i="4"/>
  <c r="FZ90" i="4"/>
  <c r="CU91" i="4"/>
  <c r="FD91" i="4"/>
  <c r="CD92" i="4"/>
  <c r="CK92" i="4" s="1"/>
  <c r="GT92" i="4"/>
  <c r="CD93" i="4"/>
  <c r="CK93" i="4" s="1"/>
  <c r="CF94" i="4"/>
  <c r="CM94" i="4" s="1"/>
  <c r="GP94" i="4"/>
  <c r="CB96" i="4"/>
  <c r="CI96" i="4" s="1"/>
  <c r="GP96" i="4"/>
  <c r="CR97" i="4"/>
  <c r="CY97" i="4"/>
  <c r="EY85" i="4"/>
  <c r="GA86" i="4"/>
  <c r="GD87" i="4"/>
  <c r="FB88" i="4"/>
  <c r="FE91" i="4"/>
  <c r="FR91" i="4"/>
  <c r="GP91" i="4"/>
  <c r="FF92" i="4"/>
  <c r="FE92" i="4"/>
  <c r="FC92" i="4"/>
  <c r="FB92" i="4"/>
  <c r="FA92" i="4"/>
  <c r="BL93" i="4"/>
  <c r="FC93" i="4"/>
  <c r="FB93" i="4"/>
  <c r="FA93" i="4"/>
  <c r="CD95" i="4"/>
  <c r="CK95" i="4" s="1"/>
  <c r="CB98" i="4"/>
  <c r="CI98" i="4" s="1"/>
  <c r="FR100" i="4"/>
  <c r="FX82" i="4"/>
  <c r="FD83" i="4"/>
  <c r="FB84" i="4"/>
  <c r="GD85" i="4"/>
  <c r="FC88" i="4"/>
  <c r="CE89" i="4"/>
  <c r="CL89" i="4" s="1"/>
  <c r="CC89" i="4"/>
  <c r="CJ89" i="4" s="1"/>
  <c r="CC90" i="4"/>
  <c r="CJ90" i="4" s="1"/>
  <c r="CE92" i="4"/>
  <c r="CL92" i="4" s="1"/>
  <c r="FX94" i="4"/>
  <c r="GB94" i="4"/>
  <c r="BS95" i="4"/>
  <c r="CB100" i="4"/>
  <c r="CI100" i="4" s="1"/>
  <c r="CG100" i="4"/>
  <c r="CN100" i="4" s="1"/>
  <c r="GP102" i="4"/>
  <c r="FE83" i="4"/>
  <c r="FC84" i="4"/>
  <c r="FA85" i="4"/>
  <c r="EY86" i="4"/>
  <c r="FE88" i="4"/>
  <c r="GP88" i="4"/>
  <c r="FD90" i="4"/>
  <c r="CF93" i="4"/>
  <c r="CM93" i="4" s="1"/>
  <c r="FD84" i="4"/>
  <c r="FB85" i="4"/>
  <c r="FZ88" i="4"/>
  <c r="CG89" i="4"/>
  <c r="CN89" i="4" s="1"/>
  <c r="CC91" i="4"/>
  <c r="CJ91" i="4" s="1"/>
  <c r="BS97" i="4"/>
  <c r="GP90" i="4"/>
  <c r="GA92" i="4"/>
  <c r="GA95" i="4"/>
  <c r="GA93" i="4"/>
  <c r="GA94" i="4"/>
  <c r="CG93" i="4"/>
  <c r="CN93" i="4" s="1"/>
  <c r="CT96" i="4"/>
  <c r="DA96" i="4"/>
  <c r="DQ98" i="4"/>
  <c r="DX98" i="4" s="1" a="1"/>
  <c r="DX98" i="4" s="1"/>
  <c r="CG102" i="4"/>
  <c r="CN102" i="4" s="1"/>
  <c r="FA87" i="4"/>
  <c r="EZ89" i="4"/>
  <c r="EY89" i="4"/>
  <c r="CG90" i="4"/>
  <c r="CN90" i="4" s="1"/>
  <c r="GT90" i="4"/>
  <c r="EY91" i="4"/>
  <c r="AT92" i="4"/>
  <c r="CG92" i="4"/>
  <c r="CN92" i="4" s="1"/>
  <c r="GP97" i="4"/>
  <c r="FD89" i="4"/>
  <c r="GD92" i="4"/>
  <c r="CG95" i="4"/>
  <c r="CN95" i="4" s="1"/>
  <c r="FD96" i="4"/>
  <c r="CC98" i="4"/>
  <c r="CJ98" i="4" s="1"/>
  <c r="DO98" i="4"/>
  <c r="DV98" i="4" s="1" a="1"/>
  <c r="DV98" i="4" s="1"/>
  <c r="GP98" i="4"/>
  <c r="FF99" i="4"/>
  <c r="FE99" i="4"/>
  <c r="CE103" i="4"/>
  <c r="CL103" i="4" s="1"/>
  <c r="FE103" i="4"/>
  <c r="FE89" i="4"/>
  <c r="CE90" i="4"/>
  <c r="CL90" i="4" s="1"/>
  <c r="FA91" i="4"/>
  <c r="CG94" i="4"/>
  <c r="CN94" i="4" s="1"/>
  <c r="FF94" i="4"/>
  <c r="GD94" i="4"/>
  <c r="AP95" i="4"/>
  <c r="FZ96" i="4"/>
  <c r="CD99" i="4"/>
  <c r="CK99" i="4" s="1"/>
  <c r="GP100" i="4"/>
  <c r="BK101" i="4"/>
  <c r="CE91" i="4"/>
  <c r="CL91" i="4" s="1"/>
  <c r="FC91" i="4"/>
  <c r="CC92" i="4"/>
  <c r="CJ92" i="4" s="1"/>
  <c r="FE95" i="4"/>
  <c r="CG96" i="4"/>
  <c r="CN96" i="4" s="1"/>
  <c r="FB97" i="4"/>
  <c r="CD98" i="4"/>
  <c r="CK98" i="4" s="1"/>
  <c r="FZ98" i="4"/>
  <c r="GD98" i="4"/>
  <c r="EY100" i="4"/>
  <c r="CE101" i="4"/>
  <c r="CL101" i="4" s="1"/>
  <c r="EZ101" i="4"/>
  <c r="FX90" i="4"/>
  <c r="FA95" i="4"/>
  <c r="BM99" i="4"/>
  <c r="CQ99" i="4"/>
  <c r="AP101" i="4"/>
  <c r="CB102" i="4"/>
  <c r="CI102" i="4" s="1"/>
  <c r="CD102" i="4"/>
  <c r="CK102" i="4" s="1"/>
  <c r="CG103" i="4"/>
  <c r="CN103" i="4" s="1"/>
  <c r="DP103" i="4"/>
  <c r="DW103" i="4" s="1" a="1"/>
  <c r="DW103" i="4" s="1"/>
  <c r="FR95" i="4"/>
  <c r="FC96" i="4"/>
  <c r="FB96" i="4"/>
  <c r="FA96" i="4"/>
  <c r="FE96" i="4"/>
  <c r="BN97" i="4"/>
  <c r="GA97" i="4"/>
  <c r="GA99" i="4"/>
  <c r="GA98" i="4"/>
  <c r="GA101" i="4"/>
  <c r="GA100" i="4"/>
  <c r="CE102" i="4"/>
  <c r="CL102" i="4" s="1"/>
  <c r="CC96" i="4"/>
  <c r="CJ96" i="4" s="1"/>
  <c r="DQ97" i="4"/>
  <c r="DX97" i="4" s="1" a="1"/>
  <c r="DX97" i="4" s="1"/>
  <c r="CG99" i="4"/>
  <c r="CN99" i="4" s="1"/>
  <c r="GP99" i="4"/>
  <c r="CC102" i="4"/>
  <c r="CJ102" i="4" s="1"/>
  <c r="FX92" i="4"/>
  <c r="CD96" i="4"/>
  <c r="CK96" i="4" s="1"/>
  <c r="FR96" i="4"/>
  <c r="EZ98" i="4"/>
  <c r="FD98" i="4"/>
  <c r="FA99" i="4"/>
  <c r="FZ99" i="4"/>
  <c r="GD101" i="4"/>
  <c r="FZ101" i="4"/>
  <c r="GD99" i="4"/>
  <c r="FZ100" i="4"/>
  <c r="CC103" i="4"/>
  <c r="CJ103" i="4" s="1"/>
  <c r="GP92" i="4"/>
  <c r="CC95" i="4"/>
  <c r="CJ95" i="4" s="1"/>
  <c r="BS96" i="4"/>
  <c r="GD96" i="4"/>
  <c r="CC97" i="4"/>
  <c r="CJ97" i="4" s="1"/>
  <c r="CB99" i="4"/>
  <c r="CI99" i="4" s="1"/>
  <c r="FB99" i="4"/>
  <c r="BL100" i="4"/>
  <c r="CC100" i="4"/>
  <c r="CJ100" i="4" s="1"/>
  <c r="FZ94" i="4"/>
  <c r="EY95" i="4"/>
  <c r="FE97" i="4"/>
  <c r="CU98" i="4"/>
  <c r="FC99" i="4"/>
  <c r="CD100" i="4"/>
  <c r="CK100" i="4" s="1"/>
  <c r="CF101" i="4"/>
  <c r="CM101" i="4" s="1"/>
  <c r="FC102" i="4"/>
  <c r="GD102" i="4"/>
  <c r="GP103" i="4"/>
  <c r="FD88" i="4"/>
  <c r="FB89" i="4"/>
  <c r="FF93" i="4"/>
  <c r="FE93" i="4"/>
  <c r="FD93" i="4"/>
  <c r="FZ93" i="4"/>
  <c r="CB94" i="4"/>
  <c r="CI94" i="4" s="1"/>
  <c r="FF97" i="4"/>
  <c r="FD99" i="4"/>
  <c r="CF100" i="4"/>
  <c r="CM100" i="4" s="1"/>
  <c r="CG101" i="4"/>
  <c r="CN101" i="4" s="1"/>
  <c r="FR101" i="4"/>
  <c r="GT101" i="4"/>
  <c r="FE102" i="4"/>
  <c r="GT102" i="4"/>
  <c r="CQ93" i="4"/>
  <c r="FE94" i="4"/>
  <c r="CF95" i="4"/>
  <c r="CM95" i="4" s="1"/>
  <c r="FF95" i="4"/>
  <c r="EZ96" i="4"/>
  <c r="EY96" i="4"/>
  <c r="GT96" i="4"/>
  <c r="CT97" i="4"/>
  <c r="BS98" i="4"/>
  <c r="FB98" i="4"/>
  <c r="FA98" i="4"/>
  <c r="DO99" i="4"/>
  <c r="DV99" i="4" s="1" a="1"/>
  <c r="DV99" i="4" s="1"/>
  <c r="CC101" i="4"/>
  <c r="CJ101" i="4" s="1"/>
  <c r="FF102" i="4"/>
  <c r="FA103" i="4"/>
  <c r="FF101" i="4"/>
  <c r="CF102" i="4"/>
  <c r="CM102" i="4" s="1"/>
  <c r="FD102" i="4"/>
  <c r="CD103" i="4"/>
  <c r="CK103" i="4" s="1"/>
  <c r="FB103" i="4"/>
  <c r="FC97" i="4"/>
  <c r="FC103" i="4"/>
  <c r="FD97" i="4"/>
  <c r="GB100" i="4"/>
  <c r="FD103" i="4"/>
  <c r="FC94" i="4"/>
  <c r="EY102" i="4"/>
  <c r="GA103" i="4"/>
  <c r="FD94" i="4"/>
  <c r="FB95" i="4"/>
  <c r="FD100" i="4"/>
  <c r="FB101" i="4"/>
  <c r="FC95" i="4"/>
  <c r="EY97" i="4"/>
  <c r="FC101" i="4"/>
  <c r="FA102" i="4"/>
  <c r="FB102" i="4"/>
  <c r="FS37" i="4" l="1"/>
  <c r="CY25" i="4"/>
  <c r="CR25" i="4"/>
  <c r="DB24" i="4"/>
  <c r="CU24" i="4"/>
  <c r="CU22" i="4"/>
  <c r="DB22" i="4"/>
  <c r="CZ24" i="4"/>
  <c r="CS24" i="4"/>
  <c r="CX69" i="4"/>
  <c r="CQ69" i="4"/>
  <c r="DT102" i="4"/>
  <c r="EA102" i="4" s="1" a="1"/>
  <c r="EA102" i="4" s="1"/>
  <c r="DP92" i="4"/>
  <c r="DW92" i="4" s="1" a="1"/>
  <c r="DW92" i="4" s="1"/>
  <c r="CP97" i="4"/>
  <c r="CW97" i="4"/>
  <c r="DD90" i="4"/>
  <c r="DE90" i="4" s="1"/>
  <c r="CP90" i="4"/>
  <c r="CW90" i="4"/>
  <c r="DQ73" i="4"/>
  <c r="DX73" i="4" s="1" a="1"/>
  <c r="DX73" i="4" s="1"/>
  <c r="DD66" i="4"/>
  <c r="DE66" i="4" s="1"/>
  <c r="CP66" i="4"/>
  <c r="CW66" i="4"/>
  <c r="DO55" i="4"/>
  <c r="DV55" i="4" s="1" a="1"/>
  <c r="DV55" i="4" s="1"/>
  <c r="DQ42" i="4"/>
  <c r="DX42" i="4" s="1" a="1"/>
  <c r="DX42" i="4" s="1"/>
  <c r="CW35" i="4"/>
  <c r="CP35" i="4"/>
  <c r="CU29" i="4"/>
  <c r="DB29" i="4"/>
  <c r="DT27" i="4"/>
  <c r="EA27" i="4" s="1" a="1"/>
  <c r="EA27" i="4" s="1"/>
  <c r="CY17" i="4"/>
  <c r="CR17" i="4"/>
  <c r="DD27" i="4"/>
  <c r="DE27" i="4" s="1"/>
  <c r="DR13" i="4"/>
  <c r="DY13" i="4" s="1" a="1"/>
  <c r="DY13" i="4" s="1"/>
  <c r="GC15" i="4"/>
  <c r="GG15" i="4" s="1"/>
  <c r="FY15" i="4"/>
  <c r="GF15" i="4" s="1"/>
  <c r="FS30" i="4"/>
  <c r="CX66" i="4"/>
  <c r="CQ66" i="4"/>
  <c r="CY64" i="4"/>
  <c r="CR64" i="4"/>
  <c r="CD57" i="4"/>
  <c r="CK57" i="4" s="1"/>
  <c r="CT100" i="4"/>
  <c r="DA100" i="4"/>
  <c r="CE100" i="4"/>
  <c r="CL100" i="4" s="1"/>
  <c r="BS100" i="4"/>
  <c r="BS101" i="4" s="1"/>
  <c r="BS102" i="4" s="1"/>
  <c r="BS103" i="4" s="1"/>
  <c r="GQ100" i="4"/>
  <c r="GQ97" i="4"/>
  <c r="CX83" i="4"/>
  <c r="CQ83" i="4"/>
  <c r="DS65" i="4"/>
  <c r="DZ65" i="4" s="1" a="1"/>
  <c r="DZ65" i="4" s="1"/>
  <c r="CP64" i="4"/>
  <c r="CW64" i="4"/>
  <c r="CY63" i="4"/>
  <c r="CR63" i="4"/>
  <c r="DO52" i="4"/>
  <c r="DV52" i="4" s="1" a="1"/>
  <c r="DV52" i="4" s="1"/>
  <c r="DO50" i="4"/>
  <c r="DV50" i="4" s="1" a="1"/>
  <c r="DV50" i="4" s="1"/>
  <c r="DS41" i="4"/>
  <c r="DZ41" i="4" s="1" a="1"/>
  <c r="DZ41" i="4" s="1"/>
  <c r="DQ20" i="4"/>
  <c r="DX20" i="4" s="1" a="1"/>
  <c r="DX20" i="4" s="1"/>
  <c r="CY69" i="4"/>
  <c r="CR69" i="4"/>
  <c r="CW76" i="4"/>
  <c r="DD76" i="4"/>
  <c r="DE76" i="4" s="1"/>
  <c r="CP76" i="4"/>
  <c r="DB61" i="4"/>
  <c r="CU61" i="4"/>
  <c r="CU58" i="4"/>
  <c r="DB58" i="4"/>
  <c r="GQ15" i="4"/>
  <c r="GQ52" i="4"/>
  <c r="GQ69" i="4"/>
  <c r="CR58" i="4"/>
  <c r="CY58" i="4"/>
  <c r="GQ7" i="4"/>
  <c r="CW7" i="4"/>
  <c r="CP7" i="4"/>
  <c r="CY99" i="4"/>
  <c r="CR99" i="4"/>
  <c r="FS91" i="4"/>
  <c r="CZ88" i="4"/>
  <c r="CS88" i="4"/>
  <c r="DO102" i="4"/>
  <c r="DV102" i="4" s="1" a="1"/>
  <c r="DV102" i="4" s="1"/>
  <c r="DO100" i="4"/>
  <c r="DV100" i="4" s="1" a="1"/>
  <c r="DV100" i="4" s="1"/>
  <c r="DQ99" i="4"/>
  <c r="DX99" i="4" s="1" a="1"/>
  <c r="DX99" i="4" s="1"/>
  <c r="DS98" i="4"/>
  <c r="DZ98" i="4" s="1" a="1"/>
  <c r="DZ98" i="4" s="1"/>
  <c r="DT103" i="4"/>
  <c r="EA103" i="4" s="1" a="1"/>
  <c r="EA103" i="4" s="1"/>
  <c r="DP99" i="4"/>
  <c r="DW99" i="4" s="1" a="1"/>
  <c r="DW99" i="4" s="1"/>
  <c r="DR98" i="4"/>
  <c r="DY98" i="4" s="1" a="1"/>
  <c r="DY98" i="4" s="1"/>
  <c r="DT97" i="4"/>
  <c r="EA97" i="4" s="1" a="1"/>
  <c r="EA97" i="4" s="1"/>
  <c r="DO94" i="4"/>
  <c r="DV94" i="4" s="1" a="1"/>
  <c r="DV94" i="4" s="1"/>
  <c r="DR93" i="4"/>
  <c r="DY93" i="4" s="1" a="1"/>
  <c r="DY93" i="4" s="1"/>
  <c r="DQ93" i="4"/>
  <c r="DX93" i="4" s="1" a="1"/>
  <c r="DX93" i="4" s="1"/>
  <c r="DP93" i="4"/>
  <c r="DW93" i="4" s="1" a="1"/>
  <c r="DW93" i="4" s="1"/>
  <c r="DT99" i="4"/>
  <c r="EA99" i="4" s="1" a="1"/>
  <c r="EA99" i="4" s="1"/>
  <c r="DQ95" i="4"/>
  <c r="DX95" i="4" s="1" a="1"/>
  <c r="DX95" i="4" s="1"/>
  <c r="DS99" i="4"/>
  <c r="DZ99" i="4" s="1" a="1"/>
  <c r="DZ99" i="4" s="1"/>
  <c r="DT98" i="4"/>
  <c r="EA98" i="4" s="1" a="1"/>
  <c r="EA98" i="4" s="1"/>
  <c r="DP95" i="4"/>
  <c r="DW95" i="4" s="1" a="1"/>
  <c r="DW95" i="4" s="1"/>
  <c r="DQ101" i="4"/>
  <c r="DX101" i="4" s="1" a="1"/>
  <c r="DX101" i="4" s="1"/>
  <c r="DR99" i="4"/>
  <c r="DY99" i="4" s="1" a="1"/>
  <c r="DY99" i="4" s="1"/>
  <c r="DO95" i="4"/>
  <c r="DV95" i="4" s="1" a="1"/>
  <c r="DV95" i="4" s="1"/>
  <c r="DT92" i="4"/>
  <c r="EA92" i="4" s="1" a="1"/>
  <c r="EA92" i="4" s="1"/>
  <c r="DP101" i="4"/>
  <c r="DW101" i="4" s="1" a="1"/>
  <c r="DW101" i="4" s="1"/>
  <c r="DS92" i="4"/>
  <c r="DZ92" i="4" s="1" a="1"/>
  <c r="DZ92" i="4" s="1"/>
  <c r="DO101" i="4"/>
  <c r="DV101" i="4" s="1" a="1"/>
  <c r="DV101" i="4" s="1"/>
  <c r="DS100" i="4"/>
  <c r="DZ100" i="4" s="1" a="1"/>
  <c r="DZ100" i="4" s="1"/>
  <c r="DS94" i="4"/>
  <c r="DZ94" i="4" s="1" a="1"/>
  <c r="DZ94" i="4" s="1"/>
  <c r="DQ100" i="4"/>
  <c r="DX100" i="4" s="1" a="1"/>
  <c r="DX100" i="4" s="1"/>
  <c r="DQ94" i="4"/>
  <c r="DX94" i="4" s="1" a="1"/>
  <c r="DX94" i="4" s="1"/>
  <c r="DP100" i="4"/>
  <c r="DW100" i="4" s="1" a="1"/>
  <c r="DW100" i="4" s="1"/>
  <c r="DP94" i="4"/>
  <c r="DW94" i="4" s="1" a="1"/>
  <c r="DW94" i="4" s="1"/>
  <c r="DT88" i="4"/>
  <c r="EA88" i="4" s="1" a="1"/>
  <c r="EA88" i="4" s="1"/>
  <c r="DR89" i="4"/>
  <c r="DY89" i="4" s="1" a="1"/>
  <c r="DY89" i="4" s="1"/>
  <c r="DR88" i="4"/>
  <c r="DY88" i="4" s="1" a="1"/>
  <c r="DY88" i="4" s="1"/>
  <c r="DP90" i="4"/>
  <c r="DW90" i="4" s="1" a="1"/>
  <c r="DW90" i="4" s="1"/>
  <c r="DR94" i="4"/>
  <c r="DY94" i="4" s="1" a="1"/>
  <c r="DY94" i="4" s="1"/>
  <c r="DP89" i="4"/>
  <c r="DW89" i="4" s="1" a="1"/>
  <c r="DW89" i="4" s="1"/>
  <c r="DP88" i="4"/>
  <c r="DW88" i="4" s="1" a="1"/>
  <c r="DW88" i="4" s="1"/>
  <c r="DO89" i="4"/>
  <c r="DV89" i="4" s="1" a="1"/>
  <c r="DV89" i="4" s="1"/>
  <c r="DO88" i="4"/>
  <c r="DV88" i="4" s="1" a="1"/>
  <c r="DV88" i="4" s="1"/>
  <c r="DP85" i="4"/>
  <c r="DW85" i="4" s="1" a="1"/>
  <c r="DW85" i="4" s="1"/>
  <c r="DR84" i="4"/>
  <c r="DY84" i="4" s="1" a="1"/>
  <c r="DY84" i="4" s="1"/>
  <c r="DO85" i="4"/>
  <c r="DV85" i="4" s="1" a="1"/>
  <c r="DV85" i="4" s="1"/>
  <c r="DR100" i="4"/>
  <c r="DY100" i="4" s="1" a="1"/>
  <c r="DY100" i="4" s="1"/>
  <c r="DQ92" i="4"/>
  <c r="DX92" i="4" s="1" a="1"/>
  <c r="DX92" i="4" s="1"/>
  <c r="DO84" i="4"/>
  <c r="DV84" i="4" s="1" a="1"/>
  <c r="DV84" i="4" s="1"/>
  <c r="DQ83" i="4"/>
  <c r="DX83" i="4" s="1" a="1"/>
  <c r="DX83" i="4" s="1"/>
  <c r="DS91" i="4"/>
  <c r="DZ91" i="4" s="1" a="1"/>
  <c r="DZ91" i="4" s="1"/>
  <c r="DT87" i="4"/>
  <c r="EA87" i="4" s="1" a="1"/>
  <c r="EA87" i="4" s="1"/>
  <c r="DR87" i="4"/>
  <c r="DY87" i="4" s="1" a="1"/>
  <c r="DY87" i="4" s="1"/>
  <c r="DP84" i="4"/>
  <c r="DW84" i="4" s="1" a="1"/>
  <c r="DW84" i="4" s="1"/>
  <c r="DR83" i="4"/>
  <c r="DY83" i="4" s="1" a="1"/>
  <c r="DY83" i="4" s="1"/>
  <c r="DS80" i="4"/>
  <c r="DZ80" i="4" s="1" a="1"/>
  <c r="DZ80" i="4" s="1"/>
  <c r="DP83" i="4"/>
  <c r="DW83" i="4" s="1" a="1"/>
  <c r="DW83" i="4" s="1"/>
  <c r="DO83" i="4"/>
  <c r="DV83" i="4" s="1" a="1"/>
  <c r="DV83" i="4" s="1"/>
  <c r="DR82" i="4"/>
  <c r="DY82" i="4" s="1" a="1"/>
  <c r="DY82" i="4" s="1"/>
  <c r="DQ80" i="4"/>
  <c r="DX80" i="4" s="1" a="1"/>
  <c r="DX80" i="4" s="1"/>
  <c r="DO75" i="4"/>
  <c r="DV75" i="4" s="1" a="1"/>
  <c r="DV75" i="4" s="1"/>
  <c r="DQ82" i="4"/>
  <c r="DX82" i="4" s="1" a="1"/>
  <c r="DX82" i="4" s="1"/>
  <c r="DP82" i="4"/>
  <c r="DW82" i="4" s="1" a="1"/>
  <c r="DW82" i="4" s="1"/>
  <c r="DT81" i="4"/>
  <c r="EA81" i="4" s="1" a="1"/>
  <c r="EA81" i="4" s="1"/>
  <c r="DP78" i="4"/>
  <c r="DW78" i="4" s="1" a="1"/>
  <c r="DW78" i="4" s="1"/>
  <c r="DO78" i="4"/>
  <c r="DV78" i="4" s="1" a="1"/>
  <c r="DV78" i="4" s="1"/>
  <c r="DO81" i="4"/>
  <c r="DV81" i="4" s="1" a="1"/>
  <c r="DV81" i="4" s="1"/>
  <c r="DP77" i="4"/>
  <c r="DW77" i="4" s="1" a="1"/>
  <c r="DW77" i="4" s="1"/>
  <c r="DR76" i="4"/>
  <c r="DY76" i="4" s="1" a="1"/>
  <c r="DY76" i="4" s="1"/>
  <c r="DT75" i="4"/>
  <c r="EA75" i="4" s="1" a="1"/>
  <c r="EA75" i="4" s="1"/>
  <c r="DO77" i="4"/>
  <c r="DV77" i="4" s="1" a="1"/>
  <c r="DV77" i="4" s="1"/>
  <c r="DQ76" i="4"/>
  <c r="DX76" i="4" s="1" a="1"/>
  <c r="DX76" i="4" s="1"/>
  <c r="DS75" i="4"/>
  <c r="DZ75" i="4" s="1" a="1"/>
  <c r="DZ75" i="4" s="1"/>
  <c r="DQ84" i="4"/>
  <c r="DX84" i="4" s="1" a="1"/>
  <c r="DX84" i="4" s="1"/>
  <c r="DS83" i="4"/>
  <c r="DZ83" i="4" s="1" a="1"/>
  <c r="DZ83" i="4" s="1"/>
  <c r="DT80" i="4"/>
  <c r="EA80" i="4" s="1" a="1"/>
  <c r="EA80" i="4" s="1"/>
  <c r="DT72" i="4"/>
  <c r="EA72" i="4" s="1" a="1"/>
  <c r="EA72" i="4" s="1"/>
  <c r="DP68" i="4"/>
  <c r="DW68" i="4" s="1" a="1"/>
  <c r="DW68" i="4" s="1"/>
  <c r="DR67" i="4"/>
  <c r="DY67" i="4" s="1" a="1"/>
  <c r="DY67" i="4" s="1"/>
  <c r="DR75" i="4"/>
  <c r="DY75" i="4" s="1" a="1"/>
  <c r="DY75" i="4" s="1"/>
  <c r="DQ75" i="4"/>
  <c r="DX75" i="4" s="1" a="1"/>
  <c r="DX75" i="4" s="1"/>
  <c r="DR72" i="4"/>
  <c r="DY72" i="4" s="1" a="1"/>
  <c r="DY72" i="4" s="1"/>
  <c r="DT71" i="4"/>
  <c r="EA71" i="4" s="1" a="1"/>
  <c r="EA71" i="4" s="1"/>
  <c r="DP67" i="4"/>
  <c r="DW67" i="4" s="1" a="1"/>
  <c r="DW67" i="4" s="1"/>
  <c r="DR66" i="4"/>
  <c r="DY66" i="4" s="1" a="1"/>
  <c r="DY66" i="4" s="1"/>
  <c r="DP75" i="4"/>
  <c r="DW75" i="4" s="1" a="1"/>
  <c r="DW75" i="4" s="1"/>
  <c r="DT73" i="4"/>
  <c r="EA73" i="4" s="1" a="1"/>
  <c r="EA73" i="4" s="1"/>
  <c r="DO71" i="4"/>
  <c r="DV71" i="4" s="1" a="1"/>
  <c r="DV71" i="4" s="1"/>
  <c r="DQ70" i="4"/>
  <c r="DX70" i="4" s="1" a="1"/>
  <c r="DX70" i="4" s="1"/>
  <c r="DP76" i="4"/>
  <c r="DW76" i="4" s="1" a="1"/>
  <c r="DW76" i="4" s="1"/>
  <c r="DO76" i="4"/>
  <c r="DV76" i="4" s="1" a="1"/>
  <c r="DV76" i="4" s="1"/>
  <c r="DO70" i="4"/>
  <c r="DV70" i="4" s="1" a="1"/>
  <c r="DV70" i="4" s="1"/>
  <c r="DQ69" i="4"/>
  <c r="DX69" i="4" s="1" a="1"/>
  <c r="DX69" i="4" s="1"/>
  <c r="DS74" i="4"/>
  <c r="DZ74" i="4" s="1" a="1"/>
  <c r="DZ74" i="4" s="1"/>
  <c r="DP69" i="4"/>
  <c r="DW69" i="4" s="1" a="1"/>
  <c r="DW69" i="4" s="1"/>
  <c r="DR68" i="4"/>
  <c r="DY68" i="4" s="1" a="1"/>
  <c r="DY68" i="4" s="1"/>
  <c r="DT67" i="4"/>
  <c r="EA67" i="4" s="1" a="1"/>
  <c r="EA67" i="4" s="1"/>
  <c r="DR74" i="4"/>
  <c r="DY74" i="4" s="1" a="1"/>
  <c r="DY74" i="4" s="1"/>
  <c r="DO69" i="4"/>
  <c r="DV69" i="4" s="1" a="1"/>
  <c r="DV69" i="4" s="1"/>
  <c r="DQ68" i="4"/>
  <c r="DX68" i="4" s="1" a="1"/>
  <c r="DX68" i="4" s="1"/>
  <c r="DP62" i="4"/>
  <c r="DW62" i="4" s="1" a="1"/>
  <c r="DW62" i="4" s="1"/>
  <c r="DR61" i="4"/>
  <c r="DY61" i="4" s="1" a="1"/>
  <c r="DY61" i="4" s="1"/>
  <c r="DT66" i="4"/>
  <c r="EA66" i="4" s="1" a="1"/>
  <c r="EA66" i="4" s="1"/>
  <c r="DT65" i="4"/>
  <c r="EA65" i="4" s="1" a="1"/>
  <c r="EA65" i="4" s="1"/>
  <c r="DO65" i="4"/>
  <c r="DV65" i="4" s="1" a="1"/>
  <c r="DV65" i="4" s="1"/>
  <c r="DO64" i="4"/>
  <c r="DV64" i="4" s="1" a="1"/>
  <c r="DV64" i="4" s="1"/>
  <c r="DP59" i="4"/>
  <c r="DW59" i="4" s="1" a="1"/>
  <c r="DW59" i="4" s="1"/>
  <c r="DS63" i="4"/>
  <c r="DZ63" i="4" s="1" a="1"/>
  <c r="DZ63" i="4" s="1"/>
  <c r="DO59" i="4"/>
  <c r="DV59" i="4" s="1" a="1"/>
  <c r="DV59" i="4" s="1"/>
  <c r="DQ58" i="4"/>
  <c r="DX58" i="4" s="1" a="1"/>
  <c r="DX58" i="4" s="1"/>
  <c r="DS57" i="4"/>
  <c r="DZ57" i="4" s="1" a="1"/>
  <c r="DZ57" i="4" s="1"/>
  <c r="DR63" i="4"/>
  <c r="DY63" i="4" s="1" a="1"/>
  <c r="DY63" i="4" s="1"/>
  <c r="DT62" i="4"/>
  <c r="EA62" i="4" s="1" a="1"/>
  <c r="EA62" i="4" s="1"/>
  <c r="DQ63" i="4"/>
  <c r="DX63" i="4" s="1" a="1"/>
  <c r="DX63" i="4" s="1"/>
  <c r="DO58" i="4"/>
  <c r="DV58" i="4" s="1" a="1"/>
  <c r="DV58" i="4" s="1"/>
  <c r="DQ57" i="4"/>
  <c r="DX57" i="4" s="1" a="1"/>
  <c r="DX57" i="4" s="1"/>
  <c r="DO63" i="4"/>
  <c r="DV63" i="4" s="1" a="1"/>
  <c r="DV63" i="4" s="1"/>
  <c r="DT55" i="4"/>
  <c r="EA55" i="4" s="1" a="1"/>
  <c r="EA55" i="4" s="1"/>
  <c r="DS55" i="4"/>
  <c r="DZ55" i="4" s="1" a="1"/>
  <c r="DZ55" i="4" s="1"/>
  <c r="DR62" i="4"/>
  <c r="DY62" i="4" s="1" a="1"/>
  <c r="DY62" i="4" s="1"/>
  <c r="DR55" i="4"/>
  <c r="DY55" i="4" s="1" a="1"/>
  <c r="DY55" i="4" s="1"/>
  <c r="DQ62" i="4"/>
  <c r="DX62" i="4" s="1" a="1"/>
  <c r="DX62" i="4" s="1"/>
  <c r="DP50" i="4"/>
  <c r="DW50" i="4" s="1" a="1"/>
  <c r="DW50" i="4" s="1"/>
  <c r="DR49" i="4"/>
  <c r="DY49" i="4" s="1" a="1"/>
  <c r="DY49" i="4" s="1"/>
  <c r="DT61" i="4"/>
  <c r="EA61" i="4" s="1" a="1"/>
  <c r="EA61" i="4" s="1"/>
  <c r="DR57" i="4"/>
  <c r="DY57" i="4" s="1" a="1"/>
  <c r="DY57" i="4" s="1"/>
  <c r="DT56" i="4"/>
  <c r="EA56" i="4" s="1" a="1"/>
  <c r="EA56" i="4" s="1"/>
  <c r="DS61" i="4"/>
  <c r="DZ61" i="4" s="1" a="1"/>
  <c r="DZ61" i="4" s="1"/>
  <c r="DP58" i="4"/>
  <c r="DW58" i="4" s="1" a="1"/>
  <c r="DW58" i="4" s="1"/>
  <c r="DP57" i="4"/>
  <c r="DW57" i="4" s="1" a="1"/>
  <c r="DW57" i="4" s="1"/>
  <c r="DR56" i="4"/>
  <c r="DY56" i="4" s="1" a="1"/>
  <c r="DY56" i="4" s="1"/>
  <c r="DS53" i="4"/>
  <c r="DZ53" i="4" s="1" a="1"/>
  <c r="DZ53" i="4" s="1"/>
  <c r="DO49" i="4"/>
  <c r="DV49" i="4" s="1" a="1"/>
  <c r="DV49" i="4" s="1"/>
  <c r="DO57" i="4"/>
  <c r="DV57" i="4" s="1" a="1"/>
  <c r="DV57" i="4" s="1"/>
  <c r="DQ56" i="4"/>
  <c r="DX56" i="4" s="1" a="1"/>
  <c r="DX56" i="4" s="1"/>
  <c r="DR53" i="4"/>
  <c r="DY53" i="4" s="1" a="1"/>
  <c r="DY53" i="4" s="1"/>
  <c r="DT52" i="4"/>
  <c r="EA52" i="4" s="1" a="1"/>
  <c r="EA52" i="4" s="1"/>
  <c r="DP56" i="4"/>
  <c r="DW56" i="4" s="1" a="1"/>
  <c r="DW56" i="4" s="1"/>
  <c r="DQ53" i="4"/>
  <c r="DX53" i="4" s="1" a="1"/>
  <c r="DX53" i="4" s="1"/>
  <c r="DS52" i="4"/>
  <c r="DZ52" i="4" s="1" a="1"/>
  <c r="DZ52" i="4" s="1"/>
  <c r="DP53" i="4"/>
  <c r="DW53" i="4" s="1" a="1"/>
  <c r="DW53" i="4" s="1"/>
  <c r="DT54" i="4"/>
  <c r="EA54" i="4" s="1" a="1"/>
  <c r="EA54" i="4" s="1"/>
  <c r="DT50" i="4"/>
  <c r="EA50" i="4" s="1" a="1"/>
  <c r="EA50" i="4" s="1"/>
  <c r="DS47" i="4"/>
  <c r="DZ47" i="4" s="1" a="1"/>
  <c r="DZ47" i="4" s="1"/>
  <c r="DP42" i="4"/>
  <c r="DW42" i="4" s="1" a="1"/>
  <c r="DW42" i="4" s="1"/>
  <c r="DR47" i="4"/>
  <c r="DY47" i="4" s="1" a="1"/>
  <c r="DY47" i="4" s="1"/>
  <c r="DO42" i="4"/>
  <c r="DV42" i="4" s="1" a="1"/>
  <c r="DV42" i="4" s="1"/>
  <c r="DQ41" i="4"/>
  <c r="DX41" i="4" s="1" a="1"/>
  <c r="DX41" i="4" s="1"/>
  <c r="DQ48" i="4"/>
  <c r="DX48" i="4" s="1" a="1"/>
  <c r="DX48" i="4" s="1"/>
  <c r="DQ47" i="4"/>
  <c r="DX47" i="4" s="1" a="1"/>
  <c r="DX47" i="4" s="1"/>
  <c r="DO53" i="4"/>
  <c r="DV53" i="4" s="1" a="1"/>
  <c r="DV53" i="4" s="1"/>
  <c r="DP48" i="4"/>
  <c r="DW48" i="4" s="1" a="1"/>
  <c r="DW48" i="4" s="1"/>
  <c r="DO47" i="4"/>
  <c r="DV47" i="4" s="1" a="1"/>
  <c r="DV47" i="4" s="1"/>
  <c r="DO48" i="4"/>
  <c r="DV48" i="4" s="1" a="1"/>
  <c r="DV48" i="4" s="1"/>
  <c r="DT46" i="4"/>
  <c r="EA46" i="4" s="1" a="1"/>
  <c r="EA46" i="4" s="1"/>
  <c r="DR45" i="4"/>
  <c r="DY45" i="4" s="1" a="1"/>
  <c r="DY45" i="4" s="1"/>
  <c r="DT44" i="4"/>
  <c r="EA44" i="4" s="1" a="1"/>
  <c r="EA44" i="4" s="1"/>
  <c r="DP40" i="4"/>
  <c r="DW40" i="4" s="1" a="1"/>
  <c r="DW40" i="4" s="1"/>
  <c r="DQ52" i="4"/>
  <c r="DX52" i="4" s="1" a="1"/>
  <c r="DX52" i="4" s="1"/>
  <c r="DS46" i="4"/>
  <c r="DZ46" i="4" s="1" a="1"/>
  <c r="DZ46" i="4" s="1"/>
  <c r="DQ45" i="4"/>
  <c r="DX45" i="4" s="1" a="1"/>
  <c r="DX45" i="4" s="1"/>
  <c r="DO40" i="4"/>
  <c r="DV40" i="4" s="1" a="1"/>
  <c r="DV40" i="4" s="1"/>
  <c r="DP63" i="4"/>
  <c r="DW63" i="4" s="1" a="1"/>
  <c r="DW63" i="4" s="1"/>
  <c r="DP52" i="4"/>
  <c r="DW52" i="4" s="1" a="1"/>
  <c r="DW52" i="4" s="1"/>
  <c r="DR46" i="4"/>
  <c r="DY46" i="4" s="1" a="1"/>
  <c r="DY46" i="4" s="1"/>
  <c r="DP45" i="4"/>
  <c r="DW45" i="4" s="1" a="1"/>
  <c r="DW45" i="4" s="1"/>
  <c r="DR44" i="4"/>
  <c r="DY44" i="4" s="1" a="1"/>
  <c r="DY44" i="4" s="1"/>
  <c r="DQ46" i="4"/>
  <c r="DX46" i="4" s="1" a="1"/>
  <c r="DX46" i="4" s="1"/>
  <c r="DO44" i="4"/>
  <c r="DV44" i="4" s="1" a="1"/>
  <c r="DV44" i="4" s="1"/>
  <c r="DS38" i="4"/>
  <c r="DZ38" i="4" s="1" a="1"/>
  <c r="DZ38" i="4" s="1"/>
  <c r="DO34" i="4"/>
  <c r="DV34" i="4" s="1" a="1"/>
  <c r="DV34" i="4" s="1"/>
  <c r="DQ33" i="4"/>
  <c r="DX33" i="4" s="1" a="1"/>
  <c r="DX33" i="4" s="1"/>
  <c r="DS32" i="4"/>
  <c r="DZ32" i="4" s="1" a="1"/>
  <c r="DZ32" i="4" s="1"/>
  <c r="DP33" i="4"/>
  <c r="DW33" i="4" s="1" a="1"/>
  <c r="DW33" i="4" s="1"/>
  <c r="DR41" i="4"/>
  <c r="DY41" i="4" s="1" a="1"/>
  <c r="DY41" i="4" s="1"/>
  <c r="DR43" i="4"/>
  <c r="DY43" i="4" s="1" a="1"/>
  <c r="DY43" i="4" s="1"/>
  <c r="DS51" i="4"/>
  <c r="DZ51" i="4" s="1" a="1"/>
  <c r="DZ51" i="4" s="1"/>
  <c r="DQ43" i="4"/>
  <c r="DX43" i="4" s="1" a="1"/>
  <c r="DX43" i="4" s="1"/>
  <c r="DR51" i="4"/>
  <c r="DY51" i="4" s="1" a="1"/>
  <c r="DY51" i="4" s="1"/>
  <c r="DT42" i="4"/>
  <c r="EA42" i="4" s="1" a="1"/>
  <c r="EA42" i="4" s="1"/>
  <c r="DP36" i="4"/>
  <c r="DW36" i="4" s="1" a="1"/>
  <c r="DW36" i="4" s="1"/>
  <c r="DR35" i="4"/>
  <c r="DY35" i="4" s="1" a="1"/>
  <c r="DY35" i="4" s="1"/>
  <c r="DS42" i="4"/>
  <c r="DZ42" i="4" s="1" a="1"/>
  <c r="DZ42" i="4" s="1"/>
  <c r="DS39" i="4"/>
  <c r="DZ39" i="4" s="1" a="1"/>
  <c r="DZ39" i="4" s="1"/>
  <c r="DO36" i="4"/>
  <c r="DV36" i="4" s="1" a="1"/>
  <c r="DV36" i="4" s="1"/>
  <c r="DQ35" i="4"/>
  <c r="DX35" i="4" s="1" a="1"/>
  <c r="DX35" i="4" s="1"/>
  <c r="DP46" i="4"/>
  <c r="DW46" i="4" s="1" a="1"/>
  <c r="DW46" i="4" s="1"/>
  <c r="DR39" i="4"/>
  <c r="DY39" i="4" s="1" a="1"/>
  <c r="DY39" i="4" s="1"/>
  <c r="DP35" i="4"/>
  <c r="DW35" i="4" s="1" a="1"/>
  <c r="DW35" i="4" s="1"/>
  <c r="DT38" i="4"/>
  <c r="EA38" i="4" s="1" a="1"/>
  <c r="EA38" i="4" s="1"/>
  <c r="DO29" i="4"/>
  <c r="DV29" i="4" s="1" a="1"/>
  <c r="DV29" i="4" s="1"/>
  <c r="DO46" i="4"/>
  <c r="DV46" i="4" s="1" a="1"/>
  <c r="DV46" i="4" s="1"/>
  <c r="DQ39" i="4"/>
  <c r="DX39" i="4" s="1" a="1"/>
  <c r="DX39" i="4" s="1"/>
  <c r="DP39" i="4"/>
  <c r="DW39" i="4" s="1" a="1"/>
  <c r="DW39" i="4" s="1"/>
  <c r="DR34" i="4"/>
  <c r="DY34" i="4" s="1" a="1"/>
  <c r="DY34" i="4" s="1"/>
  <c r="DT33" i="4"/>
  <c r="EA33" i="4" s="1" a="1"/>
  <c r="EA33" i="4" s="1"/>
  <c r="DT32" i="4"/>
  <c r="EA32" i="4" s="1" a="1"/>
  <c r="EA32" i="4" s="1"/>
  <c r="DQ34" i="4"/>
  <c r="DX34" i="4" s="1" a="1"/>
  <c r="DX34" i="4" s="1"/>
  <c r="DS33" i="4"/>
  <c r="DZ33" i="4" s="1" a="1"/>
  <c r="DZ33" i="4" s="1"/>
  <c r="DP34" i="4"/>
  <c r="DW34" i="4" s="1" a="1"/>
  <c r="DW34" i="4" s="1"/>
  <c r="DR33" i="4"/>
  <c r="DY33" i="4" s="1" a="1"/>
  <c r="DY33" i="4" s="1"/>
  <c r="DQ29" i="4"/>
  <c r="DX29" i="4" s="1" a="1"/>
  <c r="DX29" i="4" s="1"/>
  <c r="DP27" i="4"/>
  <c r="DW27" i="4" s="1" a="1"/>
  <c r="DW27" i="4" s="1"/>
  <c r="DP25" i="4"/>
  <c r="DW25" i="4" s="1" a="1"/>
  <c r="DW25" i="4" s="1"/>
  <c r="DP29" i="4"/>
  <c r="DW29" i="4" s="1" a="1"/>
  <c r="DW29" i="4" s="1"/>
  <c r="DS26" i="4"/>
  <c r="DZ26" i="4" s="1" a="1"/>
  <c r="DZ26" i="4" s="1"/>
  <c r="DO21" i="4"/>
  <c r="DV21" i="4" s="1" a="1"/>
  <c r="DV21" i="4" s="1"/>
  <c r="DO14" i="4"/>
  <c r="DV14" i="4" s="1" a="1"/>
  <c r="DV14" i="4" s="1"/>
  <c r="DP13" i="4"/>
  <c r="DW13" i="4" s="1" a="1"/>
  <c r="DW13" i="4" s="1"/>
  <c r="DP44" i="4"/>
  <c r="DW44" i="4" s="1" a="1"/>
  <c r="DW44" i="4" s="1"/>
  <c r="DR26" i="4"/>
  <c r="DY26" i="4" s="1" a="1"/>
  <c r="DY26" i="4" s="1"/>
  <c r="DP20" i="4"/>
  <c r="DW20" i="4" s="1" a="1"/>
  <c r="DW20" i="4" s="1"/>
  <c r="DR19" i="4"/>
  <c r="DY19" i="4" s="1" a="1"/>
  <c r="DY19" i="4" s="1"/>
  <c r="DT18" i="4"/>
  <c r="EA18" i="4" s="1" a="1"/>
  <c r="EA18" i="4" s="1"/>
  <c r="DO13" i="4"/>
  <c r="DV13" i="4" s="1" a="1"/>
  <c r="DV13" i="4" s="1"/>
  <c r="DP12" i="4"/>
  <c r="DW12" i="4" s="1" a="1"/>
  <c r="DW12" i="4" s="1"/>
  <c r="DQ11" i="4"/>
  <c r="DX11" i="4" s="1" a="1"/>
  <c r="DX11" i="4" s="1"/>
  <c r="DR10" i="4"/>
  <c r="DY10" i="4" s="1" a="1"/>
  <c r="DY10" i="4" s="1"/>
  <c r="DP26" i="4"/>
  <c r="DW26" i="4" s="1" a="1"/>
  <c r="DW26" i="4" s="1"/>
  <c r="DO28" i="4"/>
  <c r="DV28" i="4" s="1" a="1"/>
  <c r="DV28" i="4" s="1"/>
  <c r="DO26" i="4"/>
  <c r="DV26" i="4" s="1" a="1"/>
  <c r="DV26" i="4" s="1"/>
  <c r="DS23" i="4"/>
  <c r="DZ23" i="4" s="1" a="1"/>
  <c r="DZ23" i="4" s="1"/>
  <c r="DO19" i="4"/>
  <c r="DV19" i="4" s="1" a="1"/>
  <c r="DV19" i="4" s="1"/>
  <c r="DQ18" i="4"/>
  <c r="DX18" i="4" s="1" a="1"/>
  <c r="DX18" i="4" s="1"/>
  <c r="DS17" i="4"/>
  <c r="DZ17" i="4" s="1" a="1"/>
  <c r="DZ17" i="4" s="1"/>
  <c r="DR23" i="4"/>
  <c r="DY23" i="4" s="1" a="1"/>
  <c r="DY23" i="4" s="1"/>
  <c r="DT22" i="4"/>
  <c r="EA22" i="4" s="1" a="1"/>
  <c r="EA22" i="4" s="1"/>
  <c r="DP18" i="4"/>
  <c r="DW18" i="4" s="1" a="1"/>
  <c r="DW18" i="4" s="1"/>
  <c r="DR17" i="4"/>
  <c r="DY17" i="4" s="1" a="1"/>
  <c r="DY17" i="4" s="1"/>
  <c r="DT16" i="4"/>
  <c r="EA16" i="4" s="1" a="1"/>
  <c r="EA16" i="4" s="1"/>
  <c r="DO35" i="4"/>
  <c r="DV35" i="4" s="1" a="1"/>
  <c r="DV35" i="4" s="1"/>
  <c r="DT25" i="4"/>
  <c r="EA25" i="4" s="1" a="1"/>
  <c r="EA25" i="4" s="1"/>
  <c r="DT24" i="4"/>
  <c r="EA24" i="4" s="1" a="1"/>
  <c r="EA24" i="4" s="1"/>
  <c r="DO18" i="4"/>
  <c r="DV18" i="4" s="1" a="1"/>
  <c r="DV18" i="4" s="1"/>
  <c r="DQ17" i="4"/>
  <c r="DX17" i="4" s="1" a="1"/>
  <c r="DX17" i="4" s="1"/>
  <c r="DS25" i="4"/>
  <c r="DZ25" i="4" s="1" a="1"/>
  <c r="DZ25" i="4" s="1"/>
  <c r="DS24" i="4"/>
  <c r="DZ24" i="4" s="1" a="1"/>
  <c r="DZ24" i="4" s="1"/>
  <c r="DQ27" i="4"/>
  <c r="DX27" i="4" s="1" a="1"/>
  <c r="DX27" i="4" s="1"/>
  <c r="DP22" i="4"/>
  <c r="DW22" i="4" s="1" a="1"/>
  <c r="DW22" i="4" s="1"/>
  <c r="DR8" i="4"/>
  <c r="DY8" i="4" s="1" a="1"/>
  <c r="DY8" i="4" s="1"/>
  <c r="DP6" i="4"/>
  <c r="DW6" i="4" s="1" a="1"/>
  <c r="DW6" i="4" s="1"/>
  <c r="DS14" i="4"/>
  <c r="DZ14" i="4" s="1" a="1"/>
  <c r="DZ14" i="4" s="1"/>
  <c r="DQ8" i="4"/>
  <c r="DX8" i="4" s="1" a="1"/>
  <c r="DX8" i="4" s="1"/>
  <c r="DO10" i="4"/>
  <c r="DV10" i="4" s="1" a="1"/>
  <c r="DV10" i="4" s="1"/>
  <c r="DS21" i="4"/>
  <c r="DZ21" i="4" s="1" a="1"/>
  <c r="DZ21" i="4" s="1"/>
  <c r="DT20" i="4"/>
  <c r="EA20" i="4" s="1" a="1"/>
  <c r="EA20" i="4" s="1"/>
  <c r="DO17" i="4"/>
  <c r="DV17" i="4" s="1" a="1"/>
  <c r="DV17" i="4" s="1"/>
  <c r="DR14" i="4"/>
  <c r="DY14" i="4" s="1" a="1"/>
  <c r="DY14" i="4" s="1"/>
  <c r="DS9" i="4"/>
  <c r="DZ9" i="4" s="1" a="1"/>
  <c r="DZ9" i="4" s="1"/>
  <c r="DQ6" i="4"/>
  <c r="DX6" i="4" s="1" a="1"/>
  <c r="DX6" i="4" s="1"/>
  <c r="DS8" i="4"/>
  <c r="DZ8" i="4" s="1" a="1"/>
  <c r="DZ8" i="4" s="1"/>
  <c r="DO6" i="4"/>
  <c r="DV6" i="4" s="1" a="1"/>
  <c r="DV6" i="4" s="1"/>
  <c r="DR21" i="4"/>
  <c r="DY21" i="4" s="1" a="1"/>
  <c r="DY21" i="4" s="1"/>
  <c r="DQ16" i="4"/>
  <c r="DX16" i="4" s="1" a="1"/>
  <c r="DX16" i="4" s="1"/>
  <c r="DT13" i="4"/>
  <c r="EA13" i="4" s="1" a="1"/>
  <c r="EA13" i="4" s="1"/>
  <c r="DP9" i="4"/>
  <c r="DW9" i="4" s="1" a="1"/>
  <c r="DW9" i="4" s="1"/>
  <c r="DO8" i="4"/>
  <c r="DV8" i="4" s="1" a="1"/>
  <c r="DV8" i="4" s="1"/>
  <c r="DS7" i="4"/>
  <c r="DZ7" i="4" s="1" a="1"/>
  <c r="DZ7" i="4" s="1"/>
  <c r="DR7" i="4"/>
  <c r="DY7" i="4" s="1" a="1"/>
  <c r="DY7" i="4" s="1"/>
  <c r="DP16" i="4"/>
  <c r="DW16" i="4" s="1" a="1"/>
  <c r="DW16" i="4" s="1"/>
  <c r="DS13" i="4"/>
  <c r="DZ13" i="4" s="1" a="1"/>
  <c r="DZ13" i="4" s="1"/>
  <c r="DO9" i="4"/>
  <c r="DV9" i="4" s="1" a="1"/>
  <c r="DV9" i="4" s="1"/>
  <c r="DQ7" i="4"/>
  <c r="DX7" i="4" s="1" a="1"/>
  <c r="DX7" i="4" s="1"/>
  <c r="DP5" i="4"/>
  <c r="DW5" i="4" s="1" a="1"/>
  <c r="DW5" i="4" s="1"/>
  <c r="DR5" i="4"/>
  <c r="DY5" i="4" s="1" a="1"/>
  <c r="DY5" i="4" s="1"/>
  <c r="DO23" i="4"/>
  <c r="DV23" i="4" s="1" a="1"/>
  <c r="DV23" i="4" s="1"/>
  <c r="DR29" i="4"/>
  <c r="DY29" i="4" s="1" a="1"/>
  <c r="DY29" i="4" s="1"/>
  <c r="DT6" i="4"/>
  <c r="EA6" i="4" s="1" a="1"/>
  <c r="EA6" i="4" s="1"/>
  <c r="DQ24" i="4"/>
  <c r="DX24" i="4" s="1" a="1"/>
  <c r="DX24" i="4" s="1"/>
  <c r="DR25" i="4"/>
  <c r="DY25" i="4" s="1" a="1"/>
  <c r="DY25" i="4" s="1"/>
  <c r="DR15" i="4"/>
  <c r="DY15" i="4" s="1" a="1"/>
  <c r="DY15" i="4" s="1"/>
  <c r="DQ5" i="4"/>
  <c r="DX5" i="4" s="1" a="1"/>
  <c r="DX5" i="4" s="1"/>
  <c r="DT12" i="4"/>
  <c r="EA12" i="4" s="1" a="1"/>
  <c r="EA12" i="4" s="1"/>
  <c r="DQ25" i="4"/>
  <c r="DX25" i="4" s="1" a="1"/>
  <c r="DX25" i="4" s="1"/>
  <c r="DR24" i="4"/>
  <c r="DY24" i="4" s="1" a="1"/>
  <c r="DY24" i="4" s="1"/>
  <c r="DQ15" i="4"/>
  <c r="DX15" i="4" s="1" a="1"/>
  <c r="DX15" i="4" s="1"/>
  <c r="DQ22" i="4"/>
  <c r="DX22" i="4" s="1" a="1"/>
  <c r="DX22" i="4" s="1"/>
  <c r="DO16" i="4"/>
  <c r="DV16" i="4" s="1" a="1"/>
  <c r="DV16" i="4" s="1"/>
  <c r="DP14" i="4"/>
  <c r="DW14" i="4" s="1" a="1"/>
  <c r="DW14" i="4" s="1"/>
  <c r="DT30" i="4"/>
  <c r="EA30" i="4" s="1" a="1"/>
  <c r="EA30" i="4" s="1"/>
  <c r="DT9" i="4"/>
  <c r="EA9" i="4" s="1" a="1"/>
  <c r="EA9" i="4" s="1"/>
  <c r="DT11" i="4"/>
  <c r="EA11" i="4" s="1" a="1"/>
  <c r="EA11" i="4" s="1"/>
  <c r="DR20" i="4"/>
  <c r="DY20" i="4" s="1" a="1"/>
  <c r="DY20" i="4" s="1"/>
  <c r="DS22" i="4"/>
  <c r="DZ22" i="4" s="1" a="1"/>
  <c r="DZ22" i="4" s="1"/>
  <c r="DT40" i="4"/>
  <c r="EA40" i="4" s="1" a="1"/>
  <c r="EA40" i="4" s="1"/>
  <c r="DP38" i="4"/>
  <c r="DW38" i="4" s="1" a="1"/>
  <c r="DW38" i="4" s="1"/>
  <c r="DO31" i="4"/>
  <c r="DV31" i="4" s="1" a="1"/>
  <c r="DV31" i="4" s="1"/>
  <c r="DO37" i="4"/>
  <c r="DV37" i="4" s="1" a="1"/>
  <c r="DV37" i="4" s="1"/>
  <c r="DQ36" i="4"/>
  <c r="DX36" i="4" s="1" a="1"/>
  <c r="DX36" i="4" s="1"/>
  <c r="DQ51" i="4"/>
  <c r="DX51" i="4" s="1" a="1"/>
  <c r="DX51" i="4" s="1"/>
  <c r="DR58" i="4"/>
  <c r="DY58" i="4" s="1" a="1"/>
  <c r="DY58" i="4" s="1"/>
  <c r="DO62" i="4"/>
  <c r="DV62" i="4" s="1" a="1"/>
  <c r="DV62" i="4" s="1"/>
  <c r="DS71" i="4"/>
  <c r="DZ71" i="4" s="1" a="1"/>
  <c r="DZ71" i="4" s="1"/>
  <c r="DS66" i="4"/>
  <c r="DZ66" i="4" s="1" a="1"/>
  <c r="DZ66" i="4" s="1"/>
  <c r="DR78" i="4"/>
  <c r="DY78" i="4" s="1" a="1"/>
  <c r="DY78" i="4" s="1"/>
  <c r="DS78" i="4"/>
  <c r="DZ78" i="4" s="1" a="1"/>
  <c r="DZ78" i="4" s="1"/>
  <c r="DO80" i="4"/>
  <c r="DV80" i="4" s="1" a="1"/>
  <c r="DV80" i="4" s="1"/>
  <c r="DP81" i="4"/>
  <c r="DW81" i="4" s="1" a="1"/>
  <c r="DW81" i="4" s="1"/>
  <c r="DQ87" i="4"/>
  <c r="DX87" i="4" s="1" a="1"/>
  <c r="DX87" i="4" s="1"/>
  <c r="DP86" i="4"/>
  <c r="DW86" i="4" s="1" a="1"/>
  <c r="DW86" i="4" s="1"/>
  <c r="DQ88" i="4"/>
  <c r="DX88" i="4" s="1" a="1"/>
  <c r="DX88" i="4" s="1"/>
  <c r="DQ90" i="4"/>
  <c r="DX90" i="4" s="1" a="1"/>
  <c r="DX90" i="4" s="1"/>
  <c r="DR103" i="4"/>
  <c r="DY103" i="4" s="1" a="1"/>
  <c r="DY103" i="4" s="1"/>
  <c r="DT100" i="4"/>
  <c r="EA100" i="4" s="1" a="1"/>
  <c r="EA100" i="4" s="1"/>
  <c r="DP8" i="4"/>
  <c r="DW8" i="4" s="1" a="1"/>
  <c r="DW8" i="4" s="1"/>
  <c r="DO20" i="4"/>
  <c r="DV20" i="4" s="1" a="1"/>
  <c r="DV20" i="4" s="1"/>
  <c r="DR11" i="4"/>
  <c r="DY11" i="4" s="1" a="1"/>
  <c r="DY11" i="4" s="1"/>
  <c r="DQ21" i="4"/>
  <c r="DX21" i="4" s="1" a="1"/>
  <c r="DX21" i="4" s="1"/>
  <c r="DS11" i="4"/>
  <c r="DZ11" i="4" s="1" a="1"/>
  <c r="DZ11" i="4" s="1"/>
  <c r="DS28" i="4"/>
  <c r="DZ28" i="4" s="1" a="1"/>
  <c r="DZ28" i="4" s="1"/>
  <c r="DT17" i="4"/>
  <c r="EA17" i="4" s="1" a="1"/>
  <c r="EA17" i="4" s="1"/>
  <c r="DS30" i="4"/>
  <c r="DZ30" i="4" s="1" a="1"/>
  <c r="DZ30" i="4" s="1"/>
  <c r="DT26" i="4"/>
  <c r="EA26" i="4" s="1" a="1"/>
  <c r="EA26" i="4" s="1"/>
  <c r="DR27" i="4"/>
  <c r="DY27" i="4" s="1" a="1"/>
  <c r="DY27" i="4" s="1"/>
  <c r="DT43" i="4"/>
  <c r="EA43" i="4" s="1" a="1"/>
  <c r="EA43" i="4" s="1"/>
  <c r="DO45" i="4"/>
  <c r="DV45" i="4" s="1" a="1"/>
  <c r="DV45" i="4" s="1"/>
  <c r="DR48" i="4"/>
  <c r="DY48" i="4" s="1" a="1"/>
  <c r="DY48" i="4" s="1"/>
  <c r="DT49" i="4"/>
  <c r="EA49" i="4" s="1" a="1"/>
  <c r="EA49" i="4" s="1"/>
  <c r="DS64" i="4"/>
  <c r="DZ64" i="4" s="1" a="1"/>
  <c r="DZ64" i="4" s="1"/>
  <c r="DT58" i="4"/>
  <c r="EA58" i="4" s="1" a="1"/>
  <c r="EA58" i="4" s="1"/>
  <c r="DT59" i="4"/>
  <c r="EA59" i="4" s="1" a="1"/>
  <c r="EA59" i="4" s="1"/>
  <c r="DO61" i="4"/>
  <c r="DV61" i="4" s="1" a="1"/>
  <c r="DV61" i="4" s="1"/>
  <c r="DP65" i="4"/>
  <c r="DW65" i="4" s="1" a="1"/>
  <c r="DW65" i="4" s="1"/>
  <c r="DR69" i="4"/>
  <c r="DY69" i="4" s="1" a="1"/>
  <c r="DY69" i="4" s="1"/>
  <c r="DQ74" i="4"/>
  <c r="DX74" i="4" s="1" a="1"/>
  <c r="DX74" i="4" s="1"/>
  <c r="DT84" i="4"/>
  <c r="EA84" i="4" s="1" a="1"/>
  <c r="EA84" i="4" s="1"/>
  <c r="DP91" i="4"/>
  <c r="DW91" i="4" s="1" a="1"/>
  <c r="DW91" i="4" s="1"/>
  <c r="DS101" i="4"/>
  <c r="DZ101" i="4" s="1" a="1"/>
  <c r="DZ101" i="4" s="1"/>
  <c r="DQ102" i="4"/>
  <c r="DX102" i="4" s="1" a="1"/>
  <c r="DX102" i="4" s="1"/>
  <c r="DP96" i="4"/>
  <c r="DW96" i="4" s="1" a="1"/>
  <c r="DW96" i="4" s="1"/>
  <c r="DS96" i="4"/>
  <c r="DZ96" i="4" s="1" a="1"/>
  <c r="DZ96" i="4" s="1"/>
  <c r="DQ9" i="4"/>
  <c r="DX9" i="4" s="1" a="1"/>
  <c r="DX9" i="4" s="1"/>
  <c r="DS20" i="4"/>
  <c r="DZ20" i="4" s="1" a="1"/>
  <c r="DZ20" i="4" s="1"/>
  <c r="DQ23" i="4"/>
  <c r="DX23" i="4" s="1" a="1"/>
  <c r="DX23" i="4" s="1"/>
  <c r="DQ32" i="4"/>
  <c r="DX32" i="4" s="1" a="1"/>
  <c r="DX32" i="4" s="1"/>
  <c r="DT37" i="4"/>
  <c r="EA37" i="4" s="1" a="1"/>
  <c r="EA37" i="4" s="1"/>
  <c r="DO30" i="4"/>
  <c r="DV30" i="4" s="1" a="1"/>
  <c r="DV30" i="4" s="1"/>
  <c r="DT29" i="4"/>
  <c r="EA29" i="4" s="1" a="1"/>
  <c r="EA29" i="4" s="1"/>
  <c r="DR42" i="4"/>
  <c r="DY42" i="4" s="1" a="1"/>
  <c r="DY42" i="4" s="1"/>
  <c r="DT39" i="4"/>
  <c r="EA39" i="4" s="1" a="1"/>
  <c r="EA39" i="4" s="1"/>
  <c r="DQ37" i="4"/>
  <c r="DX37" i="4" s="1" a="1"/>
  <c r="DX37" i="4" s="1"/>
  <c r="DP32" i="4"/>
  <c r="DW32" i="4" s="1" a="1"/>
  <c r="DW32" i="4" s="1"/>
  <c r="DR37" i="4"/>
  <c r="DY37" i="4" s="1" a="1"/>
  <c r="DY37" i="4" s="1"/>
  <c r="DR54" i="4"/>
  <c r="DY54" i="4" s="1" a="1"/>
  <c r="DY54" i="4" s="1"/>
  <c r="DR64" i="4"/>
  <c r="DY64" i="4" s="1" a="1"/>
  <c r="DY64" i="4" s="1"/>
  <c r="DT57" i="4"/>
  <c r="EA57" i="4" s="1" a="1"/>
  <c r="EA57" i="4" s="1"/>
  <c r="DT63" i="4"/>
  <c r="EA63" i="4" s="1" a="1"/>
  <c r="EA63" i="4" s="1"/>
  <c r="DP66" i="4"/>
  <c r="DW66" i="4" s="1" a="1"/>
  <c r="DW66" i="4" s="1"/>
  <c r="DO73" i="4"/>
  <c r="DV73" i="4" s="1" a="1"/>
  <c r="DV73" i="4" s="1"/>
  <c r="DT70" i="4"/>
  <c r="EA70" i="4" s="1" a="1"/>
  <c r="EA70" i="4" s="1"/>
  <c r="DS76" i="4"/>
  <c r="DZ76" i="4" s="1" a="1"/>
  <c r="DZ76" i="4" s="1"/>
  <c r="DT82" i="4"/>
  <c r="EA82" i="4" s="1" a="1"/>
  <c r="EA82" i="4" s="1"/>
  <c r="DT76" i="4"/>
  <c r="EA76" i="4" s="1" a="1"/>
  <c r="EA76" i="4" s="1"/>
  <c r="DS79" i="4"/>
  <c r="DZ79" i="4" s="1" a="1"/>
  <c r="DZ79" i="4" s="1"/>
  <c r="DQ86" i="4"/>
  <c r="DX86" i="4" s="1" a="1"/>
  <c r="DX86" i="4" s="1"/>
  <c r="DS84" i="4"/>
  <c r="DZ84" i="4" s="1" a="1"/>
  <c r="DZ84" i="4" s="1"/>
  <c r="DR85" i="4"/>
  <c r="DY85" i="4" s="1" a="1"/>
  <c r="DY85" i="4" s="1"/>
  <c r="DO92" i="4"/>
  <c r="DV92" i="4" s="1" a="1"/>
  <c r="DV92" i="4" s="1"/>
  <c r="DR91" i="4"/>
  <c r="DY91" i="4" s="1" a="1"/>
  <c r="DY91" i="4" s="1"/>
  <c r="DO103" i="4"/>
  <c r="DV103" i="4" s="1" a="1"/>
  <c r="DV103" i="4" s="1"/>
  <c r="DT7" i="4"/>
  <c r="EA7" i="4" s="1" a="1"/>
  <c r="EA7" i="4" s="1"/>
  <c r="DQ19" i="4"/>
  <c r="DX19" i="4" s="1" a="1"/>
  <c r="DX19" i="4" s="1"/>
  <c r="DQ67" i="4"/>
  <c r="DX67" i="4" s="1" a="1"/>
  <c r="DX67" i="4" s="1"/>
  <c r="DP21" i="4"/>
  <c r="DW21" i="4" s="1" a="1"/>
  <c r="DW21" i="4" s="1"/>
  <c r="DQ26" i="4"/>
  <c r="DX26" i="4" s="1" a="1"/>
  <c r="DX26" i="4" s="1"/>
  <c r="DR22" i="4"/>
  <c r="DY22" i="4" s="1" a="1"/>
  <c r="DY22" i="4" s="1"/>
  <c r="DR18" i="4"/>
  <c r="DY18" i="4" s="1" a="1"/>
  <c r="DY18" i="4" s="1"/>
  <c r="DT10" i="4"/>
  <c r="EA10" i="4" s="1" a="1"/>
  <c r="EA10" i="4" s="1"/>
  <c r="DR28" i="4"/>
  <c r="DY28" i="4" s="1" a="1"/>
  <c r="DY28" i="4" s="1"/>
  <c r="DT28" i="4"/>
  <c r="EA28" i="4" s="1" a="1"/>
  <c r="EA28" i="4" s="1"/>
  <c r="DQ31" i="4"/>
  <c r="DX31" i="4" s="1" a="1"/>
  <c r="DX31" i="4" s="1"/>
  <c r="DP30" i="4"/>
  <c r="DW30" i="4" s="1" a="1"/>
  <c r="DW30" i="4" s="1"/>
  <c r="DO43" i="4"/>
  <c r="DV43" i="4" s="1" a="1"/>
  <c r="DV43" i="4" s="1"/>
  <c r="DO54" i="4"/>
  <c r="DV54" i="4" s="1" a="1"/>
  <c r="DV54" i="4" s="1"/>
  <c r="DR50" i="4"/>
  <c r="DY50" i="4" s="1" a="1"/>
  <c r="DY50" i="4" s="1"/>
  <c r="DQ64" i="4"/>
  <c r="DX64" i="4" s="1" a="1"/>
  <c r="DX64" i="4" s="1"/>
  <c r="DR59" i="4"/>
  <c r="DY59" i="4" s="1" a="1"/>
  <c r="DY59" i="4" s="1"/>
  <c r="DT68" i="4"/>
  <c r="EA68" i="4" s="1" a="1"/>
  <c r="EA68" i="4" s="1"/>
  <c r="DP74" i="4"/>
  <c r="DW74" i="4" s="1" a="1"/>
  <c r="DW74" i="4" s="1"/>
  <c r="DR73" i="4"/>
  <c r="DY73" i="4" s="1" a="1"/>
  <c r="DY73" i="4" s="1"/>
  <c r="DR86" i="4"/>
  <c r="DY86" i="4" s="1" a="1"/>
  <c r="DY86" i="4" s="1"/>
  <c r="DT83" i="4"/>
  <c r="EA83" i="4" s="1" a="1"/>
  <c r="EA83" i="4" s="1"/>
  <c r="DQ85" i="4"/>
  <c r="DX85" i="4" s="1" a="1"/>
  <c r="DX85" i="4" s="1"/>
  <c r="DT93" i="4"/>
  <c r="EA93" i="4" s="1" a="1"/>
  <c r="EA93" i="4" s="1"/>
  <c r="DT89" i="4"/>
  <c r="EA89" i="4" s="1" a="1"/>
  <c r="EA89" i="4" s="1"/>
  <c r="DR95" i="4"/>
  <c r="DY95" i="4" s="1" a="1"/>
  <c r="DY95" i="4" s="1"/>
  <c r="DP28" i="4"/>
  <c r="DW28" i="4" s="1" a="1"/>
  <c r="DW28" i="4" s="1"/>
  <c r="DP11" i="4"/>
  <c r="DW11" i="4" s="1" a="1"/>
  <c r="DW11" i="4" s="1"/>
  <c r="DP19" i="4"/>
  <c r="DW19" i="4" s="1" a="1"/>
  <c r="DW19" i="4" s="1"/>
  <c r="DO27" i="4"/>
  <c r="DV27" i="4" s="1" a="1"/>
  <c r="DV27" i="4" s="1"/>
  <c r="DO11" i="4"/>
  <c r="DV11" i="4" s="1" a="1"/>
  <c r="DV11" i="4" s="1"/>
  <c r="DQ12" i="4"/>
  <c r="DX12" i="4" s="1" a="1"/>
  <c r="DX12" i="4" s="1"/>
  <c r="DP23" i="4"/>
  <c r="DW23" i="4" s="1" a="1"/>
  <c r="DW23" i="4" s="1"/>
  <c r="DR12" i="4"/>
  <c r="DY12" i="4" s="1" a="1"/>
  <c r="DY12" i="4" s="1"/>
  <c r="DS10" i="4"/>
  <c r="DZ10" i="4" s="1" a="1"/>
  <c r="DZ10" i="4" s="1"/>
  <c r="DQ30" i="4"/>
  <c r="DX30" i="4" s="1" a="1"/>
  <c r="DX30" i="4" s="1"/>
  <c r="DT45" i="4"/>
  <c r="EA45" i="4" s="1" a="1"/>
  <c r="EA45" i="4" s="1"/>
  <c r="DR40" i="4"/>
  <c r="DY40" i="4" s="1" a="1"/>
  <c r="DY40" i="4" s="1"/>
  <c r="DP49" i="4"/>
  <c r="DW49" i="4" s="1" a="1"/>
  <c r="DW49" i="4" s="1"/>
  <c r="DS44" i="4"/>
  <c r="DZ44" i="4" s="1" a="1"/>
  <c r="DZ44" i="4" s="1"/>
  <c r="DT48" i="4"/>
  <c r="EA48" i="4" s="1" a="1"/>
  <c r="EA48" i="4" s="1"/>
  <c r="DO60" i="4"/>
  <c r="DV60" i="4" s="1" a="1"/>
  <c r="DV60" i="4" s="1"/>
  <c r="DQ60" i="4"/>
  <c r="DX60" i="4" s="1" a="1"/>
  <c r="DX60" i="4" s="1"/>
  <c r="DQ59" i="4"/>
  <c r="DX59" i="4" s="1" a="1"/>
  <c r="DX59" i="4" s="1"/>
  <c r="DQ65" i="4"/>
  <c r="DX65" i="4" s="1" a="1"/>
  <c r="DX65" i="4" s="1"/>
  <c r="DT64" i="4"/>
  <c r="EA64" i="4" s="1" a="1"/>
  <c r="EA64" i="4" s="1"/>
  <c r="DS69" i="4"/>
  <c r="DZ69" i="4" s="1" a="1"/>
  <c r="DZ69" i="4" s="1"/>
  <c r="DS77" i="4"/>
  <c r="DZ77" i="4" s="1" a="1"/>
  <c r="DZ77" i="4" s="1"/>
  <c r="DT78" i="4"/>
  <c r="EA78" i="4" s="1" a="1"/>
  <c r="EA78" i="4" s="1"/>
  <c r="DQ77" i="4"/>
  <c r="DX77" i="4" s="1" a="1"/>
  <c r="DX77" i="4" s="1"/>
  <c r="DQ89" i="4"/>
  <c r="DX89" i="4" s="1" a="1"/>
  <c r="DX89" i="4" s="1"/>
  <c r="DS87" i="4"/>
  <c r="DZ87" i="4" s="1" a="1"/>
  <c r="DZ87" i="4" s="1"/>
  <c r="DQ81" i="4"/>
  <c r="DX81" i="4" s="1" a="1"/>
  <c r="DX81" i="4" s="1"/>
  <c r="DP102" i="4"/>
  <c r="DW102" i="4" s="1" a="1"/>
  <c r="DW102" i="4" s="1"/>
  <c r="DR90" i="4"/>
  <c r="DY90" i="4" s="1" a="1"/>
  <c r="DY90" i="4" s="1"/>
  <c r="DR101" i="4"/>
  <c r="DY101" i="4" s="1" a="1"/>
  <c r="DY101" i="4" s="1"/>
  <c r="DO5" i="4"/>
  <c r="DV5" i="4" s="1" a="1"/>
  <c r="DV5" i="4" s="1"/>
  <c r="DS6" i="4"/>
  <c r="DZ6" i="4" s="1" a="1"/>
  <c r="DZ6" i="4" s="1"/>
  <c r="DQ28" i="4"/>
  <c r="DX28" i="4" s="1" a="1"/>
  <c r="DX28" i="4" s="1"/>
  <c r="DO24" i="4"/>
  <c r="DV24" i="4" s="1" a="1"/>
  <c r="DV24" i="4" s="1"/>
  <c r="DP24" i="4"/>
  <c r="DW24" i="4" s="1" a="1"/>
  <c r="DW24" i="4" s="1"/>
  <c r="DS12" i="4"/>
  <c r="DZ12" i="4" s="1" a="1"/>
  <c r="DZ12" i="4" s="1"/>
  <c r="DR31" i="4"/>
  <c r="DY31" i="4" s="1" a="1"/>
  <c r="DY31" i="4" s="1"/>
  <c r="DT31" i="4"/>
  <c r="EA31" i="4" s="1" a="1"/>
  <c r="EA31" i="4" s="1"/>
  <c r="DR38" i="4"/>
  <c r="DY38" i="4" s="1" a="1"/>
  <c r="DY38" i="4" s="1"/>
  <c r="DP31" i="4"/>
  <c r="DW31" i="4" s="1" a="1"/>
  <c r="DW31" i="4" s="1"/>
  <c r="DP37" i="4"/>
  <c r="DW37" i="4" s="1" a="1"/>
  <c r="DW37" i="4" s="1"/>
  <c r="DT47" i="4"/>
  <c r="EA47" i="4" s="1" a="1"/>
  <c r="EA47" i="4" s="1"/>
  <c r="DT41" i="4"/>
  <c r="EA41" i="4" s="1" a="1"/>
  <c r="EA41" i="4" s="1"/>
  <c r="DS48" i="4"/>
  <c r="DZ48" i="4" s="1" a="1"/>
  <c r="DZ48" i="4" s="1"/>
  <c r="DQ50" i="4"/>
  <c r="DX50" i="4" s="1" a="1"/>
  <c r="DX50" i="4" s="1"/>
  <c r="DS50" i="4"/>
  <c r="DZ50" i="4" s="1" a="1"/>
  <c r="DZ50" i="4" s="1"/>
  <c r="DS58" i="4"/>
  <c r="DZ58" i="4" s="1" a="1"/>
  <c r="DZ58" i="4" s="1"/>
  <c r="DS60" i="4"/>
  <c r="DZ60" i="4" s="1" a="1"/>
  <c r="DZ60" i="4" s="1"/>
  <c r="DT60" i="4"/>
  <c r="EA60" i="4" s="1" a="1"/>
  <c r="EA60" i="4" s="1"/>
  <c r="DP64" i="4"/>
  <c r="DW64" i="4" s="1" a="1"/>
  <c r="DW64" i="4" s="1"/>
  <c r="DR70" i="4"/>
  <c r="DY70" i="4" s="1" a="1"/>
  <c r="DY70" i="4" s="1"/>
  <c r="DT69" i="4"/>
  <c r="EA69" i="4" s="1" a="1"/>
  <c r="EA69" i="4" s="1"/>
  <c r="DT74" i="4"/>
  <c r="EA74" i="4" s="1" a="1"/>
  <c r="EA74" i="4" s="1"/>
  <c r="DS73" i="4"/>
  <c r="DZ73" i="4" s="1" a="1"/>
  <c r="DZ73" i="4" s="1"/>
  <c r="DO74" i="4"/>
  <c r="DV74" i="4" s="1" a="1"/>
  <c r="DV74" i="4" s="1"/>
  <c r="DS88" i="4"/>
  <c r="DZ88" i="4" s="1" a="1"/>
  <c r="DZ88" i="4" s="1"/>
  <c r="DT86" i="4"/>
  <c r="EA86" i="4" s="1" a="1"/>
  <c r="EA86" i="4" s="1"/>
  <c r="DT90" i="4"/>
  <c r="EA90" i="4" s="1" a="1"/>
  <c r="EA90" i="4" s="1"/>
  <c r="DT95" i="4"/>
  <c r="EA95" i="4" s="1" a="1"/>
  <c r="EA95" i="4" s="1"/>
  <c r="DS102" i="4"/>
  <c r="DZ102" i="4" s="1" a="1"/>
  <c r="DZ102" i="4" s="1"/>
  <c r="DR96" i="4"/>
  <c r="DY96" i="4" s="1" a="1"/>
  <c r="DY96" i="4" s="1"/>
  <c r="DS97" i="4"/>
  <c r="DZ97" i="4" s="1" a="1"/>
  <c r="DZ97" i="4" s="1"/>
  <c r="DT94" i="4"/>
  <c r="EA94" i="4" s="1" a="1"/>
  <c r="EA94" i="4" s="1"/>
  <c r="DP10" i="4"/>
  <c r="DW10" i="4" s="1" a="1"/>
  <c r="DW10" i="4" s="1"/>
  <c r="DO7" i="4"/>
  <c r="DV7" i="4" s="1" a="1"/>
  <c r="DV7" i="4" s="1"/>
  <c r="DT5" i="4"/>
  <c r="EA5" i="4" s="1" a="1"/>
  <c r="EA5" i="4" s="1"/>
  <c r="DS15" i="4"/>
  <c r="DZ15" i="4" s="1" a="1"/>
  <c r="DZ15" i="4" s="1"/>
  <c r="DO12" i="4"/>
  <c r="DV12" i="4" s="1" a="1"/>
  <c r="DV12" i="4" s="1"/>
  <c r="DT8" i="4"/>
  <c r="EA8" i="4" s="1" a="1"/>
  <c r="EA8" i="4" s="1"/>
  <c r="DT21" i="4"/>
  <c r="EA21" i="4" s="1" a="1"/>
  <c r="EA21" i="4" s="1"/>
  <c r="DT14" i="4"/>
  <c r="EA14" i="4" s="1" a="1"/>
  <c r="EA14" i="4" s="1"/>
  <c r="DT19" i="4"/>
  <c r="EA19" i="4" s="1" a="1"/>
  <c r="EA19" i="4" s="1"/>
  <c r="DS31" i="4"/>
  <c r="DZ31" i="4" s="1" a="1"/>
  <c r="DZ31" i="4" s="1"/>
  <c r="DO32" i="4"/>
  <c r="DV32" i="4" s="1" a="1"/>
  <c r="DV32" i="4" s="1"/>
  <c r="DT34" i="4"/>
  <c r="EA34" i="4" s="1" a="1"/>
  <c r="EA34" i="4" s="1"/>
  <c r="DP43" i="4"/>
  <c r="DW43" i="4" s="1" a="1"/>
  <c r="DW43" i="4" s="1"/>
  <c r="DO33" i="4"/>
  <c r="DV33" i="4" s="1" a="1"/>
  <c r="DV33" i="4" s="1"/>
  <c r="DO41" i="4"/>
  <c r="DV41" i="4" s="1" a="1"/>
  <c r="DV41" i="4" s="1"/>
  <c r="DR52" i="4"/>
  <c r="DY52" i="4" s="1" a="1"/>
  <c r="DY52" i="4" s="1"/>
  <c r="DS45" i="4"/>
  <c r="DZ45" i="4" s="1" a="1"/>
  <c r="DZ45" i="4" s="1"/>
  <c r="DP61" i="4"/>
  <c r="DW61" i="4" s="1" a="1"/>
  <c r="DW61" i="4" s="1"/>
  <c r="DP51" i="4"/>
  <c r="DW51" i="4" s="1" a="1"/>
  <c r="DW51" i="4" s="1"/>
  <c r="DR60" i="4"/>
  <c r="DY60" i="4" s="1" a="1"/>
  <c r="DY60" i="4" s="1"/>
  <c r="DS54" i="4"/>
  <c r="DZ54" i="4" s="1" a="1"/>
  <c r="DZ54" i="4" s="1"/>
  <c r="DP70" i="4"/>
  <c r="DW70" i="4" s="1" a="1"/>
  <c r="DW70" i="4" s="1"/>
  <c r="DR71" i="4"/>
  <c r="DY71" i="4" s="1" a="1"/>
  <c r="DY71" i="4" s="1"/>
  <c r="DO67" i="4"/>
  <c r="DV67" i="4" s="1" a="1"/>
  <c r="DV67" i="4" s="1"/>
  <c r="DQ78" i="4"/>
  <c r="DX78" i="4" s="1" a="1"/>
  <c r="DX78" i="4" s="1"/>
  <c r="DR79" i="4"/>
  <c r="DY79" i="4" s="1" a="1"/>
  <c r="DY79" i="4" s="1"/>
  <c r="DO82" i="4"/>
  <c r="DV82" i="4" s="1" a="1"/>
  <c r="DV82" i="4" s="1"/>
  <c r="DQ103" i="4"/>
  <c r="DX103" i="4" s="1" a="1"/>
  <c r="DX103" i="4" s="1"/>
  <c r="DQ13" i="4"/>
  <c r="DX13" i="4" s="1" a="1"/>
  <c r="DX13" i="4" s="1"/>
  <c r="DQ14" i="4"/>
  <c r="DX14" i="4" s="1" a="1"/>
  <c r="DX14" i="4" s="1"/>
  <c r="DO22" i="4"/>
  <c r="DV22" i="4" s="1" a="1"/>
  <c r="DV22" i="4" s="1"/>
  <c r="DT15" i="4"/>
  <c r="EA15" i="4" s="1" a="1"/>
  <c r="EA15" i="4" s="1"/>
  <c r="DO25" i="4"/>
  <c r="DV25" i="4" s="1" a="1"/>
  <c r="DV25" i="4" s="1"/>
  <c r="DS27" i="4"/>
  <c r="DZ27" i="4" s="1" a="1"/>
  <c r="DZ27" i="4" s="1"/>
  <c r="DS34" i="4"/>
  <c r="DZ34" i="4" s="1" a="1"/>
  <c r="DZ34" i="4" s="1"/>
  <c r="DS43" i="4"/>
  <c r="DZ43" i="4" s="1" a="1"/>
  <c r="DZ43" i="4" s="1"/>
  <c r="DQ49" i="4"/>
  <c r="DX49" i="4" s="1" a="1"/>
  <c r="DX49" i="4" s="1"/>
  <c r="DO51" i="4"/>
  <c r="DV51" i="4" s="1" a="1"/>
  <c r="DV51" i="4" s="1"/>
  <c r="DP55" i="4"/>
  <c r="DW55" i="4" s="1" a="1"/>
  <c r="DW55" i="4" s="1"/>
  <c r="DP60" i="4"/>
  <c r="DW60" i="4" s="1" a="1"/>
  <c r="DW60" i="4" s="1"/>
  <c r="DP71" i="4"/>
  <c r="DW71" i="4" s="1" a="1"/>
  <c r="DW71" i="4" s="1"/>
  <c r="DQ71" i="4"/>
  <c r="DX71" i="4" s="1" a="1"/>
  <c r="DX71" i="4" s="1"/>
  <c r="DS70" i="4"/>
  <c r="DZ70" i="4" s="1" a="1"/>
  <c r="DZ70" i="4" s="1"/>
  <c r="DR80" i="4"/>
  <c r="DY80" i="4" s="1" a="1"/>
  <c r="DY80" i="4" s="1"/>
  <c r="DS95" i="4"/>
  <c r="DZ95" i="4" s="1" a="1"/>
  <c r="DZ95" i="4" s="1"/>
  <c r="DO97" i="4"/>
  <c r="DV97" i="4" s="1" a="1"/>
  <c r="DV97" i="4" s="1"/>
  <c r="DR102" i="4"/>
  <c r="DY102" i="4" s="1" a="1"/>
  <c r="DY102" i="4" s="1"/>
  <c r="DP97" i="4"/>
  <c r="DW97" i="4" s="1" a="1"/>
  <c r="DW97" i="4" s="1"/>
  <c r="DR97" i="4"/>
  <c r="DY97" i="4" s="1" a="1"/>
  <c r="DY97" i="4" s="1"/>
  <c r="DS103" i="4"/>
  <c r="DZ103" i="4" s="1" a="1"/>
  <c r="DZ103" i="4" s="1"/>
  <c r="DQ96" i="4"/>
  <c r="DX96" i="4" s="1" a="1"/>
  <c r="DX96" i="4" s="1"/>
  <c r="DS19" i="4"/>
  <c r="DZ19" i="4" s="1" a="1"/>
  <c r="DZ19" i="4" s="1"/>
  <c r="DR32" i="4"/>
  <c r="DY32" i="4" s="1" a="1"/>
  <c r="DY32" i="4" s="1"/>
  <c r="DP54" i="4"/>
  <c r="DW54" i="4" s="1" a="1"/>
  <c r="DW54" i="4" s="1"/>
  <c r="DS56" i="4"/>
  <c r="DZ56" i="4" s="1" a="1"/>
  <c r="DZ56" i="4" s="1"/>
  <c r="DS62" i="4"/>
  <c r="DZ62" i="4" s="1" a="1"/>
  <c r="DZ62" i="4" s="1"/>
  <c r="DO56" i="4"/>
  <c r="DV56" i="4" s="1" a="1"/>
  <c r="DV56" i="4" s="1"/>
  <c r="DO72" i="4"/>
  <c r="DV72" i="4" s="1" a="1"/>
  <c r="DV72" i="4" s="1"/>
  <c r="DP72" i="4"/>
  <c r="DW72" i="4" s="1" a="1"/>
  <c r="DW72" i="4" s="1"/>
  <c r="DR65" i="4"/>
  <c r="DY65" i="4" s="1" a="1"/>
  <c r="DY65" i="4" s="1"/>
  <c r="DQ72" i="4"/>
  <c r="DX72" i="4" s="1" a="1"/>
  <c r="DX72" i="4" s="1"/>
  <c r="DS72" i="4"/>
  <c r="DZ72" i="4" s="1" a="1"/>
  <c r="DZ72" i="4" s="1"/>
  <c r="DT79" i="4"/>
  <c r="EA79" i="4" s="1" a="1"/>
  <c r="EA79" i="4" s="1"/>
  <c r="DT77" i="4"/>
  <c r="EA77" i="4" s="1" a="1"/>
  <c r="EA77" i="4" s="1"/>
  <c r="DO79" i="4"/>
  <c r="DV79" i="4" s="1" a="1"/>
  <c r="DV79" i="4" s="1"/>
  <c r="DR81" i="4"/>
  <c r="DY81" i="4" s="1" a="1"/>
  <c r="DY81" i="4" s="1"/>
  <c r="DR77" i="4"/>
  <c r="DY77" i="4" s="1" a="1"/>
  <c r="DY77" i="4" s="1"/>
  <c r="DS81" i="4"/>
  <c r="DZ81" i="4" s="1" a="1"/>
  <c r="DZ81" i="4" s="1"/>
  <c r="DO87" i="4"/>
  <c r="DV87" i="4" s="1" a="1"/>
  <c r="DV87" i="4" s="1"/>
  <c r="DP87" i="4"/>
  <c r="DW87" i="4" s="1" a="1"/>
  <c r="DW87" i="4" s="1"/>
  <c r="DO96" i="4"/>
  <c r="DV96" i="4" s="1" a="1"/>
  <c r="DV96" i="4" s="1"/>
  <c r="DO90" i="4"/>
  <c r="DV90" i="4" s="1" a="1"/>
  <c r="DV90" i="4" s="1"/>
  <c r="DS90" i="4"/>
  <c r="DZ90" i="4" s="1" a="1"/>
  <c r="DZ90" i="4" s="1"/>
  <c r="DO91" i="4"/>
  <c r="DV91" i="4" s="1" a="1"/>
  <c r="DV91" i="4" s="1"/>
  <c r="DT96" i="4"/>
  <c r="EA96" i="4" s="1" a="1"/>
  <c r="EA96" i="4" s="1"/>
  <c r="DR9" i="4"/>
  <c r="DY9" i="4" s="1" a="1"/>
  <c r="DY9" i="4" s="1"/>
  <c r="DR6" i="4"/>
  <c r="DY6" i="4" s="1" a="1"/>
  <c r="DY6" i="4" s="1"/>
  <c r="DS5" i="4"/>
  <c r="DZ5" i="4" s="1" a="1"/>
  <c r="DZ5" i="4" s="1"/>
  <c r="DP7" i="4"/>
  <c r="DW7" i="4" s="1" a="1"/>
  <c r="DW7" i="4" s="1"/>
  <c r="DO15" i="4"/>
  <c r="DV15" i="4" s="1" a="1"/>
  <c r="DV15" i="4" s="1"/>
  <c r="DP15" i="4"/>
  <c r="DW15" i="4" s="1" a="1"/>
  <c r="DW15" i="4" s="1"/>
  <c r="DS18" i="4"/>
  <c r="DZ18" i="4" s="1" a="1"/>
  <c r="DZ18" i="4" s="1"/>
  <c r="DT23" i="4"/>
  <c r="EA23" i="4" s="1" a="1"/>
  <c r="EA23" i="4" s="1"/>
  <c r="DR36" i="4"/>
  <c r="DY36" i="4" s="1" a="1"/>
  <c r="DY36" i="4" s="1"/>
  <c r="DS36" i="4"/>
  <c r="DZ36" i="4" s="1" a="1"/>
  <c r="DZ36" i="4" s="1"/>
  <c r="DS29" i="4"/>
  <c r="DZ29" i="4" s="1" a="1"/>
  <c r="DZ29" i="4" s="1"/>
  <c r="DP41" i="4"/>
  <c r="DW41" i="4" s="1" a="1"/>
  <c r="DW41" i="4" s="1"/>
  <c r="DT35" i="4"/>
  <c r="EA35" i="4" s="1" a="1"/>
  <c r="EA35" i="4" s="1"/>
  <c r="DO39" i="4"/>
  <c r="DV39" i="4" s="1" a="1"/>
  <c r="DV39" i="4" s="1"/>
  <c r="DP47" i="4"/>
  <c r="DW47" i="4" s="1" a="1"/>
  <c r="DW47" i="4" s="1"/>
  <c r="DT53" i="4"/>
  <c r="EA53" i="4" s="1" a="1"/>
  <c r="EA53" i="4" s="1"/>
  <c r="DT51" i="4"/>
  <c r="EA51" i="4" s="1" a="1"/>
  <c r="EA51" i="4" s="1"/>
  <c r="DS67" i="4"/>
  <c r="DZ67" i="4" s="1" a="1"/>
  <c r="DZ67" i="4" s="1"/>
  <c r="DS82" i="4"/>
  <c r="DZ82" i="4" s="1" a="1"/>
  <c r="DZ82" i="4" s="1"/>
  <c r="DO93" i="4"/>
  <c r="DV93" i="4" s="1" a="1"/>
  <c r="DV93" i="4" s="1"/>
  <c r="DT101" i="4"/>
  <c r="EA101" i="4" s="1" a="1"/>
  <c r="EA101" i="4" s="1"/>
  <c r="DQ91" i="4"/>
  <c r="DX91" i="4" s="1" a="1"/>
  <c r="DX91" i="4" s="1"/>
  <c r="DS93" i="4"/>
  <c r="DZ93" i="4" s="1" a="1"/>
  <c r="DZ93" i="4" s="1"/>
  <c r="DP98" i="4"/>
  <c r="DW98" i="4" s="1" a="1"/>
  <c r="DW98" i="4" s="1"/>
  <c r="DR16" i="4"/>
  <c r="DY16" i="4" s="1" a="1"/>
  <c r="DY16" i="4" s="1"/>
  <c r="CR85" i="4"/>
  <c r="CY85" i="4"/>
  <c r="DO68" i="4"/>
  <c r="DV68" i="4" s="1" a="1"/>
  <c r="DV68" i="4" s="1"/>
  <c r="DP73" i="4"/>
  <c r="DW73" i="4" s="1" a="1"/>
  <c r="DW73" i="4" s="1"/>
  <c r="DO66" i="4"/>
  <c r="DV66" i="4" s="1" a="1"/>
  <c r="DV66" i="4" s="1"/>
  <c r="DB60" i="4"/>
  <c r="CU60" i="4"/>
  <c r="CZ52" i="4"/>
  <c r="CS52" i="4"/>
  <c r="DS40" i="4"/>
  <c r="DZ40" i="4" s="1" a="1"/>
  <c r="DZ40" i="4" s="1"/>
  <c r="CX48" i="4"/>
  <c r="CQ48" i="4"/>
  <c r="CQ36" i="4"/>
  <c r="CX36" i="4"/>
  <c r="DS37" i="4"/>
  <c r="DZ37" i="4" s="1" a="1"/>
  <c r="DZ37" i="4" s="1"/>
  <c r="BP25" i="4"/>
  <c r="GQ21" i="4"/>
  <c r="GQ53" i="4"/>
  <c r="GQ84" i="4"/>
  <c r="BV9" i="4"/>
  <c r="CB9" i="4" s="1"/>
  <c r="CI9" i="4" s="1"/>
  <c r="CB8" i="4"/>
  <c r="CI8" i="4" s="1"/>
  <c r="DA93" i="4"/>
  <c r="CT93" i="4"/>
  <c r="CG37" i="4"/>
  <c r="CN37" i="4" s="1"/>
  <c r="CT83" i="4"/>
  <c r="DA83" i="4"/>
  <c r="CT95" i="4"/>
  <c r="DA95" i="4"/>
  <c r="CY88" i="4"/>
  <c r="CR88" i="4"/>
  <c r="DP80" i="4"/>
  <c r="DW80" i="4" s="1" a="1"/>
  <c r="DW80" i="4" s="1"/>
  <c r="GQ65" i="4"/>
  <c r="DS68" i="4"/>
  <c r="DZ68" i="4" s="1" a="1"/>
  <c r="DZ68" i="4" s="1"/>
  <c r="CT57" i="4"/>
  <c r="DA57" i="4"/>
  <c r="DS59" i="4"/>
  <c r="DZ59" i="4" s="1" a="1"/>
  <c r="DZ59" i="4" s="1"/>
  <c r="DQ61" i="4"/>
  <c r="DX61" i="4" s="1" a="1"/>
  <c r="DX61" i="4" s="1"/>
  <c r="CR31" i="4"/>
  <c r="CY31" i="4"/>
  <c r="CP40" i="4"/>
  <c r="CW40" i="4"/>
  <c r="CS23" i="4"/>
  <c r="CZ23" i="4"/>
  <c r="CY16" i="4"/>
  <c r="CR16" i="4"/>
  <c r="DQ10" i="4"/>
  <c r="DX10" i="4" s="1" a="1"/>
  <c r="DX10" i="4" s="1"/>
  <c r="DP17" i="4"/>
  <c r="DW17" i="4" s="1" a="1"/>
  <c r="DW17" i="4" s="1"/>
  <c r="GQ103" i="4"/>
  <c r="GQ91" i="4"/>
  <c r="CX91" i="4"/>
  <c r="CQ91" i="4"/>
  <c r="DQ79" i="4"/>
  <c r="DX79" i="4" s="1" a="1"/>
  <c r="DX79" i="4" s="1"/>
  <c r="DP79" i="4"/>
  <c r="DW79" i="4" s="1" a="1"/>
  <c r="DW79" i="4" s="1"/>
  <c r="FS58" i="4"/>
  <c r="DA54" i="4"/>
  <c r="CT54" i="4"/>
  <c r="CP55" i="4"/>
  <c r="CW55" i="4"/>
  <c r="CZ29" i="4"/>
  <c r="CS29" i="4"/>
  <c r="CY23" i="4"/>
  <c r="CR23" i="4"/>
  <c r="DD82" i="4"/>
  <c r="DE82" i="4" s="1"/>
  <c r="CW82" i="4"/>
  <c r="CP82" i="4"/>
  <c r="CU71" i="4"/>
  <c r="DB71" i="4"/>
  <c r="CZ57" i="4"/>
  <c r="CS57" i="4"/>
  <c r="DD59" i="4"/>
  <c r="DE59" i="4" s="1"/>
  <c r="CP59" i="4"/>
  <c r="CW59" i="4"/>
  <c r="CA55" i="4"/>
  <c r="CG54" i="4"/>
  <c r="CN54" i="4" s="1"/>
  <c r="DA32" i="4"/>
  <c r="CT32" i="4"/>
  <c r="CB37" i="4"/>
  <c r="CI37" i="4" s="1"/>
  <c r="BV38" i="4"/>
  <c r="BV39" i="4" s="1"/>
  <c r="BV40" i="4" s="1"/>
  <c r="DB96" i="4"/>
  <c r="CU96" i="4"/>
  <c r="CR84" i="4"/>
  <c r="CY84" i="4"/>
  <c r="CZ76" i="4"/>
  <c r="CS76" i="4"/>
  <c r="DA80" i="4"/>
  <c r="CT80" i="4"/>
  <c r="DQ54" i="4"/>
  <c r="DX54" i="4" s="1" a="1"/>
  <c r="DX54" i="4" s="1"/>
  <c r="CR36" i="4"/>
  <c r="CY36" i="4"/>
  <c r="FS5" i="4"/>
  <c r="FS8" i="4"/>
  <c r="FS21" i="4"/>
  <c r="GQ102" i="4"/>
  <c r="CU90" i="4"/>
  <c r="DB90" i="4"/>
  <c r="CY92" i="4"/>
  <c r="CR92" i="4"/>
  <c r="DS86" i="4"/>
  <c r="DZ86" i="4" s="1" a="1"/>
  <c r="DZ86" i="4" s="1"/>
  <c r="DT85" i="4"/>
  <c r="EA85" i="4" s="1" a="1"/>
  <c r="EA85" i="4" s="1"/>
  <c r="DO86" i="4"/>
  <c r="DV86" i="4" s="1" a="1"/>
  <c r="DV86" i="4" s="1"/>
  <c r="DA62" i="4"/>
  <c r="CT62" i="4"/>
  <c r="CR49" i="4"/>
  <c r="CY49" i="4"/>
  <c r="DQ44" i="4"/>
  <c r="DX44" i="4" s="1" a="1"/>
  <c r="DX44" i="4" s="1"/>
  <c r="CR27" i="4"/>
  <c r="CY27" i="4"/>
  <c r="CZ12" i="4"/>
  <c r="CS12" i="4"/>
  <c r="GQ18" i="4"/>
  <c r="CS8" i="4"/>
  <c r="CZ8" i="4"/>
  <c r="CR79" i="4"/>
  <c r="CY79" i="4"/>
  <c r="CA63" i="4"/>
  <c r="CA64" i="4" s="1"/>
  <c r="CG62" i="4"/>
  <c r="CN62" i="4" s="1"/>
  <c r="GQ48" i="4"/>
  <c r="DS49" i="4"/>
  <c r="DZ49" i="4" s="1" a="1"/>
  <c r="DZ49" i="4" s="1"/>
  <c r="DA51" i="4"/>
  <c r="CT51" i="4"/>
  <c r="DR30" i="4"/>
  <c r="DY30" i="4" s="1" a="1"/>
  <c r="DY30" i="4" s="1"/>
  <c r="GQ11" i="4"/>
  <c r="DA16" i="4"/>
  <c r="CT16" i="4"/>
  <c r="CT17" i="4"/>
  <c r="DA17" i="4"/>
  <c r="DS16" i="4"/>
  <c r="DZ16" i="4" s="1" a="1"/>
  <c r="DZ16" i="4" s="1"/>
  <c r="FS24" i="4"/>
  <c r="FS45" i="4"/>
  <c r="FS74" i="4"/>
  <c r="FS89" i="4"/>
  <c r="FS68" i="4"/>
  <c r="CQ95" i="4"/>
  <c r="CX95" i="4"/>
  <c r="DB103" i="4"/>
  <c r="CU103" i="4"/>
  <c r="CS101" i="4"/>
  <c r="CZ101" i="4"/>
  <c r="CR95" i="4"/>
  <c r="CY95" i="4"/>
  <c r="FS90" i="4"/>
  <c r="DD87" i="4"/>
  <c r="DE87" i="4" s="1"/>
  <c r="CP87" i="4"/>
  <c r="CW87" i="4"/>
  <c r="DB87" i="4"/>
  <c r="CU87" i="4"/>
  <c r="CZ86" i="4"/>
  <c r="CS86" i="4"/>
  <c r="CQ80" i="4"/>
  <c r="CX80" i="4"/>
  <c r="GQ75" i="4"/>
  <c r="CT73" i="4"/>
  <c r="DA73" i="4"/>
  <c r="CS78" i="4"/>
  <c r="CZ78" i="4"/>
  <c r="CS73" i="4"/>
  <c r="CZ73" i="4"/>
  <c r="FS79" i="4"/>
  <c r="DD72" i="4"/>
  <c r="DE72" i="4" s="1"/>
  <c r="CP72" i="4"/>
  <c r="CW72" i="4"/>
  <c r="CS71" i="4"/>
  <c r="CZ71" i="4"/>
  <c r="CT65" i="4"/>
  <c r="DA65" i="4"/>
  <c r="FS65" i="4"/>
  <c r="CS58" i="4"/>
  <c r="CZ58" i="4"/>
  <c r="CT63" i="4"/>
  <c r="DA63" i="4"/>
  <c r="CT64" i="4"/>
  <c r="DA64" i="4"/>
  <c r="CY67" i="4"/>
  <c r="CR67" i="4"/>
  <c r="CY56" i="4"/>
  <c r="CR56" i="4"/>
  <c r="CX58" i="4"/>
  <c r="CQ58" i="4"/>
  <c r="FS49" i="4"/>
  <c r="CD41" i="4"/>
  <c r="CK41" i="4" s="1"/>
  <c r="CR45" i="4"/>
  <c r="CY45" i="4"/>
  <c r="CY47" i="4"/>
  <c r="CR47" i="4"/>
  <c r="CR40" i="4"/>
  <c r="CY40" i="4"/>
  <c r="CU49" i="4"/>
  <c r="DB49" i="4"/>
  <c r="DA34" i="4"/>
  <c r="CT34" i="4"/>
  <c r="DD50" i="4"/>
  <c r="DE50" i="4" s="1"/>
  <c r="CP50" i="4"/>
  <c r="CW50" i="4"/>
  <c r="GQ41" i="4"/>
  <c r="CC26" i="4"/>
  <c r="CJ26" i="4" s="1"/>
  <c r="BQ26" i="4"/>
  <c r="BQ27" i="4" s="1"/>
  <c r="BQ28" i="4" s="1"/>
  <c r="BQ29" i="4" s="1"/>
  <c r="BQ30" i="4" s="1"/>
  <c r="BQ31" i="4" s="1"/>
  <c r="BQ32" i="4" s="1"/>
  <c r="BQ33" i="4" s="1"/>
  <c r="BQ34" i="4" s="1"/>
  <c r="CQ32" i="4"/>
  <c r="CX32" i="4"/>
  <c r="CR30" i="4"/>
  <c r="CY30" i="4"/>
  <c r="CR38" i="4"/>
  <c r="CY38" i="4"/>
  <c r="CA7" i="4"/>
  <c r="CA8" i="4" s="1"/>
  <c r="CA9" i="4" s="1"/>
  <c r="CA10" i="4" s="1"/>
  <c r="BU7" i="4"/>
  <c r="BU8" i="4" s="1"/>
  <c r="BU9" i="4" s="1"/>
  <c r="BU10" i="4" s="1"/>
  <c r="CG7" i="4"/>
  <c r="CN7" i="4" s="1"/>
  <c r="DD7" i="4" s="1"/>
  <c r="GQ35" i="4"/>
  <c r="GQ59" i="4"/>
  <c r="GQ79" i="4"/>
  <c r="CU27" i="4"/>
  <c r="DB27" i="4"/>
  <c r="DD20" i="4"/>
  <c r="DE20" i="4" s="1"/>
  <c r="CP20" i="4"/>
  <c r="CW20" i="4"/>
  <c r="DB20" i="4"/>
  <c r="CU20" i="4"/>
  <c r="CU16" i="4"/>
  <c r="DB16" i="4"/>
  <c r="FS28" i="4"/>
  <c r="FS48" i="4"/>
  <c r="FS66" i="4"/>
  <c r="FS87" i="4"/>
  <c r="FS26" i="4"/>
  <c r="CX7" i="4"/>
  <c r="CQ7" i="4"/>
  <c r="DD5" i="4"/>
  <c r="CW5" i="4"/>
  <c r="CP5" i="4"/>
  <c r="CT7" i="4"/>
  <c r="DA7" i="4"/>
  <c r="FS86" i="4"/>
  <c r="DA14" i="4"/>
  <c r="CT14" i="4"/>
  <c r="DD73" i="4"/>
  <c r="DE73" i="4" s="1"/>
  <c r="CP73" i="4"/>
  <c r="CW73" i="4"/>
  <c r="DA102" i="4"/>
  <c r="CT102" i="4"/>
  <c r="CF99" i="4"/>
  <c r="CM99" i="4" s="1"/>
  <c r="CW99" i="4"/>
  <c r="CP99" i="4"/>
  <c r="GQ92" i="4"/>
  <c r="CX98" i="4"/>
  <c r="CQ98" i="4"/>
  <c r="DB93" i="4"/>
  <c r="CU93" i="4"/>
  <c r="GQ90" i="4"/>
  <c r="CP96" i="4"/>
  <c r="CW96" i="4"/>
  <c r="CU88" i="4"/>
  <c r="DB88" i="4"/>
  <c r="CX88" i="4"/>
  <c r="CQ88" i="4"/>
  <c r="DD79" i="4"/>
  <c r="DE79" i="4" s="1"/>
  <c r="CP79" i="4"/>
  <c r="CW79" i="4"/>
  <c r="CZ69" i="4"/>
  <c r="CS69" i="4"/>
  <c r="CS81" i="4"/>
  <c r="CZ81" i="4"/>
  <c r="CU70" i="4"/>
  <c r="DB70" i="4"/>
  <c r="CW57" i="4"/>
  <c r="DD57" i="4"/>
  <c r="DE57" i="4" s="1"/>
  <c r="CP57" i="4"/>
  <c r="CR59" i="4"/>
  <c r="CY59" i="4"/>
  <c r="CY55" i="4"/>
  <c r="CR55" i="4"/>
  <c r="CQ61" i="4"/>
  <c r="CX61" i="4"/>
  <c r="CP61" i="4"/>
  <c r="CW61" i="4"/>
  <c r="GQ50" i="4"/>
  <c r="DD51" i="4"/>
  <c r="DE51" i="4" s="1"/>
  <c r="CP51" i="4"/>
  <c r="CW51" i="4"/>
  <c r="CZ47" i="4"/>
  <c r="CS47" i="4"/>
  <c r="CC39" i="4"/>
  <c r="CJ39" i="4" s="1"/>
  <c r="BQ39" i="4"/>
  <c r="CW44" i="4"/>
  <c r="CP44" i="4"/>
  <c r="CT35" i="4"/>
  <c r="DA35" i="4"/>
  <c r="DB38" i="4"/>
  <c r="CU38" i="4"/>
  <c r="GQ34" i="4"/>
  <c r="GQ25" i="4"/>
  <c r="CY15" i="4"/>
  <c r="CR15" i="4"/>
  <c r="CW23" i="4"/>
  <c r="DD23" i="4"/>
  <c r="DE23" i="4" s="1"/>
  <c r="CP23" i="4"/>
  <c r="GQ20" i="4"/>
  <c r="GQ45" i="4"/>
  <c r="DB15" i="4"/>
  <c r="CU15" i="4"/>
  <c r="GQ29" i="4"/>
  <c r="GQ55" i="4"/>
  <c r="GQ76" i="4"/>
  <c r="CT9" i="4"/>
  <c r="DA9" i="4"/>
  <c r="CZ7" i="4"/>
  <c r="CS7" i="4"/>
  <c r="FS29" i="4"/>
  <c r="FS55" i="4"/>
  <c r="FS67" i="4"/>
  <c r="FS94" i="4"/>
  <c r="CT23" i="4"/>
  <c r="DA23" i="4"/>
  <c r="GQ22" i="4"/>
  <c r="CY68" i="4"/>
  <c r="CR68" i="4"/>
  <c r="DD6" i="4"/>
  <c r="CW6" i="4"/>
  <c r="CP6" i="4"/>
  <c r="GQ23" i="4"/>
  <c r="CS18" i="4"/>
  <c r="CZ18" i="4"/>
  <c r="CY6" i="4"/>
  <c r="CR6" i="4"/>
  <c r="CQ102" i="4"/>
  <c r="CX102" i="4"/>
  <c r="CQ96" i="4"/>
  <c r="CX96" i="4"/>
  <c r="CZ103" i="4"/>
  <c r="CS103" i="4"/>
  <c r="CZ92" i="4"/>
  <c r="CS92" i="4"/>
  <c r="GQ94" i="4"/>
  <c r="CU83" i="4"/>
  <c r="DB83" i="4"/>
  <c r="CY82" i="4"/>
  <c r="CR82" i="4"/>
  <c r="CR90" i="4"/>
  <c r="CY90" i="4"/>
  <c r="CS83" i="4"/>
  <c r="CZ83" i="4"/>
  <c r="CQ79" i="4"/>
  <c r="CX79" i="4"/>
  <c r="DA75" i="4"/>
  <c r="CT75" i="4"/>
  <c r="CT81" i="4"/>
  <c r="DA81" i="4"/>
  <c r="CY76" i="4"/>
  <c r="CR76" i="4"/>
  <c r="DA68" i="4"/>
  <c r="CT68" i="4"/>
  <c r="CQ74" i="4"/>
  <c r="CX74" i="4"/>
  <c r="CX76" i="4"/>
  <c r="CQ76" i="4"/>
  <c r="CW70" i="4"/>
  <c r="DD70" i="4"/>
  <c r="DE70" i="4" s="1"/>
  <c r="DF70" i="4" s="1" a="1"/>
  <c r="DF70" i="4" s="1"/>
  <c r="CP70" i="4"/>
  <c r="GQ71" i="4"/>
  <c r="DA67" i="4"/>
  <c r="CT67" i="4"/>
  <c r="CU57" i="4"/>
  <c r="DB57" i="4"/>
  <c r="CW63" i="4"/>
  <c r="DD63" i="4"/>
  <c r="DE63" i="4" s="1"/>
  <c r="CP63" i="4"/>
  <c r="DA56" i="4"/>
  <c r="CT56" i="4"/>
  <c r="CZ55" i="4"/>
  <c r="CS55" i="4"/>
  <c r="GQ66" i="4"/>
  <c r="CZ62" i="4"/>
  <c r="CS62" i="4"/>
  <c r="CT53" i="4"/>
  <c r="DA53" i="4"/>
  <c r="CW45" i="4"/>
  <c r="DD45" i="4"/>
  <c r="DE45" i="4" s="1"/>
  <c r="CP45" i="4"/>
  <c r="GQ38" i="4"/>
  <c r="FS56" i="4"/>
  <c r="CR48" i="4"/>
  <c r="CY48" i="4"/>
  <c r="CU34" i="4"/>
  <c r="DB34" i="4"/>
  <c r="CD26" i="4"/>
  <c r="CK26" i="4" s="1"/>
  <c r="CU28" i="4"/>
  <c r="DB28" i="4"/>
  <c r="CY34" i="4"/>
  <c r="CR34" i="4"/>
  <c r="DD34" i="4"/>
  <c r="DE34" i="4" s="1"/>
  <c r="FS34" i="4"/>
  <c r="BX8" i="4"/>
  <c r="BX9" i="4" s="1"/>
  <c r="BX10" i="4" s="1"/>
  <c r="BX11" i="4" s="1"/>
  <c r="BX12" i="4" s="1"/>
  <c r="BX13" i="4" s="1"/>
  <c r="BX14" i="4" s="1"/>
  <c r="BX15" i="4" s="1"/>
  <c r="BX16" i="4" s="1"/>
  <c r="BX17" i="4" s="1"/>
  <c r="BX18" i="4" s="1"/>
  <c r="BX19" i="4" s="1"/>
  <c r="BX20" i="4" s="1"/>
  <c r="BX21" i="4" s="1"/>
  <c r="BX22" i="4" s="1"/>
  <c r="BX23" i="4" s="1"/>
  <c r="BX24" i="4" s="1"/>
  <c r="BX25" i="4" s="1"/>
  <c r="BX26" i="4" s="1"/>
  <c r="BX27" i="4" s="1"/>
  <c r="BX28" i="4" s="1"/>
  <c r="BX29" i="4" s="1"/>
  <c r="BX30" i="4" s="1"/>
  <c r="BX31" i="4" s="1"/>
  <c r="BX32" i="4" s="1"/>
  <c r="BX33" i="4" s="1"/>
  <c r="BX34" i="4" s="1"/>
  <c r="BX35" i="4" s="1"/>
  <c r="BX36" i="4" s="1"/>
  <c r="BX37" i="4" s="1"/>
  <c r="BX38" i="4" s="1"/>
  <c r="BX39" i="4" s="1"/>
  <c r="BX40" i="4" s="1"/>
  <c r="BX41" i="4" s="1"/>
  <c r="BX42" i="4" s="1"/>
  <c r="BX43" i="4" s="1"/>
  <c r="BX44" i="4" s="1"/>
  <c r="BX45" i="4" s="1"/>
  <c r="BX46" i="4" s="1"/>
  <c r="BX47" i="4" s="1"/>
  <c r="BX48" i="4" s="1"/>
  <c r="BX49" i="4" s="1"/>
  <c r="BX50" i="4" s="1"/>
  <c r="BX51" i="4" s="1"/>
  <c r="BX52" i="4" s="1"/>
  <c r="BX53" i="4" s="1"/>
  <c r="BX54" i="4" s="1"/>
  <c r="BX55" i="4" s="1"/>
  <c r="BX56" i="4" s="1"/>
  <c r="BX57" i="4" s="1"/>
  <c r="BX58" i="4" s="1"/>
  <c r="BX59" i="4" s="1"/>
  <c r="BX60" i="4" s="1"/>
  <c r="BX61" i="4" s="1"/>
  <c r="BX62" i="4" s="1"/>
  <c r="BX63" i="4" s="1"/>
  <c r="BX64" i="4" s="1"/>
  <c r="BX65" i="4" s="1"/>
  <c r="BX66" i="4" s="1"/>
  <c r="BX67" i="4" s="1"/>
  <c r="BX68" i="4" s="1"/>
  <c r="BX69" i="4" s="1"/>
  <c r="BX70" i="4" s="1"/>
  <c r="BX71" i="4" s="1"/>
  <c r="BX72" i="4" s="1"/>
  <c r="BX73" i="4" s="1"/>
  <c r="BX74" i="4" s="1"/>
  <c r="BX75" i="4" s="1"/>
  <c r="BX76" i="4" s="1"/>
  <c r="BX77" i="4" s="1"/>
  <c r="BX78" i="4" s="1"/>
  <c r="BX79" i="4" s="1"/>
  <c r="BX80" i="4" s="1"/>
  <c r="BX81" i="4" s="1"/>
  <c r="BX82" i="4" s="1"/>
  <c r="BX83" i="4" s="1"/>
  <c r="BX84" i="4" s="1"/>
  <c r="BX85" i="4" s="1"/>
  <c r="BX86" i="4" s="1"/>
  <c r="BX87" i="4" s="1"/>
  <c r="BX88" i="4" s="1"/>
  <c r="BX89" i="4" s="1"/>
  <c r="BX90" i="4" s="1"/>
  <c r="BX91" i="4" s="1"/>
  <c r="BX92" i="4" s="1"/>
  <c r="BX93" i="4" s="1"/>
  <c r="BX94" i="4" s="1"/>
  <c r="BX95" i="4" s="1"/>
  <c r="BX96" i="4" s="1"/>
  <c r="BX97" i="4" s="1"/>
  <c r="BX98" i="4" s="1"/>
  <c r="BX99" i="4" s="1"/>
  <c r="BX100" i="4" s="1"/>
  <c r="BX101" i="4" s="1"/>
  <c r="BX102" i="4" s="1"/>
  <c r="BX103" i="4" s="1"/>
  <c r="BR8" i="4"/>
  <c r="BR9" i="4" s="1"/>
  <c r="BR10" i="4" s="1"/>
  <c r="BR11" i="4" s="1"/>
  <c r="BR12" i="4" s="1"/>
  <c r="BR13" i="4" s="1"/>
  <c r="BR14" i="4" s="1"/>
  <c r="BR15" i="4" s="1"/>
  <c r="BR16" i="4" s="1"/>
  <c r="BR17" i="4" s="1"/>
  <c r="BR18" i="4" s="1"/>
  <c r="BR19" i="4" s="1"/>
  <c r="BR20" i="4" s="1"/>
  <c r="BR21" i="4" s="1"/>
  <c r="BR22" i="4" s="1"/>
  <c r="BR23" i="4" s="1"/>
  <c r="CD8" i="4"/>
  <c r="CK8" i="4" s="1"/>
  <c r="GQ30" i="4"/>
  <c r="GQ61" i="4"/>
  <c r="GQ82" i="4"/>
  <c r="CW24" i="4"/>
  <c r="CP24" i="4"/>
  <c r="FS36" i="4"/>
  <c r="FS41" i="4"/>
  <c r="FS77" i="4"/>
  <c r="FS93" i="4"/>
  <c r="CU9" i="4"/>
  <c r="DB9" i="4"/>
  <c r="CS10" i="4"/>
  <c r="CZ10" i="4"/>
  <c r="GQ17" i="4"/>
  <c r="CZ5" i="4"/>
  <c r="CS5" i="4"/>
  <c r="CQ9" i="4"/>
  <c r="CX9" i="4"/>
  <c r="CR29" i="4"/>
  <c r="CY29" i="4"/>
  <c r="FS96" i="4"/>
  <c r="CU92" i="4"/>
  <c r="DB92" i="4"/>
  <c r="CU89" i="4"/>
  <c r="DB89" i="4"/>
  <c r="CX87" i="4"/>
  <c r="CQ87" i="4"/>
  <c r="CX82" i="4"/>
  <c r="CQ82" i="4"/>
  <c r="DD89" i="4"/>
  <c r="DE89" i="4" s="1"/>
  <c r="CW89" i="4"/>
  <c r="CP89" i="4"/>
  <c r="DB86" i="4"/>
  <c r="CU86" i="4"/>
  <c r="FS84" i="4"/>
  <c r="GQ81" i="4"/>
  <c r="DD91" i="4"/>
  <c r="DE91" i="4" s="1"/>
  <c r="DF91" i="4" s="1" a="1"/>
  <c r="DF91" i="4" s="1"/>
  <c r="CP91" i="4"/>
  <c r="CW91" i="4"/>
  <c r="CR81" i="4"/>
  <c r="CY81" i="4"/>
  <c r="CR77" i="4"/>
  <c r="CY77" i="4"/>
  <c r="CS74" i="4"/>
  <c r="CZ74" i="4"/>
  <c r="CR65" i="4"/>
  <c r="CY65" i="4"/>
  <c r="CP65" i="4"/>
  <c r="CW65" i="4"/>
  <c r="GQ60" i="4"/>
  <c r="GQ64" i="4"/>
  <c r="GQ54" i="4"/>
  <c r="CQ50" i="4"/>
  <c r="CX50" i="4"/>
  <c r="CW54" i="4"/>
  <c r="CP54" i="4"/>
  <c r="CX55" i="4"/>
  <c r="CQ55" i="4"/>
  <c r="DB50" i="4"/>
  <c r="CU50" i="4"/>
  <c r="CT46" i="4"/>
  <c r="DA46" i="4"/>
  <c r="CC47" i="4"/>
  <c r="CJ47" i="4" s="1"/>
  <c r="GQ51" i="4"/>
  <c r="CU53" i="4"/>
  <c r="DB53" i="4"/>
  <c r="CY43" i="4"/>
  <c r="CR43" i="4"/>
  <c r="CZ54" i="4"/>
  <c r="CS54" i="4"/>
  <c r="CX46" i="4"/>
  <c r="CQ46" i="4"/>
  <c r="CT48" i="4"/>
  <c r="DA48" i="4"/>
  <c r="CC35" i="4"/>
  <c r="CJ35" i="4" s="1"/>
  <c r="BQ35" i="4"/>
  <c r="BQ36" i="4" s="1"/>
  <c r="BW37" i="4" s="1"/>
  <c r="CS40" i="4"/>
  <c r="CZ40" i="4"/>
  <c r="GQ39" i="4"/>
  <c r="CC45" i="4"/>
  <c r="CJ45" i="4" s="1"/>
  <c r="DB31" i="4"/>
  <c r="CU31" i="4"/>
  <c r="DA31" i="4"/>
  <c r="CT31" i="4"/>
  <c r="DA33" i="4"/>
  <c r="CT33" i="4"/>
  <c r="FS35" i="4"/>
  <c r="BZ25" i="4"/>
  <c r="BZ26" i="4" s="1"/>
  <c r="BZ27" i="4" s="1"/>
  <c r="BZ28" i="4" s="1"/>
  <c r="BZ29" i="4" s="1"/>
  <c r="BZ30" i="4" s="1"/>
  <c r="BZ31" i="4" s="1"/>
  <c r="BZ32" i="4" s="1"/>
  <c r="BZ33" i="4" s="1"/>
  <c r="BZ34" i="4" s="1"/>
  <c r="BZ35" i="4" s="1"/>
  <c r="BZ36" i="4" s="1"/>
  <c r="BZ37" i="4" s="1"/>
  <c r="BZ38" i="4" s="1"/>
  <c r="BZ39" i="4" s="1"/>
  <c r="BZ40" i="4" s="1"/>
  <c r="BZ41" i="4" s="1"/>
  <c r="BZ42" i="4" s="1"/>
  <c r="BZ43" i="4" s="1"/>
  <c r="BZ44" i="4" s="1"/>
  <c r="BZ45" i="4" s="1"/>
  <c r="BZ46" i="4" s="1"/>
  <c r="BZ47" i="4" s="1"/>
  <c r="BZ48" i="4" s="1"/>
  <c r="BZ49" i="4" s="1"/>
  <c r="BZ50" i="4" s="1"/>
  <c r="BZ51" i="4" s="1"/>
  <c r="BZ52" i="4" s="1"/>
  <c r="BZ53" i="4" s="1"/>
  <c r="BZ54" i="4" s="1"/>
  <c r="BZ55" i="4" s="1"/>
  <c r="BZ56" i="4" s="1"/>
  <c r="BZ57" i="4" s="1"/>
  <c r="BZ58" i="4" s="1"/>
  <c r="BZ59" i="4" s="1"/>
  <c r="BZ60" i="4" s="1"/>
  <c r="BT25" i="4"/>
  <c r="BT26" i="4" s="1"/>
  <c r="BT27" i="4" s="1"/>
  <c r="BT28" i="4" s="1"/>
  <c r="BT29" i="4" s="1"/>
  <c r="BT30" i="4" s="1"/>
  <c r="BT31" i="4" s="1"/>
  <c r="BT32" i="4" s="1"/>
  <c r="BT33" i="4" s="1"/>
  <c r="BT34" i="4" s="1"/>
  <c r="BT35" i="4" s="1"/>
  <c r="BT36" i="4" s="1"/>
  <c r="BT37" i="4" s="1"/>
  <c r="BT38" i="4" s="1"/>
  <c r="BT39" i="4" s="1"/>
  <c r="BT40" i="4" s="1"/>
  <c r="BT41" i="4" s="1"/>
  <c r="BT42" i="4" s="1"/>
  <c r="BT43" i="4" s="1"/>
  <c r="BT44" i="4" s="1"/>
  <c r="BT45" i="4" s="1"/>
  <c r="BT46" i="4" s="1"/>
  <c r="BT47" i="4" s="1"/>
  <c r="BT48" i="4" s="1"/>
  <c r="BT49" i="4" s="1"/>
  <c r="BT50" i="4" s="1"/>
  <c r="BT51" i="4" s="1"/>
  <c r="BT52" i="4" s="1"/>
  <c r="BT53" i="4" s="1"/>
  <c r="BT54" i="4" s="1"/>
  <c r="BT55" i="4" s="1"/>
  <c r="BT56" i="4" s="1"/>
  <c r="BT57" i="4" s="1"/>
  <c r="BT58" i="4" s="1"/>
  <c r="BT59" i="4" s="1"/>
  <c r="BT60" i="4" s="1"/>
  <c r="CF25" i="4"/>
  <c r="CM25" i="4" s="1"/>
  <c r="FS27" i="4"/>
  <c r="GQ31" i="4"/>
  <c r="CY35" i="4"/>
  <c r="CR35" i="4"/>
  <c r="CZ25" i="4"/>
  <c r="CS25" i="4"/>
  <c r="BR24" i="4"/>
  <c r="BR25" i="4" s="1"/>
  <c r="BR26" i="4" s="1"/>
  <c r="BR27" i="4" s="1"/>
  <c r="BR28" i="4" s="1"/>
  <c r="BR29" i="4" s="1"/>
  <c r="BR30" i="4" s="1"/>
  <c r="BR31" i="4" s="1"/>
  <c r="BR32" i="4" s="1"/>
  <c r="BR33" i="4" s="1"/>
  <c r="BR34" i="4" s="1"/>
  <c r="BR35" i="4" s="1"/>
  <c r="BR36" i="4" s="1"/>
  <c r="BR37" i="4" s="1"/>
  <c r="BR38" i="4" s="1"/>
  <c r="BR39" i="4" s="1"/>
  <c r="BR40" i="4" s="1"/>
  <c r="BR41" i="4" s="1"/>
  <c r="BR42" i="4" s="1"/>
  <c r="BR43" i="4" s="1"/>
  <c r="BR44" i="4" s="1"/>
  <c r="BR45" i="4" s="1"/>
  <c r="BR46" i="4" s="1"/>
  <c r="BR47" i="4" s="1"/>
  <c r="BR48" i="4" s="1"/>
  <c r="BR49" i="4" s="1"/>
  <c r="BR50" i="4" s="1"/>
  <c r="BR51" i="4" s="1"/>
  <c r="BR52" i="4" s="1"/>
  <c r="BR53" i="4" s="1"/>
  <c r="BR54" i="4" s="1"/>
  <c r="BR55" i="4" s="1"/>
  <c r="BR56" i="4" s="1"/>
  <c r="BR57" i="4" s="1"/>
  <c r="BR58" i="4" s="1"/>
  <c r="BR59" i="4" s="1"/>
  <c r="BR60" i="4" s="1"/>
  <c r="BR61" i="4" s="1"/>
  <c r="BR62" i="4" s="1"/>
  <c r="BR63" i="4" s="1"/>
  <c r="BR64" i="4" s="1"/>
  <c r="BR65" i="4" s="1"/>
  <c r="BR66" i="4" s="1"/>
  <c r="BR67" i="4" s="1"/>
  <c r="BR68" i="4" s="1"/>
  <c r="BR69" i="4" s="1"/>
  <c r="BR70" i="4" s="1"/>
  <c r="BR71" i="4" s="1"/>
  <c r="BR72" i="4" s="1"/>
  <c r="BR73" i="4" s="1"/>
  <c r="BR74" i="4" s="1"/>
  <c r="BR75" i="4" s="1"/>
  <c r="BR76" i="4" s="1"/>
  <c r="BR77" i="4" s="1"/>
  <c r="BR78" i="4" s="1"/>
  <c r="BR79" i="4" s="1"/>
  <c r="BR80" i="4" s="1"/>
  <c r="BR81" i="4" s="1"/>
  <c r="BR82" i="4" s="1"/>
  <c r="BR83" i="4" s="1"/>
  <c r="BR84" i="4" s="1"/>
  <c r="BR85" i="4" s="1"/>
  <c r="BR86" i="4" s="1"/>
  <c r="BR87" i="4" s="1"/>
  <c r="BR88" i="4" s="1"/>
  <c r="BR89" i="4" s="1"/>
  <c r="BR90" i="4" s="1"/>
  <c r="BR91" i="4" s="1"/>
  <c r="BR92" i="4" s="1"/>
  <c r="BR93" i="4" s="1"/>
  <c r="BR94" i="4" s="1"/>
  <c r="BR95" i="4" s="1"/>
  <c r="BR96" i="4" s="1"/>
  <c r="BR97" i="4" s="1"/>
  <c r="BR98" i="4" s="1"/>
  <c r="BR99" i="4" s="1"/>
  <c r="BR100" i="4" s="1"/>
  <c r="BR101" i="4" s="1"/>
  <c r="BR102" i="4" s="1"/>
  <c r="BR103" i="4" s="1"/>
  <c r="CD24" i="4"/>
  <c r="CK24" i="4" s="1"/>
  <c r="CY28" i="4"/>
  <c r="CR28" i="4"/>
  <c r="GQ13" i="4"/>
  <c r="CB28" i="4"/>
  <c r="CI28" i="4" s="1"/>
  <c r="BP28" i="4"/>
  <c r="FS14" i="4"/>
  <c r="FS7" i="4"/>
  <c r="GQ32" i="4"/>
  <c r="GQ56" i="4"/>
  <c r="GQ83" i="4"/>
  <c r="CT26" i="4"/>
  <c r="DA26" i="4"/>
  <c r="DA6" i="4"/>
  <c r="CT6" i="4"/>
  <c r="FS17" i="4"/>
  <c r="FS38" i="4"/>
  <c r="FS42" i="4"/>
  <c r="FS78" i="4"/>
  <c r="FS99" i="4"/>
  <c r="CS26" i="4"/>
  <c r="CZ26" i="4"/>
  <c r="CZ22" i="4"/>
  <c r="CS22" i="4"/>
  <c r="FS12" i="4"/>
  <c r="DA21" i="4"/>
  <c r="CT21" i="4"/>
  <c r="GQ5" i="4"/>
  <c r="CQ11" i="4"/>
  <c r="CX11" i="4"/>
  <c r="CG97" i="4"/>
  <c r="CN97" i="4" s="1"/>
  <c r="BU97" i="4"/>
  <c r="BU98" i="4" s="1"/>
  <c r="BU99" i="4" s="1"/>
  <c r="BU100" i="4" s="1"/>
  <c r="BU101" i="4" s="1"/>
  <c r="BU102" i="4" s="1"/>
  <c r="BU103" i="4" s="1"/>
  <c r="CX92" i="4"/>
  <c r="CQ92" i="4"/>
  <c r="CU100" i="4"/>
  <c r="DB100" i="4"/>
  <c r="CW94" i="4"/>
  <c r="CP94" i="4"/>
  <c r="CQ103" i="4"/>
  <c r="CX103" i="4"/>
  <c r="GQ99" i="4"/>
  <c r="CR102" i="4"/>
  <c r="CY102" i="4"/>
  <c r="GQ88" i="4"/>
  <c r="BS93" i="4"/>
  <c r="DD103" i="4"/>
  <c r="DE103" i="4" s="1"/>
  <c r="CP103" i="4"/>
  <c r="CW103" i="4"/>
  <c r="GQ87" i="4"/>
  <c r="CX94" i="4"/>
  <c r="CQ94" i="4"/>
  <c r="FS88" i="4"/>
  <c r="CU82" i="4"/>
  <c r="DB82" i="4"/>
  <c r="CU75" i="4"/>
  <c r="DB75" i="4"/>
  <c r="GQ77" i="4"/>
  <c r="CU81" i="4"/>
  <c r="DB81" i="4"/>
  <c r="DB80" i="4"/>
  <c r="CU80" i="4"/>
  <c r="CD75" i="4"/>
  <c r="CK75" i="4" s="1"/>
  <c r="CW69" i="4"/>
  <c r="DD69" i="4"/>
  <c r="DE69" i="4" s="1"/>
  <c r="CP69" i="4"/>
  <c r="CS72" i="4"/>
  <c r="CZ72" i="4"/>
  <c r="GQ67" i="4"/>
  <c r="CU56" i="4"/>
  <c r="DB56" i="4"/>
  <c r="DA60" i="4"/>
  <c r="CT60" i="4"/>
  <c r="CX62" i="4"/>
  <c r="CQ62" i="4"/>
  <c r="DD62" i="4"/>
  <c r="BV48" i="4"/>
  <c r="BV49" i="4" s="1"/>
  <c r="BV50" i="4" s="1"/>
  <c r="BV51" i="4" s="1"/>
  <c r="BV52" i="4" s="1"/>
  <c r="BV53" i="4" s="1"/>
  <c r="BV54" i="4" s="1"/>
  <c r="BV55" i="4" s="1"/>
  <c r="BV56" i="4" s="1"/>
  <c r="BV57" i="4" s="1"/>
  <c r="BV58" i="4" s="1"/>
  <c r="BV59" i="4" s="1"/>
  <c r="BV60" i="4" s="1"/>
  <c r="BV61" i="4" s="1"/>
  <c r="BV62" i="4" s="1"/>
  <c r="BV63" i="4" s="1"/>
  <c r="BV64" i="4" s="1"/>
  <c r="BV65" i="4" s="1"/>
  <c r="BV66" i="4" s="1"/>
  <c r="CB48" i="4"/>
  <c r="CI48" i="4" s="1"/>
  <c r="FS52" i="4"/>
  <c r="CY53" i="4"/>
  <c r="CR53" i="4"/>
  <c r="DB51" i="4"/>
  <c r="CU51" i="4"/>
  <c r="CS53" i="4"/>
  <c r="CZ53" i="4"/>
  <c r="CT44" i="4"/>
  <c r="DA44" i="4"/>
  <c r="CX56" i="4"/>
  <c r="DF56" i="4" s="1" a="1"/>
  <c r="DF56" i="4" s="1"/>
  <c r="CQ56" i="4"/>
  <c r="CZ46" i="4"/>
  <c r="CS46" i="4"/>
  <c r="CG32" i="4"/>
  <c r="CN32" i="4" s="1"/>
  <c r="CX22" i="4"/>
  <c r="CQ22" i="4"/>
  <c r="GQ40" i="4"/>
  <c r="GQ62" i="4"/>
  <c r="GQ85" i="4"/>
  <c r="FS18" i="4"/>
  <c r="DB10" i="4"/>
  <c r="CU10" i="4"/>
  <c r="DA22" i="4"/>
  <c r="CT22" i="4"/>
  <c r="DB14" i="4"/>
  <c r="CU14" i="4"/>
  <c r="FS23" i="4"/>
  <c r="FS39" i="4"/>
  <c r="FS57" i="4"/>
  <c r="FS73" i="4"/>
  <c r="FS102" i="4"/>
  <c r="BY15" i="4"/>
  <c r="BY16" i="4" s="1"/>
  <c r="BY17" i="4" s="1"/>
  <c r="BY18" i="4" s="1"/>
  <c r="BY19" i="4" s="1"/>
  <c r="BY20" i="4" s="1"/>
  <c r="BY21" i="4" s="1"/>
  <c r="BY22" i="4" s="1"/>
  <c r="BY23" i="4" s="1"/>
  <c r="BY24" i="4" s="1"/>
  <c r="BY25" i="4" s="1"/>
  <c r="BY26" i="4" s="1"/>
  <c r="BY27" i="4" s="1"/>
  <c r="BY28" i="4" s="1"/>
  <c r="BY29" i="4" s="1"/>
  <c r="BY30" i="4" s="1"/>
  <c r="BY31" i="4" s="1"/>
  <c r="BY32" i="4" s="1"/>
  <c r="BY33" i="4" s="1"/>
  <c r="BY34" i="4" s="1"/>
  <c r="BY35" i="4" s="1"/>
  <c r="BY36" i="4" s="1"/>
  <c r="BY37" i="4" s="1"/>
  <c r="BY38" i="4" s="1"/>
  <c r="BY39" i="4" s="1"/>
  <c r="BY40" i="4" s="1"/>
  <c r="BY41" i="4" s="1"/>
  <c r="BY42" i="4" s="1"/>
  <c r="CE15" i="4"/>
  <c r="CL15" i="4" s="1"/>
  <c r="BS15" i="4"/>
  <c r="BS16" i="4" s="1"/>
  <c r="BS17" i="4" s="1"/>
  <c r="BS18" i="4" s="1"/>
  <c r="BS19" i="4" s="1"/>
  <c r="BS20" i="4" s="1"/>
  <c r="BS21" i="4" s="1"/>
  <c r="BS22" i="4" s="1"/>
  <c r="BS23" i="4" s="1"/>
  <c r="BS24" i="4" s="1"/>
  <c r="BS25" i="4" s="1"/>
  <c r="BS26" i="4" s="1"/>
  <c r="BS27" i="4" s="1"/>
  <c r="BS28" i="4" s="1"/>
  <c r="BS29" i="4" s="1"/>
  <c r="BS30" i="4" s="1"/>
  <c r="BS31" i="4" s="1"/>
  <c r="BS32" i="4" s="1"/>
  <c r="BS33" i="4" s="1"/>
  <c r="BS34" i="4" s="1"/>
  <c r="BS35" i="4" s="1"/>
  <c r="BS36" i="4" s="1"/>
  <c r="BS37" i="4" s="1"/>
  <c r="BS38" i="4" s="1"/>
  <c r="BS39" i="4" s="1"/>
  <c r="BS40" i="4" s="1"/>
  <c r="BS41" i="4" s="1"/>
  <c r="BS42" i="4" s="1"/>
  <c r="DB12" i="4"/>
  <c r="CU12" i="4"/>
  <c r="DA24" i="4"/>
  <c r="CT24" i="4"/>
  <c r="CR10" i="4"/>
  <c r="CY10" i="4"/>
  <c r="CT101" i="4"/>
  <c r="DA101" i="4"/>
  <c r="CY98" i="4"/>
  <c r="CR98" i="4"/>
  <c r="CW100" i="4"/>
  <c r="CP100" i="4"/>
  <c r="DD100" i="4"/>
  <c r="DE100" i="4" s="1"/>
  <c r="FS100" i="4"/>
  <c r="CT94" i="4"/>
  <c r="DA94" i="4"/>
  <c r="CW95" i="4"/>
  <c r="CP95" i="4"/>
  <c r="GQ93" i="4"/>
  <c r="CU84" i="4"/>
  <c r="DB84" i="4"/>
  <c r="CS84" i="4"/>
  <c r="CZ84" i="4"/>
  <c r="GQ80" i="4"/>
  <c r="CQ85" i="4"/>
  <c r="CX85" i="4"/>
  <c r="FS76" i="4"/>
  <c r="CZ75" i="4"/>
  <c r="CS75" i="4"/>
  <c r="CW77" i="4"/>
  <c r="DD77" i="4"/>
  <c r="DE77" i="4" s="1"/>
  <c r="CP77" i="4"/>
  <c r="CG66" i="4"/>
  <c r="CN66" i="4" s="1"/>
  <c r="BU66" i="4"/>
  <c r="FS71" i="4"/>
  <c r="CR71" i="4"/>
  <c r="CY71" i="4"/>
  <c r="DA50" i="4"/>
  <c r="CT50" i="4"/>
  <c r="CS45" i="4"/>
  <c r="CZ45" i="4"/>
  <c r="BY43" i="4"/>
  <c r="BY44" i="4" s="1"/>
  <c r="BY45" i="4" s="1"/>
  <c r="BY46" i="4" s="1"/>
  <c r="BY47" i="4" s="1"/>
  <c r="CE43" i="4"/>
  <c r="CL43" i="4" s="1"/>
  <c r="BS43" i="4"/>
  <c r="BS44" i="4" s="1"/>
  <c r="BS45" i="4" s="1"/>
  <c r="BS46" i="4" s="1"/>
  <c r="BS47" i="4" s="1"/>
  <c r="CW39" i="4"/>
  <c r="CP39" i="4"/>
  <c r="DD39" i="4"/>
  <c r="DE39" i="4" s="1"/>
  <c r="CB41" i="4"/>
  <c r="CI41" i="4" s="1"/>
  <c r="BP41" i="4"/>
  <c r="BP42" i="4" s="1"/>
  <c r="BP43" i="4" s="1"/>
  <c r="BP44" i="4" s="1"/>
  <c r="BP45" i="4" s="1"/>
  <c r="BP46" i="4" s="1"/>
  <c r="BP47" i="4" s="1"/>
  <c r="BP48" i="4" s="1"/>
  <c r="BP49" i="4" s="1"/>
  <c r="BP50" i="4" s="1"/>
  <c r="BP51" i="4" s="1"/>
  <c r="BP52" i="4" s="1"/>
  <c r="BP53" i="4" s="1"/>
  <c r="BP54" i="4" s="1"/>
  <c r="BP55" i="4" s="1"/>
  <c r="BP56" i="4" s="1"/>
  <c r="BP57" i="4" s="1"/>
  <c r="BP58" i="4" s="1"/>
  <c r="BP59" i="4" s="1"/>
  <c r="BP60" i="4" s="1"/>
  <c r="BP61" i="4" s="1"/>
  <c r="BP62" i="4" s="1"/>
  <c r="BP63" i="4" s="1"/>
  <c r="BP64" i="4" s="1"/>
  <c r="BP65" i="4" s="1"/>
  <c r="BP66" i="4" s="1"/>
  <c r="BV67" i="4" s="1"/>
  <c r="BV41" i="4"/>
  <c r="BV42" i="4" s="1"/>
  <c r="BV43" i="4" s="1"/>
  <c r="BV44" i="4" s="1"/>
  <c r="BV45" i="4" s="1"/>
  <c r="BV46" i="4" s="1"/>
  <c r="BV47" i="4" s="1"/>
  <c r="CT45" i="4"/>
  <c r="DA45" i="4"/>
  <c r="DA42" i="4"/>
  <c r="CT42" i="4"/>
  <c r="CU47" i="4"/>
  <c r="DB47" i="4"/>
  <c r="DA29" i="4"/>
  <c r="CT29" i="4"/>
  <c r="CZ34" i="4"/>
  <c r="CS34" i="4"/>
  <c r="CX25" i="4"/>
  <c r="CQ25" i="4"/>
  <c r="GQ37" i="4"/>
  <c r="CT28" i="4"/>
  <c r="DA28" i="4"/>
  <c r="CU23" i="4"/>
  <c r="DB23" i="4"/>
  <c r="GQ28" i="4"/>
  <c r="GQ47" i="4"/>
  <c r="GQ63" i="4"/>
  <c r="GQ89" i="4"/>
  <c r="FS16" i="4"/>
  <c r="CU17" i="4"/>
  <c r="DB17" i="4"/>
  <c r="CQ12" i="4"/>
  <c r="CX12" i="4"/>
  <c r="GQ12" i="4"/>
  <c r="FS10" i="4"/>
  <c r="FS46" i="4"/>
  <c r="FS62" i="4"/>
  <c r="FS83" i="4"/>
  <c r="FS97" i="4"/>
  <c r="FS25" i="4"/>
  <c r="CQ72" i="4"/>
  <c r="CX72" i="4"/>
  <c r="DA8" i="4"/>
  <c r="CT8" i="4"/>
  <c r="CQ5" i="4"/>
  <c r="CX5" i="4"/>
  <c r="FS51" i="4"/>
  <c r="FS101" i="4"/>
  <c r="CS102" i="4"/>
  <c r="CZ102" i="4"/>
  <c r="CZ91" i="4"/>
  <c r="CS91" i="4"/>
  <c r="CQ90" i="4"/>
  <c r="CX90" i="4"/>
  <c r="CY93" i="4"/>
  <c r="CR93" i="4"/>
  <c r="FS98" i="4"/>
  <c r="CD94" i="4"/>
  <c r="CK94" i="4" s="1"/>
  <c r="DB85" i="4"/>
  <c r="CU85" i="4"/>
  <c r="CQ86" i="4"/>
  <c r="CX86" i="4"/>
  <c r="DD86" i="4"/>
  <c r="DE86" i="4" s="1"/>
  <c r="CP86" i="4"/>
  <c r="CW86" i="4"/>
  <c r="CC84" i="4"/>
  <c r="CJ84" i="4" s="1"/>
  <c r="BQ84" i="4"/>
  <c r="BQ85" i="4" s="1"/>
  <c r="BQ86" i="4" s="1"/>
  <c r="BQ87" i="4" s="1"/>
  <c r="BQ88" i="4" s="1"/>
  <c r="BQ89" i="4" s="1"/>
  <c r="BQ90" i="4" s="1"/>
  <c r="BQ91" i="4" s="1"/>
  <c r="BQ92" i="4" s="1"/>
  <c r="BQ93" i="4" s="1"/>
  <c r="BQ94" i="4" s="1"/>
  <c r="BQ95" i="4" s="1"/>
  <c r="BQ96" i="4" s="1"/>
  <c r="BQ97" i="4" s="1"/>
  <c r="BQ98" i="4" s="1"/>
  <c r="BQ99" i="4" s="1"/>
  <c r="BQ100" i="4" s="1"/>
  <c r="BQ101" i="4" s="1"/>
  <c r="BQ102" i="4" s="1"/>
  <c r="BQ103" i="4" s="1"/>
  <c r="CT88" i="4"/>
  <c r="DA88" i="4"/>
  <c r="CY87" i="4"/>
  <c r="CR87" i="4"/>
  <c r="CW78" i="4"/>
  <c r="DD78" i="4"/>
  <c r="DE78" i="4" s="1"/>
  <c r="DF78" i="4" s="1" a="1"/>
  <c r="DF78" i="4" s="1"/>
  <c r="CP78" i="4"/>
  <c r="CR73" i="4"/>
  <c r="CY73" i="4"/>
  <c r="DB73" i="4"/>
  <c r="CU73" i="4"/>
  <c r="DD71" i="4"/>
  <c r="DE71" i="4" s="1"/>
  <c r="CP71" i="4"/>
  <c r="CW71" i="4"/>
  <c r="DB72" i="4"/>
  <c r="CU72" i="4"/>
  <c r="FS70" i="4"/>
  <c r="GQ70" i="4"/>
  <c r="CY62" i="4"/>
  <c r="CR62" i="4"/>
  <c r="DA55" i="4"/>
  <c r="CT55" i="4"/>
  <c r="CX52" i="4"/>
  <c r="CQ52" i="4"/>
  <c r="CX54" i="4"/>
  <c r="CQ54" i="4"/>
  <c r="CE48" i="4"/>
  <c r="CL48" i="4" s="1"/>
  <c r="BS48" i="4"/>
  <c r="BS49" i="4" s="1"/>
  <c r="BS50" i="4" s="1"/>
  <c r="BS51" i="4" s="1"/>
  <c r="BS52" i="4" s="1"/>
  <c r="BS53" i="4" s="1"/>
  <c r="BS54" i="4" s="1"/>
  <c r="BS55" i="4" s="1"/>
  <c r="BS56" i="4" s="1"/>
  <c r="BS57" i="4" s="1"/>
  <c r="BS58" i="4" s="1"/>
  <c r="BS59" i="4" s="1"/>
  <c r="BS60" i="4" s="1"/>
  <c r="BS61" i="4" s="1"/>
  <c r="BS62" i="4" s="1"/>
  <c r="BS63" i="4" s="1"/>
  <c r="BS64" i="4" s="1"/>
  <c r="BS65" i="4" s="1"/>
  <c r="BS66" i="4" s="1"/>
  <c r="BS67" i="4" s="1"/>
  <c r="BS68" i="4" s="1"/>
  <c r="BS69" i="4" s="1"/>
  <c r="BS70" i="4" s="1"/>
  <c r="BS71" i="4" s="1"/>
  <c r="BS72" i="4" s="1"/>
  <c r="BS73" i="4" s="1"/>
  <c r="BS74" i="4" s="1"/>
  <c r="BS75" i="4" s="1"/>
  <c r="BS76" i="4" s="1"/>
  <c r="BS77" i="4" s="1"/>
  <c r="BS78" i="4" s="1"/>
  <c r="BS79" i="4" s="1"/>
  <c r="BS80" i="4" s="1"/>
  <c r="BS81" i="4" s="1"/>
  <c r="BS82" i="4" s="1"/>
  <c r="BS83" i="4" s="1"/>
  <c r="BS84" i="4" s="1"/>
  <c r="BS85" i="4" s="1"/>
  <c r="BS86" i="4" s="1"/>
  <c r="BS87" i="4" s="1"/>
  <c r="BS88" i="4" s="1"/>
  <c r="BS89" i="4" s="1"/>
  <c r="BS90" i="4" s="1"/>
  <c r="BS91" i="4" s="1"/>
  <c r="BS92" i="4" s="1"/>
  <c r="BY93" i="4" s="1"/>
  <c r="CE93" i="4" s="1"/>
  <c r="CL93" i="4" s="1"/>
  <c r="BY48" i="4"/>
  <c r="BY49" i="4" s="1"/>
  <c r="BY50" i="4" s="1"/>
  <c r="BY51" i="4" s="1"/>
  <c r="BY52" i="4" s="1"/>
  <c r="BY53" i="4" s="1"/>
  <c r="BY54" i="4" s="1"/>
  <c r="BY55" i="4" s="1"/>
  <c r="BY56" i="4" s="1"/>
  <c r="BY57" i="4" s="1"/>
  <c r="BY58" i="4" s="1"/>
  <c r="BY59" i="4" s="1"/>
  <c r="BY60" i="4" s="1"/>
  <c r="BY61" i="4" s="1"/>
  <c r="BY62" i="4" s="1"/>
  <c r="BY63" i="4" s="1"/>
  <c r="BY64" i="4" s="1"/>
  <c r="BY65" i="4" s="1"/>
  <c r="BY66" i="4" s="1"/>
  <c r="BY67" i="4" s="1"/>
  <c r="BY68" i="4" s="1"/>
  <c r="BY69" i="4" s="1"/>
  <c r="BY70" i="4" s="1"/>
  <c r="BY71" i="4" s="1"/>
  <c r="BY72" i="4" s="1"/>
  <c r="BY73" i="4" s="1"/>
  <c r="BY74" i="4" s="1"/>
  <c r="BY75" i="4" s="1"/>
  <c r="BY76" i="4" s="1"/>
  <c r="BY77" i="4" s="1"/>
  <c r="BY78" i="4" s="1"/>
  <c r="BY79" i="4" s="1"/>
  <c r="BY80" i="4" s="1"/>
  <c r="BY81" i="4" s="1"/>
  <c r="BY82" i="4" s="1"/>
  <c r="BY83" i="4" s="1"/>
  <c r="BY84" i="4" s="1"/>
  <c r="BY85" i="4" s="1"/>
  <c r="BY86" i="4" s="1"/>
  <c r="BY87" i="4" s="1"/>
  <c r="BY88" i="4" s="1"/>
  <c r="BY89" i="4" s="1"/>
  <c r="BY90" i="4" s="1"/>
  <c r="BY91" i="4" s="1"/>
  <c r="BY92" i="4" s="1"/>
  <c r="CW53" i="4"/>
  <c r="CP53" i="4"/>
  <c r="FS53" i="4"/>
  <c r="CW43" i="4"/>
  <c r="CP43" i="4"/>
  <c r="CS41" i="4"/>
  <c r="CZ41" i="4"/>
  <c r="CZ38" i="4"/>
  <c r="CS38" i="4"/>
  <c r="CT37" i="4"/>
  <c r="DA37" i="4"/>
  <c r="CU26" i="4"/>
  <c r="DB26" i="4"/>
  <c r="CS39" i="4"/>
  <c r="CZ39" i="4"/>
  <c r="DA47" i="4"/>
  <c r="CT47" i="4"/>
  <c r="CS31" i="4"/>
  <c r="CZ31" i="4"/>
  <c r="GQ16" i="4"/>
  <c r="CQ27" i="4"/>
  <c r="CX27" i="4"/>
  <c r="CQ19" i="4"/>
  <c r="CX19" i="4"/>
  <c r="GQ19" i="4"/>
  <c r="GQ49" i="4"/>
  <c r="GQ57" i="4"/>
  <c r="GQ95" i="4"/>
  <c r="CS17" i="4"/>
  <c r="CZ17" i="4"/>
  <c r="FS9" i="4"/>
  <c r="FS11" i="4"/>
  <c r="FS40" i="4"/>
  <c r="FS50" i="4"/>
  <c r="FS80" i="4"/>
  <c r="FS103" i="4"/>
  <c r="FS22" i="4"/>
  <c r="CX24" i="4"/>
  <c r="CQ24" i="4"/>
  <c r="CQ28" i="4"/>
  <c r="CX28" i="4"/>
  <c r="CZ6" i="4"/>
  <c r="CS6" i="4"/>
  <c r="CY9" i="4"/>
  <c r="CR9" i="4"/>
  <c r="CY5" i="4"/>
  <c r="CR5" i="4"/>
  <c r="CY7" i="4"/>
  <c r="CR7" i="4"/>
  <c r="CQ97" i="4"/>
  <c r="CX97" i="4"/>
  <c r="CR96" i="4"/>
  <c r="CY96" i="4"/>
  <c r="CU94" i="4"/>
  <c r="DB94" i="4"/>
  <c r="CU95" i="4"/>
  <c r="DB95" i="4"/>
  <c r="CY100" i="4"/>
  <c r="CR100" i="4"/>
  <c r="CU99" i="4"/>
  <c r="DB99" i="4"/>
  <c r="DD102" i="4"/>
  <c r="DE102" i="4" s="1"/>
  <c r="CP102" i="4"/>
  <c r="CW102" i="4"/>
  <c r="CX89" i="4"/>
  <c r="CQ89" i="4"/>
  <c r="CW92" i="4"/>
  <c r="DD92" i="4"/>
  <c r="DE92" i="4" s="1"/>
  <c r="DF92" i="4" s="1" a="1"/>
  <c r="DF92" i="4" s="1"/>
  <c r="CP92" i="4"/>
  <c r="CB85" i="4"/>
  <c r="CI85" i="4" s="1"/>
  <c r="BP85" i="4"/>
  <c r="BP86" i="4" s="1"/>
  <c r="BP87" i="4" s="1"/>
  <c r="BP88" i="4" s="1"/>
  <c r="BP89" i="4" s="1"/>
  <c r="BP90" i="4" s="1"/>
  <c r="BP91" i="4" s="1"/>
  <c r="BP92" i="4" s="1"/>
  <c r="BP93" i="4" s="1"/>
  <c r="BP94" i="4" s="1"/>
  <c r="BP95" i="4" s="1"/>
  <c r="BP96" i="4" s="1"/>
  <c r="BP97" i="4" s="1"/>
  <c r="BP98" i="4" s="1"/>
  <c r="BP99" i="4" s="1"/>
  <c r="BP100" i="4" s="1"/>
  <c r="BP101" i="4" s="1"/>
  <c r="BP102" i="4" s="1"/>
  <c r="BP103" i="4" s="1"/>
  <c r="CP88" i="4"/>
  <c r="DD88" i="4"/>
  <c r="DE88" i="4" s="1"/>
  <c r="CW88" i="4"/>
  <c r="CW83" i="4"/>
  <c r="DD83" i="4"/>
  <c r="DE83" i="4" s="1"/>
  <c r="CP83" i="4"/>
  <c r="CZ80" i="4"/>
  <c r="CS80" i="4"/>
  <c r="CQ81" i="4"/>
  <c r="CX81" i="4"/>
  <c r="DD74" i="4"/>
  <c r="DE74" i="4" s="1"/>
  <c r="CP74" i="4"/>
  <c r="CW74" i="4"/>
  <c r="DD80" i="4"/>
  <c r="DE80" i="4" s="1"/>
  <c r="CP80" i="4"/>
  <c r="CW80" i="4"/>
  <c r="CQ65" i="4"/>
  <c r="CX65" i="4"/>
  <c r="CR66" i="4"/>
  <c r="CY66" i="4"/>
  <c r="FS64" i="4"/>
  <c r="CQ59" i="4"/>
  <c r="CX59" i="4"/>
  <c r="DA52" i="4"/>
  <c r="CT52" i="4"/>
  <c r="FS63" i="4"/>
  <c r="CU48" i="4"/>
  <c r="DB48" i="4"/>
  <c r="CD44" i="4"/>
  <c r="CK44" i="4" s="1"/>
  <c r="CC42" i="4"/>
  <c r="CJ42" i="4" s="1"/>
  <c r="BQ42" i="4"/>
  <c r="BQ43" i="4" s="1"/>
  <c r="BQ44" i="4" s="1"/>
  <c r="BQ45" i="4" s="1"/>
  <c r="BQ46" i="4" s="1"/>
  <c r="BQ47" i="4" s="1"/>
  <c r="BQ48" i="4" s="1"/>
  <c r="BQ49" i="4" s="1"/>
  <c r="BQ50" i="4" s="1"/>
  <c r="BQ51" i="4" s="1"/>
  <c r="BQ52" i="4" s="1"/>
  <c r="BQ53" i="4" s="1"/>
  <c r="BQ54" i="4" s="1"/>
  <c r="BQ55" i="4" s="1"/>
  <c r="BQ56" i="4" s="1"/>
  <c r="BQ57" i="4" s="1"/>
  <c r="BQ58" i="4" s="1"/>
  <c r="BQ59" i="4" s="1"/>
  <c r="BQ60" i="4" s="1"/>
  <c r="BQ61" i="4" s="1"/>
  <c r="BQ62" i="4" s="1"/>
  <c r="BQ63" i="4" s="1"/>
  <c r="BQ64" i="4" s="1"/>
  <c r="BQ65" i="4" s="1"/>
  <c r="BQ66" i="4" s="1"/>
  <c r="BW67" i="4" s="1"/>
  <c r="CU44" i="4"/>
  <c r="DB44" i="4"/>
  <c r="GQ44" i="4"/>
  <c r="CW52" i="4"/>
  <c r="CP52" i="4"/>
  <c r="CP38" i="4"/>
  <c r="CW38" i="4"/>
  <c r="DD33" i="4"/>
  <c r="DE33" i="4" s="1"/>
  <c r="CP33" i="4"/>
  <c r="CW33" i="4"/>
  <c r="FS54" i="4"/>
  <c r="CZ33" i="4"/>
  <c r="CS33" i="4"/>
  <c r="FS13" i="4"/>
  <c r="CT10" i="4"/>
  <c r="DA10" i="4"/>
  <c r="GQ10" i="4"/>
  <c r="BV18" i="4"/>
  <c r="CB18" i="4"/>
  <c r="CI18" i="4" s="1"/>
  <c r="BP18" i="4"/>
  <c r="GQ26" i="4"/>
  <c r="GQ42" i="4"/>
  <c r="GQ74" i="4"/>
  <c r="GQ101" i="4"/>
  <c r="DD32" i="4"/>
  <c r="DE32" i="4" s="1"/>
  <c r="CP32" i="4"/>
  <c r="CW32" i="4"/>
  <c r="CR11" i="4"/>
  <c r="CY11" i="4"/>
  <c r="CU5" i="4"/>
  <c r="DB5" i="4"/>
  <c r="CX70" i="4"/>
  <c r="CQ70" i="4"/>
  <c r="FS19" i="4"/>
  <c r="FS32" i="4"/>
  <c r="FS59" i="4"/>
  <c r="FS82" i="4"/>
  <c r="CY22" i="4"/>
  <c r="CR22" i="4"/>
  <c r="CZ14" i="4"/>
  <c r="CS14" i="4"/>
  <c r="CZ21" i="4"/>
  <c r="CS21" i="4"/>
  <c r="CS9" i="4"/>
  <c r="CZ9" i="4"/>
  <c r="GQ8" i="4"/>
  <c r="CQ101" i="4"/>
  <c r="CX101" i="4"/>
  <c r="CU101" i="4"/>
  <c r="DB101" i="4"/>
  <c r="DB102" i="4"/>
  <c r="CU102" i="4"/>
  <c r="CP98" i="4"/>
  <c r="CW98" i="4"/>
  <c r="CP93" i="4"/>
  <c r="CW93" i="4"/>
  <c r="DA87" i="4"/>
  <c r="CT87" i="4"/>
  <c r="FS85" i="4"/>
  <c r="GQ86" i="4"/>
  <c r="CR89" i="4"/>
  <c r="CY89" i="4"/>
  <c r="CQ73" i="4"/>
  <c r="CX73" i="4"/>
  <c r="DD81" i="4"/>
  <c r="DE81" i="4" s="1"/>
  <c r="CP81" i="4"/>
  <c r="CW81" i="4"/>
  <c r="DB74" i="4"/>
  <c r="CU74" i="4"/>
  <c r="CT79" i="4"/>
  <c r="DA79" i="4"/>
  <c r="DA66" i="4"/>
  <c r="CT66" i="4"/>
  <c r="FS72" i="4"/>
  <c r="FS69" i="4"/>
  <c r="GQ72" i="4"/>
  <c r="CZ68" i="4"/>
  <c r="CS68" i="4"/>
  <c r="CW58" i="4"/>
  <c r="DD58" i="4"/>
  <c r="DE58" i="4" s="1"/>
  <c r="CP58" i="4"/>
  <c r="CZ67" i="4"/>
  <c r="CS67" i="4"/>
  <c r="CZ63" i="4"/>
  <c r="CS63" i="4"/>
  <c r="CS60" i="4"/>
  <c r="CZ60" i="4"/>
  <c r="CD54" i="4"/>
  <c r="CK54" i="4" s="1"/>
  <c r="DD54" i="4" s="1"/>
  <c r="CS49" i="4"/>
  <c r="CZ49" i="4"/>
  <c r="CX57" i="4"/>
  <c r="CQ57" i="4"/>
  <c r="CD52" i="4"/>
  <c r="CK52" i="4" s="1"/>
  <c r="DD52" i="4" s="1"/>
  <c r="DE52" i="4" s="1"/>
  <c r="DD30" i="4"/>
  <c r="DE30" i="4" s="1"/>
  <c r="CP30" i="4"/>
  <c r="CW30" i="4"/>
  <c r="GQ33" i="4"/>
  <c r="CS30" i="4"/>
  <c r="CZ30" i="4"/>
  <c r="CS27" i="4"/>
  <c r="CZ27" i="4"/>
  <c r="DB13" i="4"/>
  <c r="CU13" i="4"/>
  <c r="CS28" i="4"/>
  <c r="CZ28" i="4"/>
  <c r="CZ16" i="4"/>
  <c r="CS16" i="4"/>
  <c r="CR18" i="4"/>
  <c r="CY18" i="4"/>
  <c r="BW10" i="4"/>
  <c r="BW11" i="4" s="1"/>
  <c r="BW12" i="4" s="1"/>
  <c r="BW13" i="4" s="1"/>
  <c r="BQ10" i="4"/>
  <c r="BQ11" i="4" s="1"/>
  <c r="BQ12" i="4" s="1"/>
  <c r="BQ13" i="4" s="1"/>
  <c r="BW14" i="4" s="1"/>
  <c r="CC10" i="4"/>
  <c r="CJ10" i="4" s="1"/>
  <c r="FS31" i="4"/>
  <c r="CX21" i="4"/>
  <c r="CQ21" i="4"/>
  <c r="GQ24" i="4"/>
  <c r="GQ43" i="4"/>
  <c r="GQ68" i="4"/>
  <c r="FS75" i="4"/>
  <c r="CW17" i="4"/>
  <c r="CP17" i="4"/>
  <c r="CQ31" i="4"/>
  <c r="CX31" i="4"/>
  <c r="DB21" i="4"/>
  <c r="CU21" i="4"/>
  <c r="FS20" i="4"/>
  <c r="FS43" i="4"/>
  <c r="FS60" i="4"/>
  <c r="FS81" i="4"/>
  <c r="DB8" i="4"/>
  <c r="CU8" i="4"/>
  <c r="CQ18" i="4"/>
  <c r="CX18" i="4"/>
  <c r="CX29" i="4"/>
  <c r="CQ29" i="4"/>
  <c r="CR20" i="4"/>
  <c r="CY20" i="4"/>
  <c r="CY103" i="4"/>
  <c r="CR103" i="4"/>
  <c r="CX100" i="4"/>
  <c r="CQ100" i="4"/>
  <c r="FS95" i="4"/>
  <c r="CD101" i="4"/>
  <c r="CK101" i="4" s="1"/>
  <c r="CZ90" i="4"/>
  <c r="CS90" i="4"/>
  <c r="GQ98" i="4"/>
  <c r="CS89" i="4"/>
  <c r="CZ89" i="4"/>
  <c r="GQ96" i="4"/>
  <c r="DA91" i="4"/>
  <c r="CT91" i="4"/>
  <c r="DA103" i="4"/>
  <c r="CT103" i="4"/>
  <c r="CS85" i="4"/>
  <c r="CZ85" i="4"/>
  <c r="CW84" i="4"/>
  <c r="DD84" i="4"/>
  <c r="DE84" i="4" s="1"/>
  <c r="CP84" i="4"/>
  <c r="DB79" i="4"/>
  <c r="CU79" i="4"/>
  <c r="CX77" i="4"/>
  <c r="CQ77" i="4"/>
  <c r="CU76" i="4"/>
  <c r="DB76" i="4"/>
  <c r="CT76" i="4"/>
  <c r="DA76" i="4"/>
  <c r="BZ61" i="4"/>
  <c r="BZ62" i="4" s="1"/>
  <c r="BZ63" i="4" s="1"/>
  <c r="BZ64" i="4" s="1"/>
  <c r="BZ65" i="4" s="1"/>
  <c r="BZ66" i="4" s="1"/>
  <c r="BZ67" i="4" s="1"/>
  <c r="BZ68" i="4" s="1"/>
  <c r="BZ69" i="4" s="1"/>
  <c r="BZ70" i="4" s="1"/>
  <c r="BZ71" i="4" s="1"/>
  <c r="BZ72" i="4" s="1"/>
  <c r="BZ73" i="4" s="1"/>
  <c r="BZ74" i="4" s="1"/>
  <c r="BZ75" i="4" s="1"/>
  <c r="BZ76" i="4" s="1"/>
  <c r="BZ77" i="4" s="1"/>
  <c r="BZ78" i="4" s="1"/>
  <c r="BZ79" i="4" s="1"/>
  <c r="BZ80" i="4" s="1"/>
  <c r="BZ81" i="4" s="1"/>
  <c r="BZ82" i="4" s="1"/>
  <c r="BZ83" i="4" s="1"/>
  <c r="BZ84" i="4" s="1"/>
  <c r="BZ85" i="4" s="1"/>
  <c r="BZ86" i="4" s="1"/>
  <c r="BZ87" i="4" s="1"/>
  <c r="BZ88" i="4" s="1"/>
  <c r="BZ89" i="4" s="1"/>
  <c r="BZ90" i="4" s="1"/>
  <c r="BZ91" i="4" s="1"/>
  <c r="BZ92" i="4" s="1"/>
  <c r="BZ93" i="4" s="1"/>
  <c r="BZ94" i="4" s="1"/>
  <c r="BZ95" i="4" s="1"/>
  <c r="BZ96" i="4" s="1"/>
  <c r="BZ97" i="4" s="1"/>
  <c r="BZ98" i="4" s="1"/>
  <c r="BZ99" i="4" s="1"/>
  <c r="BZ100" i="4" s="1"/>
  <c r="BZ101" i="4" s="1"/>
  <c r="BZ102" i="4" s="1"/>
  <c r="BZ103" i="4" s="1"/>
  <c r="CF61" i="4"/>
  <c r="CM61" i="4" s="1"/>
  <c r="BT61" i="4"/>
  <c r="BT62" i="4" s="1"/>
  <c r="BT63" i="4" s="1"/>
  <c r="BT64" i="4" s="1"/>
  <c r="BT65" i="4" s="1"/>
  <c r="BT66" i="4" s="1"/>
  <c r="BT67" i="4" s="1"/>
  <c r="BT68" i="4" s="1"/>
  <c r="BT69" i="4" s="1"/>
  <c r="BT70" i="4" s="1"/>
  <c r="BT71" i="4" s="1"/>
  <c r="BT72" i="4" s="1"/>
  <c r="BT73" i="4" s="1"/>
  <c r="BT74" i="4" s="1"/>
  <c r="BT75" i="4" s="1"/>
  <c r="BT76" i="4" s="1"/>
  <c r="BT77" i="4" s="1"/>
  <c r="BT78" i="4" s="1"/>
  <c r="BT79" i="4" s="1"/>
  <c r="BT80" i="4" s="1"/>
  <c r="BT81" i="4" s="1"/>
  <c r="BT82" i="4" s="1"/>
  <c r="BT83" i="4" s="1"/>
  <c r="BT84" i="4" s="1"/>
  <c r="BT85" i="4" s="1"/>
  <c r="BT86" i="4" s="1"/>
  <c r="BT87" i="4" s="1"/>
  <c r="BT88" i="4" s="1"/>
  <c r="BT89" i="4" s="1"/>
  <c r="BT90" i="4" s="1"/>
  <c r="BT91" i="4" s="1"/>
  <c r="BT92" i="4" s="1"/>
  <c r="BT93" i="4" s="1"/>
  <c r="BT94" i="4" s="1"/>
  <c r="BT95" i="4" s="1"/>
  <c r="BT96" i="4" s="1"/>
  <c r="BT97" i="4" s="1"/>
  <c r="BT98" i="4" s="1"/>
  <c r="BT99" i="4" s="1"/>
  <c r="BT100" i="4" s="1"/>
  <c r="BT101" i="4" s="1"/>
  <c r="BT102" i="4" s="1"/>
  <c r="BT103" i="4" s="1"/>
  <c r="CU63" i="4"/>
  <c r="DB63" i="4"/>
  <c r="CS64" i="4"/>
  <c r="CZ64" i="4"/>
  <c r="CQ60" i="4"/>
  <c r="CX60" i="4"/>
  <c r="DD60" i="4"/>
  <c r="CP60" i="4"/>
  <c r="CW60" i="4"/>
  <c r="CX63" i="4"/>
  <c r="CQ63" i="4"/>
  <c r="CC49" i="4"/>
  <c r="CJ49" i="4" s="1"/>
  <c r="CC53" i="4"/>
  <c r="CJ53" i="4" s="1"/>
  <c r="CZ56" i="4"/>
  <c r="CS56" i="4"/>
  <c r="CD46" i="4"/>
  <c r="CK46" i="4" s="1"/>
  <c r="CZ51" i="4"/>
  <c r="CS51" i="4"/>
  <c r="DA43" i="4"/>
  <c r="CT43" i="4"/>
  <c r="FS47" i="4"/>
  <c r="CP49" i="4"/>
  <c r="CW49" i="4"/>
  <c r="CP42" i="4"/>
  <c r="CW42" i="4"/>
  <c r="CZ44" i="4"/>
  <c r="CS44" i="4"/>
  <c r="CT40" i="4"/>
  <c r="DA40" i="4"/>
  <c r="CW36" i="4"/>
  <c r="DD36" i="4"/>
  <c r="DE36" i="4" s="1"/>
  <c r="CP36" i="4"/>
  <c r="CU52" i="4"/>
  <c r="DB52" i="4"/>
  <c r="CS35" i="4"/>
  <c r="CZ35" i="4"/>
  <c r="CW46" i="4"/>
  <c r="CP46" i="4"/>
  <c r="DD46" i="4"/>
  <c r="DE46" i="4" s="1"/>
  <c r="DB33" i="4"/>
  <c r="CU33" i="4"/>
  <c r="CR32" i="4"/>
  <c r="CY32" i="4"/>
  <c r="GQ36" i="4"/>
  <c r="CY39" i="4"/>
  <c r="CR39" i="4"/>
  <c r="CT27" i="4"/>
  <c r="DA27" i="4"/>
  <c r="GQ27" i="4"/>
  <c r="CU25" i="4"/>
  <c r="DB25" i="4"/>
  <c r="CZ20" i="4"/>
  <c r="CS20" i="4"/>
  <c r="GQ9" i="4"/>
  <c r="CS11" i="4"/>
  <c r="CZ11" i="4"/>
  <c r="GQ14" i="4"/>
  <c r="GQ46" i="4"/>
  <c r="GQ73" i="4"/>
  <c r="CX23" i="4"/>
  <c r="CQ23" i="4"/>
  <c r="DA13" i="4"/>
  <c r="CT13" i="4"/>
  <c r="FS33" i="4"/>
  <c r="FS44" i="4"/>
  <c r="FS61" i="4"/>
  <c r="FS92" i="4"/>
  <c r="CA11" i="4"/>
  <c r="CA12" i="4" s="1"/>
  <c r="CA13" i="4" s="1"/>
  <c r="CA14" i="4" s="1"/>
  <c r="CA15" i="4" s="1"/>
  <c r="CA16" i="4" s="1"/>
  <c r="CA17" i="4" s="1"/>
  <c r="CA18" i="4" s="1"/>
  <c r="CA19" i="4" s="1"/>
  <c r="CA20" i="4" s="1"/>
  <c r="CA21" i="4" s="1"/>
  <c r="CA22" i="4" s="1"/>
  <c r="CA23" i="4" s="1"/>
  <c r="CA24" i="4" s="1"/>
  <c r="CA25" i="4" s="1"/>
  <c r="CA26" i="4" s="1"/>
  <c r="CA27" i="4" s="1"/>
  <c r="CA28" i="4" s="1"/>
  <c r="CA29" i="4" s="1"/>
  <c r="CA30" i="4" s="1"/>
  <c r="CA31" i="4" s="1"/>
  <c r="CA32" i="4" s="1"/>
  <c r="CA33" i="4" s="1"/>
  <c r="CA34" i="4" s="1"/>
  <c r="CA35" i="4" s="1"/>
  <c r="CA36" i="4" s="1"/>
  <c r="CA37" i="4" s="1"/>
  <c r="CA38" i="4" s="1"/>
  <c r="CA39" i="4" s="1"/>
  <c r="CA40" i="4" s="1"/>
  <c r="BU11" i="4"/>
  <c r="BU12" i="4" s="1"/>
  <c r="BU13" i="4" s="1"/>
  <c r="BU14" i="4" s="1"/>
  <c r="BU15" i="4" s="1"/>
  <c r="BU16" i="4" s="1"/>
  <c r="BU17" i="4" s="1"/>
  <c r="BU18" i="4" s="1"/>
  <c r="BU19" i="4" s="1"/>
  <c r="BU20" i="4" s="1"/>
  <c r="BU21" i="4" s="1"/>
  <c r="BU22" i="4" s="1"/>
  <c r="BU23" i="4" s="1"/>
  <c r="BU24" i="4" s="1"/>
  <c r="BU25" i="4" s="1"/>
  <c r="BU26" i="4" s="1"/>
  <c r="BU27" i="4" s="1"/>
  <c r="BU28" i="4" s="1"/>
  <c r="BU29" i="4" s="1"/>
  <c r="BU30" i="4" s="1"/>
  <c r="BU31" i="4" s="1"/>
  <c r="BU32" i="4" s="1"/>
  <c r="BU33" i="4" s="1"/>
  <c r="BU34" i="4" s="1"/>
  <c r="BU35" i="4" s="1"/>
  <c r="BU36" i="4" s="1"/>
  <c r="BU37" i="4" s="1"/>
  <c r="BU38" i="4" s="1"/>
  <c r="BU39" i="4" s="1"/>
  <c r="BU40" i="4" s="1"/>
  <c r="CA41" i="4" s="1"/>
  <c r="CG11" i="4"/>
  <c r="CN11" i="4" s="1"/>
  <c r="CX6" i="4"/>
  <c r="CQ6" i="4"/>
  <c r="GQ6" i="4"/>
  <c r="CA42" i="4" l="1"/>
  <c r="CG41" i="4"/>
  <c r="CN41" i="4" s="1"/>
  <c r="CG64" i="4"/>
  <c r="CN64" i="4" s="1"/>
  <c r="CA65" i="4"/>
  <c r="CS93" i="4"/>
  <c r="CZ93" i="4"/>
  <c r="DD93" i="4"/>
  <c r="DE7" i="4"/>
  <c r="DF7" i="4" s="1" a="1"/>
  <c r="DF7" i="4" s="1"/>
  <c r="BW68" i="4"/>
  <c r="CC67" i="4"/>
  <c r="CJ67" i="4" s="1"/>
  <c r="BV68" i="4"/>
  <c r="CB67" i="4"/>
  <c r="CI67" i="4" s="1"/>
  <c r="CY24" i="4"/>
  <c r="CR24" i="4"/>
  <c r="GC20" i="4"/>
  <c r="GG20" i="4" s="1"/>
  <c r="FY20" i="4"/>
  <c r="GF20" i="4" s="1"/>
  <c r="CR41" i="4"/>
  <c r="CY41" i="4"/>
  <c r="DF66" i="4" a="1"/>
  <c r="DF66" i="4" s="1"/>
  <c r="GC91" i="4"/>
  <c r="GG91" i="4" s="1"/>
  <c r="FY91" i="4"/>
  <c r="GF91" i="4" s="1"/>
  <c r="GC31" i="4"/>
  <c r="GG31" i="4" s="1"/>
  <c r="FY31" i="4"/>
  <c r="GF31" i="4" s="1"/>
  <c r="GC85" i="4"/>
  <c r="GG85" i="4" s="1"/>
  <c r="FY85" i="4"/>
  <c r="GF85" i="4" s="1"/>
  <c r="CY44" i="4"/>
  <c r="CR44" i="4"/>
  <c r="FY9" i="4"/>
  <c r="GF9" i="4" s="1"/>
  <c r="GC9" i="4"/>
  <c r="GG9" i="4" s="1"/>
  <c r="CS48" i="4"/>
  <c r="CZ48" i="4"/>
  <c r="FY83" i="4"/>
  <c r="GF83" i="4" s="1"/>
  <c r="GC83" i="4"/>
  <c r="GG83" i="4" s="1"/>
  <c r="CX35" i="4"/>
  <c r="CQ35" i="4"/>
  <c r="FY84" i="4"/>
  <c r="GF84" i="4" s="1"/>
  <c r="GC84" i="4"/>
  <c r="GG84" i="4" s="1"/>
  <c r="GC67" i="4"/>
  <c r="GG67" i="4" s="1"/>
  <c r="FY67" i="4"/>
  <c r="GF67" i="4" s="1"/>
  <c r="DF20" i="4" a="1"/>
  <c r="DF20" i="4" s="1"/>
  <c r="GC49" i="4"/>
  <c r="GG49" i="4" s="1"/>
  <c r="FY49" i="4"/>
  <c r="GF49" i="4" s="1"/>
  <c r="GC68" i="4"/>
  <c r="GG68" i="4" s="1"/>
  <c r="FY68" i="4"/>
  <c r="GF68" i="4" s="1"/>
  <c r="DB37" i="4"/>
  <c r="CU37" i="4"/>
  <c r="GC40" i="4"/>
  <c r="GG40" i="4" s="1"/>
  <c r="FY40" i="4"/>
  <c r="GF40" i="4" s="1"/>
  <c r="GC97" i="4"/>
  <c r="GG97" i="4" s="1"/>
  <c r="FY97" i="4"/>
  <c r="GF97" i="4" s="1"/>
  <c r="CY46" i="4"/>
  <c r="DF46" i="4" s="1" a="1"/>
  <c r="DF46" i="4" s="1"/>
  <c r="CR46" i="4"/>
  <c r="DA61" i="4"/>
  <c r="CT61" i="4"/>
  <c r="CX10" i="4"/>
  <c r="CQ10" i="4"/>
  <c r="GC62" i="4"/>
  <c r="GG62" i="4" s="1"/>
  <c r="FY62" i="4"/>
  <c r="GF62" i="4" s="1"/>
  <c r="DB66" i="4"/>
  <c r="CU66" i="4"/>
  <c r="DB32" i="4"/>
  <c r="CU32" i="4"/>
  <c r="DB97" i="4"/>
  <c r="CU97" i="4"/>
  <c r="FY99" i="4"/>
  <c r="GF99" i="4" s="1"/>
  <c r="GC99" i="4"/>
  <c r="GG99" i="4" s="1"/>
  <c r="CY8" i="4"/>
  <c r="CR8" i="4"/>
  <c r="FY55" i="4"/>
  <c r="GF55" i="4" s="1"/>
  <c r="GC55" i="4"/>
  <c r="GG55" i="4" s="1"/>
  <c r="DF79" i="4" a="1"/>
  <c r="DF79" i="4" s="1"/>
  <c r="DF73" i="4" a="1"/>
  <c r="DF73" i="4" s="1"/>
  <c r="FY26" i="4"/>
  <c r="GF26" i="4" s="1"/>
  <c r="GC26" i="4"/>
  <c r="GG26" i="4" s="1"/>
  <c r="GC65" i="4"/>
  <c r="GG65" i="4" s="1"/>
  <c r="FY65" i="4"/>
  <c r="GF65" i="4" s="1"/>
  <c r="GC89" i="4"/>
  <c r="GG89" i="4" s="1"/>
  <c r="FY89" i="4"/>
  <c r="GF89" i="4" s="1"/>
  <c r="FY88" i="4"/>
  <c r="GF88" i="4" s="1"/>
  <c r="GC88" i="4"/>
  <c r="GG88" i="4" s="1"/>
  <c r="BW15" i="4"/>
  <c r="CC14" i="4"/>
  <c r="CJ14" i="4" s="1"/>
  <c r="DF58" i="4" a="1"/>
  <c r="DF58" i="4" s="1"/>
  <c r="DF83" i="4" a="1"/>
  <c r="DF83" i="4" s="1"/>
  <c r="CY94" i="4"/>
  <c r="CR94" i="4"/>
  <c r="FY101" i="4"/>
  <c r="GF101" i="4" s="1"/>
  <c r="GC101" i="4"/>
  <c r="GG101" i="4" s="1"/>
  <c r="GC46" i="4"/>
  <c r="GG46" i="4" s="1"/>
  <c r="FY46" i="4"/>
  <c r="GF46" i="4" s="1"/>
  <c r="CZ43" i="4"/>
  <c r="CS43" i="4"/>
  <c r="CZ15" i="4"/>
  <c r="CS15" i="4"/>
  <c r="GC78" i="4"/>
  <c r="GG78" i="4" s="1"/>
  <c r="FY78" i="4"/>
  <c r="GF78" i="4" s="1"/>
  <c r="CX47" i="4"/>
  <c r="CQ47" i="4"/>
  <c r="DD47" i="4"/>
  <c r="DE47" i="4" s="1"/>
  <c r="DF47" i="4" s="1" a="1"/>
  <c r="DF47" i="4" s="1"/>
  <c r="CY26" i="4"/>
  <c r="CR26" i="4"/>
  <c r="GC29" i="4"/>
  <c r="GG29" i="4" s="1"/>
  <c r="FY29" i="4"/>
  <c r="GF29" i="4" s="1"/>
  <c r="DF51" i="4" a="1"/>
  <c r="DF51" i="4" s="1"/>
  <c r="FY87" i="4"/>
  <c r="GF87" i="4" s="1"/>
  <c r="GC87" i="4"/>
  <c r="GG87" i="4" s="1"/>
  <c r="DF87" i="4" a="1"/>
  <c r="DF87" i="4" s="1"/>
  <c r="GC74" i="4"/>
  <c r="GG74" i="4" s="1"/>
  <c r="FY74" i="4"/>
  <c r="GF74" i="4" s="1"/>
  <c r="DB54" i="4"/>
  <c r="CU54" i="4"/>
  <c r="DF82" i="4" a="1"/>
  <c r="DF82" i="4" s="1"/>
  <c r="FY58" i="4"/>
  <c r="GF58" i="4" s="1"/>
  <c r="GC58" i="4"/>
  <c r="GG58" i="4" s="1"/>
  <c r="DF90" i="4" a="1"/>
  <c r="DF90" i="4" s="1"/>
  <c r="CY52" i="4"/>
  <c r="DF52" i="4" s="1" a="1"/>
  <c r="DF52" i="4" s="1"/>
  <c r="CR52" i="4"/>
  <c r="FY35" i="4"/>
  <c r="GF35" i="4" s="1"/>
  <c r="GC35" i="4"/>
  <c r="GG35" i="4" s="1"/>
  <c r="CP37" i="4"/>
  <c r="CW37" i="4"/>
  <c r="CQ49" i="4"/>
  <c r="CX49" i="4"/>
  <c r="FY70" i="4"/>
  <c r="GF70" i="4" s="1"/>
  <c r="GC70" i="4"/>
  <c r="GG70" i="4" s="1"/>
  <c r="GC71" i="4"/>
  <c r="GG71" i="4" s="1"/>
  <c r="FY71" i="4"/>
  <c r="GF71" i="4" s="1"/>
  <c r="FY10" i="4"/>
  <c r="GF10" i="4" s="1"/>
  <c r="GC10" i="4"/>
  <c r="GG10" i="4" s="1"/>
  <c r="GC18" i="4"/>
  <c r="GG18" i="4" s="1"/>
  <c r="FY18" i="4"/>
  <c r="GF18" i="4" s="1"/>
  <c r="GC42" i="4"/>
  <c r="GG42" i="4" s="1"/>
  <c r="FY42" i="4"/>
  <c r="GF42" i="4" s="1"/>
  <c r="GC14" i="4"/>
  <c r="GG14" i="4" s="1"/>
  <c r="FY14" i="4"/>
  <c r="GF14" i="4" s="1"/>
  <c r="GC96" i="4"/>
  <c r="GG96" i="4" s="1"/>
  <c r="FY96" i="4"/>
  <c r="GF96" i="4" s="1"/>
  <c r="FY93" i="4"/>
  <c r="GF93" i="4" s="1"/>
  <c r="GC93" i="4"/>
  <c r="GG93" i="4" s="1"/>
  <c r="DF63" i="4" a="1"/>
  <c r="DF63" i="4" s="1"/>
  <c r="GC66" i="4"/>
  <c r="GG66" i="4" s="1"/>
  <c r="FY66" i="4"/>
  <c r="GF66" i="4" s="1"/>
  <c r="GC90" i="4"/>
  <c r="GG90" i="4" s="1"/>
  <c r="FY90" i="4"/>
  <c r="GF90" i="4" s="1"/>
  <c r="FY45" i="4"/>
  <c r="GF45" i="4" s="1"/>
  <c r="GC45" i="4"/>
  <c r="GG45" i="4" s="1"/>
  <c r="CA56" i="4"/>
  <c r="CA57" i="4" s="1"/>
  <c r="CA58" i="4" s="1"/>
  <c r="CA59" i="4" s="1"/>
  <c r="CG55" i="4"/>
  <c r="CN55" i="4" s="1"/>
  <c r="FY30" i="4"/>
  <c r="GF30" i="4" s="1"/>
  <c r="GC30" i="4"/>
  <c r="GG30" i="4" s="1"/>
  <c r="DD35" i="4"/>
  <c r="DE35" i="4" s="1"/>
  <c r="DF35" i="4" s="1" a="1"/>
  <c r="DF35" i="4" s="1"/>
  <c r="CW18" i="4"/>
  <c r="DD18" i="4"/>
  <c r="CP18" i="4"/>
  <c r="GC11" i="4"/>
  <c r="GG11" i="4" s="1"/>
  <c r="FY11" i="4"/>
  <c r="GF11" i="4" s="1"/>
  <c r="GC51" i="4"/>
  <c r="GG51" i="4" s="1"/>
  <c r="FY51" i="4"/>
  <c r="GF51" i="4" s="1"/>
  <c r="DB11" i="4"/>
  <c r="CU11" i="4"/>
  <c r="FY82" i="4"/>
  <c r="GF82" i="4" s="1"/>
  <c r="GC82" i="4"/>
  <c r="GG82" i="4" s="1"/>
  <c r="DF32" i="4" a="1"/>
  <c r="DF32" i="4" s="1"/>
  <c r="GC63" i="4"/>
  <c r="GG63" i="4" s="1"/>
  <c r="FY63" i="4"/>
  <c r="GF63" i="4" s="1"/>
  <c r="DF80" i="4" a="1"/>
  <c r="DF80" i="4" s="1"/>
  <c r="DF71" i="4" a="1"/>
  <c r="DF71" i="4" s="1"/>
  <c r="DF77" i="4" a="1"/>
  <c r="DF77" i="4" s="1"/>
  <c r="GC102" i="4"/>
  <c r="GG102" i="4" s="1"/>
  <c r="FY102" i="4"/>
  <c r="GF102" i="4" s="1"/>
  <c r="GC38" i="4"/>
  <c r="GG38" i="4" s="1"/>
  <c r="FY38" i="4"/>
  <c r="GF38" i="4" s="1"/>
  <c r="FY77" i="4"/>
  <c r="GF77" i="4" s="1"/>
  <c r="GC77" i="4"/>
  <c r="GG77" i="4" s="1"/>
  <c r="DE6" i="4"/>
  <c r="DF6" i="4" s="1" a="1"/>
  <c r="DF6" i="4" s="1"/>
  <c r="DF23" i="4" a="1"/>
  <c r="DF23" i="4" s="1"/>
  <c r="DD44" i="4"/>
  <c r="DE44" i="4" s="1"/>
  <c r="DF44" i="4" s="1" a="1"/>
  <c r="DF44" i="4" s="1"/>
  <c r="GC86" i="4"/>
  <c r="GG86" i="4" s="1"/>
  <c r="FY86" i="4"/>
  <c r="GF86" i="4" s="1"/>
  <c r="FY48" i="4"/>
  <c r="GF48" i="4" s="1"/>
  <c r="GC48" i="4"/>
  <c r="GG48" i="4" s="1"/>
  <c r="CX26" i="4"/>
  <c r="CQ26" i="4"/>
  <c r="GC24" i="4"/>
  <c r="GG24" i="4" s="1"/>
  <c r="FY24" i="4"/>
  <c r="GF24" i="4" s="1"/>
  <c r="DB62" i="4"/>
  <c r="CU62" i="4"/>
  <c r="DD8" i="4"/>
  <c r="DE8" i="4" s="1"/>
  <c r="DF8" i="4" s="1" a="1"/>
  <c r="DF8" i="4" s="1"/>
  <c r="CP8" i="4"/>
  <c r="CW8" i="4"/>
  <c r="CS100" i="4"/>
  <c r="CZ100" i="4"/>
  <c r="FY100" i="4"/>
  <c r="GF100" i="4" s="1"/>
  <c r="GC100" i="4"/>
  <c r="GG100" i="4" s="1"/>
  <c r="DE60" i="4"/>
  <c r="DF60" i="4" s="1" a="1"/>
  <c r="DF60" i="4" s="1"/>
  <c r="CR101" i="4"/>
  <c r="CY101" i="4"/>
  <c r="DD101" i="4"/>
  <c r="DE101" i="4" s="1"/>
  <c r="DF101" i="4" s="1" a="1"/>
  <c r="DF101" i="4" s="1"/>
  <c r="DF81" i="4" a="1"/>
  <c r="DF81" i="4" s="1"/>
  <c r="GC59" i="4"/>
  <c r="GG59" i="4" s="1"/>
  <c r="FY59" i="4"/>
  <c r="GF59" i="4" s="1"/>
  <c r="DF88" i="4" a="1"/>
  <c r="DF88" i="4" s="1"/>
  <c r="DF102" i="4" a="1"/>
  <c r="DF102" i="4" s="1"/>
  <c r="GC98" i="4"/>
  <c r="GG98" i="4" s="1"/>
  <c r="FY98" i="4"/>
  <c r="GF98" i="4" s="1"/>
  <c r="FY73" i="4"/>
  <c r="GF73" i="4" s="1"/>
  <c r="GC73" i="4"/>
  <c r="GG73" i="4" s="1"/>
  <c r="FY52" i="4"/>
  <c r="GF52" i="4" s="1"/>
  <c r="GC52" i="4"/>
  <c r="GG52" i="4" s="1"/>
  <c r="DF103" i="4" a="1"/>
  <c r="DF103" i="4" s="1"/>
  <c r="FY17" i="4"/>
  <c r="GF17" i="4" s="1"/>
  <c r="GC17" i="4"/>
  <c r="GG17" i="4" s="1"/>
  <c r="FY41" i="4"/>
  <c r="GF41" i="4" s="1"/>
  <c r="GC41" i="4"/>
  <c r="GG41" i="4" s="1"/>
  <c r="FY34" i="4"/>
  <c r="GF34" i="4" s="1"/>
  <c r="GC34" i="4"/>
  <c r="GG34" i="4" s="1"/>
  <c r="FY28" i="4"/>
  <c r="GF28" i="4" s="1"/>
  <c r="GC28" i="4"/>
  <c r="GG28" i="4" s="1"/>
  <c r="DD9" i="4"/>
  <c r="CP9" i="4"/>
  <c r="CW9" i="4"/>
  <c r="FY94" i="4"/>
  <c r="GF94" i="4" s="1"/>
  <c r="GC94" i="4"/>
  <c r="GG94" i="4" s="1"/>
  <c r="FY95" i="4"/>
  <c r="GF95" i="4" s="1"/>
  <c r="GC95" i="4"/>
  <c r="GG95" i="4" s="1"/>
  <c r="GC75" i="4"/>
  <c r="GG75" i="4" s="1"/>
  <c r="FY75" i="4"/>
  <c r="GF75" i="4" s="1"/>
  <c r="CR54" i="4"/>
  <c r="CY54" i="4"/>
  <c r="DE54" i="4" s="1"/>
  <c r="DF54" i="4" s="1" a="1"/>
  <c r="DF54" i="4" s="1"/>
  <c r="GC32" i="4"/>
  <c r="GG32" i="4" s="1"/>
  <c r="FY32" i="4"/>
  <c r="GF32" i="4" s="1"/>
  <c r="GC54" i="4"/>
  <c r="GG54" i="4" s="1"/>
  <c r="FY54" i="4"/>
  <c r="GF54" i="4" s="1"/>
  <c r="FY22" i="4"/>
  <c r="GF22" i="4" s="1"/>
  <c r="GC22" i="4"/>
  <c r="GG22" i="4" s="1"/>
  <c r="FY53" i="4"/>
  <c r="GF53" i="4" s="1"/>
  <c r="GC53" i="4"/>
  <c r="GG53" i="4" s="1"/>
  <c r="CQ84" i="4"/>
  <c r="CX84" i="4"/>
  <c r="DF84" i="4" s="1" a="1"/>
  <c r="DF84" i="4" s="1"/>
  <c r="FY57" i="4"/>
  <c r="GF57" i="4" s="1"/>
  <c r="GC57" i="4"/>
  <c r="GG57" i="4" s="1"/>
  <c r="DD28" i="4"/>
  <c r="DE28" i="4" s="1"/>
  <c r="CP28" i="4"/>
  <c r="CW28" i="4"/>
  <c r="FY27" i="4"/>
  <c r="GF27" i="4" s="1"/>
  <c r="GC27" i="4"/>
  <c r="GG27" i="4" s="1"/>
  <c r="CX45" i="4"/>
  <c r="DF45" i="4" s="1" a="1"/>
  <c r="DF45" i="4" s="1"/>
  <c r="CQ45" i="4"/>
  <c r="DF89" i="4" a="1"/>
  <c r="DF89" i="4" s="1"/>
  <c r="GC36" i="4"/>
  <c r="GG36" i="4" s="1"/>
  <c r="FY36" i="4"/>
  <c r="GF36" i="4" s="1"/>
  <c r="DD61" i="4"/>
  <c r="DA99" i="4"/>
  <c r="CT99" i="4"/>
  <c r="DB7" i="4"/>
  <c r="CU7" i="4"/>
  <c r="GC21" i="4"/>
  <c r="GG21" i="4" s="1"/>
  <c r="FY21" i="4"/>
  <c r="GF21" i="4" s="1"/>
  <c r="DF59" i="4" a="1"/>
  <c r="DF59" i="4" s="1"/>
  <c r="DF76" i="4" a="1"/>
  <c r="DF76" i="4" s="1"/>
  <c r="BV10" i="4"/>
  <c r="FY25" i="4"/>
  <c r="GF25" i="4" s="1"/>
  <c r="GC25" i="4"/>
  <c r="GG25" i="4" s="1"/>
  <c r="CY75" i="4"/>
  <c r="CR75" i="4"/>
  <c r="DD75" i="4"/>
  <c r="DE75" i="4" s="1"/>
  <c r="DF75" i="4" s="1" a="1"/>
  <c r="DF75" i="4" s="1"/>
  <c r="CC37" i="4"/>
  <c r="CJ37" i="4" s="1"/>
  <c r="DD37" i="4" s="1"/>
  <c r="BW38" i="4"/>
  <c r="GC92" i="4"/>
  <c r="GG92" i="4" s="1"/>
  <c r="FY92" i="4"/>
  <c r="GF92" i="4" s="1"/>
  <c r="DD49" i="4"/>
  <c r="DE49" i="4" s="1"/>
  <c r="DF49" i="4" s="1" a="1"/>
  <c r="DF49" i="4" s="1"/>
  <c r="CX53" i="4"/>
  <c r="CQ53" i="4"/>
  <c r="FY81" i="4"/>
  <c r="GF81" i="4" s="1"/>
  <c r="GC81" i="4"/>
  <c r="GG81" i="4" s="1"/>
  <c r="DF30" i="4" a="1"/>
  <c r="DF30" i="4" s="1"/>
  <c r="FY69" i="4"/>
  <c r="GF69" i="4" s="1"/>
  <c r="GC69" i="4"/>
  <c r="GG69" i="4" s="1"/>
  <c r="GC19" i="4"/>
  <c r="GG19" i="4" s="1"/>
  <c r="FY19" i="4"/>
  <c r="GF19" i="4" s="1"/>
  <c r="DF74" i="4" a="1"/>
  <c r="DF74" i="4" s="1"/>
  <c r="GC103" i="4"/>
  <c r="GG103" i="4" s="1"/>
  <c r="FY103" i="4"/>
  <c r="GF103" i="4" s="1"/>
  <c r="FY39" i="4"/>
  <c r="GF39" i="4" s="1"/>
  <c r="GC39" i="4"/>
  <c r="GG39" i="4" s="1"/>
  <c r="CW48" i="4"/>
  <c r="DD48" i="4"/>
  <c r="DE48" i="4" s="1"/>
  <c r="CP48" i="4"/>
  <c r="BY94" i="4"/>
  <c r="DA25" i="4"/>
  <c r="CT25" i="4"/>
  <c r="CX39" i="4"/>
  <c r="DF39" i="4" s="1" a="1"/>
  <c r="DF39" i="4" s="1"/>
  <c r="CQ39" i="4"/>
  <c r="GC37" i="4"/>
  <c r="GG37" i="4" s="1"/>
  <c r="FY37" i="4"/>
  <c r="GF37" i="4" s="1"/>
  <c r="CQ42" i="4"/>
  <c r="CX42" i="4"/>
  <c r="DF100" i="4" a="1"/>
  <c r="DF100" i="4" s="1"/>
  <c r="GC61" i="4"/>
  <c r="GG61" i="4" s="1"/>
  <c r="FY61" i="4"/>
  <c r="GF61" i="4" s="1"/>
  <c r="DF36" i="4" a="1"/>
  <c r="DF36" i="4" s="1"/>
  <c r="FY47" i="4"/>
  <c r="GF47" i="4" s="1"/>
  <c r="GC47" i="4"/>
  <c r="GG47" i="4" s="1"/>
  <c r="GC60" i="4"/>
  <c r="GG60" i="4" s="1"/>
  <c r="FY60" i="4"/>
  <c r="GF60" i="4" s="1"/>
  <c r="GC72" i="4"/>
  <c r="GG72" i="4" s="1"/>
  <c r="FY72" i="4"/>
  <c r="GF72" i="4" s="1"/>
  <c r="GC80" i="4"/>
  <c r="GG80" i="4" s="1"/>
  <c r="FY80" i="4"/>
  <c r="GF80" i="4" s="1"/>
  <c r="DD53" i="4"/>
  <c r="DE53" i="4" s="1"/>
  <c r="DF53" i="4" s="1" a="1"/>
  <c r="DF53" i="4" s="1"/>
  <c r="FY76" i="4"/>
  <c r="GF76" i="4" s="1"/>
  <c r="GC76" i="4"/>
  <c r="GG76" i="4" s="1"/>
  <c r="FY23" i="4"/>
  <c r="GF23" i="4" s="1"/>
  <c r="GC23" i="4"/>
  <c r="GG23" i="4" s="1"/>
  <c r="DF69" i="4" a="1"/>
  <c r="DF69" i="4" s="1"/>
  <c r="GC12" i="4"/>
  <c r="GG12" i="4" s="1"/>
  <c r="FY12" i="4"/>
  <c r="GF12" i="4" s="1"/>
  <c r="DD24" i="4"/>
  <c r="DE24" i="4" s="1"/>
  <c r="DF24" i="4" s="1" a="1"/>
  <c r="DF24" i="4" s="1"/>
  <c r="DF34" i="4" a="1"/>
  <c r="DF34" i="4" s="1"/>
  <c r="DF72" i="4" a="1"/>
  <c r="DF72" i="4" s="1"/>
  <c r="DF27" i="4" a="1"/>
  <c r="DF27" i="4" s="1"/>
  <c r="GC33" i="4"/>
  <c r="GG33" i="4" s="1"/>
  <c r="FY33" i="4"/>
  <c r="GF33" i="4" s="1"/>
  <c r="GC13" i="4"/>
  <c r="GG13" i="4" s="1"/>
  <c r="FY13" i="4"/>
  <c r="GF13" i="4" s="1"/>
  <c r="FY44" i="4"/>
  <c r="GF44" i="4" s="1"/>
  <c r="GC44" i="4"/>
  <c r="GG44" i="4" s="1"/>
  <c r="GC43" i="4"/>
  <c r="GG43" i="4" s="1"/>
  <c r="FY43" i="4"/>
  <c r="GF43" i="4" s="1"/>
  <c r="BV19" i="4"/>
  <c r="DF33" i="4" a="1"/>
  <c r="DF33" i="4" s="1"/>
  <c r="GC64" i="4"/>
  <c r="GG64" i="4" s="1"/>
  <c r="FY64" i="4"/>
  <c r="GF64" i="4" s="1"/>
  <c r="DD85" i="4"/>
  <c r="DE85" i="4" s="1"/>
  <c r="DF85" i="4" s="1" a="1"/>
  <c r="DF85" i="4" s="1"/>
  <c r="CP85" i="4"/>
  <c r="CW85" i="4"/>
  <c r="GC50" i="4"/>
  <c r="GG50" i="4" s="1"/>
  <c r="FY50" i="4"/>
  <c r="GF50" i="4" s="1"/>
  <c r="DF86" i="4" a="1"/>
  <c r="DF86" i="4" s="1"/>
  <c r="FY16" i="4"/>
  <c r="GF16" i="4" s="1"/>
  <c r="GC16" i="4"/>
  <c r="GG16" i="4" s="1"/>
  <c r="CP41" i="4"/>
  <c r="CW41" i="4"/>
  <c r="DE62" i="4"/>
  <c r="DF62" i="4" s="1" a="1"/>
  <c r="DF62" i="4" s="1"/>
  <c r="GC56" i="4"/>
  <c r="GG56" i="4" s="1"/>
  <c r="FY56" i="4"/>
  <c r="GF56" i="4" s="1"/>
  <c r="DE5" i="4"/>
  <c r="DF5" i="4" s="1" a="1"/>
  <c r="DF5" i="4" s="1"/>
  <c r="DF50" i="4" a="1"/>
  <c r="DF50" i="4" s="1"/>
  <c r="GC79" i="4"/>
  <c r="GG79" i="4" s="1"/>
  <c r="FY79" i="4"/>
  <c r="GF79" i="4" s="1"/>
  <c r="CY57" i="4"/>
  <c r="DF57" i="4" s="1" a="1"/>
  <c r="DF57" i="4" s="1"/>
  <c r="CR57" i="4"/>
  <c r="DE93" i="4" l="1"/>
  <c r="DF93" i="4" s="1" a="1"/>
  <c r="DF93" i="4" s="1"/>
  <c r="CB19" i="4"/>
  <c r="CI19" i="4" s="1"/>
  <c r="BV20" i="4"/>
  <c r="BV21" i="4" s="1"/>
  <c r="DE18" i="4"/>
  <c r="DF18" i="4" s="1" a="1"/>
  <c r="DF18" i="4" s="1"/>
  <c r="CB10" i="4"/>
  <c r="CI10" i="4" s="1"/>
  <c r="BV11" i="4"/>
  <c r="CC38" i="4"/>
  <c r="CJ38" i="4" s="1"/>
  <c r="BW39" i="4"/>
  <c r="BW40" i="4" s="1"/>
  <c r="CX14" i="4"/>
  <c r="CQ14" i="4"/>
  <c r="CG65" i="4"/>
  <c r="CN65" i="4" s="1"/>
  <c r="CA66" i="4"/>
  <c r="CA67" i="4" s="1"/>
  <c r="CC68" i="4"/>
  <c r="CJ68" i="4" s="1"/>
  <c r="BW69" i="4"/>
  <c r="BW70" i="4" s="1"/>
  <c r="BW71" i="4" s="1"/>
  <c r="BW72" i="4" s="1"/>
  <c r="BW73" i="4" s="1"/>
  <c r="BW74" i="4" s="1"/>
  <c r="BW75" i="4" s="1"/>
  <c r="BW76" i="4" s="1"/>
  <c r="BW77" i="4" s="1"/>
  <c r="BW78" i="4" s="1"/>
  <c r="BW79" i="4" s="1"/>
  <c r="BW80" i="4" s="1"/>
  <c r="BW81" i="4" s="1"/>
  <c r="BW82" i="4" s="1"/>
  <c r="BW83" i="4" s="1"/>
  <c r="BW84" i="4" s="1"/>
  <c r="BW85" i="4" s="1"/>
  <c r="BW86" i="4" s="1"/>
  <c r="BW87" i="4" s="1"/>
  <c r="BW88" i="4" s="1"/>
  <c r="BW89" i="4" s="1"/>
  <c r="BW90" i="4" s="1"/>
  <c r="BW91" i="4" s="1"/>
  <c r="BW92" i="4" s="1"/>
  <c r="BW93" i="4" s="1"/>
  <c r="BW94" i="4" s="1"/>
  <c r="BW95" i="4" s="1"/>
  <c r="BW96" i="4" s="1"/>
  <c r="BW97" i="4" s="1"/>
  <c r="BW98" i="4" s="1"/>
  <c r="BW99" i="4" s="1"/>
  <c r="BW100" i="4" s="1"/>
  <c r="BW101" i="4" s="1"/>
  <c r="BW102" i="4" s="1"/>
  <c r="BW103" i="4" s="1"/>
  <c r="CQ37" i="4"/>
  <c r="CX37" i="4"/>
  <c r="DE37" i="4" s="1"/>
  <c r="DF37" i="4" s="1" a="1"/>
  <c r="DF37" i="4" s="1"/>
  <c r="CC15" i="4"/>
  <c r="CJ15" i="4" s="1"/>
  <c r="BW16" i="4"/>
  <c r="DB64" i="4"/>
  <c r="CU64" i="4"/>
  <c r="DD64" i="4"/>
  <c r="DE64" i="4" s="1"/>
  <c r="DE9" i="4"/>
  <c r="DF9" i="4" s="1" a="1"/>
  <c r="DF9" i="4" s="1"/>
  <c r="CE94" i="4"/>
  <c r="CL94" i="4" s="1"/>
  <c r="BY95" i="4"/>
  <c r="DF28" i="4" a="1"/>
  <c r="DF28" i="4" s="1"/>
  <c r="DB55" i="4"/>
  <c r="CU55" i="4"/>
  <c r="DD55" i="4"/>
  <c r="CP67" i="4"/>
  <c r="CW67" i="4"/>
  <c r="DE61" i="4"/>
  <c r="DF61" i="4" s="1" a="1"/>
  <c r="DF61" i="4" s="1"/>
  <c r="CB68" i="4"/>
  <c r="CI68" i="4" s="1"/>
  <c r="BV69" i="4"/>
  <c r="BV70" i="4" s="1"/>
  <c r="BV71" i="4" s="1"/>
  <c r="BV72" i="4" s="1"/>
  <c r="BV73" i="4" s="1"/>
  <c r="BV74" i="4" s="1"/>
  <c r="BV75" i="4" s="1"/>
  <c r="BV76" i="4" s="1"/>
  <c r="BV77" i="4" s="1"/>
  <c r="BV78" i="4" s="1"/>
  <c r="BV79" i="4" s="1"/>
  <c r="BV80" i="4" s="1"/>
  <c r="BV81" i="4" s="1"/>
  <c r="BV82" i="4" s="1"/>
  <c r="BV83" i="4" s="1"/>
  <c r="BV84" i="4" s="1"/>
  <c r="BV85" i="4" s="1"/>
  <c r="BV86" i="4" s="1"/>
  <c r="BV87" i="4" s="1"/>
  <c r="BV88" i="4" s="1"/>
  <c r="BV89" i="4" s="1"/>
  <c r="BV90" i="4" s="1"/>
  <c r="BV91" i="4" s="1"/>
  <c r="BV92" i="4" s="1"/>
  <c r="BV93" i="4" s="1"/>
  <c r="BV94" i="4" s="1"/>
  <c r="BV95" i="4" s="1"/>
  <c r="BV96" i="4" s="1"/>
  <c r="BV97" i="4" s="1"/>
  <c r="BV98" i="4" s="1"/>
  <c r="BV99" i="4" s="1"/>
  <c r="BV100" i="4" s="1"/>
  <c r="BV101" i="4" s="1"/>
  <c r="BV102" i="4" s="1"/>
  <c r="BV103" i="4" s="1"/>
  <c r="CU41" i="4"/>
  <c r="DB41" i="4"/>
  <c r="DF48" i="4" a="1"/>
  <c r="DF48" i="4" s="1"/>
  <c r="CX67" i="4"/>
  <c r="CQ67" i="4"/>
  <c r="CG42" i="4"/>
  <c r="CN42" i="4" s="1"/>
  <c r="CA43" i="4"/>
  <c r="CW68" i="4" l="1"/>
  <c r="CP68" i="4"/>
  <c r="DF64" i="4" a="1"/>
  <c r="DF64" i="4" s="1"/>
  <c r="CC40" i="4"/>
  <c r="CJ40" i="4" s="1"/>
  <c r="BW41" i="4"/>
  <c r="CQ38" i="4"/>
  <c r="CX38" i="4"/>
  <c r="DD38" i="4"/>
  <c r="CC16" i="4"/>
  <c r="CJ16" i="4" s="1"/>
  <c r="BW17" i="4"/>
  <c r="BV12" i="4"/>
  <c r="CB11" i="4"/>
  <c r="CI11" i="4" s="1"/>
  <c r="CS94" i="4"/>
  <c r="CZ94" i="4"/>
  <c r="DD94" i="4"/>
  <c r="DE94" i="4" s="1"/>
  <c r="DF94" i="4" s="1" a="1"/>
  <c r="DF94" i="4" s="1"/>
  <c r="CA44" i="4"/>
  <c r="CA45" i="4" s="1"/>
  <c r="CA46" i="4" s="1"/>
  <c r="CA47" i="4" s="1"/>
  <c r="CA48" i="4" s="1"/>
  <c r="CA49" i="4" s="1"/>
  <c r="CA50" i="4" s="1"/>
  <c r="CA51" i="4" s="1"/>
  <c r="CA52" i="4" s="1"/>
  <c r="CA53" i="4" s="1"/>
  <c r="CG43" i="4"/>
  <c r="CN43" i="4" s="1"/>
  <c r="CX15" i="4"/>
  <c r="CQ15" i="4"/>
  <c r="DD15" i="4"/>
  <c r="DE15" i="4" s="1"/>
  <c r="DD10" i="4"/>
  <c r="CP10" i="4"/>
  <c r="CW10" i="4"/>
  <c r="DB42" i="4"/>
  <c r="CU42" i="4"/>
  <c r="DD42" i="4"/>
  <c r="DE42" i="4" s="1"/>
  <c r="DF42" i="4" s="1" a="1"/>
  <c r="DF42" i="4" s="1"/>
  <c r="DE55" i="4"/>
  <c r="DF55" i="4" s="1" a="1"/>
  <c r="DF55" i="4" s="1"/>
  <c r="CB21" i="4"/>
  <c r="CI21" i="4" s="1"/>
  <c r="BV22" i="4"/>
  <c r="DB65" i="4"/>
  <c r="CU65" i="4"/>
  <c r="DD65" i="4"/>
  <c r="DE65" i="4" s="1"/>
  <c r="DF65" i="4" s="1" a="1"/>
  <c r="DF65" i="4" s="1"/>
  <c r="DD19" i="4"/>
  <c r="CP19" i="4"/>
  <c r="CW19" i="4"/>
  <c r="CX68" i="4"/>
  <c r="CQ68" i="4"/>
  <c r="CE95" i="4"/>
  <c r="CL95" i="4" s="1"/>
  <c r="BY96" i="4"/>
  <c r="CG67" i="4"/>
  <c r="CN67" i="4" s="1"/>
  <c r="CA68" i="4"/>
  <c r="BW18" i="4" l="1"/>
  <c r="BW19" i="4" s="1"/>
  <c r="BW20" i="4" s="1"/>
  <c r="BW21" i="4" s="1"/>
  <c r="BW22" i="4" s="1"/>
  <c r="BW23" i="4" s="1"/>
  <c r="BW24" i="4" s="1"/>
  <c r="BW25" i="4" s="1"/>
  <c r="BW26" i="4" s="1"/>
  <c r="BW27" i="4" s="1"/>
  <c r="BW28" i="4" s="1"/>
  <c r="BW29" i="4" s="1"/>
  <c r="BW30" i="4" s="1"/>
  <c r="BW31" i="4" s="1"/>
  <c r="BW32" i="4" s="1"/>
  <c r="BW33" i="4" s="1"/>
  <c r="BW34" i="4" s="1"/>
  <c r="BW35" i="4" s="1"/>
  <c r="BW36" i="4" s="1"/>
  <c r="CC17" i="4"/>
  <c r="CJ17" i="4" s="1"/>
  <c r="DF15" i="4" a="1"/>
  <c r="DF15" i="4" s="1"/>
  <c r="DE38" i="4"/>
  <c r="DF38" i="4" s="1" a="1"/>
  <c r="DF38" i="4" s="1"/>
  <c r="DE19" i="4"/>
  <c r="DF19" i="4" s="1" a="1"/>
  <c r="DF19" i="4" s="1"/>
  <c r="CB12" i="4"/>
  <c r="CI12" i="4" s="1"/>
  <c r="BV13" i="4"/>
  <c r="CX16" i="4"/>
  <c r="CQ16" i="4"/>
  <c r="DD16" i="4"/>
  <c r="DE16" i="4" s="1"/>
  <c r="CA69" i="4"/>
  <c r="CA70" i="4" s="1"/>
  <c r="CA71" i="4" s="1"/>
  <c r="CA72" i="4" s="1"/>
  <c r="CA73" i="4" s="1"/>
  <c r="CA74" i="4" s="1"/>
  <c r="CA75" i="4" s="1"/>
  <c r="CA76" i="4" s="1"/>
  <c r="CA77" i="4" s="1"/>
  <c r="CA78" i="4" s="1"/>
  <c r="CA79" i="4" s="1"/>
  <c r="CA80" i="4" s="1"/>
  <c r="CA81" i="4" s="1"/>
  <c r="CA82" i="4" s="1"/>
  <c r="CA83" i="4" s="1"/>
  <c r="CA84" i="4" s="1"/>
  <c r="CA85" i="4" s="1"/>
  <c r="CA86" i="4" s="1"/>
  <c r="CA87" i="4" s="1"/>
  <c r="CA88" i="4" s="1"/>
  <c r="CA89" i="4" s="1"/>
  <c r="CA90" i="4" s="1"/>
  <c r="CA91" i="4" s="1"/>
  <c r="CA92" i="4" s="1"/>
  <c r="CA93" i="4" s="1"/>
  <c r="CA94" i="4" s="1"/>
  <c r="CA95" i="4" s="1"/>
  <c r="CA96" i="4" s="1"/>
  <c r="CA97" i="4" s="1"/>
  <c r="CA98" i="4" s="1"/>
  <c r="CA99" i="4" s="1"/>
  <c r="CA100" i="4" s="1"/>
  <c r="CA101" i="4" s="1"/>
  <c r="CA102" i="4" s="1"/>
  <c r="CA103" i="4" s="1"/>
  <c r="CG68" i="4"/>
  <c r="CN68" i="4" s="1"/>
  <c r="CB22" i="4"/>
  <c r="CI22" i="4" s="1"/>
  <c r="BV23" i="4"/>
  <c r="BV24" i="4" s="1"/>
  <c r="BV25" i="4" s="1"/>
  <c r="DB43" i="4"/>
  <c r="CU43" i="4"/>
  <c r="DD43" i="4"/>
  <c r="DE43" i="4" s="1"/>
  <c r="DF43" i="4" s="1" a="1"/>
  <c r="DF43" i="4" s="1"/>
  <c r="CC41" i="4"/>
  <c r="CJ41" i="4" s="1"/>
  <c r="BW42" i="4"/>
  <c r="BW43" i="4" s="1"/>
  <c r="BW44" i="4" s="1"/>
  <c r="BW45" i="4" s="1"/>
  <c r="BW46" i="4" s="1"/>
  <c r="BW47" i="4" s="1"/>
  <c r="BW48" i="4" s="1"/>
  <c r="BW49" i="4" s="1"/>
  <c r="BW50" i="4" s="1"/>
  <c r="BW51" i="4" s="1"/>
  <c r="BW52" i="4" s="1"/>
  <c r="BW53" i="4" s="1"/>
  <c r="BW54" i="4" s="1"/>
  <c r="BW55" i="4" s="1"/>
  <c r="BW56" i="4" s="1"/>
  <c r="BW57" i="4" s="1"/>
  <c r="BW58" i="4" s="1"/>
  <c r="BW59" i="4" s="1"/>
  <c r="BW60" i="4" s="1"/>
  <c r="BW61" i="4" s="1"/>
  <c r="BW62" i="4" s="1"/>
  <c r="BW63" i="4" s="1"/>
  <c r="BW64" i="4" s="1"/>
  <c r="BW65" i="4" s="1"/>
  <c r="BW66" i="4" s="1"/>
  <c r="DB67" i="4"/>
  <c r="CU67" i="4"/>
  <c r="DD67" i="4"/>
  <c r="DE67" i="4" s="1"/>
  <c r="DF67" i="4" s="1" a="1"/>
  <c r="DF67" i="4" s="1"/>
  <c r="DD21" i="4"/>
  <c r="DE21" i="4" s="1"/>
  <c r="CP21" i="4"/>
  <c r="CW21" i="4"/>
  <c r="CQ40" i="4"/>
  <c r="CX40" i="4"/>
  <c r="DD40" i="4"/>
  <c r="DE40" i="4" s="1"/>
  <c r="DF40" i="4" s="1" a="1"/>
  <c r="DF40" i="4" s="1"/>
  <c r="CE96" i="4"/>
  <c r="CL96" i="4" s="1"/>
  <c r="BY97" i="4"/>
  <c r="CS95" i="4"/>
  <c r="CZ95" i="4"/>
  <c r="DD95" i="4"/>
  <c r="DE95" i="4" s="1"/>
  <c r="DF95" i="4" s="1" a="1"/>
  <c r="DF95" i="4" s="1"/>
  <c r="DE10" i="4"/>
  <c r="DF10" i="4" s="1" a="1"/>
  <c r="DF10" i="4" s="1"/>
  <c r="DD11" i="4"/>
  <c r="DE11" i="4" s="1"/>
  <c r="DF11" i="4" s="1" a="1"/>
  <c r="DF11" i="4" s="1"/>
  <c r="CP11" i="4"/>
  <c r="CW11" i="4"/>
  <c r="DF16" i="4" l="1" a="1"/>
  <c r="DF16" i="4" s="1"/>
  <c r="CB13" i="4"/>
  <c r="CI13" i="4" s="1"/>
  <c r="BV14" i="4"/>
  <c r="CE97" i="4"/>
  <c r="CL97" i="4" s="1"/>
  <c r="BY98" i="4"/>
  <c r="CX41" i="4"/>
  <c r="CQ41" i="4"/>
  <c r="DD41" i="4"/>
  <c r="DE41" i="4" s="1"/>
  <c r="DF41" i="4" s="1" a="1"/>
  <c r="DF41" i="4" s="1"/>
  <c r="DD12" i="4"/>
  <c r="CP12" i="4"/>
  <c r="CW12" i="4"/>
  <c r="CS96" i="4"/>
  <c r="CZ96" i="4"/>
  <c r="DD96" i="4"/>
  <c r="DF21" i="4" a="1"/>
  <c r="DF21" i="4" s="1"/>
  <c r="CB25" i="4"/>
  <c r="CI25" i="4" s="1"/>
  <c r="BV26" i="4"/>
  <c r="CX17" i="4"/>
  <c r="CQ17" i="4"/>
  <c r="DD17" i="4"/>
  <c r="DE17" i="4" s="1"/>
  <c r="DF17" i="4" s="1" a="1"/>
  <c r="DF17" i="4" s="1"/>
  <c r="DB68" i="4"/>
  <c r="CU68" i="4"/>
  <c r="DD68" i="4"/>
  <c r="DE68" i="4" s="1"/>
  <c r="DF68" i="4" s="1" a="1"/>
  <c r="DF68" i="4" s="1"/>
  <c r="CW22" i="4"/>
  <c r="DD22" i="4"/>
  <c r="CP22" i="4"/>
  <c r="BV27" i="4" l="1"/>
  <c r="BV28" i="4" s="1"/>
  <c r="BV29" i="4" s="1"/>
  <c r="CB26" i="4"/>
  <c r="CI26" i="4" s="1"/>
  <c r="CE98" i="4"/>
  <c r="CL98" i="4" s="1"/>
  <c r="BY99" i="4"/>
  <c r="CW25" i="4"/>
  <c r="CP25" i="4"/>
  <c r="DD25" i="4"/>
  <c r="DE25" i="4" s="1"/>
  <c r="DF25" i="4" s="1" a="1"/>
  <c r="DF25" i="4" s="1"/>
  <c r="CZ97" i="4"/>
  <c r="CS97" i="4"/>
  <c r="DD97" i="4"/>
  <c r="DE97" i="4" s="1"/>
  <c r="DF97" i="4" s="1" a="1"/>
  <c r="DF97" i="4" s="1"/>
  <c r="CB14" i="4"/>
  <c r="CI14" i="4" s="1"/>
  <c r="BV15" i="4"/>
  <c r="BV16" i="4" s="1"/>
  <c r="BV17" i="4" s="1"/>
  <c r="DE96" i="4"/>
  <c r="DF96" i="4" s="1" a="1"/>
  <c r="DF96" i="4" s="1"/>
  <c r="DD13" i="4"/>
  <c r="CP13" i="4"/>
  <c r="CW13" i="4"/>
  <c r="DE12" i="4"/>
  <c r="DF12" i="4" s="1" a="1"/>
  <c r="DF12" i="4" s="1"/>
  <c r="DE22" i="4"/>
  <c r="DF22" i="4" s="1" a="1"/>
  <c r="DF22" i="4" s="1"/>
  <c r="CE99" i="4" l="1"/>
  <c r="CL99" i="4" s="1"/>
  <c r="BY100" i="4"/>
  <c r="BY101" i="4" s="1"/>
  <c r="BY102" i="4" s="1"/>
  <c r="BY103" i="4" s="1"/>
  <c r="DD14" i="4"/>
  <c r="CP14" i="4"/>
  <c r="CW14" i="4"/>
  <c r="CZ98" i="4"/>
  <c r="CS98" i="4"/>
  <c r="DD98" i="4"/>
  <c r="DE98" i="4" s="1"/>
  <c r="DF98" i="4" s="1" a="1"/>
  <c r="DF98" i="4" s="1"/>
  <c r="DE13" i="4"/>
  <c r="DF13" i="4" s="1" a="1"/>
  <c r="DF13" i="4" s="1"/>
  <c r="DD26" i="4"/>
  <c r="CW26" i="4"/>
  <c r="CP26" i="4"/>
  <c r="BV30" i="4"/>
  <c r="BV31" i="4" s="1"/>
  <c r="CB29" i="4"/>
  <c r="CI29" i="4" s="1"/>
  <c r="DE14" i="4" l="1"/>
  <c r="DF14" i="4" s="1" a="1"/>
  <c r="DF14" i="4" s="1"/>
  <c r="DE26" i="4"/>
  <c r="DF26" i="4" s="1" a="1"/>
  <c r="DF26" i="4" s="1"/>
  <c r="CW29" i="4"/>
  <c r="CP29" i="4"/>
  <c r="DD29" i="4"/>
  <c r="DE29" i="4" s="1"/>
  <c r="DF29" i="4" s="1" a="1"/>
  <c r="DF29" i="4" s="1"/>
  <c r="CB31" i="4"/>
  <c r="CI31" i="4" s="1"/>
  <c r="BV32" i="4"/>
  <c r="BV33" i="4" s="1"/>
  <c r="BV34" i="4" s="1"/>
  <c r="BV35" i="4" s="1"/>
  <c r="BV36" i="4" s="1"/>
  <c r="CZ99" i="4"/>
  <c r="CS99" i="4"/>
  <c r="DD99" i="4"/>
  <c r="DE99" i="4" s="1"/>
  <c r="DF99" i="4" s="1" a="1"/>
  <c r="DF99" i="4" s="1"/>
  <c r="DD31" i="4" l="1"/>
  <c r="CW31" i="4"/>
  <c r="CP31" i="4"/>
  <c r="DE31" i="4" l="1"/>
  <c r="DF31" i="4" s="1" a="1"/>
  <c r="DF3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<sst xmlns="http://schemas.openxmlformats.org/spreadsheetml/2006/main" count="476" uniqueCount="275">
  <si>
    <t>No</t>
  </si>
  <si>
    <t>Symbol</t>
  </si>
  <si>
    <t>Timeframe</t>
  </si>
  <si>
    <t>2026.02.13 15:40</t>
  </si>
  <si>
    <t>USDJPY.i</t>
  </si>
  <si>
    <t>2026.02.13 15:45</t>
  </si>
  <si>
    <t>2026.02.13 15:50</t>
  </si>
  <si>
    <t>2026.02.13 15:55</t>
  </si>
  <si>
    <t>2026.02.13 16:00</t>
  </si>
  <si>
    <t>2026.02.13 16:05</t>
  </si>
  <si>
    <t>2026.02.13 16:10</t>
  </si>
  <si>
    <t>2026.02.13 16:15</t>
  </si>
  <si>
    <t>2026.02.13 16:20</t>
  </si>
  <si>
    <t>2026.02.13 16:25</t>
  </si>
  <si>
    <t>2026.02.13 16:30</t>
  </si>
  <si>
    <t>2026.02.13 16:35</t>
  </si>
  <si>
    <t>2026.02.13 16:40</t>
  </si>
  <si>
    <t>2026.02.13 16:45</t>
  </si>
  <si>
    <t>2026.02.13 16:50</t>
  </si>
  <si>
    <t>2026.02.13 16:55</t>
  </si>
  <si>
    <t>2026.02.13 17:00</t>
  </si>
  <si>
    <t>2026.02.13 17:05</t>
  </si>
  <si>
    <t>2026.02.13 17:10</t>
  </si>
  <si>
    <t>2026.02.13 17:15</t>
  </si>
  <si>
    <t>2026.02.13 17:20</t>
  </si>
  <si>
    <t>2026.02.13 17:25</t>
  </si>
  <si>
    <t>2026.02.13 17:30</t>
  </si>
  <si>
    <t>2026.02.13 17:35</t>
  </si>
  <si>
    <t>2026.02.13 17:40</t>
  </si>
  <si>
    <t>2026.02.13 17:45</t>
  </si>
  <si>
    <t>2026.02.13 17:50</t>
  </si>
  <si>
    <t>2026.02.13 17:55</t>
  </si>
  <si>
    <t>2026.02.13 18:00</t>
  </si>
  <si>
    <t>2026.02.13 18:05</t>
  </si>
  <si>
    <t>2026.02.13 18:10</t>
  </si>
  <si>
    <t>2026.02.13 18:15</t>
  </si>
  <si>
    <t>2026.02.13 18:20</t>
  </si>
  <si>
    <t>2026.02.13 18:25</t>
  </si>
  <si>
    <t>2026.02.13 18:30</t>
  </si>
  <si>
    <t>2026.02.13 18:35</t>
  </si>
  <si>
    <t>2026.02.13 18:40</t>
  </si>
  <si>
    <t>2026.02.13 18:45</t>
  </si>
  <si>
    <t>2026.02.13 18:50</t>
  </si>
  <si>
    <t>2026.02.13 18:55</t>
  </si>
  <si>
    <t>2026.02.13 19:00</t>
  </si>
  <si>
    <t>2026.02.13 19:05</t>
  </si>
  <si>
    <t>2026.02.13 19:10</t>
  </si>
  <si>
    <t>2026.02.13 19:15</t>
  </si>
  <si>
    <t>2026.02.13 19:20</t>
  </si>
  <si>
    <t>2026.02.13 19:25</t>
  </si>
  <si>
    <t>2026.02.13 19:30</t>
  </si>
  <si>
    <t>2026.02.13 19:35</t>
  </si>
  <si>
    <t>2026.02.13 19:40</t>
  </si>
  <si>
    <t>2026.02.13 19:45</t>
  </si>
  <si>
    <t>2026.02.13 19:50</t>
  </si>
  <si>
    <t>2026.02.13 19:55</t>
  </si>
  <si>
    <t>2026.02.13 20:00</t>
  </si>
  <si>
    <t>2026.02.13 20:05</t>
  </si>
  <si>
    <t>2026.02.13 20:10</t>
  </si>
  <si>
    <t>2026.02.13 20:15</t>
  </si>
  <si>
    <t>2026.02.13 20:20</t>
  </si>
  <si>
    <t>2026.02.13 20:25</t>
  </si>
  <si>
    <t>2026.02.13 20:30</t>
  </si>
  <si>
    <t>2026.02.13 20:35</t>
  </si>
  <si>
    <t>2026.02.13 20:40</t>
  </si>
  <si>
    <t>2026.02.13 20:45</t>
  </si>
  <si>
    <t>2026.02.13 20:50</t>
  </si>
  <si>
    <t>2026.02.13 20:55</t>
  </si>
  <si>
    <t>2026.02.13 21:00</t>
  </si>
  <si>
    <t>2026.02.13 21:05</t>
  </si>
  <si>
    <t>2026.02.13 21:10</t>
  </si>
  <si>
    <t>2026.02.13 21:15</t>
  </si>
  <si>
    <t>2026.02.13 21:20</t>
  </si>
  <si>
    <t>2026.02.13 21:25</t>
  </si>
  <si>
    <t>2026.02.13 21:30</t>
  </si>
  <si>
    <t>2026.02.13 21:35</t>
  </si>
  <si>
    <t>2026.02.13 21:40</t>
  </si>
  <si>
    <t>2026.02.13 21:45</t>
  </si>
  <si>
    <t>2026.02.13 21:50</t>
  </si>
  <si>
    <t>2026.02.13 21:55</t>
  </si>
  <si>
    <t>2026.02.13 22:00</t>
  </si>
  <si>
    <t>2026.02.13 22:05</t>
  </si>
  <si>
    <t>2026.02.13 22:10</t>
  </si>
  <si>
    <t>2026.02.13 22:15</t>
  </si>
  <si>
    <t>2026.02.13 22:20</t>
  </si>
  <si>
    <t>2026.02.13 22:25</t>
  </si>
  <si>
    <t>2026.02.13 22:30</t>
  </si>
  <si>
    <t>2026.02.13 22:35</t>
  </si>
  <si>
    <t>2026.02.13 22:40</t>
  </si>
  <si>
    <t>2026.02.13 22:45</t>
  </si>
  <si>
    <t>2026.02.13 22:50</t>
  </si>
  <si>
    <t>2026.02.13 22:55</t>
  </si>
  <si>
    <t>2026.02.13 23:00</t>
  </si>
  <si>
    <t>2026.02.13 23:05</t>
  </si>
  <si>
    <t>2026.02.13 23:10</t>
  </si>
  <si>
    <t>2026.02.13 23:15</t>
  </si>
  <si>
    <t>2026.02.13 23:20</t>
  </si>
  <si>
    <t>2026.02.13 23:25</t>
  </si>
  <si>
    <t>2026.02.13 23:30</t>
  </si>
  <si>
    <t>2026.02.13 23:35</t>
  </si>
  <si>
    <t>2026.02.13 23:40</t>
  </si>
  <si>
    <t>2026.02.13 23:45</t>
  </si>
  <si>
    <t>2026.02.13 23:50</t>
  </si>
  <si>
    <t>PERIOD_M5</t>
  </si>
  <si>
    <t>TimeStamp</t>
  </si>
  <si>
    <t>Close</t>
  </si>
  <si>
    <t>Open</t>
  </si>
  <si>
    <t>High</t>
  </si>
  <si>
    <t>Low</t>
  </si>
  <si>
    <t>Peak_Line_1</t>
  </si>
  <si>
    <t>Peak_Line_2</t>
  </si>
  <si>
    <t>Peak_Line_3</t>
  </si>
  <si>
    <t>Bottom_Line_1</t>
  </si>
  <si>
    <t>Bottom_Line_2</t>
  </si>
  <si>
    <t>Bottom_Line_3</t>
  </si>
  <si>
    <t>High_Map</t>
  </si>
  <si>
    <t>Low_Map</t>
  </si>
  <si>
    <t>pinbar</t>
  </si>
  <si>
    <t>ZigZag_High</t>
  </si>
  <si>
    <t>ZigZag_Low</t>
  </si>
  <si>
    <t>Z-Score of body size</t>
  </si>
  <si>
    <t>Candle classification</t>
  </si>
  <si>
    <t>Peak_Line_1_Upper</t>
  </si>
  <si>
    <t>Peak_Line_1_Lower</t>
  </si>
  <si>
    <t>Peak_Line_2_Upper</t>
  </si>
  <si>
    <t>Peak_Line_2_Lower</t>
  </si>
  <si>
    <t>Peak_Line_3_Upper</t>
  </si>
  <si>
    <t>Peak_Line_3_Lower</t>
  </si>
  <si>
    <t>Bottom_Line_1_Upper</t>
  </si>
  <si>
    <t>Bottom_Line_1_Lower</t>
  </si>
  <si>
    <t>Bottom_Line_2_Upper</t>
  </si>
  <si>
    <t>Bottom_Line_2_Lower</t>
  </si>
  <si>
    <t>Bottom_Line_3_Upper</t>
  </si>
  <si>
    <t>Bottom_Line_3_Lower</t>
  </si>
  <si>
    <t>Trendline Band Tolerance</t>
  </si>
  <si>
    <t>Touch_Peak_Line_1</t>
  </si>
  <si>
    <t>Touch_Peak_Line_2</t>
  </si>
  <si>
    <t>Touch_Peak_Line_3</t>
  </si>
  <si>
    <t>Touch_Bottom_Line_1</t>
  </si>
  <si>
    <t>Touch_Bottom_Line_2</t>
  </si>
  <si>
    <t>Touch_Bottom_Line_3</t>
  </si>
  <si>
    <t>Slope_Peak_Line_1</t>
  </si>
  <si>
    <t>Slope_Peak_Line_2</t>
  </si>
  <si>
    <t>Slope_Peak_Line_3</t>
  </si>
  <si>
    <t>Slope_Bottom_Line_1</t>
  </si>
  <si>
    <t>Slope_Bottom_Line_2</t>
  </si>
  <si>
    <t>Slope_Bottom_Line_3</t>
  </si>
  <si>
    <t>Rank_Peak_Line_1</t>
  </si>
  <si>
    <t>Rank_Peak_Line_2</t>
  </si>
  <si>
    <t>Rank_Peak_Line_3</t>
  </si>
  <si>
    <t>Rank_Bottom_Line_1</t>
  </si>
  <si>
    <t>Rank_Bottom_Line_2</t>
  </si>
  <si>
    <t>Rank_Bottom_Line_3</t>
  </si>
  <si>
    <t>Status_Peak_Line_1</t>
  </si>
  <si>
    <t>Status_Peak_Line_2</t>
  </si>
  <si>
    <t>Status_Peak_Line_3</t>
  </si>
  <si>
    <t>Status_Bottom_Line_1</t>
  </si>
  <si>
    <t>Status_Bottom_Line_2</t>
  </si>
  <si>
    <t>Status_Bottom_Line_3</t>
  </si>
  <si>
    <t>Count_R</t>
  </si>
  <si>
    <t>Count_S</t>
  </si>
  <si>
    <t>%_To_Peak_Line_1</t>
  </si>
  <si>
    <t>%_To_Peak_Line_2</t>
  </si>
  <si>
    <t>%_To_Peak_Line_3</t>
  </si>
  <si>
    <t>%_To_Bottom_Line_1</t>
  </si>
  <si>
    <t>%_To_Bottom_Line_2</t>
  </si>
  <si>
    <t>%_To_Bottom_Line_3</t>
  </si>
  <si>
    <t>Angle_Peak_Line_1</t>
  </si>
  <si>
    <t>Angle_Peak_Line_2</t>
  </si>
  <si>
    <t>Angle_Peak_Line_3</t>
  </si>
  <si>
    <t>H - L</t>
  </si>
  <si>
    <t>I H - Cp I</t>
  </si>
  <si>
    <t>I L - Cp I</t>
  </si>
  <si>
    <t>TR</t>
  </si>
  <si>
    <t>Avg. ATR</t>
  </si>
  <si>
    <t>Angle_Classification_P1</t>
  </si>
  <si>
    <t>Angle_Classification_P2</t>
  </si>
  <si>
    <t>Angle_Classification_P3</t>
  </si>
  <si>
    <t>Angle_Classification_B1</t>
  </si>
  <si>
    <t>Angle_Classification_B2</t>
  </si>
  <si>
    <t>Angle_Classification_B3</t>
  </si>
  <si>
    <t>kc_ultra_extreme_upper</t>
  </si>
  <si>
    <t>kc_extreme_upper</t>
  </si>
  <si>
    <t>kc_uppermost</t>
  </si>
  <si>
    <t>kc_upper</t>
  </si>
  <si>
    <t>kc_upper_middle</t>
  </si>
  <si>
    <t>kc_lower_middle</t>
  </si>
  <si>
    <t>kc_lower</t>
  </si>
  <si>
    <t>kc_lowermost</t>
  </si>
  <si>
    <t>kc_extreme_lower</t>
  </si>
  <si>
    <t>kc_ultra_extreme_lower</t>
  </si>
  <si>
    <t>S&amp;R_Level_1</t>
  </si>
  <si>
    <t>S&amp;R_Level_2</t>
  </si>
  <si>
    <t>S&amp;R_Level_3</t>
  </si>
  <si>
    <t>S&amp;R_Level_4</t>
  </si>
  <si>
    <t>S&amp;R_Level_5</t>
  </si>
  <si>
    <t>S&amp;R_Level_6</t>
  </si>
  <si>
    <t>Tema</t>
  </si>
  <si>
    <t>Hrma</t>
  </si>
  <si>
    <t>dual_tema_high</t>
  </si>
  <si>
    <t>dual_tema_low</t>
  </si>
  <si>
    <t>Breakout triggering</t>
  </si>
  <si>
    <t>Tema_Band</t>
  </si>
  <si>
    <t>Z-Score of Tema_Band</t>
  </si>
  <si>
    <t>Spike Detect</t>
  </si>
  <si>
    <t>EMA</t>
  </si>
  <si>
    <t>Smma</t>
  </si>
  <si>
    <t>Important High</t>
  </si>
  <si>
    <t>Important Low</t>
  </si>
  <si>
    <t>Close-TEMA crossover</t>
  </si>
  <si>
    <t>Close-TEMA crossunder</t>
  </si>
  <si>
    <t>%Hrma-EMA_Dev</t>
  </si>
  <si>
    <t>Z-Score %Hrma-EMA_Dev</t>
  </si>
  <si>
    <t>Hrma-EMA_Based_Momentum</t>
  </si>
  <si>
    <t>Trend</t>
  </si>
  <si>
    <t>S1</t>
  </si>
  <si>
    <t>S2</t>
  </si>
  <si>
    <t>S3</t>
  </si>
  <si>
    <t>S4</t>
  </si>
  <si>
    <t>B1</t>
  </si>
  <si>
    <t>B2</t>
  </si>
  <si>
    <t>B3</t>
  </si>
  <si>
    <t>B4</t>
  </si>
  <si>
    <t>Sell Recommendation</t>
  </si>
  <si>
    <t>Buy Recommendation</t>
  </si>
  <si>
    <t>TEMA &lt;&gt; HRMA</t>
  </si>
  <si>
    <t>Skip Counter P1</t>
  </si>
  <si>
    <t>Running Count P1</t>
  </si>
  <si>
    <t>Touch Count P1</t>
  </si>
  <si>
    <t>Skip Counter P2</t>
  </si>
  <si>
    <t>Running Count P2</t>
  </si>
  <si>
    <t>Touch Count P2</t>
  </si>
  <si>
    <t>Skip Counter P3</t>
  </si>
  <si>
    <t>Skip Counter B1</t>
  </si>
  <si>
    <t>Skip Counter B2</t>
  </si>
  <si>
    <t>Skip Counter B3</t>
  </si>
  <si>
    <t>Running Count P3</t>
  </si>
  <si>
    <t>Running Count B1</t>
  </si>
  <si>
    <t>Running Count B2</t>
  </si>
  <si>
    <t>Running Count B3</t>
  </si>
  <si>
    <t>Touch Count P3</t>
  </si>
  <si>
    <t>Touch Count B1</t>
  </si>
  <si>
    <t>Touch Count B2</t>
  </si>
  <si>
    <t>Touch Count B3</t>
  </si>
  <si>
    <t>Touch Close&lt;&gt;P1</t>
  </si>
  <si>
    <t>Touch Close&lt;&gt;P2</t>
  </si>
  <si>
    <t>Touch Close&lt;&gt;P3</t>
  </si>
  <si>
    <t>Touch Close&lt;&gt;B1</t>
  </si>
  <si>
    <t>Touch Close&lt;&gt;B2</t>
  </si>
  <si>
    <t>Touch Close&lt;&gt;B3</t>
  </si>
  <si>
    <t>Touch S&amp;R P1</t>
  </si>
  <si>
    <t>Touch S&amp;R P2</t>
  </si>
  <si>
    <t>Touch S&amp;R P3</t>
  </si>
  <si>
    <t>Touch S&amp;R B1</t>
  </si>
  <si>
    <t>Touch S&amp;R B2</t>
  </si>
  <si>
    <t>Touch S&amp;R B3</t>
  </si>
  <si>
    <t>Important High/Low with Rejection</t>
  </si>
  <si>
    <t>Convert to abs value P1</t>
  </si>
  <si>
    <t>Convert to abs value P2</t>
  </si>
  <si>
    <t>Convert to abs value P3</t>
  </si>
  <si>
    <t>Convert to abs value B1</t>
  </si>
  <si>
    <t>Convert to abs value B2</t>
  </si>
  <si>
    <t>Convert to abs value B3</t>
  </si>
  <si>
    <t>Touch Count each TimeStamp</t>
  </si>
  <si>
    <t>Touch Propensity</t>
  </si>
  <si>
    <t>Closet Touch</t>
  </si>
  <si>
    <t>Trendline Stochastic</t>
  </si>
  <si>
    <t>Bearish Mean Deviation</t>
  </si>
  <si>
    <t>Bullish Mean Deviation</t>
  </si>
  <si>
    <t>Volume</t>
  </si>
  <si>
    <t>Z-Score of Volume</t>
  </si>
  <si>
    <t>High Volume Detection</t>
  </si>
  <si>
    <t>Price Distribution Detection</t>
  </si>
  <si>
    <t>Bullish Exhaustive Imbalance</t>
  </si>
  <si>
    <t>Bearish Exhaustive Imbalance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</si>
</sst>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.000_-;\-* #,##0.000_-;_-* &quot;-&quot;??_-;_-@_-"/>
    <numFmt numFmtId="165" formatCode="0.000%"/>
    <numFmt numFmtId="166" formatCode="0.00000"/>
    <numFmt numFmtId="167" formatCode="0.00000000"/>
    <numFmt numFmtId="168" formatCode="0.0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18" fillId="0" borderId="0" xfId="0" applyFont="1"/>
    <xf numFmtId="164" fontId="0" fillId="0" borderId="0" xfId="42" applyNumberFormat="1" applyFont="1"/>
    <xf numFmtId="43" fontId="0" fillId="0" borderId="0" xfId="0" applyNumberFormat="1"/>
    <xf numFmtId="165" fontId="0" fillId="0" borderId="11" xfId="0" applyNumberFormat="1" applyBorder="1"/>
    <xf numFmtId="0" fontId="0" fillId="0" borderId="0" xfId="0" applyAlignment="1">
      <alignment horizontal="center"/>
    </xf>
    <xf numFmtId="166" fontId="0" fillId="0" borderId="0" xfId="0" applyNumberFormat="1"/>
    <xf numFmtId="167" fontId="0" fillId="0" borderId="0" xfId="0" applyNumberFormat="1"/>
    <xf numFmtId="10" fontId="0" fillId="0" borderId="0" xfId="43" applyNumberFormat="1" applyFont="1" applyAlignment="1">
      <alignment horizontal="center"/>
    </xf>
    <xf numFmtId="0" fontId="0" fillId="0" borderId="0" xfId="42" applyNumberFormat="1" applyFont="1" applyAlignment="1">
      <alignment horizontal="center"/>
    </xf>
    <xf numFmtId="0" fontId="0" fillId="0" borderId="0" xfId="43" applyNumberFormat="1" applyFont="1" applyAlignment="1">
      <alignment horizontal="center"/>
    </xf>
    <xf numFmtId="166" fontId="19" fillId="0" borderId="0" xfId="0" applyNumberFormat="1" applyFont="1"/>
    <xf numFmtId="168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165" fontId="0" fillId="0" borderId="0" xfId="43" applyNumberFormat="1" applyFont="1" applyAlignment="1">
      <alignment horizontal="center"/>
    </xf>
    <xf numFmtId="0" fontId="23" fillId="0" borderId="0" xfId="0" applyFont="1"/>
    <xf numFmtId="166" fontId="23" fillId="0" borderId="0" xfId="0" applyNumberFormat="1" applyFont="1"/>
    <xf numFmtId="0" fontId="23" fillId="0" borderId="0" xfId="0" applyFont="1" applyAlignment="1">
      <alignment horizontal="center"/>
    </xf>
    <xf numFmtId="164" fontId="23" fillId="0" borderId="0" xfId="42" applyNumberFormat="1" applyFont="1"/>
    <xf numFmtId="165" fontId="23" fillId="0" borderId="0" xfId="43" applyNumberFormat="1" applyFont="1" applyAlignment="1">
      <alignment horizontal="center"/>
    </xf>
    <xf numFmtId="10" fontId="23" fillId="0" borderId="0" xfId="43" applyNumberFormat="1" applyFont="1" applyAlignment="1">
      <alignment horizontal="center"/>
    </xf>
    <xf numFmtId="0" fontId="23" fillId="0" borderId="0" xfId="42" applyNumberFormat="1" applyFont="1" applyAlignment="1">
      <alignment horizontal="center"/>
    </xf>
    <xf numFmtId="0" fontId="23" fillId="0" borderId="0" xfId="43" applyNumberFormat="1" applyFont="1" applyAlignment="1">
      <alignment horizontal="center"/>
    </xf>
    <xf numFmtId="0" fontId="21" fillId="33" borderId="0" xfId="0" applyFont="1" applyFill="1" applyAlignment="1">
      <alignment horizontal="center" vertical="center" wrapText="1"/>
    </xf>
    <xf numFmtId="0" fontId="21" fillId="34" borderId="0" xfId="0" applyFont="1" applyFill="1" applyAlignment="1">
      <alignment horizontal="center" vertical="center"/>
    </xf>
    <xf numFmtId="0" fontId="21" fillId="34" borderId="0" xfId="0" applyFont="1" applyFill="1" applyAlignment="1">
      <alignment horizontal="center" vertical="center" wrapText="1"/>
    </xf>
    <xf numFmtId="0" fontId="16" fillId="34" borderId="0" xfId="0" applyFont="1" applyFill="1" applyAlignment="1">
      <alignment horizontal="center" vertical="center" wrapText="1"/>
    </xf>
    <xf numFmtId="0" fontId="16" fillId="34" borderId="0" xfId="0" applyFont="1" applyFill="1" applyAlignment="1">
      <alignment horizontal="center" vertical="center"/>
    </xf>
    <xf numFmtId="0" fontId="16" fillId="33" borderId="0" xfId="0" applyFont="1" applyFill="1" applyAlignment="1">
      <alignment horizontal="center" vertical="center" wrapText="1"/>
    </xf>
    <xf numFmtId="0" fontId="13" fillId="35" borderId="0" xfId="0" applyFont="1" applyFill="1" applyAlignment="1">
      <alignment horizontal="center" vertical="center"/>
    </xf>
    <xf numFmtId="0" fontId="20" fillId="33" borderId="0" xfId="0" applyFont="1" applyFill="1" applyAlignment="1">
      <alignment horizontal="center" vertical="center"/>
    </xf>
    <xf numFmtId="0" fontId="24" fillId="33" borderId="10" xfId="0" applyFont="1" applyFill="1" applyBorder="1" applyAlignment="1">
      <alignment horizontal="center" vertical="center" wrapText="1"/>
    </xf>
    <xf numFmtId="0" fontId="16" fillId="33" borderId="0" xfId="0" applyFont="1" applyFill="1" applyAlignment="1">
      <alignment horizontal="center" vertical="center"/>
    </xf>
    <xf numFmtId="0" fontId="13" fillId="35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'Important High Low'!$H$4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'Important High Low'!$H$5:$H$103</c:f>
              <c:numCache>
                <c:formatCode>General</c:formatCode>
                <c:ptCount val="99"/>
                <c:pt idx="0">
                  <c:v>153.249</c:v>
                </c:pt>
                <c:pt idx="1">
                  <c:v>153.196</c:v>
                </c:pt>
                <c:pt idx="2">
                  <c:v>153.05000000000001</c:v>
                </c:pt>
                <c:pt idx="3">
                  <c:v>153.06700000000001</c:v>
                </c:pt>
                <c:pt idx="4">
                  <c:v>153.042</c:v>
                </c:pt>
                <c:pt idx="5">
                  <c:v>153.05000000000001</c:v>
                </c:pt>
                <c:pt idx="6">
                  <c:v>153.03299999999999</c:v>
                </c:pt>
                <c:pt idx="7">
                  <c:v>152.999</c:v>
                </c:pt>
                <c:pt idx="8">
                  <c:v>152.999</c:v>
                </c:pt>
                <c:pt idx="9">
                  <c:v>152.89699999999999</c:v>
                </c:pt>
                <c:pt idx="10">
                  <c:v>152.91</c:v>
                </c:pt>
                <c:pt idx="11">
                  <c:v>152.87700000000001</c:v>
                </c:pt>
                <c:pt idx="12">
                  <c:v>152.96600000000001</c:v>
                </c:pt>
                <c:pt idx="13">
                  <c:v>153.02000000000001</c:v>
                </c:pt>
                <c:pt idx="14">
                  <c:v>153.04900000000001</c:v>
                </c:pt>
                <c:pt idx="15">
                  <c:v>153.04499999999999</c:v>
                </c:pt>
                <c:pt idx="16">
                  <c:v>152.96199999999999</c:v>
                </c:pt>
                <c:pt idx="17">
                  <c:v>153.04599999999999</c:v>
                </c:pt>
                <c:pt idx="18">
                  <c:v>153.04599999999999</c:v>
                </c:pt>
                <c:pt idx="19">
                  <c:v>153.09</c:v>
                </c:pt>
                <c:pt idx="20">
                  <c:v>153.001</c:v>
                </c:pt>
                <c:pt idx="21">
                  <c:v>153.036</c:v>
                </c:pt>
                <c:pt idx="22">
                  <c:v>153.07499999999999</c:v>
                </c:pt>
                <c:pt idx="23">
                  <c:v>153.072</c:v>
                </c:pt>
                <c:pt idx="24">
                  <c:v>152.95099999999999</c:v>
                </c:pt>
                <c:pt idx="25">
                  <c:v>152.94800000000001</c:v>
                </c:pt>
                <c:pt idx="26">
                  <c:v>153.006</c:v>
                </c:pt>
                <c:pt idx="27">
                  <c:v>153.13200000000001</c:v>
                </c:pt>
                <c:pt idx="28">
                  <c:v>153.16499999999999</c:v>
                </c:pt>
                <c:pt idx="29">
                  <c:v>153.161</c:v>
                </c:pt>
                <c:pt idx="30">
                  <c:v>153.053</c:v>
                </c:pt>
                <c:pt idx="31">
                  <c:v>153.05699999999999</c:v>
                </c:pt>
                <c:pt idx="32">
                  <c:v>152.89500000000001</c:v>
                </c:pt>
                <c:pt idx="33">
                  <c:v>152.87</c:v>
                </c:pt>
                <c:pt idx="34">
                  <c:v>152.86199999999999</c:v>
                </c:pt>
                <c:pt idx="35">
                  <c:v>152.89400000000001</c:v>
                </c:pt>
                <c:pt idx="36">
                  <c:v>152.80699999999999</c:v>
                </c:pt>
                <c:pt idx="37">
                  <c:v>152.81700000000001</c:v>
                </c:pt>
                <c:pt idx="38">
                  <c:v>152.77000000000001</c:v>
                </c:pt>
                <c:pt idx="39">
                  <c:v>152.79</c:v>
                </c:pt>
                <c:pt idx="40">
                  <c:v>152.78899999999999</c:v>
                </c:pt>
                <c:pt idx="41">
                  <c:v>152.75</c:v>
                </c:pt>
                <c:pt idx="42">
                  <c:v>152.661</c:v>
                </c:pt>
                <c:pt idx="43">
                  <c:v>152.672</c:v>
                </c:pt>
                <c:pt idx="44">
                  <c:v>152.738</c:v>
                </c:pt>
                <c:pt idx="45">
                  <c:v>152.69800000000001</c:v>
                </c:pt>
                <c:pt idx="46">
                  <c:v>152.81299999999999</c:v>
                </c:pt>
                <c:pt idx="47">
                  <c:v>152.81899999999999</c:v>
                </c:pt>
                <c:pt idx="48">
                  <c:v>152.816</c:v>
                </c:pt>
                <c:pt idx="49">
                  <c:v>152.82499999999999</c:v>
                </c:pt>
                <c:pt idx="50">
                  <c:v>152.75299999999999</c:v>
                </c:pt>
                <c:pt idx="51">
                  <c:v>152.80600000000001</c:v>
                </c:pt>
                <c:pt idx="52">
                  <c:v>152.78800000000001</c:v>
                </c:pt>
                <c:pt idx="53">
                  <c:v>152.81399999999999</c:v>
                </c:pt>
                <c:pt idx="54">
                  <c:v>152.803</c:v>
                </c:pt>
                <c:pt idx="55">
                  <c:v>152.83799999999999</c:v>
                </c:pt>
                <c:pt idx="56">
                  <c:v>152.864</c:v>
                </c:pt>
                <c:pt idx="57">
                  <c:v>152.81299999999999</c:v>
                </c:pt>
                <c:pt idx="58">
                  <c:v>152.81200000000001</c:v>
                </c:pt>
                <c:pt idx="59">
                  <c:v>152.84700000000001</c:v>
                </c:pt>
                <c:pt idx="60">
                  <c:v>152.803</c:v>
                </c:pt>
                <c:pt idx="61">
                  <c:v>152.84</c:v>
                </c:pt>
                <c:pt idx="62">
                  <c:v>152.874</c:v>
                </c:pt>
                <c:pt idx="63">
                  <c:v>152.83099999999999</c:v>
                </c:pt>
                <c:pt idx="64">
                  <c:v>152.84399999999999</c:v>
                </c:pt>
                <c:pt idx="65">
                  <c:v>152.81</c:v>
                </c:pt>
                <c:pt idx="66">
                  <c:v>152.809</c:v>
                </c:pt>
                <c:pt idx="67">
                  <c:v>152.81299999999999</c:v>
                </c:pt>
                <c:pt idx="68">
                  <c:v>152.779</c:v>
                </c:pt>
                <c:pt idx="69">
                  <c:v>152.76900000000001</c:v>
                </c:pt>
                <c:pt idx="70">
                  <c:v>152.74299999999999</c:v>
                </c:pt>
                <c:pt idx="71">
                  <c:v>152.75399999999999</c:v>
                </c:pt>
                <c:pt idx="72">
                  <c:v>152.73599999999999</c:v>
                </c:pt>
                <c:pt idx="73">
                  <c:v>152.76300000000001</c:v>
                </c:pt>
                <c:pt idx="74">
                  <c:v>152.77000000000001</c:v>
                </c:pt>
                <c:pt idx="75">
                  <c:v>152.77699999999999</c:v>
                </c:pt>
                <c:pt idx="76">
                  <c:v>152.80099999999999</c:v>
                </c:pt>
                <c:pt idx="77">
                  <c:v>152.81200000000001</c:v>
                </c:pt>
                <c:pt idx="78">
                  <c:v>152.786</c:v>
                </c:pt>
                <c:pt idx="79">
                  <c:v>152.81399999999999</c:v>
                </c:pt>
                <c:pt idx="80">
                  <c:v>152.78700000000001</c:v>
                </c:pt>
                <c:pt idx="81">
                  <c:v>152.72999999999999</c:v>
                </c:pt>
                <c:pt idx="82">
                  <c:v>152.72800000000001</c:v>
                </c:pt>
                <c:pt idx="83">
                  <c:v>152.72900000000001</c:v>
                </c:pt>
                <c:pt idx="84">
                  <c:v>152.74600000000001</c:v>
                </c:pt>
                <c:pt idx="85">
                  <c:v>152.74199999999999</c:v>
                </c:pt>
                <c:pt idx="86">
                  <c:v>152.70599999999999</c:v>
                </c:pt>
                <c:pt idx="87">
                  <c:v>152.75700000000001</c:v>
                </c:pt>
                <c:pt idx="88">
                  <c:v>152.649</c:v>
                </c:pt>
                <c:pt idx="89">
                  <c:v>152.648</c:v>
                </c:pt>
                <c:pt idx="90">
                  <c:v>152.67599999999999</c:v>
                </c:pt>
                <c:pt idx="91">
                  <c:v>152.642</c:v>
                </c:pt>
                <c:pt idx="92">
                  <c:v>152.64500000000001</c:v>
                </c:pt>
                <c:pt idx="93">
                  <c:v>152.65</c:v>
                </c:pt>
                <c:pt idx="94">
                  <c:v>152.69999999999999</c:v>
                </c:pt>
                <c:pt idx="95">
                  <c:v>152.72200000000001</c:v>
                </c:pt>
                <c:pt idx="96">
                  <c:v>152.69200000000001</c:v>
                </c:pt>
                <c:pt idx="97">
                  <c:v>152.727</c:v>
                </c:pt>
                <c:pt idx="98">
                  <c:v>152.71199999999999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45-44E5-852A-377F9E9F0416}"/>
            </c:ext>
          </c:extLst>
        </c:ser>
        <c:ser>
          <c:idx val="1"/>
          <c:order val="1"/>
          <c:tx>
            <c:strRef>
              <c:f>'Important High Low'!$J$4</c:f>
              <c:strCache>
                <c:ptCount val="1"/>
                <c:pt idx="0">
                  <c:v>Peak_Line_1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'Important High Low'!$J$5:$J$103</c:f>
              <c:numCache>
                <c:formatCode>General</c:formatCode>
                <c:ptCount val="99"/>
                <c:pt idx="0">
                  <c:v>153.03800000000001</c:v>
                </c:pt>
                <c:pt idx="1">
                  <c:v>153.036</c:v>
                </c:pt>
                <c:pt idx="2">
                  <c:v>153.03299999999999</c:v>
                </c:pt>
                <c:pt idx="3">
                  <c:v>153.03100000000001</c:v>
                </c:pt>
                <c:pt idx="4">
                  <c:v>153.029</c:v>
                </c:pt>
                <c:pt idx="5">
                  <c:v>153.02600000000001</c:v>
                </c:pt>
                <c:pt idx="6">
                  <c:v>153.024</c:v>
                </c:pt>
                <c:pt idx="7">
                  <c:v>153.02099999999999</c:v>
                </c:pt>
                <c:pt idx="8">
                  <c:v>153.01900000000001</c:v>
                </c:pt>
                <c:pt idx="9">
                  <c:v>153.01599999999999</c:v>
                </c:pt>
                <c:pt idx="10">
                  <c:v>153.01400000000001</c:v>
                </c:pt>
                <c:pt idx="11">
                  <c:v>153.012</c:v>
                </c:pt>
                <c:pt idx="12">
                  <c:v>153.00899999999999</c:v>
                </c:pt>
                <c:pt idx="13">
                  <c:v>153.00700000000001</c:v>
                </c:pt>
                <c:pt idx="14">
                  <c:v>153.00399999999999</c:v>
                </c:pt>
                <c:pt idx="15">
                  <c:v>153.00200000000001</c:v>
                </c:pt>
                <c:pt idx="16">
                  <c:v>152.999</c:v>
                </c:pt>
                <c:pt idx="17">
                  <c:v>152.99700000000001</c:v>
                </c:pt>
                <c:pt idx="18">
                  <c:v>152.995</c:v>
                </c:pt>
                <c:pt idx="19">
                  <c:v>152.99199999999999</c:v>
                </c:pt>
                <c:pt idx="20">
                  <c:v>152.99</c:v>
                </c:pt>
                <c:pt idx="21">
                  <c:v>152.98699999999999</c:v>
                </c:pt>
                <c:pt idx="22">
                  <c:v>152.98500000000001</c:v>
                </c:pt>
                <c:pt idx="23">
                  <c:v>152.983</c:v>
                </c:pt>
                <c:pt idx="24">
                  <c:v>152.97999999999999</c:v>
                </c:pt>
                <c:pt idx="25">
                  <c:v>152.97800000000001</c:v>
                </c:pt>
                <c:pt idx="26">
                  <c:v>152.97499999999999</c:v>
                </c:pt>
                <c:pt idx="27">
                  <c:v>152.97300000000001</c:v>
                </c:pt>
                <c:pt idx="28">
                  <c:v>152.97</c:v>
                </c:pt>
                <c:pt idx="29">
                  <c:v>152.96799999999999</c:v>
                </c:pt>
                <c:pt idx="30">
                  <c:v>152.96600000000001</c:v>
                </c:pt>
                <c:pt idx="31">
                  <c:v>152.96299999999999</c:v>
                </c:pt>
                <c:pt idx="32">
                  <c:v>152.96100000000001</c:v>
                </c:pt>
                <c:pt idx="33">
                  <c:v>152.958</c:v>
                </c:pt>
                <c:pt idx="34">
                  <c:v>152.95599999999999</c:v>
                </c:pt>
                <c:pt idx="35">
                  <c:v>152.953</c:v>
                </c:pt>
                <c:pt idx="36">
                  <c:v>152.95099999999999</c:v>
                </c:pt>
                <c:pt idx="37">
                  <c:v>152.94900000000001</c:v>
                </c:pt>
                <c:pt idx="38">
                  <c:v>152.946</c:v>
                </c:pt>
                <c:pt idx="39">
                  <c:v>152.94399999999999</c:v>
                </c:pt>
                <c:pt idx="40">
                  <c:v>152.941</c:v>
                </c:pt>
                <c:pt idx="41">
                  <c:v>152.93899999999999</c:v>
                </c:pt>
                <c:pt idx="42">
                  <c:v>152.93600000000001</c:v>
                </c:pt>
                <c:pt idx="43">
                  <c:v>152.934</c:v>
                </c:pt>
                <c:pt idx="44">
                  <c:v>152.93199999999999</c:v>
                </c:pt>
                <c:pt idx="45">
                  <c:v>152.929</c:v>
                </c:pt>
                <c:pt idx="46">
                  <c:v>152.92699999999999</c:v>
                </c:pt>
                <c:pt idx="47">
                  <c:v>152.92400000000001</c:v>
                </c:pt>
                <c:pt idx="48">
                  <c:v>152.922</c:v>
                </c:pt>
                <c:pt idx="49">
                  <c:v>152.91999999999999</c:v>
                </c:pt>
                <c:pt idx="50">
                  <c:v>152.917</c:v>
                </c:pt>
                <c:pt idx="51">
                  <c:v>152.91499999999999</c:v>
                </c:pt>
                <c:pt idx="52">
                  <c:v>152.91200000000001</c:v>
                </c:pt>
                <c:pt idx="53">
                  <c:v>152.91</c:v>
                </c:pt>
                <c:pt idx="54">
                  <c:v>152.90700000000001</c:v>
                </c:pt>
                <c:pt idx="55">
                  <c:v>152.905</c:v>
                </c:pt>
                <c:pt idx="56">
                  <c:v>152.90299999999999</c:v>
                </c:pt>
                <c:pt idx="57">
                  <c:v>152.9</c:v>
                </c:pt>
                <c:pt idx="58">
                  <c:v>152.898</c:v>
                </c:pt>
                <c:pt idx="59">
                  <c:v>152.89500000000001</c:v>
                </c:pt>
                <c:pt idx="60">
                  <c:v>152.893</c:v>
                </c:pt>
                <c:pt idx="61">
                  <c:v>152.88999999999999</c:v>
                </c:pt>
                <c:pt idx="62">
                  <c:v>152.88800000000001</c:v>
                </c:pt>
                <c:pt idx="63">
                  <c:v>152.886</c:v>
                </c:pt>
                <c:pt idx="64">
                  <c:v>152.88300000000001</c:v>
                </c:pt>
                <c:pt idx="65">
                  <c:v>152.881</c:v>
                </c:pt>
                <c:pt idx="66">
                  <c:v>152.87799999999999</c:v>
                </c:pt>
                <c:pt idx="67">
                  <c:v>152.876</c:v>
                </c:pt>
                <c:pt idx="68">
                  <c:v>152.87299999999999</c:v>
                </c:pt>
                <c:pt idx="69">
                  <c:v>152.87100000000001</c:v>
                </c:pt>
                <c:pt idx="70">
                  <c:v>152.869</c:v>
                </c:pt>
                <c:pt idx="71">
                  <c:v>152.86600000000001</c:v>
                </c:pt>
                <c:pt idx="72">
                  <c:v>152.864</c:v>
                </c:pt>
                <c:pt idx="73">
                  <c:v>152.86099999999999</c:v>
                </c:pt>
                <c:pt idx="74">
                  <c:v>152.85900000000001</c:v>
                </c:pt>
                <c:pt idx="75">
                  <c:v>152.85599999999999</c:v>
                </c:pt>
                <c:pt idx="76">
                  <c:v>152.85400000000001</c:v>
                </c:pt>
                <c:pt idx="77">
                  <c:v>152.852</c:v>
                </c:pt>
                <c:pt idx="78">
                  <c:v>152.84899999999999</c:v>
                </c:pt>
                <c:pt idx="79">
                  <c:v>152.84700000000001</c:v>
                </c:pt>
                <c:pt idx="80">
                  <c:v>152.84399999999999</c:v>
                </c:pt>
                <c:pt idx="81">
                  <c:v>152.84200000000001</c:v>
                </c:pt>
                <c:pt idx="82">
                  <c:v>152.84</c:v>
                </c:pt>
                <c:pt idx="83">
                  <c:v>152.83699999999999</c:v>
                </c:pt>
                <c:pt idx="84">
                  <c:v>152.83500000000001</c:v>
                </c:pt>
                <c:pt idx="85">
                  <c:v>152.83199999999999</c:v>
                </c:pt>
                <c:pt idx="86">
                  <c:v>152.83000000000001</c:v>
                </c:pt>
                <c:pt idx="87">
                  <c:v>152.827</c:v>
                </c:pt>
                <c:pt idx="88">
                  <c:v>152.82499999999999</c:v>
                </c:pt>
                <c:pt idx="89">
                  <c:v>152.82300000000001</c:v>
                </c:pt>
                <c:pt idx="90">
                  <c:v>152.82</c:v>
                </c:pt>
                <c:pt idx="91">
                  <c:v>152.81800000000001</c:v>
                </c:pt>
                <c:pt idx="92">
                  <c:v>152.815</c:v>
                </c:pt>
                <c:pt idx="93">
                  <c:v>152.81299999999999</c:v>
                </c:pt>
                <c:pt idx="94">
                  <c:v>152.81</c:v>
                </c:pt>
                <c:pt idx="95">
                  <c:v>152.80799999999999</c:v>
                </c:pt>
                <c:pt idx="96">
                  <c:v>152.80600000000001</c:v>
                </c:pt>
                <c:pt idx="97">
                  <c:v>152.803</c:v>
                </c:pt>
                <c:pt idx="98">
                  <c:v>152.80099999999999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45-44E5-852A-377F9E9F0416}"/>
            </c:ext>
          </c:extLst>
        </c:ser>
        <c:ser>
          <c:idx val="2"/>
          <c:order val="2"/>
          <c:tx>
            <c:strRef>
              <c:f>'Important High Low'!$K$4</c:f>
              <c:strCache>
                <c:ptCount val="1"/>
                <c:pt idx="0">
                  <c:v>Peak_Line_2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'Important High Low'!$K$5:$K$103</c:f>
              <c:numCache>
                <c:formatCode>General</c:formatCode>
                <c:ptCount val="99"/>
                <c:pt idx="0">
                  <c:v>152.911</c:v>
                </c:pt>
                <c:pt idx="1">
                  <c:v>152.911</c:v>
                </c:pt>
                <c:pt idx="2">
                  <c:v>152.91</c:v>
                </c:pt>
                <c:pt idx="3">
                  <c:v>152.91</c:v>
                </c:pt>
                <c:pt idx="4">
                  <c:v>152.91</c:v>
                </c:pt>
                <c:pt idx="5">
                  <c:v>152.90899999999999</c:v>
                </c:pt>
                <c:pt idx="6">
                  <c:v>152.90899999999999</c:v>
                </c:pt>
                <c:pt idx="7">
                  <c:v>152.90799999999999</c:v>
                </c:pt>
                <c:pt idx="8">
                  <c:v>152.90799999999999</c:v>
                </c:pt>
                <c:pt idx="9">
                  <c:v>152.90799999999999</c:v>
                </c:pt>
                <c:pt idx="10">
                  <c:v>152.90700000000001</c:v>
                </c:pt>
                <c:pt idx="11">
                  <c:v>152.90700000000001</c:v>
                </c:pt>
                <c:pt idx="12">
                  <c:v>152.90700000000001</c:v>
                </c:pt>
                <c:pt idx="13">
                  <c:v>152.90600000000001</c:v>
                </c:pt>
                <c:pt idx="14">
                  <c:v>152.90600000000001</c:v>
                </c:pt>
                <c:pt idx="15">
                  <c:v>152.905</c:v>
                </c:pt>
                <c:pt idx="16">
                  <c:v>152.905</c:v>
                </c:pt>
                <c:pt idx="17">
                  <c:v>152.905</c:v>
                </c:pt>
                <c:pt idx="18">
                  <c:v>152.904</c:v>
                </c:pt>
                <c:pt idx="19">
                  <c:v>152.904</c:v>
                </c:pt>
                <c:pt idx="20">
                  <c:v>152.904</c:v>
                </c:pt>
                <c:pt idx="21">
                  <c:v>152.90299999999999</c:v>
                </c:pt>
                <c:pt idx="22">
                  <c:v>152.90299999999999</c:v>
                </c:pt>
                <c:pt idx="23">
                  <c:v>152.90299999999999</c:v>
                </c:pt>
                <c:pt idx="24">
                  <c:v>152.90199999999999</c:v>
                </c:pt>
                <c:pt idx="25">
                  <c:v>152.90199999999999</c:v>
                </c:pt>
                <c:pt idx="26">
                  <c:v>152.90100000000001</c:v>
                </c:pt>
                <c:pt idx="27">
                  <c:v>152.90100000000001</c:v>
                </c:pt>
                <c:pt idx="28">
                  <c:v>152.90100000000001</c:v>
                </c:pt>
                <c:pt idx="29">
                  <c:v>152.9</c:v>
                </c:pt>
                <c:pt idx="30">
                  <c:v>152.9</c:v>
                </c:pt>
                <c:pt idx="31">
                  <c:v>152.9</c:v>
                </c:pt>
                <c:pt idx="32">
                  <c:v>152.899</c:v>
                </c:pt>
                <c:pt idx="33">
                  <c:v>152.899</c:v>
                </c:pt>
                <c:pt idx="34">
                  <c:v>152.898</c:v>
                </c:pt>
                <c:pt idx="35">
                  <c:v>152.898</c:v>
                </c:pt>
                <c:pt idx="36">
                  <c:v>152.898</c:v>
                </c:pt>
                <c:pt idx="37">
                  <c:v>152.89699999999999</c:v>
                </c:pt>
                <c:pt idx="38">
                  <c:v>152.89699999999999</c:v>
                </c:pt>
                <c:pt idx="39">
                  <c:v>152.89699999999999</c:v>
                </c:pt>
                <c:pt idx="40">
                  <c:v>152.89599999999999</c:v>
                </c:pt>
                <c:pt idx="41">
                  <c:v>152.89599999999999</c:v>
                </c:pt>
                <c:pt idx="42">
                  <c:v>152.89500000000001</c:v>
                </c:pt>
                <c:pt idx="43">
                  <c:v>152.89500000000001</c:v>
                </c:pt>
                <c:pt idx="44">
                  <c:v>152.89500000000001</c:v>
                </c:pt>
                <c:pt idx="45">
                  <c:v>152.89400000000001</c:v>
                </c:pt>
                <c:pt idx="46">
                  <c:v>152.89400000000001</c:v>
                </c:pt>
                <c:pt idx="47">
                  <c:v>152.89400000000001</c:v>
                </c:pt>
                <c:pt idx="48">
                  <c:v>152.893</c:v>
                </c:pt>
                <c:pt idx="49">
                  <c:v>152.893</c:v>
                </c:pt>
                <c:pt idx="50">
                  <c:v>152.892</c:v>
                </c:pt>
                <c:pt idx="51">
                  <c:v>152.892</c:v>
                </c:pt>
                <c:pt idx="52">
                  <c:v>152.892</c:v>
                </c:pt>
                <c:pt idx="53">
                  <c:v>152.89099999999999</c:v>
                </c:pt>
                <c:pt idx="54">
                  <c:v>152.89099999999999</c:v>
                </c:pt>
                <c:pt idx="55">
                  <c:v>152.89099999999999</c:v>
                </c:pt>
                <c:pt idx="56">
                  <c:v>152.88999999999999</c:v>
                </c:pt>
                <c:pt idx="57">
                  <c:v>152.88999999999999</c:v>
                </c:pt>
                <c:pt idx="58">
                  <c:v>152.88900000000001</c:v>
                </c:pt>
                <c:pt idx="59">
                  <c:v>152.88900000000001</c:v>
                </c:pt>
                <c:pt idx="60">
                  <c:v>152.88900000000001</c:v>
                </c:pt>
                <c:pt idx="61">
                  <c:v>152.88800000000001</c:v>
                </c:pt>
                <c:pt idx="62">
                  <c:v>152.88800000000001</c:v>
                </c:pt>
                <c:pt idx="63">
                  <c:v>152.88800000000001</c:v>
                </c:pt>
                <c:pt idx="64">
                  <c:v>152.887</c:v>
                </c:pt>
                <c:pt idx="65">
                  <c:v>152.887</c:v>
                </c:pt>
                <c:pt idx="66">
                  <c:v>152.887</c:v>
                </c:pt>
                <c:pt idx="67">
                  <c:v>152.886</c:v>
                </c:pt>
                <c:pt idx="68">
                  <c:v>152.886</c:v>
                </c:pt>
                <c:pt idx="69">
                  <c:v>152.88499999999999</c:v>
                </c:pt>
                <c:pt idx="70">
                  <c:v>152.88499999999999</c:v>
                </c:pt>
                <c:pt idx="71">
                  <c:v>152.88499999999999</c:v>
                </c:pt>
                <c:pt idx="72">
                  <c:v>152.88399999999999</c:v>
                </c:pt>
                <c:pt idx="73">
                  <c:v>152.88399999999999</c:v>
                </c:pt>
                <c:pt idx="74">
                  <c:v>152.88399999999999</c:v>
                </c:pt>
                <c:pt idx="75">
                  <c:v>152.88300000000001</c:v>
                </c:pt>
                <c:pt idx="76">
                  <c:v>152.88300000000001</c:v>
                </c:pt>
                <c:pt idx="77">
                  <c:v>152.88200000000001</c:v>
                </c:pt>
                <c:pt idx="78">
                  <c:v>152.88200000000001</c:v>
                </c:pt>
                <c:pt idx="79">
                  <c:v>152.88200000000001</c:v>
                </c:pt>
                <c:pt idx="80">
                  <c:v>152.881</c:v>
                </c:pt>
                <c:pt idx="81">
                  <c:v>152.881</c:v>
                </c:pt>
                <c:pt idx="82">
                  <c:v>152.881</c:v>
                </c:pt>
                <c:pt idx="83">
                  <c:v>152.88</c:v>
                </c:pt>
                <c:pt idx="84">
                  <c:v>152.88</c:v>
                </c:pt>
                <c:pt idx="85">
                  <c:v>152.87899999999999</c:v>
                </c:pt>
                <c:pt idx="86">
                  <c:v>152.87899999999999</c:v>
                </c:pt>
                <c:pt idx="87">
                  <c:v>152.87899999999999</c:v>
                </c:pt>
                <c:pt idx="88">
                  <c:v>152.87799999999999</c:v>
                </c:pt>
                <c:pt idx="89">
                  <c:v>152.87799999999999</c:v>
                </c:pt>
                <c:pt idx="90">
                  <c:v>152.87799999999999</c:v>
                </c:pt>
                <c:pt idx="91">
                  <c:v>152.87700000000001</c:v>
                </c:pt>
                <c:pt idx="92">
                  <c:v>152.87700000000001</c:v>
                </c:pt>
                <c:pt idx="93">
                  <c:v>152.876</c:v>
                </c:pt>
                <c:pt idx="94">
                  <c:v>152.876</c:v>
                </c:pt>
                <c:pt idx="95">
                  <c:v>152.876</c:v>
                </c:pt>
                <c:pt idx="96">
                  <c:v>152.875</c:v>
                </c:pt>
                <c:pt idx="97">
                  <c:v>152.875</c:v>
                </c:pt>
                <c:pt idx="98">
                  <c:v>152.875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45-44E5-852A-377F9E9F0416}"/>
            </c:ext>
          </c:extLst>
        </c:ser>
        <c:ser>
          <c:idx val="3"/>
          <c:order val="3"/>
          <c:tx>
            <c:strRef>
              <c:f>'Important High Low'!$L$4</c:f>
              <c:strCache>
                <c:ptCount val="1"/>
                <c:pt idx="0">
                  <c:v>Peak_Line_3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'Important High Low'!$L$5:$L$103</c:f>
              <c:numCache>
                <c:formatCode>General</c:formatCode>
                <c:ptCount val="99"/>
                <c:pt idx="0">
                  <c:v>153.27099999999999</c:v>
                </c:pt>
                <c:pt idx="1">
                  <c:v>153.26900000000001</c:v>
                </c:pt>
                <c:pt idx="2">
                  <c:v>153.268</c:v>
                </c:pt>
                <c:pt idx="3">
                  <c:v>153.26599999999999</c:v>
                </c:pt>
                <c:pt idx="4">
                  <c:v>153.26400000000001</c:v>
                </c:pt>
                <c:pt idx="5">
                  <c:v>153.26300000000001</c:v>
                </c:pt>
                <c:pt idx="6">
                  <c:v>153.261</c:v>
                </c:pt>
                <c:pt idx="7">
                  <c:v>153.25899999999999</c:v>
                </c:pt>
                <c:pt idx="8">
                  <c:v>153.25800000000001</c:v>
                </c:pt>
                <c:pt idx="9">
                  <c:v>153.256</c:v>
                </c:pt>
                <c:pt idx="10">
                  <c:v>153.255</c:v>
                </c:pt>
                <c:pt idx="11">
                  <c:v>153.25299999999999</c:v>
                </c:pt>
                <c:pt idx="12">
                  <c:v>153.251</c:v>
                </c:pt>
                <c:pt idx="13">
                  <c:v>153.25</c:v>
                </c:pt>
                <c:pt idx="14">
                  <c:v>153.24799999999999</c:v>
                </c:pt>
                <c:pt idx="15">
                  <c:v>153.24600000000001</c:v>
                </c:pt>
                <c:pt idx="16">
                  <c:v>153.245</c:v>
                </c:pt>
                <c:pt idx="17">
                  <c:v>153.24299999999999</c:v>
                </c:pt>
                <c:pt idx="18">
                  <c:v>153.24100000000001</c:v>
                </c:pt>
                <c:pt idx="19">
                  <c:v>153.24</c:v>
                </c:pt>
                <c:pt idx="20">
                  <c:v>153.238</c:v>
                </c:pt>
                <c:pt idx="21">
                  <c:v>153.23599999999999</c:v>
                </c:pt>
                <c:pt idx="22">
                  <c:v>153.23500000000001</c:v>
                </c:pt>
                <c:pt idx="23">
                  <c:v>153.233</c:v>
                </c:pt>
                <c:pt idx="24">
                  <c:v>153.232</c:v>
                </c:pt>
                <c:pt idx="25">
                  <c:v>153.22999999999999</c:v>
                </c:pt>
                <c:pt idx="26">
                  <c:v>153.22800000000001</c:v>
                </c:pt>
                <c:pt idx="27">
                  <c:v>153.227</c:v>
                </c:pt>
                <c:pt idx="28">
                  <c:v>153.22499999999999</c:v>
                </c:pt>
                <c:pt idx="29">
                  <c:v>153.22300000000001</c:v>
                </c:pt>
                <c:pt idx="30">
                  <c:v>153.22200000000001</c:v>
                </c:pt>
                <c:pt idx="31">
                  <c:v>153.22</c:v>
                </c:pt>
                <c:pt idx="32">
                  <c:v>153.21799999999999</c:v>
                </c:pt>
                <c:pt idx="33">
                  <c:v>153.21700000000001</c:v>
                </c:pt>
                <c:pt idx="34">
                  <c:v>153.215</c:v>
                </c:pt>
                <c:pt idx="35">
                  <c:v>153.214</c:v>
                </c:pt>
                <c:pt idx="36">
                  <c:v>153.21199999999999</c:v>
                </c:pt>
                <c:pt idx="37">
                  <c:v>153.21</c:v>
                </c:pt>
                <c:pt idx="38">
                  <c:v>153.209</c:v>
                </c:pt>
                <c:pt idx="39">
                  <c:v>153.20699999999999</c:v>
                </c:pt>
                <c:pt idx="40">
                  <c:v>153.20500000000001</c:v>
                </c:pt>
                <c:pt idx="41">
                  <c:v>153.20400000000001</c:v>
                </c:pt>
                <c:pt idx="42">
                  <c:v>153.202</c:v>
                </c:pt>
                <c:pt idx="43">
                  <c:v>153.19999999999999</c:v>
                </c:pt>
                <c:pt idx="44">
                  <c:v>153.19900000000001</c:v>
                </c:pt>
                <c:pt idx="45">
                  <c:v>153.197</c:v>
                </c:pt>
                <c:pt idx="46">
                  <c:v>153.19499999999999</c:v>
                </c:pt>
                <c:pt idx="47">
                  <c:v>153.19399999999999</c:v>
                </c:pt>
                <c:pt idx="48">
                  <c:v>153.19200000000001</c:v>
                </c:pt>
                <c:pt idx="49">
                  <c:v>153.191</c:v>
                </c:pt>
                <c:pt idx="50">
                  <c:v>153.18899999999999</c:v>
                </c:pt>
                <c:pt idx="51">
                  <c:v>153.18700000000001</c:v>
                </c:pt>
                <c:pt idx="52">
                  <c:v>153.18600000000001</c:v>
                </c:pt>
                <c:pt idx="53">
                  <c:v>153.184</c:v>
                </c:pt>
                <c:pt idx="54">
                  <c:v>153.18199999999999</c:v>
                </c:pt>
                <c:pt idx="55">
                  <c:v>153.18100000000001</c:v>
                </c:pt>
                <c:pt idx="56">
                  <c:v>153.179</c:v>
                </c:pt>
                <c:pt idx="57">
                  <c:v>153.17699999999999</c:v>
                </c:pt>
                <c:pt idx="58">
                  <c:v>153.17599999999999</c:v>
                </c:pt>
                <c:pt idx="59">
                  <c:v>153.17400000000001</c:v>
                </c:pt>
                <c:pt idx="60">
                  <c:v>153.173</c:v>
                </c:pt>
                <c:pt idx="61">
                  <c:v>153.17099999999999</c:v>
                </c:pt>
                <c:pt idx="62">
                  <c:v>153.16900000000001</c:v>
                </c:pt>
                <c:pt idx="63">
                  <c:v>153.16800000000001</c:v>
                </c:pt>
                <c:pt idx="64">
                  <c:v>153.166</c:v>
                </c:pt>
                <c:pt idx="65">
                  <c:v>153.16399999999999</c:v>
                </c:pt>
                <c:pt idx="66">
                  <c:v>153.16300000000001</c:v>
                </c:pt>
                <c:pt idx="67">
                  <c:v>153.161</c:v>
                </c:pt>
                <c:pt idx="68">
                  <c:v>153.15899999999999</c:v>
                </c:pt>
                <c:pt idx="69">
                  <c:v>153.15799999999999</c:v>
                </c:pt>
                <c:pt idx="70">
                  <c:v>153.15600000000001</c:v>
                </c:pt>
                <c:pt idx="71">
                  <c:v>153.154</c:v>
                </c:pt>
                <c:pt idx="72">
                  <c:v>153.15299999999999</c:v>
                </c:pt>
                <c:pt idx="73">
                  <c:v>153.15100000000001</c:v>
                </c:pt>
                <c:pt idx="74">
                  <c:v>153.15</c:v>
                </c:pt>
                <c:pt idx="75">
                  <c:v>153.148</c:v>
                </c:pt>
                <c:pt idx="76">
                  <c:v>153.14599999999999</c:v>
                </c:pt>
                <c:pt idx="77">
                  <c:v>153.14500000000001</c:v>
                </c:pt>
                <c:pt idx="78">
                  <c:v>153.143</c:v>
                </c:pt>
                <c:pt idx="79">
                  <c:v>153.14099999999999</c:v>
                </c:pt>
                <c:pt idx="80">
                  <c:v>153.13999999999999</c:v>
                </c:pt>
                <c:pt idx="81">
                  <c:v>153.13800000000001</c:v>
                </c:pt>
                <c:pt idx="82">
                  <c:v>153.136</c:v>
                </c:pt>
                <c:pt idx="83">
                  <c:v>153.13499999999999</c:v>
                </c:pt>
                <c:pt idx="84">
                  <c:v>153.13300000000001</c:v>
                </c:pt>
                <c:pt idx="85">
                  <c:v>153.13200000000001</c:v>
                </c:pt>
                <c:pt idx="86">
                  <c:v>153.13</c:v>
                </c:pt>
                <c:pt idx="87">
                  <c:v>153.12799999999999</c:v>
                </c:pt>
                <c:pt idx="88">
                  <c:v>153.12700000000001</c:v>
                </c:pt>
                <c:pt idx="89">
                  <c:v>153.125</c:v>
                </c:pt>
                <c:pt idx="90">
                  <c:v>153.12299999999999</c:v>
                </c:pt>
                <c:pt idx="91">
                  <c:v>153.12200000000001</c:v>
                </c:pt>
                <c:pt idx="92">
                  <c:v>153.12</c:v>
                </c:pt>
                <c:pt idx="93">
                  <c:v>153.11799999999999</c:v>
                </c:pt>
                <c:pt idx="94">
                  <c:v>153.11699999999999</c:v>
                </c:pt>
                <c:pt idx="95">
                  <c:v>153.11500000000001</c:v>
                </c:pt>
                <c:pt idx="96">
                  <c:v>153.113</c:v>
                </c:pt>
                <c:pt idx="97">
                  <c:v>153.11199999999999</c:v>
                </c:pt>
                <c:pt idx="98">
                  <c:v>153.11000000000001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45-44E5-852A-377F9E9F0416}"/>
            </c:ext>
          </c:extLst>
        </c:ser>
        <c:ser>
          <c:idx val="4"/>
          <c:order val="4"/>
          <c:tx>
            <c:strRef>
              <c:f>'Important High Low'!$M$4</c:f>
              <c:strCache>
                <c:ptCount val="1"/>
                <c:pt idx="0">
                  <c:v>Bottom_Line_1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'Important High Low'!$M$5:$M$103</c:f>
              <c:numCache>
                <c:formatCode>General</c:formatCode>
                <c:ptCount val="99"/>
                <c:pt idx="0">
                  <c:v>152.56</c:v>
                </c:pt>
                <c:pt idx="1">
                  <c:v>152.56100000000001</c:v>
                </c:pt>
                <c:pt idx="2">
                  <c:v>152.56200000000001</c:v>
                </c:pt>
                <c:pt idx="3">
                  <c:v>152.56200000000001</c:v>
                </c:pt>
                <c:pt idx="4">
                  <c:v>152.56299999999999</c:v>
                </c:pt>
                <c:pt idx="5">
                  <c:v>152.56399999999999</c:v>
                </c:pt>
                <c:pt idx="6">
                  <c:v>152.565</c:v>
                </c:pt>
                <c:pt idx="7">
                  <c:v>152.565</c:v>
                </c:pt>
                <c:pt idx="8">
                  <c:v>152.566</c:v>
                </c:pt>
                <c:pt idx="9">
                  <c:v>152.56700000000001</c:v>
                </c:pt>
                <c:pt idx="10">
                  <c:v>152.56800000000001</c:v>
                </c:pt>
                <c:pt idx="11">
                  <c:v>152.56899999999999</c:v>
                </c:pt>
                <c:pt idx="12">
                  <c:v>152.56899999999999</c:v>
                </c:pt>
                <c:pt idx="13">
                  <c:v>152.57</c:v>
                </c:pt>
                <c:pt idx="14">
                  <c:v>152.571</c:v>
                </c:pt>
                <c:pt idx="15">
                  <c:v>152.572</c:v>
                </c:pt>
                <c:pt idx="16">
                  <c:v>152.572</c:v>
                </c:pt>
                <c:pt idx="17">
                  <c:v>152.57300000000001</c:v>
                </c:pt>
                <c:pt idx="18">
                  <c:v>152.57400000000001</c:v>
                </c:pt>
                <c:pt idx="19">
                  <c:v>152.57499999999999</c:v>
                </c:pt>
                <c:pt idx="20">
                  <c:v>152.57499999999999</c:v>
                </c:pt>
                <c:pt idx="21">
                  <c:v>152.57599999999999</c:v>
                </c:pt>
                <c:pt idx="22">
                  <c:v>152.577</c:v>
                </c:pt>
                <c:pt idx="23">
                  <c:v>152.578</c:v>
                </c:pt>
                <c:pt idx="24">
                  <c:v>152.578</c:v>
                </c:pt>
                <c:pt idx="25">
                  <c:v>152.57900000000001</c:v>
                </c:pt>
                <c:pt idx="26">
                  <c:v>152.58000000000001</c:v>
                </c:pt>
                <c:pt idx="27">
                  <c:v>152.58099999999999</c:v>
                </c:pt>
                <c:pt idx="28">
                  <c:v>152.58199999999999</c:v>
                </c:pt>
                <c:pt idx="29">
                  <c:v>152.58199999999999</c:v>
                </c:pt>
                <c:pt idx="30">
                  <c:v>152.583</c:v>
                </c:pt>
                <c:pt idx="31">
                  <c:v>152.584</c:v>
                </c:pt>
                <c:pt idx="32">
                  <c:v>152.58500000000001</c:v>
                </c:pt>
                <c:pt idx="33">
                  <c:v>152.58500000000001</c:v>
                </c:pt>
                <c:pt idx="34">
                  <c:v>152.58600000000001</c:v>
                </c:pt>
                <c:pt idx="35">
                  <c:v>152.58699999999999</c:v>
                </c:pt>
                <c:pt idx="36">
                  <c:v>152.58799999999999</c:v>
                </c:pt>
                <c:pt idx="37">
                  <c:v>152.58799999999999</c:v>
                </c:pt>
                <c:pt idx="38">
                  <c:v>152.589</c:v>
                </c:pt>
                <c:pt idx="39">
                  <c:v>152.59</c:v>
                </c:pt>
                <c:pt idx="40">
                  <c:v>152.59100000000001</c:v>
                </c:pt>
                <c:pt idx="41">
                  <c:v>152.59100000000001</c:v>
                </c:pt>
                <c:pt idx="42">
                  <c:v>152.59200000000001</c:v>
                </c:pt>
                <c:pt idx="43">
                  <c:v>152.59299999999999</c:v>
                </c:pt>
                <c:pt idx="44">
                  <c:v>152.59399999999999</c:v>
                </c:pt>
                <c:pt idx="45">
                  <c:v>152.595</c:v>
                </c:pt>
                <c:pt idx="46">
                  <c:v>152.595</c:v>
                </c:pt>
                <c:pt idx="47">
                  <c:v>152.596</c:v>
                </c:pt>
                <c:pt idx="48">
                  <c:v>152.59700000000001</c:v>
                </c:pt>
                <c:pt idx="49">
                  <c:v>152.59800000000001</c:v>
                </c:pt>
                <c:pt idx="50">
                  <c:v>152.59800000000001</c:v>
                </c:pt>
                <c:pt idx="51">
                  <c:v>152.59899999999999</c:v>
                </c:pt>
                <c:pt idx="52">
                  <c:v>152.6</c:v>
                </c:pt>
                <c:pt idx="53">
                  <c:v>152.601</c:v>
                </c:pt>
                <c:pt idx="54">
                  <c:v>152.601</c:v>
                </c:pt>
                <c:pt idx="55">
                  <c:v>152.602</c:v>
                </c:pt>
                <c:pt idx="56">
                  <c:v>152.60300000000001</c:v>
                </c:pt>
                <c:pt idx="57">
                  <c:v>152.60400000000001</c:v>
                </c:pt>
                <c:pt idx="58">
                  <c:v>152.60400000000001</c:v>
                </c:pt>
                <c:pt idx="59">
                  <c:v>152.60499999999999</c:v>
                </c:pt>
                <c:pt idx="60">
                  <c:v>152.60599999999999</c:v>
                </c:pt>
                <c:pt idx="61">
                  <c:v>152.607</c:v>
                </c:pt>
                <c:pt idx="62">
                  <c:v>152.608</c:v>
                </c:pt>
                <c:pt idx="63">
                  <c:v>152.608</c:v>
                </c:pt>
                <c:pt idx="64">
                  <c:v>152.60900000000001</c:v>
                </c:pt>
                <c:pt idx="65">
                  <c:v>152.61000000000001</c:v>
                </c:pt>
                <c:pt idx="66">
                  <c:v>152.61099999999999</c:v>
                </c:pt>
                <c:pt idx="67">
                  <c:v>152.61099999999999</c:v>
                </c:pt>
                <c:pt idx="68">
                  <c:v>152.61199999999999</c:v>
                </c:pt>
                <c:pt idx="69">
                  <c:v>152.613</c:v>
                </c:pt>
                <c:pt idx="70">
                  <c:v>152.614</c:v>
                </c:pt>
                <c:pt idx="71">
                  <c:v>152.614</c:v>
                </c:pt>
                <c:pt idx="72">
                  <c:v>152.61500000000001</c:v>
                </c:pt>
                <c:pt idx="73">
                  <c:v>152.61600000000001</c:v>
                </c:pt>
                <c:pt idx="74">
                  <c:v>152.61699999999999</c:v>
                </c:pt>
                <c:pt idx="75">
                  <c:v>152.61699999999999</c:v>
                </c:pt>
                <c:pt idx="76">
                  <c:v>152.61799999999999</c:v>
                </c:pt>
                <c:pt idx="77">
                  <c:v>152.619</c:v>
                </c:pt>
                <c:pt idx="78">
                  <c:v>152.62</c:v>
                </c:pt>
                <c:pt idx="79">
                  <c:v>152.62100000000001</c:v>
                </c:pt>
                <c:pt idx="80">
                  <c:v>152.62100000000001</c:v>
                </c:pt>
                <c:pt idx="81">
                  <c:v>152.62200000000001</c:v>
                </c:pt>
                <c:pt idx="82">
                  <c:v>152.62299999999999</c:v>
                </c:pt>
                <c:pt idx="83">
                  <c:v>152.624</c:v>
                </c:pt>
                <c:pt idx="84">
                  <c:v>152.624</c:v>
                </c:pt>
                <c:pt idx="85">
                  <c:v>152.625</c:v>
                </c:pt>
                <c:pt idx="86">
                  <c:v>152.626</c:v>
                </c:pt>
                <c:pt idx="87">
                  <c:v>152.62700000000001</c:v>
                </c:pt>
                <c:pt idx="88">
                  <c:v>152.62700000000001</c:v>
                </c:pt>
                <c:pt idx="89">
                  <c:v>152.62799999999999</c:v>
                </c:pt>
                <c:pt idx="90">
                  <c:v>152.62899999999999</c:v>
                </c:pt>
                <c:pt idx="91">
                  <c:v>152.63</c:v>
                </c:pt>
                <c:pt idx="92">
                  <c:v>152.63</c:v>
                </c:pt>
                <c:pt idx="93">
                  <c:v>152.631</c:v>
                </c:pt>
                <c:pt idx="94">
                  <c:v>152.63200000000001</c:v>
                </c:pt>
                <c:pt idx="95">
                  <c:v>152.63300000000001</c:v>
                </c:pt>
                <c:pt idx="96">
                  <c:v>152.63399999999999</c:v>
                </c:pt>
                <c:pt idx="97">
                  <c:v>152.63399999999999</c:v>
                </c:pt>
                <c:pt idx="98">
                  <c:v>152.63499999999999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45-44E5-852A-377F9E9F0416}"/>
            </c:ext>
          </c:extLst>
        </c:ser>
        <c:ser>
          <c:idx val="5"/>
          <c:order val="5"/>
          <c:tx>
            <c:strRef>
              <c:f>'Important High Low'!$N$4</c:f>
              <c:strCache>
                <c:ptCount val="1"/>
                <c:pt idx="0">
                  <c:v>Bottom_Line_2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'Important High Low'!$N$5:$N$103</c:f>
              <c:numCache>
                <c:formatCode>General</c:formatCode>
                <c:ptCount val="99"/>
                <c:pt idx="0">
                  <c:v>152.60300000000001</c:v>
                </c:pt>
                <c:pt idx="1">
                  <c:v>152.60300000000001</c:v>
                </c:pt>
                <c:pt idx="2">
                  <c:v>152.602</c:v>
                </c:pt>
                <c:pt idx="3">
                  <c:v>152.602</c:v>
                </c:pt>
                <c:pt idx="4">
                  <c:v>152.602</c:v>
                </c:pt>
                <c:pt idx="5">
                  <c:v>152.602</c:v>
                </c:pt>
                <c:pt idx="6">
                  <c:v>152.602</c:v>
                </c:pt>
                <c:pt idx="7">
                  <c:v>152.601</c:v>
                </c:pt>
                <c:pt idx="8">
                  <c:v>152.601</c:v>
                </c:pt>
                <c:pt idx="9">
                  <c:v>152.601</c:v>
                </c:pt>
                <c:pt idx="10">
                  <c:v>152.601</c:v>
                </c:pt>
                <c:pt idx="11">
                  <c:v>152.6</c:v>
                </c:pt>
                <c:pt idx="12">
                  <c:v>152.6</c:v>
                </c:pt>
                <c:pt idx="13">
                  <c:v>152.6</c:v>
                </c:pt>
                <c:pt idx="14">
                  <c:v>152.6</c:v>
                </c:pt>
                <c:pt idx="15">
                  <c:v>152.59899999999999</c:v>
                </c:pt>
                <c:pt idx="16">
                  <c:v>152.59899999999999</c:v>
                </c:pt>
                <c:pt idx="17">
                  <c:v>152.59899999999999</c:v>
                </c:pt>
                <c:pt idx="18">
                  <c:v>152.59899999999999</c:v>
                </c:pt>
                <c:pt idx="19">
                  <c:v>152.59899999999999</c:v>
                </c:pt>
                <c:pt idx="20">
                  <c:v>152.59800000000001</c:v>
                </c:pt>
                <c:pt idx="21">
                  <c:v>152.59800000000001</c:v>
                </c:pt>
                <c:pt idx="22">
                  <c:v>152.59800000000001</c:v>
                </c:pt>
                <c:pt idx="23">
                  <c:v>152.59800000000001</c:v>
                </c:pt>
                <c:pt idx="24">
                  <c:v>152.59700000000001</c:v>
                </c:pt>
                <c:pt idx="25">
                  <c:v>152.59700000000001</c:v>
                </c:pt>
                <c:pt idx="26">
                  <c:v>152.59700000000001</c:v>
                </c:pt>
                <c:pt idx="27">
                  <c:v>152.59700000000001</c:v>
                </c:pt>
                <c:pt idx="28">
                  <c:v>152.596</c:v>
                </c:pt>
                <c:pt idx="29">
                  <c:v>152.596</c:v>
                </c:pt>
                <c:pt idx="30">
                  <c:v>152.596</c:v>
                </c:pt>
                <c:pt idx="31">
                  <c:v>152.596</c:v>
                </c:pt>
                <c:pt idx="32">
                  <c:v>152.596</c:v>
                </c:pt>
                <c:pt idx="33">
                  <c:v>152.595</c:v>
                </c:pt>
                <c:pt idx="34">
                  <c:v>152.595</c:v>
                </c:pt>
                <c:pt idx="35">
                  <c:v>152.595</c:v>
                </c:pt>
                <c:pt idx="36">
                  <c:v>152.595</c:v>
                </c:pt>
                <c:pt idx="37">
                  <c:v>152.59399999999999</c:v>
                </c:pt>
                <c:pt idx="38">
                  <c:v>152.59399999999999</c:v>
                </c:pt>
                <c:pt idx="39">
                  <c:v>152.59399999999999</c:v>
                </c:pt>
                <c:pt idx="40">
                  <c:v>152.59399999999999</c:v>
                </c:pt>
                <c:pt idx="41">
                  <c:v>152.59299999999999</c:v>
                </c:pt>
                <c:pt idx="42">
                  <c:v>152.59299999999999</c:v>
                </c:pt>
                <c:pt idx="43">
                  <c:v>152.59299999999999</c:v>
                </c:pt>
                <c:pt idx="44">
                  <c:v>152.59299999999999</c:v>
                </c:pt>
                <c:pt idx="45">
                  <c:v>152.59299999999999</c:v>
                </c:pt>
                <c:pt idx="46">
                  <c:v>152.59200000000001</c:v>
                </c:pt>
                <c:pt idx="47">
                  <c:v>152.59200000000001</c:v>
                </c:pt>
                <c:pt idx="48">
                  <c:v>152.59200000000001</c:v>
                </c:pt>
                <c:pt idx="49">
                  <c:v>152.59200000000001</c:v>
                </c:pt>
                <c:pt idx="50">
                  <c:v>152.59100000000001</c:v>
                </c:pt>
                <c:pt idx="51">
                  <c:v>152.59100000000001</c:v>
                </c:pt>
                <c:pt idx="52">
                  <c:v>152.59100000000001</c:v>
                </c:pt>
                <c:pt idx="53">
                  <c:v>152.59100000000001</c:v>
                </c:pt>
                <c:pt idx="54">
                  <c:v>152.59</c:v>
                </c:pt>
                <c:pt idx="55">
                  <c:v>152.59</c:v>
                </c:pt>
                <c:pt idx="56">
                  <c:v>152.59</c:v>
                </c:pt>
                <c:pt idx="57">
                  <c:v>152.59</c:v>
                </c:pt>
                <c:pt idx="58">
                  <c:v>152.59</c:v>
                </c:pt>
                <c:pt idx="59">
                  <c:v>152.589</c:v>
                </c:pt>
                <c:pt idx="60">
                  <c:v>152.589</c:v>
                </c:pt>
                <c:pt idx="61">
                  <c:v>152.589</c:v>
                </c:pt>
                <c:pt idx="62">
                  <c:v>152.589</c:v>
                </c:pt>
                <c:pt idx="63">
                  <c:v>152.58799999999999</c:v>
                </c:pt>
                <c:pt idx="64">
                  <c:v>152.58799999999999</c:v>
                </c:pt>
                <c:pt idx="65">
                  <c:v>152.58799999999999</c:v>
                </c:pt>
                <c:pt idx="66">
                  <c:v>152.58799999999999</c:v>
                </c:pt>
                <c:pt idx="67">
                  <c:v>152.58699999999999</c:v>
                </c:pt>
                <c:pt idx="68">
                  <c:v>152.58699999999999</c:v>
                </c:pt>
                <c:pt idx="69">
                  <c:v>152.58699999999999</c:v>
                </c:pt>
                <c:pt idx="70">
                  <c:v>152.58699999999999</c:v>
                </c:pt>
                <c:pt idx="71">
                  <c:v>152.58699999999999</c:v>
                </c:pt>
                <c:pt idx="72">
                  <c:v>152.58600000000001</c:v>
                </c:pt>
                <c:pt idx="73">
                  <c:v>152.58600000000001</c:v>
                </c:pt>
                <c:pt idx="74">
                  <c:v>152.58600000000001</c:v>
                </c:pt>
                <c:pt idx="75">
                  <c:v>152.58600000000001</c:v>
                </c:pt>
                <c:pt idx="76">
                  <c:v>152.58500000000001</c:v>
                </c:pt>
                <c:pt idx="77">
                  <c:v>152.58500000000001</c:v>
                </c:pt>
                <c:pt idx="78">
                  <c:v>152.58500000000001</c:v>
                </c:pt>
                <c:pt idx="79">
                  <c:v>152.58500000000001</c:v>
                </c:pt>
                <c:pt idx="80">
                  <c:v>152.584</c:v>
                </c:pt>
                <c:pt idx="81">
                  <c:v>152.584</c:v>
                </c:pt>
                <c:pt idx="82">
                  <c:v>152.584</c:v>
                </c:pt>
                <c:pt idx="83">
                  <c:v>152.584</c:v>
                </c:pt>
                <c:pt idx="84">
                  <c:v>152.584</c:v>
                </c:pt>
                <c:pt idx="85">
                  <c:v>152.583</c:v>
                </c:pt>
                <c:pt idx="86">
                  <c:v>152.583</c:v>
                </c:pt>
                <c:pt idx="87">
                  <c:v>152.583</c:v>
                </c:pt>
                <c:pt idx="88">
                  <c:v>152.583</c:v>
                </c:pt>
                <c:pt idx="89">
                  <c:v>152.58199999999999</c:v>
                </c:pt>
                <c:pt idx="90">
                  <c:v>152.58199999999999</c:v>
                </c:pt>
                <c:pt idx="91">
                  <c:v>152.58199999999999</c:v>
                </c:pt>
                <c:pt idx="92">
                  <c:v>152.58199999999999</c:v>
                </c:pt>
                <c:pt idx="93">
                  <c:v>152.58099999999999</c:v>
                </c:pt>
                <c:pt idx="94">
                  <c:v>152.58099999999999</c:v>
                </c:pt>
                <c:pt idx="95">
                  <c:v>152.58099999999999</c:v>
                </c:pt>
                <c:pt idx="96">
                  <c:v>152.58099999999999</c:v>
                </c:pt>
                <c:pt idx="97">
                  <c:v>152.58099999999999</c:v>
                </c:pt>
                <c:pt idx="98">
                  <c:v>152.58000000000001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45-44E5-852A-377F9E9F0416}"/>
            </c:ext>
          </c:extLst>
        </c:ser>
        <c:ser>
          <c:idx val="6"/>
          <c:order val="6"/>
          <c:tx>
            <c:strRef>
              <c:f>'Important High Low'!$O$4</c:f>
              <c:strCache>
                <c:ptCount val="1"/>
                <c:pt idx="0">
                  <c:v>Bottom_Line_3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'Important High Low'!$O$5:$O$103</c:f>
              <c:numCache>
                <c:formatCode>General</c:formatCode>
                <c:ptCount val="99"/>
                <c:pt idx="0">
                  <c:v>152.768</c:v>
                </c:pt>
                <c:pt idx="1">
                  <c:v>152.77000000000001</c:v>
                </c:pt>
                <c:pt idx="2">
                  <c:v>152.77099999999999</c:v>
                </c:pt>
                <c:pt idx="3">
                  <c:v>152.773</c:v>
                </c:pt>
                <c:pt idx="4">
                  <c:v>152.774</c:v>
                </c:pt>
                <c:pt idx="5">
                  <c:v>152.77600000000001</c:v>
                </c:pt>
                <c:pt idx="6">
                  <c:v>152.77799999999999</c:v>
                </c:pt>
                <c:pt idx="7">
                  <c:v>152.779</c:v>
                </c:pt>
                <c:pt idx="8">
                  <c:v>152.78100000000001</c:v>
                </c:pt>
                <c:pt idx="9">
                  <c:v>152.78200000000001</c:v>
                </c:pt>
                <c:pt idx="10">
                  <c:v>152.78399999999999</c:v>
                </c:pt>
                <c:pt idx="11">
                  <c:v>152.785</c:v>
                </c:pt>
                <c:pt idx="12">
                  <c:v>152.78700000000001</c:v>
                </c:pt>
                <c:pt idx="13">
                  <c:v>152.78899999999999</c:v>
                </c:pt>
                <c:pt idx="14">
                  <c:v>152.79</c:v>
                </c:pt>
                <c:pt idx="15">
                  <c:v>152.792</c:v>
                </c:pt>
                <c:pt idx="16">
                  <c:v>152.79300000000001</c:v>
                </c:pt>
                <c:pt idx="17">
                  <c:v>152.79499999999999</c:v>
                </c:pt>
                <c:pt idx="18">
                  <c:v>152.79599999999999</c:v>
                </c:pt>
                <c:pt idx="19">
                  <c:v>152.798</c:v>
                </c:pt>
                <c:pt idx="20">
                  <c:v>152.80000000000001</c:v>
                </c:pt>
                <c:pt idx="21">
                  <c:v>152.80099999999999</c:v>
                </c:pt>
                <c:pt idx="22">
                  <c:v>152.803</c:v>
                </c:pt>
                <c:pt idx="23">
                  <c:v>152.804</c:v>
                </c:pt>
                <c:pt idx="24">
                  <c:v>152.80600000000001</c:v>
                </c:pt>
                <c:pt idx="25">
                  <c:v>152.80799999999999</c:v>
                </c:pt>
                <c:pt idx="26">
                  <c:v>152.809</c:v>
                </c:pt>
                <c:pt idx="27">
                  <c:v>152.81100000000001</c:v>
                </c:pt>
                <c:pt idx="28">
                  <c:v>152.81200000000001</c:v>
                </c:pt>
                <c:pt idx="29">
                  <c:v>152.81399999999999</c:v>
                </c:pt>
                <c:pt idx="30">
                  <c:v>152.815</c:v>
                </c:pt>
                <c:pt idx="31">
                  <c:v>152.81700000000001</c:v>
                </c:pt>
                <c:pt idx="32">
                  <c:v>152.81899999999999</c:v>
                </c:pt>
                <c:pt idx="33">
                  <c:v>152.82</c:v>
                </c:pt>
                <c:pt idx="34">
                  <c:v>152.822</c:v>
                </c:pt>
                <c:pt idx="35">
                  <c:v>152.82300000000001</c:v>
                </c:pt>
                <c:pt idx="36">
                  <c:v>152.82499999999999</c:v>
                </c:pt>
                <c:pt idx="37">
                  <c:v>152.827</c:v>
                </c:pt>
                <c:pt idx="38">
                  <c:v>152.828</c:v>
                </c:pt>
                <c:pt idx="39">
                  <c:v>152.83000000000001</c:v>
                </c:pt>
                <c:pt idx="40">
                  <c:v>152.83099999999999</c:v>
                </c:pt>
                <c:pt idx="41">
                  <c:v>152.833</c:v>
                </c:pt>
                <c:pt idx="42">
                  <c:v>152.834</c:v>
                </c:pt>
                <c:pt idx="43">
                  <c:v>152.83600000000001</c:v>
                </c:pt>
                <c:pt idx="44">
                  <c:v>152.83799999999999</c:v>
                </c:pt>
                <c:pt idx="45">
                  <c:v>152.839</c:v>
                </c:pt>
                <c:pt idx="46">
                  <c:v>152.84100000000001</c:v>
                </c:pt>
                <c:pt idx="47">
                  <c:v>152.84200000000001</c:v>
                </c:pt>
                <c:pt idx="48">
                  <c:v>152.84399999999999</c:v>
                </c:pt>
                <c:pt idx="49">
                  <c:v>152.845</c:v>
                </c:pt>
                <c:pt idx="50">
                  <c:v>152.84700000000001</c:v>
                </c:pt>
                <c:pt idx="51">
                  <c:v>152.84899999999999</c:v>
                </c:pt>
                <c:pt idx="52">
                  <c:v>152.85</c:v>
                </c:pt>
                <c:pt idx="53">
                  <c:v>152.852</c:v>
                </c:pt>
                <c:pt idx="54">
                  <c:v>152.85300000000001</c:v>
                </c:pt>
                <c:pt idx="55">
                  <c:v>152.85499999999999</c:v>
                </c:pt>
                <c:pt idx="56">
                  <c:v>152.857</c:v>
                </c:pt>
                <c:pt idx="57">
                  <c:v>152.858</c:v>
                </c:pt>
                <c:pt idx="58">
                  <c:v>152.86000000000001</c:v>
                </c:pt>
                <c:pt idx="59">
                  <c:v>152.86099999999999</c:v>
                </c:pt>
                <c:pt idx="60">
                  <c:v>152.863</c:v>
                </c:pt>
                <c:pt idx="61">
                  <c:v>152.864</c:v>
                </c:pt>
                <c:pt idx="62">
                  <c:v>152.86600000000001</c:v>
                </c:pt>
                <c:pt idx="63">
                  <c:v>152.86799999999999</c:v>
                </c:pt>
                <c:pt idx="64">
                  <c:v>152.869</c:v>
                </c:pt>
                <c:pt idx="65">
                  <c:v>152.87100000000001</c:v>
                </c:pt>
                <c:pt idx="66">
                  <c:v>152.87200000000001</c:v>
                </c:pt>
                <c:pt idx="67">
                  <c:v>152.874</c:v>
                </c:pt>
                <c:pt idx="68">
                  <c:v>152.876</c:v>
                </c:pt>
                <c:pt idx="69">
                  <c:v>152.87700000000001</c:v>
                </c:pt>
                <c:pt idx="70">
                  <c:v>152.87899999999999</c:v>
                </c:pt>
                <c:pt idx="71">
                  <c:v>152.88</c:v>
                </c:pt>
                <c:pt idx="72">
                  <c:v>152.88200000000001</c:v>
                </c:pt>
                <c:pt idx="73">
                  <c:v>152.88300000000001</c:v>
                </c:pt>
                <c:pt idx="74">
                  <c:v>152.88499999999999</c:v>
                </c:pt>
                <c:pt idx="75">
                  <c:v>152.887</c:v>
                </c:pt>
                <c:pt idx="76">
                  <c:v>152.88800000000001</c:v>
                </c:pt>
                <c:pt idx="77">
                  <c:v>152.88999999999999</c:v>
                </c:pt>
                <c:pt idx="78">
                  <c:v>152.89099999999999</c:v>
                </c:pt>
                <c:pt idx="79">
                  <c:v>152.893</c:v>
                </c:pt>
                <c:pt idx="80">
                  <c:v>152.89400000000001</c:v>
                </c:pt>
                <c:pt idx="81">
                  <c:v>152.89599999999999</c:v>
                </c:pt>
                <c:pt idx="82">
                  <c:v>152.898</c:v>
                </c:pt>
                <c:pt idx="83">
                  <c:v>152.899</c:v>
                </c:pt>
                <c:pt idx="84">
                  <c:v>152.90100000000001</c:v>
                </c:pt>
                <c:pt idx="85">
                  <c:v>152.90199999999999</c:v>
                </c:pt>
                <c:pt idx="86">
                  <c:v>152.904</c:v>
                </c:pt>
                <c:pt idx="87">
                  <c:v>152.90600000000001</c:v>
                </c:pt>
                <c:pt idx="88">
                  <c:v>152.90700000000001</c:v>
                </c:pt>
                <c:pt idx="89">
                  <c:v>152.90899999999999</c:v>
                </c:pt>
                <c:pt idx="90">
                  <c:v>152.91</c:v>
                </c:pt>
                <c:pt idx="91">
                  <c:v>152.91200000000001</c:v>
                </c:pt>
                <c:pt idx="92">
                  <c:v>152.91300000000001</c:v>
                </c:pt>
                <c:pt idx="93">
                  <c:v>152.91499999999999</c:v>
                </c:pt>
                <c:pt idx="94">
                  <c:v>152.917</c:v>
                </c:pt>
                <c:pt idx="95">
                  <c:v>152.91800000000001</c:v>
                </c:pt>
                <c:pt idx="96">
                  <c:v>152.91999999999999</c:v>
                </c:pt>
                <c:pt idx="97">
                  <c:v>152.92099999999999</c:v>
                </c:pt>
                <c:pt idx="98">
                  <c:v>152.923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545-44E5-852A-377F9E9F0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3153568"/>
        <c:axId val="313157312"/>
      </c:lineChart>
      <c:catAx>
        <c:axId val="3131535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Z"/>
          </a:p>
        </c:txPr>
        <c:crossAx val="313157312"/>
        <c:crosses val="autoZero"/>
        <c:auto val="1"/>
        <c:lblAlgn val="ctr"/>
        <c:lblOffset val="100"/>
        <c:noMultiLvlLbl val="0"/>
      </c:catAx>
      <c:valAx>
        <c:axId val="31315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Z"/>
          </a:p>
        </c:txPr>
        <c:crossAx val="31315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'Important High Low'!$H$4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'Important High Low'!$H$5:$H$103</c:f>
              <c:numCache>
                <c:formatCode>General</c:formatCode>
                <c:ptCount val="99"/>
                <c:pt idx="0">
                  <c:v>153.249</c:v>
                </c:pt>
                <c:pt idx="1">
                  <c:v>153.196</c:v>
                </c:pt>
                <c:pt idx="2">
                  <c:v>153.05000000000001</c:v>
                </c:pt>
                <c:pt idx="3">
                  <c:v>153.06700000000001</c:v>
                </c:pt>
                <c:pt idx="4">
                  <c:v>153.042</c:v>
                </c:pt>
                <c:pt idx="5">
                  <c:v>153.05000000000001</c:v>
                </c:pt>
                <c:pt idx="6">
                  <c:v>153.03299999999999</c:v>
                </c:pt>
                <c:pt idx="7">
                  <c:v>152.999</c:v>
                </c:pt>
                <c:pt idx="8">
                  <c:v>152.999</c:v>
                </c:pt>
                <c:pt idx="9">
                  <c:v>152.89699999999999</c:v>
                </c:pt>
                <c:pt idx="10">
                  <c:v>152.91</c:v>
                </c:pt>
                <c:pt idx="11">
                  <c:v>152.87700000000001</c:v>
                </c:pt>
                <c:pt idx="12">
                  <c:v>152.96600000000001</c:v>
                </c:pt>
                <c:pt idx="13">
                  <c:v>153.02000000000001</c:v>
                </c:pt>
                <c:pt idx="14">
                  <c:v>153.04900000000001</c:v>
                </c:pt>
                <c:pt idx="15">
                  <c:v>153.04499999999999</c:v>
                </c:pt>
                <c:pt idx="16">
                  <c:v>152.96199999999999</c:v>
                </c:pt>
                <c:pt idx="17">
                  <c:v>153.04599999999999</c:v>
                </c:pt>
                <c:pt idx="18">
                  <c:v>153.04599999999999</c:v>
                </c:pt>
                <c:pt idx="19">
                  <c:v>153.09</c:v>
                </c:pt>
                <c:pt idx="20">
                  <c:v>153.001</c:v>
                </c:pt>
                <c:pt idx="21">
                  <c:v>153.036</c:v>
                </c:pt>
                <c:pt idx="22">
                  <c:v>153.07499999999999</c:v>
                </c:pt>
                <c:pt idx="23">
                  <c:v>153.072</c:v>
                </c:pt>
                <c:pt idx="24">
                  <c:v>152.95099999999999</c:v>
                </c:pt>
                <c:pt idx="25">
                  <c:v>152.94800000000001</c:v>
                </c:pt>
                <c:pt idx="26">
                  <c:v>153.006</c:v>
                </c:pt>
                <c:pt idx="27">
                  <c:v>153.13200000000001</c:v>
                </c:pt>
                <c:pt idx="28">
                  <c:v>153.16499999999999</c:v>
                </c:pt>
                <c:pt idx="29">
                  <c:v>153.161</c:v>
                </c:pt>
                <c:pt idx="30">
                  <c:v>153.053</c:v>
                </c:pt>
                <c:pt idx="31">
                  <c:v>153.05699999999999</c:v>
                </c:pt>
                <c:pt idx="32">
                  <c:v>152.89500000000001</c:v>
                </c:pt>
                <c:pt idx="33">
                  <c:v>152.87</c:v>
                </c:pt>
                <c:pt idx="34">
                  <c:v>152.86199999999999</c:v>
                </c:pt>
                <c:pt idx="35">
                  <c:v>152.89400000000001</c:v>
                </c:pt>
                <c:pt idx="36">
                  <c:v>152.80699999999999</c:v>
                </c:pt>
                <c:pt idx="37">
                  <c:v>152.81700000000001</c:v>
                </c:pt>
                <c:pt idx="38">
                  <c:v>152.77000000000001</c:v>
                </c:pt>
                <c:pt idx="39">
                  <c:v>152.79</c:v>
                </c:pt>
                <c:pt idx="40">
                  <c:v>152.78899999999999</c:v>
                </c:pt>
                <c:pt idx="41">
                  <c:v>152.75</c:v>
                </c:pt>
                <c:pt idx="42">
                  <c:v>152.661</c:v>
                </c:pt>
                <c:pt idx="43">
                  <c:v>152.672</c:v>
                </c:pt>
                <c:pt idx="44">
                  <c:v>152.738</c:v>
                </c:pt>
                <c:pt idx="45">
                  <c:v>152.69800000000001</c:v>
                </c:pt>
                <c:pt idx="46">
                  <c:v>152.81299999999999</c:v>
                </c:pt>
                <c:pt idx="47">
                  <c:v>152.81899999999999</c:v>
                </c:pt>
                <c:pt idx="48">
                  <c:v>152.816</c:v>
                </c:pt>
                <c:pt idx="49">
                  <c:v>152.82499999999999</c:v>
                </c:pt>
                <c:pt idx="50">
                  <c:v>152.75299999999999</c:v>
                </c:pt>
                <c:pt idx="51">
                  <c:v>152.80600000000001</c:v>
                </c:pt>
                <c:pt idx="52">
                  <c:v>152.78800000000001</c:v>
                </c:pt>
                <c:pt idx="53">
                  <c:v>152.81399999999999</c:v>
                </c:pt>
                <c:pt idx="54">
                  <c:v>152.803</c:v>
                </c:pt>
                <c:pt idx="55">
                  <c:v>152.83799999999999</c:v>
                </c:pt>
                <c:pt idx="56">
                  <c:v>152.864</c:v>
                </c:pt>
                <c:pt idx="57">
                  <c:v>152.81299999999999</c:v>
                </c:pt>
                <c:pt idx="58">
                  <c:v>152.81200000000001</c:v>
                </c:pt>
                <c:pt idx="59">
                  <c:v>152.84700000000001</c:v>
                </c:pt>
                <c:pt idx="60">
                  <c:v>152.803</c:v>
                </c:pt>
                <c:pt idx="61">
                  <c:v>152.84</c:v>
                </c:pt>
                <c:pt idx="62">
                  <c:v>152.874</c:v>
                </c:pt>
                <c:pt idx="63">
                  <c:v>152.83099999999999</c:v>
                </c:pt>
                <c:pt idx="64">
                  <c:v>152.84399999999999</c:v>
                </c:pt>
                <c:pt idx="65">
                  <c:v>152.81</c:v>
                </c:pt>
                <c:pt idx="66">
                  <c:v>152.809</c:v>
                </c:pt>
                <c:pt idx="67">
                  <c:v>152.81299999999999</c:v>
                </c:pt>
                <c:pt idx="68">
                  <c:v>152.779</c:v>
                </c:pt>
                <c:pt idx="69">
                  <c:v>152.76900000000001</c:v>
                </c:pt>
                <c:pt idx="70">
                  <c:v>152.74299999999999</c:v>
                </c:pt>
                <c:pt idx="71">
                  <c:v>152.75399999999999</c:v>
                </c:pt>
                <c:pt idx="72">
                  <c:v>152.73599999999999</c:v>
                </c:pt>
                <c:pt idx="73">
                  <c:v>152.76300000000001</c:v>
                </c:pt>
                <c:pt idx="74">
                  <c:v>152.77000000000001</c:v>
                </c:pt>
                <c:pt idx="75">
                  <c:v>152.77699999999999</c:v>
                </c:pt>
                <c:pt idx="76">
                  <c:v>152.80099999999999</c:v>
                </c:pt>
                <c:pt idx="77">
                  <c:v>152.81200000000001</c:v>
                </c:pt>
                <c:pt idx="78">
                  <c:v>152.786</c:v>
                </c:pt>
                <c:pt idx="79">
                  <c:v>152.81399999999999</c:v>
                </c:pt>
                <c:pt idx="80">
                  <c:v>152.78700000000001</c:v>
                </c:pt>
                <c:pt idx="81">
                  <c:v>152.72999999999999</c:v>
                </c:pt>
                <c:pt idx="82">
                  <c:v>152.72800000000001</c:v>
                </c:pt>
                <c:pt idx="83">
                  <c:v>152.72900000000001</c:v>
                </c:pt>
                <c:pt idx="84">
                  <c:v>152.74600000000001</c:v>
                </c:pt>
                <c:pt idx="85">
                  <c:v>152.74199999999999</c:v>
                </c:pt>
                <c:pt idx="86">
                  <c:v>152.70599999999999</c:v>
                </c:pt>
                <c:pt idx="87">
                  <c:v>152.75700000000001</c:v>
                </c:pt>
                <c:pt idx="88">
                  <c:v>152.649</c:v>
                </c:pt>
                <c:pt idx="89">
                  <c:v>152.648</c:v>
                </c:pt>
                <c:pt idx="90">
                  <c:v>152.67599999999999</c:v>
                </c:pt>
                <c:pt idx="91">
                  <c:v>152.642</c:v>
                </c:pt>
                <c:pt idx="92">
                  <c:v>152.64500000000001</c:v>
                </c:pt>
                <c:pt idx="93">
                  <c:v>152.65</c:v>
                </c:pt>
                <c:pt idx="94">
                  <c:v>152.69999999999999</c:v>
                </c:pt>
                <c:pt idx="95">
                  <c:v>152.72200000000001</c:v>
                </c:pt>
                <c:pt idx="96">
                  <c:v>152.69200000000001</c:v>
                </c:pt>
                <c:pt idx="97">
                  <c:v>152.727</c:v>
                </c:pt>
                <c:pt idx="98">
                  <c:v>152.71199999999999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EB-4890-9CE2-8417178BB501}"/>
            </c:ext>
          </c:extLst>
        </c:ser>
        <c:ser>
          <c:idx val="1"/>
          <c:order val="1"/>
          <c:tx>
            <c:strRef>
              <c:f>'Important High Low'!$J$4</c:f>
              <c:strCache>
                <c:ptCount val="1"/>
                <c:pt idx="0">
                  <c:v>Peak_Line_1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'Important High Low'!$J$5:$J$103</c:f>
              <c:numCache>
                <c:formatCode>General</c:formatCode>
                <c:ptCount val="99"/>
                <c:pt idx="0">
                  <c:v>153.03800000000001</c:v>
                </c:pt>
                <c:pt idx="1">
                  <c:v>153.036</c:v>
                </c:pt>
                <c:pt idx="2">
                  <c:v>153.03299999999999</c:v>
                </c:pt>
                <c:pt idx="3">
                  <c:v>153.03100000000001</c:v>
                </c:pt>
                <c:pt idx="4">
                  <c:v>153.029</c:v>
                </c:pt>
                <c:pt idx="5">
                  <c:v>153.02600000000001</c:v>
                </c:pt>
                <c:pt idx="6">
                  <c:v>153.024</c:v>
                </c:pt>
                <c:pt idx="7">
                  <c:v>153.02099999999999</c:v>
                </c:pt>
                <c:pt idx="8">
                  <c:v>153.01900000000001</c:v>
                </c:pt>
                <c:pt idx="9">
                  <c:v>153.01599999999999</c:v>
                </c:pt>
                <c:pt idx="10">
                  <c:v>153.01400000000001</c:v>
                </c:pt>
                <c:pt idx="11">
                  <c:v>153.012</c:v>
                </c:pt>
                <c:pt idx="12">
                  <c:v>153.00899999999999</c:v>
                </c:pt>
                <c:pt idx="13">
                  <c:v>153.00700000000001</c:v>
                </c:pt>
                <c:pt idx="14">
                  <c:v>153.00399999999999</c:v>
                </c:pt>
                <c:pt idx="15">
                  <c:v>153.00200000000001</c:v>
                </c:pt>
                <c:pt idx="16">
                  <c:v>152.999</c:v>
                </c:pt>
                <c:pt idx="17">
                  <c:v>152.99700000000001</c:v>
                </c:pt>
                <c:pt idx="18">
                  <c:v>152.995</c:v>
                </c:pt>
                <c:pt idx="19">
                  <c:v>152.99199999999999</c:v>
                </c:pt>
                <c:pt idx="20">
                  <c:v>152.99</c:v>
                </c:pt>
                <c:pt idx="21">
                  <c:v>152.98699999999999</c:v>
                </c:pt>
                <c:pt idx="22">
                  <c:v>152.98500000000001</c:v>
                </c:pt>
                <c:pt idx="23">
                  <c:v>152.983</c:v>
                </c:pt>
                <c:pt idx="24">
                  <c:v>152.97999999999999</c:v>
                </c:pt>
                <c:pt idx="25">
                  <c:v>152.97800000000001</c:v>
                </c:pt>
                <c:pt idx="26">
                  <c:v>152.97499999999999</c:v>
                </c:pt>
                <c:pt idx="27">
                  <c:v>152.97300000000001</c:v>
                </c:pt>
                <c:pt idx="28">
                  <c:v>152.97</c:v>
                </c:pt>
                <c:pt idx="29">
                  <c:v>152.96799999999999</c:v>
                </c:pt>
                <c:pt idx="30">
                  <c:v>152.96600000000001</c:v>
                </c:pt>
                <c:pt idx="31">
                  <c:v>152.96299999999999</c:v>
                </c:pt>
                <c:pt idx="32">
                  <c:v>152.96100000000001</c:v>
                </c:pt>
                <c:pt idx="33">
                  <c:v>152.958</c:v>
                </c:pt>
                <c:pt idx="34">
                  <c:v>152.95599999999999</c:v>
                </c:pt>
                <c:pt idx="35">
                  <c:v>152.953</c:v>
                </c:pt>
                <c:pt idx="36">
                  <c:v>152.95099999999999</c:v>
                </c:pt>
                <c:pt idx="37">
                  <c:v>152.94900000000001</c:v>
                </c:pt>
                <c:pt idx="38">
                  <c:v>152.946</c:v>
                </c:pt>
                <c:pt idx="39">
                  <c:v>152.94399999999999</c:v>
                </c:pt>
                <c:pt idx="40">
                  <c:v>152.941</c:v>
                </c:pt>
                <c:pt idx="41">
                  <c:v>152.93899999999999</c:v>
                </c:pt>
                <c:pt idx="42">
                  <c:v>152.93600000000001</c:v>
                </c:pt>
                <c:pt idx="43">
                  <c:v>152.934</c:v>
                </c:pt>
                <c:pt idx="44">
                  <c:v>152.93199999999999</c:v>
                </c:pt>
                <c:pt idx="45">
                  <c:v>152.929</c:v>
                </c:pt>
                <c:pt idx="46">
                  <c:v>152.92699999999999</c:v>
                </c:pt>
                <c:pt idx="47">
                  <c:v>152.92400000000001</c:v>
                </c:pt>
                <c:pt idx="48">
                  <c:v>152.922</c:v>
                </c:pt>
                <c:pt idx="49">
                  <c:v>152.91999999999999</c:v>
                </c:pt>
                <c:pt idx="50">
                  <c:v>152.917</c:v>
                </c:pt>
                <c:pt idx="51">
                  <c:v>152.91499999999999</c:v>
                </c:pt>
                <c:pt idx="52">
                  <c:v>152.91200000000001</c:v>
                </c:pt>
                <c:pt idx="53">
                  <c:v>152.91</c:v>
                </c:pt>
                <c:pt idx="54">
                  <c:v>152.90700000000001</c:v>
                </c:pt>
                <c:pt idx="55">
                  <c:v>152.905</c:v>
                </c:pt>
                <c:pt idx="56">
                  <c:v>152.90299999999999</c:v>
                </c:pt>
                <c:pt idx="57">
                  <c:v>152.9</c:v>
                </c:pt>
                <c:pt idx="58">
                  <c:v>152.898</c:v>
                </c:pt>
                <c:pt idx="59">
                  <c:v>152.89500000000001</c:v>
                </c:pt>
                <c:pt idx="60">
                  <c:v>152.893</c:v>
                </c:pt>
                <c:pt idx="61">
                  <c:v>152.88999999999999</c:v>
                </c:pt>
                <c:pt idx="62">
                  <c:v>152.88800000000001</c:v>
                </c:pt>
                <c:pt idx="63">
                  <c:v>152.886</c:v>
                </c:pt>
                <c:pt idx="64">
                  <c:v>152.88300000000001</c:v>
                </c:pt>
                <c:pt idx="65">
                  <c:v>152.881</c:v>
                </c:pt>
                <c:pt idx="66">
                  <c:v>152.87799999999999</c:v>
                </c:pt>
                <c:pt idx="67">
                  <c:v>152.876</c:v>
                </c:pt>
                <c:pt idx="68">
                  <c:v>152.87299999999999</c:v>
                </c:pt>
                <c:pt idx="69">
                  <c:v>152.87100000000001</c:v>
                </c:pt>
                <c:pt idx="70">
                  <c:v>152.869</c:v>
                </c:pt>
                <c:pt idx="71">
                  <c:v>152.86600000000001</c:v>
                </c:pt>
                <c:pt idx="72">
                  <c:v>152.864</c:v>
                </c:pt>
                <c:pt idx="73">
                  <c:v>152.86099999999999</c:v>
                </c:pt>
                <c:pt idx="74">
                  <c:v>152.85900000000001</c:v>
                </c:pt>
                <c:pt idx="75">
                  <c:v>152.85599999999999</c:v>
                </c:pt>
                <c:pt idx="76">
                  <c:v>152.85400000000001</c:v>
                </c:pt>
                <c:pt idx="77">
                  <c:v>152.852</c:v>
                </c:pt>
                <c:pt idx="78">
                  <c:v>152.84899999999999</c:v>
                </c:pt>
                <c:pt idx="79">
                  <c:v>152.84700000000001</c:v>
                </c:pt>
                <c:pt idx="80">
                  <c:v>152.84399999999999</c:v>
                </c:pt>
                <c:pt idx="81">
                  <c:v>152.84200000000001</c:v>
                </c:pt>
                <c:pt idx="82">
                  <c:v>152.84</c:v>
                </c:pt>
                <c:pt idx="83">
                  <c:v>152.83699999999999</c:v>
                </c:pt>
                <c:pt idx="84">
                  <c:v>152.83500000000001</c:v>
                </c:pt>
                <c:pt idx="85">
                  <c:v>152.83199999999999</c:v>
                </c:pt>
                <c:pt idx="86">
                  <c:v>152.83000000000001</c:v>
                </c:pt>
                <c:pt idx="87">
                  <c:v>152.827</c:v>
                </c:pt>
                <c:pt idx="88">
                  <c:v>152.82499999999999</c:v>
                </c:pt>
                <c:pt idx="89">
                  <c:v>152.82300000000001</c:v>
                </c:pt>
                <c:pt idx="90">
                  <c:v>152.82</c:v>
                </c:pt>
                <c:pt idx="91">
                  <c:v>152.81800000000001</c:v>
                </c:pt>
                <c:pt idx="92">
                  <c:v>152.815</c:v>
                </c:pt>
                <c:pt idx="93">
                  <c:v>152.81299999999999</c:v>
                </c:pt>
                <c:pt idx="94">
                  <c:v>152.81</c:v>
                </c:pt>
                <c:pt idx="95">
                  <c:v>152.80799999999999</c:v>
                </c:pt>
                <c:pt idx="96">
                  <c:v>152.80600000000001</c:v>
                </c:pt>
                <c:pt idx="97">
                  <c:v>152.803</c:v>
                </c:pt>
                <c:pt idx="98">
                  <c:v>152.80099999999999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EB-4890-9CE2-8417178BB501}"/>
            </c:ext>
          </c:extLst>
        </c:ser>
        <c:ser>
          <c:idx val="2"/>
          <c:order val="2"/>
          <c:tx>
            <c:strRef>
              <c:f>'Important High Low'!$K$4</c:f>
              <c:strCache>
                <c:ptCount val="1"/>
                <c:pt idx="0">
                  <c:v>Peak_Line_2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'Important High Low'!$K$5:$K$103</c:f>
              <c:numCache>
                <c:formatCode>General</c:formatCode>
                <c:ptCount val="99"/>
                <c:pt idx="0">
                  <c:v>152.911</c:v>
                </c:pt>
                <c:pt idx="1">
                  <c:v>152.911</c:v>
                </c:pt>
                <c:pt idx="2">
                  <c:v>152.91</c:v>
                </c:pt>
                <c:pt idx="3">
                  <c:v>152.91</c:v>
                </c:pt>
                <c:pt idx="4">
                  <c:v>152.91</c:v>
                </c:pt>
                <c:pt idx="5">
                  <c:v>152.90899999999999</c:v>
                </c:pt>
                <c:pt idx="6">
                  <c:v>152.90899999999999</c:v>
                </c:pt>
                <c:pt idx="7">
                  <c:v>152.90799999999999</c:v>
                </c:pt>
                <c:pt idx="8">
                  <c:v>152.90799999999999</c:v>
                </c:pt>
                <c:pt idx="9">
                  <c:v>152.90799999999999</c:v>
                </c:pt>
                <c:pt idx="10">
                  <c:v>152.90700000000001</c:v>
                </c:pt>
                <c:pt idx="11">
                  <c:v>152.90700000000001</c:v>
                </c:pt>
                <c:pt idx="12">
                  <c:v>152.90700000000001</c:v>
                </c:pt>
                <c:pt idx="13">
                  <c:v>152.90600000000001</c:v>
                </c:pt>
                <c:pt idx="14">
                  <c:v>152.90600000000001</c:v>
                </c:pt>
                <c:pt idx="15">
                  <c:v>152.905</c:v>
                </c:pt>
                <c:pt idx="16">
                  <c:v>152.905</c:v>
                </c:pt>
                <c:pt idx="17">
                  <c:v>152.905</c:v>
                </c:pt>
                <c:pt idx="18">
                  <c:v>152.904</c:v>
                </c:pt>
                <c:pt idx="19">
                  <c:v>152.904</c:v>
                </c:pt>
                <c:pt idx="20">
                  <c:v>152.904</c:v>
                </c:pt>
                <c:pt idx="21">
                  <c:v>152.90299999999999</c:v>
                </c:pt>
                <c:pt idx="22">
                  <c:v>152.90299999999999</c:v>
                </c:pt>
                <c:pt idx="23">
                  <c:v>152.90299999999999</c:v>
                </c:pt>
                <c:pt idx="24">
                  <c:v>152.90199999999999</c:v>
                </c:pt>
                <c:pt idx="25">
                  <c:v>152.90199999999999</c:v>
                </c:pt>
                <c:pt idx="26">
                  <c:v>152.90100000000001</c:v>
                </c:pt>
                <c:pt idx="27">
                  <c:v>152.90100000000001</c:v>
                </c:pt>
                <c:pt idx="28">
                  <c:v>152.90100000000001</c:v>
                </c:pt>
                <c:pt idx="29">
                  <c:v>152.9</c:v>
                </c:pt>
                <c:pt idx="30">
                  <c:v>152.9</c:v>
                </c:pt>
                <c:pt idx="31">
                  <c:v>152.9</c:v>
                </c:pt>
                <c:pt idx="32">
                  <c:v>152.899</c:v>
                </c:pt>
                <c:pt idx="33">
                  <c:v>152.899</c:v>
                </c:pt>
                <c:pt idx="34">
                  <c:v>152.898</c:v>
                </c:pt>
                <c:pt idx="35">
                  <c:v>152.898</c:v>
                </c:pt>
                <c:pt idx="36">
                  <c:v>152.898</c:v>
                </c:pt>
                <c:pt idx="37">
                  <c:v>152.89699999999999</c:v>
                </c:pt>
                <c:pt idx="38">
                  <c:v>152.89699999999999</c:v>
                </c:pt>
                <c:pt idx="39">
                  <c:v>152.89699999999999</c:v>
                </c:pt>
                <c:pt idx="40">
                  <c:v>152.89599999999999</c:v>
                </c:pt>
                <c:pt idx="41">
                  <c:v>152.89599999999999</c:v>
                </c:pt>
                <c:pt idx="42">
                  <c:v>152.89500000000001</c:v>
                </c:pt>
                <c:pt idx="43">
                  <c:v>152.89500000000001</c:v>
                </c:pt>
                <c:pt idx="44">
                  <c:v>152.89500000000001</c:v>
                </c:pt>
                <c:pt idx="45">
                  <c:v>152.89400000000001</c:v>
                </c:pt>
                <c:pt idx="46">
                  <c:v>152.89400000000001</c:v>
                </c:pt>
                <c:pt idx="47">
                  <c:v>152.89400000000001</c:v>
                </c:pt>
                <c:pt idx="48">
                  <c:v>152.893</c:v>
                </c:pt>
                <c:pt idx="49">
                  <c:v>152.893</c:v>
                </c:pt>
                <c:pt idx="50">
                  <c:v>152.892</c:v>
                </c:pt>
                <c:pt idx="51">
                  <c:v>152.892</c:v>
                </c:pt>
                <c:pt idx="52">
                  <c:v>152.892</c:v>
                </c:pt>
                <c:pt idx="53">
                  <c:v>152.89099999999999</c:v>
                </c:pt>
                <c:pt idx="54">
                  <c:v>152.89099999999999</c:v>
                </c:pt>
                <c:pt idx="55">
                  <c:v>152.89099999999999</c:v>
                </c:pt>
                <c:pt idx="56">
                  <c:v>152.88999999999999</c:v>
                </c:pt>
                <c:pt idx="57">
                  <c:v>152.88999999999999</c:v>
                </c:pt>
                <c:pt idx="58">
                  <c:v>152.88900000000001</c:v>
                </c:pt>
                <c:pt idx="59">
                  <c:v>152.88900000000001</c:v>
                </c:pt>
                <c:pt idx="60">
                  <c:v>152.88900000000001</c:v>
                </c:pt>
                <c:pt idx="61">
                  <c:v>152.88800000000001</c:v>
                </c:pt>
                <c:pt idx="62">
                  <c:v>152.88800000000001</c:v>
                </c:pt>
                <c:pt idx="63">
                  <c:v>152.88800000000001</c:v>
                </c:pt>
                <c:pt idx="64">
                  <c:v>152.887</c:v>
                </c:pt>
                <c:pt idx="65">
                  <c:v>152.887</c:v>
                </c:pt>
                <c:pt idx="66">
                  <c:v>152.887</c:v>
                </c:pt>
                <c:pt idx="67">
                  <c:v>152.886</c:v>
                </c:pt>
                <c:pt idx="68">
                  <c:v>152.886</c:v>
                </c:pt>
                <c:pt idx="69">
                  <c:v>152.88499999999999</c:v>
                </c:pt>
                <c:pt idx="70">
                  <c:v>152.88499999999999</c:v>
                </c:pt>
                <c:pt idx="71">
                  <c:v>152.88499999999999</c:v>
                </c:pt>
                <c:pt idx="72">
                  <c:v>152.88399999999999</c:v>
                </c:pt>
                <c:pt idx="73">
                  <c:v>152.88399999999999</c:v>
                </c:pt>
                <c:pt idx="74">
                  <c:v>152.88399999999999</c:v>
                </c:pt>
                <c:pt idx="75">
                  <c:v>152.88300000000001</c:v>
                </c:pt>
                <c:pt idx="76">
                  <c:v>152.88300000000001</c:v>
                </c:pt>
                <c:pt idx="77">
                  <c:v>152.88200000000001</c:v>
                </c:pt>
                <c:pt idx="78">
                  <c:v>152.88200000000001</c:v>
                </c:pt>
                <c:pt idx="79">
                  <c:v>152.88200000000001</c:v>
                </c:pt>
                <c:pt idx="80">
                  <c:v>152.881</c:v>
                </c:pt>
                <c:pt idx="81">
                  <c:v>152.881</c:v>
                </c:pt>
                <c:pt idx="82">
                  <c:v>152.881</c:v>
                </c:pt>
                <c:pt idx="83">
                  <c:v>152.88</c:v>
                </c:pt>
                <c:pt idx="84">
                  <c:v>152.88</c:v>
                </c:pt>
                <c:pt idx="85">
                  <c:v>152.87899999999999</c:v>
                </c:pt>
                <c:pt idx="86">
                  <c:v>152.87899999999999</c:v>
                </c:pt>
                <c:pt idx="87">
                  <c:v>152.87899999999999</c:v>
                </c:pt>
                <c:pt idx="88">
                  <c:v>152.87799999999999</c:v>
                </c:pt>
                <c:pt idx="89">
                  <c:v>152.87799999999999</c:v>
                </c:pt>
                <c:pt idx="90">
                  <c:v>152.87799999999999</c:v>
                </c:pt>
                <c:pt idx="91">
                  <c:v>152.87700000000001</c:v>
                </c:pt>
                <c:pt idx="92">
                  <c:v>152.87700000000001</c:v>
                </c:pt>
                <c:pt idx="93">
                  <c:v>152.876</c:v>
                </c:pt>
                <c:pt idx="94">
                  <c:v>152.876</c:v>
                </c:pt>
                <c:pt idx="95">
                  <c:v>152.876</c:v>
                </c:pt>
                <c:pt idx="96">
                  <c:v>152.875</c:v>
                </c:pt>
                <c:pt idx="97">
                  <c:v>152.875</c:v>
                </c:pt>
                <c:pt idx="98">
                  <c:v>152.875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EB-4890-9CE2-8417178BB501}"/>
            </c:ext>
          </c:extLst>
        </c:ser>
        <c:ser>
          <c:idx val="3"/>
          <c:order val="3"/>
          <c:tx>
            <c:strRef>
              <c:f>'Important High Low'!$L$4</c:f>
              <c:strCache>
                <c:ptCount val="1"/>
                <c:pt idx="0">
                  <c:v>Peak_Line_3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'Important High Low'!$L$5:$L$103</c:f>
              <c:numCache>
                <c:formatCode>General</c:formatCode>
                <c:ptCount val="99"/>
                <c:pt idx="0">
                  <c:v>153.27099999999999</c:v>
                </c:pt>
                <c:pt idx="1">
                  <c:v>153.26900000000001</c:v>
                </c:pt>
                <c:pt idx="2">
                  <c:v>153.268</c:v>
                </c:pt>
                <c:pt idx="3">
                  <c:v>153.26599999999999</c:v>
                </c:pt>
                <c:pt idx="4">
                  <c:v>153.26400000000001</c:v>
                </c:pt>
                <c:pt idx="5">
                  <c:v>153.26300000000001</c:v>
                </c:pt>
                <c:pt idx="6">
                  <c:v>153.261</c:v>
                </c:pt>
                <c:pt idx="7">
                  <c:v>153.25899999999999</c:v>
                </c:pt>
                <c:pt idx="8">
                  <c:v>153.25800000000001</c:v>
                </c:pt>
                <c:pt idx="9">
                  <c:v>153.256</c:v>
                </c:pt>
                <c:pt idx="10">
                  <c:v>153.255</c:v>
                </c:pt>
                <c:pt idx="11">
                  <c:v>153.25299999999999</c:v>
                </c:pt>
                <c:pt idx="12">
                  <c:v>153.251</c:v>
                </c:pt>
                <c:pt idx="13">
                  <c:v>153.25</c:v>
                </c:pt>
                <c:pt idx="14">
                  <c:v>153.24799999999999</c:v>
                </c:pt>
                <c:pt idx="15">
                  <c:v>153.24600000000001</c:v>
                </c:pt>
                <c:pt idx="16">
                  <c:v>153.245</c:v>
                </c:pt>
                <c:pt idx="17">
                  <c:v>153.24299999999999</c:v>
                </c:pt>
                <c:pt idx="18">
                  <c:v>153.24100000000001</c:v>
                </c:pt>
                <c:pt idx="19">
                  <c:v>153.24</c:v>
                </c:pt>
                <c:pt idx="20">
                  <c:v>153.238</c:v>
                </c:pt>
                <c:pt idx="21">
                  <c:v>153.23599999999999</c:v>
                </c:pt>
                <c:pt idx="22">
                  <c:v>153.23500000000001</c:v>
                </c:pt>
                <c:pt idx="23">
                  <c:v>153.233</c:v>
                </c:pt>
                <c:pt idx="24">
                  <c:v>153.232</c:v>
                </c:pt>
                <c:pt idx="25">
                  <c:v>153.22999999999999</c:v>
                </c:pt>
                <c:pt idx="26">
                  <c:v>153.22800000000001</c:v>
                </c:pt>
                <c:pt idx="27">
                  <c:v>153.227</c:v>
                </c:pt>
                <c:pt idx="28">
                  <c:v>153.22499999999999</c:v>
                </c:pt>
                <c:pt idx="29">
                  <c:v>153.22300000000001</c:v>
                </c:pt>
                <c:pt idx="30">
                  <c:v>153.22200000000001</c:v>
                </c:pt>
                <c:pt idx="31">
                  <c:v>153.22</c:v>
                </c:pt>
                <c:pt idx="32">
                  <c:v>153.21799999999999</c:v>
                </c:pt>
                <c:pt idx="33">
                  <c:v>153.21700000000001</c:v>
                </c:pt>
                <c:pt idx="34">
                  <c:v>153.215</c:v>
                </c:pt>
                <c:pt idx="35">
                  <c:v>153.214</c:v>
                </c:pt>
                <c:pt idx="36">
                  <c:v>153.21199999999999</c:v>
                </c:pt>
                <c:pt idx="37">
                  <c:v>153.21</c:v>
                </c:pt>
                <c:pt idx="38">
                  <c:v>153.209</c:v>
                </c:pt>
                <c:pt idx="39">
                  <c:v>153.20699999999999</c:v>
                </c:pt>
                <c:pt idx="40">
                  <c:v>153.20500000000001</c:v>
                </c:pt>
                <c:pt idx="41">
                  <c:v>153.20400000000001</c:v>
                </c:pt>
                <c:pt idx="42">
                  <c:v>153.202</c:v>
                </c:pt>
                <c:pt idx="43">
                  <c:v>153.19999999999999</c:v>
                </c:pt>
                <c:pt idx="44">
                  <c:v>153.19900000000001</c:v>
                </c:pt>
                <c:pt idx="45">
                  <c:v>153.197</c:v>
                </c:pt>
                <c:pt idx="46">
                  <c:v>153.19499999999999</c:v>
                </c:pt>
                <c:pt idx="47">
                  <c:v>153.19399999999999</c:v>
                </c:pt>
                <c:pt idx="48">
                  <c:v>153.19200000000001</c:v>
                </c:pt>
                <c:pt idx="49">
                  <c:v>153.191</c:v>
                </c:pt>
                <c:pt idx="50">
                  <c:v>153.18899999999999</c:v>
                </c:pt>
                <c:pt idx="51">
                  <c:v>153.18700000000001</c:v>
                </c:pt>
                <c:pt idx="52">
                  <c:v>153.18600000000001</c:v>
                </c:pt>
                <c:pt idx="53">
                  <c:v>153.184</c:v>
                </c:pt>
                <c:pt idx="54">
                  <c:v>153.18199999999999</c:v>
                </c:pt>
                <c:pt idx="55">
                  <c:v>153.18100000000001</c:v>
                </c:pt>
                <c:pt idx="56">
                  <c:v>153.179</c:v>
                </c:pt>
                <c:pt idx="57">
                  <c:v>153.17699999999999</c:v>
                </c:pt>
                <c:pt idx="58">
                  <c:v>153.17599999999999</c:v>
                </c:pt>
                <c:pt idx="59">
                  <c:v>153.17400000000001</c:v>
                </c:pt>
                <c:pt idx="60">
                  <c:v>153.173</c:v>
                </c:pt>
                <c:pt idx="61">
                  <c:v>153.17099999999999</c:v>
                </c:pt>
                <c:pt idx="62">
                  <c:v>153.16900000000001</c:v>
                </c:pt>
                <c:pt idx="63">
                  <c:v>153.16800000000001</c:v>
                </c:pt>
                <c:pt idx="64">
                  <c:v>153.166</c:v>
                </c:pt>
                <c:pt idx="65">
                  <c:v>153.16399999999999</c:v>
                </c:pt>
                <c:pt idx="66">
                  <c:v>153.16300000000001</c:v>
                </c:pt>
                <c:pt idx="67">
                  <c:v>153.161</c:v>
                </c:pt>
                <c:pt idx="68">
                  <c:v>153.15899999999999</c:v>
                </c:pt>
                <c:pt idx="69">
                  <c:v>153.15799999999999</c:v>
                </c:pt>
                <c:pt idx="70">
                  <c:v>153.15600000000001</c:v>
                </c:pt>
                <c:pt idx="71">
                  <c:v>153.154</c:v>
                </c:pt>
                <c:pt idx="72">
                  <c:v>153.15299999999999</c:v>
                </c:pt>
                <c:pt idx="73">
                  <c:v>153.15100000000001</c:v>
                </c:pt>
                <c:pt idx="74">
                  <c:v>153.15</c:v>
                </c:pt>
                <c:pt idx="75">
                  <c:v>153.148</c:v>
                </c:pt>
                <c:pt idx="76">
                  <c:v>153.14599999999999</c:v>
                </c:pt>
                <c:pt idx="77">
                  <c:v>153.14500000000001</c:v>
                </c:pt>
                <c:pt idx="78">
                  <c:v>153.143</c:v>
                </c:pt>
                <c:pt idx="79">
                  <c:v>153.14099999999999</c:v>
                </c:pt>
                <c:pt idx="80">
                  <c:v>153.13999999999999</c:v>
                </c:pt>
                <c:pt idx="81">
                  <c:v>153.13800000000001</c:v>
                </c:pt>
                <c:pt idx="82">
                  <c:v>153.136</c:v>
                </c:pt>
                <c:pt idx="83">
                  <c:v>153.13499999999999</c:v>
                </c:pt>
                <c:pt idx="84">
                  <c:v>153.13300000000001</c:v>
                </c:pt>
                <c:pt idx="85">
                  <c:v>153.13200000000001</c:v>
                </c:pt>
                <c:pt idx="86">
                  <c:v>153.13</c:v>
                </c:pt>
                <c:pt idx="87">
                  <c:v>153.12799999999999</c:v>
                </c:pt>
                <c:pt idx="88">
                  <c:v>153.12700000000001</c:v>
                </c:pt>
                <c:pt idx="89">
                  <c:v>153.125</c:v>
                </c:pt>
                <c:pt idx="90">
                  <c:v>153.12299999999999</c:v>
                </c:pt>
                <c:pt idx="91">
                  <c:v>153.12200000000001</c:v>
                </c:pt>
                <c:pt idx="92">
                  <c:v>153.12</c:v>
                </c:pt>
                <c:pt idx="93">
                  <c:v>153.11799999999999</c:v>
                </c:pt>
                <c:pt idx="94">
                  <c:v>153.11699999999999</c:v>
                </c:pt>
                <c:pt idx="95">
                  <c:v>153.11500000000001</c:v>
                </c:pt>
                <c:pt idx="96">
                  <c:v>153.113</c:v>
                </c:pt>
                <c:pt idx="97">
                  <c:v>153.11199999999999</c:v>
                </c:pt>
                <c:pt idx="98">
                  <c:v>153.11000000000001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EB-4890-9CE2-8417178BB501}"/>
            </c:ext>
          </c:extLst>
        </c:ser>
        <c:ser>
          <c:idx val="4"/>
          <c:order val="4"/>
          <c:tx>
            <c:strRef>
              <c:f>'Important High Low'!$M$4</c:f>
              <c:strCache>
                <c:ptCount val="1"/>
                <c:pt idx="0">
                  <c:v>Bottom_Line_1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'Important High Low'!$M$5:$M$103</c:f>
              <c:numCache>
                <c:formatCode>General</c:formatCode>
                <c:ptCount val="99"/>
                <c:pt idx="0">
                  <c:v>152.56</c:v>
                </c:pt>
                <c:pt idx="1">
                  <c:v>152.56100000000001</c:v>
                </c:pt>
                <c:pt idx="2">
                  <c:v>152.56200000000001</c:v>
                </c:pt>
                <c:pt idx="3">
                  <c:v>152.56200000000001</c:v>
                </c:pt>
                <c:pt idx="4">
                  <c:v>152.56299999999999</c:v>
                </c:pt>
                <c:pt idx="5">
                  <c:v>152.56399999999999</c:v>
                </c:pt>
                <c:pt idx="6">
                  <c:v>152.565</c:v>
                </c:pt>
                <c:pt idx="7">
                  <c:v>152.565</c:v>
                </c:pt>
                <c:pt idx="8">
                  <c:v>152.566</c:v>
                </c:pt>
                <c:pt idx="9">
                  <c:v>152.56700000000001</c:v>
                </c:pt>
                <c:pt idx="10">
                  <c:v>152.56800000000001</c:v>
                </c:pt>
                <c:pt idx="11">
                  <c:v>152.56899999999999</c:v>
                </c:pt>
                <c:pt idx="12">
                  <c:v>152.56899999999999</c:v>
                </c:pt>
                <c:pt idx="13">
                  <c:v>152.57</c:v>
                </c:pt>
                <c:pt idx="14">
                  <c:v>152.571</c:v>
                </c:pt>
                <c:pt idx="15">
                  <c:v>152.572</c:v>
                </c:pt>
                <c:pt idx="16">
                  <c:v>152.572</c:v>
                </c:pt>
                <c:pt idx="17">
                  <c:v>152.57300000000001</c:v>
                </c:pt>
                <c:pt idx="18">
                  <c:v>152.57400000000001</c:v>
                </c:pt>
                <c:pt idx="19">
                  <c:v>152.57499999999999</c:v>
                </c:pt>
                <c:pt idx="20">
                  <c:v>152.57499999999999</c:v>
                </c:pt>
                <c:pt idx="21">
                  <c:v>152.57599999999999</c:v>
                </c:pt>
                <c:pt idx="22">
                  <c:v>152.577</c:v>
                </c:pt>
                <c:pt idx="23">
                  <c:v>152.578</c:v>
                </c:pt>
                <c:pt idx="24">
                  <c:v>152.578</c:v>
                </c:pt>
                <c:pt idx="25">
                  <c:v>152.57900000000001</c:v>
                </c:pt>
                <c:pt idx="26">
                  <c:v>152.58000000000001</c:v>
                </c:pt>
                <c:pt idx="27">
                  <c:v>152.58099999999999</c:v>
                </c:pt>
                <c:pt idx="28">
                  <c:v>152.58199999999999</c:v>
                </c:pt>
                <c:pt idx="29">
                  <c:v>152.58199999999999</c:v>
                </c:pt>
                <c:pt idx="30">
                  <c:v>152.583</c:v>
                </c:pt>
                <c:pt idx="31">
                  <c:v>152.584</c:v>
                </c:pt>
                <c:pt idx="32">
                  <c:v>152.58500000000001</c:v>
                </c:pt>
                <c:pt idx="33">
                  <c:v>152.58500000000001</c:v>
                </c:pt>
                <c:pt idx="34">
                  <c:v>152.58600000000001</c:v>
                </c:pt>
                <c:pt idx="35">
                  <c:v>152.58699999999999</c:v>
                </c:pt>
                <c:pt idx="36">
                  <c:v>152.58799999999999</c:v>
                </c:pt>
                <c:pt idx="37">
                  <c:v>152.58799999999999</c:v>
                </c:pt>
                <c:pt idx="38">
                  <c:v>152.589</c:v>
                </c:pt>
                <c:pt idx="39">
                  <c:v>152.59</c:v>
                </c:pt>
                <c:pt idx="40">
                  <c:v>152.59100000000001</c:v>
                </c:pt>
                <c:pt idx="41">
                  <c:v>152.59100000000001</c:v>
                </c:pt>
                <c:pt idx="42">
                  <c:v>152.59200000000001</c:v>
                </c:pt>
                <c:pt idx="43">
                  <c:v>152.59299999999999</c:v>
                </c:pt>
                <c:pt idx="44">
                  <c:v>152.59399999999999</c:v>
                </c:pt>
                <c:pt idx="45">
                  <c:v>152.595</c:v>
                </c:pt>
                <c:pt idx="46">
                  <c:v>152.595</c:v>
                </c:pt>
                <c:pt idx="47">
                  <c:v>152.596</c:v>
                </c:pt>
                <c:pt idx="48">
                  <c:v>152.59700000000001</c:v>
                </c:pt>
                <c:pt idx="49">
                  <c:v>152.59800000000001</c:v>
                </c:pt>
                <c:pt idx="50">
                  <c:v>152.59800000000001</c:v>
                </c:pt>
                <c:pt idx="51">
                  <c:v>152.59899999999999</c:v>
                </c:pt>
                <c:pt idx="52">
                  <c:v>152.6</c:v>
                </c:pt>
                <c:pt idx="53">
                  <c:v>152.601</c:v>
                </c:pt>
                <c:pt idx="54">
                  <c:v>152.601</c:v>
                </c:pt>
                <c:pt idx="55">
                  <c:v>152.602</c:v>
                </c:pt>
                <c:pt idx="56">
                  <c:v>152.60300000000001</c:v>
                </c:pt>
                <c:pt idx="57">
                  <c:v>152.60400000000001</c:v>
                </c:pt>
                <c:pt idx="58">
                  <c:v>152.60400000000001</c:v>
                </c:pt>
                <c:pt idx="59">
                  <c:v>152.60499999999999</c:v>
                </c:pt>
                <c:pt idx="60">
                  <c:v>152.60599999999999</c:v>
                </c:pt>
                <c:pt idx="61">
                  <c:v>152.607</c:v>
                </c:pt>
                <c:pt idx="62">
                  <c:v>152.608</c:v>
                </c:pt>
                <c:pt idx="63">
                  <c:v>152.608</c:v>
                </c:pt>
                <c:pt idx="64">
                  <c:v>152.60900000000001</c:v>
                </c:pt>
                <c:pt idx="65">
                  <c:v>152.61000000000001</c:v>
                </c:pt>
                <c:pt idx="66">
                  <c:v>152.61099999999999</c:v>
                </c:pt>
                <c:pt idx="67">
                  <c:v>152.61099999999999</c:v>
                </c:pt>
                <c:pt idx="68">
                  <c:v>152.61199999999999</c:v>
                </c:pt>
                <c:pt idx="69">
                  <c:v>152.613</c:v>
                </c:pt>
                <c:pt idx="70">
                  <c:v>152.614</c:v>
                </c:pt>
                <c:pt idx="71">
                  <c:v>152.614</c:v>
                </c:pt>
                <c:pt idx="72">
                  <c:v>152.61500000000001</c:v>
                </c:pt>
                <c:pt idx="73">
                  <c:v>152.61600000000001</c:v>
                </c:pt>
                <c:pt idx="74">
                  <c:v>152.61699999999999</c:v>
                </c:pt>
                <c:pt idx="75">
                  <c:v>152.61699999999999</c:v>
                </c:pt>
                <c:pt idx="76">
                  <c:v>152.61799999999999</c:v>
                </c:pt>
                <c:pt idx="77">
                  <c:v>152.619</c:v>
                </c:pt>
                <c:pt idx="78">
                  <c:v>152.62</c:v>
                </c:pt>
                <c:pt idx="79">
                  <c:v>152.62100000000001</c:v>
                </c:pt>
                <c:pt idx="80">
                  <c:v>152.62100000000001</c:v>
                </c:pt>
                <c:pt idx="81">
                  <c:v>152.62200000000001</c:v>
                </c:pt>
                <c:pt idx="82">
                  <c:v>152.62299999999999</c:v>
                </c:pt>
                <c:pt idx="83">
                  <c:v>152.624</c:v>
                </c:pt>
                <c:pt idx="84">
                  <c:v>152.624</c:v>
                </c:pt>
                <c:pt idx="85">
                  <c:v>152.625</c:v>
                </c:pt>
                <c:pt idx="86">
                  <c:v>152.626</c:v>
                </c:pt>
                <c:pt idx="87">
                  <c:v>152.62700000000001</c:v>
                </c:pt>
                <c:pt idx="88">
                  <c:v>152.62700000000001</c:v>
                </c:pt>
                <c:pt idx="89">
                  <c:v>152.62799999999999</c:v>
                </c:pt>
                <c:pt idx="90">
                  <c:v>152.62899999999999</c:v>
                </c:pt>
                <c:pt idx="91">
                  <c:v>152.63</c:v>
                </c:pt>
                <c:pt idx="92">
                  <c:v>152.63</c:v>
                </c:pt>
                <c:pt idx="93">
                  <c:v>152.631</c:v>
                </c:pt>
                <c:pt idx="94">
                  <c:v>152.63200000000001</c:v>
                </c:pt>
                <c:pt idx="95">
                  <c:v>152.63300000000001</c:v>
                </c:pt>
                <c:pt idx="96">
                  <c:v>152.63399999999999</c:v>
                </c:pt>
                <c:pt idx="97">
                  <c:v>152.63399999999999</c:v>
                </c:pt>
                <c:pt idx="98">
                  <c:v>152.63499999999999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DEB-4890-9CE2-8417178BB501}"/>
            </c:ext>
          </c:extLst>
        </c:ser>
        <c:ser>
          <c:idx val="5"/>
          <c:order val="5"/>
          <c:tx>
            <c:strRef>
              <c:f>'Important High Low'!$N$4</c:f>
              <c:strCache>
                <c:ptCount val="1"/>
                <c:pt idx="0">
                  <c:v>Bottom_Line_2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'Important High Low'!$N$5:$N$103</c:f>
              <c:numCache>
                <c:formatCode>General</c:formatCode>
                <c:ptCount val="99"/>
                <c:pt idx="0">
                  <c:v>152.60300000000001</c:v>
                </c:pt>
                <c:pt idx="1">
                  <c:v>152.60300000000001</c:v>
                </c:pt>
                <c:pt idx="2">
                  <c:v>152.602</c:v>
                </c:pt>
                <c:pt idx="3">
                  <c:v>152.602</c:v>
                </c:pt>
                <c:pt idx="4">
                  <c:v>152.602</c:v>
                </c:pt>
                <c:pt idx="5">
                  <c:v>152.602</c:v>
                </c:pt>
                <c:pt idx="6">
                  <c:v>152.602</c:v>
                </c:pt>
                <c:pt idx="7">
                  <c:v>152.601</c:v>
                </c:pt>
                <c:pt idx="8">
                  <c:v>152.601</c:v>
                </c:pt>
                <c:pt idx="9">
                  <c:v>152.601</c:v>
                </c:pt>
                <c:pt idx="10">
                  <c:v>152.601</c:v>
                </c:pt>
                <c:pt idx="11">
                  <c:v>152.6</c:v>
                </c:pt>
                <c:pt idx="12">
                  <c:v>152.6</c:v>
                </c:pt>
                <c:pt idx="13">
                  <c:v>152.6</c:v>
                </c:pt>
                <c:pt idx="14">
                  <c:v>152.6</c:v>
                </c:pt>
                <c:pt idx="15">
                  <c:v>152.59899999999999</c:v>
                </c:pt>
                <c:pt idx="16">
                  <c:v>152.59899999999999</c:v>
                </c:pt>
                <c:pt idx="17">
                  <c:v>152.59899999999999</c:v>
                </c:pt>
                <c:pt idx="18">
                  <c:v>152.59899999999999</c:v>
                </c:pt>
                <c:pt idx="19">
                  <c:v>152.59899999999999</c:v>
                </c:pt>
                <c:pt idx="20">
                  <c:v>152.59800000000001</c:v>
                </c:pt>
                <c:pt idx="21">
                  <c:v>152.59800000000001</c:v>
                </c:pt>
                <c:pt idx="22">
                  <c:v>152.59800000000001</c:v>
                </c:pt>
                <c:pt idx="23">
                  <c:v>152.59800000000001</c:v>
                </c:pt>
                <c:pt idx="24">
                  <c:v>152.59700000000001</c:v>
                </c:pt>
                <c:pt idx="25">
                  <c:v>152.59700000000001</c:v>
                </c:pt>
                <c:pt idx="26">
                  <c:v>152.59700000000001</c:v>
                </c:pt>
                <c:pt idx="27">
                  <c:v>152.59700000000001</c:v>
                </c:pt>
                <c:pt idx="28">
                  <c:v>152.596</c:v>
                </c:pt>
                <c:pt idx="29">
                  <c:v>152.596</c:v>
                </c:pt>
                <c:pt idx="30">
                  <c:v>152.596</c:v>
                </c:pt>
                <c:pt idx="31">
                  <c:v>152.596</c:v>
                </c:pt>
                <c:pt idx="32">
                  <c:v>152.596</c:v>
                </c:pt>
                <c:pt idx="33">
                  <c:v>152.595</c:v>
                </c:pt>
                <c:pt idx="34">
                  <c:v>152.595</c:v>
                </c:pt>
                <c:pt idx="35">
                  <c:v>152.595</c:v>
                </c:pt>
                <c:pt idx="36">
                  <c:v>152.595</c:v>
                </c:pt>
                <c:pt idx="37">
                  <c:v>152.59399999999999</c:v>
                </c:pt>
                <c:pt idx="38">
                  <c:v>152.59399999999999</c:v>
                </c:pt>
                <c:pt idx="39">
                  <c:v>152.59399999999999</c:v>
                </c:pt>
                <c:pt idx="40">
                  <c:v>152.59399999999999</c:v>
                </c:pt>
                <c:pt idx="41">
                  <c:v>152.59299999999999</c:v>
                </c:pt>
                <c:pt idx="42">
                  <c:v>152.59299999999999</c:v>
                </c:pt>
                <c:pt idx="43">
                  <c:v>152.59299999999999</c:v>
                </c:pt>
                <c:pt idx="44">
                  <c:v>152.59299999999999</c:v>
                </c:pt>
                <c:pt idx="45">
                  <c:v>152.59299999999999</c:v>
                </c:pt>
                <c:pt idx="46">
                  <c:v>152.59200000000001</c:v>
                </c:pt>
                <c:pt idx="47">
                  <c:v>152.59200000000001</c:v>
                </c:pt>
                <c:pt idx="48">
                  <c:v>152.59200000000001</c:v>
                </c:pt>
                <c:pt idx="49">
                  <c:v>152.59200000000001</c:v>
                </c:pt>
                <c:pt idx="50">
                  <c:v>152.59100000000001</c:v>
                </c:pt>
                <c:pt idx="51">
                  <c:v>152.59100000000001</c:v>
                </c:pt>
                <c:pt idx="52">
                  <c:v>152.59100000000001</c:v>
                </c:pt>
                <c:pt idx="53">
                  <c:v>152.59100000000001</c:v>
                </c:pt>
                <c:pt idx="54">
                  <c:v>152.59</c:v>
                </c:pt>
                <c:pt idx="55">
                  <c:v>152.59</c:v>
                </c:pt>
                <c:pt idx="56">
                  <c:v>152.59</c:v>
                </c:pt>
                <c:pt idx="57">
                  <c:v>152.59</c:v>
                </c:pt>
                <c:pt idx="58">
                  <c:v>152.59</c:v>
                </c:pt>
                <c:pt idx="59">
                  <c:v>152.589</c:v>
                </c:pt>
                <c:pt idx="60">
                  <c:v>152.589</c:v>
                </c:pt>
                <c:pt idx="61">
                  <c:v>152.589</c:v>
                </c:pt>
                <c:pt idx="62">
                  <c:v>152.589</c:v>
                </c:pt>
                <c:pt idx="63">
                  <c:v>152.58799999999999</c:v>
                </c:pt>
                <c:pt idx="64">
                  <c:v>152.58799999999999</c:v>
                </c:pt>
                <c:pt idx="65">
                  <c:v>152.58799999999999</c:v>
                </c:pt>
                <c:pt idx="66">
                  <c:v>152.58799999999999</c:v>
                </c:pt>
                <c:pt idx="67">
                  <c:v>152.58699999999999</c:v>
                </c:pt>
                <c:pt idx="68">
                  <c:v>152.58699999999999</c:v>
                </c:pt>
                <c:pt idx="69">
                  <c:v>152.58699999999999</c:v>
                </c:pt>
                <c:pt idx="70">
                  <c:v>152.58699999999999</c:v>
                </c:pt>
                <c:pt idx="71">
                  <c:v>152.58699999999999</c:v>
                </c:pt>
                <c:pt idx="72">
                  <c:v>152.58600000000001</c:v>
                </c:pt>
                <c:pt idx="73">
                  <c:v>152.58600000000001</c:v>
                </c:pt>
                <c:pt idx="74">
                  <c:v>152.58600000000001</c:v>
                </c:pt>
                <c:pt idx="75">
                  <c:v>152.58600000000001</c:v>
                </c:pt>
                <c:pt idx="76">
                  <c:v>152.58500000000001</c:v>
                </c:pt>
                <c:pt idx="77">
                  <c:v>152.58500000000001</c:v>
                </c:pt>
                <c:pt idx="78">
                  <c:v>152.58500000000001</c:v>
                </c:pt>
                <c:pt idx="79">
                  <c:v>152.58500000000001</c:v>
                </c:pt>
                <c:pt idx="80">
                  <c:v>152.584</c:v>
                </c:pt>
                <c:pt idx="81">
                  <c:v>152.584</c:v>
                </c:pt>
                <c:pt idx="82">
                  <c:v>152.584</c:v>
                </c:pt>
                <c:pt idx="83">
                  <c:v>152.584</c:v>
                </c:pt>
                <c:pt idx="84">
                  <c:v>152.584</c:v>
                </c:pt>
                <c:pt idx="85">
                  <c:v>152.583</c:v>
                </c:pt>
                <c:pt idx="86">
                  <c:v>152.583</c:v>
                </c:pt>
                <c:pt idx="87">
                  <c:v>152.583</c:v>
                </c:pt>
                <c:pt idx="88">
                  <c:v>152.583</c:v>
                </c:pt>
                <c:pt idx="89">
                  <c:v>152.58199999999999</c:v>
                </c:pt>
                <c:pt idx="90">
                  <c:v>152.58199999999999</c:v>
                </c:pt>
                <c:pt idx="91">
                  <c:v>152.58199999999999</c:v>
                </c:pt>
                <c:pt idx="92">
                  <c:v>152.58199999999999</c:v>
                </c:pt>
                <c:pt idx="93">
                  <c:v>152.58099999999999</c:v>
                </c:pt>
                <c:pt idx="94">
                  <c:v>152.58099999999999</c:v>
                </c:pt>
                <c:pt idx="95">
                  <c:v>152.58099999999999</c:v>
                </c:pt>
                <c:pt idx="96">
                  <c:v>152.58099999999999</c:v>
                </c:pt>
                <c:pt idx="97">
                  <c:v>152.58099999999999</c:v>
                </c:pt>
                <c:pt idx="98">
                  <c:v>152.58000000000001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DEB-4890-9CE2-8417178BB501}"/>
            </c:ext>
          </c:extLst>
        </c:ser>
        <c:ser>
          <c:idx val="6"/>
          <c:order val="6"/>
          <c:tx>
            <c:strRef>
              <c:f>'Important High Low'!$O$4</c:f>
              <c:strCache>
                <c:ptCount val="1"/>
                <c:pt idx="0">
                  <c:v>Bottom_Line_3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'Important High Low'!$O$5:$O$103</c:f>
              <c:numCache>
                <c:formatCode>General</c:formatCode>
                <c:ptCount val="99"/>
                <c:pt idx="0">
                  <c:v>152.768</c:v>
                </c:pt>
                <c:pt idx="1">
                  <c:v>152.77000000000001</c:v>
                </c:pt>
                <c:pt idx="2">
                  <c:v>152.77099999999999</c:v>
                </c:pt>
                <c:pt idx="3">
                  <c:v>152.773</c:v>
                </c:pt>
                <c:pt idx="4">
                  <c:v>152.774</c:v>
                </c:pt>
                <c:pt idx="5">
                  <c:v>152.77600000000001</c:v>
                </c:pt>
                <c:pt idx="6">
                  <c:v>152.77799999999999</c:v>
                </c:pt>
                <c:pt idx="7">
                  <c:v>152.779</c:v>
                </c:pt>
                <c:pt idx="8">
                  <c:v>152.78100000000001</c:v>
                </c:pt>
                <c:pt idx="9">
                  <c:v>152.78200000000001</c:v>
                </c:pt>
                <c:pt idx="10">
                  <c:v>152.78399999999999</c:v>
                </c:pt>
                <c:pt idx="11">
                  <c:v>152.785</c:v>
                </c:pt>
                <c:pt idx="12">
                  <c:v>152.78700000000001</c:v>
                </c:pt>
                <c:pt idx="13">
                  <c:v>152.78899999999999</c:v>
                </c:pt>
                <c:pt idx="14">
                  <c:v>152.79</c:v>
                </c:pt>
                <c:pt idx="15">
                  <c:v>152.792</c:v>
                </c:pt>
                <c:pt idx="16">
                  <c:v>152.79300000000001</c:v>
                </c:pt>
                <c:pt idx="17">
                  <c:v>152.79499999999999</c:v>
                </c:pt>
                <c:pt idx="18">
                  <c:v>152.79599999999999</c:v>
                </c:pt>
                <c:pt idx="19">
                  <c:v>152.798</c:v>
                </c:pt>
                <c:pt idx="20">
                  <c:v>152.80000000000001</c:v>
                </c:pt>
                <c:pt idx="21">
                  <c:v>152.80099999999999</c:v>
                </c:pt>
                <c:pt idx="22">
                  <c:v>152.803</c:v>
                </c:pt>
                <c:pt idx="23">
                  <c:v>152.804</c:v>
                </c:pt>
                <c:pt idx="24">
                  <c:v>152.80600000000001</c:v>
                </c:pt>
                <c:pt idx="25">
                  <c:v>152.80799999999999</c:v>
                </c:pt>
                <c:pt idx="26">
                  <c:v>152.809</c:v>
                </c:pt>
                <c:pt idx="27">
                  <c:v>152.81100000000001</c:v>
                </c:pt>
                <c:pt idx="28">
                  <c:v>152.81200000000001</c:v>
                </c:pt>
                <c:pt idx="29">
                  <c:v>152.81399999999999</c:v>
                </c:pt>
                <c:pt idx="30">
                  <c:v>152.815</c:v>
                </c:pt>
                <c:pt idx="31">
                  <c:v>152.81700000000001</c:v>
                </c:pt>
                <c:pt idx="32">
                  <c:v>152.81899999999999</c:v>
                </c:pt>
                <c:pt idx="33">
                  <c:v>152.82</c:v>
                </c:pt>
                <c:pt idx="34">
                  <c:v>152.822</c:v>
                </c:pt>
                <c:pt idx="35">
                  <c:v>152.82300000000001</c:v>
                </c:pt>
                <c:pt idx="36">
                  <c:v>152.82499999999999</c:v>
                </c:pt>
                <c:pt idx="37">
                  <c:v>152.827</c:v>
                </c:pt>
                <c:pt idx="38">
                  <c:v>152.828</c:v>
                </c:pt>
                <c:pt idx="39">
                  <c:v>152.83000000000001</c:v>
                </c:pt>
                <c:pt idx="40">
                  <c:v>152.83099999999999</c:v>
                </c:pt>
                <c:pt idx="41">
                  <c:v>152.833</c:v>
                </c:pt>
                <c:pt idx="42">
                  <c:v>152.834</c:v>
                </c:pt>
                <c:pt idx="43">
                  <c:v>152.83600000000001</c:v>
                </c:pt>
                <c:pt idx="44">
                  <c:v>152.83799999999999</c:v>
                </c:pt>
                <c:pt idx="45">
                  <c:v>152.839</c:v>
                </c:pt>
                <c:pt idx="46">
                  <c:v>152.84100000000001</c:v>
                </c:pt>
                <c:pt idx="47">
                  <c:v>152.84200000000001</c:v>
                </c:pt>
                <c:pt idx="48">
                  <c:v>152.84399999999999</c:v>
                </c:pt>
                <c:pt idx="49">
                  <c:v>152.845</c:v>
                </c:pt>
                <c:pt idx="50">
                  <c:v>152.84700000000001</c:v>
                </c:pt>
                <c:pt idx="51">
                  <c:v>152.84899999999999</c:v>
                </c:pt>
                <c:pt idx="52">
                  <c:v>152.85</c:v>
                </c:pt>
                <c:pt idx="53">
                  <c:v>152.852</c:v>
                </c:pt>
                <c:pt idx="54">
                  <c:v>152.85300000000001</c:v>
                </c:pt>
                <c:pt idx="55">
                  <c:v>152.85499999999999</c:v>
                </c:pt>
                <c:pt idx="56">
                  <c:v>152.857</c:v>
                </c:pt>
                <c:pt idx="57">
                  <c:v>152.858</c:v>
                </c:pt>
                <c:pt idx="58">
                  <c:v>152.86000000000001</c:v>
                </c:pt>
                <c:pt idx="59">
                  <c:v>152.86099999999999</c:v>
                </c:pt>
                <c:pt idx="60">
                  <c:v>152.863</c:v>
                </c:pt>
                <c:pt idx="61">
                  <c:v>152.864</c:v>
                </c:pt>
                <c:pt idx="62">
                  <c:v>152.86600000000001</c:v>
                </c:pt>
                <c:pt idx="63">
                  <c:v>152.86799999999999</c:v>
                </c:pt>
                <c:pt idx="64">
                  <c:v>152.869</c:v>
                </c:pt>
                <c:pt idx="65">
                  <c:v>152.87100000000001</c:v>
                </c:pt>
                <c:pt idx="66">
                  <c:v>152.87200000000001</c:v>
                </c:pt>
                <c:pt idx="67">
                  <c:v>152.874</c:v>
                </c:pt>
                <c:pt idx="68">
                  <c:v>152.876</c:v>
                </c:pt>
                <c:pt idx="69">
                  <c:v>152.87700000000001</c:v>
                </c:pt>
                <c:pt idx="70">
                  <c:v>152.87899999999999</c:v>
                </c:pt>
                <c:pt idx="71">
                  <c:v>152.88</c:v>
                </c:pt>
                <c:pt idx="72">
                  <c:v>152.88200000000001</c:v>
                </c:pt>
                <c:pt idx="73">
                  <c:v>152.88300000000001</c:v>
                </c:pt>
                <c:pt idx="74">
                  <c:v>152.88499999999999</c:v>
                </c:pt>
                <c:pt idx="75">
                  <c:v>152.887</c:v>
                </c:pt>
                <c:pt idx="76">
                  <c:v>152.88800000000001</c:v>
                </c:pt>
                <c:pt idx="77">
                  <c:v>152.88999999999999</c:v>
                </c:pt>
                <c:pt idx="78">
                  <c:v>152.89099999999999</c:v>
                </c:pt>
                <c:pt idx="79">
                  <c:v>152.893</c:v>
                </c:pt>
                <c:pt idx="80">
                  <c:v>152.89400000000001</c:v>
                </c:pt>
                <c:pt idx="81">
                  <c:v>152.89599999999999</c:v>
                </c:pt>
                <c:pt idx="82">
                  <c:v>152.898</c:v>
                </c:pt>
                <c:pt idx="83">
                  <c:v>152.899</c:v>
                </c:pt>
                <c:pt idx="84">
                  <c:v>152.90100000000001</c:v>
                </c:pt>
                <c:pt idx="85">
                  <c:v>152.90199999999999</c:v>
                </c:pt>
                <c:pt idx="86">
                  <c:v>152.904</c:v>
                </c:pt>
                <c:pt idx="87">
                  <c:v>152.90600000000001</c:v>
                </c:pt>
                <c:pt idx="88">
                  <c:v>152.90700000000001</c:v>
                </c:pt>
                <c:pt idx="89">
                  <c:v>152.90899999999999</c:v>
                </c:pt>
                <c:pt idx="90">
                  <c:v>152.91</c:v>
                </c:pt>
                <c:pt idx="91">
                  <c:v>152.91200000000001</c:v>
                </c:pt>
                <c:pt idx="92">
                  <c:v>152.91300000000001</c:v>
                </c:pt>
                <c:pt idx="93">
                  <c:v>152.91499999999999</c:v>
                </c:pt>
                <c:pt idx="94">
                  <c:v>152.917</c:v>
                </c:pt>
                <c:pt idx="95">
                  <c:v>152.91800000000001</c:v>
                </c:pt>
                <c:pt idx="96">
                  <c:v>152.91999999999999</c:v>
                </c:pt>
                <c:pt idx="97">
                  <c:v>152.92099999999999</c:v>
                </c:pt>
                <c:pt idx="98">
                  <c:v>152.923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DEB-4890-9CE2-8417178BB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2871424"/>
        <c:axId val="1072869760"/>
      </c:lineChart>
      <c:catAx>
        <c:axId val="1072871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Z"/>
          </a:p>
        </c:txPr>
        <c:crossAx val="1072869760"/>
        <c:crosses val="autoZero"/>
        <c:auto val="1"/>
        <c:lblAlgn val="ctr"/>
        <c:lblOffset val="100"/>
        <c:noMultiLvlLbl val="0"/>
      </c:catAx>
      <c:valAx>
        <c:axId val="107286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Z"/>
          </a:p>
        </c:txPr>
        <c:crossAx val="107287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583199219439134E-2"/>
          <c:y val="0.96769051114373417"/>
          <c:w val="0.90936932266182779"/>
          <c:h val="2.3834912585079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96</xdr:col>
      <xdr:colOff>271147</xdr:colOff>
      <xdr:row>43</xdr:row>
      <xdr:rowOff>117749</xdr:rowOff>
    </xdr:from>
    <xdr:to>
      <xdr:col>112</xdr:col>
      <xdr:colOff>187871</xdr:colOff>
      <xdr:row>76</xdr:row>
      <xdr:rowOff>10977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BD06B0-D1FE-4F01-9BA9-62907C634C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131</xdr:col>
      <xdr:colOff>419100</xdr:colOff>
      <xdr:row>106</xdr:row>
      <xdr:rowOff>66675</xdr:rowOff>
    </xdr:from>
    <xdr:to>
      <xdr:col>143</xdr:col>
      <xdr:colOff>657225</xdr:colOff>
      <xdr:row>156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711CB8-592E-44EB-9250-8B2EF9BFF2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F79371C-37CA-4128-8A00-AC11AD2BDF38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B11ED-ADA3-4BD7-B8BE-0DF761DB1DBE}">
  <dimension ref="A1:GT104"/>
  <sheetViews>
    <sheetView tabSelected="1" topLeftCell="FT1" zoomScale="70" zoomScaleNormal="70" workbookViewId="0">
      <selection activeCell="GF35" sqref="GF35"/>
    </sheetView>
  </sheetViews>
  <sheetFormatPr defaultRowHeight="14.4" x14ac:dyDescent="0.55000000000000004"/>
  <cols>
    <col min="1" max="1" width="3.15625" bestFit="1" customWidth="1"/>
    <col min="2" max="2" width="14.62890625" customWidth="1"/>
    <col min="4" max="4" width="10.41796875" bestFit="1" customWidth="1"/>
    <col min="10" max="12" width="10.7890625" bestFit="1" customWidth="1"/>
    <col min="13" max="15" width="13.20703125" bestFit="1" customWidth="1"/>
    <col min="16" max="16" width="9.15625" bestFit="1" customWidth="1"/>
    <col min="17" max="17" width="8.83984375" bestFit="1" customWidth="1"/>
    <col min="18" max="18" width="10.5234375" bestFit="1" customWidth="1"/>
    <col min="19" max="19" width="10.20703125" bestFit="1" customWidth="1"/>
    <col min="20" max="20" width="6.05078125" bestFit="1" customWidth="1"/>
    <col min="21" max="21" width="8.83984375" bestFit="1" customWidth="1"/>
    <col min="22" max="22" width="11.1015625" bestFit="1" customWidth="1"/>
    <col min="23" max="23" width="12.62890625" bestFit="1" customWidth="1"/>
    <col min="24" max="24" width="12.3125" bestFit="1" customWidth="1"/>
    <col min="25" max="25" width="12.3671875" bestFit="1" customWidth="1"/>
    <col min="26" max="26" width="9.68359375" bestFit="1" customWidth="1"/>
    <col min="27" max="27" width="12.3671875" customWidth="1"/>
    <col min="28" max="28" width="13.20703125" customWidth="1"/>
    <col min="29" max="29" width="9.68359375" bestFit="1" customWidth="1"/>
    <col min="30" max="30" width="12.15625" bestFit="1" customWidth="1"/>
    <col min="31" max="31" width="13.20703125" customWidth="1"/>
    <col min="32" max="32" width="12.62890625" bestFit="1" customWidth="1"/>
    <col min="33" max="36" width="7.68359375" bestFit="1" customWidth="1"/>
    <col min="37" max="37" width="10.15625" customWidth="1"/>
    <col min="38" max="38" width="9.734375" customWidth="1"/>
    <col min="39" max="42" width="13.20703125" customWidth="1"/>
    <col min="43" max="43" width="2.47265625" customWidth="1"/>
    <col min="44" max="44" width="13.15625" bestFit="1" customWidth="1"/>
    <col min="45" max="45" width="12.83984375" bestFit="1" customWidth="1"/>
    <col min="46" max="46" width="25.1015625" bestFit="1" customWidth="1"/>
    <col min="47" max="47" width="3.20703125" customWidth="1"/>
    <col min="48" max="48" width="9.7890625" customWidth="1"/>
    <col min="49" max="49" width="9" bestFit="1" customWidth="1"/>
    <col min="50" max="50" width="9.26171875" customWidth="1"/>
    <col min="51" max="53" width="9" bestFit="1" customWidth="1"/>
    <col min="54" max="59" width="10.26171875" bestFit="1" customWidth="1"/>
    <col min="60" max="60" width="2.68359375" customWidth="1"/>
    <col min="61" max="61" width="9.734375" bestFit="1" customWidth="1"/>
    <col min="62" max="63" width="10.62890625" bestFit="1" customWidth="1"/>
    <col min="64" max="64" width="10.68359375" customWidth="1"/>
    <col min="65" max="66" width="10.26171875" bestFit="1" customWidth="1"/>
    <col min="67" max="67" width="2.47265625" customWidth="1"/>
    <col min="68" max="68" width="8.47265625" customWidth="1"/>
    <col min="69" max="69" width="8.20703125" customWidth="1"/>
    <col min="70" max="70" width="8.05078125" customWidth="1"/>
    <col min="71" max="71" width="7.68359375" customWidth="1"/>
    <col min="72" max="72" width="7.89453125" customWidth="1"/>
    <col min="73" max="73" width="8.20703125" customWidth="1"/>
    <col min="74" max="74" width="7.578125" customWidth="1"/>
    <col min="75" max="75" width="8.3671875" customWidth="1"/>
    <col min="76" max="76" width="8" customWidth="1"/>
    <col min="77" max="77" width="7.83984375" customWidth="1"/>
    <col min="78" max="78" width="8.3125" customWidth="1"/>
    <col min="79" max="79" width="7.62890625" customWidth="1"/>
    <col min="80" max="85" width="9.9453125" customWidth="1"/>
    <col min="86" max="86" width="3.26171875" customWidth="1"/>
    <col min="87" max="92" width="9.9453125" customWidth="1"/>
    <col min="93" max="93" width="2.9453125" customWidth="1"/>
    <col min="94" max="99" width="9.9453125" customWidth="1"/>
    <col min="100" max="100" width="3.41796875" customWidth="1"/>
    <col min="101" max="106" width="9.9453125" customWidth="1"/>
    <col min="107" max="107" width="3.05078125" customWidth="1"/>
    <col min="108" max="110" width="9.9453125" customWidth="1"/>
    <col min="111" max="111" width="4.68359375" customWidth="1"/>
    <col min="112" max="112" width="12.26171875" bestFit="1" customWidth="1"/>
    <col min="113" max="113" width="11.3671875" customWidth="1"/>
    <col min="114" max="114" width="12.26171875" bestFit="1" customWidth="1"/>
    <col min="115" max="115" width="12.3671875" bestFit="1" customWidth="1"/>
    <col min="116" max="116" width="12.26171875" customWidth="1"/>
    <col min="117" max="117" width="11.68359375" bestFit="1" customWidth="1"/>
    <col min="118" max="118" width="4.20703125" customWidth="1"/>
    <col min="119" max="119" width="11.26171875" bestFit="1" customWidth="1"/>
    <col min="120" max="121" width="12.26171875" bestFit="1" customWidth="1"/>
    <col min="122" max="122" width="11.68359375" bestFit="1" customWidth="1"/>
    <col min="123" max="123" width="11.26171875" bestFit="1" customWidth="1"/>
    <col min="124" max="124" width="11.68359375" bestFit="1" customWidth="1"/>
    <col min="125" max="125" width="4.15625" customWidth="1"/>
    <col min="126" max="126" width="15.62890625" customWidth="1"/>
    <col min="127" max="127" width="15.68359375" customWidth="1"/>
    <col min="128" max="128" width="17.15625" customWidth="1"/>
    <col min="129" max="129" width="18" customWidth="1"/>
    <col min="130" max="130" width="16.9453125" customWidth="1"/>
    <col min="131" max="131" width="17.05078125" customWidth="1"/>
    <col min="132" max="132" width="3.05078125" customWidth="1"/>
    <col min="133" max="133" width="10.578125" customWidth="1"/>
    <col min="134" max="134" width="10.68359375" customWidth="1"/>
    <col min="135" max="135" width="10.734375" customWidth="1"/>
    <col min="136" max="136" width="10.578125" customWidth="1"/>
    <col min="137" max="137" width="10.41796875" customWidth="1"/>
    <col min="138" max="138" width="10.26171875" customWidth="1"/>
    <col min="139" max="139" width="4.578125" customWidth="1"/>
    <col min="140" max="140" width="9.5234375" customWidth="1"/>
    <col min="141" max="141" width="9" customWidth="1"/>
    <col min="142" max="142" width="9.15625" customWidth="1"/>
    <col min="143" max="143" width="11.1015625" customWidth="1"/>
    <col min="144" max="144" width="10.41796875" customWidth="1"/>
    <col min="145" max="145" width="10.3125" customWidth="1"/>
    <col min="146" max="146" width="4.26171875" customWidth="1"/>
    <col min="147" max="147" width="10" customWidth="1"/>
    <col min="148" max="148" width="10.7890625" customWidth="1"/>
    <col min="149" max="149" width="11" customWidth="1"/>
    <col min="150" max="150" width="10.83984375" customWidth="1"/>
    <col min="151" max="151" width="10.05078125" customWidth="1"/>
    <col min="152" max="152" width="10.5234375" customWidth="1"/>
    <col min="153" max="153" width="5.1015625" customWidth="1"/>
    <col min="154" max="154" width="9" bestFit="1" customWidth="1"/>
    <col min="155" max="155" width="7.7890625" bestFit="1" customWidth="1"/>
    <col min="156" max="156" width="7.578125" bestFit="1" customWidth="1"/>
    <col min="157" max="162" width="11.26171875" bestFit="1" customWidth="1"/>
    <col min="163" max="163" width="3.15625" customWidth="1"/>
    <col min="164" max="164" width="19.68359375" bestFit="1" customWidth="1"/>
    <col min="165" max="165" width="20.3671875" bestFit="1" customWidth="1"/>
    <col min="166" max="166" width="3.15625" customWidth="1"/>
    <col min="167" max="167" width="15.3671875" bestFit="1" customWidth="1"/>
    <col min="168" max="168" width="16.05078125" bestFit="1" customWidth="1"/>
    <col min="169" max="169" width="9.47265625" customWidth="1"/>
    <col min="170" max="170" width="3.15625" customWidth="1"/>
    <col min="171" max="171" width="9" customWidth="1"/>
    <col min="172" max="172" width="2.83984375" customWidth="1"/>
    <col min="173" max="173" width="15.05078125" bestFit="1" customWidth="1"/>
    <col min="174" max="174" width="14.83984375" customWidth="1"/>
    <col min="175" max="175" width="26.3671875" bestFit="1" customWidth="1"/>
    <col min="176" max="178" width="20.83984375" customWidth="1"/>
    <col min="179" max="179" width="3.26171875" customWidth="1"/>
    <col min="180" max="183" width="3.578125" bestFit="1" customWidth="1"/>
    <col min="184" max="187" width="3.83984375" bestFit="1" customWidth="1"/>
    <col min="188" max="188" width="18.9453125" customWidth="1"/>
    <col min="189" max="189" width="20.83984375" customWidth="1"/>
    <col min="190" max="190" width="3.89453125" customWidth="1"/>
    <col min="191" max="191" width="14.5234375" customWidth="1"/>
    <col min="192" max="192" width="14.26171875" customWidth="1"/>
    <col min="193" max="193" width="5.68359375" customWidth="1"/>
    <col min="194" max="195" width="11.89453125" customWidth="1"/>
    <col min="196" max="196" width="3.05078125" customWidth="1"/>
    <col min="197" max="197" width="11.89453125" customWidth="1"/>
    <col min="198" max="198" width="13.89453125" customWidth="1"/>
    <col min="199" max="199" width="16.20703125" customWidth="1"/>
    <col min="200" max="200" width="2.9453125" customWidth="1"/>
    <col min="201" max="201" width="15.62890625" bestFit="1" customWidth="1"/>
    <col min="202" max="203" width="16.3125" bestFit="1" customWidth="1"/>
    <col min="204" max="206" width="18.68359375" bestFit="1" customWidth="1"/>
    <col min="208" max="210" width="16.3671875" bestFit="1" customWidth="1"/>
    <col min="211" max="213" width="18.68359375" bestFit="1" customWidth="1"/>
    <col min="215" max="217" width="19.734375" bestFit="1" customWidth="1"/>
    <col min="218" max="220" width="19.83984375" bestFit="1" customWidth="1"/>
  </cols>
  <sheetData>
    <row r="1" spans="1:202" ht="35.1" x14ac:dyDescent="0.55000000000000004">
      <c r="AP1" s="35" t="s">
        <v>174</v>
      </c>
      <c r="AV1" s="34" t="s">
        <v>134</v>
      </c>
    </row>
    <row r="2" spans="1:202" ht="14.7" thickBot="1" x14ac:dyDescent="0.6">
      <c r="AP2" s="6">
        <f>AVERAGE(AP6:AP103)</f>
        <v>7.2744897959183583E-2</v>
      </c>
      <c r="AV2" s="4">
        <v>1.4999999999999999E-4</v>
      </c>
    </row>
    <row r="3" spans="1:202" x14ac:dyDescent="0.55000000000000004">
      <c r="AW3" s="2"/>
      <c r="AX3" s="3"/>
      <c r="AY3" s="3"/>
    </row>
    <row r="4" spans="1:202" ht="43.2" x14ac:dyDescent="0.55000000000000004">
      <c r="A4" s="32" t="s">
        <v>0</v>
      </c>
      <c r="B4" s="32" t="s">
        <v>104</v>
      </c>
      <c r="C4" s="32" t="s">
        <v>1</v>
      </c>
      <c r="D4" s="32" t="s">
        <v>2</v>
      </c>
      <c r="E4" s="32" t="s">
        <v>106</v>
      </c>
      <c r="F4" s="32" t="s">
        <v>107</v>
      </c>
      <c r="G4" s="32" t="s">
        <v>108</v>
      </c>
      <c r="H4" s="32" t="s">
        <v>105</v>
      </c>
      <c r="I4" s="32" t="s">
        <v>269</v>
      </c>
      <c r="J4" s="32" t="s">
        <v>109</v>
      </c>
      <c r="K4" s="32" t="s">
        <v>110</v>
      </c>
      <c r="L4" s="32" t="s">
        <v>111</v>
      </c>
      <c r="M4" s="32" t="s">
        <v>112</v>
      </c>
      <c r="N4" s="32" t="s">
        <v>113</v>
      </c>
      <c r="O4" s="32" t="s">
        <v>114</v>
      </c>
      <c r="P4" s="32" t="s">
        <v>115</v>
      </c>
      <c r="Q4" s="32" t="s">
        <v>116</v>
      </c>
      <c r="R4" s="32" t="s">
        <v>118</v>
      </c>
      <c r="S4" s="32" t="s">
        <v>119</v>
      </c>
      <c r="T4" s="32" t="s">
        <v>117</v>
      </c>
      <c r="U4" s="36" t="s">
        <v>120</v>
      </c>
      <c r="V4" s="36" t="s">
        <v>121</v>
      </c>
      <c r="W4" s="36" t="s">
        <v>181</v>
      </c>
      <c r="X4" s="36" t="s">
        <v>182</v>
      </c>
      <c r="Y4" s="36" t="s">
        <v>183</v>
      </c>
      <c r="Z4" s="36" t="s">
        <v>184</v>
      </c>
      <c r="AA4" s="36" t="s">
        <v>185</v>
      </c>
      <c r="AB4" s="36" t="s">
        <v>186</v>
      </c>
      <c r="AC4" s="36" t="s">
        <v>187</v>
      </c>
      <c r="AD4" s="36" t="s">
        <v>188</v>
      </c>
      <c r="AE4" s="36" t="s">
        <v>189</v>
      </c>
      <c r="AF4" s="36" t="s">
        <v>190</v>
      </c>
      <c r="AG4" s="36" t="s">
        <v>197</v>
      </c>
      <c r="AH4" s="36" t="s">
        <v>198</v>
      </c>
      <c r="AI4" s="36" t="s">
        <v>205</v>
      </c>
      <c r="AJ4" s="36" t="s">
        <v>206</v>
      </c>
      <c r="AK4" s="36" t="s">
        <v>199</v>
      </c>
      <c r="AL4" s="36" t="s">
        <v>200</v>
      </c>
      <c r="AM4" s="33" t="s">
        <v>170</v>
      </c>
      <c r="AN4" s="33" t="s">
        <v>171</v>
      </c>
      <c r="AO4" s="33" t="s">
        <v>172</v>
      </c>
      <c r="AP4" s="33" t="s">
        <v>173</v>
      </c>
      <c r="AQ4" s="40"/>
      <c r="AR4" s="30" t="s">
        <v>207</v>
      </c>
      <c r="AS4" s="30" t="s">
        <v>208</v>
      </c>
      <c r="AT4" s="29" t="s">
        <v>256</v>
      </c>
      <c r="AU4" s="38"/>
      <c r="AV4" s="31" t="s">
        <v>122</v>
      </c>
      <c r="AW4" s="31" t="s">
        <v>123</v>
      </c>
      <c r="AX4" s="31" t="s">
        <v>124</v>
      </c>
      <c r="AY4" s="31" t="s">
        <v>125</v>
      </c>
      <c r="AZ4" s="31" t="s">
        <v>126</v>
      </c>
      <c r="BA4" s="31" t="s">
        <v>127</v>
      </c>
      <c r="BB4" s="31" t="s">
        <v>128</v>
      </c>
      <c r="BC4" s="31" t="s">
        <v>129</v>
      </c>
      <c r="BD4" s="31" t="s">
        <v>130</v>
      </c>
      <c r="BE4" s="31" t="s">
        <v>131</v>
      </c>
      <c r="BF4" s="31" t="s">
        <v>132</v>
      </c>
      <c r="BG4" s="31" t="s">
        <v>133</v>
      </c>
      <c r="BH4" s="38"/>
      <c r="BI4" s="31" t="s">
        <v>135</v>
      </c>
      <c r="BJ4" s="31" t="s">
        <v>136</v>
      </c>
      <c r="BK4" s="31" t="s">
        <v>137</v>
      </c>
      <c r="BL4" s="31" t="s">
        <v>138</v>
      </c>
      <c r="BM4" s="31" t="s">
        <v>139</v>
      </c>
      <c r="BN4" s="31" t="s">
        <v>140</v>
      </c>
      <c r="BO4" s="37"/>
      <c r="BP4" s="31" t="s">
        <v>226</v>
      </c>
      <c r="BQ4" s="31" t="s">
        <v>229</v>
      </c>
      <c r="BR4" s="31" t="s">
        <v>232</v>
      </c>
      <c r="BS4" s="31" t="s">
        <v>233</v>
      </c>
      <c r="BT4" s="31" t="s">
        <v>234</v>
      </c>
      <c r="BU4" s="31" t="s">
        <v>235</v>
      </c>
      <c r="BV4" s="31" t="s">
        <v>227</v>
      </c>
      <c r="BW4" s="31" t="s">
        <v>230</v>
      </c>
      <c r="BX4" s="31" t="s">
        <v>236</v>
      </c>
      <c r="BY4" s="31" t="s">
        <v>237</v>
      </c>
      <c r="BZ4" s="31" t="s">
        <v>238</v>
      </c>
      <c r="CA4" s="31" t="s">
        <v>239</v>
      </c>
      <c r="CB4" s="29" t="s">
        <v>228</v>
      </c>
      <c r="CC4" s="29" t="s">
        <v>231</v>
      </c>
      <c r="CD4" s="29" t="s">
        <v>240</v>
      </c>
      <c r="CE4" s="29" t="s">
        <v>241</v>
      </c>
      <c r="CF4" s="29" t="s">
        <v>242</v>
      </c>
      <c r="CG4" s="29" t="s">
        <v>243</v>
      </c>
      <c r="CH4" s="37"/>
      <c r="CI4" s="31" t="s">
        <v>244</v>
      </c>
      <c r="CJ4" s="31" t="s">
        <v>245</v>
      </c>
      <c r="CK4" s="31" t="s">
        <v>246</v>
      </c>
      <c r="CL4" s="31" t="s">
        <v>247</v>
      </c>
      <c r="CM4" s="31" t="s">
        <v>248</v>
      </c>
      <c r="CN4" s="31" t="s">
        <v>249</v>
      </c>
      <c r="CO4" s="37"/>
      <c r="CP4" s="29" t="s">
        <v>250</v>
      </c>
      <c r="CQ4" s="29" t="s">
        <v>251</v>
      </c>
      <c r="CR4" s="29" t="s">
        <v>252</v>
      </c>
      <c r="CS4" s="29" t="s">
        <v>253</v>
      </c>
      <c r="CT4" s="29" t="s">
        <v>254</v>
      </c>
      <c r="CU4" s="29" t="s">
        <v>255</v>
      </c>
      <c r="CV4" s="37"/>
      <c r="CW4" s="31" t="s">
        <v>257</v>
      </c>
      <c r="CX4" s="31" t="s">
        <v>258</v>
      </c>
      <c r="CY4" s="31" t="s">
        <v>259</v>
      </c>
      <c r="CZ4" s="31" t="s">
        <v>260</v>
      </c>
      <c r="DA4" s="31" t="s">
        <v>261</v>
      </c>
      <c r="DB4" s="31" t="s">
        <v>262</v>
      </c>
      <c r="DC4" s="37"/>
      <c r="DD4" s="31" t="s">
        <v>263</v>
      </c>
      <c r="DE4" s="31" t="s">
        <v>265</v>
      </c>
      <c r="DF4" s="29" t="s">
        <v>264</v>
      </c>
      <c r="DG4" s="37"/>
      <c r="DH4" s="31" t="s">
        <v>141</v>
      </c>
      <c r="DI4" s="31" t="s">
        <v>142</v>
      </c>
      <c r="DJ4" s="31" t="s">
        <v>143</v>
      </c>
      <c r="DK4" s="31" t="s">
        <v>144</v>
      </c>
      <c r="DL4" s="31" t="s">
        <v>145</v>
      </c>
      <c r="DM4" s="31" t="s">
        <v>146</v>
      </c>
      <c r="DN4" s="38"/>
      <c r="DO4" s="31" t="s">
        <v>167</v>
      </c>
      <c r="DP4" s="31" t="s">
        <v>168</v>
      </c>
      <c r="DQ4" s="31" t="s">
        <v>169</v>
      </c>
      <c r="DR4" s="31" t="s">
        <v>144</v>
      </c>
      <c r="DS4" s="31" t="s">
        <v>145</v>
      </c>
      <c r="DT4" s="31" t="s">
        <v>146</v>
      </c>
      <c r="DU4" s="38"/>
      <c r="DV4" s="29" t="s">
        <v>175</v>
      </c>
      <c r="DW4" s="29" t="s">
        <v>176</v>
      </c>
      <c r="DX4" s="29" t="s">
        <v>177</v>
      </c>
      <c r="DY4" s="29" t="s">
        <v>178</v>
      </c>
      <c r="DZ4" s="29" t="s">
        <v>179</v>
      </c>
      <c r="EA4" s="29" t="s">
        <v>180</v>
      </c>
      <c r="EB4" s="39"/>
      <c r="EC4" s="31" t="s">
        <v>147</v>
      </c>
      <c r="ED4" s="31" t="s">
        <v>148</v>
      </c>
      <c r="EE4" s="31" t="s">
        <v>149</v>
      </c>
      <c r="EF4" s="31" t="s">
        <v>150</v>
      </c>
      <c r="EG4" s="31" t="s">
        <v>151</v>
      </c>
      <c r="EH4" s="31" t="s">
        <v>152</v>
      </c>
      <c r="EI4" s="38"/>
      <c r="EJ4" s="31" t="s">
        <v>153</v>
      </c>
      <c r="EK4" s="31" t="s">
        <v>154</v>
      </c>
      <c r="EL4" s="31" t="s">
        <v>155</v>
      </c>
      <c r="EM4" s="31" t="s">
        <v>156</v>
      </c>
      <c r="EN4" s="31" t="s">
        <v>157</v>
      </c>
      <c r="EO4" s="31" t="s">
        <v>158</v>
      </c>
      <c r="EP4" s="38"/>
      <c r="EQ4" s="31" t="s">
        <v>161</v>
      </c>
      <c r="ER4" s="31" t="s">
        <v>162</v>
      </c>
      <c r="ES4" s="31" t="s">
        <v>163</v>
      </c>
      <c r="ET4" s="31" t="s">
        <v>164</v>
      </c>
      <c r="EU4" s="31" t="s">
        <v>165</v>
      </c>
      <c r="EV4" s="31" t="s">
        <v>166</v>
      </c>
      <c r="EW4" s="38"/>
      <c r="EX4" s="29" t="s">
        <v>266</v>
      </c>
      <c r="EY4" s="30" t="s">
        <v>159</v>
      </c>
      <c r="EZ4" s="30" t="s">
        <v>160</v>
      </c>
      <c r="FA4" s="30" t="s">
        <v>191</v>
      </c>
      <c r="FB4" s="30" t="s">
        <v>192</v>
      </c>
      <c r="FC4" s="30" t="s">
        <v>193</v>
      </c>
      <c r="FD4" s="30" t="s">
        <v>194</v>
      </c>
      <c r="FE4" s="30" t="s">
        <v>195</v>
      </c>
      <c r="FF4" s="30" t="s">
        <v>196</v>
      </c>
      <c r="FG4" s="38"/>
      <c r="FH4" s="30" t="s">
        <v>268</v>
      </c>
      <c r="FI4" s="30" t="s">
        <v>267</v>
      </c>
      <c r="FJ4" s="38"/>
      <c r="FK4" s="29" t="s">
        <v>273</v>
      </c>
      <c r="FL4" s="29" t="s">
        <v>274</v>
      </c>
      <c r="FM4" s="38"/>
      <c r="FN4" s="38"/>
      <c r="FO4" s="27" t="s">
        <v>214</v>
      </c>
      <c r="FP4" s="41"/>
      <c r="FQ4" s="26" t="s">
        <v>211</v>
      </c>
      <c r="FR4" s="26" t="s">
        <v>212</v>
      </c>
      <c r="FS4" s="27" t="s">
        <v>213</v>
      </c>
      <c r="FT4" s="27" t="s">
        <v>225</v>
      </c>
      <c r="FU4" s="30" t="s">
        <v>209</v>
      </c>
      <c r="FV4" s="30" t="s">
        <v>210</v>
      </c>
      <c r="FW4" s="40"/>
      <c r="FX4" s="30" t="s">
        <v>215</v>
      </c>
      <c r="FY4" s="30" t="s">
        <v>216</v>
      </c>
      <c r="FZ4" s="30" t="s">
        <v>217</v>
      </c>
      <c r="GA4" s="30" t="s">
        <v>218</v>
      </c>
      <c r="GB4" s="30" t="s">
        <v>219</v>
      </c>
      <c r="GC4" s="30" t="s">
        <v>220</v>
      </c>
      <c r="GD4" s="30" t="s">
        <v>221</v>
      </c>
      <c r="GE4" s="30" t="s">
        <v>222</v>
      </c>
      <c r="GF4" s="29" t="s">
        <v>223</v>
      </c>
      <c r="GG4" s="28" t="s">
        <v>224</v>
      </c>
      <c r="GH4" s="41"/>
      <c r="GI4" s="29" t="s">
        <v>201</v>
      </c>
      <c r="GJ4" s="29" t="s">
        <v>201</v>
      </c>
      <c r="GK4" s="38"/>
      <c r="GL4" s="30" t="s">
        <v>204</v>
      </c>
      <c r="GM4" s="30" t="s">
        <v>204</v>
      </c>
      <c r="GN4" s="38"/>
      <c r="GO4" s="31" t="s">
        <v>202</v>
      </c>
      <c r="GP4" s="31" t="s">
        <v>203</v>
      </c>
      <c r="GQ4" s="29" t="s">
        <v>272</v>
      </c>
      <c r="GS4" s="35" t="s">
        <v>270</v>
      </c>
      <c r="GT4" s="29" t="s">
        <v>271</v>
      </c>
    </row>
    <row r="5" spans="1:202" x14ac:dyDescent="0.55000000000000004">
      <c r="A5">
        <v>1</v>
      </c>
      <c r="B5" t="s">
        <v>3</v>
      </c>
      <c r="C5" t="s">
        <v>4</v>
      </c>
      <c r="D5" t="s">
        <v>103</v>
      </c>
      <c r="E5">
        <v>153.10599999999999</v>
      </c>
      <c r="F5">
        <v>153.28200000000001</v>
      </c>
      <c r="G5">
        <v>153.03899999999999</v>
      </c>
      <c r="H5">
        <v>153.249</v>
      </c>
      <c r="I5">
        <v>580</v>
      </c>
      <c r="J5">
        <v>153.03800000000001</v>
      </c>
      <c r="K5">
        <v>152.911</v>
      </c>
      <c r="L5">
        <v>153.27099999999999</v>
      </c>
      <c r="M5">
        <v>152.56</v>
      </c>
      <c r="N5">
        <v>152.60300000000001</v>
      </c>
      <c r="O5">
        <v>152.768</v>
      </c>
      <c r="P5">
        <v>0</v>
      </c>
      <c r="Q5">
        <v>0</v>
      </c>
      <c r="R5">
        <v>0</v>
      </c>
      <c r="S5">
        <v>0</v>
      </c>
      <c r="T5">
        <v>0</v>
      </c>
      <c r="U5">
        <v>2.1415099999999998</v>
      </c>
      <c r="V5">
        <v>1</v>
      </c>
      <c r="W5">
        <v>153.63953000000001</v>
      </c>
      <c r="X5">
        <v>153.55868000000001</v>
      </c>
      <c r="Y5">
        <v>153.47783000000001</v>
      </c>
      <c r="Z5">
        <v>153.39698000000001</v>
      </c>
      <c r="AA5">
        <v>153.31612999999999</v>
      </c>
      <c r="AB5">
        <v>153.23518999999999</v>
      </c>
      <c r="AC5">
        <v>153.15433999999999</v>
      </c>
      <c r="AD5">
        <v>153.07348999999999</v>
      </c>
      <c r="AE5">
        <v>152.99263999999999</v>
      </c>
      <c r="AF5">
        <v>152.91177999999999</v>
      </c>
      <c r="AG5">
        <v>153.13499999999999</v>
      </c>
      <c r="AH5">
        <v>153.19300000000001</v>
      </c>
      <c r="AI5">
        <v>153.28299999999999</v>
      </c>
      <c r="AJ5">
        <v>153.345</v>
      </c>
      <c r="AK5">
        <v>153.23599999999999</v>
      </c>
      <c r="AL5">
        <v>152.99700000000001</v>
      </c>
      <c r="AM5" s="11">
        <f t="shared" ref="AM5:AM68" si="0">F5-G5</f>
        <v>0.24300000000002342</v>
      </c>
      <c r="AN5" s="11"/>
      <c r="AO5" s="11"/>
      <c r="AP5" s="11">
        <f>AM5</f>
        <v>0.24300000000002342</v>
      </c>
      <c r="AR5" s="5" t="str">
        <f t="shared" ref="AR5:AR36" si="1">IF(AND(P5=R5,P5&gt;0,R5&gt;0),"Important High","------")</f>
        <v>------</v>
      </c>
      <c r="AS5" s="5" t="str">
        <f t="shared" ref="AS5:AS36" si="2">IF(AND(Q5=S5,Q5&gt;0,S5&gt;0),"Important Low","------")</f>
        <v>------</v>
      </c>
      <c r="AT5" t="str">
        <f t="shared" ref="AT5:AT36" si="3">IF(OR(AR5="Important High",AS5="Important High"),IF(T5=1,"Important High with Rejection",""),IF(OR(AR5="Important Low",AS5="Important Low"),IF(T5=1,"Important Low with Rejection",""),""))</f>
        <v/>
      </c>
      <c r="AV5" s="2">
        <f t="shared" ref="AV5:AV68" si="4">J5*(1+$AV$2)</f>
        <v>153.06095570000002</v>
      </c>
      <c r="AW5" s="2">
        <f t="shared" ref="AW5:AW68" si="5">J5*(1-$AV$2)</f>
        <v>153.0150443</v>
      </c>
      <c r="AX5" s="2">
        <f t="shared" ref="AX5:AX68" si="6">K5*(1+$AV$2)</f>
        <v>152.93393665000002</v>
      </c>
      <c r="AY5" s="2">
        <f t="shared" ref="AY5:AY68" si="7">K5*(1-$AV$2)</f>
        <v>152.88806335000001</v>
      </c>
      <c r="AZ5" s="2">
        <f t="shared" ref="AZ5:AZ68" si="8">L5*(1+$AV$2)</f>
        <v>153.29399065000001</v>
      </c>
      <c r="BA5" s="2">
        <f t="shared" ref="BA5:BA68" si="9">L5*(1-$AV$2)</f>
        <v>153.24800934999999</v>
      </c>
      <c r="BB5" s="2">
        <f t="shared" ref="BB5:BB68" si="10">M5*(1+$AV$2)</f>
        <v>152.58288400000001</v>
      </c>
      <c r="BC5" s="2">
        <f t="shared" ref="BC5:BC68" si="11">M5*(1-$AV$2)</f>
        <v>152.537116</v>
      </c>
      <c r="BD5" s="2">
        <f t="shared" ref="BD5:BD68" si="12">N5*(1+$AV$2)</f>
        <v>152.62589045000001</v>
      </c>
      <c r="BE5" s="2">
        <f t="shared" ref="BE5:BE68" si="13">N5*(1-$AV$2)</f>
        <v>152.58010955</v>
      </c>
      <c r="BF5" s="2">
        <f t="shared" ref="BF5:BF68" si="14">O5*(1+$AV$2)</f>
        <v>152.79091520000003</v>
      </c>
      <c r="BG5" s="2">
        <f t="shared" ref="BG5:BG68" si="15">O5*(1-$AV$2)</f>
        <v>152.7450848</v>
      </c>
      <c r="BI5" s="5" t="str">
        <f>IF(AND(MAX($E5,$H5)&gt;=MIN(AV5,AW5),MAX(AV5,AW5)&gt;=MIN($E5,$H5)),"TOUCH","-----")</f>
        <v>-----</v>
      </c>
      <c r="BJ5" s="5" t="str">
        <f>IF(AND(MAX($E5,$H5)&gt;=MIN(AX5,AY5),MAX(AX5,AY5)&gt;=MIN($E5,$H5)),"TOUCH","-----")</f>
        <v>-----</v>
      </c>
      <c r="BK5" s="5" t="str">
        <f>IF(AND(MAX($E5,$H5)&gt;=MIN(AZ5,BA5),MAX(AZ5,BA5)&gt;=MIN($E5,$H5)),"TOUCH","-----")</f>
        <v>TOUCH</v>
      </c>
      <c r="BL5" s="5" t="str">
        <f>IF(AND(MAX($E5,$H5)&gt;=MIN(BB5,BC5),MAX(BB5,BC5)&gt;=MIN($E5,$H5)),"TOUCH","-----")</f>
        <v>-----</v>
      </c>
      <c r="BM5" s="5" t="str">
        <f>IF(AND(MAX($E5,$H5)&gt;=MIN(BD5,BE5),MAX(BD5,BE5)&gt;=MIN($E5,$H5)),"TOUCH","-----")</f>
        <v>-----</v>
      </c>
      <c r="BN5" s="5" t="str">
        <f>IF(AND(MAX($E5,$H5)&gt;=MIN(BF5,BG5),MAX(BF5,BG5)&gt;=MIN($E5,$H5)),"TOUCH","-----")</f>
        <v>-----</v>
      </c>
      <c r="BO5" s="5"/>
      <c r="BP5" s="5">
        <f>IF(BI5="TOUCH",0,1)</f>
        <v>1</v>
      </c>
      <c r="BQ5" s="5">
        <f>IF(BJ5="TOUCH",0,1)</f>
        <v>1</v>
      </c>
      <c r="BR5" s="5">
        <f t="shared" ref="BR5:BU5" si="16">IF(BK5="TOUCH",0,1)</f>
        <v>0</v>
      </c>
      <c r="BS5" s="5">
        <f t="shared" si="16"/>
        <v>1</v>
      </c>
      <c r="BT5" s="5">
        <f t="shared" si="16"/>
        <v>1</v>
      </c>
      <c r="BU5" s="5">
        <f t="shared" si="16"/>
        <v>1</v>
      </c>
      <c r="BV5" s="5">
        <f>IF(BI5="TOUCH",1,0)</f>
        <v>0</v>
      </c>
      <c r="BW5" s="5">
        <f>IF(BJ5="TOUCH",1,0)</f>
        <v>0</v>
      </c>
      <c r="BX5" s="5">
        <f t="shared" ref="BX5:CA5" si="17">IF(BK5="TOUCH",1,0)</f>
        <v>1</v>
      </c>
      <c r="BY5" s="5">
        <f t="shared" si="17"/>
        <v>0</v>
      </c>
      <c r="BZ5" s="5">
        <f t="shared" si="17"/>
        <v>0</v>
      </c>
      <c r="CA5" s="5">
        <f t="shared" si="17"/>
        <v>0</v>
      </c>
      <c r="CB5" s="5" t="str">
        <f>IF(BI5="TOUCH",BV5,"-----")</f>
        <v>-----</v>
      </c>
      <c r="CC5" s="5" t="str">
        <f>IF(BJ5="TOUCH",BW5,"-----")</f>
        <v>-----</v>
      </c>
      <c r="CD5" s="5">
        <f t="shared" ref="CD5:CG20" si="18">IF(BK5="TOUCH",BX5,"-----")</f>
        <v>1</v>
      </c>
      <c r="CE5" s="5" t="str">
        <f t="shared" si="18"/>
        <v>-----</v>
      </c>
      <c r="CF5" s="5" t="str">
        <f t="shared" si="18"/>
        <v>-----</v>
      </c>
      <c r="CG5" s="5" t="str">
        <f t="shared" si="18"/>
        <v>-----</v>
      </c>
      <c r="CH5" s="5"/>
      <c r="CI5" s="17" t="str">
        <f t="shared" ref="CI5:CI36" si="19">IF(CB5="-----","-----",((H5-J5)/J5))</f>
        <v>-----</v>
      </c>
      <c r="CJ5" s="17" t="str">
        <f t="shared" ref="CJ5:CJ36" si="20">IF(CC5="-----","-----",((J5-K5)/K5))</f>
        <v>-----</v>
      </c>
      <c r="CK5" s="17">
        <f t="shared" ref="CK5:CK36" si="21">IF(CD5="-----","-----",((K5-L5)/L5))</f>
        <v>-2.3487809174598277E-3</v>
      </c>
      <c r="CL5" s="17" t="str">
        <f t="shared" ref="CL5:CL36" si="22">IF(CE5="-----","-----",((L5-M5)/M5))</f>
        <v>-----</v>
      </c>
      <c r="CM5" s="17" t="str">
        <f t="shared" ref="CM5:CM36" si="23">IF(CF5="-----","-----",((M5-N5)/N5))</f>
        <v>-----</v>
      </c>
      <c r="CN5" s="17" t="str">
        <f t="shared" ref="CN5:CN36" si="24">IF(CG5="-----","-----",((N5-O5)/O5))</f>
        <v>-----</v>
      </c>
      <c r="CO5" s="5"/>
      <c r="CP5" s="5" t="str">
        <f>IF(CI5="-----","-----",IF(CI5&gt;0%,"Support","Resistant"))</f>
        <v>-----</v>
      </c>
      <c r="CQ5" s="5" t="str">
        <f t="shared" ref="CQ5:CU20" si="25">IF(CJ5="-----","-----",IF(CJ5&gt;0%,"Support","Resistant"))</f>
        <v>-----</v>
      </c>
      <c r="CR5" s="5" t="str">
        <f t="shared" si="25"/>
        <v>Resistant</v>
      </c>
      <c r="CS5" s="5" t="str">
        <f t="shared" si="25"/>
        <v>-----</v>
      </c>
      <c r="CT5" s="5" t="str">
        <f t="shared" si="25"/>
        <v>-----</v>
      </c>
      <c r="CU5" s="5" t="str">
        <f t="shared" si="25"/>
        <v>-----</v>
      </c>
      <c r="CV5" s="5"/>
      <c r="CW5" s="17" t="str">
        <f>IF(CI5="-----","",ABS(CI5))</f>
        <v/>
      </c>
      <c r="CX5" s="17" t="str">
        <f t="shared" ref="CX5:DB20" si="26">IF(CJ5="-----","",ABS(CJ5))</f>
        <v/>
      </c>
      <c r="CY5" s="17">
        <f t="shared" si="26"/>
        <v>2.3487809174598277E-3</v>
      </c>
      <c r="CZ5" s="17" t="str">
        <f t="shared" si="26"/>
        <v/>
      </c>
      <c r="DA5" s="17" t="str">
        <f t="shared" si="26"/>
        <v/>
      </c>
      <c r="DB5" s="17" t="str">
        <f t="shared" si="26"/>
        <v/>
      </c>
      <c r="DC5" s="8"/>
      <c r="DD5" s="5">
        <f t="shared" ref="DD5:DD68" si="27">COUNT(CI5:CN5)</f>
        <v>1</v>
      </c>
      <c r="DE5" s="17">
        <f>IF(DD5&gt;0,MIN(CW5:DB5),"-----")</f>
        <v>2.3487809174598277E-3</v>
      </c>
      <c r="DF5" s="5" t="str" cm="1">
        <f t="array" ref="DF5">_xlfn.IFS(DE5=CW5,CP5,DE5=CX5,CQ5,DE5=CY5,CR5,DE5=CZ5,CS5,DE5=DA5,CT5,DE5=DB5,CU5,TRUE,"----- ")</f>
        <v>Resistant</v>
      </c>
      <c r="DG5" s="5"/>
      <c r="DH5" s="5">
        <f t="shared" ref="DH5:DM5" si="28">SLOPE(J$5:J$103,$A$5:$A$103)</f>
        <v>-2.423265306122455E-3</v>
      </c>
      <c r="DI5" s="5">
        <f t="shared" si="28"/>
        <v>-3.7194805194805478E-4</v>
      </c>
      <c r="DJ5" s="5">
        <f t="shared" si="28"/>
        <v>-1.6402721088435472E-3</v>
      </c>
      <c r="DK5" s="5">
        <f t="shared" si="28"/>
        <v>7.6471243042669956E-4</v>
      </c>
      <c r="DL5" s="5">
        <f t="shared" si="28"/>
        <v>-2.3081014223875058E-4</v>
      </c>
      <c r="DM5" s="5">
        <f t="shared" si="28"/>
        <v>1.5802844774273381E-3</v>
      </c>
      <c r="DO5" s="5">
        <f t="shared" ref="DO5:DO36" si="29">DEGREES(ATAN(DH5/$AP$2))</f>
        <v>-1.9079214597220278</v>
      </c>
      <c r="DP5" s="5">
        <f t="shared" ref="DP5:DP36" si="30">DEGREES(ATAN(DI5/$AP$2))</f>
        <v>-0.29295343676527091</v>
      </c>
      <c r="DQ5" s="5">
        <f t="shared" ref="DQ5:DQ36" si="31">DEGREES(ATAN(DJ5/$AP$2))</f>
        <v>-1.2917022253843653</v>
      </c>
      <c r="DR5" s="5">
        <f t="shared" ref="DR5:DR36" si="32">DEGREES(ATAN(DK5/$AP$2))</f>
        <v>0.60228527619529781</v>
      </c>
      <c r="DS5" s="5">
        <f t="shared" ref="DS5:DS36" si="33">DEGREES(ATAN(DL5/$AP$2))</f>
        <v>-0.18179147971962978</v>
      </c>
      <c r="DT5" s="5">
        <f t="shared" ref="DT5:DT36" si="34">DEGREES(ATAN(DM5/$AP$2))</f>
        <v>1.2444775446344229</v>
      </c>
      <c r="DU5" s="5"/>
      <c r="DV5" t="str" cm="1">
        <f t="array" ref="DV5">_xlfn.IFS(DO5&gt;3,"Strong + Slope",DO5&gt;1.5,"Moderate + Slope",DO5&gt;0.5,"Sideway + Slope",DO5&gt;=-0.5,"Sideway Flat",DO5&gt;=-1.5,"Sideway - Slope",DO5&gt;=-3,"Moderate - Slope",TRUE,"Strong - Slope")</f>
        <v>Moderate - Slope</v>
      </c>
      <c r="DW5" t="str" cm="1">
        <f t="array" ref="DW5">_xlfn.IFS(DP5&gt;3,"Strong + Slope",DP5&gt;1.5,"Moderate + Slope",DP5&gt;0.5,"Sideway + Slope",DP5&gt;=-0.5,"Sideway Flat",DP5&gt;=-1.5,"Sideway - Slope",DP5&gt;=-3,"Moderate - Slope",TRUE,"Strong - Slope")</f>
        <v>Sideway Flat</v>
      </c>
      <c r="DX5" t="str" cm="1">
        <f t="array" ref="DX5">_xlfn.IFS(DQ5&gt;3,"Strong + Slope",DQ5&gt;1.5,"Moderate + Slope",DQ5&gt;0.5,"Sideway + Slope",DQ5&gt;=-0.5,"Sideway Flat",DQ5&gt;=-1.5,"Sideway - Slope",DQ5&gt;=-3,"Moderate - Slope",TRUE,"Strong - Slope")</f>
        <v>Sideway - Slope</v>
      </c>
      <c r="DY5" t="str" cm="1">
        <f t="array" ref="DY5">_xlfn.IFS(DR5&gt;3,"Strong + Slope",DR5&gt;1.5,"Moderate + Slope",DR5&gt;0.5,"Sideway + Slope",DR5&gt;=-0.5,"Sideway Flat",DR5&gt;=-1.5,"Sideway - Slope",DR5&gt;=-3,"Moderate - Slope",TRUE,"Strong - Slope")</f>
        <v>Sideway + Slope</v>
      </c>
      <c r="DZ5" t="str" cm="1">
        <f t="array" ref="DZ5">_xlfn.IFS(DS5&gt;3,"Strong + Slope",DS5&gt;1.5,"Moderate + Slope",DS5&gt;0.5,"Sideway + Slope",DS5&gt;=-0.5,"Sideway Flat",DS5&gt;=-1.5,"Sideway - Slope",DS5&gt;=-3,"Moderate - Slope",TRUE,"Strong - Slope")</f>
        <v>Sideway Flat</v>
      </c>
      <c r="EA5" t="str" cm="1">
        <f t="array" ref="EA5">_xlfn.IFS(DT5&gt;3,"Strong + Slope",DT5&gt;1.5,"Moderate + Slope",DT5&gt;0.5,"Sideway + Slope",DT5&gt;=-0.5,"Sideway Flat",DT5&gt;=-1.5,"Sideway - Slope",DT5&gt;=-3,"Moderate - Slope",TRUE,"Strong - Slope")</f>
        <v>Sideway + Slope</v>
      </c>
      <c r="EB5" s="5"/>
      <c r="EC5" s="5">
        <f t="shared" ref="EC5:EC36" si="35">RANK(J5,$J5:$O5,0)</f>
        <v>2</v>
      </c>
      <c r="ED5" s="5">
        <f t="shared" ref="ED5:ED36" si="36">RANK(K5,$J5:$O5,0)</f>
        <v>3</v>
      </c>
      <c r="EE5" s="5">
        <f t="shared" ref="EE5:EE36" si="37">RANK(L5,$J5:$O5,0)</f>
        <v>1</v>
      </c>
      <c r="EF5" s="5">
        <f t="shared" ref="EF5:EF36" si="38">RANK(M5,$J5:$O5,0)</f>
        <v>6</v>
      </c>
      <c r="EG5" s="5">
        <f t="shared" ref="EG5:EG36" si="39">RANK(N5,$J5:$O5,0)</f>
        <v>5</v>
      </c>
      <c r="EH5" s="5">
        <f t="shared" ref="EH5:EH36" si="40">RANK(O5,$J5:$O5,0)</f>
        <v>4</v>
      </c>
      <c r="EI5" s="5"/>
      <c r="EJ5" s="5" t="str">
        <f t="shared" ref="EJ5:EJ36" si="41">IF($H5&gt;J5,"SUP","RES")</f>
        <v>SUP</v>
      </c>
      <c r="EK5" s="5" t="str">
        <f t="shared" ref="EK5:EK36" si="42">IF($H5&gt;K5,"SUP","RES")</f>
        <v>SUP</v>
      </c>
      <c r="EL5" s="5" t="str">
        <f t="shared" ref="EL5:EL36" si="43">IF($H5&gt;L5,"SUP","RES")</f>
        <v>RES</v>
      </c>
      <c r="EM5" s="5" t="str">
        <f t="shared" ref="EM5:EM36" si="44">IF($H5&gt;M5,"SUP","RES")</f>
        <v>SUP</v>
      </c>
      <c r="EN5" s="5" t="str">
        <f t="shared" ref="EN5:EN36" si="45">IF($H5&gt;N5,"SUP","RES")</f>
        <v>SUP</v>
      </c>
      <c r="EO5" s="5" t="str">
        <f t="shared" ref="EO5:EO36" si="46">IF($H5&gt;O5,"SUP","RES")</f>
        <v>SUP</v>
      </c>
      <c r="EP5" s="5"/>
      <c r="EQ5" s="8">
        <f t="shared" ref="EQ5:EQ36" si="47">(J5-$H5)/$H5</f>
        <v>-1.3768442208431006E-3</v>
      </c>
      <c r="ER5" s="8">
        <f t="shared" ref="ER5:ER36" si="48">(K5-$H5)/$H5</f>
        <v>-2.2055608845734319E-3</v>
      </c>
      <c r="ES5" s="8">
        <f t="shared" ref="ES5:ES36" si="49">(L5-$H5)/$H5</f>
        <v>1.4355721733904536E-4</v>
      </c>
      <c r="ET5" s="8">
        <f t="shared" ref="ET5:ET36" si="50">(M5-$H5)/$H5</f>
        <v>-4.4959510339381854E-3</v>
      </c>
      <c r="EU5" s="8">
        <f t="shared" ref="EU5:EU36" si="51">(N5-$H5)/$H5</f>
        <v>-4.2153619273208086E-3</v>
      </c>
      <c r="EV5" s="8">
        <f t="shared" ref="EV5:EV36" si="52">(O5-$H5)/$H5</f>
        <v>-3.1386827972775975E-3</v>
      </c>
      <c r="EW5" s="8"/>
      <c r="EX5" s="8">
        <f t="shared" ref="EX5:EX36" si="53">((H5-MIN(J5:O5))/(MAX(J5:O5)-MIN(J5:O5)))</f>
        <v>0.96905766526020842</v>
      </c>
      <c r="EY5" s="9">
        <f t="shared" ref="EY5:EY68" si="54">COUNTIF(EJ5:EO5,"RES")</f>
        <v>1</v>
      </c>
      <c r="EZ5" s="10">
        <f t="shared" ref="EZ5:EZ68" si="55">COUNTIF(EJ5:EO5,"SUP")</f>
        <v>5</v>
      </c>
      <c r="FA5" s="8">
        <f>LARGE($EQ5:$EV5,1)</f>
        <v>1.4355721733904536E-4</v>
      </c>
      <c r="FB5" s="8">
        <f>LARGE($EQ5:$EV5,2)</f>
        <v>-1.3768442208431006E-3</v>
      </c>
      <c r="FC5" s="8">
        <f>LARGE($EQ5:$EV5,3)</f>
        <v>-2.2055608845734319E-3</v>
      </c>
      <c r="FD5" s="8">
        <f>LARGE($EQ5:$EV5,4)</f>
        <v>-3.1386827972775975E-3</v>
      </c>
      <c r="FE5" s="8">
        <f>LARGE($EQ5:$EV5,5)</f>
        <v>-4.2153619273208086E-3</v>
      </c>
      <c r="FF5" s="8">
        <f>LARGE($EQ5:$EV5,6)</f>
        <v>-4.4959510339381854E-3</v>
      </c>
      <c r="FG5" s="5"/>
      <c r="FH5" s="5" t="str">
        <f t="shared" ref="FH5:FH36" si="56">IF(AG5&gt;W5,"Overbought",IF(AG5&gt;Y5,"Bullish Momentum",IF(AG5&gt;AA5,"Flat Momentum","-----")))</f>
        <v>-----</v>
      </c>
      <c r="FI5" s="5" t="str">
        <f>IF(AG5&lt;AF5,"Oversold",IF(AG5&lt;AD5,"Bearish Momentum",IF(AG5&lt;AB5,"Flat Momentum","-----")))</f>
        <v>Flat Momentum</v>
      </c>
      <c r="FJ5" s="5"/>
      <c r="FK5" s="5" t="str">
        <f>IF(AND(FH5="Overbought",V5=2),"Culminated Thrust","-----")</f>
        <v>-----</v>
      </c>
      <c r="FL5" s="5" t="str">
        <f>IF(AND(FI5="Oversold",V5=5),"Culminated Thrust","-----")</f>
        <v>-----</v>
      </c>
      <c r="FM5" s="5"/>
      <c r="FN5" s="5"/>
      <c r="FO5" s="5"/>
      <c r="FP5" s="5"/>
      <c r="FQ5" s="14">
        <f t="shared" ref="FQ5:FQ36" si="57">(AH5-AI5)/AI5</f>
        <v>-5.8714925986557537E-4</v>
      </c>
      <c r="FR5" s="14">
        <f t="shared" ref="FR5:FR68" si="58">STANDARDIZE(FQ5,AVERAGE($FQ$5:$FQ$103),_xlfn.STDEV.P($FQ$5:$FQ$103))</f>
        <v>-0.39468404754843017</v>
      </c>
      <c r="FS5" s="14" t="str">
        <f t="shared" ref="FS5:FS68" si="59">IF(FR5&gt;PERCENTILE($FR$5:$FR$103,90%),"Reverse to Bearish",IF(FR5&gt;=PERCENTILE($FR$5:$FR$103,70%),"-----",IF(FR5&gt;=PERCENTILE($FR$5:$FR$103,30%),"-----",IF(FR5&gt;=PERCENTILE($FR$5:$FR$103,10%),"-----","Reverse to Bullish"))))</f>
        <v>-----</v>
      </c>
      <c r="FT5" s="14" t="str">
        <f t="shared" ref="FT5:FT36" si="60">IF(AG5&gt;AH5,"Bullish","Bearish")</f>
        <v>Bearish</v>
      </c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14"/>
      <c r="GH5" s="14"/>
      <c r="GI5" s="5" t="str">
        <f t="shared" ref="GI5:GI36" si="61">IF(AND(H5&gt;AK5,H5&gt;E5),"Bullish Trigger","-----")</f>
        <v>Bullish Trigger</v>
      </c>
      <c r="GJ5" s="5" t="str">
        <f t="shared" ref="GJ5:GJ36" si="62">IF(AND(H5&lt;AL5,H5&lt;E5),"Bearish Trigger","-----")</f>
        <v>-----</v>
      </c>
      <c r="GK5" s="5"/>
      <c r="GL5" s="5" t="str">
        <f t="shared" ref="GL5:GL36" si="63">IF(G5&gt;AK5,"Bullish Spike","-----")</f>
        <v>-----</v>
      </c>
      <c r="GM5" s="5" t="str">
        <f t="shared" ref="GM5:GM36" si="64">IF(F5&lt;AL5,"Bearish Spike","-----")</f>
        <v>-----</v>
      </c>
      <c r="GN5" s="5"/>
      <c r="GO5" s="12">
        <f t="shared" ref="GO5:GO36" si="65">AK5-AL5</f>
        <v>0.2389999999999759</v>
      </c>
      <c r="GP5" s="5">
        <f>STANDARDIZE(GO5,AVERAGE($GO$5:$GO$103),_xlfn.STDEV.P($GO$5:$GO$103))</f>
        <v>3.7618020209194327</v>
      </c>
      <c r="GQ5" s="13" t="str">
        <f>IF(GP5&gt;=PERCENTILE($GP$5:$GP$103,90%),"Price Distribution","-----")</f>
        <v>Price Distribution</v>
      </c>
      <c r="GR5" s="5"/>
      <c r="GS5">
        <f>STANDARDIZE(I5,AVERAGE($I$5:$I$103),_xlfn.STDEV.P($I$5:$I$103))</f>
        <v>1.8814452505804058</v>
      </c>
      <c r="GT5" s="5" t="str">
        <f>IF(GS5&gt;=PERCENTILE($GS$5:$GS$103,90%),"High Volume","-----")</f>
        <v>High Volume</v>
      </c>
    </row>
    <row r="6" spans="1:202" x14ac:dyDescent="0.55000000000000004">
      <c r="A6">
        <v>2</v>
      </c>
      <c r="B6" t="s">
        <v>5</v>
      </c>
      <c r="C6" t="s">
        <v>4</v>
      </c>
      <c r="D6" t="s">
        <v>103</v>
      </c>
      <c r="E6">
        <v>153.251</v>
      </c>
      <c r="F6">
        <v>153.274</v>
      </c>
      <c r="G6">
        <v>153.137</v>
      </c>
      <c r="H6">
        <v>153.196</v>
      </c>
      <c r="I6">
        <v>593</v>
      </c>
      <c r="J6">
        <v>153.036</v>
      </c>
      <c r="K6">
        <v>152.911</v>
      </c>
      <c r="L6">
        <v>153.26900000000001</v>
      </c>
      <c r="M6">
        <v>152.56100000000001</v>
      </c>
      <c r="N6">
        <v>152.60300000000001</v>
      </c>
      <c r="O6">
        <v>152.77000000000001</v>
      </c>
      <c r="P6">
        <v>0</v>
      </c>
      <c r="Q6">
        <v>0</v>
      </c>
      <c r="R6">
        <v>0</v>
      </c>
      <c r="S6">
        <v>0</v>
      </c>
      <c r="T6">
        <v>0</v>
      </c>
      <c r="U6">
        <v>0.13991000000000001</v>
      </c>
      <c r="V6">
        <v>3</v>
      </c>
      <c r="W6">
        <v>153.63284999999999</v>
      </c>
      <c r="X6">
        <v>153.55171999999999</v>
      </c>
      <c r="Y6">
        <v>153.47058999999999</v>
      </c>
      <c r="Z6">
        <v>153.38946000000001</v>
      </c>
      <c r="AA6">
        <v>153.30833000000001</v>
      </c>
      <c r="AB6">
        <v>153.21899999999999</v>
      </c>
      <c r="AC6">
        <v>153.13786999999999</v>
      </c>
      <c r="AD6">
        <v>153.05673999999999</v>
      </c>
      <c r="AE6">
        <v>152.97560999999999</v>
      </c>
      <c r="AF6">
        <v>152.89447999999999</v>
      </c>
      <c r="AG6">
        <v>153.15600000000001</v>
      </c>
      <c r="AH6">
        <v>153.18199999999999</v>
      </c>
      <c r="AI6">
        <v>153.27699999999999</v>
      </c>
      <c r="AJ6">
        <v>153.34</v>
      </c>
      <c r="AK6">
        <v>153.249</v>
      </c>
      <c r="AL6">
        <v>153.04300000000001</v>
      </c>
      <c r="AM6" s="11">
        <f t="shared" si="0"/>
        <v>0.13700000000000045</v>
      </c>
      <c r="AN6" s="11">
        <f t="shared" ref="AN6:AN69" si="66">ABS(F6-H5)</f>
        <v>2.5000000000005684E-2</v>
      </c>
      <c r="AO6" s="11">
        <f t="shared" ref="AO6:AO37" si="67">ABS(G6-H5)</f>
        <v>0.11199999999999477</v>
      </c>
      <c r="AP6" s="11">
        <f t="shared" ref="AP6:AP37" si="68">MAX(AM6:AO6)</f>
        <v>0.13700000000000045</v>
      </c>
      <c r="AR6" s="5" t="str">
        <f t="shared" si="1"/>
        <v>------</v>
      </c>
      <c r="AS6" s="5" t="str">
        <f t="shared" si="2"/>
        <v>------</v>
      </c>
      <c r="AT6" t="str">
        <f t="shared" si="3"/>
        <v/>
      </c>
      <c r="AV6" s="2">
        <f t="shared" si="4"/>
        <v>153.0589554</v>
      </c>
      <c r="AW6" s="2">
        <f t="shared" si="5"/>
        <v>153.0130446</v>
      </c>
      <c r="AX6" s="2">
        <f t="shared" si="6"/>
        <v>152.93393665000002</v>
      </c>
      <c r="AY6" s="2">
        <f t="shared" si="7"/>
        <v>152.88806335000001</v>
      </c>
      <c r="AZ6" s="2">
        <f t="shared" si="8"/>
        <v>153.29199035000002</v>
      </c>
      <c r="BA6" s="2">
        <f t="shared" si="9"/>
        <v>153.24600965000002</v>
      </c>
      <c r="BB6" s="2">
        <f t="shared" si="10"/>
        <v>152.58388415000002</v>
      </c>
      <c r="BC6" s="2">
        <f t="shared" si="11"/>
        <v>152.53811585</v>
      </c>
      <c r="BD6" s="2">
        <f t="shared" si="12"/>
        <v>152.62589045000001</v>
      </c>
      <c r="BE6" s="2">
        <f t="shared" si="13"/>
        <v>152.58010955</v>
      </c>
      <c r="BF6" s="2">
        <f t="shared" si="14"/>
        <v>152.79291550000002</v>
      </c>
      <c r="BG6" s="2">
        <f t="shared" si="15"/>
        <v>152.7470845</v>
      </c>
      <c r="BI6" s="5" t="str">
        <f t="shared" ref="BI6:BI69" si="69">IF(AND(MAX($E6,$H6)&gt;=MIN(AV6,AW6),MAX(AV6,AW6)&gt;=MIN($E6,$H6)),"TOUCH","-----")</f>
        <v>-----</v>
      </c>
      <c r="BJ6" s="5" t="str">
        <f t="shared" ref="BJ6:BJ69" si="70">IF(AND(MAX($E6,$H6)&gt;=MIN(AX6,AY6),MAX(AX6,AY6)&gt;=MIN($E6,$H6)),"TOUCH","-----")</f>
        <v>-----</v>
      </c>
      <c r="BK6" s="5" t="str">
        <f t="shared" ref="BK6:BK69" si="71">IF(AND(MAX($E6,$H6)&gt;=MIN(AZ6,BA6),MAX(AZ6,BA6)&gt;=MIN($E6,$H6)),"TOUCH","-----")</f>
        <v>TOUCH</v>
      </c>
      <c r="BL6" s="5" t="str">
        <f t="shared" ref="BL6:BL69" si="72">IF(AND(MAX($E6,$H6)&gt;=MIN(BB6,BC6),MAX(BB6,BC6)&gt;=MIN($E6,$H6)),"TOUCH","-----")</f>
        <v>-----</v>
      </c>
      <c r="BM6" s="5" t="str">
        <f t="shared" ref="BM6:BM69" si="73">IF(AND(MAX($E6,$H6)&gt;=MIN(BD6,BE6),MAX(BD6,BE6)&gt;=MIN($E6,$H6)),"TOUCH","-----")</f>
        <v>-----</v>
      </c>
      <c r="BN6" s="5" t="str">
        <f t="shared" ref="BN6:BN69" si="74">IF(AND(MAX($E6,$H6)&gt;=MIN(BF6,BG6),MAX(BF6,BG6)&gt;=MIN($E6,$H6)),"TOUCH","-----")</f>
        <v>-----</v>
      </c>
      <c r="BO6" s="5"/>
      <c r="BP6" s="5">
        <f t="shared" ref="BP6:BU21" si="75">IF(BI6="TOUCH",0,BP5+1)</f>
        <v>2</v>
      </c>
      <c r="BQ6" s="5">
        <f t="shared" si="75"/>
        <v>2</v>
      </c>
      <c r="BR6" s="5">
        <f t="shared" si="75"/>
        <v>0</v>
      </c>
      <c r="BS6" s="5">
        <f t="shared" si="75"/>
        <v>2</v>
      </c>
      <c r="BT6" s="5">
        <f t="shared" si="75"/>
        <v>2</v>
      </c>
      <c r="BU6" s="5">
        <f t="shared" si="75"/>
        <v>2</v>
      </c>
      <c r="BV6" s="5">
        <f t="shared" ref="BV6:CA21" si="76">IF(BI6="TOUCH",IF(BP5&gt;=3,1,BV5+1),BV5)</f>
        <v>0</v>
      </c>
      <c r="BW6" s="5">
        <f t="shared" si="76"/>
        <v>0</v>
      </c>
      <c r="BX6" s="5">
        <f t="shared" si="76"/>
        <v>2</v>
      </c>
      <c r="BY6" s="5">
        <f t="shared" si="76"/>
        <v>0</v>
      </c>
      <c r="BZ6" s="5">
        <f t="shared" si="76"/>
        <v>0</v>
      </c>
      <c r="CA6" s="5">
        <f t="shared" si="76"/>
        <v>0</v>
      </c>
      <c r="CB6" s="5" t="str">
        <f>IF(BI6="TOUCH",BV6,"-----")</f>
        <v>-----</v>
      </c>
      <c r="CC6" s="5" t="str">
        <f>IF(BJ6="TOUCH",BW6,"-----")</f>
        <v>-----</v>
      </c>
      <c r="CD6" s="5">
        <f t="shared" si="18"/>
        <v>2</v>
      </c>
      <c r="CE6" s="5" t="str">
        <f t="shared" si="18"/>
        <v>-----</v>
      </c>
      <c r="CF6" s="5" t="str">
        <f t="shared" si="18"/>
        <v>-----</v>
      </c>
      <c r="CG6" s="5" t="str">
        <f t="shared" si="18"/>
        <v>-----</v>
      </c>
      <c r="CH6" s="5"/>
      <c r="CI6" s="17" t="str">
        <f t="shared" si="19"/>
        <v>-----</v>
      </c>
      <c r="CJ6" s="17" t="str">
        <f t="shared" si="20"/>
        <v>-----</v>
      </c>
      <c r="CK6" s="17">
        <f t="shared" si="21"/>
        <v>-2.3357626134443629E-3</v>
      </c>
      <c r="CL6" s="17" t="str">
        <f t="shared" si="22"/>
        <v>-----</v>
      </c>
      <c r="CM6" s="17" t="str">
        <f t="shared" si="23"/>
        <v>-----</v>
      </c>
      <c r="CN6" s="17" t="str">
        <f t="shared" si="24"/>
        <v>-----</v>
      </c>
      <c r="CO6" s="5"/>
      <c r="CP6" s="5" t="str">
        <f t="shared" ref="CP6:CU60" si="77">IF(CI6="-----","-----",IF(CI6&gt;0%,"Support","Resistant"))</f>
        <v>-----</v>
      </c>
      <c r="CQ6" s="5" t="str">
        <f t="shared" si="25"/>
        <v>-----</v>
      </c>
      <c r="CR6" s="5" t="str">
        <f t="shared" si="25"/>
        <v>Resistant</v>
      </c>
      <c r="CS6" s="5" t="str">
        <f t="shared" si="25"/>
        <v>-----</v>
      </c>
      <c r="CT6" s="5" t="str">
        <f t="shared" si="25"/>
        <v>-----</v>
      </c>
      <c r="CU6" s="5" t="str">
        <f t="shared" si="25"/>
        <v>-----</v>
      </c>
      <c r="CV6" s="5"/>
      <c r="CW6" s="17" t="str">
        <f t="shared" ref="CW6:DB60" si="78">IF(CI6="-----","",ABS(CI6))</f>
        <v/>
      </c>
      <c r="CX6" s="17" t="str">
        <f t="shared" si="26"/>
        <v/>
      </c>
      <c r="CY6" s="17">
        <f t="shared" si="26"/>
        <v>2.3357626134443629E-3</v>
      </c>
      <c r="CZ6" s="17" t="str">
        <f t="shared" si="26"/>
        <v/>
      </c>
      <c r="DA6" s="17" t="str">
        <f t="shared" si="26"/>
        <v/>
      </c>
      <c r="DB6" s="17" t="str">
        <f t="shared" si="26"/>
        <v/>
      </c>
      <c r="DC6" s="8"/>
      <c r="DD6" s="5">
        <f t="shared" si="27"/>
        <v>1</v>
      </c>
      <c r="DE6" s="17">
        <f t="shared" ref="DE6:DE69" si="79">IF(DD6&gt;0,MIN(CW6:DB6),"-----")</f>
        <v>2.3357626134443629E-3</v>
      </c>
      <c r="DF6" s="5" t="str" cm="1">
        <f t="array" ref="DF6">_xlfn.IFS(DE6=CW6,CP6,DE6=CX6,CQ6,DE6=CY6,CR6,DE6=CZ6,CS6,DE6=DA6,CT6,DE6=DB6,CU6,TRUE,"----- ")</f>
        <v>Resistant</v>
      </c>
      <c r="DG6" s="5"/>
      <c r="DH6" s="5">
        <f t="shared" ref="DH6:DH69" si="80">SLOPE($J$5:$J$103,$A$5:$A$103)</f>
        <v>-2.423265306122455E-3</v>
      </c>
      <c r="DI6" s="5">
        <f t="shared" ref="DI6:DI37" si="81">SLOPE(K$5:K$103,$A$5:$A$103)</f>
        <v>-3.7194805194805478E-4</v>
      </c>
      <c r="DJ6" s="5">
        <f t="shared" ref="DJ6:DJ37" si="82">SLOPE(L$5:L$103,$A$5:$A$103)</f>
        <v>-1.6402721088435472E-3</v>
      </c>
      <c r="DK6" s="5">
        <f t="shared" ref="DK6:DK37" si="83">SLOPE(M$5:M$103,$A$5:$A$103)</f>
        <v>7.6471243042669956E-4</v>
      </c>
      <c r="DL6" s="5">
        <f t="shared" ref="DL6:DL37" si="84">SLOPE(N$5:N$103,$A$5:$A$103)</f>
        <v>-2.3081014223875058E-4</v>
      </c>
      <c r="DM6" s="5">
        <f t="shared" ref="DM6:DM37" si="85">SLOPE(O$5:O$103,$A$5:$A$103)</f>
        <v>1.5802844774273381E-3</v>
      </c>
      <c r="DO6" s="5">
        <f t="shared" si="29"/>
        <v>-1.9079214597220278</v>
      </c>
      <c r="DP6" s="5">
        <f t="shared" si="30"/>
        <v>-0.29295343676527091</v>
      </c>
      <c r="DQ6" s="5">
        <f t="shared" si="31"/>
        <v>-1.2917022253843653</v>
      </c>
      <c r="DR6" s="5">
        <f t="shared" si="32"/>
        <v>0.60228527619529781</v>
      </c>
      <c r="DS6" s="5">
        <f t="shared" si="33"/>
        <v>-0.18179147971962978</v>
      </c>
      <c r="DT6" s="5">
        <f t="shared" si="34"/>
        <v>1.2444775446344229</v>
      </c>
      <c r="DV6" t="str" cm="1">
        <f t="array" ref="DV6">_xlfn.IFS(DO6&gt;3,"Strong + Slope",DO6&gt;1.5,"Moderate + Slope",DO6&gt;0.5,"Sideway + Slope",DO6&gt;=-0.5,"Sideway Flat",DO6&gt;=-1.5,"Sideway - Slope",DO6&gt;=-3,"Moderate - Slope",TRUE,"Strong - Slope")</f>
        <v>Moderate - Slope</v>
      </c>
      <c r="DW6" t="str" cm="1">
        <f t="array" ref="DW6">_xlfn.IFS(DP6&gt;3,"Strong + Slope",DP6&gt;1.5,"Moderate + Slope",DP6&gt;0.5,"Sideway + Slope",DP6&gt;=-0.5,"Sideway Flat",DP6&gt;=-1.5,"Sideway - Slope",DP6&gt;=-3,"Moderate - Slope",TRUE,"Strong - Slope")</f>
        <v>Sideway Flat</v>
      </c>
      <c r="DX6" t="str" cm="1">
        <f t="array" ref="DX6">_xlfn.IFS(DQ6&gt;3,"Strong + Slope",DQ6&gt;1.5,"Moderate + Slope",DQ6&gt;0.5,"Sideway + Slope",DQ6&gt;=-0.5,"Sideway Flat",DQ6&gt;=-1.5,"Sideway - Slope",DQ6&gt;=-3,"Moderate - Slope",TRUE,"Strong - Slope")</f>
        <v>Sideway - Slope</v>
      </c>
      <c r="DY6" t="str" cm="1">
        <f t="array" ref="DY6">_xlfn.IFS(DR6&gt;3,"Strong + Slope",DR6&gt;1.5,"Moderate + Slope",DR6&gt;0.5,"Sideway + Slope",DR6&gt;=-0.5,"Sideway Flat",DR6&gt;=-1.5,"Sideway - Slope",DR6&gt;=-3,"Moderate - Slope",TRUE,"Strong - Slope")</f>
        <v>Sideway + Slope</v>
      </c>
      <c r="DZ6" t="str" cm="1">
        <f t="array" ref="DZ6">_xlfn.IFS(DS6&gt;3,"Strong + Slope",DS6&gt;1.5,"Moderate + Slope",DS6&gt;0.5,"Sideway + Slope",DS6&gt;=-0.5,"Sideway Flat",DS6&gt;=-1.5,"Sideway - Slope",DS6&gt;=-3,"Moderate - Slope",TRUE,"Strong - Slope")</f>
        <v>Sideway Flat</v>
      </c>
      <c r="EA6" t="str" cm="1">
        <f t="array" ref="EA6">_xlfn.IFS(DT6&gt;3,"Strong + Slope",DT6&gt;1.5,"Moderate + Slope",DT6&gt;0.5,"Sideway + Slope",DT6&gt;=-0.5,"Sideway Flat",DT6&gt;=-1.5,"Sideway - Slope",DT6&gt;=-3,"Moderate - Slope",TRUE,"Strong - Slope")</f>
        <v>Sideway + Slope</v>
      </c>
      <c r="EB6" s="5"/>
      <c r="EC6" s="5">
        <f t="shared" si="35"/>
        <v>2</v>
      </c>
      <c r="ED6" s="5">
        <f t="shared" si="36"/>
        <v>3</v>
      </c>
      <c r="EE6" s="5">
        <f t="shared" si="37"/>
        <v>1</v>
      </c>
      <c r="EF6" s="5">
        <f t="shared" si="38"/>
        <v>6</v>
      </c>
      <c r="EG6" s="5">
        <f t="shared" si="39"/>
        <v>5</v>
      </c>
      <c r="EH6" s="5">
        <f t="shared" si="40"/>
        <v>4</v>
      </c>
      <c r="EI6" s="5"/>
      <c r="EJ6" s="5" t="str">
        <f t="shared" si="41"/>
        <v>SUP</v>
      </c>
      <c r="EK6" s="5" t="str">
        <f t="shared" si="42"/>
        <v>SUP</v>
      </c>
      <c r="EL6" s="5" t="str">
        <f t="shared" si="43"/>
        <v>RES</v>
      </c>
      <c r="EM6" s="5" t="str">
        <f t="shared" si="44"/>
        <v>SUP</v>
      </c>
      <c r="EN6" s="5" t="str">
        <f t="shared" si="45"/>
        <v>SUP</v>
      </c>
      <c r="EO6" s="5" t="str">
        <f t="shared" si="46"/>
        <v>SUP</v>
      </c>
      <c r="EP6" s="5"/>
      <c r="EQ6" s="8">
        <f t="shared" si="47"/>
        <v>-1.0444136922634834E-3</v>
      </c>
      <c r="ER6" s="8">
        <f t="shared" si="48"/>
        <v>-1.8603618893443471E-3</v>
      </c>
      <c r="ES6" s="8">
        <f t="shared" si="49"/>
        <v>4.7651374709527342E-4</v>
      </c>
      <c r="ET6" s="8">
        <f t="shared" si="50"/>
        <v>-4.1450168411707282E-3</v>
      </c>
      <c r="EU6" s="8">
        <f t="shared" si="51"/>
        <v>-3.8708582469515478E-3</v>
      </c>
      <c r="EV6" s="8">
        <f t="shared" si="52"/>
        <v>-2.7807514556515037E-3</v>
      </c>
      <c r="EW6" s="8"/>
      <c r="EX6" s="8">
        <f t="shared" si="53"/>
        <v>0.89689265536722085</v>
      </c>
      <c r="EY6" s="9">
        <f t="shared" si="54"/>
        <v>1</v>
      </c>
      <c r="EZ6" s="10">
        <f t="shared" si="55"/>
        <v>5</v>
      </c>
      <c r="FA6" s="8">
        <f t="shared" ref="FA6:FA69" si="86">LARGE($EQ6:$EV6,1)</f>
        <v>4.7651374709527342E-4</v>
      </c>
      <c r="FB6" s="8">
        <f t="shared" ref="FB6:FB69" si="87">LARGE($EQ6:$EV6,2)</f>
        <v>-1.0444136922634834E-3</v>
      </c>
      <c r="FC6" s="8">
        <f t="shared" ref="FC6:FC69" si="88">LARGE($EQ6:$EV6,3)</f>
        <v>-1.8603618893443471E-3</v>
      </c>
      <c r="FD6" s="8">
        <f t="shared" ref="FD6:FD69" si="89">LARGE($EQ6:$EV6,4)</f>
        <v>-2.7807514556515037E-3</v>
      </c>
      <c r="FE6" s="8">
        <f t="shared" ref="FE6:FE69" si="90">LARGE($EQ6:$EV6,5)</f>
        <v>-3.8708582469515478E-3</v>
      </c>
      <c r="FF6" s="8">
        <f t="shared" ref="FF6:FF69" si="91">LARGE($EQ6:$EV6,6)</f>
        <v>-4.1450168411707282E-3</v>
      </c>
      <c r="FG6" s="5"/>
      <c r="FH6" s="5" t="str">
        <f t="shared" si="56"/>
        <v>-----</v>
      </c>
      <c r="FI6" s="5" t="str">
        <f t="shared" ref="FI6:FI69" si="92">IF(AG6&lt;AF6,"Oversold",IF(AG6&lt;AD6,"Bearish Momentum",IF(AG6&lt;AB6,"Flat Momentum","-----")))</f>
        <v>Flat Momentum</v>
      </c>
      <c r="FJ6" s="5"/>
      <c r="FK6" s="5" t="str">
        <f t="shared" ref="FK6:FK69" si="93">IF(AND(FH6="Overbought",V6=2),"Culminated Thrust","-----")</f>
        <v>-----</v>
      </c>
      <c r="FL6" s="5" t="str">
        <f t="shared" ref="FL6:FL69" si="94">IF(AND(FI6="Oversold",V6=5),"Culminated Thrust","-----")</f>
        <v>-----</v>
      </c>
      <c r="FM6" s="5"/>
      <c r="FN6" s="5"/>
      <c r="FO6" s="5"/>
      <c r="FP6" s="5"/>
      <c r="FQ6" s="14">
        <f t="shared" si="57"/>
        <v>-6.1979292392204226E-4</v>
      </c>
      <c r="FR6" s="14">
        <f t="shared" si="58"/>
        <v>-0.48883009752490603</v>
      </c>
      <c r="FS6" s="14" t="str">
        <f t="shared" si="59"/>
        <v>-----</v>
      </c>
      <c r="FT6" s="14" t="str">
        <f t="shared" si="60"/>
        <v>Bearish</v>
      </c>
      <c r="FU6" s="5" t="str">
        <f t="shared" ref="FU6:FU37" si="95">IF(AND(H6&gt;AG6,H5&lt;AG5),"TEMA crossover","-----")</f>
        <v>-----</v>
      </c>
      <c r="FV6" s="5" t="str">
        <f t="shared" ref="FV6:FV37" si="96">IF(AND(H6&lt;AG6,H5&gt;AG5),"TEMA crossunder","-----")</f>
        <v>-----</v>
      </c>
      <c r="FW6" s="5"/>
      <c r="FX6" s="5"/>
      <c r="FY6" s="5"/>
      <c r="FZ6" s="5"/>
      <c r="GA6" s="5"/>
      <c r="GB6" s="5"/>
      <c r="GC6" s="5"/>
      <c r="GD6" s="5"/>
      <c r="GE6" s="5"/>
      <c r="GF6" s="5"/>
      <c r="GG6" s="14"/>
      <c r="GH6" s="14"/>
      <c r="GI6" s="5" t="str">
        <f t="shared" si="61"/>
        <v>-----</v>
      </c>
      <c r="GJ6" s="5" t="str">
        <f t="shared" si="62"/>
        <v>-----</v>
      </c>
      <c r="GK6" s="5"/>
      <c r="GL6" s="5" t="str">
        <f t="shared" si="63"/>
        <v>-----</v>
      </c>
      <c r="GM6" s="5" t="str">
        <f t="shared" si="64"/>
        <v>-----</v>
      </c>
      <c r="GN6" s="5"/>
      <c r="GO6" s="12">
        <f t="shared" si="65"/>
        <v>0.20599999999998886</v>
      </c>
      <c r="GP6" s="5">
        <f t="shared" ref="GP6:GP69" si="97">STANDARDIZE(GO6,AVERAGE($GO$5:$GO$103),_xlfn.STDEV.P($GO$5:$GO$103))</f>
        <v>3.0012470854444073</v>
      </c>
      <c r="GQ6" s="13" t="str">
        <f t="shared" ref="GQ6:GQ69" si="98">IF(GP6&gt;=PERCENTILE($GP$5:$GP$103,90%),"Price Distribution","-----")</f>
        <v>Price Distribution</v>
      </c>
      <c r="GR6" s="5"/>
      <c r="GS6">
        <f t="shared" ref="GS6:GS69" si="99">STANDARDIZE(I6,AVERAGE($I$5:$I$103),_xlfn.STDEV.P($I$5:$I$103))</f>
        <v>1.9653359115247304</v>
      </c>
      <c r="GT6" s="5" t="str">
        <f t="shared" ref="GT6:GT69" si="100">IF(GS6&gt;=PERCENTILE($GS$5:$GS$103,90%),"High Volume","-----")</f>
        <v>High Volume</v>
      </c>
    </row>
    <row r="7" spans="1:202" x14ac:dyDescent="0.55000000000000004">
      <c r="A7">
        <v>3</v>
      </c>
      <c r="B7" t="s">
        <v>6</v>
      </c>
      <c r="C7" t="s">
        <v>4</v>
      </c>
      <c r="D7" t="s">
        <v>103</v>
      </c>
      <c r="E7">
        <v>153.197</v>
      </c>
      <c r="F7">
        <v>153.19800000000001</v>
      </c>
      <c r="G7">
        <v>153.02099999999999</v>
      </c>
      <c r="H7">
        <v>153.05000000000001</v>
      </c>
      <c r="I7">
        <v>563</v>
      </c>
      <c r="J7">
        <v>153.03299999999999</v>
      </c>
      <c r="K7">
        <v>152.91</v>
      </c>
      <c r="L7">
        <v>153.268</v>
      </c>
      <c r="M7">
        <v>152.56200000000001</v>
      </c>
      <c r="N7">
        <v>152.602</v>
      </c>
      <c r="O7">
        <v>152.77099999999999</v>
      </c>
      <c r="P7">
        <v>0</v>
      </c>
      <c r="Q7">
        <v>0</v>
      </c>
      <c r="R7">
        <v>0</v>
      </c>
      <c r="S7">
        <v>0</v>
      </c>
      <c r="T7">
        <v>0</v>
      </c>
      <c r="U7">
        <v>2.2459899999999999</v>
      </c>
      <c r="V7">
        <v>4</v>
      </c>
      <c r="W7">
        <v>153.62689</v>
      </c>
      <c r="X7">
        <v>153.54503</v>
      </c>
      <c r="Y7">
        <v>153.46316999999999</v>
      </c>
      <c r="Z7">
        <v>153.38130000000001</v>
      </c>
      <c r="AA7">
        <v>153.29944</v>
      </c>
      <c r="AB7">
        <v>153.20193</v>
      </c>
      <c r="AC7">
        <v>153.12006</v>
      </c>
      <c r="AD7">
        <v>153.03819999999999</v>
      </c>
      <c r="AE7">
        <v>152.95633000000001</v>
      </c>
      <c r="AF7">
        <v>152.87447</v>
      </c>
      <c r="AG7">
        <v>153.11600000000001</v>
      </c>
      <c r="AH7">
        <v>153.16300000000001</v>
      </c>
      <c r="AI7">
        <v>153.26300000000001</v>
      </c>
      <c r="AJ7">
        <v>153.33500000000001</v>
      </c>
      <c r="AK7">
        <v>153.221</v>
      </c>
      <c r="AL7">
        <v>153.01900000000001</v>
      </c>
      <c r="AM7" s="11">
        <f t="shared" si="0"/>
        <v>0.17700000000002092</v>
      </c>
      <c r="AN7" s="11">
        <f t="shared" si="66"/>
        <v>2.0000000000095497E-3</v>
      </c>
      <c r="AO7" s="11">
        <f t="shared" si="67"/>
        <v>0.17500000000001137</v>
      </c>
      <c r="AP7" s="11">
        <f t="shared" si="68"/>
        <v>0.17700000000002092</v>
      </c>
      <c r="AR7" s="5" t="str">
        <f t="shared" si="1"/>
        <v>------</v>
      </c>
      <c r="AS7" s="5" t="str">
        <f t="shared" si="2"/>
        <v>------</v>
      </c>
      <c r="AT7" t="str">
        <f t="shared" si="3"/>
        <v/>
      </c>
      <c r="AV7" s="2">
        <f t="shared" si="4"/>
        <v>153.05595495</v>
      </c>
      <c r="AW7" s="2">
        <f t="shared" si="5"/>
        <v>153.01004505</v>
      </c>
      <c r="AX7" s="2">
        <f t="shared" si="6"/>
        <v>152.93293650000001</v>
      </c>
      <c r="AY7" s="2">
        <f t="shared" si="7"/>
        <v>152.88706350000001</v>
      </c>
      <c r="AZ7" s="2">
        <f t="shared" si="8"/>
        <v>153.29099020000001</v>
      </c>
      <c r="BA7" s="2">
        <f t="shared" si="9"/>
        <v>153.24500979999999</v>
      </c>
      <c r="BB7" s="2">
        <f t="shared" si="10"/>
        <v>152.58488430000003</v>
      </c>
      <c r="BC7" s="2">
        <f t="shared" si="11"/>
        <v>152.53911570000002</v>
      </c>
      <c r="BD7" s="2">
        <f t="shared" si="12"/>
        <v>152.6248903</v>
      </c>
      <c r="BE7" s="2">
        <f t="shared" si="13"/>
        <v>152.5791097</v>
      </c>
      <c r="BF7" s="2">
        <f t="shared" si="14"/>
        <v>152.79391565</v>
      </c>
      <c r="BG7" s="2">
        <f t="shared" si="15"/>
        <v>152.74808435</v>
      </c>
      <c r="BI7" s="5" t="str">
        <f t="shared" si="69"/>
        <v>TOUCH</v>
      </c>
      <c r="BJ7" s="5" t="str">
        <f t="shared" si="70"/>
        <v>-----</v>
      </c>
      <c r="BK7" s="5" t="str">
        <f t="shared" si="71"/>
        <v>-----</v>
      </c>
      <c r="BL7" s="5" t="str">
        <f t="shared" si="72"/>
        <v>-----</v>
      </c>
      <c r="BM7" s="5" t="str">
        <f t="shared" si="73"/>
        <v>-----</v>
      </c>
      <c r="BN7" s="5" t="str">
        <f t="shared" si="74"/>
        <v>-----</v>
      </c>
      <c r="BO7" s="5"/>
      <c r="BP7" s="5">
        <f t="shared" si="75"/>
        <v>0</v>
      </c>
      <c r="BQ7" s="5">
        <f t="shared" si="75"/>
        <v>3</v>
      </c>
      <c r="BR7" s="5">
        <f t="shared" si="75"/>
        <v>1</v>
      </c>
      <c r="BS7" s="5">
        <f t="shared" si="75"/>
        <v>3</v>
      </c>
      <c r="BT7" s="5">
        <f t="shared" si="75"/>
        <v>3</v>
      </c>
      <c r="BU7" s="5">
        <f t="shared" si="75"/>
        <v>3</v>
      </c>
      <c r="BV7" s="5">
        <f t="shared" si="76"/>
        <v>1</v>
      </c>
      <c r="BW7" s="5">
        <f t="shared" si="76"/>
        <v>0</v>
      </c>
      <c r="BX7" s="5">
        <f t="shared" si="76"/>
        <v>2</v>
      </c>
      <c r="BY7" s="5">
        <f t="shared" si="76"/>
        <v>0</v>
      </c>
      <c r="BZ7" s="5">
        <f t="shared" si="76"/>
        <v>0</v>
      </c>
      <c r="CA7" s="5">
        <f t="shared" si="76"/>
        <v>0</v>
      </c>
      <c r="CB7" s="5">
        <f>IF(BI7="TOUCH",BV7,"-----")</f>
        <v>1</v>
      </c>
      <c r="CC7" s="5" t="str">
        <f t="shared" ref="CC7:CG69" si="101">IF(BJ7="TOUCH",BW7,"-----")</f>
        <v>-----</v>
      </c>
      <c r="CD7" s="5" t="str">
        <f t="shared" si="18"/>
        <v>-----</v>
      </c>
      <c r="CE7" s="5" t="str">
        <f t="shared" si="18"/>
        <v>-----</v>
      </c>
      <c r="CF7" s="5" t="str">
        <f t="shared" si="18"/>
        <v>-----</v>
      </c>
      <c r="CG7" s="5" t="str">
        <f t="shared" si="18"/>
        <v>-----</v>
      </c>
      <c r="CH7" s="5"/>
      <c r="CI7" s="17">
        <f t="shared" si="19"/>
        <v>1.1108715113749538E-4</v>
      </c>
      <c r="CJ7" s="17" t="str">
        <f t="shared" si="20"/>
        <v>-----</v>
      </c>
      <c r="CK7" s="17" t="str">
        <f t="shared" si="21"/>
        <v>-----</v>
      </c>
      <c r="CL7" s="17" t="str">
        <f t="shared" si="22"/>
        <v>-----</v>
      </c>
      <c r="CM7" s="17" t="str">
        <f t="shared" si="23"/>
        <v>-----</v>
      </c>
      <c r="CN7" s="17" t="str">
        <f t="shared" si="24"/>
        <v>-----</v>
      </c>
      <c r="CO7" s="5"/>
      <c r="CP7" s="5" t="str">
        <f t="shared" si="77"/>
        <v>Support</v>
      </c>
      <c r="CQ7" s="5" t="str">
        <f t="shared" si="25"/>
        <v>-----</v>
      </c>
      <c r="CR7" s="5" t="str">
        <f t="shared" si="25"/>
        <v>-----</v>
      </c>
      <c r="CS7" s="5" t="str">
        <f t="shared" si="25"/>
        <v>-----</v>
      </c>
      <c r="CT7" s="5" t="str">
        <f t="shared" si="25"/>
        <v>-----</v>
      </c>
      <c r="CU7" s="5" t="str">
        <f t="shared" si="25"/>
        <v>-----</v>
      </c>
      <c r="CV7" s="5"/>
      <c r="CW7" s="17">
        <f t="shared" si="78"/>
        <v>1.1108715113749538E-4</v>
      </c>
      <c r="CX7" s="17" t="str">
        <f t="shared" si="26"/>
        <v/>
      </c>
      <c r="CY7" s="17" t="str">
        <f t="shared" si="26"/>
        <v/>
      </c>
      <c r="CZ7" s="17" t="str">
        <f t="shared" si="26"/>
        <v/>
      </c>
      <c r="DA7" s="17" t="str">
        <f t="shared" si="26"/>
        <v/>
      </c>
      <c r="DB7" s="17" t="str">
        <f t="shared" si="26"/>
        <v/>
      </c>
      <c r="DC7" s="8"/>
      <c r="DD7" s="5">
        <f t="shared" si="27"/>
        <v>1</v>
      </c>
      <c r="DE7" s="17">
        <f t="shared" si="79"/>
        <v>1.1108715113749538E-4</v>
      </c>
      <c r="DF7" s="5" t="str" cm="1">
        <f t="array" ref="DF7">_xlfn.IFS(DE7=CW7,CP7,DE7=CX7,CQ7,DE7=CY7,CR7,DE7=CZ7,CS7,DE7=DA7,CT7,DE7=DB7,CU7,TRUE,"----- ")</f>
        <v>Support</v>
      </c>
      <c r="DG7" s="5"/>
      <c r="DH7" s="5">
        <f t="shared" si="80"/>
        <v>-2.423265306122455E-3</v>
      </c>
      <c r="DI7" s="5">
        <f t="shared" si="81"/>
        <v>-3.7194805194805478E-4</v>
      </c>
      <c r="DJ7" s="5">
        <f t="shared" si="82"/>
        <v>-1.6402721088435472E-3</v>
      </c>
      <c r="DK7" s="5">
        <f t="shared" si="83"/>
        <v>7.6471243042669956E-4</v>
      </c>
      <c r="DL7" s="5">
        <f t="shared" si="84"/>
        <v>-2.3081014223875058E-4</v>
      </c>
      <c r="DM7" s="5">
        <f t="shared" si="85"/>
        <v>1.5802844774273381E-3</v>
      </c>
      <c r="DO7" s="5">
        <f t="shared" si="29"/>
        <v>-1.9079214597220278</v>
      </c>
      <c r="DP7" s="5">
        <f t="shared" si="30"/>
        <v>-0.29295343676527091</v>
      </c>
      <c r="DQ7" s="5">
        <f t="shared" si="31"/>
        <v>-1.2917022253843653</v>
      </c>
      <c r="DR7" s="5">
        <f t="shared" si="32"/>
        <v>0.60228527619529781</v>
      </c>
      <c r="DS7" s="5">
        <f t="shared" si="33"/>
        <v>-0.18179147971962978</v>
      </c>
      <c r="DT7" s="5">
        <f t="shared" si="34"/>
        <v>1.2444775446344229</v>
      </c>
      <c r="DV7" t="str" cm="1">
        <f t="array" ref="DV7">_xlfn.IFS(DO7&gt;3,"Strong + Slope",DO7&gt;1.5,"Moderate + Slope",DO7&gt;0.5,"Sideway + Slope",DO7&gt;=-0.5,"Sideway Flat",DO7&gt;=-1.5,"Sideway - Slope",DO7&gt;=-3,"Moderate - Slope",TRUE,"Strong - Slope")</f>
        <v>Moderate - Slope</v>
      </c>
      <c r="DW7" t="str" cm="1">
        <f t="array" ref="DW7">_xlfn.IFS(DP7&gt;3,"Strong + Slope",DP7&gt;1.5,"Moderate + Slope",DP7&gt;0.5,"Sideway + Slope",DP7&gt;=-0.5,"Sideway Flat",DP7&gt;=-1.5,"Sideway - Slope",DP7&gt;=-3,"Moderate - Slope",TRUE,"Strong - Slope")</f>
        <v>Sideway Flat</v>
      </c>
      <c r="DX7" t="str" cm="1">
        <f t="array" ref="DX7">_xlfn.IFS(DQ7&gt;3,"Strong + Slope",DQ7&gt;1.5,"Moderate + Slope",DQ7&gt;0.5,"Sideway + Slope",DQ7&gt;=-0.5,"Sideway Flat",DQ7&gt;=-1.5,"Sideway - Slope",DQ7&gt;=-3,"Moderate - Slope",TRUE,"Strong - Slope")</f>
        <v>Sideway - Slope</v>
      </c>
      <c r="DY7" t="str" cm="1">
        <f t="array" ref="DY7">_xlfn.IFS(DR7&gt;3,"Strong + Slope",DR7&gt;1.5,"Moderate + Slope",DR7&gt;0.5,"Sideway + Slope",DR7&gt;=-0.5,"Sideway Flat",DR7&gt;=-1.5,"Sideway - Slope",DR7&gt;=-3,"Moderate - Slope",TRUE,"Strong - Slope")</f>
        <v>Sideway + Slope</v>
      </c>
      <c r="DZ7" t="str" cm="1">
        <f t="array" ref="DZ7">_xlfn.IFS(DS7&gt;3,"Strong + Slope",DS7&gt;1.5,"Moderate + Slope",DS7&gt;0.5,"Sideway + Slope",DS7&gt;=-0.5,"Sideway Flat",DS7&gt;=-1.5,"Sideway - Slope",DS7&gt;=-3,"Moderate - Slope",TRUE,"Strong - Slope")</f>
        <v>Sideway Flat</v>
      </c>
      <c r="EA7" t="str" cm="1">
        <f t="array" ref="EA7">_xlfn.IFS(DT7&gt;3,"Strong + Slope",DT7&gt;1.5,"Moderate + Slope",DT7&gt;0.5,"Sideway + Slope",DT7&gt;=-0.5,"Sideway Flat",DT7&gt;=-1.5,"Sideway - Slope",DT7&gt;=-3,"Moderate - Slope",TRUE,"Strong - Slope")</f>
        <v>Sideway + Slope</v>
      </c>
      <c r="EB7" s="5"/>
      <c r="EC7" s="5">
        <f t="shared" si="35"/>
        <v>2</v>
      </c>
      <c r="ED7" s="5">
        <f t="shared" si="36"/>
        <v>3</v>
      </c>
      <c r="EE7" s="5">
        <f t="shared" si="37"/>
        <v>1</v>
      </c>
      <c r="EF7" s="5">
        <f t="shared" si="38"/>
        <v>6</v>
      </c>
      <c r="EG7" s="5">
        <f t="shared" si="39"/>
        <v>5</v>
      </c>
      <c r="EH7" s="5">
        <f t="shared" si="40"/>
        <v>4</v>
      </c>
      <c r="EI7" s="5"/>
      <c r="EJ7" s="5" t="str">
        <f t="shared" si="41"/>
        <v>SUP</v>
      </c>
      <c r="EK7" s="5" t="str">
        <f t="shared" si="42"/>
        <v>SUP</v>
      </c>
      <c r="EL7" s="5" t="str">
        <f t="shared" si="43"/>
        <v>RES</v>
      </c>
      <c r="EM7" s="5" t="str">
        <f t="shared" si="44"/>
        <v>SUP</v>
      </c>
      <c r="EN7" s="5" t="str">
        <f t="shared" si="45"/>
        <v>SUP</v>
      </c>
      <c r="EO7" s="5" t="str">
        <f t="shared" si="46"/>
        <v>SUP</v>
      </c>
      <c r="EP7" s="5"/>
      <c r="EQ7" s="8">
        <f t="shared" si="47"/>
        <v>-1.1107481215305016E-4</v>
      </c>
      <c r="ER7" s="8">
        <f t="shared" si="48"/>
        <v>-9.1473374714155353E-4</v>
      </c>
      <c r="ES7" s="8">
        <f t="shared" si="49"/>
        <v>1.4243711205487704E-3</v>
      </c>
      <c r="ET7" s="8">
        <f t="shared" si="50"/>
        <v>-3.1885004900359328E-3</v>
      </c>
      <c r="EU7" s="8">
        <f t="shared" si="51"/>
        <v>-2.9271479908527112E-3</v>
      </c>
      <c r="EV7" s="8">
        <f t="shared" si="52"/>
        <v>-1.822933681803494E-3</v>
      </c>
      <c r="EW7" s="8"/>
      <c r="EX7" s="8">
        <f t="shared" si="53"/>
        <v>0.69121813031162505</v>
      </c>
      <c r="EY7" s="9">
        <f t="shared" si="54"/>
        <v>1</v>
      </c>
      <c r="EZ7" s="10">
        <f t="shared" si="55"/>
        <v>5</v>
      </c>
      <c r="FA7" s="8">
        <f t="shared" si="86"/>
        <v>1.4243711205487704E-3</v>
      </c>
      <c r="FB7" s="8">
        <f t="shared" si="87"/>
        <v>-1.1107481215305016E-4</v>
      </c>
      <c r="FC7" s="8">
        <f t="shared" si="88"/>
        <v>-9.1473374714155353E-4</v>
      </c>
      <c r="FD7" s="8">
        <f t="shared" si="89"/>
        <v>-1.822933681803494E-3</v>
      </c>
      <c r="FE7" s="8">
        <f t="shared" si="90"/>
        <v>-2.9271479908527112E-3</v>
      </c>
      <c r="FF7" s="8">
        <f t="shared" si="91"/>
        <v>-3.1885004900359328E-3</v>
      </c>
      <c r="FG7" s="5"/>
      <c r="FH7" s="5" t="str">
        <f t="shared" si="56"/>
        <v>-----</v>
      </c>
      <c r="FI7" s="5" t="str">
        <f t="shared" si="92"/>
        <v>Flat Momentum</v>
      </c>
      <c r="FJ7" s="5"/>
      <c r="FK7" s="5" t="str">
        <f t="shared" si="93"/>
        <v>-----</v>
      </c>
      <c r="FL7" s="5" t="str">
        <f t="shared" si="94"/>
        <v>-----</v>
      </c>
      <c r="FM7" s="5"/>
      <c r="FN7" s="5"/>
      <c r="FO7" s="5"/>
      <c r="FP7" s="5"/>
      <c r="FQ7" s="14">
        <f t="shared" si="57"/>
        <v>-6.5247319966328676E-4</v>
      </c>
      <c r="FR7" s="14">
        <f t="shared" si="58"/>
        <v>-0.58308173753253878</v>
      </c>
      <c r="FS7" s="14" t="str">
        <f t="shared" si="59"/>
        <v>-----</v>
      </c>
      <c r="FT7" s="14" t="str">
        <f t="shared" si="60"/>
        <v>Bearish</v>
      </c>
      <c r="FU7" s="5" t="str">
        <f t="shared" si="95"/>
        <v>-----</v>
      </c>
      <c r="FV7" s="5" t="str">
        <f t="shared" si="96"/>
        <v>TEMA crossunder</v>
      </c>
      <c r="FW7" s="5"/>
      <c r="FX7" s="5"/>
      <c r="FY7" s="5"/>
      <c r="FZ7" s="5"/>
      <c r="GA7" s="5"/>
      <c r="GB7" s="5"/>
      <c r="GC7" s="5"/>
      <c r="GD7" s="5"/>
      <c r="GE7" s="5"/>
      <c r="GF7" s="5"/>
      <c r="GG7" s="14"/>
      <c r="GH7" s="14"/>
      <c r="GI7" s="5" t="str">
        <f t="shared" si="61"/>
        <v>-----</v>
      </c>
      <c r="GJ7" s="5" t="str">
        <f t="shared" si="62"/>
        <v>-----</v>
      </c>
      <c r="GK7" s="5"/>
      <c r="GL7" s="5" t="str">
        <f t="shared" si="63"/>
        <v>-----</v>
      </c>
      <c r="GM7" s="5" t="str">
        <f t="shared" si="64"/>
        <v>-----</v>
      </c>
      <c r="GN7" s="5"/>
      <c r="GO7" s="12">
        <f t="shared" si="65"/>
        <v>0.20199999999999818</v>
      </c>
      <c r="GP7" s="5">
        <f t="shared" si="97"/>
        <v>2.9090586084173102</v>
      </c>
      <c r="GQ7" s="13" t="str">
        <f t="shared" si="98"/>
        <v>Price Distribution</v>
      </c>
      <c r="GR7" s="5"/>
      <c r="GS7">
        <f t="shared" si="99"/>
        <v>1.7717420785762892</v>
      </c>
      <c r="GT7" s="5" t="str">
        <f t="shared" si="100"/>
        <v>High Volume</v>
      </c>
    </row>
    <row r="8" spans="1:202" x14ac:dyDescent="0.55000000000000004">
      <c r="A8">
        <v>4</v>
      </c>
      <c r="B8" t="s">
        <v>7</v>
      </c>
      <c r="C8" t="s">
        <v>4</v>
      </c>
      <c r="D8" t="s">
        <v>103</v>
      </c>
      <c r="E8">
        <v>153.048</v>
      </c>
      <c r="F8">
        <v>153.07</v>
      </c>
      <c r="G8">
        <v>152.964</v>
      </c>
      <c r="H8">
        <v>153.06700000000001</v>
      </c>
      <c r="I8">
        <v>544</v>
      </c>
      <c r="J8">
        <v>153.03100000000001</v>
      </c>
      <c r="K8">
        <v>152.91</v>
      </c>
      <c r="L8">
        <v>153.26599999999999</v>
      </c>
      <c r="M8">
        <v>152.56200000000001</v>
      </c>
      <c r="N8">
        <v>152.602</v>
      </c>
      <c r="O8">
        <v>152.773</v>
      </c>
      <c r="P8">
        <v>0</v>
      </c>
      <c r="Q8">
        <v>0</v>
      </c>
      <c r="R8">
        <v>0</v>
      </c>
      <c r="S8">
        <v>0</v>
      </c>
      <c r="T8">
        <v>1</v>
      </c>
      <c r="U8">
        <v>0.67898000000000003</v>
      </c>
      <c r="V8">
        <v>0</v>
      </c>
      <c r="W8">
        <v>153.61530999999999</v>
      </c>
      <c r="X8">
        <v>153.53316000000001</v>
      </c>
      <c r="Y8">
        <v>153.45101</v>
      </c>
      <c r="Z8">
        <v>153.36886000000001</v>
      </c>
      <c r="AA8">
        <v>153.28672</v>
      </c>
      <c r="AB8">
        <v>153.18314000000001</v>
      </c>
      <c r="AC8">
        <v>153.10099</v>
      </c>
      <c r="AD8">
        <v>153.01884999999999</v>
      </c>
      <c r="AE8">
        <v>152.9367</v>
      </c>
      <c r="AF8">
        <v>152.85454999999999</v>
      </c>
      <c r="AG8">
        <v>153.065</v>
      </c>
      <c r="AH8">
        <v>153.137</v>
      </c>
      <c r="AI8">
        <v>153.24600000000001</v>
      </c>
      <c r="AJ8">
        <v>153.327</v>
      </c>
      <c r="AK8">
        <v>153.14099999999999</v>
      </c>
      <c r="AL8">
        <v>152.97900000000001</v>
      </c>
      <c r="AM8" s="11">
        <f t="shared" si="0"/>
        <v>0.10599999999999454</v>
      </c>
      <c r="AN8" s="11">
        <f t="shared" si="66"/>
        <v>1.999999999998181E-2</v>
      </c>
      <c r="AO8" s="11">
        <f t="shared" si="67"/>
        <v>8.6000000000012733E-2</v>
      </c>
      <c r="AP8" s="11">
        <f t="shared" si="68"/>
        <v>0.10599999999999454</v>
      </c>
      <c r="AR8" s="5" t="str">
        <f t="shared" si="1"/>
        <v>------</v>
      </c>
      <c r="AS8" s="5" t="str">
        <f t="shared" si="2"/>
        <v>------</v>
      </c>
      <c r="AT8" t="str">
        <f t="shared" si="3"/>
        <v/>
      </c>
      <c r="AV8" s="2">
        <f t="shared" si="4"/>
        <v>153.05395465000001</v>
      </c>
      <c r="AW8" s="2">
        <f t="shared" si="5"/>
        <v>153.00804535</v>
      </c>
      <c r="AX8" s="2">
        <f t="shared" si="6"/>
        <v>152.93293650000001</v>
      </c>
      <c r="AY8" s="2">
        <f t="shared" si="7"/>
        <v>152.88706350000001</v>
      </c>
      <c r="AZ8" s="2">
        <f t="shared" si="8"/>
        <v>153.28898990000002</v>
      </c>
      <c r="BA8" s="2">
        <f t="shared" si="9"/>
        <v>153.24301009999999</v>
      </c>
      <c r="BB8" s="2">
        <f t="shared" si="10"/>
        <v>152.58488430000003</v>
      </c>
      <c r="BC8" s="2">
        <f t="shared" si="11"/>
        <v>152.53911570000002</v>
      </c>
      <c r="BD8" s="2">
        <f t="shared" si="12"/>
        <v>152.6248903</v>
      </c>
      <c r="BE8" s="2">
        <f t="shared" si="13"/>
        <v>152.5791097</v>
      </c>
      <c r="BF8" s="2">
        <f t="shared" si="14"/>
        <v>152.79591595000002</v>
      </c>
      <c r="BG8" s="2">
        <f t="shared" si="15"/>
        <v>152.75008405</v>
      </c>
      <c r="BI8" s="5" t="str">
        <f t="shared" si="69"/>
        <v>TOUCH</v>
      </c>
      <c r="BJ8" s="5" t="str">
        <f t="shared" si="70"/>
        <v>-----</v>
      </c>
      <c r="BK8" s="5" t="str">
        <f t="shared" si="71"/>
        <v>-----</v>
      </c>
      <c r="BL8" s="5" t="str">
        <f t="shared" si="72"/>
        <v>-----</v>
      </c>
      <c r="BM8" s="5" t="str">
        <f t="shared" si="73"/>
        <v>-----</v>
      </c>
      <c r="BN8" s="5" t="str">
        <f t="shared" si="74"/>
        <v>-----</v>
      </c>
      <c r="BO8" s="5"/>
      <c r="BP8" s="5">
        <f t="shared" si="75"/>
        <v>0</v>
      </c>
      <c r="BQ8" s="5">
        <f t="shared" si="75"/>
        <v>4</v>
      </c>
      <c r="BR8" s="5">
        <f t="shared" si="75"/>
        <v>2</v>
      </c>
      <c r="BS8" s="5">
        <f t="shared" si="75"/>
        <v>4</v>
      </c>
      <c r="BT8" s="5">
        <f t="shared" si="75"/>
        <v>4</v>
      </c>
      <c r="BU8" s="5">
        <f t="shared" si="75"/>
        <v>4</v>
      </c>
      <c r="BV8" s="5">
        <f t="shared" si="76"/>
        <v>2</v>
      </c>
      <c r="BW8" s="5">
        <f t="shared" si="76"/>
        <v>0</v>
      </c>
      <c r="BX8" s="5">
        <f t="shared" si="76"/>
        <v>2</v>
      </c>
      <c r="BY8" s="5">
        <f t="shared" si="76"/>
        <v>0</v>
      </c>
      <c r="BZ8" s="5">
        <f t="shared" si="76"/>
        <v>0</v>
      </c>
      <c r="CA8" s="5">
        <f t="shared" si="76"/>
        <v>0</v>
      </c>
      <c r="CB8" s="5">
        <f t="shared" ref="CB8:CF71" si="102">IF(BI8="TOUCH",BV8,"-----")</f>
        <v>2</v>
      </c>
      <c r="CC8" s="5" t="str">
        <f t="shared" si="101"/>
        <v>-----</v>
      </c>
      <c r="CD8" s="5" t="str">
        <f t="shared" si="18"/>
        <v>-----</v>
      </c>
      <c r="CE8" s="5" t="str">
        <f t="shared" si="18"/>
        <v>-----</v>
      </c>
      <c r="CF8" s="5" t="str">
        <f t="shared" si="18"/>
        <v>-----</v>
      </c>
      <c r="CG8" s="5" t="str">
        <f t="shared" si="18"/>
        <v>-----</v>
      </c>
      <c r="CH8" s="5"/>
      <c r="CI8" s="17">
        <f t="shared" si="19"/>
        <v>2.3524645333299372E-4</v>
      </c>
      <c r="CJ8" s="17" t="str">
        <f t="shared" si="20"/>
        <v>-----</v>
      </c>
      <c r="CK8" s="17" t="str">
        <f t="shared" si="21"/>
        <v>-----</v>
      </c>
      <c r="CL8" s="17" t="str">
        <f t="shared" si="22"/>
        <v>-----</v>
      </c>
      <c r="CM8" s="17" t="str">
        <f t="shared" si="23"/>
        <v>-----</v>
      </c>
      <c r="CN8" s="17" t="str">
        <f t="shared" si="24"/>
        <v>-----</v>
      </c>
      <c r="CO8" s="5"/>
      <c r="CP8" s="5" t="str">
        <f t="shared" si="77"/>
        <v>Support</v>
      </c>
      <c r="CQ8" s="5" t="str">
        <f t="shared" si="25"/>
        <v>-----</v>
      </c>
      <c r="CR8" s="5" t="str">
        <f t="shared" si="25"/>
        <v>-----</v>
      </c>
      <c r="CS8" s="5" t="str">
        <f t="shared" si="25"/>
        <v>-----</v>
      </c>
      <c r="CT8" s="5" t="str">
        <f t="shared" si="25"/>
        <v>-----</v>
      </c>
      <c r="CU8" s="5" t="str">
        <f t="shared" si="25"/>
        <v>-----</v>
      </c>
      <c r="CV8" s="5"/>
      <c r="CW8" s="17">
        <f t="shared" si="78"/>
        <v>2.3524645333299372E-4</v>
      </c>
      <c r="CX8" s="17" t="str">
        <f t="shared" si="26"/>
        <v/>
      </c>
      <c r="CY8" s="17" t="str">
        <f t="shared" si="26"/>
        <v/>
      </c>
      <c r="CZ8" s="17" t="str">
        <f t="shared" si="26"/>
        <v/>
      </c>
      <c r="DA8" s="17" t="str">
        <f t="shared" si="26"/>
        <v/>
      </c>
      <c r="DB8" s="17" t="str">
        <f t="shared" si="26"/>
        <v/>
      </c>
      <c r="DC8" s="8"/>
      <c r="DD8" s="5">
        <f t="shared" si="27"/>
        <v>1</v>
      </c>
      <c r="DE8" s="17">
        <f t="shared" si="79"/>
        <v>2.3524645333299372E-4</v>
      </c>
      <c r="DF8" s="5" t="str" cm="1">
        <f t="array" ref="DF8">_xlfn.IFS(DE8=CW8,CP8,DE8=CX8,CQ8,DE8=CY8,CR8,DE8=CZ8,CS8,DE8=DA8,CT8,DE8=DB8,CU8,TRUE,"----- ")</f>
        <v>Support</v>
      </c>
      <c r="DG8" s="5"/>
      <c r="DH8" s="5">
        <f t="shared" si="80"/>
        <v>-2.423265306122455E-3</v>
      </c>
      <c r="DI8" s="5">
        <f t="shared" si="81"/>
        <v>-3.7194805194805478E-4</v>
      </c>
      <c r="DJ8" s="5">
        <f t="shared" si="82"/>
        <v>-1.6402721088435472E-3</v>
      </c>
      <c r="DK8" s="5">
        <f t="shared" si="83"/>
        <v>7.6471243042669956E-4</v>
      </c>
      <c r="DL8" s="5">
        <f t="shared" si="84"/>
        <v>-2.3081014223875058E-4</v>
      </c>
      <c r="DM8" s="5">
        <f t="shared" si="85"/>
        <v>1.5802844774273381E-3</v>
      </c>
      <c r="DO8" s="5">
        <f t="shared" si="29"/>
        <v>-1.9079214597220278</v>
      </c>
      <c r="DP8" s="5">
        <f t="shared" si="30"/>
        <v>-0.29295343676527091</v>
      </c>
      <c r="DQ8" s="5">
        <f t="shared" si="31"/>
        <v>-1.2917022253843653</v>
      </c>
      <c r="DR8" s="5">
        <f t="shared" si="32"/>
        <v>0.60228527619529781</v>
      </c>
      <c r="DS8" s="5">
        <f t="shared" si="33"/>
        <v>-0.18179147971962978</v>
      </c>
      <c r="DT8" s="5">
        <f t="shared" si="34"/>
        <v>1.2444775446344229</v>
      </c>
      <c r="DV8" t="str" cm="1">
        <f t="array" ref="DV8">_xlfn.IFS(DO8&gt;3,"Strong + Slope",DO8&gt;1.5,"Moderate + Slope",DO8&gt;0.5,"Sideway + Slope",DO8&gt;=-0.5,"Sideway Flat",DO8&gt;=-1.5,"Sideway - Slope",DO8&gt;=-3,"Moderate - Slope",TRUE,"Strong - Slope")</f>
        <v>Moderate - Slope</v>
      </c>
      <c r="DW8" t="str" cm="1">
        <f t="array" ref="DW8">_xlfn.IFS(DP8&gt;3,"Strong + Slope",DP8&gt;1.5,"Moderate + Slope",DP8&gt;0.5,"Sideway + Slope",DP8&gt;=-0.5,"Sideway Flat",DP8&gt;=-1.5,"Sideway - Slope",DP8&gt;=-3,"Moderate - Slope",TRUE,"Strong - Slope")</f>
        <v>Sideway Flat</v>
      </c>
      <c r="DX8" t="str" cm="1">
        <f t="array" ref="DX8">_xlfn.IFS(DQ8&gt;3,"Strong + Slope",DQ8&gt;1.5,"Moderate + Slope",DQ8&gt;0.5,"Sideway + Slope",DQ8&gt;=-0.5,"Sideway Flat",DQ8&gt;=-1.5,"Sideway - Slope",DQ8&gt;=-3,"Moderate - Slope",TRUE,"Strong - Slope")</f>
        <v>Sideway - Slope</v>
      </c>
      <c r="DY8" t="str" cm="1">
        <f t="array" ref="DY8">_xlfn.IFS(DR8&gt;3,"Strong + Slope",DR8&gt;1.5,"Moderate + Slope",DR8&gt;0.5,"Sideway + Slope",DR8&gt;=-0.5,"Sideway Flat",DR8&gt;=-1.5,"Sideway - Slope",DR8&gt;=-3,"Moderate - Slope",TRUE,"Strong - Slope")</f>
        <v>Sideway + Slope</v>
      </c>
      <c r="DZ8" t="str" cm="1">
        <f t="array" ref="DZ8">_xlfn.IFS(DS8&gt;3,"Strong + Slope",DS8&gt;1.5,"Moderate + Slope",DS8&gt;0.5,"Sideway + Slope",DS8&gt;=-0.5,"Sideway Flat",DS8&gt;=-1.5,"Sideway - Slope",DS8&gt;=-3,"Moderate - Slope",TRUE,"Strong - Slope")</f>
        <v>Sideway Flat</v>
      </c>
      <c r="EA8" t="str" cm="1">
        <f t="array" ref="EA8">_xlfn.IFS(DT8&gt;3,"Strong + Slope",DT8&gt;1.5,"Moderate + Slope",DT8&gt;0.5,"Sideway + Slope",DT8&gt;=-0.5,"Sideway Flat",DT8&gt;=-1.5,"Sideway - Slope",DT8&gt;=-3,"Moderate - Slope",TRUE,"Strong - Slope")</f>
        <v>Sideway + Slope</v>
      </c>
      <c r="EB8" s="5"/>
      <c r="EC8" s="5">
        <f t="shared" si="35"/>
        <v>2</v>
      </c>
      <c r="ED8" s="5">
        <f t="shared" si="36"/>
        <v>3</v>
      </c>
      <c r="EE8" s="5">
        <f t="shared" si="37"/>
        <v>1</v>
      </c>
      <c r="EF8" s="5">
        <f t="shared" si="38"/>
        <v>6</v>
      </c>
      <c r="EG8" s="5">
        <f t="shared" si="39"/>
        <v>5</v>
      </c>
      <c r="EH8" s="5">
        <f t="shared" si="40"/>
        <v>4</v>
      </c>
      <c r="EI8" s="5"/>
      <c r="EJ8" s="5" t="str">
        <f t="shared" si="41"/>
        <v>SUP</v>
      </c>
      <c r="EK8" s="5" t="str">
        <f t="shared" si="42"/>
        <v>SUP</v>
      </c>
      <c r="EL8" s="5" t="str">
        <f t="shared" si="43"/>
        <v>RES</v>
      </c>
      <c r="EM8" s="5" t="str">
        <f t="shared" si="44"/>
        <v>SUP</v>
      </c>
      <c r="EN8" s="5" t="str">
        <f t="shared" si="45"/>
        <v>SUP</v>
      </c>
      <c r="EO8" s="5" t="str">
        <f t="shared" si="46"/>
        <v>SUP</v>
      </c>
      <c r="EP8" s="5"/>
      <c r="EQ8" s="8">
        <f t="shared" si="47"/>
        <v>-2.3519112545487508E-4</v>
      </c>
      <c r="ER8" s="8">
        <f t="shared" si="48"/>
        <v>-1.025694630456014E-3</v>
      </c>
      <c r="ES8" s="8">
        <f t="shared" si="49"/>
        <v>1.3000842768198491E-3</v>
      </c>
      <c r="ET8" s="8">
        <f t="shared" si="50"/>
        <v>-3.2992088431862874E-3</v>
      </c>
      <c r="EU8" s="8">
        <f t="shared" si="51"/>
        <v>-3.0378853704587103E-3</v>
      </c>
      <c r="EV8" s="8">
        <f t="shared" si="52"/>
        <v>-1.9207275245481463E-3</v>
      </c>
      <c r="EW8" s="8"/>
      <c r="EX8" s="8">
        <f t="shared" si="53"/>
        <v>0.71732954545456007</v>
      </c>
      <c r="EY8" s="9">
        <f t="shared" si="54"/>
        <v>1</v>
      </c>
      <c r="EZ8" s="10">
        <f t="shared" si="55"/>
        <v>5</v>
      </c>
      <c r="FA8" s="8">
        <f t="shared" si="86"/>
        <v>1.3000842768198491E-3</v>
      </c>
      <c r="FB8" s="8">
        <f t="shared" si="87"/>
        <v>-2.3519112545487508E-4</v>
      </c>
      <c r="FC8" s="8">
        <f t="shared" si="88"/>
        <v>-1.025694630456014E-3</v>
      </c>
      <c r="FD8" s="8">
        <f t="shared" si="89"/>
        <v>-1.9207275245481463E-3</v>
      </c>
      <c r="FE8" s="8">
        <f t="shared" si="90"/>
        <v>-3.0378853704587103E-3</v>
      </c>
      <c r="FF8" s="8">
        <f t="shared" si="91"/>
        <v>-3.2992088431862874E-3</v>
      </c>
      <c r="FG8" s="5"/>
      <c r="FH8" s="5" t="str">
        <f t="shared" si="56"/>
        <v>-----</v>
      </c>
      <c r="FI8" s="5" t="str">
        <f t="shared" si="92"/>
        <v>Flat Momentum</v>
      </c>
      <c r="FJ8" s="5"/>
      <c r="FK8" s="5" t="str">
        <f t="shared" si="93"/>
        <v>-----</v>
      </c>
      <c r="FL8" s="5" t="str">
        <f t="shared" si="94"/>
        <v>-----</v>
      </c>
      <c r="FM8" s="5"/>
      <c r="FN8" s="5"/>
      <c r="FO8" s="5"/>
      <c r="FP8" s="5"/>
      <c r="FQ8" s="14">
        <f t="shared" si="57"/>
        <v>-7.1127468253663303E-4</v>
      </c>
      <c r="FR8" s="14">
        <f t="shared" si="58"/>
        <v>-0.75266831751047625</v>
      </c>
      <c r="FS8" s="14" t="str">
        <f t="shared" si="59"/>
        <v>-----</v>
      </c>
      <c r="FT8" s="14" t="str">
        <f t="shared" si="60"/>
        <v>Bearish</v>
      </c>
      <c r="FU8" s="5" t="str">
        <f t="shared" si="95"/>
        <v>TEMA crossover</v>
      </c>
      <c r="FV8" s="5" t="str">
        <f t="shared" si="96"/>
        <v>-----</v>
      </c>
      <c r="FW8" s="5"/>
      <c r="FX8" s="5"/>
      <c r="FY8" s="5"/>
      <c r="FZ8" s="5"/>
      <c r="GA8" s="5"/>
      <c r="GB8" s="5"/>
      <c r="GC8" s="5"/>
      <c r="GD8" s="5"/>
      <c r="GE8" s="5"/>
      <c r="GF8" s="5"/>
      <c r="GG8" s="14"/>
      <c r="GH8" s="14"/>
      <c r="GI8" s="5" t="str">
        <f t="shared" si="61"/>
        <v>-----</v>
      </c>
      <c r="GJ8" s="5" t="str">
        <f t="shared" si="62"/>
        <v>-----</v>
      </c>
      <c r="GK8" s="5"/>
      <c r="GL8" s="5" t="str">
        <f t="shared" si="63"/>
        <v>-----</v>
      </c>
      <c r="GM8" s="5" t="str">
        <f t="shared" si="64"/>
        <v>-----</v>
      </c>
      <c r="GN8" s="5"/>
      <c r="GO8" s="12">
        <f t="shared" si="65"/>
        <v>0.16199999999997772</v>
      </c>
      <c r="GP8" s="5">
        <f t="shared" si="97"/>
        <v>1.9871738381437187</v>
      </c>
      <c r="GQ8" s="13" t="str">
        <f t="shared" si="98"/>
        <v>Price Distribution</v>
      </c>
      <c r="GR8" s="5"/>
      <c r="GS8">
        <f t="shared" si="99"/>
        <v>1.6491326510422764</v>
      </c>
      <c r="GT8" s="5" t="str">
        <f t="shared" si="100"/>
        <v>High Volume</v>
      </c>
    </row>
    <row r="9" spans="1:202" x14ac:dyDescent="0.55000000000000004">
      <c r="A9">
        <v>5</v>
      </c>
      <c r="B9" t="s">
        <v>8</v>
      </c>
      <c r="C9" t="s">
        <v>4</v>
      </c>
      <c r="D9" t="s">
        <v>103</v>
      </c>
      <c r="E9">
        <v>153.06899999999999</v>
      </c>
      <c r="F9">
        <v>153.124</v>
      </c>
      <c r="G9">
        <v>153.005</v>
      </c>
      <c r="H9">
        <v>153.042</v>
      </c>
      <c r="I9">
        <v>569</v>
      </c>
      <c r="J9">
        <v>153.029</v>
      </c>
      <c r="K9">
        <v>152.91</v>
      </c>
      <c r="L9">
        <v>153.26400000000001</v>
      </c>
      <c r="M9">
        <v>152.56299999999999</v>
      </c>
      <c r="N9">
        <v>152.602</v>
      </c>
      <c r="O9">
        <v>152.774</v>
      </c>
      <c r="P9">
        <v>0</v>
      </c>
      <c r="Q9">
        <v>0</v>
      </c>
      <c r="R9">
        <v>0</v>
      </c>
      <c r="S9">
        <v>0</v>
      </c>
      <c r="T9">
        <v>0</v>
      </c>
      <c r="U9">
        <v>0.49259999999999998</v>
      </c>
      <c r="V9">
        <v>3</v>
      </c>
      <c r="W9">
        <v>153.60209</v>
      </c>
      <c r="X9">
        <v>153.51981000000001</v>
      </c>
      <c r="Y9">
        <v>153.43753000000001</v>
      </c>
      <c r="Z9">
        <v>153.35525999999999</v>
      </c>
      <c r="AA9">
        <v>153.27297999999999</v>
      </c>
      <c r="AB9">
        <v>153.16462000000001</v>
      </c>
      <c r="AC9">
        <v>153.08233999999999</v>
      </c>
      <c r="AD9">
        <v>153.00005999999999</v>
      </c>
      <c r="AE9">
        <v>152.91777999999999</v>
      </c>
      <c r="AF9">
        <v>152.83551</v>
      </c>
      <c r="AG9">
        <v>153.047</v>
      </c>
      <c r="AH9">
        <v>153.113</v>
      </c>
      <c r="AI9">
        <v>153.232</v>
      </c>
      <c r="AJ9">
        <v>153.32</v>
      </c>
      <c r="AK9">
        <v>153.119</v>
      </c>
      <c r="AL9">
        <v>152.976</v>
      </c>
      <c r="AM9" s="11">
        <f t="shared" si="0"/>
        <v>0.11899999999999977</v>
      </c>
      <c r="AN9" s="11">
        <f t="shared" si="66"/>
        <v>5.6999999999987949E-2</v>
      </c>
      <c r="AO9" s="11">
        <f t="shared" si="67"/>
        <v>6.2000000000011823E-2</v>
      </c>
      <c r="AP9" s="11">
        <f t="shared" si="68"/>
        <v>0.11899999999999977</v>
      </c>
      <c r="AR9" s="5" t="str">
        <f t="shared" si="1"/>
        <v>------</v>
      </c>
      <c r="AS9" s="5" t="str">
        <f t="shared" si="2"/>
        <v>------</v>
      </c>
      <c r="AT9" t="str">
        <f t="shared" si="3"/>
        <v/>
      </c>
      <c r="AV9" s="2">
        <f t="shared" si="4"/>
        <v>153.05195435000002</v>
      </c>
      <c r="AW9" s="2">
        <f t="shared" si="5"/>
        <v>153.00604565</v>
      </c>
      <c r="AX9" s="2">
        <f t="shared" si="6"/>
        <v>152.93293650000001</v>
      </c>
      <c r="AY9" s="2">
        <f t="shared" si="7"/>
        <v>152.88706350000001</v>
      </c>
      <c r="AZ9" s="2">
        <f t="shared" si="8"/>
        <v>153.28698960000003</v>
      </c>
      <c r="BA9" s="2">
        <f t="shared" si="9"/>
        <v>153.24101040000002</v>
      </c>
      <c r="BB9" s="2">
        <f t="shared" si="10"/>
        <v>152.58588445000001</v>
      </c>
      <c r="BC9" s="2">
        <f t="shared" si="11"/>
        <v>152.54011555</v>
      </c>
      <c r="BD9" s="2">
        <f t="shared" si="12"/>
        <v>152.6248903</v>
      </c>
      <c r="BE9" s="2">
        <f t="shared" si="13"/>
        <v>152.5791097</v>
      </c>
      <c r="BF9" s="2">
        <f t="shared" si="14"/>
        <v>152.7969161</v>
      </c>
      <c r="BG9" s="2">
        <f t="shared" si="15"/>
        <v>152.7510839</v>
      </c>
      <c r="BI9" s="5" t="str">
        <f t="shared" si="69"/>
        <v>TOUCH</v>
      </c>
      <c r="BJ9" s="5" t="str">
        <f t="shared" si="70"/>
        <v>-----</v>
      </c>
      <c r="BK9" s="5" t="str">
        <f t="shared" si="71"/>
        <v>-----</v>
      </c>
      <c r="BL9" s="5" t="str">
        <f t="shared" si="72"/>
        <v>-----</v>
      </c>
      <c r="BM9" s="5" t="str">
        <f t="shared" si="73"/>
        <v>-----</v>
      </c>
      <c r="BN9" s="5" t="str">
        <f t="shared" si="74"/>
        <v>-----</v>
      </c>
      <c r="BO9" s="5"/>
      <c r="BP9" s="5">
        <f t="shared" si="75"/>
        <v>0</v>
      </c>
      <c r="BQ9" s="5">
        <f t="shared" si="75"/>
        <v>5</v>
      </c>
      <c r="BR9" s="5">
        <f t="shared" si="75"/>
        <v>3</v>
      </c>
      <c r="BS9" s="5">
        <f t="shared" si="75"/>
        <v>5</v>
      </c>
      <c r="BT9" s="5">
        <f t="shared" si="75"/>
        <v>5</v>
      </c>
      <c r="BU9" s="5">
        <f t="shared" si="75"/>
        <v>5</v>
      </c>
      <c r="BV9" s="5">
        <f t="shared" si="76"/>
        <v>3</v>
      </c>
      <c r="BW9" s="5">
        <f t="shared" si="76"/>
        <v>0</v>
      </c>
      <c r="BX9" s="5">
        <f t="shared" si="76"/>
        <v>2</v>
      </c>
      <c r="BY9" s="5">
        <f t="shared" si="76"/>
        <v>0</v>
      </c>
      <c r="BZ9" s="5">
        <f t="shared" si="76"/>
        <v>0</v>
      </c>
      <c r="CA9" s="5">
        <f t="shared" si="76"/>
        <v>0</v>
      </c>
      <c r="CB9" s="5">
        <f t="shared" si="102"/>
        <v>3</v>
      </c>
      <c r="CC9" s="5" t="str">
        <f t="shared" si="101"/>
        <v>-----</v>
      </c>
      <c r="CD9" s="5" t="str">
        <f t="shared" si="18"/>
        <v>-----</v>
      </c>
      <c r="CE9" s="5" t="str">
        <f t="shared" si="18"/>
        <v>-----</v>
      </c>
      <c r="CF9" s="5" t="str">
        <f t="shared" si="18"/>
        <v>-----</v>
      </c>
      <c r="CG9" s="5" t="str">
        <f t="shared" si="18"/>
        <v>-----</v>
      </c>
      <c r="CH9" s="5"/>
      <c r="CI9" s="17">
        <f t="shared" si="19"/>
        <v>8.495121839654726E-5</v>
      </c>
      <c r="CJ9" s="17" t="str">
        <f t="shared" si="20"/>
        <v>-----</v>
      </c>
      <c r="CK9" s="17" t="str">
        <f t="shared" si="21"/>
        <v>-----</v>
      </c>
      <c r="CL9" s="17" t="str">
        <f t="shared" si="22"/>
        <v>-----</v>
      </c>
      <c r="CM9" s="17" t="str">
        <f t="shared" si="23"/>
        <v>-----</v>
      </c>
      <c r="CN9" s="17" t="str">
        <f t="shared" si="24"/>
        <v>-----</v>
      </c>
      <c r="CO9" s="5"/>
      <c r="CP9" s="5" t="str">
        <f t="shared" si="77"/>
        <v>Support</v>
      </c>
      <c r="CQ9" s="5" t="str">
        <f t="shared" si="25"/>
        <v>-----</v>
      </c>
      <c r="CR9" s="5" t="str">
        <f t="shared" si="25"/>
        <v>-----</v>
      </c>
      <c r="CS9" s="5" t="str">
        <f t="shared" si="25"/>
        <v>-----</v>
      </c>
      <c r="CT9" s="5" t="str">
        <f t="shared" si="25"/>
        <v>-----</v>
      </c>
      <c r="CU9" s="5" t="str">
        <f t="shared" si="25"/>
        <v>-----</v>
      </c>
      <c r="CV9" s="5"/>
      <c r="CW9" s="17">
        <f t="shared" si="78"/>
        <v>8.495121839654726E-5</v>
      </c>
      <c r="CX9" s="17" t="str">
        <f t="shared" si="26"/>
        <v/>
      </c>
      <c r="CY9" s="17" t="str">
        <f t="shared" si="26"/>
        <v/>
      </c>
      <c r="CZ9" s="17" t="str">
        <f t="shared" si="26"/>
        <v/>
      </c>
      <c r="DA9" s="17" t="str">
        <f t="shared" si="26"/>
        <v/>
      </c>
      <c r="DB9" s="17" t="str">
        <f t="shared" si="26"/>
        <v/>
      </c>
      <c r="DC9" s="8"/>
      <c r="DD9" s="5">
        <f t="shared" si="27"/>
        <v>1</v>
      </c>
      <c r="DE9" s="17">
        <f t="shared" si="79"/>
        <v>8.495121839654726E-5</v>
      </c>
      <c r="DF9" s="5" t="str" cm="1">
        <f t="array" ref="DF9">_xlfn.IFS(DE9=CW9,CP9,DE9=CX9,CQ9,DE9=CY9,CR9,DE9=CZ9,CS9,DE9=DA9,CT9,DE9=DB9,CU9,TRUE,"----- ")</f>
        <v>Support</v>
      </c>
      <c r="DG9" s="5"/>
      <c r="DH9" s="5">
        <f t="shared" si="80"/>
        <v>-2.423265306122455E-3</v>
      </c>
      <c r="DI9" s="5">
        <f t="shared" si="81"/>
        <v>-3.7194805194805478E-4</v>
      </c>
      <c r="DJ9" s="5">
        <f t="shared" si="82"/>
        <v>-1.6402721088435472E-3</v>
      </c>
      <c r="DK9" s="5">
        <f t="shared" si="83"/>
        <v>7.6471243042669956E-4</v>
      </c>
      <c r="DL9" s="5">
        <f t="shared" si="84"/>
        <v>-2.3081014223875058E-4</v>
      </c>
      <c r="DM9" s="5">
        <f t="shared" si="85"/>
        <v>1.5802844774273381E-3</v>
      </c>
      <c r="DO9" s="5">
        <f t="shared" si="29"/>
        <v>-1.9079214597220278</v>
      </c>
      <c r="DP9" s="5">
        <f t="shared" si="30"/>
        <v>-0.29295343676527091</v>
      </c>
      <c r="DQ9" s="5">
        <f t="shared" si="31"/>
        <v>-1.2917022253843653</v>
      </c>
      <c r="DR9" s="5">
        <f t="shared" si="32"/>
        <v>0.60228527619529781</v>
      </c>
      <c r="DS9" s="5">
        <f t="shared" si="33"/>
        <v>-0.18179147971962978</v>
      </c>
      <c r="DT9" s="5">
        <f t="shared" si="34"/>
        <v>1.2444775446344229</v>
      </c>
      <c r="DV9" t="str" cm="1">
        <f t="array" ref="DV9">_xlfn.IFS(DO9&gt;3,"Strong + Slope",DO9&gt;1.5,"Moderate + Slope",DO9&gt;0.5,"Sideway + Slope",DO9&gt;=-0.5,"Sideway Flat",DO9&gt;=-1.5,"Sideway - Slope",DO9&gt;=-3,"Moderate - Slope",TRUE,"Strong - Slope")</f>
        <v>Moderate - Slope</v>
      </c>
      <c r="DW9" t="str" cm="1">
        <f t="array" ref="DW9">_xlfn.IFS(DP9&gt;3,"Strong + Slope",DP9&gt;1.5,"Moderate + Slope",DP9&gt;0.5,"Sideway + Slope",DP9&gt;=-0.5,"Sideway Flat",DP9&gt;=-1.5,"Sideway - Slope",DP9&gt;=-3,"Moderate - Slope",TRUE,"Strong - Slope")</f>
        <v>Sideway Flat</v>
      </c>
      <c r="DX9" t="str" cm="1">
        <f t="array" ref="DX9">_xlfn.IFS(DQ9&gt;3,"Strong + Slope",DQ9&gt;1.5,"Moderate + Slope",DQ9&gt;0.5,"Sideway + Slope",DQ9&gt;=-0.5,"Sideway Flat",DQ9&gt;=-1.5,"Sideway - Slope",DQ9&gt;=-3,"Moderate - Slope",TRUE,"Strong - Slope")</f>
        <v>Sideway - Slope</v>
      </c>
      <c r="DY9" t="str" cm="1">
        <f t="array" ref="DY9">_xlfn.IFS(DR9&gt;3,"Strong + Slope",DR9&gt;1.5,"Moderate + Slope",DR9&gt;0.5,"Sideway + Slope",DR9&gt;=-0.5,"Sideway Flat",DR9&gt;=-1.5,"Sideway - Slope",DR9&gt;=-3,"Moderate - Slope",TRUE,"Strong - Slope")</f>
        <v>Sideway + Slope</v>
      </c>
      <c r="DZ9" t="str" cm="1">
        <f t="array" ref="DZ9">_xlfn.IFS(DS9&gt;3,"Strong + Slope",DS9&gt;1.5,"Moderate + Slope",DS9&gt;0.5,"Sideway + Slope",DS9&gt;=-0.5,"Sideway Flat",DS9&gt;=-1.5,"Sideway - Slope",DS9&gt;=-3,"Moderate - Slope",TRUE,"Strong - Slope")</f>
        <v>Sideway Flat</v>
      </c>
      <c r="EA9" t="str" cm="1">
        <f t="array" ref="EA9">_xlfn.IFS(DT9&gt;3,"Strong + Slope",DT9&gt;1.5,"Moderate + Slope",DT9&gt;0.5,"Sideway + Slope",DT9&gt;=-0.5,"Sideway Flat",DT9&gt;=-1.5,"Sideway - Slope",DT9&gt;=-3,"Moderate - Slope",TRUE,"Strong - Slope")</f>
        <v>Sideway + Slope</v>
      </c>
      <c r="EB9" s="5"/>
      <c r="EC9" s="5">
        <f t="shared" si="35"/>
        <v>2</v>
      </c>
      <c r="ED9" s="5">
        <f t="shared" si="36"/>
        <v>3</v>
      </c>
      <c r="EE9" s="5">
        <f t="shared" si="37"/>
        <v>1</v>
      </c>
      <c r="EF9" s="5">
        <f t="shared" si="38"/>
        <v>6</v>
      </c>
      <c r="EG9" s="5">
        <f t="shared" si="39"/>
        <v>5</v>
      </c>
      <c r="EH9" s="5">
        <f t="shared" si="40"/>
        <v>4</v>
      </c>
      <c r="EI9" s="5"/>
      <c r="EJ9" s="5" t="str">
        <f t="shared" si="41"/>
        <v>SUP</v>
      </c>
      <c r="EK9" s="5" t="str">
        <f t="shared" si="42"/>
        <v>SUP</v>
      </c>
      <c r="EL9" s="5" t="str">
        <f t="shared" si="43"/>
        <v>RES</v>
      </c>
      <c r="EM9" s="5" t="str">
        <f t="shared" si="44"/>
        <v>SUP</v>
      </c>
      <c r="EN9" s="5" t="str">
        <f t="shared" si="45"/>
        <v>SUP</v>
      </c>
      <c r="EO9" s="5" t="str">
        <f t="shared" si="46"/>
        <v>SUP</v>
      </c>
      <c r="EP9" s="5"/>
      <c r="EQ9" s="8">
        <f t="shared" si="47"/>
        <v>-8.4944002300056391E-5</v>
      </c>
      <c r="ER9" s="8">
        <f t="shared" si="48"/>
        <v>-8.6250833104641207E-4</v>
      </c>
      <c r="ES9" s="8">
        <f t="shared" si="49"/>
        <v>1.4505821931235113E-3</v>
      </c>
      <c r="ET9" s="8">
        <f t="shared" si="50"/>
        <v>-3.1298597770547522E-3</v>
      </c>
      <c r="EU9" s="8">
        <f t="shared" si="51"/>
        <v>-2.8750277701545834E-3</v>
      </c>
      <c r="EV9" s="8">
        <f t="shared" si="52"/>
        <v>-1.7511532781850779E-3</v>
      </c>
      <c r="EW9" s="8"/>
      <c r="EX9" s="8">
        <f t="shared" si="53"/>
        <v>0.68330955777460556</v>
      </c>
      <c r="EY9" s="9">
        <f t="shared" si="54"/>
        <v>1</v>
      </c>
      <c r="EZ9" s="10">
        <f t="shared" si="55"/>
        <v>5</v>
      </c>
      <c r="FA9" s="8">
        <f t="shared" si="86"/>
        <v>1.4505821931235113E-3</v>
      </c>
      <c r="FB9" s="8">
        <f t="shared" si="87"/>
        <v>-8.4944002300056391E-5</v>
      </c>
      <c r="FC9" s="8">
        <f t="shared" si="88"/>
        <v>-8.6250833104641207E-4</v>
      </c>
      <c r="FD9" s="8">
        <f t="shared" si="89"/>
        <v>-1.7511532781850779E-3</v>
      </c>
      <c r="FE9" s="8">
        <f t="shared" si="90"/>
        <v>-2.8750277701545834E-3</v>
      </c>
      <c r="FF9" s="8">
        <f t="shared" si="91"/>
        <v>-3.1298597770547522E-3</v>
      </c>
      <c r="FG9" s="5"/>
      <c r="FH9" s="5" t="str">
        <f t="shared" si="56"/>
        <v>-----</v>
      </c>
      <c r="FI9" s="5" t="str">
        <f t="shared" si="92"/>
        <v>Flat Momentum</v>
      </c>
      <c r="FJ9" s="5"/>
      <c r="FK9" s="5" t="str">
        <f t="shared" si="93"/>
        <v>-----</v>
      </c>
      <c r="FL9" s="5" t="str">
        <f t="shared" si="94"/>
        <v>-----</v>
      </c>
      <c r="FM9" s="5"/>
      <c r="FN9" s="5"/>
      <c r="FO9" s="5"/>
      <c r="FP9" s="5"/>
      <c r="FQ9" s="14">
        <f t="shared" si="57"/>
        <v>-7.7660018795029607E-4</v>
      </c>
      <c r="FR9" s="14">
        <f t="shared" si="58"/>
        <v>-0.94107052281361803</v>
      </c>
      <c r="FS9" s="14" t="str">
        <f t="shared" si="59"/>
        <v>-----</v>
      </c>
      <c r="FT9" s="14" t="str">
        <f t="shared" si="60"/>
        <v>Bearish</v>
      </c>
      <c r="FU9" s="5" t="str">
        <f t="shared" si="95"/>
        <v>-----</v>
      </c>
      <c r="FV9" s="5" t="str">
        <f t="shared" si="96"/>
        <v>TEMA crossunder</v>
      </c>
      <c r="FW9" s="5"/>
      <c r="FX9" s="15" t="str">
        <f t="shared" ref="FX9:FX34" si="103">IF(FO9="Bearish","YES","-----")</f>
        <v>-----</v>
      </c>
      <c r="FY9" s="15" t="str">
        <f t="shared" ref="FY9:FY34" si="104">IF(FS9="Reverse to Bearish","YES","-----")</f>
        <v>-----</v>
      </c>
      <c r="FZ9" s="15" t="str">
        <f t="shared" ref="FZ9:FZ34" si="105">IF(AND(FT9="Bullish",FT8="Bullish",FT7="Bullish",FT6="Bullish"),"YES","-----")</f>
        <v>-----</v>
      </c>
      <c r="GA9" s="15" t="str">
        <f t="shared" ref="GA9:GA34" si="106">IF(OR(FV9="TEMA crossunder",FV8="TEMA crossunder",FV7="TEMA crossunder",FV6="TEMA crossunder"),"YES","-----")</f>
        <v>YES</v>
      </c>
      <c r="GB9" s="16" t="str">
        <f t="shared" ref="GB9:GB72" si="107">IF(FO9="Bullish","YES","-----")</f>
        <v>-----</v>
      </c>
      <c r="GC9" s="16" t="str">
        <f t="shared" ref="GC9:GC72" si="108">IF(FS9="Reverse to Bullish","YES","-----")</f>
        <v>-----</v>
      </c>
      <c r="GD9" s="16" t="str">
        <f t="shared" ref="GD9:GD72" si="109">IF(AND(FT9="Bearish",FT8="Bearish",FT7="Bearish",FT6="Bearish"),"YES","-----")</f>
        <v>YES</v>
      </c>
      <c r="GE9" s="16" t="str">
        <f>IF(OR(FU9="TEMA crossover",FU8="TEMA crossover",FU7="TEMA crossover",FU6="TEMA crossover"),"YES","-----")</f>
        <v>YES</v>
      </c>
      <c r="GF9" s="15" t="str">
        <f t="shared" ref="GF9:GF72" si="110">IF(AND(FX9="YES",FY9="YES",FZ9="YES",GA9="YES"),"Open Sell / Close Buy","-----")</f>
        <v>-----</v>
      </c>
      <c r="GG9" s="16" t="str">
        <f t="shared" ref="GG9:GG34" si="111">IF(AND(GB9="YES",GC9="YES",GD9="YES",GE9="YES"),"Open Buy / Close Sell","-----")</f>
        <v>-----</v>
      </c>
      <c r="GH9" s="14"/>
      <c r="GI9" s="5" t="str">
        <f t="shared" si="61"/>
        <v>-----</v>
      </c>
      <c r="GJ9" s="5" t="str">
        <f t="shared" si="62"/>
        <v>-----</v>
      </c>
      <c r="GK9" s="5"/>
      <c r="GL9" s="5" t="str">
        <f t="shared" si="63"/>
        <v>-----</v>
      </c>
      <c r="GM9" s="5" t="str">
        <f t="shared" si="64"/>
        <v>-----</v>
      </c>
      <c r="GN9" s="5"/>
      <c r="GO9" s="12">
        <f t="shared" si="65"/>
        <v>0.14300000000000068</v>
      </c>
      <c r="GP9" s="5">
        <f t="shared" si="97"/>
        <v>1.5492785722645159</v>
      </c>
      <c r="GQ9" s="13" t="str">
        <f t="shared" si="98"/>
        <v>Price Distribution</v>
      </c>
      <c r="GR9" s="5"/>
      <c r="GS9">
        <f t="shared" si="99"/>
        <v>1.8104608451659774</v>
      </c>
      <c r="GT9" s="5" t="str">
        <f t="shared" si="100"/>
        <v>High Volume</v>
      </c>
    </row>
    <row r="10" spans="1:202" x14ac:dyDescent="0.55000000000000004">
      <c r="A10">
        <v>6</v>
      </c>
      <c r="B10" t="s">
        <v>9</v>
      </c>
      <c r="C10" t="s">
        <v>4</v>
      </c>
      <c r="D10" t="s">
        <v>103</v>
      </c>
      <c r="E10">
        <v>153.042</v>
      </c>
      <c r="F10">
        <v>153.101</v>
      </c>
      <c r="G10">
        <v>153.02199999999999</v>
      </c>
      <c r="H10">
        <v>153.05000000000001</v>
      </c>
      <c r="I10">
        <v>426</v>
      </c>
      <c r="J10">
        <v>153.02600000000001</v>
      </c>
      <c r="K10">
        <v>152.90899999999999</v>
      </c>
      <c r="L10">
        <v>153.26300000000001</v>
      </c>
      <c r="M10">
        <v>152.56399999999999</v>
      </c>
      <c r="N10">
        <v>152.602</v>
      </c>
      <c r="O10">
        <v>152.77600000000001</v>
      </c>
      <c r="P10">
        <v>0</v>
      </c>
      <c r="Q10">
        <v>0</v>
      </c>
      <c r="R10">
        <v>0</v>
      </c>
      <c r="S10">
        <v>0</v>
      </c>
      <c r="T10">
        <v>0</v>
      </c>
      <c r="U10">
        <v>0.92852999999999997</v>
      </c>
      <c r="V10">
        <v>0</v>
      </c>
      <c r="W10">
        <v>153.58624</v>
      </c>
      <c r="X10">
        <v>153.50424000000001</v>
      </c>
      <c r="Y10">
        <v>153.42223999999999</v>
      </c>
      <c r="Z10">
        <v>153.34023999999999</v>
      </c>
      <c r="AA10">
        <v>153.25824</v>
      </c>
      <c r="AB10">
        <v>153.14709999999999</v>
      </c>
      <c r="AC10">
        <v>153.0651</v>
      </c>
      <c r="AD10">
        <v>152.98310000000001</v>
      </c>
      <c r="AE10">
        <v>152.90110000000001</v>
      </c>
      <c r="AF10">
        <v>152.81909999999999</v>
      </c>
      <c r="AG10">
        <v>153.03800000000001</v>
      </c>
      <c r="AH10">
        <v>153.09100000000001</v>
      </c>
      <c r="AI10">
        <v>153.21899999999999</v>
      </c>
      <c r="AJ10">
        <v>153.31200000000001</v>
      </c>
      <c r="AK10">
        <v>153.096</v>
      </c>
      <c r="AL10">
        <v>152.98500000000001</v>
      </c>
      <c r="AM10" s="11">
        <f t="shared" si="0"/>
        <v>7.9000000000007731E-2</v>
      </c>
      <c r="AN10" s="11">
        <f t="shared" si="66"/>
        <v>5.8999999999997499E-2</v>
      </c>
      <c r="AO10" s="11">
        <f t="shared" si="67"/>
        <v>2.0000000000010232E-2</v>
      </c>
      <c r="AP10" s="11">
        <f t="shared" si="68"/>
        <v>7.9000000000007731E-2</v>
      </c>
      <c r="AR10" s="5" t="str">
        <f t="shared" si="1"/>
        <v>------</v>
      </c>
      <c r="AS10" s="5" t="str">
        <f t="shared" si="2"/>
        <v>------</v>
      </c>
      <c r="AT10" t="str">
        <f t="shared" si="3"/>
        <v/>
      </c>
      <c r="AV10" s="2">
        <f t="shared" si="4"/>
        <v>153.04895390000001</v>
      </c>
      <c r="AW10" s="2">
        <f t="shared" si="5"/>
        <v>153.00304610000001</v>
      </c>
      <c r="AX10" s="2">
        <f t="shared" si="6"/>
        <v>152.93193635</v>
      </c>
      <c r="AY10" s="2">
        <f t="shared" si="7"/>
        <v>152.88606364999998</v>
      </c>
      <c r="AZ10" s="2">
        <f t="shared" si="8"/>
        <v>153.28598945000002</v>
      </c>
      <c r="BA10" s="2">
        <f t="shared" si="9"/>
        <v>153.24001054999999</v>
      </c>
      <c r="BB10" s="2">
        <f t="shared" si="10"/>
        <v>152.58688460000002</v>
      </c>
      <c r="BC10" s="2">
        <f t="shared" si="11"/>
        <v>152.5411154</v>
      </c>
      <c r="BD10" s="2">
        <f t="shared" si="12"/>
        <v>152.6248903</v>
      </c>
      <c r="BE10" s="2">
        <f t="shared" si="13"/>
        <v>152.5791097</v>
      </c>
      <c r="BF10" s="2">
        <f t="shared" si="14"/>
        <v>152.79891640000002</v>
      </c>
      <c r="BG10" s="2">
        <f t="shared" si="15"/>
        <v>152.75308360000002</v>
      </c>
      <c r="BI10" s="5" t="str">
        <f t="shared" si="69"/>
        <v>TOUCH</v>
      </c>
      <c r="BJ10" s="5" t="str">
        <f t="shared" si="70"/>
        <v>-----</v>
      </c>
      <c r="BK10" s="5" t="str">
        <f t="shared" si="71"/>
        <v>-----</v>
      </c>
      <c r="BL10" s="5" t="str">
        <f t="shared" si="72"/>
        <v>-----</v>
      </c>
      <c r="BM10" s="5" t="str">
        <f t="shared" si="73"/>
        <v>-----</v>
      </c>
      <c r="BN10" s="5" t="str">
        <f t="shared" si="74"/>
        <v>-----</v>
      </c>
      <c r="BO10" s="5"/>
      <c r="BP10" s="5">
        <f t="shared" si="75"/>
        <v>0</v>
      </c>
      <c r="BQ10" s="5">
        <f t="shared" si="75"/>
        <v>6</v>
      </c>
      <c r="BR10" s="5">
        <f t="shared" si="75"/>
        <v>4</v>
      </c>
      <c r="BS10" s="5">
        <f t="shared" si="75"/>
        <v>6</v>
      </c>
      <c r="BT10" s="5">
        <f t="shared" si="75"/>
        <v>6</v>
      </c>
      <c r="BU10" s="5">
        <f t="shared" si="75"/>
        <v>6</v>
      </c>
      <c r="BV10" s="5">
        <f t="shared" si="76"/>
        <v>4</v>
      </c>
      <c r="BW10" s="5">
        <f t="shared" si="76"/>
        <v>0</v>
      </c>
      <c r="BX10" s="5">
        <f t="shared" si="76"/>
        <v>2</v>
      </c>
      <c r="BY10" s="5">
        <f t="shared" si="76"/>
        <v>0</v>
      </c>
      <c r="BZ10" s="5">
        <f t="shared" si="76"/>
        <v>0</v>
      </c>
      <c r="CA10" s="5">
        <f t="shared" si="76"/>
        <v>0</v>
      </c>
      <c r="CB10" s="5">
        <f t="shared" si="102"/>
        <v>4</v>
      </c>
      <c r="CC10" s="5" t="str">
        <f t="shared" si="101"/>
        <v>-----</v>
      </c>
      <c r="CD10" s="5" t="str">
        <f t="shared" si="18"/>
        <v>-----</v>
      </c>
      <c r="CE10" s="5" t="str">
        <f t="shared" si="18"/>
        <v>-----</v>
      </c>
      <c r="CF10" s="5" t="str">
        <f t="shared" si="18"/>
        <v>-----</v>
      </c>
      <c r="CG10" s="5" t="str">
        <f t="shared" si="18"/>
        <v>-----</v>
      </c>
      <c r="CH10" s="5"/>
      <c r="CI10" s="17">
        <f t="shared" si="19"/>
        <v>1.5683609321292399E-4</v>
      </c>
      <c r="CJ10" s="17" t="str">
        <f t="shared" si="20"/>
        <v>-----</v>
      </c>
      <c r="CK10" s="17" t="str">
        <f t="shared" si="21"/>
        <v>-----</v>
      </c>
      <c r="CL10" s="17" t="str">
        <f t="shared" si="22"/>
        <v>-----</v>
      </c>
      <c r="CM10" s="17" t="str">
        <f t="shared" si="23"/>
        <v>-----</v>
      </c>
      <c r="CN10" s="17" t="str">
        <f t="shared" si="24"/>
        <v>-----</v>
      </c>
      <c r="CO10" s="5"/>
      <c r="CP10" s="5" t="str">
        <f t="shared" si="77"/>
        <v>Support</v>
      </c>
      <c r="CQ10" s="5" t="str">
        <f t="shared" si="25"/>
        <v>-----</v>
      </c>
      <c r="CR10" s="5" t="str">
        <f t="shared" si="25"/>
        <v>-----</v>
      </c>
      <c r="CS10" s="5" t="str">
        <f t="shared" si="25"/>
        <v>-----</v>
      </c>
      <c r="CT10" s="5" t="str">
        <f t="shared" si="25"/>
        <v>-----</v>
      </c>
      <c r="CU10" s="5" t="str">
        <f t="shared" si="25"/>
        <v>-----</v>
      </c>
      <c r="CV10" s="5"/>
      <c r="CW10" s="17">
        <f t="shared" si="78"/>
        <v>1.5683609321292399E-4</v>
      </c>
      <c r="CX10" s="17" t="str">
        <f t="shared" si="26"/>
        <v/>
      </c>
      <c r="CY10" s="17" t="str">
        <f t="shared" si="26"/>
        <v/>
      </c>
      <c r="CZ10" s="17" t="str">
        <f t="shared" si="26"/>
        <v/>
      </c>
      <c r="DA10" s="17" t="str">
        <f t="shared" si="26"/>
        <v/>
      </c>
      <c r="DB10" s="17" t="str">
        <f t="shared" si="26"/>
        <v/>
      </c>
      <c r="DC10" s="8"/>
      <c r="DD10" s="5">
        <f t="shared" si="27"/>
        <v>1</v>
      </c>
      <c r="DE10" s="17">
        <f t="shared" si="79"/>
        <v>1.5683609321292399E-4</v>
      </c>
      <c r="DF10" s="5" t="str" cm="1">
        <f t="array" ref="DF10">_xlfn.IFS(DE10=CW10,CP10,DE10=CX10,CQ10,DE10=CY10,CR10,DE10=CZ10,CS10,DE10=DA10,CT10,DE10=DB10,CU10,TRUE,"----- ")</f>
        <v>Support</v>
      </c>
      <c r="DG10" s="5"/>
      <c r="DH10" s="5">
        <f t="shared" si="80"/>
        <v>-2.423265306122455E-3</v>
      </c>
      <c r="DI10" s="5">
        <f t="shared" si="81"/>
        <v>-3.7194805194805478E-4</v>
      </c>
      <c r="DJ10" s="5">
        <f t="shared" si="82"/>
        <v>-1.6402721088435472E-3</v>
      </c>
      <c r="DK10" s="5">
        <f t="shared" si="83"/>
        <v>7.6471243042669956E-4</v>
      </c>
      <c r="DL10" s="5">
        <f t="shared" si="84"/>
        <v>-2.3081014223875058E-4</v>
      </c>
      <c r="DM10" s="5">
        <f t="shared" si="85"/>
        <v>1.5802844774273381E-3</v>
      </c>
      <c r="DN10" s="7"/>
      <c r="DO10" s="5">
        <f t="shared" si="29"/>
        <v>-1.9079214597220278</v>
      </c>
      <c r="DP10" s="5">
        <f t="shared" si="30"/>
        <v>-0.29295343676527091</v>
      </c>
      <c r="DQ10" s="5">
        <f t="shared" si="31"/>
        <v>-1.2917022253843653</v>
      </c>
      <c r="DR10" s="5">
        <f t="shared" si="32"/>
        <v>0.60228527619529781</v>
      </c>
      <c r="DS10" s="5">
        <f t="shared" si="33"/>
        <v>-0.18179147971962978</v>
      </c>
      <c r="DT10" s="5">
        <f t="shared" si="34"/>
        <v>1.2444775446344229</v>
      </c>
      <c r="DV10" t="str" cm="1">
        <f t="array" ref="DV10">_xlfn.IFS(DO10&gt;3,"Strong + Slope",DO10&gt;1.5,"Moderate + Slope",DO10&gt;0.5,"Sideway + Slope",DO10&gt;=-0.5,"Sideway Flat",DO10&gt;=-1.5,"Sideway - Slope",DO10&gt;=-3,"Moderate - Slope",TRUE,"Strong - Slope")</f>
        <v>Moderate - Slope</v>
      </c>
      <c r="DW10" t="str" cm="1">
        <f t="array" ref="DW10">_xlfn.IFS(DP10&gt;3,"Strong + Slope",DP10&gt;1.5,"Moderate + Slope",DP10&gt;0.5,"Sideway + Slope",DP10&gt;=-0.5,"Sideway Flat",DP10&gt;=-1.5,"Sideway - Slope",DP10&gt;=-3,"Moderate - Slope",TRUE,"Strong - Slope")</f>
        <v>Sideway Flat</v>
      </c>
      <c r="DX10" t="str" cm="1">
        <f t="array" ref="DX10">_xlfn.IFS(DQ10&gt;3,"Strong + Slope",DQ10&gt;1.5,"Moderate + Slope",DQ10&gt;0.5,"Sideway + Slope",DQ10&gt;=-0.5,"Sideway Flat",DQ10&gt;=-1.5,"Sideway - Slope",DQ10&gt;=-3,"Moderate - Slope",TRUE,"Strong - Slope")</f>
        <v>Sideway - Slope</v>
      </c>
      <c r="DY10" t="str" cm="1">
        <f t="array" ref="DY10">_xlfn.IFS(DR10&gt;3,"Strong + Slope",DR10&gt;1.5,"Moderate + Slope",DR10&gt;0.5,"Sideway + Slope",DR10&gt;=-0.5,"Sideway Flat",DR10&gt;=-1.5,"Sideway - Slope",DR10&gt;=-3,"Moderate - Slope",TRUE,"Strong - Slope")</f>
        <v>Sideway + Slope</v>
      </c>
      <c r="DZ10" t="str" cm="1">
        <f t="array" ref="DZ10">_xlfn.IFS(DS10&gt;3,"Strong + Slope",DS10&gt;1.5,"Moderate + Slope",DS10&gt;0.5,"Sideway + Slope",DS10&gt;=-0.5,"Sideway Flat",DS10&gt;=-1.5,"Sideway - Slope",DS10&gt;=-3,"Moderate - Slope",TRUE,"Strong - Slope")</f>
        <v>Sideway Flat</v>
      </c>
      <c r="EA10" t="str" cm="1">
        <f t="array" ref="EA10">_xlfn.IFS(DT10&gt;3,"Strong + Slope",DT10&gt;1.5,"Moderate + Slope",DT10&gt;0.5,"Sideway + Slope",DT10&gt;=-0.5,"Sideway Flat",DT10&gt;=-1.5,"Sideway - Slope",DT10&gt;=-3,"Moderate - Slope",TRUE,"Strong - Slope")</f>
        <v>Sideway + Slope</v>
      </c>
      <c r="EB10" s="5"/>
      <c r="EC10" s="5">
        <f t="shared" si="35"/>
        <v>2</v>
      </c>
      <c r="ED10" s="5">
        <f t="shared" si="36"/>
        <v>3</v>
      </c>
      <c r="EE10" s="5">
        <f t="shared" si="37"/>
        <v>1</v>
      </c>
      <c r="EF10" s="5">
        <f t="shared" si="38"/>
        <v>6</v>
      </c>
      <c r="EG10" s="5">
        <f t="shared" si="39"/>
        <v>5</v>
      </c>
      <c r="EH10" s="5">
        <f t="shared" si="40"/>
        <v>4</v>
      </c>
      <c r="EI10" s="5"/>
      <c r="EJ10" s="5" t="str">
        <f t="shared" si="41"/>
        <v>SUP</v>
      </c>
      <c r="EK10" s="5" t="str">
        <f t="shared" si="42"/>
        <v>SUP</v>
      </c>
      <c r="EL10" s="5" t="str">
        <f t="shared" si="43"/>
        <v>RES</v>
      </c>
      <c r="EM10" s="5" t="str">
        <f t="shared" si="44"/>
        <v>SUP</v>
      </c>
      <c r="EN10" s="5" t="str">
        <f t="shared" si="45"/>
        <v>SUP</v>
      </c>
      <c r="EO10" s="5" t="str">
        <f t="shared" si="46"/>
        <v>SUP</v>
      </c>
      <c r="EP10" s="5"/>
      <c r="EQ10" s="8">
        <f t="shared" si="47"/>
        <v>-1.5681149950997001E-4</v>
      </c>
      <c r="ER10" s="8">
        <f t="shared" si="48"/>
        <v>-9.212675596211666E-4</v>
      </c>
      <c r="ES10" s="8">
        <f t="shared" si="49"/>
        <v>1.3917020581508909E-3</v>
      </c>
      <c r="ET10" s="8">
        <f t="shared" si="50"/>
        <v>-3.1754328650768922E-3</v>
      </c>
      <c r="EU10" s="8">
        <f t="shared" si="51"/>
        <v>-2.9271479908527112E-3</v>
      </c>
      <c r="EV10" s="8">
        <f t="shared" si="52"/>
        <v>-1.7902646194054288E-3</v>
      </c>
      <c r="EW10" s="8"/>
      <c r="EX10" s="8">
        <f t="shared" si="53"/>
        <v>0.6952789699570957</v>
      </c>
      <c r="EY10" s="9">
        <f t="shared" si="54"/>
        <v>1</v>
      </c>
      <c r="EZ10" s="10">
        <f t="shared" si="55"/>
        <v>5</v>
      </c>
      <c r="FA10" s="8">
        <f t="shared" si="86"/>
        <v>1.3917020581508909E-3</v>
      </c>
      <c r="FB10" s="8">
        <f t="shared" si="87"/>
        <v>-1.5681149950997001E-4</v>
      </c>
      <c r="FC10" s="8">
        <f t="shared" si="88"/>
        <v>-9.212675596211666E-4</v>
      </c>
      <c r="FD10" s="8">
        <f t="shared" si="89"/>
        <v>-1.7902646194054288E-3</v>
      </c>
      <c r="FE10" s="8">
        <f t="shared" si="90"/>
        <v>-2.9271479908527112E-3</v>
      </c>
      <c r="FF10" s="8">
        <f t="shared" si="91"/>
        <v>-3.1754328650768922E-3</v>
      </c>
      <c r="FG10" s="5"/>
      <c r="FH10" s="5" t="str">
        <f t="shared" si="56"/>
        <v>-----</v>
      </c>
      <c r="FI10" s="5" t="str">
        <f t="shared" si="92"/>
        <v>Flat Momentum</v>
      </c>
      <c r="FJ10" s="5"/>
      <c r="FK10" s="5" t="str">
        <f t="shared" si="93"/>
        <v>-----</v>
      </c>
      <c r="FL10" s="5" t="str">
        <f t="shared" si="94"/>
        <v>-----</v>
      </c>
      <c r="FM10" s="5"/>
      <c r="FN10" s="5"/>
      <c r="FO10" s="5"/>
      <c r="FP10" s="5"/>
      <c r="FQ10" s="14">
        <f t="shared" si="57"/>
        <v>-8.3540553064558509E-4</v>
      </c>
      <c r="FR10" s="14">
        <f t="shared" si="58"/>
        <v>-1.1106682347217487</v>
      </c>
      <c r="FS10" s="14" t="str">
        <f t="shared" si="59"/>
        <v>-----</v>
      </c>
      <c r="FT10" s="14" t="str">
        <f t="shared" si="60"/>
        <v>Bearish</v>
      </c>
      <c r="FU10" s="5" t="str">
        <f t="shared" si="95"/>
        <v>TEMA crossover</v>
      </c>
      <c r="FV10" s="5" t="str">
        <f t="shared" si="96"/>
        <v>-----</v>
      </c>
      <c r="FW10" s="5"/>
      <c r="FX10" s="15" t="str">
        <f t="shared" si="103"/>
        <v>-----</v>
      </c>
      <c r="FY10" s="15" t="str">
        <f t="shared" si="104"/>
        <v>-----</v>
      </c>
      <c r="FZ10" s="15" t="str">
        <f t="shared" si="105"/>
        <v>-----</v>
      </c>
      <c r="GA10" s="15" t="str">
        <f t="shared" si="106"/>
        <v>YES</v>
      </c>
      <c r="GB10" s="16" t="str">
        <f t="shared" si="107"/>
        <v>-----</v>
      </c>
      <c r="GC10" s="16" t="str">
        <f t="shared" si="108"/>
        <v>-----</v>
      </c>
      <c r="GD10" s="16" t="str">
        <f t="shared" si="109"/>
        <v>YES</v>
      </c>
      <c r="GE10" s="16" t="str">
        <f t="shared" ref="GE10:GE73" si="112">IF(OR(FU10="TEMA crossover",FU9="TEMA crossover",FU8="TEMA crossover",FU7="TEMA crossover"),"YES","-----")</f>
        <v>YES</v>
      </c>
      <c r="GF10" s="15" t="str">
        <f t="shared" si="110"/>
        <v>-----</v>
      </c>
      <c r="GG10" s="16" t="str">
        <f t="shared" si="111"/>
        <v>-----</v>
      </c>
      <c r="GH10" s="14"/>
      <c r="GI10" s="5" t="str">
        <f t="shared" si="61"/>
        <v>-----</v>
      </c>
      <c r="GJ10" s="5" t="str">
        <f t="shared" si="62"/>
        <v>-----</v>
      </c>
      <c r="GK10" s="5"/>
      <c r="GL10" s="5" t="str">
        <f t="shared" si="63"/>
        <v>-----</v>
      </c>
      <c r="GM10" s="5" t="str">
        <f t="shared" si="64"/>
        <v>-----</v>
      </c>
      <c r="GN10" s="5"/>
      <c r="GO10" s="12">
        <f t="shared" si="65"/>
        <v>0.11099999999999</v>
      </c>
      <c r="GP10" s="5">
        <f t="shared" si="97"/>
        <v>0.81177075604577364</v>
      </c>
      <c r="GQ10" s="13" t="str">
        <f t="shared" si="98"/>
        <v>-----</v>
      </c>
      <c r="GR10" s="5"/>
      <c r="GS10">
        <f t="shared" si="99"/>
        <v>0.88766357477840785</v>
      </c>
      <c r="GT10" s="5" t="str">
        <f t="shared" si="100"/>
        <v>-----</v>
      </c>
    </row>
    <row r="11" spans="1:202" x14ac:dyDescent="0.55000000000000004">
      <c r="A11">
        <v>7</v>
      </c>
      <c r="B11" t="s">
        <v>10</v>
      </c>
      <c r="C11" t="s">
        <v>4</v>
      </c>
      <c r="D11" t="s">
        <v>103</v>
      </c>
      <c r="E11">
        <v>153.05099999999999</v>
      </c>
      <c r="F11">
        <v>153.05099999999999</v>
      </c>
      <c r="G11">
        <v>152.97200000000001</v>
      </c>
      <c r="H11">
        <v>153.03299999999999</v>
      </c>
      <c r="I11">
        <v>431</v>
      </c>
      <c r="J11">
        <v>153.024</v>
      </c>
      <c r="K11">
        <v>152.90899999999999</v>
      </c>
      <c r="L11">
        <v>153.261</v>
      </c>
      <c r="M11">
        <v>152.565</v>
      </c>
      <c r="N11">
        <v>152.602</v>
      </c>
      <c r="O11">
        <v>152.77799999999999</v>
      </c>
      <c r="P11">
        <v>0</v>
      </c>
      <c r="Q11">
        <v>0</v>
      </c>
      <c r="R11">
        <v>0</v>
      </c>
      <c r="S11">
        <v>0</v>
      </c>
      <c r="T11">
        <v>1</v>
      </c>
      <c r="U11">
        <v>0.69721</v>
      </c>
      <c r="V11">
        <v>3</v>
      </c>
      <c r="W11">
        <v>153.56995000000001</v>
      </c>
      <c r="X11">
        <v>153.48793000000001</v>
      </c>
      <c r="Y11">
        <v>153.4059</v>
      </c>
      <c r="Z11">
        <v>153.32388</v>
      </c>
      <c r="AA11">
        <v>153.24185</v>
      </c>
      <c r="AB11">
        <v>153.1294</v>
      </c>
      <c r="AC11">
        <v>153.04738</v>
      </c>
      <c r="AD11">
        <v>152.96535</v>
      </c>
      <c r="AE11">
        <v>152.88333</v>
      </c>
      <c r="AF11">
        <v>152.8013</v>
      </c>
      <c r="AG11">
        <v>153.01599999999999</v>
      </c>
      <c r="AH11">
        <v>153.07</v>
      </c>
      <c r="AI11">
        <v>153.20500000000001</v>
      </c>
      <c r="AJ11">
        <v>153.30500000000001</v>
      </c>
      <c r="AK11">
        <v>153.06</v>
      </c>
      <c r="AL11">
        <v>152.97</v>
      </c>
      <c r="AM11" s="11">
        <f t="shared" si="0"/>
        <v>7.8999999999979309E-2</v>
      </c>
      <c r="AN11" s="11">
        <f t="shared" si="66"/>
        <v>9.9999999997635314E-4</v>
      </c>
      <c r="AO11" s="11">
        <f t="shared" si="67"/>
        <v>7.8000000000002956E-2</v>
      </c>
      <c r="AP11" s="11">
        <f t="shared" si="68"/>
        <v>7.8999999999979309E-2</v>
      </c>
      <c r="AR11" s="5" t="str">
        <f t="shared" si="1"/>
        <v>------</v>
      </c>
      <c r="AS11" s="5" t="str">
        <f t="shared" si="2"/>
        <v>------</v>
      </c>
      <c r="AT11" t="str">
        <f t="shared" si="3"/>
        <v/>
      </c>
      <c r="AV11" s="2">
        <f t="shared" si="4"/>
        <v>153.04695360000002</v>
      </c>
      <c r="AW11" s="2">
        <f t="shared" si="5"/>
        <v>153.00104640000001</v>
      </c>
      <c r="AX11" s="2">
        <f t="shared" si="6"/>
        <v>152.93193635</v>
      </c>
      <c r="AY11" s="2">
        <f t="shared" si="7"/>
        <v>152.88606364999998</v>
      </c>
      <c r="AZ11" s="2">
        <f t="shared" si="8"/>
        <v>153.28398915</v>
      </c>
      <c r="BA11" s="2">
        <f t="shared" si="9"/>
        <v>153.23801084999999</v>
      </c>
      <c r="BB11" s="2">
        <f t="shared" si="10"/>
        <v>152.58788475</v>
      </c>
      <c r="BC11" s="2">
        <f t="shared" si="11"/>
        <v>152.54211524999999</v>
      </c>
      <c r="BD11" s="2">
        <f t="shared" si="12"/>
        <v>152.6248903</v>
      </c>
      <c r="BE11" s="2">
        <f t="shared" si="13"/>
        <v>152.5791097</v>
      </c>
      <c r="BF11" s="2">
        <f t="shared" si="14"/>
        <v>152.80091670000002</v>
      </c>
      <c r="BG11" s="2">
        <f t="shared" si="15"/>
        <v>152.7550833</v>
      </c>
      <c r="BI11" s="5" t="str">
        <f t="shared" si="69"/>
        <v>TOUCH</v>
      </c>
      <c r="BJ11" s="5" t="str">
        <f t="shared" si="70"/>
        <v>-----</v>
      </c>
      <c r="BK11" s="5" t="str">
        <f t="shared" si="71"/>
        <v>-----</v>
      </c>
      <c r="BL11" s="5" t="str">
        <f t="shared" si="72"/>
        <v>-----</v>
      </c>
      <c r="BM11" s="5" t="str">
        <f t="shared" si="73"/>
        <v>-----</v>
      </c>
      <c r="BN11" s="5" t="str">
        <f t="shared" si="74"/>
        <v>-----</v>
      </c>
      <c r="BO11" s="5"/>
      <c r="BP11" s="5">
        <f t="shared" si="75"/>
        <v>0</v>
      </c>
      <c r="BQ11" s="5">
        <f t="shared" si="75"/>
        <v>7</v>
      </c>
      <c r="BR11" s="5">
        <f t="shared" si="75"/>
        <v>5</v>
      </c>
      <c r="BS11" s="5">
        <f t="shared" si="75"/>
        <v>7</v>
      </c>
      <c r="BT11" s="5">
        <f t="shared" si="75"/>
        <v>7</v>
      </c>
      <c r="BU11" s="5">
        <f t="shared" si="75"/>
        <v>7</v>
      </c>
      <c r="BV11" s="5">
        <f t="shared" si="76"/>
        <v>5</v>
      </c>
      <c r="BW11" s="5">
        <f t="shared" si="76"/>
        <v>0</v>
      </c>
      <c r="BX11" s="5">
        <f t="shared" si="76"/>
        <v>2</v>
      </c>
      <c r="BY11" s="5">
        <f t="shared" si="76"/>
        <v>0</v>
      </c>
      <c r="BZ11" s="5">
        <f t="shared" si="76"/>
        <v>0</v>
      </c>
      <c r="CA11" s="5">
        <f t="shared" si="76"/>
        <v>0</v>
      </c>
      <c r="CB11" s="5">
        <f t="shared" si="102"/>
        <v>5</v>
      </c>
      <c r="CC11" s="5" t="str">
        <f t="shared" si="101"/>
        <v>-----</v>
      </c>
      <c r="CD11" s="5" t="str">
        <f t="shared" si="18"/>
        <v>-----</v>
      </c>
      <c r="CE11" s="5" t="str">
        <f t="shared" si="18"/>
        <v>-----</v>
      </c>
      <c r="CF11" s="5" t="str">
        <f t="shared" si="18"/>
        <v>-----</v>
      </c>
      <c r="CG11" s="5" t="str">
        <f t="shared" si="18"/>
        <v>-----</v>
      </c>
      <c r="CH11" s="5"/>
      <c r="CI11" s="17">
        <f t="shared" si="19"/>
        <v>5.8814303638554278E-5</v>
      </c>
      <c r="CJ11" s="17" t="str">
        <f t="shared" si="20"/>
        <v>-----</v>
      </c>
      <c r="CK11" s="17" t="str">
        <f t="shared" si="21"/>
        <v>-----</v>
      </c>
      <c r="CL11" s="17" t="str">
        <f t="shared" si="22"/>
        <v>-----</v>
      </c>
      <c r="CM11" s="17" t="str">
        <f t="shared" si="23"/>
        <v>-----</v>
      </c>
      <c r="CN11" s="17" t="str">
        <f t="shared" si="24"/>
        <v>-----</v>
      </c>
      <c r="CO11" s="5"/>
      <c r="CP11" s="5" t="str">
        <f t="shared" si="77"/>
        <v>Support</v>
      </c>
      <c r="CQ11" s="5" t="str">
        <f t="shared" si="25"/>
        <v>-----</v>
      </c>
      <c r="CR11" s="5" t="str">
        <f t="shared" si="25"/>
        <v>-----</v>
      </c>
      <c r="CS11" s="5" t="str">
        <f t="shared" si="25"/>
        <v>-----</v>
      </c>
      <c r="CT11" s="5" t="str">
        <f t="shared" si="25"/>
        <v>-----</v>
      </c>
      <c r="CU11" s="5" t="str">
        <f t="shared" si="25"/>
        <v>-----</v>
      </c>
      <c r="CV11" s="5"/>
      <c r="CW11" s="17">
        <f t="shared" si="78"/>
        <v>5.8814303638554278E-5</v>
      </c>
      <c r="CX11" s="17" t="str">
        <f t="shared" si="26"/>
        <v/>
      </c>
      <c r="CY11" s="17" t="str">
        <f t="shared" si="26"/>
        <v/>
      </c>
      <c r="CZ11" s="17" t="str">
        <f t="shared" si="26"/>
        <v/>
      </c>
      <c r="DA11" s="17" t="str">
        <f t="shared" si="26"/>
        <v/>
      </c>
      <c r="DB11" s="17" t="str">
        <f t="shared" si="26"/>
        <v/>
      </c>
      <c r="DC11" s="8"/>
      <c r="DD11" s="5">
        <f t="shared" si="27"/>
        <v>1</v>
      </c>
      <c r="DE11" s="17">
        <f t="shared" si="79"/>
        <v>5.8814303638554278E-5</v>
      </c>
      <c r="DF11" s="5" t="str" cm="1">
        <f t="array" ref="DF11">_xlfn.IFS(DE11=CW11,CP11,DE11=CX11,CQ11,DE11=CY11,CR11,DE11=CZ11,CS11,DE11=DA11,CT11,DE11=DB11,CU11,TRUE,"----- ")</f>
        <v>Support</v>
      </c>
      <c r="DG11" s="5"/>
      <c r="DH11" s="5">
        <f t="shared" si="80"/>
        <v>-2.423265306122455E-3</v>
      </c>
      <c r="DI11" s="5">
        <f t="shared" si="81"/>
        <v>-3.7194805194805478E-4</v>
      </c>
      <c r="DJ11" s="5">
        <f t="shared" si="82"/>
        <v>-1.6402721088435472E-3</v>
      </c>
      <c r="DK11" s="5">
        <f t="shared" si="83"/>
        <v>7.6471243042669956E-4</v>
      </c>
      <c r="DL11" s="5">
        <f t="shared" si="84"/>
        <v>-2.3081014223875058E-4</v>
      </c>
      <c r="DM11" s="5">
        <f t="shared" si="85"/>
        <v>1.5802844774273381E-3</v>
      </c>
      <c r="DO11" s="5">
        <f t="shared" si="29"/>
        <v>-1.9079214597220278</v>
      </c>
      <c r="DP11" s="5">
        <f t="shared" si="30"/>
        <v>-0.29295343676527091</v>
      </c>
      <c r="DQ11" s="5">
        <f t="shared" si="31"/>
        <v>-1.2917022253843653</v>
      </c>
      <c r="DR11" s="5">
        <f t="shared" si="32"/>
        <v>0.60228527619529781</v>
      </c>
      <c r="DS11" s="5">
        <f t="shared" si="33"/>
        <v>-0.18179147971962978</v>
      </c>
      <c r="DT11" s="5">
        <f t="shared" si="34"/>
        <v>1.2444775446344229</v>
      </c>
      <c r="DV11" t="str" cm="1">
        <f t="array" ref="DV11">_xlfn.IFS(DO11&gt;3,"Strong + Slope",DO11&gt;1.5,"Moderate + Slope",DO11&gt;0.5,"Sideway + Slope",DO11&gt;=-0.5,"Sideway Flat",DO11&gt;=-1.5,"Sideway - Slope",DO11&gt;=-3,"Moderate - Slope",TRUE,"Strong - Slope")</f>
        <v>Moderate - Slope</v>
      </c>
      <c r="DW11" t="str" cm="1">
        <f t="array" ref="DW11">_xlfn.IFS(DP11&gt;3,"Strong + Slope",DP11&gt;1.5,"Moderate + Slope",DP11&gt;0.5,"Sideway + Slope",DP11&gt;=-0.5,"Sideway Flat",DP11&gt;=-1.5,"Sideway - Slope",DP11&gt;=-3,"Moderate - Slope",TRUE,"Strong - Slope")</f>
        <v>Sideway Flat</v>
      </c>
      <c r="DX11" t="str" cm="1">
        <f t="array" ref="DX11">_xlfn.IFS(DQ11&gt;3,"Strong + Slope",DQ11&gt;1.5,"Moderate + Slope",DQ11&gt;0.5,"Sideway + Slope",DQ11&gt;=-0.5,"Sideway Flat",DQ11&gt;=-1.5,"Sideway - Slope",DQ11&gt;=-3,"Moderate - Slope",TRUE,"Strong - Slope")</f>
        <v>Sideway - Slope</v>
      </c>
      <c r="DY11" t="str" cm="1">
        <f t="array" ref="DY11">_xlfn.IFS(DR11&gt;3,"Strong + Slope",DR11&gt;1.5,"Moderate + Slope",DR11&gt;0.5,"Sideway + Slope",DR11&gt;=-0.5,"Sideway Flat",DR11&gt;=-1.5,"Sideway - Slope",DR11&gt;=-3,"Moderate - Slope",TRUE,"Strong - Slope")</f>
        <v>Sideway + Slope</v>
      </c>
      <c r="DZ11" t="str" cm="1">
        <f t="array" ref="DZ11">_xlfn.IFS(DS11&gt;3,"Strong + Slope",DS11&gt;1.5,"Moderate + Slope",DS11&gt;0.5,"Sideway + Slope",DS11&gt;=-0.5,"Sideway Flat",DS11&gt;=-1.5,"Sideway - Slope",DS11&gt;=-3,"Moderate - Slope",TRUE,"Strong - Slope")</f>
        <v>Sideway Flat</v>
      </c>
      <c r="EA11" t="str" cm="1">
        <f t="array" ref="EA11">_xlfn.IFS(DT11&gt;3,"Strong + Slope",DT11&gt;1.5,"Moderate + Slope",DT11&gt;0.5,"Sideway + Slope",DT11&gt;=-0.5,"Sideway Flat",DT11&gt;=-1.5,"Sideway - Slope",DT11&gt;=-3,"Moderate - Slope",TRUE,"Strong - Slope")</f>
        <v>Sideway + Slope</v>
      </c>
      <c r="EB11" s="5"/>
      <c r="EC11" s="5">
        <f t="shared" si="35"/>
        <v>2</v>
      </c>
      <c r="ED11" s="5">
        <f t="shared" si="36"/>
        <v>3</v>
      </c>
      <c r="EE11" s="5">
        <f t="shared" si="37"/>
        <v>1</v>
      </c>
      <c r="EF11" s="5">
        <f t="shared" si="38"/>
        <v>6</v>
      </c>
      <c r="EG11" s="5">
        <f t="shared" si="39"/>
        <v>5</v>
      </c>
      <c r="EH11" s="5">
        <f t="shared" si="40"/>
        <v>4</v>
      </c>
      <c r="EI11" s="5"/>
      <c r="EJ11" s="5" t="str">
        <f t="shared" si="41"/>
        <v>SUP</v>
      </c>
      <c r="EK11" s="5" t="str">
        <f t="shared" si="42"/>
        <v>SUP</v>
      </c>
      <c r="EL11" s="5" t="str">
        <f t="shared" si="43"/>
        <v>RES</v>
      </c>
      <c r="EM11" s="5" t="str">
        <f t="shared" si="44"/>
        <v>SUP</v>
      </c>
      <c r="EN11" s="5" t="str">
        <f t="shared" si="45"/>
        <v>SUP</v>
      </c>
      <c r="EO11" s="5" t="str">
        <f t="shared" si="46"/>
        <v>SUP</v>
      </c>
      <c r="EP11" s="5"/>
      <c r="EQ11" s="8">
        <f t="shared" si="47"/>
        <v>-5.8810844719675699E-5</v>
      </c>
      <c r="ER11" s="8">
        <f t="shared" si="48"/>
        <v>-8.1028274947230491E-4</v>
      </c>
      <c r="ES11" s="8">
        <f t="shared" si="49"/>
        <v>1.4898747329008034E-3</v>
      </c>
      <c r="ET11" s="8">
        <f t="shared" si="50"/>
        <v>-3.0581639254277791E-3</v>
      </c>
      <c r="EU11" s="8">
        <f t="shared" si="51"/>
        <v>-2.8163860082464774E-3</v>
      </c>
      <c r="EV11" s="8">
        <f t="shared" si="52"/>
        <v>-1.6663072670600164E-3</v>
      </c>
      <c r="EW11" s="8"/>
      <c r="EX11" s="8">
        <f t="shared" si="53"/>
        <v>0.67241379310343485</v>
      </c>
      <c r="EY11" s="9">
        <f t="shared" si="54"/>
        <v>1</v>
      </c>
      <c r="EZ11" s="10">
        <f t="shared" si="55"/>
        <v>5</v>
      </c>
      <c r="FA11" s="8">
        <f t="shared" si="86"/>
        <v>1.4898747329008034E-3</v>
      </c>
      <c r="FB11" s="8">
        <f t="shared" si="87"/>
        <v>-5.8810844719675699E-5</v>
      </c>
      <c r="FC11" s="8">
        <f t="shared" si="88"/>
        <v>-8.1028274947230491E-4</v>
      </c>
      <c r="FD11" s="8">
        <f t="shared" si="89"/>
        <v>-1.6663072670600164E-3</v>
      </c>
      <c r="FE11" s="8">
        <f t="shared" si="90"/>
        <v>-2.8163860082464774E-3</v>
      </c>
      <c r="FF11" s="8">
        <f t="shared" si="91"/>
        <v>-3.0581639254277791E-3</v>
      </c>
      <c r="FG11" s="5"/>
      <c r="FH11" s="5" t="str">
        <f t="shared" si="56"/>
        <v>-----</v>
      </c>
      <c r="FI11" s="5" t="str">
        <f t="shared" si="92"/>
        <v>Flat Momentum</v>
      </c>
      <c r="FJ11" s="5"/>
      <c r="FK11" s="5" t="str">
        <f t="shared" si="93"/>
        <v>-----</v>
      </c>
      <c r="FL11" s="5" t="str">
        <f t="shared" si="94"/>
        <v>-----</v>
      </c>
      <c r="FM11" s="5"/>
      <c r="FN11" s="5"/>
      <c r="FO11" s="5"/>
      <c r="FP11" s="5"/>
      <c r="FQ11" s="14">
        <f t="shared" si="57"/>
        <v>-8.8117228549994655E-4</v>
      </c>
      <c r="FR11" s="14">
        <f t="shared" si="58"/>
        <v>-1.2426619711579083</v>
      </c>
      <c r="FS11" s="14" t="str">
        <f t="shared" si="59"/>
        <v>-----</v>
      </c>
      <c r="FT11" s="14" t="str">
        <f t="shared" si="60"/>
        <v>Bearish</v>
      </c>
      <c r="FU11" s="5" t="str">
        <f t="shared" si="95"/>
        <v>-----</v>
      </c>
      <c r="FV11" s="5" t="str">
        <f t="shared" si="96"/>
        <v>-----</v>
      </c>
      <c r="FW11" s="5"/>
      <c r="FX11" s="15" t="str">
        <f t="shared" si="103"/>
        <v>-----</v>
      </c>
      <c r="FY11" s="15" t="str">
        <f t="shared" si="104"/>
        <v>-----</v>
      </c>
      <c r="FZ11" s="15" t="str">
        <f t="shared" si="105"/>
        <v>-----</v>
      </c>
      <c r="GA11" s="15" t="str">
        <f t="shared" si="106"/>
        <v>YES</v>
      </c>
      <c r="GB11" s="16" t="str">
        <f t="shared" si="107"/>
        <v>-----</v>
      </c>
      <c r="GC11" s="16" t="str">
        <f t="shared" si="108"/>
        <v>-----</v>
      </c>
      <c r="GD11" s="16" t="str">
        <f t="shared" si="109"/>
        <v>YES</v>
      </c>
      <c r="GE11" s="16" t="str">
        <f t="shared" si="112"/>
        <v>YES</v>
      </c>
      <c r="GF11" s="15" t="str">
        <f t="shared" si="110"/>
        <v>-----</v>
      </c>
      <c r="GG11" s="16" t="str">
        <f t="shared" si="111"/>
        <v>-----</v>
      </c>
      <c r="GH11" s="14"/>
      <c r="GI11" s="5" t="str">
        <f t="shared" si="61"/>
        <v>-----</v>
      </c>
      <c r="GJ11" s="5" t="str">
        <f t="shared" si="62"/>
        <v>-----</v>
      </c>
      <c r="GK11" s="5"/>
      <c r="GL11" s="5" t="str">
        <f t="shared" si="63"/>
        <v>-----</v>
      </c>
      <c r="GM11" s="5" t="str">
        <f t="shared" si="64"/>
        <v>-----</v>
      </c>
      <c r="GN11" s="5"/>
      <c r="GO11" s="12">
        <f t="shared" si="65"/>
        <v>9.0000000000003411E-2</v>
      </c>
      <c r="GP11" s="5">
        <f t="shared" si="97"/>
        <v>0.32778125165269489</v>
      </c>
      <c r="GQ11" s="13" t="str">
        <f t="shared" si="98"/>
        <v>-----</v>
      </c>
      <c r="GR11" s="5"/>
      <c r="GS11">
        <f t="shared" si="99"/>
        <v>0.91992921360314805</v>
      </c>
      <c r="GT11" s="5" t="str">
        <f t="shared" si="100"/>
        <v>-----</v>
      </c>
    </row>
    <row r="12" spans="1:202" x14ac:dyDescent="0.55000000000000004">
      <c r="A12">
        <v>8</v>
      </c>
      <c r="B12" t="s">
        <v>11</v>
      </c>
      <c r="C12" t="s">
        <v>4</v>
      </c>
      <c r="D12" t="s">
        <v>103</v>
      </c>
      <c r="E12">
        <v>153.03299999999999</v>
      </c>
      <c r="F12">
        <v>153.102</v>
      </c>
      <c r="G12">
        <v>152.98599999999999</v>
      </c>
      <c r="H12">
        <v>152.999</v>
      </c>
      <c r="I12">
        <v>436</v>
      </c>
      <c r="J12">
        <v>153.02099999999999</v>
      </c>
      <c r="K12">
        <v>152.90799999999999</v>
      </c>
      <c r="L12">
        <v>153.25899999999999</v>
      </c>
      <c r="M12">
        <v>152.565</v>
      </c>
      <c r="N12">
        <v>152.601</v>
      </c>
      <c r="O12">
        <v>152.779</v>
      </c>
      <c r="P12">
        <v>0</v>
      </c>
      <c r="Q12">
        <v>0</v>
      </c>
      <c r="R12">
        <v>0</v>
      </c>
      <c r="S12">
        <v>0</v>
      </c>
      <c r="T12">
        <v>0</v>
      </c>
      <c r="U12">
        <v>0.33183000000000001</v>
      </c>
      <c r="V12">
        <v>3</v>
      </c>
      <c r="W12">
        <v>153.55466000000001</v>
      </c>
      <c r="X12">
        <v>153.47248999999999</v>
      </c>
      <c r="Y12">
        <v>153.39032</v>
      </c>
      <c r="Z12">
        <v>153.30814000000001</v>
      </c>
      <c r="AA12">
        <v>153.22596999999999</v>
      </c>
      <c r="AB12">
        <v>153.11232000000001</v>
      </c>
      <c r="AC12">
        <v>153.03013999999999</v>
      </c>
      <c r="AD12">
        <v>152.94797</v>
      </c>
      <c r="AE12">
        <v>152.86580000000001</v>
      </c>
      <c r="AF12">
        <v>152.78362000000001</v>
      </c>
      <c r="AG12">
        <v>153.01</v>
      </c>
      <c r="AH12">
        <v>153.05099999999999</v>
      </c>
      <c r="AI12">
        <v>153.19200000000001</v>
      </c>
      <c r="AJ12">
        <v>153.297</v>
      </c>
      <c r="AK12">
        <v>153.06399999999999</v>
      </c>
      <c r="AL12">
        <v>152.96899999999999</v>
      </c>
      <c r="AM12" s="11">
        <f t="shared" si="0"/>
        <v>0.11600000000001387</v>
      </c>
      <c r="AN12" s="11">
        <f t="shared" si="66"/>
        <v>6.9000000000016826E-2</v>
      </c>
      <c r="AO12" s="11">
        <f t="shared" si="67"/>
        <v>4.6999999999997044E-2</v>
      </c>
      <c r="AP12" s="11">
        <f t="shared" si="68"/>
        <v>0.11600000000001387</v>
      </c>
      <c r="AR12" s="5" t="str">
        <f t="shared" si="1"/>
        <v>------</v>
      </c>
      <c r="AS12" s="5" t="str">
        <f t="shared" si="2"/>
        <v>------</v>
      </c>
      <c r="AT12" t="str">
        <f t="shared" si="3"/>
        <v/>
      </c>
      <c r="AV12" s="2">
        <f t="shared" si="4"/>
        <v>153.04395314999999</v>
      </c>
      <c r="AW12" s="2">
        <f t="shared" si="5"/>
        <v>152.99804684999998</v>
      </c>
      <c r="AX12" s="2">
        <f t="shared" si="6"/>
        <v>152.93093619999999</v>
      </c>
      <c r="AY12" s="2">
        <f t="shared" si="7"/>
        <v>152.88506379999998</v>
      </c>
      <c r="AZ12" s="2">
        <f t="shared" si="8"/>
        <v>153.28198885</v>
      </c>
      <c r="BA12" s="2">
        <f t="shared" si="9"/>
        <v>153.23601115</v>
      </c>
      <c r="BB12" s="2">
        <f t="shared" si="10"/>
        <v>152.58788475</v>
      </c>
      <c r="BC12" s="2">
        <f t="shared" si="11"/>
        <v>152.54211524999999</v>
      </c>
      <c r="BD12" s="2">
        <f t="shared" si="12"/>
        <v>152.62389015000002</v>
      </c>
      <c r="BE12" s="2">
        <f t="shared" si="13"/>
        <v>152.57810985</v>
      </c>
      <c r="BF12" s="2">
        <f t="shared" si="14"/>
        <v>152.80191685</v>
      </c>
      <c r="BG12" s="2">
        <f t="shared" si="15"/>
        <v>152.75608314999999</v>
      </c>
      <c r="BI12" s="5" t="str">
        <f t="shared" si="69"/>
        <v>TOUCH</v>
      </c>
      <c r="BJ12" s="5" t="str">
        <f t="shared" si="70"/>
        <v>-----</v>
      </c>
      <c r="BK12" s="5" t="str">
        <f t="shared" si="71"/>
        <v>-----</v>
      </c>
      <c r="BL12" s="5" t="str">
        <f t="shared" si="72"/>
        <v>-----</v>
      </c>
      <c r="BM12" s="5" t="str">
        <f t="shared" si="73"/>
        <v>-----</v>
      </c>
      <c r="BN12" s="5" t="str">
        <f t="shared" si="74"/>
        <v>-----</v>
      </c>
      <c r="BO12" s="5"/>
      <c r="BP12" s="5">
        <f t="shared" si="75"/>
        <v>0</v>
      </c>
      <c r="BQ12" s="5">
        <f t="shared" si="75"/>
        <v>8</v>
      </c>
      <c r="BR12" s="5">
        <f t="shared" si="75"/>
        <v>6</v>
      </c>
      <c r="BS12" s="5">
        <f t="shared" si="75"/>
        <v>8</v>
      </c>
      <c r="BT12" s="5">
        <f t="shared" si="75"/>
        <v>8</v>
      </c>
      <c r="BU12" s="5">
        <f t="shared" si="75"/>
        <v>8</v>
      </c>
      <c r="BV12" s="5">
        <f t="shared" si="76"/>
        <v>6</v>
      </c>
      <c r="BW12" s="5">
        <f t="shared" si="76"/>
        <v>0</v>
      </c>
      <c r="BX12" s="5">
        <f t="shared" si="76"/>
        <v>2</v>
      </c>
      <c r="BY12" s="5">
        <f t="shared" si="76"/>
        <v>0</v>
      </c>
      <c r="BZ12" s="5">
        <f t="shared" si="76"/>
        <v>0</v>
      </c>
      <c r="CA12" s="5">
        <f t="shared" si="76"/>
        <v>0</v>
      </c>
      <c r="CB12" s="5">
        <f t="shared" si="102"/>
        <v>6</v>
      </c>
      <c r="CC12" s="5" t="str">
        <f t="shared" si="101"/>
        <v>-----</v>
      </c>
      <c r="CD12" s="5" t="str">
        <f t="shared" si="18"/>
        <v>-----</v>
      </c>
      <c r="CE12" s="5" t="str">
        <f t="shared" si="18"/>
        <v>-----</v>
      </c>
      <c r="CF12" s="5" t="str">
        <f t="shared" si="18"/>
        <v>-----</v>
      </c>
      <c r="CG12" s="5" t="str">
        <f t="shared" si="18"/>
        <v>-----</v>
      </c>
      <c r="CH12" s="5"/>
      <c r="CI12" s="17">
        <f t="shared" si="19"/>
        <v>-1.4377111638266227E-4</v>
      </c>
      <c r="CJ12" s="17" t="str">
        <f t="shared" si="20"/>
        <v>-----</v>
      </c>
      <c r="CK12" s="17" t="str">
        <f t="shared" si="21"/>
        <v>-----</v>
      </c>
      <c r="CL12" s="17" t="str">
        <f t="shared" si="22"/>
        <v>-----</v>
      </c>
      <c r="CM12" s="17" t="str">
        <f t="shared" si="23"/>
        <v>-----</v>
      </c>
      <c r="CN12" s="17" t="str">
        <f t="shared" si="24"/>
        <v>-----</v>
      </c>
      <c r="CO12" s="5"/>
      <c r="CP12" s="5" t="str">
        <f t="shared" si="77"/>
        <v>Resistant</v>
      </c>
      <c r="CQ12" s="5" t="str">
        <f t="shared" si="25"/>
        <v>-----</v>
      </c>
      <c r="CR12" s="5" t="str">
        <f t="shared" si="25"/>
        <v>-----</v>
      </c>
      <c r="CS12" s="5" t="str">
        <f t="shared" si="25"/>
        <v>-----</v>
      </c>
      <c r="CT12" s="5" t="str">
        <f t="shared" si="25"/>
        <v>-----</v>
      </c>
      <c r="CU12" s="5" t="str">
        <f t="shared" si="25"/>
        <v>-----</v>
      </c>
      <c r="CV12" s="5"/>
      <c r="CW12" s="17">
        <f t="shared" si="78"/>
        <v>1.4377111638266227E-4</v>
      </c>
      <c r="CX12" s="17" t="str">
        <f t="shared" si="26"/>
        <v/>
      </c>
      <c r="CY12" s="17" t="str">
        <f t="shared" si="26"/>
        <v/>
      </c>
      <c r="CZ12" s="17" t="str">
        <f t="shared" si="26"/>
        <v/>
      </c>
      <c r="DA12" s="17" t="str">
        <f t="shared" si="26"/>
        <v/>
      </c>
      <c r="DB12" s="17" t="str">
        <f t="shared" si="26"/>
        <v/>
      </c>
      <c r="DC12" s="8"/>
      <c r="DD12" s="5">
        <f t="shared" si="27"/>
        <v>1</v>
      </c>
      <c r="DE12" s="17">
        <f t="shared" si="79"/>
        <v>1.4377111638266227E-4</v>
      </c>
      <c r="DF12" s="5" t="str" cm="1">
        <f t="array" ref="DF12">_xlfn.IFS(DE12=CW12,CP12,DE12=CX12,CQ12,DE12=CY12,CR12,DE12=CZ12,CS12,DE12=DA12,CT12,DE12=DB12,CU12,TRUE,"----- ")</f>
        <v>Resistant</v>
      </c>
      <c r="DG12" s="5"/>
      <c r="DH12" s="5">
        <f t="shared" si="80"/>
        <v>-2.423265306122455E-3</v>
      </c>
      <c r="DI12" s="5">
        <f t="shared" si="81"/>
        <v>-3.7194805194805478E-4</v>
      </c>
      <c r="DJ12" s="5">
        <f t="shared" si="82"/>
        <v>-1.6402721088435472E-3</v>
      </c>
      <c r="DK12" s="5">
        <f t="shared" si="83"/>
        <v>7.6471243042669956E-4</v>
      </c>
      <c r="DL12" s="5">
        <f t="shared" si="84"/>
        <v>-2.3081014223875058E-4</v>
      </c>
      <c r="DM12" s="5">
        <f t="shared" si="85"/>
        <v>1.5802844774273381E-3</v>
      </c>
      <c r="DO12" s="5">
        <f t="shared" si="29"/>
        <v>-1.9079214597220278</v>
      </c>
      <c r="DP12" s="5">
        <f t="shared" si="30"/>
        <v>-0.29295343676527091</v>
      </c>
      <c r="DQ12" s="5">
        <f t="shared" si="31"/>
        <v>-1.2917022253843653</v>
      </c>
      <c r="DR12" s="5">
        <f t="shared" si="32"/>
        <v>0.60228527619529781</v>
      </c>
      <c r="DS12" s="5">
        <f t="shared" si="33"/>
        <v>-0.18179147971962978</v>
      </c>
      <c r="DT12" s="5">
        <f t="shared" si="34"/>
        <v>1.2444775446344229</v>
      </c>
      <c r="DV12" t="str" cm="1">
        <f t="array" ref="DV12">_xlfn.IFS(DO12&gt;3,"Strong + Slope",DO12&gt;1.5,"Moderate + Slope",DO12&gt;0.5,"Sideway + Slope",DO12&gt;=-0.5,"Sideway Flat",DO12&gt;=-1.5,"Sideway - Slope",DO12&gt;=-3,"Moderate - Slope",TRUE,"Strong - Slope")</f>
        <v>Moderate - Slope</v>
      </c>
      <c r="DW12" t="str" cm="1">
        <f t="array" ref="DW12">_xlfn.IFS(DP12&gt;3,"Strong + Slope",DP12&gt;1.5,"Moderate + Slope",DP12&gt;0.5,"Sideway + Slope",DP12&gt;=-0.5,"Sideway Flat",DP12&gt;=-1.5,"Sideway - Slope",DP12&gt;=-3,"Moderate - Slope",TRUE,"Strong - Slope")</f>
        <v>Sideway Flat</v>
      </c>
      <c r="DX12" t="str" cm="1">
        <f t="array" ref="DX12">_xlfn.IFS(DQ12&gt;3,"Strong + Slope",DQ12&gt;1.5,"Moderate + Slope",DQ12&gt;0.5,"Sideway + Slope",DQ12&gt;=-0.5,"Sideway Flat",DQ12&gt;=-1.5,"Sideway - Slope",DQ12&gt;=-3,"Moderate - Slope",TRUE,"Strong - Slope")</f>
        <v>Sideway - Slope</v>
      </c>
      <c r="DY12" t="str" cm="1">
        <f t="array" ref="DY12">_xlfn.IFS(DR12&gt;3,"Strong + Slope",DR12&gt;1.5,"Moderate + Slope",DR12&gt;0.5,"Sideway + Slope",DR12&gt;=-0.5,"Sideway Flat",DR12&gt;=-1.5,"Sideway - Slope",DR12&gt;=-3,"Moderate - Slope",TRUE,"Strong - Slope")</f>
        <v>Sideway + Slope</v>
      </c>
      <c r="DZ12" t="str" cm="1">
        <f t="array" ref="DZ12">_xlfn.IFS(DS12&gt;3,"Strong + Slope",DS12&gt;1.5,"Moderate + Slope",DS12&gt;0.5,"Sideway + Slope",DS12&gt;=-0.5,"Sideway Flat",DS12&gt;=-1.5,"Sideway - Slope",DS12&gt;=-3,"Moderate - Slope",TRUE,"Strong - Slope")</f>
        <v>Sideway Flat</v>
      </c>
      <c r="EA12" t="str" cm="1">
        <f t="array" ref="EA12">_xlfn.IFS(DT12&gt;3,"Strong + Slope",DT12&gt;1.5,"Moderate + Slope",DT12&gt;0.5,"Sideway + Slope",DT12&gt;=-0.5,"Sideway Flat",DT12&gt;=-1.5,"Sideway - Slope",DT12&gt;=-3,"Moderate - Slope",TRUE,"Strong - Slope")</f>
        <v>Sideway + Slope</v>
      </c>
      <c r="EB12" s="5"/>
      <c r="EC12" s="5">
        <f t="shared" si="35"/>
        <v>2</v>
      </c>
      <c r="ED12" s="5">
        <f t="shared" si="36"/>
        <v>3</v>
      </c>
      <c r="EE12" s="5">
        <f t="shared" si="37"/>
        <v>1</v>
      </c>
      <c r="EF12" s="5">
        <f t="shared" si="38"/>
        <v>6</v>
      </c>
      <c r="EG12" s="5">
        <f t="shared" si="39"/>
        <v>5</v>
      </c>
      <c r="EH12" s="5">
        <f t="shared" si="40"/>
        <v>4</v>
      </c>
      <c r="EI12" s="5"/>
      <c r="EJ12" s="5" t="str">
        <f t="shared" si="41"/>
        <v>RES</v>
      </c>
      <c r="EK12" s="5" t="str">
        <f t="shared" si="42"/>
        <v>SUP</v>
      </c>
      <c r="EL12" s="5" t="str">
        <f t="shared" si="43"/>
        <v>RES</v>
      </c>
      <c r="EM12" s="5" t="str">
        <f t="shared" si="44"/>
        <v>SUP</v>
      </c>
      <c r="EN12" s="5" t="str">
        <f t="shared" si="45"/>
        <v>SUP</v>
      </c>
      <c r="EO12" s="5" t="str">
        <f t="shared" si="46"/>
        <v>SUP</v>
      </c>
      <c r="EP12" s="5"/>
      <c r="EQ12" s="8">
        <f t="shared" si="47"/>
        <v>1.4379178948876372E-4</v>
      </c>
      <c r="ER12" s="8">
        <f t="shared" si="48"/>
        <v>-5.9477512924926426E-4</v>
      </c>
      <c r="ES12" s="8">
        <f t="shared" si="49"/>
        <v>1.6993575121405427E-3</v>
      </c>
      <c r="ET12" s="8">
        <f t="shared" si="50"/>
        <v>-2.8366198471885275E-3</v>
      </c>
      <c r="EU12" s="8">
        <f t="shared" si="51"/>
        <v>-2.6013241916613581E-3</v>
      </c>
      <c r="EV12" s="8">
        <f t="shared" si="52"/>
        <v>-1.4379178948881945E-3</v>
      </c>
      <c r="EW12" s="8"/>
      <c r="EX12" s="8">
        <f t="shared" si="53"/>
        <v>0.62536023054755729</v>
      </c>
      <c r="EY12" s="9">
        <f t="shared" si="54"/>
        <v>2</v>
      </c>
      <c r="EZ12" s="10">
        <f t="shared" si="55"/>
        <v>4</v>
      </c>
      <c r="FA12" s="8">
        <f t="shared" si="86"/>
        <v>1.6993575121405427E-3</v>
      </c>
      <c r="FB12" s="8">
        <f t="shared" si="87"/>
        <v>1.4379178948876372E-4</v>
      </c>
      <c r="FC12" s="8">
        <f t="shared" si="88"/>
        <v>-5.9477512924926426E-4</v>
      </c>
      <c r="FD12" s="8">
        <f t="shared" si="89"/>
        <v>-1.4379178948881945E-3</v>
      </c>
      <c r="FE12" s="8">
        <f t="shared" si="90"/>
        <v>-2.6013241916613581E-3</v>
      </c>
      <c r="FF12" s="8">
        <f t="shared" si="91"/>
        <v>-2.8366198471885275E-3</v>
      </c>
      <c r="FG12" s="5"/>
      <c r="FH12" s="5" t="str">
        <f t="shared" si="56"/>
        <v>-----</v>
      </c>
      <c r="FI12" s="5" t="str">
        <f t="shared" si="92"/>
        <v>Flat Momentum</v>
      </c>
      <c r="FJ12" s="5"/>
      <c r="FK12" s="5" t="str">
        <f t="shared" si="93"/>
        <v>-----</v>
      </c>
      <c r="FL12" s="5" t="str">
        <f t="shared" si="94"/>
        <v>-----</v>
      </c>
      <c r="FM12" s="5"/>
      <c r="FN12" s="5"/>
      <c r="FO12" s="5"/>
      <c r="FP12" s="5"/>
      <c r="FQ12" s="14">
        <f t="shared" si="57"/>
        <v>-9.2041359862146557E-4</v>
      </c>
      <c r="FR12" s="14">
        <f t="shared" si="58"/>
        <v>-1.3558359892427192</v>
      </c>
      <c r="FS12" s="14" t="str">
        <f t="shared" si="59"/>
        <v>-----</v>
      </c>
      <c r="FT12" s="14" t="str">
        <f t="shared" si="60"/>
        <v>Bearish</v>
      </c>
      <c r="FU12" s="5" t="str">
        <f t="shared" si="95"/>
        <v>-----</v>
      </c>
      <c r="FV12" s="5" t="str">
        <f t="shared" si="96"/>
        <v>TEMA crossunder</v>
      </c>
      <c r="FW12" s="5"/>
      <c r="FX12" s="15" t="str">
        <f t="shared" si="103"/>
        <v>-----</v>
      </c>
      <c r="FY12" s="15" t="str">
        <f t="shared" si="104"/>
        <v>-----</v>
      </c>
      <c r="FZ12" s="15" t="str">
        <f t="shared" si="105"/>
        <v>-----</v>
      </c>
      <c r="GA12" s="15" t="str">
        <f t="shared" si="106"/>
        <v>YES</v>
      </c>
      <c r="GB12" s="16" t="str">
        <f t="shared" si="107"/>
        <v>-----</v>
      </c>
      <c r="GC12" s="16" t="str">
        <f t="shared" si="108"/>
        <v>-----</v>
      </c>
      <c r="GD12" s="16" t="str">
        <f t="shared" si="109"/>
        <v>YES</v>
      </c>
      <c r="GE12" s="16" t="str">
        <f t="shared" si="112"/>
        <v>YES</v>
      </c>
      <c r="GF12" s="15" t="str">
        <f t="shared" si="110"/>
        <v>-----</v>
      </c>
      <c r="GG12" s="16" t="str">
        <f t="shared" si="111"/>
        <v>-----</v>
      </c>
      <c r="GH12" s="14"/>
      <c r="GI12" s="5" t="str">
        <f t="shared" si="61"/>
        <v>-----</v>
      </c>
      <c r="GJ12" s="5" t="str">
        <f t="shared" si="62"/>
        <v>-----</v>
      </c>
      <c r="GK12" s="5"/>
      <c r="GL12" s="5" t="str">
        <f t="shared" si="63"/>
        <v>-----</v>
      </c>
      <c r="GM12" s="5" t="str">
        <f t="shared" si="64"/>
        <v>-----</v>
      </c>
      <c r="GN12" s="5"/>
      <c r="GO12" s="12">
        <f t="shared" si="65"/>
        <v>9.4999999999998863E-2</v>
      </c>
      <c r="GP12" s="5">
        <f t="shared" si="97"/>
        <v>0.44301684793673007</v>
      </c>
      <c r="GQ12" s="13" t="str">
        <f t="shared" si="98"/>
        <v>-----</v>
      </c>
      <c r="GR12" s="5"/>
      <c r="GS12">
        <f t="shared" si="99"/>
        <v>0.95219485242788826</v>
      </c>
      <c r="GT12" s="5" t="str">
        <f t="shared" si="100"/>
        <v>-----</v>
      </c>
    </row>
    <row r="13" spans="1:202" x14ac:dyDescent="0.55000000000000004">
      <c r="A13">
        <v>9</v>
      </c>
      <c r="B13" t="s">
        <v>12</v>
      </c>
      <c r="C13" t="s">
        <v>4</v>
      </c>
      <c r="D13" t="s">
        <v>103</v>
      </c>
      <c r="E13">
        <v>152.988</v>
      </c>
      <c r="F13">
        <v>153.03399999999999</v>
      </c>
      <c r="G13">
        <v>152.96199999999999</v>
      </c>
      <c r="H13">
        <v>152.999</v>
      </c>
      <c r="I13">
        <v>510</v>
      </c>
      <c r="J13">
        <v>153.01900000000001</v>
      </c>
      <c r="K13">
        <v>152.90799999999999</v>
      </c>
      <c r="L13">
        <v>153.25800000000001</v>
      </c>
      <c r="M13">
        <v>152.566</v>
      </c>
      <c r="N13">
        <v>152.601</v>
      </c>
      <c r="O13">
        <v>152.78100000000001</v>
      </c>
      <c r="P13">
        <v>0</v>
      </c>
      <c r="Q13">
        <v>0</v>
      </c>
      <c r="R13">
        <v>0</v>
      </c>
      <c r="S13">
        <v>0</v>
      </c>
      <c r="T13">
        <v>0</v>
      </c>
      <c r="U13">
        <v>0.85755999999999999</v>
      </c>
      <c r="V13">
        <v>0</v>
      </c>
      <c r="W13">
        <v>153.53522000000001</v>
      </c>
      <c r="X13">
        <v>153.45367999999999</v>
      </c>
      <c r="Y13">
        <v>153.37213</v>
      </c>
      <c r="Z13">
        <v>153.29059000000001</v>
      </c>
      <c r="AA13">
        <v>153.20904999999999</v>
      </c>
      <c r="AB13">
        <v>153.09541999999999</v>
      </c>
      <c r="AC13">
        <v>153.01387</v>
      </c>
      <c r="AD13">
        <v>152.93233000000001</v>
      </c>
      <c r="AE13">
        <v>152.85078999999999</v>
      </c>
      <c r="AF13">
        <v>152.76924</v>
      </c>
      <c r="AG13">
        <v>152.99299999999999</v>
      </c>
      <c r="AH13">
        <v>153.03200000000001</v>
      </c>
      <c r="AI13">
        <v>153.17699999999999</v>
      </c>
      <c r="AJ13">
        <v>153.28899999999999</v>
      </c>
      <c r="AK13">
        <v>153.03700000000001</v>
      </c>
      <c r="AL13">
        <v>152.958</v>
      </c>
      <c r="AM13" s="11">
        <f t="shared" si="0"/>
        <v>7.2000000000002728E-2</v>
      </c>
      <c r="AN13" s="11">
        <f t="shared" si="66"/>
        <v>3.4999999999996589E-2</v>
      </c>
      <c r="AO13" s="11">
        <f t="shared" si="67"/>
        <v>3.7000000000006139E-2</v>
      </c>
      <c r="AP13" s="11">
        <f t="shared" si="68"/>
        <v>7.2000000000002728E-2</v>
      </c>
      <c r="AR13" s="5" t="str">
        <f t="shared" si="1"/>
        <v>------</v>
      </c>
      <c r="AS13" s="5" t="str">
        <f t="shared" si="2"/>
        <v>------</v>
      </c>
      <c r="AT13" t="str">
        <f t="shared" si="3"/>
        <v/>
      </c>
      <c r="AV13" s="2">
        <f t="shared" si="4"/>
        <v>153.04195285000003</v>
      </c>
      <c r="AW13" s="2">
        <f t="shared" si="5"/>
        <v>152.99604715000001</v>
      </c>
      <c r="AX13" s="2">
        <f t="shared" si="6"/>
        <v>152.93093619999999</v>
      </c>
      <c r="AY13" s="2">
        <f t="shared" si="7"/>
        <v>152.88506379999998</v>
      </c>
      <c r="AZ13" s="2">
        <f t="shared" si="8"/>
        <v>153.28098870000002</v>
      </c>
      <c r="BA13" s="2">
        <f t="shared" si="9"/>
        <v>153.23501130000002</v>
      </c>
      <c r="BB13" s="2">
        <f t="shared" si="10"/>
        <v>152.58888490000001</v>
      </c>
      <c r="BC13" s="2">
        <f t="shared" si="11"/>
        <v>152.54311509999999</v>
      </c>
      <c r="BD13" s="2">
        <f t="shared" si="12"/>
        <v>152.62389015000002</v>
      </c>
      <c r="BE13" s="2">
        <f t="shared" si="13"/>
        <v>152.57810985</v>
      </c>
      <c r="BF13" s="2">
        <f t="shared" si="14"/>
        <v>152.80391715000002</v>
      </c>
      <c r="BG13" s="2">
        <f t="shared" si="15"/>
        <v>152.75808285000002</v>
      </c>
      <c r="BI13" s="5" t="str">
        <f t="shared" si="69"/>
        <v>TOUCH</v>
      </c>
      <c r="BJ13" s="5" t="str">
        <f t="shared" si="70"/>
        <v>-----</v>
      </c>
      <c r="BK13" s="5" t="str">
        <f t="shared" si="71"/>
        <v>-----</v>
      </c>
      <c r="BL13" s="5" t="str">
        <f t="shared" si="72"/>
        <v>-----</v>
      </c>
      <c r="BM13" s="5" t="str">
        <f t="shared" si="73"/>
        <v>-----</v>
      </c>
      <c r="BN13" s="5" t="str">
        <f t="shared" si="74"/>
        <v>-----</v>
      </c>
      <c r="BO13" s="5"/>
      <c r="BP13" s="5">
        <f t="shared" si="75"/>
        <v>0</v>
      </c>
      <c r="BQ13" s="5">
        <f t="shared" si="75"/>
        <v>9</v>
      </c>
      <c r="BR13" s="5">
        <f t="shared" si="75"/>
        <v>7</v>
      </c>
      <c r="BS13" s="5">
        <f t="shared" si="75"/>
        <v>9</v>
      </c>
      <c r="BT13" s="5">
        <f t="shared" si="75"/>
        <v>9</v>
      </c>
      <c r="BU13" s="5">
        <f t="shared" si="75"/>
        <v>9</v>
      </c>
      <c r="BV13" s="5">
        <f t="shared" si="76"/>
        <v>7</v>
      </c>
      <c r="BW13" s="5">
        <f t="shared" si="76"/>
        <v>0</v>
      </c>
      <c r="BX13" s="5">
        <f t="shared" si="76"/>
        <v>2</v>
      </c>
      <c r="BY13" s="5">
        <f t="shared" si="76"/>
        <v>0</v>
      </c>
      <c r="BZ13" s="5">
        <f t="shared" si="76"/>
        <v>0</v>
      </c>
      <c r="CA13" s="5">
        <f t="shared" si="76"/>
        <v>0</v>
      </c>
      <c r="CB13" s="5">
        <f t="shared" si="102"/>
        <v>7</v>
      </c>
      <c r="CC13" s="5" t="str">
        <f t="shared" si="101"/>
        <v>-----</v>
      </c>
      <c r="CD13" s="5" t="str">
        <f t="shared" si="18"/>
        <v>-----</v>
      </c>
      <c r="CE13" s="5" t="str">
        <f t="shared" si="18"/>
        <v>-----</v>
      </c>
      <c r="CF13" s="5" t="str">
        <f t="shared" si="18"/>
        <v>-----</v>
      </c>
      <c r="CG13" s="5" t="str">
        <f t="shared" si="18"/>
        <v>-----</v>
      </c>
      <c r="CH13" s="5"/>
      <c r="CI13" s="17">
        <f t="shared" si="19"/>
        <v>-1.3070272319130454E-4</v>
      </c>
      <c r="CJ13" s="17" t="str">
        <f t="shared" si="20"/>
        <v>-----</v>
      </c>
      <c r="CK13" s="17" t="str">
        <f t="shared" si="21"/>
        <v>-----</v>
      </c>
      <c r="CL13" s="17" t="str">
        <f t="shared" si="22"/>
        <v>-----</v>
      </c>
      <c r="CM13" s="17" t="str">
        <f t="shared" si="23"/>
        <v>-----</v>
      </c>
      <c r="CN13" s="17" t="str">
        <f t="shared" si="24"/>
        <v>-----</v>
      </c>
      <c r="CO13" s="5"/>
      <c r="CP13" s="5" t="str">
        <f t="shared" si="77"/>
        <v>Resistant</v>
      </c>
      <c r="CQ13" s="5" t="str">
        <f t="shared" si="25"/>
        <v>-----</v>
      </c>
      <c r="CR13" s="5" t="str">
        <f t="shared" si="25"/>
        <v>-----</v>
      </c>
      <c r="CS13" s="5" t="str">
        <f t="shared" si="25"/>
        <v>-----</v>
      </c>
      <c r="CT13" s="5" t="str">
        <f t="shared" si="25"/>
        <v>-----</v>
      </c>
      <c r="CU13" s="5" t="str">
        <f t="shared" si="25"/>
        <v>-----</v>
      </c>
      <c r="CV13" s="5"/>
      <c r="CW13" s="17">
        <f t="shared" si="78"/>
        <v>1.3070272319130454E-4</v>
      </c>
      <c r="CX13" s="17" t="str">
        <f t="shared" si="26"/>
        <v/>
      </c>
      <c r="CY13" s="17" t="str">
        <f t="shared" si="26"/>
        <v/>
      </c>
      <c r="CZ13" s="17" t="str">
        <f t="shared" si="26"/>
        <v/>
      </c>
      <c r="DA13" s="17" t="str">
        <f t="shared" si="26"/>
        <v/>
      </c>
      <c r="DB13" s="17" t="str">
        <f t="shared" si="26"/>
        <v/>
      </c>
      <c r="DC13" s="8"/>
      <c r="DD13" s="5">
        <f t="shared" si="27"/>
        <v>1</v>
      </c>
      <c r="DE13" s="17">
        <f t="shared" si="79"/>
        <v>1.3070272319130454E-4</v>
      </c>
      <c r="DF13" s="5" t="str" cm="1">
        <f t="array" ref="DF13">_xlfn.IFS(DE13=CW13,CP13,DE13=CX13,CQ13,DE13=CY13,CR13,DE13=CZ13,CS13,DE13=DA13,CT13,DE13=DB13,CU13,TRUE,"----- ")</f>
        <v>Resistant</v>
      </c>
      <c r="DG13" s="5"/>
      <c r="DH13" s="5">
        <f t="shared" si="80"/>
        <v>-2.423265306122455E-3</v>
      </c>
      <c r="DI13" s="5">
        <f t="shared" si="81"/>
        <v>-3.7194805194805478E-4</v>
      </c>
      <c r="DJ13" s="5">
        <f t="shared" si="82"/>
        <v>-1.6402721088435472E-3</v>
      </c>
      <c r="DK13" s="5">
        <f t="shared" si="83"/>
        <v>7.6471243042669956E-4</v>
      </c>
      <c r="DL13" s="5">
        <f t="shared" si="84"/>
        <v>-2.3081014223875058E-4</v>
      </c>
      <c r="DM13" s="5">
        <f t="shared" si="85"/>
        <v>1.5802844774273381E-3</v>
      </c>
      <c r="DO13" s="5">
        <f t="shared" si="29"/>
        <v>-1.9079214597220278</v>
      </c>
      <c r="DP13" s="5">
        <f t="shared" si="30"/>
        <v>-0.29295343676527091</v>
      </c>
      <c r="DQ13" s="5">
        <f t="shared" si="31"/>
        <v>-1.2917022253843653</v>
      </c>
      <c r="DR13" s="5">
        <f t="shared" si="32"/>
        <v>0.60228527619529781</v>
      </c>
      <c r="DS13" s="5">
        <f t="shared" si="33"/>
        <v>-0.18179147971962978</v>
      </c>
      <c r="DT13" s="5">
        <f t="shared" si="34"/>
        <v>1.2444775446344229</v>
      </c>
      <c r="DV13" t="str" cm="1">
        <f t="array" ref="DV13">_xlfn.IFS(DO13&gt;3,"Strong + Slope",DO13&gt;1.5,"Moderate + Slope",DO13&gt;0.5,"Sideway + Slope",DO13&gt;=-0.5,"Sideway Flat",DO13&gt;=-1.5,"Sideway - Slope",DO13&gt;=-3,"Moderate - Slope",TRUE,"Strong - Slope")</f>
        <v>Moderate - Slope</v>
      </c>
      <c r="DW13" t="str" cm="1">
        <f t="array" ref="DW13">_xlfn.IFS(DP13&gt;3,"Strong + Slope",DP13&gt;1.5,"Moderate + Slope",DP13&gt;0.5,"Sideway + Slope",DP13&gt;=-0.5,"Sideway Flat",DP13&gt;=-1.5,"Sideway - Slope",DP13&gt;=-3,"Moderate - Slope",TRUE,"Strong - Slope")</f>
        <v>Sideway Flat</v>
      </c>
      <c r="DX13" t="str" cm="1">
        <f t="array" ref="DX13">_xlfn.IFS(DQ13&gt;3,"Strong + Slope",DQ13&gt;1.5,"Moderate + Slope",DQ13&gt;0.5,"Sideway + Slope",DQ13&gt;=-0.5,"Sideway Flat",DQ13&gt;=-1.5,"Sideway - Slope",DQ13&gt;=-3,"Moderate - Slope",TRUE,"Strong - Slope")</f>
        <v>Sideway - Slope</v>
      </c>
      <c r="DY13" t="str" cm="1">
        <f t="array" ref="DY13">_xlfn.IFS(DR13&gt;3,"Strong + Slope",DR13&gt;1.5,"Moderate + Slope",DR13&gt;0.5,"Sideway + Slope",DR13&gt;=-0.5,"Sideway Flat",DR13&gt;=-1.5,"Sideway - Slope",DR13&gt;=-3,"Moderate - Slope",TRUE,"Strong - Slope")</f>
        <v>Sideway + Slope</v>
      </c>
      <c r="DZ13" t="str" cm="1">
        <f t="array" ref="DZ13">_xlfn.IFS(DS13&gt;3,"Strong + Slope",DS13&gt;1.5,"Moderate + Slope",DS13&gt;0.5,"Sideway + Slope",DS13&gt;=-0.5,"Sideway Flat",DS13&gt;=-1.5,"Sideway - Slope",DS13&gt;=-3,"Moderate - Slope",TRUE,"Strong - Slope")</f>
        <v>Sideway Flat</v>
      </c>
      <c r="EA13" t="str" cm="1">
        <f t="array" ref="EA13">_xlfn.IFS(DT13&gt;3,"Strong + Slope",DT13&gt;1.5,"Moderate + Slope",DT13&gt;0.5,"Sideway + Slope",DT13&gt;=-0.5,"Sideway Flat",DT13&gt;=-1.5,"Sideway - Slope",DT13&gt;=-3,"Moderate - Slope",TRUE,"Strong - Slope")</f>
        <v>Sideway + Slope</v>
      </c>
      <c r="EB13" s="5"/>
      <c r="EC13" s="5">
        <f t="shared" si="35"/>
        <v>2</v>
      </c>
      <c r="ED13" s="5">
        <f t="shared" si="36"/>
        <v>3</v>
      </c>
      <c r="EE13" s="5">
        <f t="shared" si="37"/>
        <v>1</v>
      </c>
      <c r="EF13" s="5">
        <f t="shared" si="38"/>
        <v>6</v>
      </c>
      <c r="EG13" s="5">
        <f t="shared" si="39"/>
        <v>5</v>
      </c>
      <c r="EH13" s="5">
        <f t="shared" si="40"/>
        <v>4</v>
      </c>
      <c r="EI13" s="5"/>
      <c r="EJ13" s="5" t="str">
        <f t="shared" si="41"/>
        <v>RES</v>
      </c>
      <c r="EK13" s="5" t="str">
        <f t="shared" si="42"/>
        <v>SUP</v>
      </c>
      <c r="EL13" s="5" t="str">
        <f t="shared" si="43"/>
        <v>RES</v>
      </c>
      <c r="EM13" s="5" t="str">
        <f t="shared" si="44"/>
        <v>SUP</v>
      </c>
      <c r="EN13" s="5" t="str">
        <f t="shared" si="45"/>
        <v>SUP</v>
      </c>
      <c r="EO13" s="5" t="str">
        <f t="shared" si="46"/>
        <v>SUP</v>
      </c>
      <c r="EP13" s="5"/>
      <c r="EQ13" s="8">
        <f t="shared" si="47"/>
        <v>1.3071980862626705E-4</v>
      </c>
      <c r="ER13" s="8">
        <f t="shared" si="48"/>
        <v>-5.9477512924926426E-4</v>
      </c>
      <c r="ES13" s="8">
        <f t="shared" si="49"/>
        <v>1.6928215217093874E-3</v>
      </c>
      <c r="ET13" s="8">
        <f t="shared" si="50"/>
        <v>-2.8300838567571862E-3</v>
      </c>
      <c r="EU13" s="8">
        <f t="shared" si="51"/>
        <v>-2.6013241916613581E-3</v>
      </c>
      <c r="EV13" s="8">
        <f t="shared" si="52"/>
        <v>-1.4248459140255121E-3</v>
      </c>
      <c r="EW13" s="8"/>
      <c r="EX13" s="8">
        <f t="shared" si="53"/>
        <v>0.62572254335258404</v>
      </c>
      <c r="EY13" s="9">
        <f t="shared" si="54"/>
        <v>2</v>
      </c>
      <c r="EZ13" s="10">
        <f t="shared" si="55"/>
        <v>4</v>
      </c>
      <c r="FA13" s="8">
        <f t="shared" si="86"/>
        <v>1.6928215217093874E-3</v>
      </c>
      <c r="FB13" s="8">
        <f t="shared" si="87"/>
        <v>1.3071980862626705E-4</v>
      </c>
      <c r="FC13" s="8">
        <f t="shared" si="88"/>
        <v>-5.9477512924926426E-4</v>
      </c>
      <c r="FD13" s="8">
        <f t="shared" si="89"/>
        <v>-1.4248459140255121E-3</v>
      </c>
      <c r="FE13" s="8">
        <f t="shared" si="90"/>
        <v>-2.6013241916613581E-3</v>
      </c>
      <c r="FF13" s="8">
        <f t="shared" si="91"/>
        <v>-2.8300838567571862E-3</v>
      </c>
      <c r="FG13" s="5"/>
      <c r="FH13" s="5" t="str">
        <f t="shared" si="56"/>
        <v>-----</v>
      </c>
      <c r="FI13" s="5" t="str">
        <f t="shared" si="92"/>
        <v>Flat Momentum</v>
      </c>
      <c r="FJ13" s="5"/>
      <c r="FK13" s="5" t="str">
        <f t="shared" si="93"/>
        <v>-----</v>
      </c>
      <c r="FL13" s="5" t="str">
        <f t="shared" si="94"/>
        <v>-----</v>
      </c>
      <c r="FM13" s="5"/>
      <c r="FN13" s="5"/>
      <c r="FO13" s="5"/>
      <c r="FP13" s="5"/>
      <c r="FQ13" s="14">
        <f t="shared" si="57"/>
        <v>-9.4661731199841893E-4</v>
      </c>
      <c r="FR13" s="14">
        <f t="shared" si="58"/>
        <v>-1.4314088815776156</v>
      </c>
      <c r="FS13" s="14" t="str">
        <f t="shared" si="59"/>
        <v>-----</v>
      </c>
      <c r="FT13" s="14" t="str">
        <f t="shared" si="60"/>
        <v>Bearish</v>
      </c>
      <c r="FU13" s="5" t="str">
        <f t="shared" si="95"/>
        <v>TEMA crossover</v>
      </c>
      <c r="FV13" s="5" t="str">
        <f t="shared" si="96"/>
        <v>-----</v>
      </c>
      <c r="FW13" s="5"/>
      <c r="FX13" s="15" t="str">
        <f t="shared" si="103"/>
        <v>-----</v>
      </c>
      <c r="FY13" s="15" t="str">
        <f t="shared" si="104"/>
        <v>-----</v>
      </c>
      <c r="FZ13" s="15" t="str">
        <f t="shared" si="105"/>
        <v>-----</v>
      </c>
      <c r="GA13" s="15" t="str">
        <f t="shared" si="106"/>
        <v>YES</v>
      </c>
      <c r="GB13" s="16" t="str">
        <f t="shared" si="107"/>
        <v>-----</v>
      </c>
      <c r="GC13" s="16" t="str">
        <f t="shared" si="108"/>
        <v>-----</v>
      </c>
      <c r="GD13" s="16" t="str">
        <f t="shared" si="109"/>
        <v>YES</v>
      </c>
      <c r="GE13" s="16" t="str">
        <f t="shared" si="112"/>
        <v>YES</v>
      </c>
      <c r="GF13" s="15" t="str">
        <f t="shared" si="110"/>
        <v>-----</v>
      </c>
      <c r="GG13" s="16" t="str">
        <f t="shared" si="111"/>
        <v>-----</v>
      </c>
      <c r="GH13" s="14"/>
      <c r="GI13" s="5" t="str">
        <f t="shared" si="61"/>
        <v>-----</v>
      </c>
      <c r="GJ13" s="5" t="str">
        <f t="shared" si="62"/>
        <v>-----</v>
      </c>
      <c r="GK13" s="5"/>
      <c r="GL13" s="5" t="str">
        <f t="shared" si="63"/>
        <v>-----</v>
      </c>
      <c r="GM13" s="5" t="str">
        <f t="shared" si="64"/>
        <v>-----</v>
      </c>
      <c r="GN13" s="5"/>
      <c r="GO13" s="12">
        <f t="shared" si="65"/>
        <v>7.9000000000007731E-2</v>
      </c>
      <c r="GP13" s="5">
        <f t="shared" si="97"/>
        <v>7.4262939827686447E-2</v>
      </c>
      <c r="GQ13" s="13" t="str">
        <f t="shared" si="98"/>
        <v>-----</v>
      </c>
      <c r="GR13" s="5"/>
      <c r="GS13">
        <f t="shared" si="99"/>
        <v>1.4297263070340431</v>
      </c>
      <c r="GT13" s="5" t="str">
        <f t="shared" si="100"/>
        <v>-----</v>
      </c>
    </row>
    <row r="14" spans="1:202" x14ac:dyDescent="0.55000000000000004">
      <c r="A14">
        <v>10</v>
      </c>
      <c r="B14" t="s">
        <v>13</v>
      </c>
      <c r="C14" t="s">
        <v>4</v>
      </c>
      <c r="D14" t="s">
        <v>103</v>
      </c>
      <c r="E14">
        <v>152.999</v>
      </c>
      <c r="F14">
        <v>153.00399999999999</v>
      </c>
      <c r="G14">
        <v>152.82400000000001</v>
      </c>
      <c r="H14">
        <v>152.89699999999999</v>
      </c>
      <c r="I14">
        <v>482</v>
      </c>
      <c r="J14">
        <v>153.01599999999999</v>
      </c>
      <c r="K14">
        <v>152.90799999999999</v>
      </c>
      <c r="L14">
        <v>153.256</v>
      </c>
      <c r="M14">
        <v>152.56700000000001</v>
      </c>
      <c r="N14">
        <v>152.601</v>
      </c>
      <c r="O14">
        <v>152.78200000000001</v>
      </c>
      <c r="P14">
        <v>0</v>
      </c>
      <c r="Q14">
        <v>0</v>
      </c>
      <c r="R14">
        <v>0</v>
      </c>
      <c r="S14">
        <v>0</v>
      </c>
      <c r="T14">
        <v>0</v>
      </c>
      <c r="U14">
        <v>1.2274099999999999</v>
      </c>
      <c r="V14">
        <v>3</v>
      </c>
      <c r="W14">
        <v>153.51904999999999</v>
      </c>
      <c r="X14">
        <v>153.43704</v>
      </c>
      <c r="Y14">
        <v>153.35503</v>
      </c>
      <c r="Z14">
        <v>153.27302</v>
      </c>
      <c r="AA14">
        <v>153.191</v>
      </c>
      <c r="AB14">
        <v>153.07550000000001</v>
      </c>
      <c r="AC14">
        <v>152.99349000000001</v>
      </c>
      <c r="AD14">
        <v>152.91148000000001</v>
      </c>
      <c r="AE14">
        <v>152.82946999999999</v>
      </c>
      <c r="AF14">
        <v>152.74745999999999</v>
      </c>
      <c r="AG14">
        <v>152.941</v>
      </c>
      <c r="AH14">
        <v>153.005</v>
      </c>
      <c r="AI14">
        <v>153.15700000000001</v>
      </c>
      <c r="AJ14">
        <v>153.28</v>
      </c>
      <c r="AK14">
        <v>153.00800000000001</v>
      </c>
      <c r="AL14">
        <v>152.886</v>
      </c>
      <c r="AM14" s="11">
        <f t="shared" si="0"/>
        <v>0.1799999999999784</v>
      </c>
      <c r="AN14" s="11">
        <f t="shared" si="66"/>
        <v>4.9999999999954525E-3</v>
      </c>
      <c r="AO14" s="11">
        <f t="shared" si="67"/>
        <v>0.17499999999998295</v>
      </c>
      <c r="AP14" s="11">
        <f t="shared" si="68"/>
        <v>0.1799999999999784</v>
      </c>
      <c r="AR14" s="5" t="str">
        <f t="shared" si="1"/>
        <v>------</v>
      </c>
      <c r="AS14" s="5" t="str">
        <f t="shared" si="2"/>
        <v>------</v>
      </c>
      <c r="AT14" t="str">
        <f t="shared" si="3"/>
        <v/>
      </c>
      <c r="AV14" s="2">
        <f t="shared" si="4"/>
        <v>153.0389524</v>
      </c>
      <c r="AW14" s="2">
        <f t="shared" si="5"/>
        <v>152.99304759999998</v>
      </c>
      <c r="AX14" s="2">
        <f t="shared" si="6"/>
        <v>152.93093619999999</v>
      </c>
      <c r="AY14" s="2">
        <f t="shared" si="7"/>
        <v>152.88506379999998</v>
      </c>
      <c r="AZ14" s="2">
        <f t="shared" si="8"/>
        <v>153.2789884</v>
      </c>
      <c r="BA14" s="2">
        <f t="shared" si="9"/>
        <v>153.2330116</v>
      </c>
      <c r="BB14" s="2">
        <f t="shared" si="10"/>
        <v>152.58988505000002</v>
      </c>
      <c r="BC14" s="2">
        <f t="shared" si="11"/>
        <v>152.54411495000002</v>
      </c>
      <c r="BD14" s="2">
        <f t="shared" si="12"/>
        <v>152.62389015000002</v>
      </c>
      <c r="BE14" s="2">
        <f t="shared" si="13"/>
        <v>152.57810985</v>
      </c>
      <c r="BF14" s="2">
        <f t="shared" si="14"/>
        <v>152.80491730000003</v>
      </c>
      <c r="BG14" s="2">
        <f t="shared" si="15"/>
        <v>152.75908270000002</v>
      </c>
      <c r="BI14" s="5" t="str">
        <f t="shared" si="69"/>
        <v>TOUCH</v>
      </c>
      <c r="BJ14" s="5" t="str">
        <f t="shared" si="70"/>
        <v>TOUCH</v>
      </c>
      <c r="BK14" s="5" t="str">
        <f t="shared" si="71"/>
        <v>-----</v>
      </c>
      <c r="BL14" s="5" t="str">
        <f t="shared" si="72"/>
        <v>-----</v>
      </c>
      <c r="BM14" s="5" t="str">
        <f t="shared" si="73"/>
        <v>-----</v>
      </c>
      <c r="BN14" s="5" t="str">
        <f t="shared" si="74"/>
        <v>-----</v>
      </c>
      <c r="BO14" s="5"/>
      <c r="BP14" s="5">
        <f t="shared" si="75"/>
        <v>0</v>
      </c>
      <c r="BQ14" s="5">
        <f t="shared" si="75"/>
        <v>0</v>
      </c>
      <c r="BR14" s="5">
        <f t="shared" si="75"/>
        <v>8</v>
      </c>
      <c r="BS14" s="5">
        <f t="shared" si="75"/>
        <v>10</v>
      </c>
      <c r="BT14" s="5">
        <f t="shared" si="75"/>
        <v>10</v>
      </c>
      <c r="BU14" s="5">
        <f t="shared" si="75"/>
        <v>10</v>
      </c>
      <c r="BV14" s="5">
        <f t="shared" si="76"/>
        <v>8</v>
      </c>
      <c r="BW14" s="5">
        <f t="shared" si="76"/>
        <v>1</v>
      </c>
      <c r="BX14" s="5">
        <f t="shared" si="76"/>
        <v>2</v>
      </c>
      <c r="BY14" s="5">
        <f t="shared" si="76"/>
        <v>0</v>
      </c>
      <c r="BZ14" s="5">
        <f t="shared" si="76"/>
        <v>0</v>
      </c>
      <c r="CA14" s="5">
        <f t="shared" si="76"/>
        <v>0</v>
      </c>
      <c r="CB14" s="5">
        <f t="shared" si="102"/>
        <v>8</v>
      </c>
      <c r="CC14" s="5">
        <f t="shared" si="101"/>
        <v>1</v>
      </c>
      <c r="CD14" s="5" t="str">
        <f t="shared" si="18"/>
        <v>-----</v>
      </c>
      <c r="CE14" s="5" t="str">
        <f t="shared" si="18"/>
        <v>-----</v>
      </c>
      <c r="CF14" s="5" t="str">
        <f t="shared" si="18"/>
        <v>-----</v>
      </c>
      <c r="CG14" s="5" t="str">
        <f t="shared" si="18"/>
        <v>-----</v>
      </c>
      <c r="CH14" s="5"/>
      <c r="CI14" s="17">
        <f t="shared" si="19"/>
        <v>-7.7769645004443838E-4</v>
      </c>
      <c r="CJ14" s="17">
        <f t="shared" si="20"/>
        <v>7.0630706045467933E-4</v>
      </c>
      <c r="CK14" s="17" t="str">
        <f t="shared" si="21"/>
        <v>-----</v>
      </c>
      <c r="CL14" s="17" t="str">
        <f t="shared" si="22"/>
        <v>-----</v>
      </c>
      <c r="CM14" s="17" t="str">
        <f t="shared" si="23"/>
        <v>-----</v>
      </c>
      <c r="CN14" s="17" t="str">
        <f t="shared" si="24"/>
        <v>-----</v>
      </c>
      <c r="CO14" s="5"/>
      <c r="CP14" s="5" t="str">
        <f t="shared" si="77"/>
        <v>Resistant</v>
      </c>
      <c r="CQ14" s="5" t="str">
        <f t="shared" si="25"/>
        <v>Support</v>
      </c>
      <c r="CR14" s="5" t="str">
        <f t="shared" si="25"/>
        <v>-----</v>
      </c>
      <c r="CS14" s="5" t="str">
        <f t="shared" si="25"/>
        <v>-----</v>
      </c>
      <c r="CT14" s="5" t="str">
        <f t="shared" si="25"/>
        <v>-----</v>
      </c>
      <c r="CU14" s="5" t="str">
        <f t="shared" si="25"/>
        <v>-----</v>
      </c>
      <c r="CV14" s="5"/>
      <c r="CW14" s="17">
        <f t="shared" si="78"/>
        <v>7.7769645004443838E-4</v>
      </c>
      <c r="CX14" s="17">
        <f t="shared" si="26"/>
        <v>7.0630706045467933E-4</v>
      </c>
      <c r="CY14" s="17" t="str">
        <f t="shared" si="26"/>
        <v/>
      </c>
      <c r="CZ14" s="17" t="str">
        <f t="shared" si="26"/>
        <v/>
      </c>
      <c r="DA14" s="17" t="str">
        <f t="shared" si="26"/>
        <v/>
      </c>
      <c r="DB14" s="17" t="str">
        <f t="shared" si="26"/>
        <v/>
      </c>
      <c r="DC14" s="8"/>
      <c r="DD14" s="5">
        <f t="shared" si="27"/>
        <v>2</v>
      </c>
      <c r="DE14" s="17">
        <f t="shared" si="79"/>
        <v>7.0630706045467933E-4</v>
      </c>
      <c r="DF14" s="5" t="str" cm="1">
        <f t="array" ref="DF14">_xlfn.IFS(DE14=CW14,CP14,DE14=CX14,CQ14,DE14=CY14,CR14,DE14=CZ14,CS14,DE14=DA14,CT14,DE14=DB14,CU14,TRUE,"----- ")</f>
        <v>Support</v>
      </c>
      <c r="DG14" s="5"/>
      <c r="DH14" s="5">
        <f t="shared" si="80"/>
        <v>-2.423265306122455E-3</v>
      </c>
      <c r="DI14" s="5">
        <f t="shared" si="81"/>
        <v>-3.7194805194805478E-4</v>
      </c>
      <c r="DJ14" s="5">
        <f t="shared" si="82"/>
        <v>-1.6402721088435472E-3</v>
      </c>
      <c r="DK14" s="5">
        <f t="shared" si="83"/>
        <v>7.6471243042669956E-4</v>
      </c>
      <c r="DL14" s="5">
        <f t="shared" si="84"/>
        <v>-2.3081014223875058E-4</v>
      </c>
      <c r="DM14" s="5">
        <f t="shared" si="85"/>
        <v>1.5802844774273381E-3</v>
      </c>
      <c r="DO14" s="5">
        <f t="shared" si="29"/>
        <v>-1.9079214597220278</v>
      </c>
      <c r="DP14" s="5">
        <f t="shared" si="30"/>
        <v>-0.29295343676527091</v>
      </c>
      <c r="DQ14" s="5">
        <f t="shared" si="31"/>
        <v>-1.2917022253843653</v>
      </c>
      <c r="DR14" s="5">
        <f t="shared" si="32"/>
        <v>0.60228527619529781</v>
      </c>
      <c r="DS14" s="5">
        <f t="shared" si="33"/>
        <v>-0.18179147971962978</v>
      </c>
      <c r="DT14" s="5">
        <f t="shared" si="34"/>
        <v>1.2444775446344229</v>
      </c>
      <c r="DV14" t="str" cm="1">
        <f t="array" ref="DV14">_xlfn.IFS(DO14&gt;3,"Strong + Slope",DO14&gt;1.5,"Moderate + Slope",DO14&gt;0.5,"Sideway + Slope",DO14&gt;=-0.5,"Sideway Flat",DO14&gt;=-1.5,"Sideway - Slope",DO14&gt;=-3,"Moderate - Slope",TRUE,"Strong - Slope")</f>
        <v>Moderate - Slope</v>
      </c>
      <c r="DW14" t="str" cm="1">
        <f t="array" ref="DW14">_xlfn.IFS(DP14&gt;3,"Strong + Slope",DP14&gt;1.5,"Moderate + Slope",DP14&gt;0.5,"Sideway + Slope",DP14&gt;=-0.5,"Sideway Flat",DP14&gt;=-1.5,"Sideway - Slope",DP14&gt;=-3,"Moderate - Slope",TRUE,"Strong - Slope")</f>
        <v>Sideway Flat</v>
      </c>
      <c r="DX14" t="str" cm="1">
        <f t="array" ref="DX14">_xlfn.IFS(DQ14&gt;3,"Strong + Slope",DQ14&gt;1.5,"Moderate + Slope",DQ14&gt;0.5,"Sideway + Slope",DQ14&gt;=-0.5,"Sideway Flat",DQ14&gt;=-1.5,"Sideway - Slope",DQ14&gt;=-3,"Moderate - Slope",TRUE,"Strong - Slope")</f>
        <v>Sideway - Slope</v>
      </c>
      <c r="DY14" t="str" cm="1">
        <f t="array" ref="DY14">_xlfn.IFS(DR14&gt;3,"Strong + Slope",DR14&gt;1.5,"Moderate + Slope",DR14&gt;0.5,"Sideway + Slope",DR14&gt;=-0.5,"Sideway Flat",DR14&gt;=-1.5,"Sideway - Slope",DR14&gt;=-3,"Moderate - Slope",TRUE,"Strong - Slope")</f>
        <v>Sideway + Slope</v>
      </c>
      <c r="DZ14" t="str" cm="1">
        <f t="array" ref="DZ14">_xlfn.IFS(DS14&gt;3,"Strong + Slope",DS14&gt;1.5,"Moderate + Slope",DS14&gt;0.5,"Sideway + Slope",DS14&gt;=-0.5,"Sideway Flat",DS14&gt;=-1.5,"Sideway - Slope",DS14&gt;=-3,"Moderate - Slope",TRUE,"Strong - Slope")</f>
        <v>Sideway Flat</v>
      </c>
      <c r="EA14" t="str" cm="1">
        <f t="array" ref="EA14">_xlfn.IFS(DT14&gt;3,"Strong + Slope",DT14&gt;1.5,"Moderate + Slope",DT14&gt;0.5,"Sideway + Slope",DT14&gt;=-0.5,"Sideway Flat",DT14&gt;=-1.5,"Sideway - Slope",DT14&gt;=-3,"Moderate - Slope",TRUE,"Strong - Slope")</f>
        <v>Sideway + Slope</v>
      </c>
      <c r="EB14" s="5"/>
      <c r="EC14" s="5">
        <f t="shared" si="35"/>
        <v>2</v>
      </c>
      <c r="ED14" s="5">
        <f t="shared" si="36"/>
        <v>3</v>
      </c>
      <c r="EE14" s="5">
        <f t="shared" si="37"/>
        <v>1</v>
      </c>
      <c r="EF14" s="5">
        <f t="shared" si="38"/>
        <v>6</v>
      </c>
      <c r="EG14" s="5">
        <f t="shared" si="39"/>
        <v>5</v>
      </c>
      <c r="EH14" s="5">
        <f t="shared" si="40"/>
        <v>4</v>
      </c>
      <c r="EI14" s="5"/>
      <c r="EJ14" s="5" t="str">
        <f t="shared" si="41"/>
        <v>RES</v>
      </c>
      <c r="EK14" s="5" t="str">
        <f t="shared" si="42"/>
        <v>RES</v>
      </c>
      <c r="EL14" s="5" t="str">
        <f t="shared" si="43"/>
        <v>RES</v>
      </c>
      <c r="EM14" s="5" t="str">
        <f t="shared" si="44"/>
        <v>SUP</v>
      </c>
      <c r="EN14" s="5" t="str">
        <f t="shared" si="45"/>
        <v>SUP</v>
      </c>
      <c r="EO14" s="5" t="str">
        <f t="shared" si="46"/>
        <v>SUP</v>
      </c>
      <c r="EP14" s="5"/>
      <c r="EQ14" s="8">
        <f t="shared" si="47"/>
        <v>7.7830173253889729E-4</v>
      </c>
      <c r="ER14" s="8">
        <f t="shared" si="48"/>
        <v>7.1943857629617848E-5</v>
      </c>
      <c r="ES14" s="8">
        <f t="shared" si="49"/>
        <v>2.3479858990039628E-3</v>
      </c>
      <c r="ET14" s="8">
        <f t="shared" si="50"/>
        <v>-2.1583157288892793E-3</v>
      </c>
      <c r="EU14" s="8">
        <f t="shared" si="51"/>
        <v>-1.9359438053067901E-3</v>
      </c>
      <c r="EV14" s="8">
        <f t="shared" si="52"/>
        <v>-7.5214032976435557E-4</v>
      </c>
      <c r="EW14" s="8"/>
      <c r="EX14" s="8">
        <f t="shared" si="53"/>
        <v>0.47895500725687584</v>
      </c>
      <c r="EY14" s="9">
        <f t="shared" si="54"/>
        <v>3</v>
      </c>
      <c r="EZ14" s="10">
        <f t="shared" si="55"/>
        <v>3</v>
      </c>
      <c r="FA14" s="8">
        <f t="shared" si="86"/>
        <v>2.3479858990039628E-3</v>
      </c>
      <c r="FB14" s="8">
        <f t="shared" si="87"/>
        <v>7.7830173253889729E-4</v>
      </c>
      <c r="FC14" s="8">
        <f t="shared" si="88"/>
        <v>7.1943857629617848E-5</v>
      </c>
      <c r="FD14" s="8">
        <f t="shared" si="89"/>
        <v>-7.5214032976435557E-4</v>
      </c>
      <c r="FE14" s="8">
        <f t="shared" si="90"/>
        <v>-1.9359438053067901E-3</v>
      </c>
      <c r="FF14" s="8">
        <f t="shared" si="91"/>
        <v>-2.1583157288892793E-3</v>
      </c>
      <c r="FG14" s="5"/>
      <c r="FH14" s="5" t="str">
        <f t="shared" si="56"/>
        <v>-----</v>
      </c>
      <c r="FI14" s="5" t="str">
        <f t="shared" si="92"/>
        <v>Flat Momentum</v>
      </c>
      <c r="FJ14" s="5"/>
      <c r="FK14" s="5" t="str">
        <f t="shared" si="93"/>
        <v>-----</v>
      </c>
      <c r="FL14" s="5" t="str">
        <f t="shared" si="94"/>
        <v>-----</v>
      </c>
      <c r="FM14" s="5"/>
      <c r="FN14" s="5"/>
      <c r="FO14" s="5"/>
      <c r="FP14" s="5"/>
      <c r="FQ14" s="14">
        <f t="shared" si="57"/>
        <v>-9.9244566033557225E-4</v>
      </c>
      <c r="FR14" s="14">
        <f t="shared" si="58"/>
        <v>-1.5635802568688719</v>
      </c>
      <c r="FS14" s="14" t="str">
        <f t="shared" si="59"/>
        <v>-----</v>
      </c>
      <c r="FT14" s="14" t="str">
        <f t="shared" si="60"/>
        <v>Bearish</v>
      </c>
      <c r="FU14" s="5" t="str">
        <f t="shared" si="95"/>
        <v>-----</v>
      </c>
      <c r="FV14" s="5" t="str">
        <f t="shared" si="96"/>
        <v>TEMA crossunder</v>
      </c>
      <c r="FW14" s="5"/>
      <c r="FX14" s="15" t="str">
        <f t="shared" si="103"/>
        <v>-----</v>
      </c>
      <c r="FY14" s="15" t="str">
        <f t="shared" si="104"/>
        <v>-----</v>
      </c>
      <c r="FZ14" s="15" t="str">
        <f t="shared" si="105"/>
        <v>-----</v>
      </c>
      <c r="GA14" s="15" t="str">
        <f t="shared" si="106"/>
        <v>YES</v>
      </c>
      <c r="GB14" s="16" t="str">
        <f t="shared" si="107"/>
        <v>-----</v>
      </c>
      <c r="GC14" s="16" t="str">
        <f t="shared" si="108"/>
        <v>-----</v>
      </c>
      <c r="GD14" s="16" t="str">
        <f t="shared" si="109"/>
        <v>YES</v>
      </c>
      <c r="GE14" s="16" t="str">
        <f t="shared" si="112"/>
        <v>YES</v>
      </c>
      <c r="GF14" s="15" t="str">
        <f t="shared" si="110"/>
        <v>-----</v>
      </c>
      <c r="GG14" s="16" t="str">
        <f t="shared" si="111"/>
        <v>-----</v>
      </c>
      <c r="GH14" s="14"/>
      <c r="GI14" s="5" t="str">
        <f t="shared" si="61"/>
        <v>-----</v>
      </c>
      <c r="GJ14" s="5" t="str">
        <f t="shared" si="62"/>
        <v>-----</v>
      </c>
      <c r="GK14" s="5"/>
      <c r="GL14" s="5" t="str">
        <f t="shared" si="63"/>
        <v>-----</v>
      </c>
      <c r="GM14" s="5" t="str">
        <f t="shared" si="64"/>
        <v>-----</v>
      </c>
      <c r="GN14" s="5"/>
      <c r="GO14" s="12">
        <f t="shared" si="65"/>
        <v>0.1220000000000141</v>
      </c>
      <c r="GP14" s="5">
        <f t="shared" si="97"/>
        <v>1.0652890678714371</v>
      </c>
      <c r="GQ14" s="13" t="str">
        <f t="shared" si="98"/>
        <v>-----</v>
      </c>
      <c r="GR14" s="5"/>
      <c r="GS14">
        <f t="shared" si="99"/>
        <v>1.2490387296154981</v>
      </c>
      <c r="GT14" s="5" t="str">
        <f t="shared" si="100"/>
        <v>-----</v>
      </c>
    </row>
    <row r="15" spans="1:202" x14ac:dyDescent="0.55000000000000004">
      <c r="A15">
        <v>11</v>
      </c>
      <c r="B15" t="s">
        <v>14</v>
      </c>
      <c r="C15" t="s">
        <v>4</v>
      </c>
      <c r="D15" t="s">
        <v>103</v>
      </c>
      <c r="E15">
        <v>152.9</v>
      </c>
      <c r="F15">
        <v>152.96199999999999</v>
      </c>
      <c r="G15">
        <v>152.869</v>
      </c>
      <c r="H15">
        <v>152.91</v>
      </c>
      <c r="I15">
        <v>535</v>
      </c>
      <c r="J15">
        <v>153.01400000000001</v>
      </c>
      <c r="K15">
        <v>152.90700000000001</v>
      </c>
      <c r="L15">
        <v>153.255</v>
      </c>
      <c r="M15">
        <v>152.56800000000001</v>
      </c>
      <c r="N15">
        <v>152.601</v>
      </c>
      <c r="O15">
        <v>152.78399999999999</v>
      </c>
      <c r="P15">
        <v>0</v>
      </c>
      <c r="Q15">
        <v>0</v>
      </c>
      <c r="R15">
        <v>0</v>
      </c>
      <c r="S15">
        <v>0</v>
      </c>
      <c r="T15">
        <v>0</v>
      </c>
      <c r="U15">
        <v>0.88166999999999995</v>
      </c>
      <c r="V15">
        <v>0</v>
      </c>
      <c r="W15">
        <v>153.49529999999999</v>
      </c>
      <c r="X15">
        <v>153.41435000000001</v>
      </c>
      <c r="Y15">
        <v>153.33340000000001</v>
      </c>
      <c r="Z15">
        <v>153.25245000000001</v>
      </c>
      <c r="AA15">
        <v>153.17150000000001</v>
      </c>
      <c r="AB15">
        <v>153.05507</v>
      </c>
      <c r="AC15">
        <v>152.97412</v>
      </c>
      <c r="AD15">
        <v>152.89317</v>
      </c>
      <c r="AE15">
        <v>152.81222</v>
      </c>
      <c r="AF15">
        <v>152.73126999999999</v>
      </c>
      <c r="AG15">
        <v>152.91300000000001</v>
      </c>
      <c r="AH15">
        <v>152.97800000000001</v>
      </c>
      <c r="AI15">
        <v>153.13900000000001</v>
      </c>
      <c r="AJ15">
        <v>153.26900000000001</v>
      </c>
      <c r="AK15">
        <v>152.971</v>
      </c>
      <c r="AL15">
        <v>152.864</v>
      </c>
      <c r="AM15" s="11">
        <f t="shared" si="0"/>
        <v>9.2999999999989313E-2</v>
      </c>
      <c r="AN15" s="11">
        <f t="shared" si="66"/>
        <v>6.4999999999997726E-2</v>
      </c>
      <c r="AO15" s="11">
        <f t="shared" si="67"/>
        <v>2.7999999999991587E-2</v>
      </c>
      <c r="AP15" s="11">
        <f t="shared" si="68"/>
        <v>9.2999999999989313E-2</v>
      </c>
      <c r="AR15" s="5" t="str">
        <f t="shared" si="1"/>
        <v>------</v>
      </c>
      <c r="AS15" s="5" t="str">
        <f t="shared" si="2"/>
        <v>------</v>
      </c>
      <c r="AT15" t="str">
        <f t="shared" si="3"/>
        <v/>
      </c>
      <c r="AV15" s="2">
        <f t="shared" si="4"/>
        <v>153.03695210000004</v>
      </c>
      <c r="AW15" s="2">
        <f t="shared" si="5"/>
        <v>152.99104790000001</v>
      </c>
      <c r="AX15" s="2">
        <f t="shared" si="6"/>
        <v>152.92993605000004</v>
      </c>
      <c r="AY15" s="2">
        <f t="shared" si="7"/>
        <v>152.88406395000001</v>
      </c>
      <c r="AZ15" s="2">
        <f t="shared" si="8"/>
        <v>153.27798825000002</v>
      </c>
      <c r="BA15" s="2">
        <f t="shared" si="9"/>
        <v>153.23201175</v>
      </c>
      <c r="BB15" s="2">
        <f t="shared" si="10"/>
        <v>152.59088520000003</v>
      </c>
      <c r="BC15" s="2">
        <f t="shared" si="11"/>
        <v>152.54511480000002</v>
      </c>
      <c r="BD15" s="2">
        <f t="shared" si="12"/>
        <v>152.62389015000002</v>
      </c>
      <c r="BE15" s="2">
        <f t="shared" si="13"/>
        <v>152.57810985</v>
      </c>
      <c r="BF15" s="2">
        <f t="shared" si="14"/>
        <v>152.80691760000002</v>
      </c>
      <c r="BG15" s="2">
        <f t="shared" si="15"/>
        <v>152.76108239999999</v>
      </c>
      <c r="BI15" s="5" t="str">
        <f t="shared" si="69"/>
        <v>-----</v>
      </c>
      <c r="BJ15" s="5" t="str">
        <f t="shared" si="70"/>
        <v>TOUCH</v>
      </c>
      <c r="BK15" s="5" t="str">
        <f t="shared" si="71"/>
        <v>-----</v>
      </c>
      <c r="BL15" s="5" t="str">
        <f t="shared" si="72"/>
        <v>-----</v>
      </c>
      <c r="BM15" s="5" t="str">
        <f t="shared" si="73"/>
        <v>-----</v>
      </c>
      <c r="BN15" s="5" t="str">
        <f t="shared" si="74"/>
        <v>-----</v>
      </c>
      <c r="BO15" s="5"/>
      <c r="BP15" s="5">
        <f t="shared" si="75"/>
        <v>1</v>
      </c>
      <c r="BQ15" s="5">
        <f t="shared" si="75"/>
        <v>0</v>
      </c>
      <c r="BR15" s="5">
        <f t="shared" si="75"/>
        <v>9</v>
      </c>
      <c r="BS15" s="5">
        <f t="shared" si="75"/>
        <v>11</v>
      </c>
      <c r="BT15" s="5">
        <f t="shared" si="75"/>
        <v>11</v>
      </c>
      <c r="BU15" s="5">
        <f t="shared" si="75"/>
        <v>11</v>
      </c>
      <c r="BV15" s="5">
        <f t="shared" si="76"/>
        <v>8</v>
      </c>
      <c r="BW15" s="5">
        <f t="shared" si="76"/>
        <v>2</v>
      </c>
      <c r="BX15" s="5">
        <f t="shared" si="76"/>
        <v>2</v>
      </c>
      <c r="BY15" s="5">
        <f t="shared" si="76"/>
        <v>0</v>
      </c>
      <c r="BZ15" s="5">
        <f t="shared" si="76"/>
        <v>0</v>
      </c>
      <c r="CA15" s="5">
        <f t="shared" si="76"/>
        <v>0</v>
      </c>
      <c r="CB15" s="5" t="str">
        <f t="shared" si="102"/>
        <v>-----</v>
      </c>
      <c r="CC15" s="5">
        <f t="shared" si="101"/>
        <v>2</v>
      </c>
      <c r="CD15" s="5" t="str">
        <f t="shared" si="18"/>
        <v>-----</v>
      </c>
      <c r="CE15" s="5" t="str">
        <f t="shared" si="18"/>
        <v>-----</v>
      </c>
      <c r="CF15" s="5" t="str">
        <f t="shared" si="18"/>
        <v>-----</v>
      </c>
      <c r="CG15" s="5" t="str">
        <f t="shared" si="18"/>
        <v>-----</v>
      </c>
      <c r="CH15" s="5"/>
      <c r="CI15" s="17" t="str">
        <f t="shared" si="19"/>
        <v>-----</v>
      </c>
      <c r="CJ15" s="17">
        <f t="shared" si="20"/>
        <v>6.9977175668870168E-4</v>
      </c>
      <c r="CK15" s="17" t="str">
        <f t="shared" si="21"/>
        <v>-----</v>
      </c>
      <c r="CL15" s="17" t="str">
        <f t="shared" si="22"/>
        <v>-----</v>
      </c>
      <c r="CM15" s="17" t="str">
        <f t="shared" si="23"/>
        <v>-----</v>
      </c>
      <c r="CN15" s="17" t="str">
        <f t="shared" si="24"/>
        <v>-----</v>
      </c>
      <c r="CO15" s="5"/>
      <c r="CP15" s="5" t="str">
        <f t="shared" si="77"/>
        <v>-----</v>
      </c>
      <c r="CQ15" s="5" t="str">
        <f t="shared" si="25"/>
        <v>Support</v>
      </c>
      <c r="CR15" s="5" t="str">
        <f t="shared" si="25"/>
        <v>-----</v>
      </c>
      <c r="CS15" s="5" t="str">
        <f t="shared" si="25"/>
        <v>-----</v>
      </c>
      <c r="CT15" s="5" t="str">
        <f t="shared" si="25"/>
        <v>-----</v>
      </c>
      <c r="CU15" s="5" t="str">
        <f t="shared" si="25"/>
        <v>-----</v>
      </c>
      <c r="CV15" s="5"/>
      <c r="CW15" s="17" t="str">
        <f t="shared" si="78"/>
        <v/>
      </c>
      <c r="CX15" s="17">
        <f t="shared" si="26"/>
        <v>6.9977175668870168E-4</v>
      </c>
      <c r="CY15" s="17" t="str">
        <f t="shared" si="26"/>
        <v/>
      </c>
      <c r="CZ15" s="17" t="str">
        <f t="shared" si="26"/>
        <v/>
      </c>
      <c r="DA15" s="17" t="str">
        <f t="shared" si="26"/>
        <v/>
      </c>
      <c r="DB15" s="17" t="str">
        <f t="shared" si="26"/>
        <v/>
      </c>
      <c r="DC15" s="8"/>
      <c r="DD15" s="5">
        <f t="shared" si="27"/>
        <v>1</v>
      </c>
      <c r="DE15" s="17">
        <f t="shared" si="79"/>
        <v>6.9977175668870168E-4</v>
      </c>
      <c r="DF15" s="5" t="str" cm="1">
        <f t="array" ref="DF15">_xlfn.IFS(DE15=CW15,CP15,DE15=CX15,CQ15,DE15=CY15,CR15,DE15=CZ15,CS15,DE15=DA15,CT15,DE15=DB15,CU15,TRUE,"----- ")</f>
        <v>Support</v>
      </c>
      <c r="DG15" s="5"/>
      <c r="DH15" s="5">
        <f t="shared" si="80"/>
        <v>-2.423265306122455E-3</v>
      </c>
      <c r="DI15" s="5">
        <f t="shared" si="81"/>
        <v>-3.7194805194805478E-4</v>
      </c>
      <c r="DJ15" s="5">
        <f t="shared" si="82"/>
        <v>-1.6402721088435472E-3</v>
      </c>
      <c r="DK15" s="5">
        <f t="shared" si="83"/>
        <v>7.6471243042669956E-4</v>
      </c>
      <c r="DL15" s="5">
        <f t="shared" si="84"/>
        <v>-2.3081014223875058E-4</v>
      </c>
      <c r="DM15" s="5">
        <f t="shared" si="85"/>
        <v>1.5802844774273381E-3</v>
      </c>
      <c r="DO15" s="5">
        <f t="shared" si="29"/>
        <v>-1.9079214597220278</v>
      </c>
      <c r="DP15" s="5">
        <f t="shared" si="30"/>
        <v>-0.29295343676527091</v>
      </c>
      <c r="DQ15" s="5">
        <f t="shared" si="31"/>
        <v>-1.2917022253843653</v>
      </c>
      <c r="DR15" s="5">
        <f t="shared" si="32"/>
        <v>0.60228527619529781</v>
      </c>
      <c r="DS15" s="5">
        <f t="shared" si="33"/>
        <v>-0.18179147971962978</v>
      </c>
      <c r="DT15" s="5">
        <f t="shared" si="34"/>
        <v>1.2444775446344229</v>
      </c>
      <c r="DV15" t="str" cm="1">
        <f t="array" ref="DV15">_xlfn.IFS(DO15&gt;3,"Strong + Slope",DO15&gt;1.5,"Moderate + Slope",DO15&gt;0.5,"Sideway + Slope",DO15&gt;=-0.5,"Sideway Flat",DO15&gt;=-1.5,"Sideway - Slope",DO15&gt;=-3,"Moderate - Slope",TRUE,"Strong - Slope")</f>
        <v>Moderate - Slope</v>
      </c>
      <c r="DW15" t="str" cm="1">
        <f t="array" ref="DW15">_xlfn.IFS(DP15&gt;3,"Strong + Slope",DP15&gt;1.5,"Moderate + Slope",DP15&gt;0.5,"Sideway + Slope",DP15&gt;=-0.5,"Sideway Flat",DP15&gt;=-1.5,"Sideway - Slope",DP15&gt;=-3,"Moderate - Slope",TRUE,"Strong - Slope")</f>
        <v>Sideway Flat</v>
      </c>
      <c r="DX15" t="str" cm="1">
        <f t="array" ref="DX15">_xlfn.IFS(DQ15&gt;3,"Strong + Slope",DQ15&gt;1.5,"Moderate + Slope",DQ15&gt;0.5,"Sideway + Slope",DQ15&gt;=-0.5,"Sideway Flat",DQ15&gt;=-1.5,"Sideway - Slope",DQ15&gt;=-3,"Moderate - Slope",TRUE,"Strong - Slope")</f>
        <v>Sideway - Slope</v>
      </c>
      <c r="DY15" t="str" cm="1">
        <f t="array" ref="DY15">_xlfn.IFS(DR15&gt;3,"Strong + Slope",DR15&gt;1.5,"Moderate + Slope",DR15&gt;0.5,"Sideway + Slope",DR15&gt;=-0.5,"Sideway Flat",DR15&gt;=-1.5,"Sideway - Slope",DR15&gt;=-3,"Moderate - Slope",TRUE,"Strong - Slope")</f>
        <v>Sideway + Slope</v>
      </c>
      <c r="DZ15" t="str" cm="1">
        <f t="array" ref="DZ15">_xlfn.IFS(DS15&gt;3,"Strong + Slope",DS15&gt;1.5,"Moderate + Slope",DS15&gt;0.5,"Sideway + Slope",DS15&gt;=-0.5,"Sideway Flat",DS15&gt;=-1.5,"Sideway - Slope",DS15&gt;=-3,"Moderate - Slope",TRUE,"Strong - Slope")</f>
        <v>Sideway Flat</v>
      </c>
      <c r="EA15" t="str" cm="1">
        <f t="array" ref="EA15">_xlfn.IFS(DT15&gt;3,"Strong + Slope",DT15&gt;1.5,"Moderate + Slope",DT15&gt;0.5,"Sideway + Slope",DT15&gt;=-0.5,"Sideway Flat",DT15&gt;=-1.5,"Sideway - Slope",DT15&gt;=-3,"Moderate - Slope",TRUE,"Strong - Slope")</f>
        <v>Sideway + Slope</v>
      </c>
      <c r="EB15" s="5"/>
      <c r="EC15" s="5">
        <f t="shared" si="35"/>
        <v>2</v>
      </c>
      <c r="ED15" s="5">
        <f t="shared" si="36"/>
        <v>3</v>
      </c>
      <c r="EE15" s="5">
        <f t="shared" si="37"/>
        <v>1</v>
      </c>
      <c r="EF15" s="5">
        <f t="shared" si="38"/>
        <v>6</v>
      </c>
      <c r="EG15" s="5">
        <f t="shared" si="39"/>
        <v>5</v>
      </c>
      <c r="EH15" s="5">
        <f t="shared" si="40"/>
        <v>4</v>
      </c>
      <c r="EI15" s="5"/>
      <c r="EJ15" s="5" t="str">
        <f t="shared" si="41"/>
        <v>RES</v>
      </c>
      <c r="EK15" s="5" t="str">
        <f t="shared" si="42"/>
        <v>SUP</v>
      </c>
      <c r="EL15" s="5" t="str">
        <f t="shared" si="43"/>
        <v>RES</v>
      </c>
      <c r="EM15" s="5" t="str">
        <f t="shared" si="44"/>
        <v>SUP</v>
      </c>
      <c r="EN15" s="5" t="str">
        <f t="shared" si="45"/>
        <v>SUP</v>
      </c>
      <c r="EO15" s="5" t="str">
        <f t="shared" si="46"/>
        <v>SUP</v>
      </c>
      <c r="EP15" s="5"/>
      <c r="EQ15" s="8">
        <f t="shared" si="47"/>
        <v>6.8013864364667724E-4</v>
      </c>
      <c r="ER15" s="8">
        <f t="shared" si="48"/>
        <v>-1.9619383951251736E-5</v>
      </c>
      <c r="ES15" s="8">
        <f t="shared" si="49"/>
        <v>2.2562291544045445E-3</v>
      </c>
      <c r="ET15" s="8">
        <f t="shared" si="50"/>
        <v>-2.2366097704531068E-3</v>
      </c>
      <c r="EU15" s="8">
        <f t="shared" si="51"/>
        <v>-2.0207965469884082E-3</v>
      </c>
      <c r="EV15" s="8">
        <f t="shared" si="52"/>
        <v>-8.2401412595647624E-4</v>
      </c>
      <c r="EW15" s="8"/>
      <c r="EX15" s="8">
        <f t="shared" si="53"/>
        <v>0.49781659388645239</v>
      </c>
      <c r="EY15" s="9">
        <f t="shared" si="54"/>
        <v>2</v>
      </c>
      <c r="EZ15" s="10">
        <f t="shared" si="55"/>
        <v>4</v>
      </c>
      <c r="FA15" s="8">
        <f t="shared" si="86"/>
        <v>2.2562291544045445E-3</v>
      </c>
      <c r="FB15" s="8">
        <f t="shared" si="87"/>
        <v>6.8013864364667724E-4</v>
      </c>
      <c r="FC15" s="8">
        <f t="shared" si="88"/>
        <v>-1.9619383951251736E-5</v>
      </c>
      <c r="FD15" s="8">
        <f t="shared" si="89"/>
        <v>-8.2401412595647624E-4</v>
      </c>
      <c r="FE15" s="8">
        <f t="shared" si="90"/>
        <v>-2.0207965469884082E-3</v>
      </c>
      <c r="FF15" s="8">
        <f t="shared" si="91"/>
        <v>-2.2366097704531068E-3</v>
      </c>
      <c r="FG15" s="5"/>
      <c r="FH15" s="5" t="str">
        <f t="shared" si="56"/>
        <v>-----</v>
      </c>
      <c r="FI15" s="5" t="str">
        <f t="shared" si="92"/>
        <v>Flat Momentum</v>
      </c>
      <c r="FJ15" s="5"/>
      <c r="FK15" s="5" t="str">
        <f t="shared" si="93"/>
        <v>-----</v>
      </c>
      <c r="FL15" s="5" t="str">
        <f t="shared" si="94"/>
        <v>-----</v>
      </c>
      <c r="FM15" s="5"/>
      <c r="FN15" s="5"/>
      <c r="FO15" s="5"/>
      <c r="FP15" s="5"/>
      <c r="FQ15" s="14">
        <f t="shared" si="57"/>
        <v>-1.0513324496046164E-3</v>
      </c>
      <c r="FR15" s="14">
        <f t="shared" si="58"/>
        <v>-1.7334128649942255</v>
      </c>
      <c r="FS15" s="14" t="str">
        <f t="shared" si="59"/>
        <v>Reverse to Bullish</v>
      </c>
      <c r="FT15" s="14" t="str">
        <f t="shared" si="60"/>
        <v>Bearish</v>
      </c>
      <c r="FU15" s="5" t="str">
        <f t="shared" si="95"/>
        <v>-----</v>
      </c>
      <c r="FV15" s="5" t="str">
        <f t="shared" si="96"/>
        <v>-----</v>
      </c>
      <c r="FW15" s="5"/>
      <c r="FX15" s="15" t="str">
        <f t="shared" si="103"/>
        <v>-----</v>
      </c>
      <c r="FY15" s="15" t="str">
        <f t="shared" si="104"/>
        <v>-----</v>
      </c>
      <c r="FZ15" s="15" t="str">
        <f t="shared" si="105"/>
        <v>-----</v>
      </c>
      <c r="GA15" s="15" t="str">
        <f t="shared" si="106"/>
        <v>YES</v>
      </c>
      <c r="GB15" s="16" t="str">
        <f t="shared" si="107"/>
        <v>-----</v>
      </c>
      <c r="GC15" s="16" t="str">
        <f t="shared" si="108"/>
        <v>YES</v>
      </c>
      <c r="GD15" s="16" t="str">
        <f t="shared" si="109"/>
        <v>YES</v>
      </c>
      <c r="GE15" s="16" t="str">
        <f t="shared" si="112"/>
        <v>YES</v>
      </c>
      <c r="GF15" s="15" t="str">
        <f t="shared" si="110"/>
        <v>-----</v>
      </c>
      <c r="GG15" s="16" t="str">
        <f t="shared" si="111"/>
        <v>-----</v>
      </c>
      <c r="GH15" s="14"/>
      <c r="GI15" s="5" t="str">
        <f t="shared" si="61"/>
        <v>-----</v>
      </c>
      <c r="GJ15" s="5" t="str">
        <f t="shared" si="62"/>
        <v>-----</v>
      </c>
      <c r="GK15" s="5"/>
      <c r="GL15" s="5" t="str">
        <f t="shared" si="63"/>
        <v>-----</v>
      </c>
      <c r="GM15" s="5" t="str">
        <f t="shared" si="64"/>
        <v>-----</v>
      </c>
      <c r="GN15" s="5"/>
      <c r="GO15" s="12">
        <f t="shared" si="65"/>
        <v>0.10699999999999932</v>
      </c>
      <c r="GP15" s="5">
        <f t="shared" si="97"/>
        <v>0.71958227901867655</v>
      </c>
      <c r="GQ15" s="13" t="str">
        <f t="shared" si="98"/>
        <v>-----</v>
      </c>
      <c r="GR15" s="5"/>
      <c r="GS15">
        <f t="shared" si="99"/>
        <v>1.5910545011577442</v>
      </c>
      <c r="GT15" s="5" t="str">
        <f t="shared" si="100"/>
        <v>-----</v>
      </c>
    </row>
    <row r="16" spans="1:202" x14ac:dyDescent="0.55000000000000004">
      <c r="A16">
        <v>12</v>
      </c>
      <c r="B16" t="s">
        <v>15</v>
      </c>
      <c r="C16" t="s">
        <v>4</v>
      </c>
      <c r="D16" t="s">
        <v>103</v>
      </c>
      <c r="E16">
        <v>152.91</v>
      </c>
      <c r="F16">
        <v>152.965</v>
      </c>
      <c r="G16">
        <v>152.87700000000001</v>
      </c>
      <c r="H16">
        <v>152.87700000000001</v>
      </c>
      <c r="I16">
        <v>518</v>
      </c>
      <c r="J16">
        <v>153.012</v>
      </c>
      <c r="K16">
        <v>152.90700000000001</v>
      </c>
      <c r="L16">
        <v>153.25299999999999</v>
      </c>
      <c r="M16">
        <v>152.56899999999999</v>
      </c>
      <c r="N16">
        <v>152.6</v>
      </c>
      <c r="O16">
        <v>152.785</v>
      </c>
      <c r="P16">
        <v>0</v>
      </c>
      <c r="Q16">
        <v>0</v>
      </c>
      <c r="R16">
        <v>0</v>
      </c>
      <c r="S16">
        <v>0</v>
      </c>
      <c r="T16">
        <v>0</v>
      </c>
      <c r="U16">
        <v>0.35322999999999999</v>
      </c>
      <c r="V16">
        <v>3</v>
      </c>
      <c r="W16">
        <v>153.47368</v>
      </c>
      <c r="X16">
        <v>153.39313000000001</v>
      </c>
      <c r="Y16">
        <v>153.31258</v>
      </c>
      <c r="Z16">
        <v>153.23203000000001</v>
      </c>
      <c r="AA16">
        <v>153.15147999999999</v>
      </c>
      <c r="AB16">
        <v>153.03493</v>
      </c>
      <c r="AC16">
        <v>152.95437999999999</v>
      </c>
      <c r="AD16">
        <v>152.87383</v>
      </c>
      <c r="AE16">
        <v>152.79328000000001</v>
      </c>
      <c r="AF16">
        <v>152.71272999999999</v>
      </c>
      <c r="AG16">
        <v>152.89500000000001</v>
      </c>
      <c r="AH16">
        <v>152.952</v>
      </c>
      <c r="AI16">
        <v>153.12200000000001</v>
      </c>
      <c r="AJ16">
        <v>153.25899999999999</v>
      </c>
      <c r="AK16">
        <v>152.953</v>
      </c>
      <c r="AL16">
        <v>152.857</v>
      </c>
      <c r="AM16" s="11">
        <f t="shared" si="0"/>
        <v>8.7999999999993861E-2</v>
      </c>
      <c r="AN16" s="11">
        <f t="shared" si="66"/>
        <v>5.5000000000006821E-2</v>
      </c>
      <c r="AO16" s="11">
        <f t="shared" si="67"/>
        <v>3.299999999998704E-2</v>
      </c>
      <c r="AP16" s="11">
        <f t="shared" si="68"/>
        <v>8.7999999999993861E-2</v>
      </c>
      <c r="AR16" s="5" t="str">
        <f t="shared" si="1"/>
        <v>------</v>
      </c>
      <c r="AS16" s="5" t="str">
        <f t="shared" si="2"/>
        <v>------</v>
      </c>
      <c r="AT16" t="str">
        <f t="shared" si="3"/>
        <v/>
      </c>
      <c r="AV16" s="2">
        <f t="shared" si="4"/>
        <v>153.03495180000002</v>
      </c>
      <c r="AW16" s="2">
        <f t="shared" si="5"/>
        <v>152.98904820000001</v>
      </c>
      <c r="AX16" s="2">
        <f t="shared" si="6"/>
        <v>152.92993605000004</v>
      </c>
      <c r="AY16" s="2">
        <f t="shared" si="7"/>
        <v>152.88406395000001</v>
      </c>
      <c r="AZ16" s="2">
        <f t="shared" si="8"/>
        <v>153.27598795</v>
      </c>
      <c r="BA16" s="2">
        <f t="shared" si="9"/>
        <v>153.23001205</v>
      </c>
      <c r="BB16" s="2">
        <f t="shared" si="10"/>
        <v>152.59188535000001</v>
      </c>
      <c r="BC16" s="2">
        <f t="shared" si="11"/>
        <v>152.54611464999999</v>
      </c>
      <c r="BD16" s="2">
        <f t="shared" si="12"/>
        <v>152.62289000000001</v>
      </c>
      <c r="BE16" s="2">
        <f t="shared" si="13"/>
        <v>152.57711</v>
      </c>
      <c r="BF16" s="2">
        <f t="shared" si="14"/>
        <v>152.80791775</v>
      </c>
      <c r="BG16" s="2">
        <f t="shared" si="15"/>
        <v>152.76208224999999</v>
      </c>
      <c r="BI16" s="5" t="str">
        <f t="shared" si="69"/>
        <v>-----</v>
      </c>
      <c r="BJ16" s="5" t="str">
        <f t="shared" si="70"/>
        <v>TOUCH</v>
      </c>
      <c r="BK16" s="5" t="str">
        <f t="shared" si="71"/>
        <v>-----</v>
      </c>
      <c r="BL16" s="5" t="str">
        <f t="shared" si="72"/>
        <v>-----</v>
      </c>
      <c r="BM16" s="5" t="str">
        <f t="shared" si="73"/>
        <v>-----</v>
      </c>
      <c r="BN16" s="5" t="str">
        <f t="shared" si="74"/>
        <v>-----</v>
      </c>
      <c r="BO16" s="5"/>
      <c r="BP16" s="5">
        <f t="shared" si="75"/>
        <v>2</v>
      </c>
      <c r="BQ16" s="5">
        <f t="shared" si="75"/>
        <v>0</v>
      </c>
      <c r="BR16" s="5">
        <f t="shared" si="75"/>
        <v>10</v>
      </c>
      <c r="BS16" s="5">
        <f t="shared" si="75"/>
        <v>12</v>
      </c>
      <c r="BT16" s="5">
        <f t="shared" si="75"/>
        <v>12</v>
      </c>
      <c r="BU16" s="5">
        <f t="shared" si="75"/>
        <v>12</v>
      </c>
      <c r="BV16" s="5">
        <f t="shared" si="76"/>
        <v>8</v>
      </c>
      <c r="BW16" s="5">
        <f t="shared" si="76"/>
        <v>3</v>
      </c>
      <c r="BX16" s="5">
        <f t="shared" si="76"/>
        <v>2</v>
      </c>
      <c r="BY16" s="5">
        <f t="shared" si="76"/>
        <v>0</v>
      </c>
      <c r="BZ16" s="5">
        <f t="shared" si="76"/>
        <v>0</v>
      </c>
      <c r="CA16" s="5">
        <f t="shared" si="76"/>
        <v>0</v>
      </c>
      <c r="CB16" s="5" t="str">
        <f t="shared" si="102"/>
        <v>-----</v>
      </c>
      <c r="CC16" s="5">
        <f t="shared" si="101"/>
        <v>3</v>
      </c>
      <c r="CD16" s="5" t="str">
        <f t="shared" si="18"/>
        <v>-----</v>
      </c>
      <c r="CE16" s="5" t="str">
        <f t="shared" si="18"/>
        <v>-----</v>
      </c>
      <c r="CF16" s="5" t="str">
        <f t="shared" si="18"/>
        <v>-----</v>
      </c>
      <c r="CG16" s="5" t="str">
        <f t="shared" si="18"/>
        <v>-----</v>
      </c>
      <c r="CH16" s="5"/>
      <c r="CI16" s="17" t="str">
        <f t="shared" si="19"/>
        <v>-----</v>
      </c>
      <c r="CJ16" s="17">
        <f t="shared" si="20"/>
        <v>6.8669191076922416E-4</v>
      </c>
      <c r="CK16" s="17" t="str">
        <f t="shared" si="21"/>
        <v>-----</v>
      </c>
      <c r="CL16" s="17" t="str">
        <f t="shared" si="22"/>
        <v>-----</v>
      </c>
      <c r="CM16" s="17" t="str">
        <f t="shared" si="23"/>
        <v>-----</v>
      </c>
      <c r="CN16" s="17" t="str">
        <f t="shared" si="24"/>
        <v>-----</v>
      </c>
      <c r="CO16" s="5"/>
      <c r="CP16" s="5" t="str">
        <f t="shared" si="77"/>
        <v>-----</v>
      </c>
      <c r="CQ16" s="5" t="str">
        <f t="shared" si="25"/>
        <v>Support</v>
      </c>
      <c r="CR16" s="5" t="str">
        <f t="shared" si="25"/>
        <v>-----</v>
      </c>
      <c r="CS16" s="5" t="str">
        <f t="shared" si="25"/>
        <v>-----</v>
      </c>
      <c r="CT16" s="5" t="str">
        <f t="shared" si="25"/>
        <v>-----</v>
      </c>
      <c r="CU16" s="5" t="str">
        <f t="shared" si="25"/>
        <v>-----</v>
      </c>
      <c r="CV16" s="5"/>
      <c r="CW16" s="17" t="str">
        <f t="shared" si="78"/>
        <v/>
      </c>
      <c r="CX16" s="17">
        <f t="shared" si="26"/>
        <v>6.8669191076922416E-4</v>
      </c>
      <c r="CY16" s="17" t="str">
        <f t="shared" si="26"/>
        <v/>
      </c>
      <c r="CZ16" s="17" t="str">
        <f t="shared" si="26"/>
        <v/>
      </c>
      <c r="DA16" s="17" t="str">
        <f t="shared" si="26"/>
        <v/>
      </c>
      <c r="DB16" s="17" t="str">
        <f t="shared" si="26"/>
        <v/>
      </c>
      <c r="DC16" s="8"/>
      <c r="DD16" s="5">
        <f t="shared" si="27"/>
        <v>1</v>
      </c>
      <c r="DE16" s="17">
        <f t="shared" si="79"/>
        <v>6.8669191076922416E-4</v>
      </c>
      <c r="DF16" s="5" t="str" cm="1">
        <f t="array" ref="DF16">_xlfn.IFS(DE16=CW16,CP16,DE16=CX16,CQ16,DE16=CY16,CR16,DE16=CZ16,CS16,DE16=DA16,CT16,DE16=DB16,CU16,TRUE,"----- ")</f>
        <v>Support</v>
      </c>
      <c r="DG16" s="5"/>
      <c r="DH16" s="5">
        <f t="shared" si="80"/>
        <v>-2.423265306122455E-3</v>
      </c>
      <c r="DI16" s="5">
        <f t="shared" si="81"/>
        <v>-3.7194805194805478E-4</v>
      </c>
      <c r="DJ16" s="5">
        <f t="shared" si="82"/>
        <v>-1.6402721088435472E-3</v>
      </c>
      <c r="DK16" s="5">
        <f t="shared" si="83"/>
        <v>7.6471243042669956E-4</v>
      </c>
      <c r="DL16" s="5">
        <f t="shared" si="84"/>
        <v>-2.3081014223875058E-4</v>
      </c>
      <c r="DM16" s="5">
        <f t="shared" si="85"/>
        <v>1.5802844774273381E-3</v>
      </c>
      <c r="DO16" s="5">
        <f t="shared" si="29"/>
        <v>-1.9079214597220278</v>
      </c>
      <c r="DP16" s="5">
        <f t="shared" si="30"/>
        <v>-0.29295343676527091</v>
      </c>
      <c r="DQ16" s="5">
        <f t="shared" si="31"/>
        <v>-1.2917022253843653</v>
      </c>
      <c r="DR16" s="5">
        <f t="shared" si="32"/>
        <v>0.60228527619529781</v>
      </c>
      <c r="DS16" s="5">
        <f t="shared" si="33"/>
        <v>-0.18179147971962978</v>
      </c>
      <c r="DT16" s="5">
        <f t="shared" si="34"/>
        <v>1.2444775446344229</v>
      </c>
      <c r="DV16" t="str" cm="1">
        <f t="array" ref="DV16">_xlfn.IFS(DO16&gt;3,"Strong + Slope",DO16&gt;1.5,"Moderate + Slope",DO16&gt;0.5,"Sideway + Slope",DO16&gt;=-0.5,"Sideway Flat",DO16&gt;=-1.5,"Sideway - Slope",DO16&gt;=-3,"Moderate - Slope",TRUE,"Strong - Slope")</f>
        <v>Moderate - Slope</v>
      </c>
      <c r="DW16" t="str" cm="1">
        <f t="array" ref="DW16">_xlfn.IFS(DP16&gt;3,"Strong + Slope",DP16&gt;1.5,"Moderate + Slope",DP16&gt;0.5,"Sideway + Slope",DP16&gt;=-0.5,"Sideway Flat",DP16&gt;=-1.5,"Sideway - Slope",DP16&gt;=-3,"Moderate - Slope",TRUE,"Strong - Slope")</f>
        <v>Sideway Flat</v>
      </c>
      <c r="DX16" t="str" cm="1">
        <f t="array" ref="DX16">_xlfn.IFS(DQ16&gt;3,"Strong + Slope",DQ16&gt;1.5,"Moderate + Slope",DQ16&gt;0.5,"Sideway + Slope",DQ16&gt;=-0.5,"Sideway Flat",DQ16&gt;=-1.5,"Sideway - Slope",DQ16&gt;=-3,"Moderate - Slope",TRUE,"Strong - Slope")</f>
        <v>Sideway - Slope</v>
      </c>
      <c r="DY16" t="str" cm="1">
        <f t="array" ref="DY16">_xlfn.IFS(DR16&gt;3,"Strong + Slope",DR16&gt;1.5,"Moderate + Slope",DR16&gt;0.5,"Sideway + Slope",DR16&gt;=-0.5,"Sideway Flat",DR16&gt;=-1.5,"Sideway - Slope",DR16&gt;=-3,"Moderate - Slope",TRUE,"Strong - Slope")</f>
        <v>Sideway + Slope</v>
      </c>
      <c r="DZ16" t="str" cm="1">
        <f t="array" ref="DZ16">_xlfn.IFS(DS16&gt;3,"Strong + Slope",DS16&gt;1.5,"Moderate + Slope",DS16&gt;0.5,"Sideway + Slope",DS16&gt;=-0.5,"Sideway Flat",DS16&gt;=-1.5,"Sideway - Slope",DS16&gt;=-3,"Moderate - Slope",TRUE,"Strong - Slope")</f>
        <v>Sideway Flat</v>
      </c>
      <c r="EA16" t="str" cm="1">
        <f t="array" ref="EA16">_xlfn.IFS(DT16&gt;3,"Strong + Slope",DT16&gt;1.5,"Moderate + Slope",DT16&gt;0.5,"Sideway + Slope",DT16&gt;=-0.5,"Sideway Flat",DT16&gt;=-1.5,"Sideway - Slope",DT16&gt;=-3,"Moderate - Slope",TRUE,"Strong - Slope")</f>
        <v>Sideway + Slope</v>
      </c>
      <c r="EB16" s="5"/>
      <c r="EC16" s="5">
        <f t="shared" si="35"/>
        <v>2</v>
      </c>
      <c r="ED16" s="5">
        <f t="shared" si="36"/>
        <v>3</v>
      </c>
      <c r="EE16" s="5">
        <f t="shared" si="37"/>
        <v>1</v>
      </c>
      <c r="EF16" s="5">
        <f t="shared" si="38"/>
        <v>6</v>
      </c>
      <c r="EG16" s="5">
        <f t="shared" si="39"/>
        <v>5</v>
      </c>
      <c r="EH16" s="5">
        <f t="shared" si="40"/>
        <v>4</v>
      </c>
      <c r="EI16" s="5"/>
      <c r="EJ16" s="5" t="str">
        <f t="shared" si="41"/>
        <v>RES</v>
      </c>
      <c r="EK16" s="5" t="str">
        <f t="shared" si="42"/>
        <v>RES</v>
      </c>
      <c r="EL16" s="5" t="str">
        <f t="shared" si="43"/>
        <v>RES</v>
      </c>
      <c r="EM16" s="5" t="str">
        <f t="shared" si="44"/>
        <v>SUP</v>
      </c>
      <c r="EN16" s="5" t="str">
        <f t="shared" si="45"/>
        <v>SUP</v>
      </c>
      <c r="EO16" s="5" t="str">
        <f t="shared" si="46"/>
        <v>SUP</v>
      </c>
      <c r="EP16" s="5"/>
      <c r="EQ16" s="8">
        <f t="shared" si="47"/>
        <v>8.8306285445155844E-4</v>
      </c>
      <c r="ER16" s="8">
        <f t="shared" si="48"/>
        <v>1.9623618987814475E-4</v>
      </c>
      <c r="ES16" s="8">
        <f t="shared" si="49"/>
        <v>2.4594935798058328E-3</v>
      </c>
      <c r="ET16" s="8">
        <f t="shared" si="50"/>
        <v>-2.0146915494156812E-3</v>
      </c>
      <c r="EU16" s="8">
        <f t="shared" si="51"/>
        <v>-1.8119141532082343E-3</v>
      </c>
      <c r="EV16" s="8">
        <f t="shared" si="52"/>
        <v>-6.0179098229303917E-4</v>
      </c>
      <c r="EW16" s="8"/>
      <c r="EX16" s="8">
        <f t="shared" si="53"/>
        <v>0.45029239766085127</v>
      </c>
      <c r="EY16" s="9">
        <f t="shared" si="54"/>
        <v>3</v>
      </c>
      <c r="EZ16" s="10">
        <f t="shared" si="55"/>
        <v>3</v>
      </c>
      <c r="FA16" s="8">
        <f t="shared" si="86"/>
        <v>2.4594935798058328E-3</v>
      </c>
      <c r="FB16" s="8">
        <f t="shared" si="87"/>
        <v>8.8306285445155844E-4</v>
      </c>
      <c r="FC16" s="8">
        <f t="shared" si="88"/>
        <v>1.9623618987814475E-4</v>
      </c>
      <c r="FD16" s="8">
        <f t="shared" si="89"/>
        <v>-6.0179098229303917E-4</v>
      </c>
      <c r="FE16" s="8">
        <f t="shared" si="90"/>
        <v>-1.8119141532082343E-3</v>
      </c>
      <c r="FF16" s="8">
        <f t="shared" si="91"/>
        <v>-2.0146915494156812E-3</v>
      </c>
      <c r="FG16" s="5"/>
      <c r="FH16" s="5" t="str">
        <f t="shared" si="56"/>
        <v>-----</v>
      </c>
      <c r="FI16" s="5" t="str">
        <f t="shared" si="92"/>
        <v>Flat Momentum</v>
      </c>
      <c r="FJ16" s="5"/>
      <c r="FK16" s="5" t="str">
        <f t="shared" si="93"/>
        <v>-----</v>
      </c>
      <c r="FL16" s="5" t="str">
        <f t="shared" si="94"/>
        <v>-----</v>
      </c>
      <c r="FM16" s="5"/>
      <c r="FN16" s="5"/>
      <c r="FO16" s="8" t="str">
        <f t="shared" ref="FO16:FO47" si="113">IF(AND(AI16&gt;AJ16,AI15&gt;AJ15,AI14&gt;AJ14,AI13&gt;AJ13,AI12&gt;AJ12,AI11&gt;AJ11,AI10&gt;AJ10,AI9&gt;AJ9,AI8&gt;AJ8,AI7&gt;AJ7,AI6&gt;AJ6,AI5&gt;AJ5),"Bullish",IF(AND(AI16&lt;AJ16,AI15&lt;AJ15,AI14&lt;AJ14,AI13&lt;AJ13,AI12&lt;AJ12,AI11&lt;AJ11,AI10&lt;AJ10,AI9&lt;AJ9,AI8&lt;AJ8,AI7&lt;AJ7,AI6&lt;AJ6,AI5&lt;AJ5),"Bearish","-----"))</f>
        <v>Bearish</v>
      </c>
      <c r="FP16" s="8"/>
      <c r="FQ16" s="14">
        <f t="shared" si="57"/>
        <v>-1.1102258329960155E-3</v>
      </c>
      <c r="FR16" s="14">
        <f t="shared" si="58"/>
        <v>-1.9032644909164695</v>
      </c>
      <c r="FS16" s="14" t="str">
        <f t="shared" si="59"/>
        <v>Reverse to Bullish</v>
      </c>
      <c r="FT16" s="14" t="str">
        <f t="shared" si="60"/>
        <v>Bearish</v>
      </c>
      <c r="FU16" s="5" t="str">
        <f t="shared" si="95"/>
        <v>-----</v>
      </c>
      <c r="FV16" s="5" t="str">
        <f t="shared" si="96"/>
        <v>-----</v>
      </c>
      <c r="FW16" s="5"/>
      <c r="FX16" s="15" t="str">
        <f t="shared" si="103"/>
        <v>YES</v>
      </c>
      <c r="FY16" s="15" t="str">
        <f t="shared" si="104"/>
        <v>-----</v>
      </c>
      <c r="FZ16" s="15" t="str">
        <f t="shared" si="105"/>
        <v>-----</v>
      </c>
      <c r="GA16" s="15" t="str">
        <f t="shared" si="106"/>
        <v>YES</v>
      </c>
      <c r="GB16" s="16" t="str">
        <f t="shared" si="107"/>
        <v>-----</v>
      </c>
      <c r="GC16" s="16" t="str">
        <f t="shared" si="108"/>
        <v>YES</v>
      </c>
      <c r="GD16" s="16" t="str">
        <f t="shared" si="109"/>
        <v>YES</v>
      </c>
      <c r="GE16" s="16" t="str">
        <f t="shared" si="112"/>
        <v>YES</v>
      </c>
      <c r="GF16" s="15" t="str">
        <f t="shared" si="110"/>
        <v>-----</v>
      </c>
      <c r="GG16" s="16" t="str">
        <f t="shared" si="111"/>
        <v>-----</v>
      </c>
      <c r="GH16" s="14"/>
      <c r="GI16" s="5" t="str">
        <f t="shared" si="61"/>
        <v>-----</v>
      </c>
      <c r="GJ16" s="5" t="str">
        <f t="shared" si="62"/>
        <v>-----</v>
      </c>
      <c r="GK16" s="5"/>
      <c r="GL16" s="5" t="str">
        <f t="shared" si="63"/>
        <v>-----</v>
      </c>
      <c r="GM16" s="5" t="str">
        <f t="shared" si="64"/>
        <v>-----</v>
      </c>
      <c r="GN16" s="5"/>
      <c r="GO16" s="12">
        <f t="shared" si="65"/>
        <v>9.6000000000003638E-2</v>
      </c>
      <c r="GP16" s="5">
        <f t="shared" si="97"/>
        <v>0.4660639671936681</v>
      </c>
      <c r="GQ16" s="13" t="str">
        <f t="shared" si="98"/>
        <v>-----</v>
      </c>
      <c r="GR16" s="5"/>
      <c r="GS16">
        <f t="shared" si="99"/>
        <v>1.4813513291536275</v>
      </c>
      <c r="GT16" s="5" t="str">
        <f t="shared" si="100"/>
        <v>-----</v>
      </c>
    </row>
    <row r="17" spans="1:202" x14ac:dyDescent="0.55000000000000004">
      <c r="A17">
        <v>13</v>
      </c>
      <c r="B17" t="s">
        <v>16</v>
      </c>
      <c r="C17" t="s">
        <v>4</v>
      </c>
      <c r="D17" t="s">
        <v>103</v>
      </c>
      <c r="E17">
        <v>152.88200000000001</v>
      </c>
      <c r="F17">
        <v>152.96600000000001</v>
      </c>
      <c r="G17">
        <v>152.78700000000001</v>
      </c>
      <c r="H17">
        <v>152.96600000000001</v>
      </c>
      <c r="I17">
        <v>630</v>
      </c>
      <c r="J17">
        <v>153.00899999999999</v>
      </c>
      <c r="K17">
        <v>152.90700000000001</v>
      </c>
      <c r="L17">
        <v>153.251</v>
      </c>
      <c r="M17">
        <v>152.56899999999999</v>
      </c>
      <c r="N17">
        <v>152.6</v>
      </c>
      <c r="O17">
        <v>152.78700000000001</v>
      </c>
      <c r="P17">
        <v>0</v>
      </c>
      <c r="Q17" s="1">
        <v>152.78700000000001</v>
      </c>
      <c r="R17">
        <v>0</v>
      </c>
      <c r="S17" s="1">
        <v>152.78700000000001</v>
      </c>
      <c r="T17">
        <v>0</v>
      </c>
      <c r="U17">
        <v>0.81484999999999996</v>
      </c>
      <c r="V17">
        <v>0</v>
      </c>
      <c r="W17">
        <v>153.45435000000001</v>
      </c>
      <c r="X17">
        <v>153.37365</v>
      </c>
      <c r="Y17">
        <v>153.29295999999999</v>
      </c>
      <c r="Z17">
        <v>153.21225999999999</v>
      </c>
      <c r="AA17">
        <v>153.13156000000001</v>
      </c>
      <c r="AB17">
        <v>153.01313999999999</v>
      </c>
      <c r="AC17">
        <v>152.93244000000001</v>
      </c>
      <c r="AD17">
        <v>152.85175000000001</v>
      </c>
      <c r="AE17">
        <v>152.77105</v>
      </c>
      <c r="AF17">
        <v>152.69035</v>
      </c>
      <c r="AG17">
        <v>152.886</v>
      </c>
      <c r="AH17">
        <v>152.93</v>
      </c>
      <c r="AI17">
        <v>153.10599999999999</v>
      </c>
      <c r="AJ17">
        <v>153.25</v>
      </c>
      <c r="AK17">
        <v>152.94399999999999</v>
      </c>
      <c r="AL17">
        <v>152.81200000000001</v>
      </c>
      <c r="AM17" s="11">
        <f t="shared" si="0"/>
        <v>0.17900000000000205</v>
      </c>
      <c r="AN17" s="11">
        <f t="shared" si="66"/>
        <v>8.8999999999998636E-2</v>
      </c>
      <c r="AO17" s="11">
        <f t="shared" si="67"/>
        <v>9.0000000000003411E-2</v>
      </c>
      <c r="AP17" s="11">
        <f t="shared" si="68"/>
        <v>0.17900000000000205</v>
      </c>
      <c r="AQ17" s="1"/>
      <c r="AR17" s="5" t="str">
        <f t="shared" si="1"/>
        <v>------</v>
      </c>
      <c r="AS17" s="5" t="str">
        <f t="shared" si="2"/>
        <v>Important Low</v>
      </c>
      <c r="AT17" t="str">
        <f t="shared" si="3"/>
        <v/>
      </c>
      <c r="AV17" s="2">
        <f t="shared" si="4"/>
        <v>153.03195135000001</v>
      </c>
      <c r="AW17" s="2">
        <f t="shared" si="5"/>
        <v>152.98604864999999</v>
      </c>
      <c r="AX17" s="2">
        <f t="shared" si="6"/>
        <v>152.92993605000004</v>
      </c>
      <c r="AY17" s="2">
        <f t="shared" si="7"/>
        <v>152.88406395000001</v>
      </c>
      <c r="AZ17" s="2">
        <f t="shared" si="8"/>
        <v>153.27398765000001</v>
      </c>
      <c r="BA17" s="2">
        <f t="shared" si="9"/>
        <v>153.22801235</v>
      </c>
      <c r="BB17" s="2">
        <f t="shared" si="10"/>
        <v>152.59188535000001</v>
      </c>
      <c r="BC17" s="2">
        <f t="shared" si="11"/>
        <v>152.54611464999999</v>
      </c>
      <c r="BD17" s="2">
        <f t="shared" si="12"/>
        <v>152.62289000000001</v>
      </c>
      <c r="BE17" s="2">
        <f t="shared" si="13"/>
        <v>152.57711</v>
      </c>
      <c r="BF17" s="2">
        <f t="shared" si="14"/>
        <v>152.80991805000002</v>
      </c>
      <c r="BG17" s="2">
        <f t="shared" si="15"/>
        <v>152.76408195000002</v>
      </c>
      <c r="BI17" s="5" t="str">
        <f t="shared" si="69"/>
        <v>-----</v>
      </c>
      <c r="BJ17" s="5" t="str">
        <f t="shared" si="70"/>
        <v>TOUCH</v>
      </c>
      <c r="BK17" s="5" t="str">
        <f t="shared" si="71"/>
        <v>-----</v>
      </c>
      <c r="BL17" s="5" t="str">
        <f t="shared" si="72"/>
        <v>-----</v>
      </c>
      <c r="BM17" s="5" t="str">
        <f t="shared" si="73"/>
        <v>-----</v>
      </c>
      <c r="BN17" s="5" t="str">
        <f t="shared" si="74"/>
        <v>-----</v>
      </c>
      <c r="BO17" s="5"/>
      <c r="BP17" s="5">
        <f t="shared" si="75"/>
        <v>3</v>
      </c>
      <c r="BQ17" s="5">
        <f t="shared" si="75"/>
        <v>0</v>
      </c>
      <c r="BR17" s="5">
        <f t="shared" si="75"/>
        <v>11</v>
      </c>
      <c r="BS17" s="5">
        <f t="shared" si="75"/>
        <v>13</v>
      </c>
      <c r="BT17" s="5">
        <f t="shared" si="75"/>
        <v>13</v>
      </c>
      <c r="BU17" s="5">
        <f t="shared" si="75"/>
        <v>13</v>
      </c>
      <c r="BV17" s="5">
        <f t="shared" si="76"/>
        <v>8</v>
      </c>
      <c r="BW17" s="5">
        <f t="shared" si="76"/>
        <v>4</v>
      </c>
      <c r="BX17" s="5">
        <f t="shared" si="76"/>
        <v>2</v>
      </c>
      <c r="BY17" s="5">
        <f t="shared" si="76"/>
        <v>0</v>
      </c>
      <c r="BZ17" s="5">
        <f t="shared" si="76"/>
        <v>0</v>
      </c>
      <c r="CA17" s="5">
        <f t="shared" si="76"/>
        <v>0</v>
      </c>
      <c r="CB17" s="5" t="str">
        <f t="shared" si="102"/>
        <v>-----</v>
      </c>
      <c r="CC17" s="5">
        <f t="shared" si="101"/>
        <v>4</v>
      </c>
      <c r="CD17" s="5" t="str">
        <f t="shared" si="18"/>
        <v>-----</v>
      </c>
      <c r="CE17" s="5" t="str">
        <f t="shared" si="18"/>
        <v>-----</v>
      </c>
      <c r="CF17" s="5" t="str">
        <f t="shared" si="18"/>
        <v>-----</v>
      </c>
      <c r="CG17" s="5" t="str">
        <f t="shared" si="18"/>
        <v>-----</v>
      </c>
      <c r="CH17" s="5"/>
      <c r="CI17" s="17" t="str">
        <f t="shared" si="19"/>
        <v>-----</v>
      </c>
      <c r="CJ17" s="17">
        <f t="shared" si="20"/>
        <v>6.6707214189000788E-4</v>
      </c>
      <c r="CK17" s="17" t="str">
        <f t="shared" si="21"/>
        <v>-----</v>
      </c>
      <c r="CL17" s="17" t="str">
        <f t="shared" si="22"/>
        <v>-----</v>
      </c>
      <c r="CM17" s="17" t="str">
        <f t="shared" si="23"/>
        <v>-----</v>
      </c>
      <c r="CN17" s="17" t="str">
        <f t="shared" si="24"/>
        <v>-----</v>
      </c>
      <c r="CO17" s="5"/>
      <c r="CP17" s="5" t="str">
        <f t="shared" si="77"/>
        <v>-----</v>
      </c>
      <c r="CQ17" s="5" t="str">
        <f t="shared" si="25"/>
        <v>Support</v>
      </c>
      <c r="CR17" s="5" t="str">
        <f t="shared" si="25"/>
        <v>-----</v>
      </c>
      <c r="CS17" s="5" t="str">
        <f t="shared" si="25"/>
        <v>-----</v>
      </c>
      <c r="CT17" s="5" t="str">
        <f t="shared" si="25"/>
        <v>-----</v>
      </c>
      <c r="CU17" s="5" t="str">
        <f t="shared" si="25"/>
        <v>-----</v>
      </c>
      <c r="CV17" s="5"/>
      <c r="CW17" s="17" t="str">
        <f t="shared" si="78"/>
        <v/>
      </c>
      <c r="CX17" s="17">
        <f t="shared" si="26"/>
        <v>6.6707214189000788E-4</v>
      </c>
      <c r="CY17" s="17" t="str">
        <f t="shared" si="26"/>
        <v/>
      </c>
      <c r="CZ17" s="17" t="str">
        <f t="shared" si="26"/>
        <v/>
      </c>
      <c r="DA17" s="17" t="str">
        <f t="shared" si="26"/>
        <v/>
      </c>
      <c r="DB17" s="17" t="str">
        <f t="shared" si="26"/>
        <v/>
      </c>
      <c r="DC17" s="8"/>
      <c r="DD17" s="5">
        <f t="shared" si="27"/>
        <v>1</v>
      </c>
      <c r="DE17" s="17">
        <f t="shared" si="79"/>
        <v>6.6707214189000788E-4</v>
      </c>
      <c r="DF17" s="5" t="str" cm="1">
        <f t="array" ref="DF17">_xlfn.IFS(DE17=CW17,CP17,DE17=CX17,CQ17,DE17=CY17,CR17,DE17=CZ17,CS17,DE17=DA17,CT17,DE17=DB17,CU17,TRUE,"----- ")</f>
        <v>Support</v>
      </c>
      <c r="DG17" s="5"/>
      <c r="DH17" s="5">
        <f t="shared" si="80"/>
        <v>-2.423265306122455E-3</v>
      </c>
      <c r="DI17" s="5">
        <f t="shared" si="81"/>
        <v>-3.7194805194805478E-4</v>
      </c>
      <c r="DJ17" s="5">
        <f t="shared" si="82"/>
        <v>-1.6402721088435472E-3</v>
      </c>
      <c r="DK17" s="5">
        <f t="shared" si="83"/>
        <v>7.6471243042669956E-4</v>
      </c>
      <c r="DL17" s="5">
        <f t="shared" si="84"/>
        <v>-2.3081014223875058E-4</v>
      </c>
      <c r="DM17" s="5">
        <f t="shared" si="85"/>
        <v>1.5802844774273381E-3</v>
      </c>
      <c r="DO17" s="5">
        <f t="shared" si="29"/>
        <v>-1.9079214597220278</v>
      </c>
      <c r="DP17" s="5">
        <f t="shared" si="30"/>
        <v>-0.29295343676527091</v>
      </c>
      <c r="DQ17" s="5">
        <f t="shared" si="31"/>
        <v>-1.2917022253843653</v>
      </c>
      <c r="DR17" s="5">
        <f t="shared" si="32"/>
        <v>0.60228527619529781</v>
      </c>
      <c r="DS17" s="5">
        <f t="shared" si="33"/>
        <v>-0.18179147971962978</v>
      </c>
      <c r="DT17" s="5">
        <f t="shared" si="34"/>
        <v>1.2444775446344229</v>
      </c>
      <c r="DV17" t="str" cm="1">
        <f t="array" ref="DV17">_xlfn.IFS(DO17&gt;3,"Strong + Slope",DO17&gt;1.5,"Moderate + Slope",DO17&gt;0.5,"Sideway + Slope",DO17&gt;=-0.5,"Sideway Flat",DO17&gt;=-1.5,"Sideway - Slope",DO17&gt;=-3,"Moderate - Slope",TRUE,"Strong - Slope")</f>
        <v>Moderate - Slope</v>
      </c>
      <c r="DW17" t="str" cm="1">
        <f t="array" ref="DW17">_xlfn.IFS(DP17&gt;3,"Strong + Slope",DP17&gt;1.5,"Moderate + Slope",DP17&gt;0.5,"Sideway + Slope",DP17&gt;=-0.5,"Sideway Flat",DP17&gt;=-1.5,"Sideway - Slope",DP17&gt;=-3,"Moderate - Slope",TRUE,"Strong - Slope")</f>
        <v>Sideway Flat</v>
      </c>
      <c r="DX17" t="str" cm="1">
        <f t="array" ref="DX17">_xlfn.IFS(DQ17&gt;3,"Strong + Slope",DQ17&gt;1.5,"Moderate + Slope",DQ17&gt;0.5,"Sideway + Slope",DQ17&gt;=-0.5,"Sideway Flat",DQ17&gt;=-1.5,"Sideway - Slope",DQ17&gt;=-3,"Moderate - Slope",TRUE,"Strong - Slope")</f>
        <v>Sideway - Slope</v>
      </c>
      <c r="DY17" t="str" cm="1">
        <f t="array" ref="DY17">_xlfn.IFS(DR17&gt;3,"Strong + Slope",DR17&gt;1.5,"Moderate + Slope",DR17&gt;0.5,"Sideway + Slope",DR17&gt;=-0.5,"Sideway Flat",DR17&gt;=-1.5,"Sideway - Slope",DR17&gt;=-3,"Moderate - Slope",TRUE,"Strong - Slope")</f>
        <v>Sideway + Slope</v>
      </c>
      <c r="DZ17" t="str" cm="1">
        <f t="array" ref="DZ17">_xlfn.IFS(DS17&gt;3,"Strong + Slope",DS17&gt;1.5,"Moderate + Slope",DS17&gt;0.5,"Sideway + Slope",DS17&gt;=-0.5,"Sideway Flat",DS17&gt;=-1.5,"Sideway - Slope",DS17&gt;=-3,"Moderate - Slope",TRUE,"Strong - Slope")</f>
        <v>Sideway Flat</v>
      </c>
      <c r="EA17" t="str" cm="1">
        <f t="array" ref="EA17">_xlfn.IFS(DT17&gt;3,"Strong + Slope",DT17&gt;1.5,"Moderate + Slope",DT17&gt;0.5,"Sideway + Slope",DT17&gt;=-0.5,"Sideway Flat",DT17&gt;=-1.5,"Sideway - Slope",DT17&gt;=-3,"Moderate - Slope",TRUE,"Strong - Slope")</f>
        <v>Sideway + Slope</v>
      </c>
      <c r="EB17" s="5"/>
      <c r="EC17" s="5">
        <f t="shared" si="35"/>
        <v>2</v>
      </c>
      <c r="ED17" s="5">
        <f t="shared" si="36"/>
        <v>3</v>
      </c>
      <c r="EE17" s="5">
        <f t="shared" si="37"/>
        <v>1</v>
      </c>
      <c r="EF17" s="5">
        <f t="shared" si="38"/>
        <v>6</v>
      </c>
      <c r="EG17" s="5">
        <f t="shared" si="39"/>
        <v>5</v>
      </c>
      <c r="EH17" s="5">
        <f t="shared" si="40"/>
        <v>4</v>
      </c>
      <c r="EI17" s="5"/>
      <c r="EJ17" s="5" t="str">
        <f t="shared" si="41"/>
        <v>RES</v>
      </c>
      <c r="EK17" s="5" t="str">
        <f t="shared" si="42"/>
        <v>SUP</v>
      </c>
      <c r="EL17" s="5" t="str">
        <f t="shared" si="43"/>
        <v>RES</v>
      </c>
      <c r="EM17" s="5" t="str">
        <f t="shared" si="44"/>
        <v>SUP</v>
      </c>
      <c r="EN17" s="5" t="str">
        <f t="shared" si="45"/>
        <v>SUP</v>
      </c>
      <c r="EO17" s="5" t="str">
        <f t="shared" si="46"/>
        <v>SUP</v>
      </c>
      <c r="EP17" s="5"/>
      <c r="EQ17" s="8">
        <f t="shared" si="47"/>
        <v>2.8110822012720435E-4</v>
      </c>
      <c r="ER17" s="8">
        <f t="shared" si="48"/>
        <v>-3.8570662761657816E-4</v>
      </c>
      <c r="ES17" s="8">
        <f t="shared" si="49"/>
        <v>1.8631591334021716E-3</v>
      </c>
      <c r="ET17" s="8">
        <f t="shared" si="50"/>
        <v>-2.595347985827045E-3</v>
      </c>
      <c r="EU17" s="8">
        <f t="shared" si="51"/>
        <v>-2.3926885713165921E-3</v>
      </c>
      <c r="EV17" s="8">
        <f t="shared" si="52"/>
        <v>-1.1701946837859526E-3</v>
      </c>
      <c r="EW17" s="8"/>
      <c r="EX17" s="8">
        <f t="shared" si="53"/>
        <v>0.58211143695016165</v>
      </c>
      <c r="EY17" s="9">
        <f t="shared" si="54"/>
        <v>2</v>
      </c>
      <c r="EZ17" s="10">
        <f t="shared" si="55"/>
        <v>4</v>
      </c>
      <c r="FA17" s="8">
        <f t="shared" si="86"/>
        <v>1.8631591334021716E-3</v>
      </c>
      <c r="FB17" s="8">
        <f t="shared" si="87"/>
        <v>2.8110822012720435E-4</v>
      </c>
      <c r="FC17" s="8">
        <f t="shared" si="88"/>
        <v>-3.8570662761657816E-4</v>
      </c>
      <c r="FD17" s="8">
        <f t="shared" si="89"/>
        <v>-1.1701946837859526E-3</v>
      </c>
      <c r="FE17" s="8">
        <f t="shared" si="90"/>
        <v>-2.3926885713165921E-3</v>
      </c>
      <c r="FF17" s="8">
        <f t="shared" si="91"/>
        <v>-2.595347985827045E-3</v>
      </c>
      <c r="FG17" s="5"/>
      <c r="FH17" s="5" t="str">
        <f t="shared" si="56"/>
        <v>-----</v>
      </c>
      <c r="FI17" s="5" t="str">
        <f t="shared" si="92"/>
        <v>Flat Momentum</v>
      </c>
      <c r="FJ17" s="5"/>
      <c r="FK17" s="5" t="str">
        <f t="shared" si="93"/>
        <v>-----</v>
      </c>
      <c r="FL17" s="5" t="str">
        <f t="shared" si="94"/>
        <v>-----</v>
      </c>
      <c r="FM17" s="5"/>
      <c r="FN17" s="5"/>
      <c r="FO17" s="8" t="str">
        <f t="shared" si="113"/>
        <v>Bearish</v>
      </c>
      <c r="FP17" s="8"/>
      <c r="FQ17" s="14">
        <f t="shared" si="57"/>
        <v>-1.1495303907096243E-3</v>
      </c>
      <c r="FR17" s="14">
        <f t="shared" si="58"/>
        <v>-2.0166209097427328</v>
      </c>
      <c r="FS17" s="14" t="str">
        <f t="shared" si="59"/>
        <v>Reverse to Bullish</v>
      </c>
      <c r="FT17" s="14" t="str">
        <f t="shared" si="60"/>
        <v>Bearish</v>
      </c>
      <c r="FU17" s="5" t="str">
        <f t="shared" si="95"/>
        <v>TEMA crossover</v>
      </c>
      <c r="FV17" s="5" t="str">
        <f t="shared" si="96"/>
        <v>-----</v>
      </c>
      <c r="FW17" s="5"/>
      <c r="FX17" s="15" t="str">
        <f t="shared" si="103"/>
        <v>YES</v>
      </c>
      <c r="FY17" s="15" t="str">
        <f t="shared" si="104"/>
        <v>-----</v>
      </c>
      <c r="FZ17" s="15" t="str">
        <f t="shared" si="105"/>
        <v>-----</v>
      </c>
      <c r="GA17" s="15" t="str">
        <f t="shared" si="106"/>
        <v>YES</v>
      </c>
      <c r="GB17" s="16" t="str">
        <f t="shared" si="107"/>
        <v>-----</v>
      </c>
      <c r="GC17" s="16" t="str">
        <f t="shared" si="108"/>
        <v>YES</v>
      </c>
      <c r="GD17" s="16" t="str">
        <f t="shared" si="109"/>
        <v>YES</v>
      </c>
      <c r="GE17" s="16" t="str">
        <f t="shared" si="112"/>
        <v>YES</v>
      </c>
      <c r="GF17" s="15" t="str">
        <f t="shared" si="110"/>
        <v>-----</v>
      </c>
      <c r="GG17" s="16" t="str">
        <f t="shared" si="111"/>
        <v>-----</v>
      </c>
      <c r="GH17" s="14"/>
      <c r="GI17" s="5" t="str">
        <f t="shared" si="61"/>
        <v>Bullish Trigger</v>
      </c>
      <c r="GJ17" s="5" t="str">
        <f t="shared" si="62"/>
        <v>-----</v>
      </c>
      <c r="GK17" s="5"/>
      <c r="GL17" s="5" t="str">
        <f t="shared" si="63"/>
        <v>-----</v>
      </c>
      <c r="GM17" s="5" t="str">
        <f t="shared" si="64"/>
        <v>-----</v>
      </c>
      <c r="GN17" s="5"/>
      <c r="GO17" s="12">
        <f t="shared" si="65"/>
        <v>0.13199999999997658</v>
      </c>
      <c r="GP17" s="5">
        <f t="shared" si="97"/>
        <v>1.2957602604388525</v>
      </c>
      <c r="GQ17" s="13" t="str">
        <f t="shared" si="98"/>
        <v>Price Distribution</v>
      </c>
      <c r="GR17" s="5"/>
      <c r="GS17">
        <f t="shared" si="99"/>
        <v>2.2041016388278076</v>
      </c>
      <c r="GT17" s="5" t="str">
        <f t="shared" si="100"/>
        <v>High Volume</v>
      </c>
    </row>
    <row r="18" spans="1:202" x14ac:dyDescent="0.55000000000000004">
      <c r="A18">
        <v>14</v>
      </c>
      <c r="B18" t="s">
        <v>17</v>
      </c>
      <c r="C18" t="s">
        <v>4</v>
      </c>
      <c r="D18" t="s">
        <v>103</v>
      </c>
      <c r="E18">
        <v>152.964</v>
      </c>
      <c r="F18">
        <v>153.06700000000001</v>
      </c>
      <c r="G18">
        <v>152.964</v>
      </c>
      <c r="H18">
        <v>153.02000000000001</v>
      </c>
      <c r="I18">
        <v>592</v>
      </c>
      <c r="J18">
        <v>153.00700000000001</v>
      </c>
      <c r="K18">
        <v>152.90600000000001</v>
      </c>
      <c r="L18">
        <v>153.25</v>
      </c>
      <c r="M18">
        <v>152.57</v>
      </c>
      <c r="N18">
        <v>152.6</v>
      </c>
      <c r="O18">
        <v>152.78899999999999</v>
      </c>
      <c r="P18">
        <v>0</v>
      </c>
      <c r="Q18">
        <v>0</v>
      </c>
      <c r="R18">
        <v>0</v>
      </c>
      <c r="S18">
        <v>0</v>
      </c>
      <c r="T18">
        <v>0</v>
      </c>
      <c r="U18">
        <v>0.17030999999999999</v>
      </c>
      <c r="V18">
        <v>0</v>
      </c>
      <c r="W18">
        <v>153.43762000000001</v>
      </c>
      <c r="X18">
        <v>153.35688999999999</v>
      </c>
      <c r="Y18">
        <v>153.27617000000001</v>
      </c>
      <c r="Z18">
        <v>153.19544999999999</v>
      </c>
      <c r="AA18">
        <v>153.11473000000001</v>
      </c>
      <c r="AB18">
        <v>152.99520000000001</v>
      </c>
      <c r="AC18">
        <v>152.91446999999999</v>
      </c>
      <c r="AD18">
        <v>152.83375000000001</v>
      </c>
      <c r="AE18">
        <v>152.75303</v>
      </c>
      <c r="AF18">
        <v>152.67231000000001</v>
      </c>
      <c r="AG18">
        <v>152.93799999999999</v>
      </c>
      <c r="AH18">
        <v>152.92500000000001</v>
      </c>
      <c r="AI18">
        <v>153.09899999999999</v>
      </c>
      <c r="AJ18">
        <v>153.24199999999999</v>
      </c>
      <c r="AK18">
        <v>152.99100000000001</v>
      </c>
      <c r="AL18">
        <v>152.87200000000001</v>
      </c>
      <c r="AM18" s="11">
        <f t="shared" si="0"/>
        <v>0.10300000000000864</v>
      </c>
      <c r="AN18" s="11">
        <f t="shared" si="66"/>
        <v>0.10099999999999909</v>
      </c>
      <c r="AO18" s="11">
        <f t="shared" si="67"/>
        <v>2.0000000000095497E-3</v>
      </c>
      <c r="AP18" s="11">
        <f t="shared" si="68"/>
        <v>0.10300000000000864</v>
      </c>
      <c r="AR18" s="5" t="str">
        <f t="shared" si="1"/>
        <v>------</v>
      </c>
      <c r="AS18" s="5" t="str">
        <f t="shared" si="2"/>
        <v>------</v>
      </c>
      <c r="AT18" t="str">
        <f t="shared" si="3"/>
        <v/>
      </c>
      <c r="AV18" s="2">
        <f t="shared" si="4"/>
        <v>153.02995105000002</v>
      </c>
      <c r="AW18" s="2">
        <f t="shared" si="5"/>
        <v>152.98404895000002</v>
      </c>
      <c r="AX18" s="2">
        <f t="shared" si="6"/>
        <v>152.92893590000003</v>
      </c>
      <c r="AY18" s="2">
        <f t="shared" si="7"/>
        <v>152.88306410000001</v>
      </c>
      <c r="AZ18" s="2">
        <f t="shared" si="8"/>
        <v>153.27298750000003</v>
      </c>
      <c r="BA18" s="2">
        <f t="shared" si="9"/>
        <v>153.2270125</v>
      </c>
      <c r="BB18" s="2">
        <f t="shared" si="10"/>
        <v>152.59288549999999</v>
      </c>
      <c r="BC18" s="2">
        <f t="shared" si="11"/>
        <v>152.54711449999999</v>
      </c>
      <c r="BD18" s="2">
        <f t="shared" si="12"/>
        <v>152.62289000000001</v>
      </c>
      <c r="BE18" s="2">
        <f t="shared" si="13"/>
        <v>152.57711</v>
      </c>
      <c r="BF18" s="2">
        <f t="shared" si="14"/>
        <v>152.81191835000001</v>
      </c>
      <c r="BG18" s="2">
        <f t="shared" si="15"/>
        <v>152.76608164999999</v>
      </c>
      <c r="BI18" s="5" t="str">
        <f t="shared" si="69"/>
        <v>TOUCH</v>
      </c>
      <c r="BJ18" s="5" t="str">
        <f t="shared" si="70"/>
        <v>-----</v>
      </c>
      <c r="BK18" s="5" t="str">
        <f t="shared" si="71"/>
        <v>-----</v>
      </c>
      <c r="BL18" s="5" t="str">
        <f t="shared" si="72"/>
        <v>-----</v>
      </c>
      <c r="BM18" s="5" t="str">
        <f t="shared" si="73"/>
        <v>-----</v>
      </c>
      <c r="BN18" s="5" t="str">
        <f t="shared" si="74"/>
        <v>-----</v>
      </c>
      <c r="BO18" s="5"/>
      <c r="BP18" s="5">
        <f t="shared" si="75"/>
        <v>0</v>
      </c>
      <c r="BQ18" s="5">
        <f t="shared" si="75"/>
        <v>1</v>
      </c>
      <c r="BR18" s="5">
        <f t="shared" si="75"/>
        <v>12</v>
      </c>
      <c r="BS18" s="5">
        <f t="shared" si="75"/>
        <v>14</v>
      </c>
      <c r="BT18" s="5">
        <f t="shared" si="75"/>
        <v>14</v>
      </c>
      <c r="BU18" s="5">
        <f t="shared" si="75"/>
        <v>14</v>
      </c>
      <c r="BV18" s="5">
        <f t="shared" si="76"/>
        <v>1</v>
      </c>
      <c r="BW18" s="5">
        <f t="shared" si="76"/>
        <v>4</v>
      </c>
      <c r="BX18" s="5">
        <f t="shared" si="76"/>
        <v>2</v>
      </c>
      <c r="BY18" s="5">
        <f t="shared" si="76"/>
        <v>0</v>
      </c>
      <c r="BZ18" s="5">
        <f t="shared" si="76"/>
        <v>0</v>
      </c>
      <c r="CA18" s="5">
        <f t="shared" si="76"/>
        <v>0</v>
      </c>
      <c r="CB18" s="5">
        <f t="shared" si="102"/>
        <v>1</v>
      </c>
      <c r="CC18" s="5" t="str">
        <f t="shared" si="101"/>
        <v>-----</v>
      </c>
      <c r="CD18" s="5" t="str">
        <f t="shared" si="18"/>
        <v>-----</v>
      </c>
      <c r="CE18" s="5" t="str">
        <f t="shared" si="18"/>
        <v>-----</v>
      </c>
      <c r="CF18" s="5" t="str">
        <f t="shared" si="18"/>
        <v>-----</v>
      </c>
      <c r="CG18" s="5" t="str">
        <f t="shared" si="18"/>
        <v>-----</v>
      </c>
      <c r="CH18" s="5"/>
      <c r="CI18" s="17">
        <f t="shared" si="19"/>
        <v>8.4963433045581117E-5</v>
      </c>
      <c r="CJ18" s="17" t="str">
        <f t="shared" si="20"/>
        <v>-----</v>
      </c>
      <c r="CK18" s="17" t="str">
        <f t="shared" si="21"/>
        <v>-----</v>
      </c>
      <c r="CL18" s="17" t="str">
        <f t="shared" si="22"/>
        <v>-----</v>
      </c>
      <c r="CM18" s="17" t="str">
        <f t="shared" si="23"/>
        <v>-----</v>
      </c>
      <c r="CN18" s="17" t="str">
        <f t="shared" si="24"/>
        <v>-----</v>
      </c>
      <c r="CO18" s="5"/>
      <c r="CP18" s="5" t="str">
        <f t="shared" si="77"/>
        <v>Support</v>
      </c>
      <c r="CQ18" s="5" t="str">
        <f t="shared" si="25"/>
        <v>-----</v>
      </c>
      <c r="CR18" s="5" t="str">
        <f t="shared" si="25"/>
        <v>-----</v>
      </c>
      <c r="CS18" s="5" t="str">
        <f t="shared" si="25"/>
        <v>-----</v>
      </c>
      <c r="CT18" s="5" t="str">
        <f t="shared" si="25"/>
        <v>-----</v>
      </c>
      <c r="CU18" s="5" t="str">
        <f t="shared" si="25"/>
        <v>-----</v>
      </c>
      <c r="CV18" s="5"/>
      <c r="CW18" s="17">
        <f t="shared" si="78"/>
        <v>8.4963433045581117E-5</v>
      </c>
      <c r="CX18" s="17" t="str">
        <f t="shared" si="26"/>
        <v/>
      </c>
      <c r="CY18" s="17" t="str">
        <f t="shared" si="26"/>
        <v/>
      </c>
      <c r="CZ18" s="17" t="str">
        <f t="shared" si="26"/>
        <v/>
      </c>
      <c r="DA18" s="17" t="str">
        <f t="shared" si="26"/>
        <v/>
      </c>
      <c r="DB18" s="17" t="str">
        <f t="shared" si="26"/>
        <v/>
      </c>
      <c r="DC18" s="8"/>
      <c r="DD18" s="5">
        <f t="shared" si="27"/>
        <v>1</v>
      </c>
      <c r="DE18" s="17">
        <f t="shared" si="79"/>
        <v>8.4963433045581117E-5</v>
      </c>
      <c r="DF18" s="5" t="str" cm="1">
        <f t="array" ref="DF18">_xlfn.IFS(DE18=CW18,CP18,DE18=CX18,CQ18,DE18=CY18,CR18,DE18=CZ18,CS18,DE18=DA18,CT18,DE18=DB18,CU18,TRUE,"----- ")</f>
        <v>Support</v>
      </c>
      <c r="DG18" s="5"/>
      <c r="DH18" s="5">
        <f t="shared" si="80"/>
        <v>-2.423265306122455E-3</v>
      </c>
      <c r="DI18" s="5">
        <f t="shared" si="81"/>
        <v>-3.7194805194805478E-4</v>
      </c>
      <c r="DJ18" s="5">
        <f t="shared" si="82"/>
        <v>-1.6402721088435472E-3</v>
      </c>
      <c r="DK18" s="5">
        <f t="shared" si="83"/>
        <v>7.6471243042669956E-4</v>
      </c>
      <c r="DL18" s="5">
        <f t="shared" si="84"/>
        <v>-2.3081014223875058E-4</v>
      </c>
      <c r="DM18" s="5">
        <f t="shared" si="85"/>
        <v>1.5802844774273381E-3</v>
      </c>
      <c r="DO18" s="5">
        <f t="shared" si="29"/>
        <v>-1.9079214597220278</v>
      </c>
      <c r="DP18" s="5">
        <f t="shared" si="30"/>
        <v>-0.29295343676527091</v>
      </c>
      <c r="DQ18" s="5">
        <f t="shared" si="31"/>
        <v>-1.2917022253843653</v>
      </c>
      <c r="DR18" s="5">
        <f t="shared" si="32"/>
        <v>0.60228527619529781</v>
      </c>
      <c r="DS18" s="5">
        <f t="shared" si="33"/>
        <v>-0.18179147971962978</v>
      </c>
      <c r="DT18" s="5">
        <f t="shared" si="34"/>
        <v>1.2444775446344229</v>
      </c>
      <c r="DV18" t="str" cm="1">
        <f t="array" ref="DV18">_xlfn.IFS(DO18&gt;3,"Strong + Slope",DO18&gt;1.5,"Moderate + Slope",DO18&gt;0.5,"Sideway + Slope",DO18&gt;=-0.5,"Sideway Flat",DO18&gt;=-1.5,"Sideway - Slope",DO18&gt;=-3,"Moderate - Slope",TRUE,"Strong - Slope")</f>
        <v>Moderate - Slope</v>
      </c>
      <c r="DW18" t="str" cm="1">
        <f t="array" ref="DW18">_xlfn.IFS(DP18&gt;3,"Strong + Slope",DP18&gt;1.5,"Moderate + Slope",DP18&gt;0.5,"Sideway + Slope",DP18&gt;=-0.5,"Sideway Flat",DP18&gt;=-1.5,"Sideway - Slope",DP18&gt;=-3,"Moderate - Slope",TRUE,"Strong - Slope")</f>
        <v>Sideway Flat</v>
      </c>
      <c r="DX18" t="str" cm="1">
        <f t="array" ref="DX18">_xlfn.IFS(DQ18&gt;3,"Strong + Slope",DQ18&gt;1.5,"Moderate + Slope",DQ18&gt;0.5,"Sideway + Slope",DQ18&gt;=-0.5,"Sideway Flat",DQ18&gt;=-1.5,"Sideway - Slope",DQ18&gt;=-3,"Moderate - Slope",TRUE,"Strong - Slope")</f>
        <v>Sideway - Slope</v>
      </c>
      <c r="DY18" t="str" cm="1">
        <f t="array" ref="DY18">_xlfn.IFS(DR18&gt;3,"Strong + Slope",DR18&gt;1.5,"Moderate + Slope",DR18&gt;0.5,"Sideway + Slope",DR18&gt;=-0.5,"Sideway Flat",DR18&gt;=-1.5,"Sideway - Slope",DR18&gt;=-3,"Moderate - Slope",TRUE,"Strong - Slope")</f>
        <v>Sideway + Slope</v>
      </c>
      <c r="DZ18" t="str" cm="1">
        <f t="array" ref="DZ18">_xlfn.IFS(DS18&gt;3,"Strong + Slope",DS18&gt;1.5,"Moderate + Slope",DS18&gt;0.5,"Sideway + Slope",DS18&gt;=-0.5,"Sideway Flat",DS18&gt;=-1.5,"Sideway - Slope",DS18&gt;=-3,"Moderate - Slope",TRUE,"Strong - Slope")</f>
        <v>Sideway Flat</v>
      </c>
      <c r="EA18" t="str" cm="1">
        <f t="array" ref="EA18">_xlfn.IFS(DT18&gt;3,"Strong + Slope",DT18&gt;1.5,"Moderate + Slope",DT18&gt;0.5,"Sideway + Slope",DT18&gt;=-0.5,"Sideway Flat",DT18&gt;=-1.5,"Sideway - Slope",DT18&gt;=-3,"Moderate - Slope",TRUE,"Strong - Slope")</f>
        <v>Sideway + Slope</v>
      </c>
      <c r="EB18" s="5"/>
      <c r="EC18" s="5">
        <f t="shared" si="35"/>
        <v>2</v>
      </c>
      <c r="ED18" s="5">
        <f t="shared" si="36"/>
        <v>3</v>
      </c>
      <c r="EE18" s="5">
        <f t="shared" si="37"/>
        <v>1</v>
      </c>
      <c r="EF18" s="5">
        <f t="shared" si="38"/>
        <v>6</v>
      </c>
      <c r="EG18" s="5">
        <f t="shared" si="39"/>
        <v>5</v>
      </c>
      <c r="EH18" s="5">
        <f t="shared" si="40"/>
        <v>4</v>
      </c>
      <c r="EI18" s="5"/>
      <c r="EJ18" s="5" t="str">
        <f t="shared" si="41"/>
        <v>SUP</v>
      </c>
      <c r="EK18" s="5" t="str">
        <f t="shared" si="42"/>
        <v>SUP</v>
      </c>
      <c r="EL18" s="5" t="str">
        <f t="shared" si="43"/>
        <v>RES</v>
      </c>
      <c r="EM18" s="5" t="str">
        <f t="shared" si="44"/>
        <v>SUP</v>
      </c>
      <c r="EN18" s="5" t="str">
        <f t="shared" si="45"/>
        <v>SUP</v>
      </c>
      <c r="EO18" s="5" t="str">
        <f t="shared" si="46"/>
        <v>SUP</v>
      </c>
      <c r="EP18" s="5"/>
      <c r="EQ18" s="8">
        <f t="shared" si="47"/>
        <v>-8.4956214873906866E-5</v>
      </c>
      <c r="ER18" s="8">
        <f t="shared" si="48"/>
        <v>-7.4500065350937335E-4</v>
      </c>
      <c r="ES18" s="8">
        <f t="shared" si="49"/>
        <v>1.5030714939222962E-3</v>
      </c>
      <c r="ET18" s="8">
        <f t="shared" si="50"/>
        <v>-2.9407920533264737E-3</v>
      </c>
      <c r="EU18" s="8">
        <f t="shared" si="51"/>
        <v>-2.7447392497713754E-3</v>
      </c>
      <c r="EV18" s="8">
        <f t="shared" si="52"/>
        <v>-1.5096065873743494E-3</v>
      </c>
      <c r="EW18" s="8"/>
      <c r="EX18" s="8">
        <f t="shared" si="53"/>
        <v>0.66176470588237135</v>
      </c>
      <c r="EY18" s="9">
        <f t="shared" si="54"/>
        <v>1</v>
      </c>
      <c r="EZ18" s="10">
        <f t="shared" si="55"/>
        <v>5</v>
      </c>
      <c r="FA18" s="8">
        <f t="shared" si="86"/>
        <v>1.5030714939222962E-3</v>
      </c>
      <c r="FB18" s="8">
        <f t="shared" si="87"/>
        <v>-8.4956214873906866E-5</v>
      </c>
      <c r="FC18" s="8">
        <f t="shared" si="88"/>
        <v>-7.4500065350937335E-4</v>
      </c>
      <c r="FD18" s="8">
        <f t="shared" si="89"/>
        <v>-1.5096065873743494E-3</v>
      </c>
      <c r="FE18" s="8">
        <f t="shared" si="90"/>
        <v>-2.7447392497713754E-3</v>
      </c>
      <c r="FF18" s="8">
        <f t="shared" si="91"/>
        <v>-2.9407920533264737E-3</v>
      </c>
      <c r="FG18" s="5"/>
      <c r="FH18" s="5" t="str">
        <f t="shared" si="56"/>
        <v>-----</v>
      </c>
      <c r="FI18" s="5" t="str">
        <f t="shared" si="92"/>
        <v>Flat Momentum</v>
      </c>
      <c r="FJ18" s="5"/>
      <c r="FK18" s="5" t="str">
        <f t="shared" si="93"/>
        <v>-----</v>
      </c>
      <c r="FL18" s="5" t="str">
        <f t="shared" si="94"/>
        <v>-----</v>
      </c>
      <c r="FM18" s="5"/>
      <c r="FN18" s="5"/>
      <c r="FO18" s="8" t="str">
        <f t="shared" si="113"/>
        <v>Bearish</v>
      </c>
      <c r="FP18" s="8"/>
      <c r="FQ18" s="14">
        <f t="shared" si="57"/>
        <v>-1.1365195069855335E-3</v>
      </c>
      <c r="FR18" s="14">
        <f t="shared" si="58"/>
        <v>-1.9790968344058617</v>
      </c>
      <c r="FS18" s="14" t="str">
        <f t="shared" si="59"/>
        <v>Reverse to Bullish</v>
      </c>
      <c r="FT18" s="14" t="str">
        <f t="shared" si="60"/>
        <v>Bullish</v>
      </c>
      <c r="FU18" s="5" t="str">
        <f t="shared" si="95"/>
        <v>-----</v>
      </c>
      <c r="FV18" s="5" t="str">
        <f t="shared" si="96"/>
        <v>-----</v>
      </c>
      <c r="FW18" s="5"/>
      <c r="FX18" s="15" t="str">
        <f t="shared" si="103"/>
        <v>YES</v>
      </c>
      <c r="FY18" s="15" t="str">
        <f t="shared" si="104"/>
        <v>-----</v>
      </c>
      <c r="FZ18" s="15" t="str">
        <f t="shared" si="105"/>
        <v>-----</v>
      </c>
      <c r="GA18" s="15" t="str">
        <f t="shared" si="106"/>
        <v>-----</v>
      </c>
      <c r="GB18" s="16" t="str">
        <f t="shared" si="107"/>
        <v>-----</v>
      </c>
      <c r="GC18" s="16" t="str">
        <f t="shared" si="108"/>
        <v>YES</v>
      </c>
      <c r="GD18" s="16" t="str">
        <f t="shared" si="109"/>
        <v>-----</v>
      </c>
      <c r="GE18" s="16" t="str">
        <f t="shared" si="112"/>
        <v>YES</v>
      </c>
      <c r="GF18" s="15" t="str">
        <f t="shared" si="110"/>
        <v>-----</v>
      </c>
      <c r="GG18" s="16" t="str">
        <f t="shared" si="111"/>
        <v>-----</v>
      </c>
      <c r="GH18" s="14"/>
      <c r="GI18" s="5" t="str">
        <f t="shared" si="61"/>
        <v>Bullish Trigger</v>
      </c>
      <c r="GJ18" s="5" t="str">
        <f t="shared" si="62"/>
        <v>-----</v>
      </c>
      <c r="GK18" s="5"/>
      <c r="GL18" s="5" t="str">
        <f t="shared" si="63"/>
        <v>-----</v>
      </c>
      <c r="GM18" s="5" t="str">
        <f t="shared" si="64"/>
        <v>-----</v>
      </c>
      <c r="GN18" s="5"/>
      <c r="GO18" s="12">
        <f t="shared" si="65"/>
        <v>0.11899999999999977</v>
      </c>
      <c r="GP18" s="5">
        <f t="shared" si="97"/>
        <v>0.99614771010062297</v>
      </c>
      <c r="GQ18" s="13" t="str">
        <f t="shared" si="98"/>
        <v>-----</v>
      </c>
      <c r="GR18" s="5"/>
      <c r="GS18">
        <f t="shared" si="99"/>
        <v>1.9588827837597824</v>
      </c>
      <c r="GT18" s="5" t="str">
        <f t="shared" si="100"/>
        <v>High Volume</v>
      </c>
    </row>
    <row r="19" spans="1:202" x14ac:dyDescent="0.55000000000000004">
      <c r="A19">
        <v>15</v>
      </c>
      <c r="B19" t="s">
        <v>18</v>
      </c>
      <c r="C19" t="s">
        <v>4</v>
      </c>
      <c r="D19" t="s">
        <v>103</v>
      </c>
      <c r="E19">
        <v>153.01900000000001</v>
      </c>
      <c r="F19">
        <v>153.09200000000001</v>
      </c>
      <c r="G19">
        <v>152.94</v>
      </c>
      <c r="H19">
        <v>153.04900000000001</v>
      </c>
      <c r="I19">
        <v>583</v>
      </c>
      <c r="J19">
        <v>153.00399999999999</v>
      </c>
      <c r="K19">
        <v>152.90600000000001</v>
      </c>
      <c r="L19">
        <v>153.24799999999999</v>
      </c>
      <c r="M19">
        <v>152.571</v>
      </c>
      <c r="N19">
        <v>152.6</v>
      </c>
      <c r="O19">
        <v>152.79</v>
      </c>
      <c r="P19">
        <v>0</v>
      </c>
      <c r="Q19">
        <v>0</v>
      </c>
      <c r="R19">
        <v>0</v>
      </c>
      <c r="S19">
        <v>0</v>
      </c>
      <c r="T19">
        <v>0</v>
      </c>
      <c r="U19">
        <v>0.42524000000000001</v>
      </c>
      <c r="V19">
        <v>0</v>
      </c>
      <c r="W19">
        <v>153.42570000000001</v>
      </c>
      <c r="X19">
        <v>153.34453999999999</v>
      </c>
      <c r="Y19">
        <v>153.26338000000001</v>
      </c>
      <c r="Z19">
        <v>153.18222</v>
      </c>
      <c r="AA19">
        <v>153.10105999999999</v>
      </c>
      <c r="AB19">
        <v>152.97971999999999</v>
      </c>
      <c r="AC19">
        <v>152.89856</v>
      </c>
      <c r="AD19">
        <v>152.81739999999999</v>
      </c>
      <c r="AE19">
        <v>152.73624000000001</v>
      </c>
      <c r="AF19">
        <v>152.65508</v>
      </c>
      <c r="AG19">
        <v>152.97800000000001</v>
      </c>
      <c r="AH19">
        <v>152.929</v>
      </c>
      <c r="AI19">
        <v>153.09399999999999</v>
      </c>
      <c r="AJ19">
        <v>153.23599999999999</v>
      </c>
      <c r="AK19">
        <v>153.036</v>
      </c>
      <c r="AL19">
        <v>152.90100000000001</v>
      </c>
      <c r="AM19" s="11">
        <f t="shared" si="0"/>
        <v>0.15200000000001523</v>
      </c>
      <c r="AN19" s="11">
        <f t="shared" si="66"/>
        <v>7.2000000000002728E-2</v>
      </c>
      <c r="AO19" s="11">
        <f t="shared" si="67"/>
        <v>8.0000000000012506E-2</v>
      </c>
      <c r="AP19" s="11">
        <f t="shared" si="68"/>
        <v>0.15200000000001523</v>
      </c>
      <c r="AR19" s="5" t="str">
        <f t="shared" si="1"/>
        <v>------</v>
      </c>
      <c r="AS19" s="5" t="str">
        <f t="shared" si="2"/>
        <v>------</v>
      </c>
      <c r="AT19" t="str">
        <f t="shared" si="3"/>
        <v/>
      </c>
      <c r="AV19" s="2">
        <f t="shared" si="4"/>
        <v>153.02695059999999</v>
      </c>
      <c r="AW19" s="2">
        <f t="shared" si="5"/>
        <v>152.98104939999999</v>
      </c>
      <c r="AX19" s="2">
        <f t="shared" si="6"/>
        <v>152.92893590000003</v>
      </c>
      <c r="AY19" s="2">
        <f t="shared" si="7"/>
        <v>152.88306410000001</v>
      </c>
      <c r="AZ19" s="2">
        <f t="shared" si="8"/>
        <v>153.27098720000001</v>
      </c>
      <c r="BA19" s="2">
        <f t="shared" si="9"/>
        <v>153.2250128</v>
      </c>
      <c r="BB19" s="2">
        <f t="shared" si="10"/>
        <v>152.59388565</v>
      </c>
      <c r="BC19" s="2">
        <f t="shared" si="11"/>
        <v>152.54811434999999</v>
      </c>
      <c r="BD19" s="2">
        <f t="shared" si="12"/>
        <v>152.62289000000001</v>
      </c>
      <c r="BE19" s="2">
        <f t="shared" si="13"/>
        <v>152.57711</v>
      </c>
      <c r="BF19" s="2">
        <f t="shared" si="14"/>
        <v>152.81291849999999</v>
      </c>
      <c r="BG19" s="2">
        <f t="shared" si="15"/>
        <v>152.76708149999999</v>
      </c>
      <c r="BI19" s="5" t="str">
        <f t="shared" si="69"/>
        <v>TOUCH</v>
      </c>
      <c r="BJ19" s="5" t="str">
        <f t="shared" si="70"/>
        <v>-----</v>
      </c>
      <c r="BK19" s="5" t="str">
        <f t="shared" si="71"/>
        <v>-----</v>
      </c>
      <c r="BL19" s="5" t="str">
        <f t="shared" si="72"/>
        <v>-----</v>
      </c>
      <c r="BM19" s="5" t="str">
        <f t="shared" si="73"/>
        <v>-----</v>
      </c>
      <c r="BN19" s="5" t="str">
        <f t="shared" si="74"/>
        <v>-----</v>
      </c>
      <c r="BO19" s="5"/>
      <c r="BP19" s="5">
        <f t="shared" si="75"/>
        <v>0</v>
      </c>
      <c r="BQ19" s="5">
        <f t="shared" si="75"/>
        <v>2</v>
      </c>
      <c r="BR19" s="5">
        <f t="shared" si="75"/>
        <v>13</v>
      </c>
      <c r="BS19" s="5">
        <f t="shared" si="75"/>
        <v>15</v>
      </c>
      <c r="BT19" s="5">
        <f t="shared" si="75"/>
        <v>15</v>
      </c>
      <c r="BU19" s="5">
        <f t="shared" si="75"/>
        <v>15</v>
      </c>
      <c r="BV19" s="5">
        <f t="shared" si="76"/>
        <v>2</v>
      </c>
      <c r="BW19" s="5">
        <f t="shared" si="76"/>
        <v>4</v>
      </c>
      <c r="BX19" s="5">
        <f t="shared" si="76"/>
        <v>2</v>
      </c>
      <c r="BY19" s="5">
        <f t="shared" si="76"/>
        <v>0</v>
      </c>
      <c r="BZ19" s="5">
        <f t="shared" si="76"/>
        <v>0</v>
      </c>
      <c r="CA19" s="5">
        <f t="shared" si="76"/>
        <v>0</v>
      </c>
      <c r="CB19" s="5">
        <f t="shared" si="102"/>
        <v>2</v>
      </c>
      <c r="CC19" s="5" t="str">
        <f t="shared" si="101"/>
        <v>-----</v>
      </c>
      <c r="CD19" s="5" t="str">
        <f t="shared" si="18"/>
        <v>-----</v>
      </c>
      <c r="CE19" s="5" t="str">
        <f t="shared" si="18"/>
        <v>-----</v>
      </c>
      <c r="CF19" s="5" t="str">
        <f t="shared" si="18"/>
        <v>-----</v>
      </c>
      <c r="CG19" s="5" t="str">
        <f t="shared" si="18"/>
        <v>-----</v>
      </c>
      <c r="CH19" s="5"/>
      <c r="CI19" s="17">
        <f t="shared" si="19"/>
        <v>2.9410995790970119E-4</v>
      </c>
      <c r="CJ19" s="17" t="str">
        <f t="shared" si="20"/>
        <v>-----</v>
      </c>
      <c r="CK19" s="17" t="str">
        <f t="shared" si="21"/>
        <v>-----</v>
      </c>
      <c r="CL19" s="17" t="str">
        <f t="shared" si="22"/>
        <v>-----</v>
      </c>
      <c r="CM19" s="17" t="str">
        <f t="shared" si="23"/>
        <v>-----</v>
      </c>
      <c r="CN19" s="17" t="str">
        <f t="shared" si="24"/>
        <v>-----</v>
      </c>
      <c r="CO19" s="5"/>
      <c r="CP19" s="5" t="str">
        <f t="shared" si="77"/>
        <v>Support</v>
      </c>
      <c r="CQ19" s="5" t="str">
        <f t="shared" si="25"/>
        <v>-----</v>
      </c>
      <c r="CR19" s="5" t="str">
        <f t="shared" si="25"/>
        <v>-----</v>
      </c>
      <c r="CS19" s="5" t="str">
        <f t="shared" si="25"/>
        <v>-----</v>
      </c>
      <c r="CT19" s="5" t="str">
        <f t="shared" si="25"/>
        <v>-----</v>
      </c>
      <c r="CU19" s="5" t="str">
        <f t="shared" si="25"/>
        <v>-----</v>
      </c>
      <c r="CV19" s="5"/>
      <c r="CW19" s="17">
        <f t="shared" si="78"/>
        <v>2.9410995790970119E-4</v>
      </c>
      <c r="CX19" s="17" t="str">
        <f t="shared" si="26"/>
        <v/>
      </c>
      <c r="CY19" s="17" t="str">
        <f t="shared" si="26"/>
        <v/>
      </c>
      <c r="CZ19" s="17" t="str">
        <f t="shared" si="26"/>
        <v/>
      </c>
      <c r="DA19" s="17" t="str">
        <f t="shared" si="26"/>
        <v/>
      </c>
      <c r="DB19" s="17" t="str">
        <f t="shared" si="26"/>
        <v/>
      </c>
      <c r="DC19" s="8"/>
      <c r="DD19" s="5">
        <f t="shared" si="27"/>
        <v>1</v>
      </c>
      <c r="DE19" s="17">
        <f t="shared" si="79"/>
        <v>2.9410995790970119E-4</v>
      </c>
      <c r="DF19" s="5" t="str" cm="1">
        <f t="array" ref="DF19">_xlfn.IFS(DE19=CW19,CP19,DE19=CX19,CQ19,DE19=CY19,CR19,DE19=CZ19,CS19,DE19=DA19,CT19,DE19=DB19,CU19,TRUE,"----- ")</f>
        <v>Support</v>
      </c>
      <c r="DG19" s="5"/>
      <c r="DH19" s="5">
        <f t="shared" si="80"/>
        <v>-2.423265306122455E-3</v>
      </c>
      <c r="DI19" s="5">
        <f t="shared" si="81"/>
        <v>-3.7194805194805478E-4</v>
      </c>
      <c r="DJ19" s="5">
        <f t="shared" si="82"/>
        <v>-1.6402721088435472E-3</v>
      </c>
      <c r="DK19" s="5">
        <f t="shared" si="83"/>
        <v>7.6471243042669956E-4</v>
      </c>
      <c r="DL19" s="5">
        <f t="shared" si="84"/>
        <v>-2.3081014223875058E-4</v>
      </c>
      <c r="DM19" s="5">
        <f t="shared" si="85"/>
        <v>1.5802844774273381E-3</v>
      </c>
      <c r="DO19" s="5">
        <f t="shared" si="29"/>
        <v>-1.9079214597220278</v>
      </c>
      <c r="DP19" s="5">
        <f t="shared" si="30"/>
        <v>-0.29295343676527091</v>
      </c>
      <c r="DQ19" s="5">
        <f t="shared" si="31"/>
        <v>-1.2917022253843653</v>
      </c>
      <c r="DR19" s="5">
        <f t="shared" si="32"/>
        <v>0.60228527619529781</v>
      </c>
      <c r="DS19" s="5">
        <f t="shared" si="33"/>
        <v>-0.18179147971962978</v>
      </c>
      <c r="DT19" s="5">
        <f t="shared" si="34"/>
        <v>1.2444775446344229</v>
      </c>
      <c r="DV19" t="str" cm="1">
        <f t="array" ref="DV19">_xlfn.IFS(DO19&gt;3,"Strong + Slope",DO19&gt;1.5,"Moderate + Slope",DO19&gt;0.5,"Sideway + Slope",DO19&gt;=-0.5,"Sideway Flat",DO19&gt;=-1.5,"Sideway - Slope",DO19&gt;=-3,"Moderate - Slope",TRUE,"Strong - Slope")</f>
        <v>Moderate - Slope</v>
      </c>
      <c r="DW19" t="str" cm="1">
        <f t="array" ref="DW19">_xlfn.IFS(DP19&gt;3,"Strong + Slope",DP19&gt;1.5,"Moderate + Slope",DP19&gt;0.5,"Sideway + Slope",DP19&gt;=-0.5,"Sideway Flat",DP19&gt;=-1.5,"Sideway - Slope",DP19&gt;=-3,"Moderate - Slope",TRUE,"Strong - Slope")</f>
        <v>Sideway Flat</v>
      </c>
      <c r="DX19" t="str" cm="1">
        <f t="array" ref="DX19">_xlfn.IFS(DQ19&gt;3,"Strong + Slope",DQ19&gt;1.5,"Moderate + Slope",DQ19&gt;0.5,"Sideway + Slope",DQ19&gt;=-0.5,"Sideway Flat",DQ19&gt;=-1.5,"Sideway - Slope",DQ19&gt;=-3,"Moderate - Slope",TRUE,"Strong - Slope")</f>
        <v>Sideway - Slope</v>
      </c>
      <c r="DY19" t="str" cm="1">
        <f t="array" ref="DY19">_xlfn.IFS(DR19&gt;3,"Strong + Slope",DR19&gt;1.5,"Moderate + Slope",DR19&gt;0.5,"Sideway + Slope",DR19&gt;=-0.5,"Sideway Flat",DR19&gt;=-1.5,"Sideway - Slope",DR19&gt;=-3,"Moderate - Slope",TRUE,"Strong - Slope")</f>
        <v>Sideway + Slope</v>
      </c>
      <c r="DZ19" t="str" cm="1">
        <f t="array" ref="DZ19">_xlfn.IFS(DS19&gt;3,"Strong + Slope",DS19&gt;1.5,"Moderate + Slope",DS19&gt;0.5,"Sideway + Slope",DS19&gt;=-0.5,"Sideway Flat",DS19&gt;=-1.5,"Sideway - Slope",DS19&gt;=-3,"Moderate - Slope",TRUE,"Strong - Slope")</f>
        <v>Sideway Flat</v>
      </c>
      <c r="EA19" t="str" cm="1">
        <f t="array" ref="EA19">_xlfn.IFS(DT19&gt;3,"Strong + Slope",DT19&gt;1.5,"Moderate + Slope",DT19&gt;0.5,"Sideway + Slope",DT19&gt;=-0.5,"Sideway Flat",DT19&gt;=-1.5,"Sideway - Slope",DT19&gt;=-3,"Moderate - Slope",TRUE,"Strong - Slope")</f>
        <v>Sideway + Slope</v>
      </c>
      <c r="EB19" s="5"/>
      <c r="EC19" s="5">
        <f t="shared" si="35"/>
        <v>2</v>
      </c>
      <c r="ED19" s="5">
        <f t="shared" si="36"/>
        <v>3</v>
      </c>
      <c r="EE19" s="5">
        <f t="shared" si="37"/>
        <v>1</v>
      </c>
      <c r="EF19" s="5">
        <f t="shared" si="38"/>
        <v>6</v>
      </c>
      <c r="EG19" s="5">
        <f t="shared" si="39"/>
        <v>5</v>
      </c>
      <c r="EH19" s="5">
        <f t="shared" si="40"/>
        <v>4</v>
      </c>
      <c r="EI19" s="5"/>
      <c r="EJ19" s="5" t="str">
        <f t="shared" si="41"/>
        <v>SUP</v>
      </c>
      <c r="EK19" s="5" t="str">
        <f t="shared" si="42"/>
        <v>SUP</v>
      </c>
      <c r="EL19" s="5" t="str">
        <f t="shared" si="43"/>
        <v>RES</v>
      </c>
      <c r="EM19" s="5" t="str">
        <f t="shared" si="44"/>
        <v>SUP</v>
      </c>
      <c r="EN19" s="5" t="str">
        <f t="shared" si="45"/>
        <v>SUP</v>
      </c>
      <c r="EO19" s="5" t="str">
        <f t="shared" si="46"/>
        <v>SUP</v>
      </c>
      <c r="EP19" s="5"/>
      <c r="EQ19" s="8">
        <f t="shared" si="47"/>
        <v>-2.9402348267558697E-4</v>
      </c>
      <c r="ER19" s="8">
        <f t="shared" si="48"/>
        <v>-9.3434128939098382E-4</v>
      </c>
      <c r="ES19" s="8">
        <f t="shared" si="49"/>
        <v>1.3002371789425861E-3</v>
      </c>
      <c r="ET19" s="8">
        <f t="shared" si="50"/>
        <v>-3.1231827715307425E-3</v>
      </c>
      <c r="EU19" s="8">
        <f t="shared" si="51"/>
        <v>-2.9337009715843438E-3</v>
      </c>
      <c r="EV19" s="8">
        <f t="shared" si="52"/>
        <v>-1.692268489176764E-3</v>
      </c>
      <c r="EW19" s="8"/>
      <c r="EX19" s="8">
        <f t="shared" si="53"/>
        <v>0.70605612998524958</v>
      </c>
      <c r="EY19" s="9">
        <f t="shared" si="54"/>
        <v>1</v>
      </c>
      <c r="EZ19" s="10">
        <f t="shared" si="55"/>
        <v>5</v>
      </c>
      <c r="FA19" s="8">
        <f t="shared" si="86"/>
        <v>1.3002371789425861E-3</v>
      </c>
      <c r="FB19" s="8">
        <f t="shared" si="87"/>
        <v>-2.9402348267558697E-4</v>
      </c>
      <c r="FC19" s="8">
        <f t="shared" si="88"/>
        <v>-9.3434128939098382E-4</v>
      </c>
      <c r="FD19" s="8">
        <f t="shared" si="89"/>
        <v>-1.692268489176764E-3</v>
      </c>
      <c r="FE19" s="8">
        <f t="shared" si="90"/>
        <v>-2.9337009715843438E-3</v>
      </c>
      <c r="FF19" s="8">
        <f t="shared" si="91"/>
        <v>-3.1231827715307425E-3</v>
      </c>
      <c r="FG19" s="5"/>
      <c r="FH19" s="5" t="str">
        <f t="shared" si="56"/>
        <v>-----</v>
      </c>
      <c r="FI19" s="5" t="str">
        <f t="shared" si="92"/>
        <v>Flat Momentum</v>
      </c>
      <c r="FJ19" s="5"/>
      <c r="FK19" s="5" t="str">
        <f t="shared" si="93"/>
        <v>-----</v>
      </c>
      <c r="FL19" s="5" t="str">
        <f t="shared" si="94"/>
        <v>-----</v>
      </c>
      <c r="FM19" s="5"/>
      <c r="FN19" s="5"/>
      <c r="FO19" s="8" t="str">
        <f t="shared" si="113"/>
        <v>Bearish</v>
      </c>
      <c r="FP19" s="8"/>
      <c r="FQ19" s="14">
        <f t="shared" si="57"/>
        <v>-1.0777692136856574E-3</v>
      </c>
      <c r="FR19" s="14">
        <f t="shared" si="58"/>
        <v>-1.8096578878594489</v>
      </c>
      <c r="FS19" s="14" t="str">
        <f t="shared" si="59"/>
        <v>Reverse to Bullish</v>
      </c>
      <c r="FT19" s="14" t="str">
        <f t="shared" si="60"/>
        <v>Bullish</v>
      </c>
      <c r="FU19" s="5" t="str">
        <f t="shared" si="95"/>
        <v>-----</v>
      </c>
      <c r="FV19" s="5" t="str">
        <f t="shared" si="96"/>
        <v>-----</v>
      </c>
      <c r="FW19" s="5"/>
      <c r="FX19" s="15" t="str">
        <f t="shared" si="103"/>
        <v>YES</v>
      </c>
      <c r="FY19" s="15" t="str">
        <f t="shared" si="104"/>
        <v>-----</v>
      </c>
      <c r="FZ19" s="15" t="str">
        <f t="shared" si="105"/>
        <v>-----</v>
      </c>
      <c r="GA19" s="15" t="str">
        <f t="shared" si="106"/>
        <v>-----</v>
      </c>
      <c r="GB19" s="16" t="str">
        <f t="shared" si="107"/>
        <v>-----</v>
      </c>
      <c r="GC19" s="16" t="str">
        <f t="shared" si="108"/>
        <v>YES</v>
      </c>
      <c r="GD19" s="16" t="str">
        <f t="shared" si="109"/>
        <v>-----</v>
      </c>
      <c r="GE19" s="16" t="str">
        <f t="shared" si="112"/>
        <v>YES</v>
      </c>
      <c r="GF19" s="15" t="str">
        <f t="shared" si="110"/>
        <v>-----</v>
      </c>
      <c r="GG19" s="16" t="str">
        <f t="shared" si="111"/>
        <v>-----</v>
      </c>
      <c r="GH19" s="14"/>
      <c r="GI19" s="5" t="str">
        <f t="shared" si="61"/>
        <v>Bullish Trigger</v>
      </c>
      <c r="GJ19" s="5" t="str">
        <f t="shared" si="62"/>
        <v>-----</v>
      </c>
      <c r="GK19" s="5"/>
      <c r="GL19" s="5" t="str">
        <f t="shared" si="63"/>
        <v>-----</v>
      </c>
      <c r="GM19" s="5" t="str">
        <f t="shared" si="64"/>
        <v>-----</v>
      </c>
      <c r="GN19" s="5"/>
      <c r="GO19" s="12">
        <f t="shared" si="65"/>
        <v>0.13499999999999091</v>
      </c>
      <c r="GP19" s="5">
        <f t="shared" si="97"/>
        <v>1.3649016182096665</v>
      </c>
      <c r="GQ19" s="13" t="str">
        <f t="shared" si="98"/>
        <v>Price Distribution</v>
      </c>
      <c r="GR19" s="5"/>
      <c r="GS19">
        <f t="shared" si="99"/>
        <v>1.90080463387525</v>
      </c>
      <c r="GT19" s="5" t="str">
        <f t="shared" si="100"/>
        <v>High Volume</v>
      </c>
    </row>
    <row r="20" spans="1:202" x14ac:dyDescent="0.55000000000000004">
      <c r="A20">
        <v>16</v>
      </c>
      <c r="B20" t="s">
        <v>19</v>
      </c>
      <c r="C20" t="s">
        <v>4</v>
      </c>
      <c r="D20" t="s">
        <v>103</v>
      </c>
      <c r="E20">
        <v>153.053</v>
      </c>
      <c r="F20">
        <v>153.08000000000001</v>
      </c>
      <c r="G20">
        <v>152.99700000000001</v>
      </c>
      <c r="H20">
        <v>153.04499999999999</v>
      </c>
      <c r="I20">
        <v>535</v>
      </c>
      <c r="J20">
        <v>153.00200000000001</v>
      </c>
      <c r="K20">
        <v>152.905</v>
      </c>
      <c r="L20">
        <v>153.24600000000001</v>
      </c>
      <c r="M20">
        <v>152.572</v>
      </c>
      <c r="N20">
        <v>152.59899999999999</v>
      </c>
      <c r="O20">
        <v>152.792</v>
      </c>
      <c r="P20">
        <v>0</v>
      </c>
      <c r="Q20">
        <v>0</v>
      </c>
      <c r="R20">
        <v>0</v>
      </c>
      <c r="S20">
        <v>0</v>
      </c>
      <c r="T20">
        <v>0</v>
      </c>
      <c r="U20">
        <v>0.92591999999999997</v>
      </c>
      <c r="V20">
        <v>3</v>
      </c>
      <c r="W20">
        <v>153.41305</v>
      </c>
      <c r="X20">
        <v>153.33219</v>
      </c>
      <c r="Y20">
        <v>153.25133</v>
      </c>
      <c r="Z20">
        <v>153.17045999999999</v>
      </c>
      <c r="AA20">
        <v>153.08959999999999</v>
      </c>
      <c r="AB20">
        <v>152.96778</v>
      </c>
      <c r="AC20">
        <v>152.88692</v>
      </c>
      <c r="AD20">
        <v>152.80605</v>
      </c>
      <c r="AE20">
        <v>152.72519</v>
      </c>
      <c r="AF20">
        <v>152.64431999999999</v>
      </c>
      <c r="AG20">
        <v>153.011</v>
      </c>
      <c r="AH20">
        <v>152.93899999999999</v>
      </c>
      <c r="AI20">
        <v>153.09</v>
      </c>
      <c r="AJ20">
        <v>153.22999999999999</v>
      </c>
      <c r="AK20">
        <v>153.059</v>
      </c>
      <c r="AL20">
        <v>152.94800000000001</v>
      </c>
      <c r="AM20" s="11">
        <f t="shared" si="0"/>
        <v>8.2999999999998408E-2</v>
      </c>
      <c r="AN20" s="11">
        <f t="shared" si="66"/>
        <v>3.1000000000005912E-2</v>
      </c>
      <c r="AO20" s="11">
        <f t="shared" si="67"/>
        <v>5.1999999999992497E-2</v>
      </c>
      <c r="AP20" s="11">
        <f t="shared" si="68"/>
        <v>8.2999999999998408E-2</v>
      </c>
      <c r="AR20" s="5" t="str">
        <f t="shared" si="1"/>
        <v>------</v>
      </c>
      <c r="AS20" s="5" t="str">
        <f t="shared" si="2"/>
        <v>------</v>
      </c>
      <c r="AT20" t="str">
        <f t="shared" si="3"/>
        <v/>
      </c>
      <c r="AV20" s="2">
        <f t="shared" si="4"/>
        <v>153.02495030000003</v>
      </c>
      <c r="AW20" s="2">
        <f t="shared" si="5"/>
        <v>152.97904970000002</v>
      </c>
      <c r="AX20" s="2">
        <f t="shared" si="6"/>
        <v>152.92793575000002</v>
      </c>
      <c r="AY20" s="2">
        <f t="shared" si="7"/>
        <v>152.88206425000001</v>
      </c>
      <c r="AZ20" s="2">
        <f t="shared" si="8"/>
        <v>153.26898690000002</v>
      </c>
      <c r="BA20" s="2">
        <f t="shared" si="9"/>
        <v>153.2230131</v>
      </c>
      <c r="BB20" s="2">
        <f t="shared" si="10"/>
        <v>152.59488580000001</v>
      </c>
      <c r="BC20" s="2">
        <f t="shared" si="11"/>
        <v>152.54911419999999</v>
      </c>
      <c r="BD20" s="2">
        <f t="shared" si="12"/>
        <v>152.62188985</v>
      </c>
      <c r="BE20" s="2">
        <f t="shared" si="13"/>
        <v>152.57611015000001</v>
      </c>
      <c r="BF20" s="2">
        <f t="shared" si="14"/>
        <v>152.81491880000002</v>
      </c>
      <c r="BG20" s="2">
        <f t="shared" si="15"/>
        <v>152.76908120000002</v>
      </c>
      <c r="BI20" s="5" t="str">
        <f t="shared" si="69"/>
        <v>-----</v>
      </c>
      <c r="BJ20" s="5" t="str">
        <f t="shared" si="70"/>
        <v>-----</v>
      </c>
      <c r="BK20" s="5" t="str">
        <f t="shared" si="71"/>
        <v>-----</v>
      </c>
      <c r="BL20" s="5" t="str">
        <f t="shared" si="72"/>
        <v>-----</v>
      </c>
      <c r="BM20" s="5" t="str">
        <f t="shared" si="73"/>
        <v>-----</v>
      </c>
      <c r="BN20" s="5" t="str">
        <f t="shared" si="74"/>
        <v>-----</v>
      </c>
      <c r="BO20" s="5"/>
      <c r="BP20" s="5">
        <f t="shared" si="75"/>
        <v>1</v>
      </c>
      <c r="BQ20" s="5">
        <f t="shared" si="75"/>
        <v>3</v>
      </c>
      <c r="BR20" s="5">
        <f t="shared" si="75"/>
        <v>14</v>
      </c>
      <c r="BS20" s="5">
        <f t="shared" si="75"/>
        <v>16</v>
      </c>
      <c r="BT20" s="5">
        <f t="shared" si="75"/>
        <v>16</v>
      </c>
      <c r="BU20" s="5">
        <f t="shared" si="75"/>
        <v>16</v>
      </c>
      <c r="BV20" s="5">
        <f t="shared" si="76"/>
        <v>2</v>
      </c>
      <c r="BW20" s="5">
        <f t="shared" si="76"/>
        <v>4</v>
      </c>
      <c r="BX20" s="5">
        <f t="shared" si="76"/>
        <v>2</v>
      </c>
      <c r="BY20" s="5">
        <f t="shared" si="76"/>
        <v>0</v>
      </c>
      <c r="BZ20" s="5">
        <f t="shared" si="76"/>
        <v>0</v>
      </c>
      <c r="CA20" s="5">
        <f t="shared" si="76"/>
        <v>0</v>
      </c>
      <c r="CB20" s="5" t="str">
        <f t="shared" si="102"/>
        <v>-----</v>
      </c>
      <c r="CC20" s="5" t="str">
        <f t="shared" si="101"/>
        <v>-----</v>
      </c>
      <c r="CD20" s="5" t="str">
        <f t="shared" si="18"/>
        <v>-----</v>
      </c>
      <c r="CE20" s="5" t="str">
        <f t="shared" si="18"/>
        <v>-----</v>
      </c>
      <c r="CF20" s="5" t="str">
        <f t="shared" si="18"/>
        <v>-----</v>
      </c>
      <c r="CG20" s="5" t="str">
        <f t="shared" si="18"/>
        <v>-----</v>
      </c>
      <c r="CH20" s="5"/>
      <c r="CI20" s="17" t="str">
        <f t="shared" si="19"/>
        <v>-----</v>
      </c>
      <c r="CJ20" s="17" t="str">
        <f t="shared" si="20"/>
        <v>-----</v>
      </c>
      <c r="CK20" s="17" t="str">
        <f t="shared" si="21"/>
        <v>-----</v>
      </c>
      <c r="CL20" s="17" t="str">
        <f t="shared" si="22"/>
        <v>-----</v>
      </c>
      <c r="CM20" s="17" t="str">
        <f t="shared" si="23"/>
        <v>-----</v>
      </c>
      <c r="CN20" s="17" t="str">
        <f t="shared" si="24"/>
        <v>-----</v>
      </c>
      <c r="CO20" s="5"/>
      <c r="CP20" s="5" t="str">
        <f t="shared" si="77"/>
        <v>-----</v>
      </c>
      <c r="CQ20" s="5" t="str">
        <f t="shared" si="25"/>
        <v>-----</v>
      </c>
      <c r="CR20" s="5" t="str">
        <f t="shared" si="25"/>
        <v>-----</v>
      </c>
      <c r="CS20" s="5" t="str">
        <f t="shared" si="25"/>
        <v>-----</v>
      </c>
      <c r="CT20" s="5" t="str">
        <f t="shared" si="25"/>
        <v>-----</v>
      </c>
      <c r="CU20" s="5" t="str">
        <f t="shared" si="25"/>
        <v>-----</v>
      </c>
      <c r="CV20" s="5"/>
      <c r="CW20" s="17" t="str">
        <f t="shared" si="78"/>
        <v/>
      </c>
      <c r="CX20" s="17" t="str">
        <f t="shared" si="26"/>
        <v/>
      </c>
      <c r="CY20" s="17" t="str">
        <f t="shared" si="26"/>
        <v/>
      </c>
      <c r="CZ20" s="17" t="str">
        <f t="shared" si="26"/>
        <v/>
      </c>
      <c r="DA20" s="17" t="str">
        <f t="shared" si="26"/>
        <v/>
      </c>
      <c r="DB20" s="17" t="str">
        <f t="shared" si="26"/>
        <v/>
      </c>
      <c r="DC20" s="8"/>
      <c r="DD20" s="5">
        <f t="shared" si="27"/>
        <v>0</v>
      </c>
      <c r="DE20" s="17" t="str">
        <f t="shared" si="79"/>
        <v>-----</v>
      </c>
      <c r="DF20" s="5" t="str" cm="1">
        <f t="array" ref="DF20">_xlfn.IFS(DE20=CW20,CP20,DE20=CX20,CQ20,DE20=CY20,CR20,DE20=CZ20,CS20,DE20=DA20,CT20,DE20=DB20,CU20,TRUE,"----- ")</f>
        <v xml:space="preserve">----- </v>
      </c>
      <c r="DG20" s="5"/>
      <c r="DH20" s="5">
        <f t="shared" si="80"/>
        <v>-2.423265306122455E-3</v>
      </c>
      <c r="DI20" s="5">
        <f t="shared" si="81"/>
        <v>-3.7194805194805478E-4</v>
      </c>
      <c r="DJ20" s="5">
        <f t="shared" si="82"/>
        <v>-1.6402721088435472E-3</v>
      </c>
      <c r="DK20" s="5">
        <f t="shared" si="83"/>
        <v>7.6471243042669956E-4</v>
      </c>
      <c r="DL20" s="5">
        <f t="shared" si="84"/>
        <v>-2.3081014223875058E-4</v>
      </c>
      <c r="DM20" s="5">
        <f t="shared" si="85"/>
        <v>1.5802844774273381E-3</v>
      </c>
      <c r="DO20" s="5">
        <f t="shared" si="29"/>
        <v>-1.9079214597220278</v>
      </c>
      <c r="DP20" s="5">
        <f t="shared" si="30"/>
        <v>-0.29295343676527091</v>
      </c>
      <c r="DQ20" s="5">
        <f t="shared" si="31"/>
        <v>-1.2917022253843653</v>
      </c>
      <c r="DR20" s="5">
        <f t="shared" si="32"/>
        <v>0.60228527619529781</v>
      </c>
      <c r="DS20" s="5">
        <f t="shared" si="33"/>
        <v>-0.18179147971962978</v>
      </c>
      <c r="DT20" s="5">
        <f t="shared" si="34"/>
        <v>1.2444775446344229</v>
      </c>
      <c r="DV20" t="str" cm="1">
        <f t="array" ref="DV20">_xlfn.IFS(DO20&gt;3,"Strong + Slope",DO20&gt;1.5,"Moderate + Slope",DO20&gt;0.5,"Sideway + Slope",DO20&gt;=-0.5,"Sideway Flat",DO20&gt;=-1.5,"Sideway - Slope",DO20&gt;=-3,"Moderate - Slope",TRUE,"Strong - Slope")</f>
        <v>Moderate - Slope</v>
      </c>
      <c r="DW20" t="str" cm="1">
        <f t="array" ref="DW20">_xlfn.IFS(DP20&gt;3,"Strong + Slope",DP20&gt;1.5,"Moderate + Slope",DP20&gt;0.5,"Sideway + Slope",DP20&gt;=-0.5,"Sideway Flat",DP20&gt;=-1.5,"Sideway - Slope",DP20&gt;=-3,"Moderate - Slope",TRUE,"Strong - Slope")</f>
        <v>Sideway Flat</v>
      </c>
      <c r="DX20" t="str" cm="1">
        <f t="array" ref="DX20">_xlfn.IFS(DQ20&gt;3,"Strong + Slope",DQ20&gt;1.5,"Moderate + Slope",DQ20&gt;0.5,"Sideway + Slope",DQ20&gt;=-0.5,"Sideway Flat",DQ20&gt;=-1.5,"Sideway - Slope",DQ20&gt;=-3,"Moderate - Slope",TRUE,"Strong - Slope")</f>
        <v>Sideway - Slope</v>
      </c>
      <c r="DY20" t="str" cm="1">
        <f t="array" ref="DY20">_xlfn.IFS(DR20&gt;3,"Strong + Slope",DR20&gt;1.5,"Moderate + Slope",DR20&gt;0.5,"Sideway + Slope",DR20&gt;=-0.5,"Sideway Flat",DR20&gt;=-1.5,"Sideway - Slope",DR20&gt;=-3,"Moderate - Slope",TRUE,"Strong - Slope")</f>
        <v>Sideway + Slope</v>
      </c>
      <c r="DZ20" t="str" cm="1">
        <f t="array" ref="DZ20">_xlfn.IFS(DS20&gt;3,"Strong + Slope",DS20&gt;1.5,"Moderate + Slope",DS20&gt;0.5,"Sideway + Slope",DS20&gt;=-0.5,"Sideway Flat",DS20&gt;=-1.5,"Sideway - Slope",DS20&gt;=-3,"Moderate - Slope",TRUE,"Strong - Slope")</f>
        <v>Sideway Flat</v>
      </c>
      <c r="EA20" t="str" cm="1">
        <f t="array" ref="EA20">_xlfn.IFS(DT20&gt;3,"Strong + Slope",DT20&gt;1.5,"Moderate + Slope",DT20&gt;0.5,"Sideway + Slope",DT20&gt;=-0.5,"Sideway Flat",DT20&gt;=-1.5,"Sideway - Slope",DT20&gt;=-3,"Moderate - Slope",TRUE,"Strong - Slope")</f>
        <v>Sideway + Slope</v>
      </c>
      <c r="EB20" s="5"/>
      <c r="EC20" s="5">
        <f t="shared" si="35"/>
        <v>2</v>
      </c>
      <c r="ED20" s="5">
        <f t="shared" si="36"/>
        <v>3</v>
      </c>
      <c r="EE20" s="5">
        <f t="shared" si="37"/>
        <v>1</v>
      </c>
      <c r="EF20" s="5">
        <f t="shared" si="38"/>
        <v>6</v>
      </c>
      <c r="EG20" s="5">
        <f t="shared" si="39"/>
        <v>5</v>
      </c>
      <c r="EH20" s="5">
        <f t="shared" si="40"/>
        <v>4</v>
      </c>
      <c r="EI20" s="5"/>
      <c r="EJ20" s="5" t="str">
        <f t="shared" si="41"/>
        <v>SUP</v>
      </c>
      <c r="EK20" s="5" t="str">
        <f t="shared" si="42"/>
        <v>SUP</v>
      </c>
      <c r="EL20" s="5" t="str">
        <f t="shared" si="43"/>
        <v>RES</v>
      </c>
      <c r="EM20" s="5" t="str">
        <f t="shared" si="44"/>
        <v>SUP</v>
      </c>
      <c r="EN20" s="5" t="str">
        <f t="shared" si="45"/>
        <v>SUP</v>
      </c>
      <c r="EO20" s="5" t="str">
        <f t="shared" si="46"/>
        <v>SUP</v>
      </c>
      <c r="EP20" s="5"/>
      <c r="EQ20" s="8">
        <f t="shared" si="47"/>
        <v>-2.8096311542342414E-4</v>
      </c>
      <c r="ER20" s="8">
        <f t="shared" si="48"/>
        <v>-9.1476363161152846E-4</v>
      </c>
      <c r="ES20" s="8">
        <f t="shared" si="49"/>
        <v>1.3133392139568221E-3</v>
      </c>
      <c r="ET20" s="8">
        <f t="shared" si="50"/>
        <v>-3.0905942696591512E-3</v>
      </c>
      <c r="EU20" s="8">
        <f t="shared" si="51"/>
        <v>-2.9141755692769968E-3</v>
      </c>
      <c r="EV20" s="8">
        <f t="shared" si="52"/>
        <v>-1.6531085628409025E-3</v>
      </c>
      <c r="EW20" s="8"/>
      <c r="EX20" s="8">
        <f t="shared" si="53"/>
        <v>0.70178041543023761</v>
      </c>
      <c r="EY20" s="9">
        <f t="shared" si="54"/>
        <v>1</v>
      </c>
      <c r="EZ20" s="10">
        <f t="shared" si="55"/>
        <v>5</v>
      </c>
      <c r="FA20" s="8">
        <f t="shared" si="86"/>
        <v>1.3133392139568221E-3</v>
      </c>
      <c r="FB20" s="8">
        <f t="shared" si="87"/>
        <v>-2.8096311542342414E-4</v>
      </c>
      <c r="FC20" s="8">
        <f t="shared" si="88"/>
        <v>-9.1476363161152846E-4</v>
      </c>
      <c r="FD20" s="8">
        <f t="shared" si="89"/>
        <v>-1.6531085628409025E-3</v>
      </c>
      <c r="FE20" s="8">
        <f t="shared" si="90"/>
        <v>-2.9141755692769968E-3</v>
      </c>
      <c r="FF20" s="8">
        <f t="shared" si="91"/>
        <v>-3.0905942696591512E-3</v>
      </c>
      <c r="FG20" s="5"/>
      <c r="FH20" s="5" t="str">
        <f t="shared" si="56"/>
        <v>-----</v>
      </c>
      <c r="FI20" s="5" t="str">
        <f t="shared" si="92"/>
        <v>-----</v>
      </c>
      <c r="FJ20" s="5"/>
      <c r="FK20" s="5" t="str">
        <f t="shared" si="93"/>
        <v>-----</v>
      </c>
      <c r="FL20" s="5" t="str">
        <f t="shared" si="94"/>
        <v>-----</v>
      </c>
      <c r="FM20" s="5"/>
      <c r="FN20" s="5"/>
      <c r="FO20" s="8" t="str">
        <f t="shared" si="113"/>
        <v>Bearish</v>
      </c>
      <c r="FP20" s="8"/>
      <c r="FQ20" s="14">
        <f t="shared" si="57"/>
        <v>-9.8634789992821511E-4</v>
      </c>
      <c r="FR20" s="14">
        <f t="shared" si="58"/>
        <v>-1.5459939940319984</v>
      </c>
      <c r="FS20" s="14" t="str">
        <f t="shared" si="59"/>
        <v>-----</v>
      </c>
      <c r="FT20" s="14" t="str">
        <f t="shared" si="60"/>
        <v>Bullish</v>
      </c>
      <c r="FU20" s="5" t="str">
        <f t="shared" si="95"/>
        <v>-----</v>
      </c>
      <c r="FV20" s="5" t="str">
        <f t="shared" si="96"/>
        <v>-----</v>
      </c>
      <c r="FW20" s="5"/>
      <c r="FX20" s="15" t="str">
        <f t="shared" si="103"/>
        <v>YES</v>
      </c>
      <c r="FY20" s="15" t="str">
        <f t="shared" si="104"/>
        <v>-----</v>
      </c>
      <c r="FZ20" s="15" t="str">
        <f t="shared" si="105"/>
        <v>-----</v>
      </c>
      <c r="GA20" s="15" t="str">
        <f t="shared" si="106"/>
        <v>-----</v>
      </c>
      <c r="GB20" s="16" t="str">
        <f t="shared" si="107"/>
        <v>-----</v>
      </c>
      <c r="GC20" s="16" t="str">
        <f t="shared" si="108"/>
        <v>-----</v>
      </c>
      <c r="GD20" s="16" t="str">
        <f t="shared" si="109"/>
        <v>-----</v>
      </c>
      <c r="GE20" s="16" t="str">
        <f t="shared" si="112"/>
        <v>YES</v>
      </c>
      <c r="GF20" s="15" t="str">
        <f t="shared" si="110"/>
        <v>-----</v>
      </c>
      <c r="GG20" s="16" t="str">
        <f t="shared" si="111"/>
        <v>-----</v>
      </c>
      <c r="GH20" s="14"/>
      <c r="GI20" s="5" t="str">
        <f t="shared" si="61"/>
        <v>-----</v>
      </c>
      <c r="GJ20" s="5" t="str">
        <f t="shared" si="62"/>
        <v>-----</v>
      </c>
      <c r="GK20" s="5"/>
      <c r="GL20" s="5" t="str">
        <f t="shared" si="63"/>
        <v>-----</v>
      </c>
      <c r="GM20" s="5" t="str">
        <f t="shared" si="64"/>
        <v>-----</v>
      </c>
      <c r="GN20" s="5"/>
      <c r="GO20" s="12">
        <f t="shared" si="65"/>
        <v>0.11099999999999</v>
      </c>
      <c r="GP20" s="5">
        <f t="shared" si="97"/>
        <v>0.81177075604577364</v>
      </c>
      <c r="GQ20" s="13" t="str">
        <f t="shared" si="98"/>
        <v>-----</v>
      </c>
      <c r="GR20" s="5"/>
      <c r="GS20">
        <f t="shared" si="99"/>
        <v>1.5910545011577442</v>
      </c>
      <c r="GT20" s="5" t="str">
        <f t="shared" si="100"/>
        <v>-----</v>
      </c>
    </row>
    <row r="21" spans="1:202" x14ac:dyDescent="0.55000000000000004">
      <c r="A21">
        <v>17</v>
      </c>
      <c r="B21" t="s">
        <v>20</v>
      </c>
      <c r="C21" t="s">
        <v>4</v>
      </c>
      <c r="D21" t="s">
        <v>103</v>
      </c>
      <c r="E21">
        <v>153.048</v>
      </c>
      <c r="F21">
        <v>153.09100000000001</v>
      </c>
      <c r="G21">
        <v>152.947</v>
      </c>
      <c r="H21">
        <v>152.96199999999999</v>
      </c>
      <c r="I21">
        <v>571</v>
      </c>
      <c r="J21">
        <v>152.999</v>
      </c>
      <c r="K21">
        <v>152.905</v>
      </c>
      <c r="L21">
        <v>153.245</v>
      </c>
      <c r="M21">
        <v>152.572</v>
      </c>
      <c r="N21">
        <v>152.59899999999999</v>
      </c>
      <c r="O21">
        <v>152.79300000000001</v>
      </c>
      <c r="P21">
        <v>0</v>
      </c>
      <c r="Q21">
        <v>0</v>
      </c>
      <c r="R21">
        <v>0</v>
      </c>
      <c r="S21">
        <v>0</v>
      </c>
      <c r="T21">
        <v>0</v>
      </c>
      <c r="U21">
        <v>0.86573</v>
      </c>
      <c r="V21">
        <v>3</v>
      </c>
      <c r="W21">
        <v>153.40485000000001</v>
      </c>
      <c r="X21">
        <v>153.32369</v>
      </c>
      <c r="Y21">
        <v>153.24253999999999</v>
      </c>
      <c r="Z21">
        <v>153.16139000000001</v>
      </c>
      <c r="AA21">
        <v>153.08023</v>
      </c>
      <c r="AB21">
        <v>152.95731000000001</v>
      </c>
      <c r="AC21">
        <v>152.87616</v>
      </c>
      <c r="AD21">
        <v>152.79499999999999</v>
      </c>
      <c r="AE21">
        <v>152.71385000000001</v>
      </c>
      <c r="AF21">
        <v>152.63269</v>
      </c>
      <c r="AG21">
        <v>153.012</v>
      </c>
      <c r="AH21">
        <v>152.94800000000001</v>
      </c>
      <c r="AI21">
        <v>153.083</v>
      </c>
      <c r="AJ21">
        <v>153.22399999999999</v>
      </c>
      <c r="AK21">
        <v>153.08000000000001</v>
      </c>
      <c r="AL21">
        <v>152.95400000000001</v>
      </c>
      <c r="AM21" s="11">
        <f t="shared" si="0"/>
        <v>0.14400000000000546</v>
      </c>
      <c r="AN21" s="11">
        <f t="shared" si="66"/>
        <v>4.6000000000020691E-2</v>
      </c>
      <c r="AO21" s="11">
        <f t="shared" si="67"/>
        <v>9.7999999999984766E-2</v>
      </c>
      <c r="AP21" s="11">
        <f t="shared" si="68"/>
        <v>0.14400000000000546</v>
      </c>
      <c r="AR21" s="5" t="str">
        <f t="shared" si="1"/>
        <v>------</v>
      </c>
      <c r="AS21" s="5" t="str">
        <f t="shared" si="2"/>
        <v>------</v>
      </c>
      <c r="AT21" t="str">
        <f t="shared" si="3"/>
        <v/>
      </c>
      <c r="AV21" s="2">
        <f t="shared" si="4"/>
        <v>153.02194985</v>
      </c>
      <c r="AW21" s="2">
        <f t="shared" si="5"/>
        <v>152.97605014999999</v>
      </c>
      <c r="AX21" s="2">
        <f t="shared" si="6"/>
        <v>152.92793575000002</v>
      </c>
      <c r="AY21" s="2">
        <f t="shared" si="7"/>
        <v>152.88206425000001</v>
      </c>
      <c r="AZ21" s="2">
        <f t="shared" si="8"/>
        <v>153.26798675000001</v>
      </c>
      <c r="BA21" s="2">
        <f t="shared" si="9"/>
        <v>153.22201325</v>
      </c>
      <c r="BB21" s="2">
        <f t="shared" si="10"/>
        <v>152.59488580000001</v>
      </c>
      <c r="BC21" s="2">
        <f t="shared" si="11"/>
        <v>152.54911419999999</v>
      </c>
      <c r="BD21" s="2">
        <f t="shared" si="12"/>
        <v>152.62188985</v>
      </c>
      <c r="BE21" s="2">
        <f t="shared" si="13"/>
        <v>152.57611015000001</v>
      </c>
      <c r="BF21" s="2">
        <f t="shared" si="14"/>
        <v>152.81591895000003</v>
      </c>
      <c r="BG21" s="2">
        <f t="shared" si="15"/>
        <v>152.77008105000002</v>
      </c>
      <c r="BI21" s="5" t="str">
        <f t="shared" si="69"/>
        <v>TOUCH</v>
      </c>
      <c r="BJ21" s="5" t="str">
        <f t="shared" si="70"/>
        <v>-----</v>
      </c>
      <c r="BK21" s="5" t="str">
        <f t="shared" si="71"/>
        <v>-----</v>
      </c>
      <c r="BL21" s="5" t="str">
        <f t="shared" si="72"/>
        <v>-----</v>
      </c>
      <c r="BM21" s="5" t="str">
        <f t="shared" si="73"/>
        <v>-----</v>
      </c>
      <c r="BN21" s="5" t="str">
        <f t="shared" si="74"/>
        <v>-----</v>
      </c>
      <c r="BO21" s="5"/>
      <c r="BP21" s="5">
        <f t="shared" si="75"/>
        <v>0</v>
      </c>
      <c r="BQ21" s="5">
        <f t="shared" si="75"/>
        <v>4</v>
      </c>
      <c r="BR21" s="5">
        <f t="shared" si="75"/>
        <v>15</v>
      </c>
      <c r="BS21" s="5">
        <f t="shared" si="75"/>
        <v>17</v>
      </c>
      <c r="BT21" s="5">
        <f t="shared" si="75"/>
        <v>17</v>
      </c>
      <c r="BU21" s="5">
        <f t="shared" si="75"/>
        <v>17</v>
      </c>
      <c r="BV21" s="5">
        <f t="shared" si="76"/>
        <v>3</v>
      </c>
      <c r="BW21" s="5">
        <f t="shared" si="76"/>
        <v>4</v>
      </c>
      <c r="BX21" s="5">
        <f t="shared" si="76"/>
        <v>2</v>
      </c>
      <c r="BY21" s="5">
        <f t="shared" si="76"/>
        <v>0</v>
      </c>
      <c r="BZ21" s="5">
        <f t="shared" si="76"/>
        <v>0</v>
      </c>
      <c r="CA21" s="5">
        <f t="shared" si="76"/>
        <v>0</v>
      </c>
      <c r="CB21" s="5">
        <f t="shared" si="102"/>
        <v>3</v>
      </c>
      <c r="CC21" s="5" t="str">
        <f t="shared" si="101"/>
        <v>-----</v>
      </c>
      <c r="CD21" s="5" t="str">
        <f t="shared" si="101"/>
        <v>-----</v>
      </c>
      <c r="CE21" s="5" t="str">
        <f t="shared" si="101"/>
        <v>-----</v>
      </c>
      <c r="CF21" s="5" t="str">
        <f t="shared" si="101"/>
        <v>-----</v>
      </c>
      <c r="CG21" s="5" t="str">
        <f t="shared" si="101"/>
        <v>-----</v>
      </c>
      <c r="CH21" s="5"/>
      <c r="CI21" s="17">
        <f t="shared" si="19"/>
        <v>-2.4183164595851045E-4</v>
      </c>
      <c r="CJ21" s="17" t="str">
        <f t="shared" si="20"/>
        <v>-----</v>
      </c>
      <c r="CK21" s="17" t="str">
        <f t="shared" si="21"/>
        <v>-----</v>
      </c>
      <c r="CL21" s="17" t="str">
        <f t="shared" si="22"/>
        <v>-----</v>
      </c>
      <c r="CM21" s="17" t="str">
        <f t="shared" si="23"/>
        <v>-----</v>
      </c>
      <c r="CN21" s="17" t="str">
        <f t="shared" si="24"/>
        <v>-----</v>
      </c>
      <c r="CO21" s="5"/>
      <c r="CP21" s="5" t="str">
        <f t="shared" si="77"/>
        <v>Resistant</v>
      </c>
      <c r="CQ21" s="5" t="str">
        <f t="shared" si="77"/>
        <v>-----</v>
      </c>
      <c r="CR21" s="5" t="str">
        <f t="shared" si="77"/>
        <v>-----</v>
      </c>
      <c r="CS21" s="5" t="str">
        <f t="shared" si="77"/>
        <v>-----</v>
      </c>
      <c r="CT21" s="5" t="str">
        <f t="shared" si="77"/>
        <v>-----</v>
      </c>
      <c r="CU21" s="5" t="str">
        <f t="shared" si="77"/>
        <v>-----</v>
      </c>
      <c r="CV21" s="5"/>
      <c r="CW21" s="17">
        <f t="shared" si="78"/>
        <v>2.4183164595851045E-4</v>
      </c>
      <c r="CX21" s="17" t="str">
        <f t="shared" si="78"/>
        <v/>
      </c>
      <c r="CY21" s="17" t="str">
        <f t="shared" si="78"/>
        <v/>
      </c>
      <c r="CZ21" s="17" t="str">
        <f t="shared" si="78"/>
        <v/>
      </c>
      <c r="DA21" s="17" t="str">
        <f t="shared" si="78"/>
        <v/>
      </c>
      <c r="DB21" s="17" t="str">
        <f t="shared" si="78"/>
        <v/>
      </c>
      <c r="DC21" s="8"/>
      <c r="DD21" s="5">
        <f t="shared" si="27"/>
        <v>1</v>
      </c>
      <c r="DE21" s="17">
        <f t="shared" si="79"/>
        <v>2.4183164595851045E-4</v>
      </c>
      <c r="DF21" s="5" t="str" cm="1">
        <f t="array" ref="DF21">_xlfn.IFS(DE21=CW21,CP21,DE21=CX21,CQ21,DE21=CY21,CR21,DE21=CZ21,CS21,DE21=DA21,CT21,DE21=DB21,CU21,TRUE,"----- ")</f>
        <v>Resistant</v>
      </c>
      <c r="DG21" s="5"/>
      <c r="DH21" s="5">
        <f t="shared" si="80"/>
        <v>-2.423265306122455E-3</v>
      </c>
      <c r="DI21" s="5">
        <f t="shared" si="81"/>
        <v>-3.7194805194805478E-4</v>
      </c>
      <c r="DJ21" s="5">
        <f t="shared" si="82"/>
        <v>-1.6402721088435472E-3</v>
      </c>
      <c r="DK21" s="5">
        <f t="shared" si="83"/>
        <v>7.6471243042669956E-4</v>
      </c>
      <c r="DL21" s="5">
        <f t="shared" si="84"/>
        <v>-2.3081014223875058E-4</v>
      </c>
      <c r="DM21" s="5">
        <f t="shared" si="85"/>
        <v>1.5802844774273381E-3</v>
      </c>
      <c r="DO21" s="5">
        <f t="shared" si="29"/>
        <v>-1.9079214597220278</v>
      </c>
      <c r="DP21" s="5">
        <f t="shared" si="30"/>
        <v>-0.29295343676527091</v>
      </c>
      <c r="DQ21" s="5">
        <f t="shared" si="31"/>
        <v>-1.2917022253843653</v>
      </c>
      <c r="DR21" s="5">
        <f t="shared" si="32"/>
        <v>0.60228527619529781</v>
      </c>
      <c r="DS21" s="5">
        <f t="shared" si="33"/>
        <v>-0.18179147971962978</v>
      </c>
      <c r="DT21" s="5">
        <f t="shared" si="34"/>
        <v>1.2444775446344229</v>
      </c>
      <c r="DV21" t="str" cm="1">
        <f t="array" ref="DV21">_xlfn.IFS(DO21&gt;3,"Strong + Slope",DO21&gt;1.5,"Moderate + Slope",DO21&gt;0.5,"Sideway + Slope",DO21&gt;=-0.5,"Sideway Flat",DO21&gt;=-1.5,"Sideway - Slope",DO21&gt;=-3,"Moderate - Slope",TRUE,"Strong - Slope")</f>
        <v>Moderate - Slope</v>
      </c>
      <c r="DW21" t="str" cm="1">
        <f t="array" ref="DW21">_xlfn.IFS(DP21&gt;3,"Strong + Slope",DP21&gt;1.5,"Moderate + Slope",DP21&gt;0.5,"Sideway + Slope",DP21&gt;=-0.5,"Sideway Flat",DP21&gt;=-1.5,"Sideway - Slope",DP21&gt;=-3,"Moderate - Slope",TRUE,"Strong - Slope")</f>
        <v>Sideway Flat</v>
      </c>
      <c r="DX21" t="str" cm="1">
        <f t="array" ref="DX21">_xlfn.IFS(DQ21&gt;3,"Strong + Slope",DQ21&gt;1.5,"Moderate + Slope",DQ21&gt;0.5,"Sideway + Slope",DQ21&gt;=-0.5,"Sideway Flat",DQ21&gt;=-1.5,"Sideway - Slope",DQ21&gt;=-3,"Moderate - Slope",TRUE,"Strong - Slope")</f>
        <v>Sideway - Slope</v>
      </c>
      <c r="DY21" t="str" cm="1">
        <f t="array" ref="DY21">_xlfn.IFS(DR21&gt;3,"Strong + Slope",DR21&gt;1.5,"Moderate + Slope",DR21&gt;0.5,"Sideway + Slope",DR21&gt;=-0.5,"Sideway Flat",DR21&gt;=-1.5,"Sideway - Slope",DR21&gt;=-3,"Moderate - Slope",TRUE,"Strong - Slope")</f>
        <v>Sideway + Slope</v>
      </c>
      <c r="DZ21" t="str" cm="1">
        <f t="array" ref="DZ21">_xlfn.IFS(DS21&gt;3,"Strong + Slope",DS21&gt;1.5,"Moderate + Slope",DS21&gt;0.5,"Sideway + Slope",DS21&gt;=-0.5,"Sideway Flat",DS21&gt;=-1.5,"Sideway - Slope",DS21&gt;=-3,"Moderate - Slope",TRUE,"Strong - Slope")</f>
        <v>Sideway Flat</v>
      </c>
      <c r="EA21" t="str" cm="1">
        <f t="array" ref="EA21">_xlfn.IFS(DT21&gt;3,"Strong + Slope",DT21&gt;1.5,"Moderate + Slope",DT21&gt;0.5,"Sideway + Slope",DT21&gt;=-0.5,"Sideway Flat",DT21&gt;=-1.5,"Sideway - Slope",DT21&gt;=-3,"Moderate - Slope",TRUE,"Strong - Slope")</f>
        <v>Sideway + Slope</v>
      </c>
      <c r="EB21" s="5"/>
      <c r="EC21" s="5">
        <f t="shared" si="35"/>
        <v>2</v>
      </c>
      <c r="ED21" s="5">
        <f t="shared" si="36"/>
        <v>3</v>
      </c>
      <c r="EE21" s="5">
        <f t="shared" si="37"/>
        <v>1</v>
      </c>
      <c r="EF21" s="5">
        <f t="shared" si="38"/>
        <v>6</v>
      </c>
      <c r="EG21" s="5">
        <f t="shared" si="39"/>
        <v>5</v>
      </c>
      <c r="EH21" s="5">
        <f t="shared" si="40"/>
        <v>4</v>
      </c>
      <c r="EI21" s="5"/>
      <c r="EJ21" s="5" t="str">
        <f t="shared" si="41"/>
        <v>RES</v>
      </c>
      <c r="EK21" s="5" t="str">
        <f t="shared" si="42"/>
        <v>SUP</v>
      </c>
      <c r="EL21" s="5" t="str">
        <f t="shared" si="43"/>
        <v>RES</v>
      </c>
      <c r="EM21" s="5" t="str">
        <f t="shared" si="44"/>
        <v>SUP</v>
      </c>
      <c r="EN21" s="5" t="str">
        <f t="shared" si="45"/>
        <v>SUP</v>
      </c>
      <c r="EO21" s="5" t="str">
        <f t="shared" si="46"/>
        <v>SUP</v>
      </c>
      <c r="EP21" s="5"/>
      <c r="EQ21" s="8">
        <f t="shared" si="47"/>
        <v>2.4189014264984859E-4</v>
      </c>
      <c r="ER21" s="8">
        <f t="shared" si="48"/>
        <v>-3.7264157110908559E-4</v>
      </c>
      <c r="ES21" s="8">
        <f t="shared" si="49"/>
        <v>1.8501327126999876E-3</v>
      </c>
      <c r="ET21" s="8">
        <f t="shared" si="50"/>
        <v>-2.5496528549573514E-3</v>
      </c>
      <c r="EU21" s="8">
        <f t="shared" si="51"/>
        <v>-2.3731384265373071E-3</v>
      </c>
      <c r="EV21" s="8">
        <f t="shared" si="52"/>
        <v>-1.1048495704814446E-3</v>
      </c>
      <c r="EW21" s="8"/>
      <c r="EX21" s="8">
        <f t="shared" si="53"/>
        <v>0.57949479940562454</v>
      </c>
      <c r="EY21" s="9">
        <f t="shared" si="54"/>
        <v>2</v>
      </c>
      <c r="EZ21" s="10">
        <f t="shared" si="55"/>
        <v>4</v>
      </c>
      <c r="FA21" s="8">
        <f t="shared" si="86"/>
        <v>1.8501327126999876E-3</v>
      </c>
      <c r="FB21" s="8">
        <f t="shared" si="87"/>
        <v>2.4189014264984859E-4</v>
      </c>
      <c r="FC21" s="8">
        <f t="shared" si="88"/>
        <v>-3.7264157110908559E-4</v>
      </c>
      <c r="FD21" s="8">
        <f t="shared" si="89"/>
        <v>-1.1048495704814446E-3</v>
      </c>
      <c r="FE21" s="8">
        <f t="shared" si="90"/>
        <v>-2.3731384265373071E-3</v>
      </c>
      <c r="FF21" s="8">
        <f t="shared" si="91"/>
        <v>-2.5496528549573514E-3</v>
      </c>
      <c r="FG21" s="5"/>
      <c r="FH21" s="5" t="str">
        <f t="shared" si="56"/>
        <v>-----</v>
      </c>
      <c r="FI21" s="5" t="str">
        <f t="shared" si="92"/>
        <v>-----</v>
      </c>
      <c r="FJ21" s="5"/>
      <c r="FK21" s="5" t="str">
        <f t="shared" si="93"/>
        <v>-----</v>
      </c>
      <c r="FL21" s="5" t="str">
        <f t="shared" si="94"/>
        <v>-----</v>
      </c>
      <c r="FM21" s="5"/>
      <c r="FN21" s="5"/>
      <c r="FO21" s="8" t="str">
        <f t="shared" si="113"/>
        <v>Bearish</v>
      </c>
      <c r="FP21" s="8"/>
      <c r="FQ21" s="14">
        <f t="shared" si="57"/>
        <v>-8.8187453864890884E-4</v>
      </c>
      <c r="FR21" s="14">
        <f t="shared" si="58"/>
        <v>-1.244687306302394</v>
      </c>
      <c r="FS21" s="14" t="str">
        <f t="shared" si="59"/>
        <v>-----</v>
      </c>
      <c r="FT21" s="14" t="str">
        <f t="shared" si="60"/>
        <v>Bullish</v>
      </c>
      <c r="FU21" s="5" t="str">
        <f t="shared" si="95"/>
        <v>-----</v>
      </c>
      <c r="FV21" s="5" t="str">
        <f t="shared" si="96"/>
        <v>TEMA crossunder</v>
      </c>
      <c r="FW21" s="5"/>
      <c r="FX21" s="15" t="str">
        <f t="shared" si="103"/>
        <v>YES</v>
      </c>
      <c r="FY21" s="15" t="str">
        <f t="shared" si="104"/>
        <v>-----</v>
      </c>
      <c r="FZ21" s="15" t="str">
        <f t="shared" si="105"/>
        <v>YES</v>
      </c>
      <c r="GA21" s="15" t="str">
        <f t="shared" si="106"/>
        <v>YES</v>
      </c>
      <c r="GB21" s="16" t="str">
        <f t="shared" si="107"/>
        <v>-----</v>
      </c>
      <c r="GC21" s="16" t="str">
        <f t="shared" si="108"/>
        <v>-----</v>
      </c>
      <c r="GD21" s="16" t="str">
        <f t="shared" si="109"/>
        <v>-----</v>
      </c>
      <c r="GE21" s="16" t="str">
        <f t="shared" si="112"/>
        <v>-----</v>
      </c>
      <c r="GF21" s="15" t="str">
        <f t="shared" si="110"/>
        <v>-----</v>
      </c>
      <c r="GG21" s="16" t="str">
        <f t="shared" si="111"/>
        <v>-----</v>
      </c>
      <c r="GH21" s="14"/>
      <c r="GI21" s="5" t="str">
        <f t="shared" si="61"/>
        <v>-----</v>
      </c>
      <c r="GJ21" s="5" t="str">
        <f t="shared" si="62"/>
        <v>-----</v>
      </c>
      <c r="GK21" s="5"/>
      <c r="GL21" s="5" t="str">
        <f t="shared" si="63"/>
        <v>-----</v>
      </c>
      <c r="GM21" s="5" t="str">
        <f t="shared" si="64"/>
        <v>-----</v>
      </c>
      <c r="GN21" s="5"/>
      <c r="GO21" s="12">
        <f t="shared" si="65"/>
        <v>0.12600000000000477</v>
      </c>
      <c r="GP21" s="5">
        <f t="shared" si="97"/>
        <v>1.1574775448985342</v>
      </c>
      <c r="GQ21" s="13" t="str">
        <f t="shared" si="98"/>
        <v>-----</v>
      </c>
      <c r="GR21" s="5"/>
      <c r="GS21">
        <f t="shared" si="99"/>
        <v>1.8233671006958736</v>
      </c>
      <c r="GT21" s="5" t="str">
        <f t="shared" si="100"/>
        <v>High Volume</v>
      </c>
    </row>
    <row r="22" spans="1:202" x14ac:dyDescent="0.55000000000000004">
      <c r="A22">
        <v>18</v>
      </c>
      <c r="B22" t="s">
        <v>21</v>
      </c>
      <c r="C22" t="s">
        <v>4</v>
      </c>
      <c r="D22" t="s">
        <v>103</v>
      </c>
      <c r="E22">
        <v>152.96199999999999</v>
      </c>
      <c r="F22">
        <v>153.04900000000001</v>
      </c>
      <c r="G22">
        <v>152.911</v>
      </c>
      <c r="H22">
        <v>153.04599999999999</v>
      </c>
      <c r="I22">
        <v>360</v>
      </c>
      <c r="J22">
        <v>152.99700000000001</v>
      </c>
      <c r="K22">
        <v>152.905</v>
      </c>
      <c r="L22">
        <v>153.24299999999999</v>
      </c>
      <c r="M22">
        <v>152.57300000000001</v>
      </c>
      <c r="N22">
        <v>152.59899999999999</v>
      </c>
      <c r="O22">
        <v>152.79499999999999</v>
      </c>
      <c r="P22">
        <v>0</v>
      </c>
      <c r="Q22">
        <v>0</v>
      </c>
      <c r="R22">
        <v>0</v>
      </c>
      <c r="S22">
        <v>0</v>
      </c>
      <c r="T22">
        <v>0</v>
      </c>
      <c r="U22">
        <v>0.81586999999999998</v>
      </c>
      <c r="V22">
        <v>0</v>
      </c>
      <c r="W22">
        <v>153.39735999999999</v>
      </c>
      <c r="X22">
        <v>153.31589</v>
      </c>
      <c r="Y22">
        <v>153.23442</v>
      </c>
      <c r="Z22">
        <v>153.15295</v>
      </c>
      <c r="AA22">
        <v>153.07148000000001</v>
      </c>
      <c r="AB22">
        <v>152.94720000000001</v>
      </c>
      <c r="AC22">
        <v>152.86573000000001</v>
      </c>
      <c r="AD22">
        <v>152.78425999999999</v>
      </c>
      <c r="AE22">
        <v>152.70278999999999</v>
      </c>
      <c r="AF22">
        <v>152.62132</v>
      </c>
      <c r="AG22">
        <v>153.01300000000001</v>
      </c>
      <c r="AH22">
        <v>152.95400000000001</v>
      </c>
      <c r="AI22">
        <v>153.077</v>
      </c>
      <c r="AJ22">
        <v>153.21799999999999</v>
      </c>
      <c r="AK22">
        <v>153.072</v>
      </c>
      <c r="AL22">
        <v>152.94</v>
      </c>
      <c r="AM22" s="11">
        <f t="shared" si="0"/>
        <v>0.13800000000000523</v>
      </c>
      <c r="AN22" s="11">
        <f t="shared" si="66"/>
        <v>8.7000000000017508E-2</v>
      </c>
      <c r="AO22" s="11">
        <f t="shared" si="67"/>
        <v>5.0999999999987722E-2</v>
      </c>
      <c r="AP22" s="11">
        <f t="shared" si="68"/>
        <v>0.13800000000000523</v>
      </c>
      <c r="AR22" s="5" t="str">
        <f t="shared" si="1"/>
        <v>------</v>
      </c>
      <c r="AS22" s="5" t="str">
        <f t="shared" si="2"/>
        <v>------</v>
      </c>
      <c r="AT22" t="str">
        <f t="shared" si="3"/>
        <v/>
      </c>
      <c r="AV22" s="2">
        <f t="shared" si="4"/>
        <v>153.01994955000004</v>
      </c>
      <c r="AW22" s="2">
        <f t="shared" si="5"/>
        <v>152.97405045000002</v>
      </c>
      <c r="AX22" s="2">
        <f t="shared" si="6"/>
        <v>152.92793575000002</v>
      </c>
      <c r="AY22" s="2">
        <f t="shared" si="7"/>
        <v>152.88206425000001</v>
      </c>
      <c r="AZ22" s="2">
        <f t="shared" si="8"/>
        <v>153.26598645000001</v>
      </c>
      <c r="BA22" s="2">
        <f t="shared" si="9"/>
        <v>153.22001355</v>
      </c>
      <c r="BB22" s="2">
        <f t="shared" si="10"/>
        <v>152.59588595000002</v>
      </c>
      <c r="BC22" s="2">
        <f t="shared" si="11"/>
        <v>152.55011405000002</v>
      </c>
      <c r="BD22" s="2">
        <f t="shared" si="12"/>
        <v>152.62188985</v>
      </c>
      <c r="BE22" s="2">
        <f t="shared" si="13"/>
        <v>152.57611015000001</v>
      </c>
      <c r="BF22" s="2">
        <f t="shared" si="14"/>
        <v>152.81791924999999</v>
      </c>
      <c r="BG22" s="2">
        <f t="shared" si="15"/>
        <v>152.77208074999999</v>
      </c>
      <c r="BI22" s="5" t="str">
        <f t="shared" si="69"/>
        <v>TOUCH</v>
      </c>
      <c r="BJ22" s="5" t="str">
        <f t="shared" si="70"/>
        <v>-----</v>
      </c>
      <c r="BK22" s="5" t="str">
        <f t="shared" si="71"/>
        <v>-----</v>
      </c>
      <c r="BL22" s="5" t="str">
        <f t="shared" si="72"/>
        <v>-----</v>
      </c>
      <c r="BM22" s="5" t="str">
        <f t="shared" si="73"/>
        <v>-----</v>
      </c>
      <c r="BN22" s="5" t="str">
        <f t="shared" si="74"/>
        <v>-----</v>
      </c>
      <c r="BO22" s="5"/>
      <c r="BP22" s="5">
        <f t="shared" ref="BP22:BU37" si="114">IF(BI22="TOUCH",0,BP21+1)</f>
        <v>0</v>
      </c>
      <c r="BQ22" s="5">
        <f t="shared" si="114"/>
        <v>5</v>
      </c>
      <c r="BR22" s="5">
        <f t="shared" si="114"/>
        <v>16</v>
      </c>
      <c r="BS22" s="5">
        <f t="shared" si="114"/>
        <v>18</v>
      </c>
      <c r="BT22" s="5">
        <f t="shared" si="114"/>
        <v>18</v>
      </c>
      <c r="BU22" s="5">
        <f t="shared" si="114"/>
        <v>18</v>
      </c>
      <c r="BV22" s="5">
        <f t="shared" ref="BV22:CA37" si="115">IF(BI22="TOUCH",IF(BP21&gt;=3,1,BV21+1),BV21)</f>
        <v>4</v>
      </c>
      <c r="BW22" s="5">
        <f t="shared" si="115"/>
        <v>4</v>
      </c>
      <c r="BX22" s="5">
        <f t="shared" si="115"/>
        <v>2</v>
      </c>
      <c r="BY22" s="5">
        <f t="shared" si="115"/>
        <v>0</v>
      </c>
      <c r="BZ22" s="5">
        <f t="shared" si="115"/>
        <v>0</v>
      </c>
      <c r="CA22" s="5">
        <f t="shared" si="115"/>
        <v>0</v>
      </c>
      <c r="CB22" s="5">
        <f t="shared" si="102"/>
        <v>4</v>
      </c>
      <c r="CC22" s="5" t="str">
        <f t="shared" si="101"/>
        <v>-----</v>
      </c>
      <c r="CD22" s="5" t="str">
        <f t="shared" si="101"/>
        <v>-----</v>
      </c>
      <c r="CE22" s="5" t="str">
        <f t="shared" si="101"/>
        <v>-----</v>
      </c>
      <c r="CF22" s="5" t="str">
        <f t="shared" si="101"/>
        <v>-----</v>
      </c>
      <c r="CG22" s="5" t="str">
        <f t="shared" si="101"/>
        <v>-----</v>
      </c>
      <c r="CH22" s="5"/>
      <c r="CI22" s="17">
        <f t="shared" si="19"/>
        <v>3.2026771766752399E-4</v>
      </c>
      <c r="CJ22" s="17" t="str">
        <f t="shared" si="20"/>
        <v>-----</v>
      </c>
      <c r="CK22" s="17" t="str">
        <f t="shared" si="21"/>
        <v>-----</v>
      </c>
      <c r="CL22" s="17" t="str">
        <f t="shared" si="22"/>
        <v>-----</v>
      </c>
      <c r="CM22" s="17" t="str">
        <f t="shared" si="23"/>
        <v>-----</v>
      </c>
      <c r="CN22" s="17" t="str">
        <f t="shared" si="24"/>
        <v>-----</v>
      </c>
      <c r="CO22" s="5"/>
      <c r="CP22" s="5" t="str">
        <f t="shared" si="77"/>
        <v>Support</v>
      </c>
      <c r="CQ22" s="5" t="str">
        <f t="shared" si="77"/>
        <v>-----</v>
      </c>
      <c r="CR22" s="5" t="str">
        <f t="shared" si="77"/>
        <v>-----</v>
      </c>
      <c r="CS22" s="5" t="str">
        <f t="shared" si="77"/>
        <v>-----</v>
      </c>
      <c r="CT22" s="5" t="str">
        <f t="shared" si="77"/>
        <v>-----</v>
      </c>
      <c r="CU22" s="5" t="str">
        <f t="shared" si="77"/>
        <v>-----</v>
      </c>
      <c r="CV22" s="5"/>
      <c r="CW22" s="17">
        <f t="shared" si="78"/>
        <v>3.2026771766752399E-4</v>
      </c>
      <c r="CX22" s="17" t="str">
        <f t="shared" si="78"/>
        <v/>
      </c>
      <c r="CY22" s="17" t="str">
        <f t="shared" si="78"/>
        <v/>
      </c>
      <c r="CZ22" s="17" t="str">
        <f t="shared" si="78"/>
        <v/>
      </c>
      <c r="DA22" s="17" t="str">
        <f t="shared" si="78"/>
        <v/>
      </c>
      <c r="DB22" s="17" t="str">
        <f t="shared" si="78"/>
        <v/>
      </c>
      <c r="DC22" s="8"/>
      <c r="DD22" s="5">
        <f t="shared" si="27"/>
        <v>1</v>
      </c>
      <c r="DE22" s="17">
        <f t="shared" si="79"/>
        <v>3.2026771766752399E-4</v>
      </c>
      <c r="DF22" s="5" t="str" cm="1">
        <f t="array" ref="DF22">_xlfn.IFS(DE22=CW22,CP22,DE22=CX22,CQ22,DE22=CY22,CR22,DE22=CZ22,CS22,DE22=DA22,CT22,DE22=DB22,CU22,TRUE,"----- ")</f>
        <v>Support</v>
      </c>
      <c r="DG22" s="5"/>
      <c r="DH22" s="5">
        <f t="shared" si="80"/>
        <v>-2.423265306122455E-3</v>
      </c>
      <c r="DI22" s="5">
        <f t="shared" si="81"/>
        <v>-3.7194805194805478E-4</v>
      </c>
      <c r="DJ22" s="5">
        <f t="shared" si="82"/>
        <v>-1.6402721088435472E-3</v>
      </c>
      <c r="DK22" s="5">
        <f t="shared" si="83"/>
        <v>7.6471243042669956E-4</v>
      </c>
      <c r="DL22" s="5">
        <f t="shared" si="84"/>
        <v>-2.3081014223875058E-4</v>
      </c>
      <c r="DM22" s="5">
        <f t="shared" si="85"/>
        <v>1.5802844774273381E-3</v>
      </c>
      <c r="DO22" s="5">
        <f t="shared" si="29"/>
        <v>-1.9079214597220278</v>
      </c>
      <c r="DP22" s="5">
        <f t="shared" si="30"/>
        <v>-0.29295343676527091</v>
      </c>
      <c r="DQ22" s="5">
        <f t="shared" si="31"/>
        <v>-1.2917022253843653</v>
      </c>
      <c r="DR22" s="5">
        <f t="shared" si="32"/>
        <v>0.60228527619529781</v>
      </c>
      <c r="DS22" s="5">
        <f t="shared" si="33"/>
        <v>-0.18179147971962978</v>
      </c>
      <c r="DT22" s="5">
        <f t="shared" si="34"/>
        <v>1.2444775446344229</v>
      </c>
      <c r="DV22" t="str" cm="1">
        <f t="array" ref="DV22">_xlfn.IFS(DO22&gt;3,"Strong + Slope",DO22&gt;1.5,"Moderate + Slope",DO22&gt;0.5,"Sideway + Slope",DO22&gt;=-0.5,"Sideway Flat",DO22&gt;=-1.5,"Sideway - Slope",DO22&gt;=-3,"Moderate - Slope",TRUE,"Strong - Slope")</f>
        <v>Moderate - Slope</v>
      </c>
      <c r="DW22" t="str" cm="1">
        <f t="array" ref="DW22">_xlfn.IFS(DP22&gt;3,"Strong + Slope",DP22&gt;1.5,"Moderate + Slope",DP22&gt;0.5,"Sideway + Slope",DP22&gt;=-0.5,"Sideway Flat",DP22&gt;=-1.5,"Sideway - Slope",DP22&gt;=-3,"Moderate - Slope",TRUE,"Strong - Slope")</f>
        <v>Sideway Flat</v>
      </c>
      <c r="DX22" t="str" cm="1">
        <f t="array" ref="DX22">_xlfn.IFS(DQ22&gt;3,"Strong + Slope",DQ22&gt;1.5,"Moderate + Slope",DQ22&gt;0.5,"Sideway + Slope",DQ22&gt;=-0.5,"Sideway Flat",DQ22&gt;=-1.5,"Sideway - Slope",DQ22&gt;=-3,"Moderate - Slope",TRUE,"Strong - Slope")</f>
        <v>Sideway - Slope</v>
      </c>
      <c r="DY22" t="str" cm="1">
        <f t="array" ref="DY22">_xlfn.IFS(DR22&gt;3,"Strong + Slope",DR22&gt;1.5,"Moderate + Slope",DR22&gt;0.5,"Sideway + Slope",DR22&gt;=-0.5,"Sideway Flat",DR22&gt;=-1.5,"Sideway - Slope",DR22&gt;=-3,"Moderate - Slope",TRUE,"Strong - Slope")</f>
        <v>Sideway + Slope</v>
      </c>
      <c r="DZ22" t="str" cm="1">
        <f t="array" ref="DZ22">_xlfn.IFS(DS22&gt;3,"Strong + Slope",DS22&gt;1.5,"Moderate + Slope",DS22&gt;0.5,"Sideway + Slope",DS22&gt;=-0.5,"Sideway Flat",DS22&gt;=-1.5,"Sideway - Slope",DS22&gt;=-3,"Moderate - Slope",TRUE,"Strong - Slope")</f>
        <v>Sideway Flat</v>
      </c>
      <c r="EA22" t="str" cm="1">
        <f t="array" ref="EA22">_xlfn.IFS(DT22&gt;3,"Strong + Slope",DT22&gt;1.5,"Moderate + Slope",DT22&gt;0.5,"Sideway + Slope",DT22&gt;=-0.5,"Sideway Flat",DT22&gt;=-1.5,"Sideway - Slope",DT22&gt;=-3,"Moderate - Slope",TRUE,"Strong - Slope")</f>
        <v>Sideway + Slope</v>
      </c>
      <c r="EB22" s="5"/>
      <c r="EC22" s="5">
        <f t="shared" si="35"/>
        <v>2</v>
      </c>
      <c r="ED22" s="5">
        <f t="shared" si="36"/>
        <v>3</v>
      </c>
      <c r="EE22" s="5">
        <f t="shared" si="37"/>
        <v>1</v>
      </c>
      <c r="EF22" s="5">
        <f t="shared" si="38"/>
        <v>6</v>
      </c>
      <c r="EG22" s="5">
        <f t="shared" si="39"/>
        <v>5</v>
      </c>
      <c r="EH22" s="5">
        <f t="shared" si="40"/>
        <v>4</v>
      </c>
      <c r="EI22" s="5"/>
      <c r="EJ22" s="5" t="str">
        <f t="shared" si="41"/>
        <v>SUP</v>
      </c>
      <c r="EK22" s="5" t="str">
        <f t="shared" si="42"/>
        <v>SUP</v>
      </c>
      <c r="EL22" s="5" t="str">
        <f t="shared" si="43"/>
        <v>RES</v>
      </c>
      <c r="EM22" s="5" t="str">
        <f t="shared" si="44"/>
        <v>SUP</v>
      </c>
      <c r="EN22" s="5" t="str">
        <f t="shared" si="45"/>
        <v>SUP</v>
      </c>
      <c r="EO22" s="5" t="str">
        <f t="shared" si="46"/>
        <v>SUP</v>
      </c>
      <c r="EP22" s="5"/>
      <c r="EQ22" s="8">
        <f t="shared" si="47"/>
        <v>-3.2016517909633821E-4</v>
      </c>
      <c r="ER22" s="8">
        <f t="shared" si="48"/>
        <v>-9.2129163780818276E-4</v>
      </c>
      <c r="ES22" s="8">
        <f t="shared" si="49"/>
        <v>1.287194699632808E-3</v>
      </c>
      <c r="ET22" s="8">
        <f t="shared" si="50"/>
        <v>-3.0905740757679705E-3</v>
      </c>
      <c r="EU22" s="8">
        <f t="shared" si="51"/>
        <v>-2.920690511349547E-3</v>
      </c>
      <c r="EV22" s="8">
        <f t="shared" si="52"/>
        <v>-1.6400297949636369E-3</v>
      </c>
      <c r="EW22" s="8"/>
      <c r="EX22" s="8">
        <f t="shared" si="53"/>
        <v>0.70597014925372181</v>
      </c>
      <c r="EY22" s="9">
        <f t="shared" si="54"/>
        <v>1</v>
      </c>
      <c r="EZ22" s="10">
        <f t="shared" si="55"/>
        <v>5</v>
      </c>
      <c r="FA22" s="8">
        <f t="shared" si="86"/>
        <v>1.287194699632808E-3</v>
      </c>
      <c r="FB22" s="8">
        <f t="shared" si="87"/>
        <v>-3.2016517909633821E-4</v>
      </c>
      <c r="FC22" s="8">
        <f t="shared" si="88"/>
        <v>-9.2129163780818276E-4</v>
      </c>
      <c r="FD22" s="8">
        <f t="shared" si="89"/>
        <v>-1.6400297949636369E-3</v>
      </c>
      <c r="FE22" s="8">
        <f t="shared" si="90"/>
        <v>-2.920690511349547E-3</v>
      </c>
      <c r="FF22" s="8">
        <f t="shared" si="91"/>
        <v>-3.0905740757679705E-3</v>
      </c>
      <c r="FG22" s="5"/>
      <c r="FH22" s="5" t="str">
        <f t="shared" si="56"/>
        <v>-----</v>
      </c>
      <c r="FI22" s="5" t="str">
        <f t="shared" si="92"/>
        <v>-----</v>
      </c>
      <c r="FJ22" s="5"/>
      <c r="FK22" s="5" t="str">
        <f t="shared" si="93"/>
        <v>-----</v>
      </c>
      <c r="FL22" s="5" t="str">
        <f t="shared" si="94"/>
        <v>-----</v>
      </c>
      <c r="FM22" s="5"/>
      <c r="FN22" s="5"/>
      <c r="FO22" s="8" t="str">
        <f t="shared" si="113"/>
        <v>Bearish</v>
      </c>
      <c r="FP22" s="8"/>
      <c r="FQ22" s="14">
        <f t="shared" si="57"/>
        <v>-8.0351718416215667E-4</v>
      </c>
      <c r="FR22" s="14">
        <f t="shared" si="58"/>
        <v>-1.01870056048938</v>
      </c>
      <c r="FS22" s="14" t="str">
        <f t="shared" si="59"/>
        <v>-----</v>
      </c>
      <c r="FT22" s="14" t="str">
        <f t="shared" si="60"/>
        <v>Bullish</v>
      </c>
      <c r="FU22" s="5" t="str">
        <f t="shared" si="95"/>
        <v>TEMA crossover</v>
      </c>
      <c r="FV22" s="5" t="str">
        <f t="shared" si="96"/>
        <v>-----</v>
      </c>
      <c r="FW22" s="5"/>
      <c r="FX22" s="15" t="str">
        <f t="shared" si="103"/>
        <v>YES</v>
      </c>
      <c r="FY22" s="15" t="str">
        <f t="shared" si="104"/>
        <v>-----</v>
      </c>
      <c r="FZ22" s="15" t="str">
        <f t="shared" si="105"/>
        <v>YES</v>
      </c>
      <c r="GA22" s="15" t="str">
        <f t="shared" si="106"/>
        <v>YES</v>
      </c>
      <c r="GB22" s="16" t="str">
        <f t="shared" si="107"/>
        <v>-----</v>
      </c>
      <c r="GC22" s="16" t="str">
        <f t="shared" si="108"/>
        <v>-----</v>
      </c>
      <c r="GD22" s="16" t="str">
        <f t="shared" si="109"/>
        <v>-----</v>
      </c>
      <c r="GE22" s="16" t="str">
        <f t="shared" si="112"/>
        <v>YES</v>
      </c>
      <c r="GF22" s="15" t="str">
        <f t="shared" si="110"/>
        <v>-----</v>
      </c>
      <c r="GG22" s="16" t="str">
        <f t="shared" si="111"/>
        <v>-----</v>
      </c>
      <c r="GH22" s="14"/>
      <c r="GI22" s="5" t="str">
        <f t="shared" si="61"/>
        <v>-----</v>
      </c>
      <c r="GJ22" s="5" t="str">
        <f t="shared" si="62"/>
        <v>-----</v>
      </c>
      <c r="GK22" s="5"/>
      <c r="GL22" s="5" t="str">
        <f t="shared" si="63"/>
        <v>-----</v>
      </c>
      <c r="GM22" s="5" t="str">
        <f t="shared" si="64"/>
        <v>-----</v>
      </c>
      <c r="GN22" s="5"/>
      <c r="GO22" s="12">
        <f t="shared" si="65"/>
        <v>0.132000000000005</v>
      </c>
      <c r="GP22" s="5">
        <f t="shared" si="97"/>
        <v>1.2957602604395075</v>
      </c>
      <c r="GQ22" s="13" t="str">
        <f t="shared" si="98"/>
        <v>Price Distribution</v>
      </c>
      <c r="GR22" s="5"/>
      <c r="GS22">
        <f t="shared" si="99"/>
        <v>0.46175714229183734</v>
      </c>
      <c r="GT22" s="5" t="str">
        <f t="shared" si="100"/>
        <v>-----</v>
      </c>
    </row>
    <row r="23" spans="1:202" x14ac:dyDescent="0.55000000000000004">
      <c r="A23">
        <v>19</v>
      </c>
      <c r="B23" t="s">
        <v>22</v>
      </c>
      <c r="C23" t="s">
        <v>4</v>
      </c>
      <c r="D23" t="s">
        <v>103</v>
      </c>
      <c r="E23">
        <v>153.04599999999999</v>
      </c>
      <c r="F23">
        <v>153.15100000000001</v>
      </c>
      <c r="G23">
        <v>153.036</v>
      </c>
      <c r="H23">
        <v>153.04599999999999</v>
      </c>
      <c r="I23">
        <v>447</v>
      </c>
      <c r="J23">
        <v>152.995</v>
      </c>
      <c r="K23">
        <v>152.904</v>
      </c>
      <c r="L23">
        <v>153.24100000000001</v>
      </c>
      <c r="M23">
        <v>152.57400000000001</v>
      </c>
      <c r="N23">
        <v>152.59899999999999</v>
      </c>
      <c r="O23">
        <v>152.79599999999999</v>
      </c>
      <c r="P23">
        <v>0</v>
      </c>
      <c r="Q23">
        <v>0</v>
      </c>
      <c r="R23">
        <v>153.15100000000001</v>
      </c>
      <c r="S23">
        <v>0</v>
      </c>
      <c r="T23">
        <v>1</v>
      </c>
      <c r="U23">
        <v>1.11164</v>
      </c>
      <c r="V23">
        <v>0</v>
      </c>
      <c r="W23">
        <v>153.39231000000001</v>
      </c>
      <c r="X23">
        <v>153.31073000000001</v>
      </c>
      <c r="Y23">
        <v>153.22914</v>
      </c>
      <c r="Z23">
        <v>153.14756</v>
      </c>
      <c r="AA23">
        <v>153.06596999999999</v>
      </c>
      <c r="AB23">
        <v>152.94076999999999</v>
      </c>
      <c r="AC23">
        <v>152.85919000000001</v>
      </c>
      <c r="AD23">
        <v>152.77760000000001</v>
      </c>
      <c r="AE23">
        <v>152.69602</v>
      </c>
      <c r="AF23">
        <v>152.61443</v>
      </c>
      <c r="AG23">
        <v>153.05000000000001</v>
      </c>
      <c r="AH23">
        <v>152.96899999999999</v>
      </c>
      <c r="AI23">
        <v>153.077</v>
      </c>
      <c r="AJ23">
        <v>153.21299999999999</v>
      </c>
      <c r="AK23">
        <v>153.11600000000001</v>
      </c>
      <c r="AL23">
        <v>152.99100000000001</v>
      </c>
      <c r="AM23" s="11">
        <f t="shared" si="0"/>
        <v>0.11500000000000909</v>
      </c>
      <c r="AN23" s="11">
        <f t="shared" si="66"/>
        <v>0.10500000000001819</v>
      </c>
      <c r="AO23" s="11">
        <f t="shared" si="67"/>
        <v>9.9999999999909051E-3</v>
      </c>
      <c r="AP23" s="11">
        <f t="shared" si="68"/>
        <v>0.11500000000000909</v>
      </c>
      <c r="AR23" s="5" t="str">
        <f t="shared" si="1"/>
        <v>------</v>
      </c>
      <c r="AS23" s="5" t="str">
        <f t="shared" si="2"/>
        <v>------</v>
      </c>
      <c r="AT23" t="str">
        <f t="shared" si="3"/>
        <v/>
      </c>
      <c r="AV23" s="2">
        <f t="shared" si="4"/>
        <v>153.01794925000002</v>
      </c>
      <c r="AW23" s="2">
        <f t="shared" si="5"/>
        <v>152.97205074999999</v>
      </c>
      <c r="AX23" s="2">
        <f t="shared" si="6"/>
        <v>152.92693560000001</v>
      </c>
      <c r="AY23" s="2">
        <f t="shared" si="7"/>
        <v>152.88106439999999</v>
      </c>
      <c r="AZ23" s="2">
        <f t="shared" si="8"/>
        <v>153.26398615000002</v>
      </c>
      <c r="BA23" s="2">
        <f t="shared" si="9"/>
        <v>153.21801385000001</v>
      </c>
      <c r="BB23" s="2">
        <f t="shared" si="10"/>
        <v>152.59688610000003</v>
      </c>
      <c r="BC23" s="2">
        <f t="shared" si="11"/>
        <v>152.55111390000002</v>
      </c>
      <c r="BD23" s="2">
        <f t="shared" si="12"/>
        <v>152.62188985</v>
      </c>
      <c r="BE23" s="2">
        <f t="shared" si="13"/>
        <v>152.57611015000001</v>
      </c>
      <c r="BF23" s="2">
        <f t="shared" si="14"/>
        <v>152.8189194</v>
      </c>
      <c r="BG23" s="2">
        <f t="shared" si="15"/>
        <v>152.77308059999999</v>
      </c>
      <c r="BI23" s="5" t="str">
        <f t="shared" si="69"/>
        <v>-----</v>
      </c>
      <c r="BJ23" s="5" t="str">
        <f t="shared" si="70"/>
        <v>-----</v>
      </c>
      <c r="BK23" s="5" t="str">
        <f t="shared" si="71"/>
        <v>-----</v>
      </c>
      <c r="BL23" s="5" t="str">
        <f t="shared" si="72"/>
        <v>-----</v>
      </c>
      <c r="BM23" s="5" t="str">
        <f t="shared" si="73"/>
        <v>-----</v>
      </c>
      <c r="BN23" s="5" t="str">
        <f t="shared" si="74"/>
        <v>-----</v>
      </c>
      <c r="BO23" s="5"/>
      <c r="BP23" s="5">
        <f t="shared" si="114"/>
        <v>1</v>
      </c>
      <c r="BQ23" s="5">
        <f t="shared" si="114"/>
        <v>6</v>
      </c>
      <c r="BR23" s="5">
        <f t="shared" si="114"/>
        <v>17</v>
      </c>
      <c r="BS23" s="5">
        <f t="shared" si="114"/>
        <v>19</v>
      </c>
      <c r="BT23" s="5">
        <f t="shared" si="114"/>
        <v>19</v>
      </c>
      <c r="BU23" s="5">
        <f t="shared" si="114"/>
        <v>19</v>
      </c>
      <c r="BV23" s="5">
        <f t="shared" si="115"/>
        <v>4</v>
      </c>
      <c r="BW23" s="5">
        <f t="shared" si="115"/>
        <v>4</v>
      </c>
      <c r="BX23" s="5">
        <f t="shared" si="115"/>
        <v>2</v>
      </c>
      <c r="BY23" s="5">
        <f t="shared" si="115"/>
        <v>0</v>
      </c>
      <c r="BZ23" s="5">
        <f t="shared" si="115"/>
        <v>0</v>
      </c>
      <c r="CA23" s="5">
        <f t="shared" si="115"/>
        <v>0</v>
      </c>
      <c r="CB23" s="5" t="str">
        <f t="shared" si="102"/>
        <v>-----</v>
      </c>
      <c r="CC23" s="5" t="str">
        <f t="shared" si="101"/>
        <v>-----</v>
      </c>
      <c r="CD23" s="5" t="str">
        <f t="shared" si="101"/>
        <v>-----</v>
      </c>
      <c r="CE23" s="5" t="str">
        <f t="shared" si="101"/>
        <v>-----</v>
      </c>
      <c r="CF23" s="5" t="str">
        <f t="shared" si="101"/>
        <v>-----</v>
      </c>
      <c r="CG23" s="5" t="str">
        <f t="shared" si="101"/>
        <v>-----</v>
      </c>
      <c r="CH23" s="5"/>
      <c r="CI23" s="17" t="str">
        <f t="shared" si="19"/>
        <v>-----</v>
      </c>
      <c r="CJ23" s="17" t="str">
        <f t="shared" si="20"/>
        <v>-----</v>
      </c>
      <c r="CK23" s="17" t="str">
        <f t="shared" si="21"/>
        <v>-----</v>
      </c>
      <c r="CL23" s="17" t="str">
        <f t="shared" si="22"/>
        <v>-----</v>
      </c>
      <c r="CM23" s="17" t="str">
        <f t="shared" si="23"/>
        <v>-----</v>
      </c>
      <c r="CN23" s="17" t="str">
        <f t="shared" si="24"/>
        <v>-----</v>
      </c>
      <c r="CO23" s="5"/>
      <c r="CP23" s="5" t="str">
        <f t="shared" si="77"/>
        <v>-----</v>
      </c>
      <c r="CQ23" s="5" t="str">
        <f t="shared" si="77"/>
        <v>-----</v>
      </c>
      <c r="CR23" s="5" t="str">
        <f t="shared" si="77"/>
        <v>-----</v>
      </c>
      <c r="CS23" s="5" t="str">
        <f t="shared" si="77"/>
        <v>-----</v>
      </c>
      <c r="CT23" s="5" t="str">
        <f t="shared" si="77"/>
        <v>-----</v>
      </c>
      <c r="CU23" s="5" t="str">
        <f t="shared" si="77"/>
        <v>-----</v>
      </c>
      <c r="CV23" s="5"/>
      <c r="CW23" s="17" t="str">
        <f t="shared" si="78"/>
        <v/>
      </c>
      <c r="CX23" s="17" t="str">
        <f t="shared" si="78"/>
        <v/>
      </c>
      <c r="CY23" s="17" t="str">
        <f t="shared" si="78"/>
        <v/>
      </c>
      <c r="CZ23" s="17" t="str">
        <f t="shared" si="78"/>
        <v/>
      </c>
      <c r="DA23" s="17" t="str">
        <f t="shared" si="78"/>
        <v/>
      </c>
      <c r="DB23" s="17" t="str">
        <f t="shared" si="78"/>
        <v/>
      </c>
      <c r="DC23" s="8"/>
      <c r="DD23" s="5">
        <f t="shared" si="27"/>
        <v>0</v>
      </c>
      <c r="DE23" s="17" t="str">
        <f t="shared" si="79"/>
        <v>-----</v>
      </c>
      <c r="DF23" s="5" t="str" cm="1">
        <f t="array" ref="DF23">_xlfn.IFS(DE23=CW23,CP23,DE23=CX23,CQ23,DE23=CY23,CR23,DE23=CZ23,CS23,DE23=DA23,CT23,DE23=DB23,CU23,TRUE,"----- ")</f>
        <v xml:space="preserve">----- </v>
      </c>
      <c r="DG23" s="5"/>
      <c r="DH23" s="5">
        <f t="shared" si="80"/>
        <v>-2.423265306122455E-3</v>
      </c>
      <c r="DI23" s="5">
        <f t="shared" si="81"/>
        <v>-3.7194805194805478E-4</v>
      </c>
      <c r="DJ23" s="5">
        <f t="shared" si="82"/>
        <v>-1.6402721088435472E-3</v>
      </c>
      <c r="DK23" s="5">
        <f t="shared" si="83"/>
        <v>7.6471243042669956E-4</v>
      </c>
      <c r="DL23" s="5">
        <f t="shared" si="84"/>
        <v>-2.3081014223875058E-4</v>
      </c>
      <c r="DM23" s="5">
        <f t="shared" si="85"/>
        <v>1.5802844774273381E-3</v>
      </c>
      <c r="DO23" s="5">
        <f t="shared" si="29"/>
        <v>-1.9079214597220278</v>
      </c>
      <c r="DP23" s="5">
        <f t="shared" si="30"/>
        <v>-0.29295343676527091</v>
      </c>
      <c r="DQ23" s="5">
        <f t="shared" si="31"/>
        <v>-1.2917022253843653</v>
      </c>
      <c r="DR23" s="5">
        <f t="shared" si="32"/>
        <v>0.60228527619529781</v>
      </c>
      <c r="DS23" s="5">
        <f t="shared" si="33"/>
        <v>-0.18179147971962978</v>
      </c>
      <c r="DT23" s="5">
        <f t="shared" si="34"/>
        <v>1.2444775446344229</v>
      </c>
      <c r="DV23" t="str" cm="1">
        <f t="array" ref="DV23">_xlfn.IFS(DO23&gt;3,"Strong + Slope",DO23&gt;1.5,"Moderate + Slope",DO23&gt;0.5,"Sideway + Slope",DO23&gt;=-0.5,"Sideway Flat",DO23&gt;=-1.5,"Sideway - Slope",DO23&gt;=-3,"Moderate - Slope",TRUE,"Strong - Slope")</f>
        <v>Moderate - Slope</v>
      </c>
      <c r="DW23" t="str" cm="1">
        <f t="array" ref="DW23">_xlfn.IFS(DP23&gt;3,"Strong + Slope",DP23&gt;1.5,"Moderate + Slope",DP23&gt;0.5,"Sideway + Slope",DP23&gt;=-0.5,"Sideway Flat",DP23&gt;=-1.5,"Sideway - Slope",DP23&gt;=-3,"Moderate - Slope",TRUE,"Strong - Slope")</f>
        <v>Sideway Flat</v>
      </c>
      <c r="DX23" t="str" cm="1">
        <f t="array" ref="DX23">_xlfn.IFS(DQ23&gt;3,"Strong + Slope",DQ23&gt;1.5,"Moderate + Slope",DQ23&gt;0.5,"Sideway + Slope",DQ23&gt;=-0.5,"Sideway Flat",DQ23&gt;=-1.5,"Sideway - Slope",DQ23&gt;=-3,"Moderate - Slope",TRUE,"Strong - Slope")</f>
        <v>Sideway - Slope</v>
      </c>
      <c r="DY23" t="str" cm="1">
        <f t="array" ref="DY23">_xlfn.IFS(DR23&gt;3,"Strong + Slope",DR23&gt;1.5,"Moderate + Slope",DR23&gt;0.5,"Sideway + Slope",DR23&gt;=-0.5,"Sideway Flat",DR23&gt;=-1.5,"Sideway - Slope",DR23&gt;=-3,"Moderate - Slope",TRUE,"Strong - Slope")</f>
        <v>Sideway + Slope</v>
      </c>
      <c r="DZ23" t="str" cm="1">
        <f t="array" ref="DZ23">_xlfn.IFS(DS23&gt;3,"Strong + Slope",DS23&gt;1.5,"Moderate + Slope",DS23&gt;0.5,"Sideway + Slope",DS23&gt;=-0.5,"Sideway Flat",DS23&gt;=-1.5,"Sideway - Slope",DS23&gt;=-3,"Moderate - Slope",TRUE,"Strong - Slope")</f>
        <v>Sideway Flat</v>
      </c>
      <c r="EA23" t="str" cm="1">
        <f t="array" ref="EA23">_xlfn.IFS(DT23&gt;3,"Strong + Slope",DT23&gt;1.5,"Moderate + Slope",DT23&gt;0.5,"Sideway + Slope",DT23&gt;=-0.5,"Sideway Flat",DT23&gt;=-1.5,"Sideway - Slope",DT23&gt;=-3,"Moderate - Slope",TRUE,"Strong - Slope")</f>
        <v>Sideway + Slope</v>
      </c>
      <c r="EB23" s="5"/>
      <c r="EC23" s="5">
        <f t="shared" si="35"/>
        <v>2</v>
      </c>
      <c r="ED23" s="5">
        <f t="shared" si="36"/>
        <v>3</v>
      </c>
      <c r="EE23" s="5">
        <f t="shared" si="37"/>
        <v>1</v>
      </c>
      <c r="EF23" s="5">
        <f t="shared" si="38"/>
        <v>6</v>
      </c>
      <c r="EG23" s="5">
        <f t="shared" si="39"/>
        <v>5</v>
      </c>
      <c r="EH23" s="5">
        <f t="shared" si="40"/>
        <v>4</v>
      </c>
      <c r="EI23" s="5"/>
      <c r="EJ23" s="5" t="str">
        <f t="shared" si="41"/>
        <v>SUP</v>
      </c>
      <c r="EK23" s="5" t="str">
        <f t="shared" si="42"/>
        <v>SUP</v>
      </c>
      <c r="EL23" s="5" t="str">
        <f t="shared" si="43"/>
        <v>RES</v>
      </c>
      <c r="EM23" s="5" t="str">
        <f t="shared" si="44"/>
        <v>SUP</v>
      </c>
      <c r="EN23" s="5" t="str">
        <f t="shared" si="45"/>
        <v>SUP</v>
      </c>
      <c r="EO23" s="5" t="str">
        <f t="shared" si="46"/>
        <v>SUP</v>
      </c>
      <c r="EP23" s="5"/>
      <c r="EQ23" s="8">
        <f t="shared" si="47"/>
        <v>-3.3323314559013451E-4</v>
      </c>
      <c r="ER23" s="8">
        <f t="shared" si="48"/>
        <v>-9.2782562105508091E-4</v>
      </c>
      <c r="ES23" s="8">
        <f t="shared" si="49"/>
        <v>1.2741267331391973E-3</v>
      </c>
      <c r="ET23" s="8">
        <f t="shared" si="50"/>
        <v>-3.0840400925210721E-3</v>
      </c>
      <c r="EU23" s="8">
        <f t="shared" si="51"/>
        <v>-2.920690511349547E-3</v>
      </c>
      <c r="EV23" s="8">
        <f t="shared" si="52"/>
        <v>-1.6334958117167387E-3</v>
      </c>
      <c r="EW23" s="8"/>
      <c r="EX23" s="8">
        <f t="shared" si="53"/>
        <v>0.70764617691151255</v>
      </c>
      <c r="EY23" s="9">
        <f t="shared" si="54"/>
        <v>1</v>
      </c>
      <c r="EZ23" s="10">
        <f t="shared" si="55"/>
        <v>5</v>
      </c>
      <c r="FA23" s="8">
        <f t="shared" si="86"/>
        <v>1.2741267331391973E-3</v>
      </c>
      <c r="FB23" s="8">
        <f t="shared" si="87"/>
        <v>-3.3323314559013451E-4</v>
      </c>
      <c r="FC23" s="8">
        <f t="shared" si="88"/>
        <v>-9.2782562105508091E-4</v>
      </c>
      <c r="FD23" s="8">
        <f t="shared" si="89"/>
        <v>-1.6334958117167387E-3</v>
      </c>
      <c r="FE23" s="8">
        <f t="shared" si="90"/>
        <v>-2.920690511349547E-3</v>
      </c>
      <c r="FF23" s="8">
        <f t="shared" si="91"/>
        <v>-3.0840400925210721E-3</v>
      </c>
      <c r="FG23" s="5"/>
      <c r="FH23" s="5" t="str">
        <f t="shared" si="56"/>
        <v>-----</v>
      </c>
      <c r="FI23" s="5" t="str">
        <f t="shared" si="92"/>
        <v>-----</v>
      </c>
      <c r="FJ23" s="5"/>
      <c r="FK23" s="5" t="str">
        <f t="shared" si="93"/>
        <v>-----</v>
      </c>
      <c r="FL23" s="5" t="str">
        <f t="shared" si="94"/>
        <v>-----</v>
      </c>
      <c r="FM23" s="5"/>
      <c r="FN23" s="5"/>
      <c r="FO23" s="8" t="str">
        <f t="shared" si="113"/>
        <v>Bearish</v>
      </c>
      <c r="FP23" s="8"/>
      <c r="FQ23" s="14">
        <f t="shared" si="57"/>
        <v>-7.0552728365465809E-4</v>
      </c>
      <c r="FR23" s="14">
        <f t="shared" si="58"/>
        <v>-0.73609251580386736</v>
      </c>
      <c r="FS23" s="14" t="str">
        <f t="shared" si="59"/>
        <v>-----</v>
      </c>
      <c r="FT23" s="14" t="str">
        <f t="shared" si="60"/>
        <v>Bullish</v>
      </c>
      <c r="FU23" s="5" t="str">
        <f t="shared" si="95"/>
        <v>-----</v>
      </c>
      <c r="FV23" s="5" t="str">
        <f t="shared" si="96"/>
        <v>TEMA crossunder</v>
      </c>
      <c r="FW23" s="5"/>
      <c r="FX23" s="15" t="str">
        <f t="shared" si="103"/>
        <v>YES</v>
      </c>
      <c r="FY23" s="15" t="str">
        <f t="shared" si="104"/>
        <v>-----</v>
      </c>
      <c r="FZ23" s="15" t="str">
        <f t="shared" si="105"/>
        <v>YES</v>
      </c>
      <c r="GA23" s="15" t="str">
        <f t="shared" si="106"/>
        <v>YES</v>
      </c>
      <c r="GB23" s="16" t="str">
        <f t="shared" si="107"/>
        <v>-----</v>
      </c>
      <c r="GC23" s="16" t="str">
        <f t="shared" si="108"/>
        <v>-----</v>
      </c>
      <c r="GD23" s="16" t="str">
        <f t="shared" si="109"/>
        <v>-----</v>
      </c>
      <c r="GE23" s="16" t="str">
        <f t="shared" si="112"/>
        <v>YES</v>
      </c>
      <c r="GF23" s="15" t="str">
        <f t="shared" si="110"/>
        <v>-----</v>
      </c>
      <c r="GG23" s="16" t="str">
        <f t="shared" si="111"/>
        <v>-----</v>
      </c>
      <c r="GH23" s="14"/>
      <c r="GI23" s="5" t="str">
        <f t="shared" si="61"/>
        <v>-----</v>
      </c>
      <c r="GJ23" s="5" t="str">
        <f t="shared" si="62"/>
        <v>-----</v>
      </c>
      <c r="GK23" s="5"/>
      <c r="GL23" s="5" t="str">
        <f t="shared" si="63"/>
        <v>-----</v>
      </c>
      <c r="GM23" s="5" t="str">
        <f t="shared" si="64"/>
        <v>-----</v>
      </c>
      <c r="GN23" s="5"/>
      <c r="GO23" s="12">
        <f t="shared" si="65"/>
        <v>0.125</v>
      </c>
      <c r="GP23" s="5">
        <f t="shared" si="97"/>
        <v>1.1344304256415962</v>
      </c>
      <c r="GQ23" s="13" t="str">
        <f t="shared" si="98"/>
        <v>-----</v>
      </c>
      <c r="GR23" s="5"/>
      <c r="GS23">
        <f t="shared" si="99"/>
        <v>1.0231792578423167</v>
      </c>
      <c r="GT23" s="5" t="str">
        <f t="shared" si="100"/>
        <v>-----</v>
      </c>
    </row>
    <row r="24" spans="1:202" x14ac:dyDescent="0.55000000000000004">
      <c r="A24">
        <v>20</v>
      </c>
      <c r="B24" t="s">
        <v>23</v>
      </c>
      <c r="C24" t="s">
        <v>4</v>
      </c>
      <c r="D24" t="s">
        <v>103</v>
      </c>
      <c r="E24">
        <v>153.04599999999999</v>
      </c>
      <c r="F24">
        <v>153.12899999999999</v>
      </c>
      <c r="G24">
        <v>153.00700000000001</v>
      </c>
      <c r="H24">
        <v>153.09</v>
      </c>
      <c r="I24">
        <v>449</v>
      </c>
      <c r="J24">
        <v>152.99199999999999</v>
      </c>
      <c r="K24">
        <v>152.904</v>
      </c>
      <c r="L24">
        <v>153.24</v>
      </c>
      <c r="M24">
        <v>152.57499999999999</v>
      </c>
      <c r="N24">
        <v>152.59899999999999</v>
      </c>
      <c r="O24">
        <v>152.798</v>
      </c>
      <c r="P24">
        <v>0</v>
      </c>
      <c r="Q24">
        <v>0</v>
      </c>
      <c r="R24">
        <v>0</v>
      </c>
      <c r="S24">
        <v>0</v>
      </c>
      <c r="T24">
        <v>0</v>
      </c>
      <c r="U24">
        <v>0.10075000000000001</v>
      </c>
      <c r="V24">
        <v>0</v>
      </c>
      <c r="W24">
        <v>153.38915</v>
      </c>
      <c r="X24">
        <v>153.30744000000001</v>
      </c>
      <c r="Y24">
        <v>153.22573</v>
      </c>
      <c r="Z24">
        <v>153.14402000000001</v>
      </c>
      <c r="AA24">
        <v>153.06231</v>
      </c>
      <c r="AB24">
        <v>152.93635</v>
      </c>
      <c r="AC24">
        <v>152.85463999999999</v>
      </c>
      <c r="AD24">
        <v>152.77293</v>
      </c>
      <c r="AE24">
        <v>152.69121999999999</v>
      </c>
      <c r="AF24">
        <v>152.60951</v>
      </c>
      <c r="AG24">
        <v>153.072</v>
      </c>
      <c r="AH24">
        <v>152.98500000000001</v>
      </c>
      <c r="AI24">
        <v>153.077</v>
      </c>
      <c r="AJ24">
        <v>153.209</v>
      </c>
      <c r="AK24">
        <v>153.13300000000001</v>
      </c>
      <c r="AL24">
        <v>153.00899999999999</v>
      </c>
      <c r="AM24" s="11">
        <f t="shared" si="0"/>
        <v>0.12199999999998568</v>
      </c>
      <c r="AN24" s="11">
        <f t="shared" si="66"/>
        <v>8.2999999999998408E-2</v>
      </c>
      <c r="AO24" s="11">
        <f t="shared" si="67"/>
        <v>3.8999999999987267E-2</v>
      </c>
      <c r="AP24" s="11">
        <f t="shared" si="68"/>
        <v>0.12199999999998568</v>
      </c>
      <c r="AR24" s="5" t="str">
        <f t="shared" si="1"/>
        <v>------</v>
      </c>
      <c r="AS24" s="5" t="str">
        <f t="shared" si="2"/>
        <v>------</v>
      </c>
      <c r="AT24" t="str">
        <f t="shared" si="3"/>
        <v/>
      </c>
      <c r="AV24" s="2">
        <f t="shared" si="4"/>
        <v>153.01494880000001</v>
      </c>
      <c r="AW24" s="2">
        <f t="shared" si="5"/>
        <v>152.9690512</v>
      </c>
      <c r="AX24" s="2">
        <f t="shared" si="6"/>
        <v>152.92693560000001</v>
      </c>
      <c r="AY24" s="2">
        <f t="shared" si="7"/>
        <v>152.88106439999999</v>
      </c>
      <c r="AZ24" s="2">
        <f t="shared" si="8"/>
        <v>153.26298600000001</v>
      </c>
      <c r="BA24" s="2">
        <f t="shared" si="9"/>
        <v>153.21701400000001</v>
      </c>
      <c r="BB24" s="2">
        <f t="shared" si="10"/>
        <v>152.59788625000002</v>
      </c>
      <c r="BC24" s="2">
        <f t="shared" si="11"/>
        <v>152.55211374999999</v>
      </c>
      <c r="BD24" s="2">
        <f t="shared" si="12"/>
        <v>152.62188985</v>
      </c>
      <c r="BE24" s="2">
        <f t="shared" si="13"/>
        <v>152.57611015000001</v>
      </c>
      <c r="BF24" s="2">
        <f t="shared" si="14"/>
        <v>152.82091970000002</v>
      </c>
      <c r="BG24" s="2">
        <f t="shared" si="15"/>
        <v>152.77508030000001</v>
      </c>
      <c r="BI24" s="5" t="str">
        <f t="shared" si="69"/>
        <v>-----</v>
      </c>
      <c r="BJ24" s="5" t="str">
        <f t="shared" si="70"/>
        <v>-----</v>
      </c>
      <c r="BK24" s="5" t="str">
        <f t="shared" si="71"/>
        <v>-----</v>
      </c>
      <c r="BL24" s="5" t="str">
        <f t="shared" si="72"/>
        <v>-----</v>
      </c>
      <c r="BM24" s="5" t="str">
        <f t="shared" si="73"/>
        <v>-----</v>
      </c>
      <c r="BN24" s="5" t="str">
        <f t="shared" si="74"/>
        <v>-----</v>
      </c>
      <c r="BO24" s="5"/>
      <c r="BP24" s="5">
        <f t="shared" si="114"/>
        <v>2</v>
      </c>
      <c r="BQ24" s="5">
        <f t="shared" si="114"/>
        <v>7</v>
      </c>
      <c r="BR24" s="5">
        <f t="shared" si="114"/>
        <v>18</v>
      </c>
      <c r="BS24" s="5">
        <f t="shared" si="114"/>
        <v>20</v>
      </c>
      <c r="BT24" s="5">
        <f t="shared" si="114"/>
        <v>20</v>
      </c>
      <c r="BU24" s="5">
        <f t="shared" si="114"/>
        <v>20</v>
      </c>
      <c r="BV24" s="5">
        <f t="shared" si="115"/>
        <v>4</v>
      </c>
      <c r="BW24" s="5">
        <f t="shared" si="115"/>
        <v>4</v>
      </c>
      <c r="BX24" s="5">
        <f t="shared" si="115"/>
        <v>2</v>
      </c>
      <c r="BY24" s="5">
        <f t="shared" si="115"/>
        <v>0</v>
      </c>
      <c r="BZ24" s="5">
        <f t="shared" si="115"/>
        <v>0</v>
      </c>
      <c r="CA24" s="5">
        <f t="shared" si="115"/>
        <v>0</v>
      </c>
      <c r="CB24" s="5" t="str">
        <f t="shared" si="102"/>
        <v>-----</v>
      </c>
      <c r="CC24" s="5" t="str">
        <f t="shared" si="101"/>
        <v>-----</v>
      </c>
      <c r="CD24" s="5" t="str">
        <f t="shared" si="101"/>
        <v>-----</v>
      </c>
      <c r="CE24" s="5" t="str">
        <f t="shared" si="101"/>
        <v>-----</v>
      </c>
      <c r="CF24" s="5" t="str">
        <f t="shared" si="101"/>
        <v>-----</v>
      </c>
      <c r="CG24" s="5" t="str">
        <f t="shared" si="101"/>
        <v>-----</v>
      </c>
      <c r="CH24" s="5"/>
      <c r="CI24" s="17" t="str">
        <f t="shared" si="19"/>
        <v>-----</v>
      </c>
      <c r="CJ24" s="17" t="str">
        <f t="shared" si="20"/>
        <v>-----</v>
      </c>
      <c r="CK24" s="17" t="str">
        <f t="shared" si="21"/>
        <v>-----</v>
      </c>
      <c r="CL24" s="17" t="str">
        <f t="shared" si="22"/>
        <v>-----</v>
      </c>
      <c r="CM24" s="17" t="str">
        <f t="shared" si="23"/>
        <v>-----</v>
      </c>
      <c r="CN24" s="17" t="str">
        <f t="shared" si="24"/>
        <v>-----</v>
      </c>
      <c r="CO24" s="5"/>
      <c r="CP24" s="5" t="str">
        <f t="shared" si="77"/>
        <v>-----</v>
      </c>
      <c r="CQ24" s="5" t="str">
        <f t="shared" si="77"/>
        <v>-----</v>
      </c>
      <c r="CR24" s="5" t="str">
        <f t="shared" si="77"/>
        <v>-----</v>
      </c>
      <c r="CS24" s="5" t="str">
        <f t="shared" si="77"/>
        <v>-----</v>
      </c>
      <c r="CT24" s="5" t="str">
        <f t="shared" si="77"/>
        <v>-----</v>
      </c>
      <c r="CU24" s="5" t="str">
        <f t="shared" si="77"/>
        <v>-----</v>
      </c>
      <c r="CV24" s="5"/>
      <c r="CW24" s="17" t="str">
        <f t="shared" si="78"/>
        <v/>
      </c>
      <c r="CX24" s="17" t="str">
        <f t="shared" si="78"/>
        <v/>
      </c>
      <c r="CY24" s="17" t="str">
        <f t="shared" si="78"/>
        <v/>
      </c>
      <c r="CZ24" s="17" t="str">
        <f t="shared" si="78"/>
        <v/>
      </c>
      <c r="DA24" s="17" t="str">
        <f t="shared" si="78"/>
        <v/>
      </c>
      <c r="DB24" s="17" t="str">
        <f t="shared" si="78"/>
        <v/>
      </c>
      <c r="DC24" s="8"/>
      <c r="DD24" s="5">
        <f t="shared" si="27"/>
        <v>0</v>
      </c>
      <c r="DE24" s="17" t="str">
        <f t="shared" si="79"/>
        <v>-----</v>
      </c>
      <c r="DF24" s="5" t="str" cm="1">
        <f t="array" ref="DF24">_xlfn.IFS(DE24=CW24,CP24,DE24=CX24,CQ24,DE24=CY24,CR24,DE24=CZ24,CS24,DE24=DA24,CT24,DE24=DB24,CU24,TRUE,"----- ")</f>
        <v xml:space="preserve">----- </v>
      </c>
      <c r="DG24" s="5"/>
      <c r="DH24" s="5">
        <f t="shared" si="80"/>
        <v>-2.423265306122455E-3</v>
      </c>
      <c r="DI24" s="5">
        <f t="shared" si="81"/>
        <v>-3.7194805194805478E-4</v>
      </c>
      <c r="DJ24" s="5">
        <f t="shared" si="82"/>
        <v>-1.6402721088435472E-3</v>
      </c>
      <c r="DK24" s="5">
        <f t="shared" si="83"/>
        <v>7.6471243042669956E-4</v>
      </c>
      <c r="DL24" s="5">
        <f t="shared" si="84"/>
        <v>-2.3081014223875058E-4</v>
      </c>
      <c r="DM24" s="5">
        <f t="shared" si="85"/>
        <v>1.5802844774273381E-3</v>
      </c>
      <c r="DO24" s="5">
        <f t="shared" si="29"/>
        <v>-1.9079214597220278</v>
      </c>
      <c r="DP24" s="5">
        <f t="shared" si="30"/>
        <v>-0.29295343676527091</v>
      </c>
      <c r="DQ24" s="5">
        <f t="shared" si="31"/>
        <v>-1.2917022253843653</v>
      </c>
      <c r="DR24" s="5">
        <f t="shared" si="32"/>
        <v>0.60228527619529781</v>
      </c>
      <c r="DS24" s="5">
        <f t="shared" si="33"/>
        <v>-0.18179147971962978</v>
      </c>
      <c r="DT24" s="5">
        <f t="shared" si="34"/>
        <v>1.2444775446344229</v>
      </c>
      <c r="DV24" t="str" cm="1">
        <f t="array" ref="DV24">_xlfn.IFS(DO24&gt;3,"Strong + Slope",DO24&gt;1.5,"Moderate + Slope",DO24&gt;0.5,"Sideway + Slope",DO24&gt;=-0.5,"Sideway Flat",DO24&gt;=-1.5,"Sideway - Slope",DO24&gt;=-3,"Moderate - Slope",TRUE,"Strong - Slope")</f>
        <v>Moderate - Slope</v>
      </c>
      <c r="DW24" t="str" cm="1">
        <f t="array" ref="DW24">_xlfn.IFS(DP24&gt;3,"Strong + Slope",DP24&gt;1.5,"Moderate + Slope",DP24&gt;0.5,"Sideway + Slope",DP24&gt;=-0.5,"Sideway Flat",DP24&gt;=-1.5,"Sideway - Slope",DP24&gt;=-3,"Moderate - Slope",TRUE,"Strong - Slope")</f>
        <v>Sideway Flat</v>
      </c>
      <c r="DX24" t="str" cm="1">
        <f t="array" ref="DX24">_xlfn.IFS(DQ24&gt;3,"Strong + Slope",DQ24&gt;1.5,"Moderate + Slope",DQ24&gt;0.5,"Sideway + Slope",DQ24&gt;=-0.5,"Sideway Flat",DQ24&gt;=-1.5,"Sideway - Slope",DQ24&gt;=-3,"Moderate - Slope",TRUE,"Strong - Slope")</f>
        <v>Sideway - Slope</v>
      </c>
      <c r="DY24" t="str" cm="1">
        <f t="array" ref="DY24">_xlfn.IFS(DR24&gt;3,"Strong + Slope",DR24&gt;1.5,"Moderate + Slope",DR24&gt;0.5,"Sideway + Slope",DR24&gt;=-0.5,"Sideway Flat",DR24&gt;=-1.5,"Sideway - Slope",DR24&gt;=-3,"Moderate - Slope",TRUE,"Strong - Slope")</f>
        <v>Sideway + Slope</v>
      </c>
      <c r="DZ24" t="str" cm="1">
        <f t="array" ref="DZ24">_xlfn.IFS(DS24&gt;3,"Strong + Slope",DS24&gt;1.5,"Moderate + Slope",DS24&gt;0.5,"Sideway + Slope",DS24&gt;=-0.5,"Sideway Flat",DS24&gt;=-1.5,"Sideway - Slope",DS24&gt;=-3,"Moderate - Slope",TRUE,"Strong - Slope")</f>
        <v>Sideway Flat</v>
      </c>
      <c r="EA24" t="str" cm="1">
        <f t="array" ref="EA24">_xlfn.IFS(DT24&gt;3,"Strong + Slope",DT24&gt;1.5,"Moderate + Slope",DT24&gt;0.5,"Sideway + Slope",DT24&gt;=-0.5,"Sideway Flat",DT24&gt;=-1.5,"Sideway - Slope",DT24&gt;=-3,"Moderate - Slope",TRUE,"Strong - Slope")</f>
        <v>Sideway + Slope</v>
      </c>
      <c r="EB24" s="5"/>
      <c r="EC24" s="5">
        <f t="shared" si="35"/>
        <v>2</v>
      </c>
      <c r="ED24" s="5">
        <f t="shared" si="36"/>
        <v>3</v>
      </c>
      <c r="EE24" s="5">
        <f t="shared" si="37"/>
        <v>1</v>
      </c>
      <c r="EF24" s="5">
        <f t="shared" si="38"/>
        <v>6</v>
      </c>
      <c r="EG24" s="5">
        <f t="shared" si="39"/>
        <v>5</v>
      </c>
      <c r="EH24" s="5">
        <f t="shared" si="40"/>
        <v>4</v>
      </c>
      <c r="EI24" s="5"/>
      <c r="EJ24" s="5" t="str">
        <f t="shared" si="41"/>
        <v>SUP</v>
      </c>
      <c r="EK24" s="5" t="str">
        <f t="shared" si="42"/>
        <v>SUP</v>
      </c>
      <c r="EL24" s="5" t="str">
        <f t="shared" si="43"/>
        <v>RES</v>
      </c>
      <c r="EM24" s="5" t="str">
        <f t="shared" si="44"/>
        <v>SUP</v>
      </c>
      <c r="EN24" s="5" t="str">
        <f t="shared" si="45"/>
        <v>SUP</v>
      </c>
      <c r="EO24" s="5" t="str">
        <f t="shared" si="46"/>
        <v>SUP</v>
      </c>
      <c r="EP24" s="5"/>
      <c r="EQ24" s="8">
        <f t="shared" si="47"/>
        <v>-6.4014631915875093E-4</v>
      </c>
      <c r="ER24" s="8">
        <f t="shared" si="48"/>
        <v>-1.2149715853420017E-3</v>
      </c>
      <c r="ES24" s="8">
        <f t="shared" si="49"/>
        <v>9.7981579463064664E-4</v>
      </c>
      <c r="ET24" s="8">
        <f t="shared" si="50"/>
        <v>-3.3640342282318554E-3</v>
      </c>
      <c r="EU24" s="8">
        <f t="shared" si="51"/>
        <v>-3.2072637010909519E-3</v>
      </c>
      <c r="EV24" s="8">
        <f t="shared" si="52"/>
        <v>-1.90737474688093E-3</v>
      </c>
      <c r="EW24" s="8"/>
      <c r="EX24" s="8">
        <f t="shared" si="53"/>
        <v>0.77443609022556226</v>
      </c>
      <c r="EY24" s="9">
        <f t="shared" si="54"/>
        <v>1</v>
      </c>
      <c r="EZ24" s="10">
        <f t="shared" si="55"/>
        <v>5</v>
      </c>
      <c r="FA24" s="8">
        <f t="shared" si="86"/>
        <v>9.7981579463064664E-4</v>
      </c>
      <c r="FB24" s="8">
        <f t="shared" si="87"/>
        <v>-6.4014631915875093E-4</v>
      </c>
      <c r="FC24" s="8">
        <f t="shared" si="88"/>
        <v>-1.2149715853420017E-3</v>
      </c>
      <c r="FD24" s="8">
        <f t="shared" si="89"/>
        <v>-1.90737474688093E-3</v>
      </c>
      <c r="FE24" s="8">
        <f t="shared" si="90"/>
        <v>-3.2072637010909519E-3</v>
      </c>
      <c r="FF24" s="8">
        <f t="shared" si="91"/>
        <v>-3.3640342282318554E-3</v>
      </c>
      <c r="FG24" s="5"/>
      <c r="FH24" s="5" t="str">
        <f t="shared" si="56"/>
        <v>Flat Momentum</v>
      </c>
      <c r="FI24" s="5" t="str">
        <f t="shared" si="92"/>
        <v>-----</v>
      </c>
      <c r="FJ24" s="5"/>
      <c r="FK24" s="5" t="str">
        <f t="shared" si="93"/>
        <v>-----</v>
      </c>
      <c r="FL24" s="5" t="str">
        <f t="shared" si="94"/>
        <v>-----</v>
      </c>
      <c r="FM24" s="5"/>
      <c r="FN24" s="5"/>
      <c r="FO24" s="8" t="str">
        <f t="shared" si="113"/>
        <v>Bearish</v>
      </c>
      <c r="FP24" s="8"/>
      <c r="FQ24" s="14">
        <f t="shared" si="57"/>
        <v>-6.010047231131035E-4</v>
      </c>
      <c r="FR24" s="14">
        <f t="shared" si="58"/>
        <v>-0.43464393480534463</v>
      </c>
      <c r="FS24" s="14" t="str">
        <f t="shared" si="59"/>
        <v>-----</v>
      </c>
      <c r="FT24" s="14" t="str">
        <f t="shared" si="60"/>
        <v>Bullish</v>
      </c>
      <c r="FU24" s="5" t="str">
        <f t="shared" si="95"/>
        <v>TEMA crossover</v>
      </c>
      <c r="FV24" s="5" t="str">
        <f t="shared" si="96"/>
        <v>-----</v>
      </c>
      <c r="FW24" s="5"/>
      <c r="FX24" s="15" t="str">
        <f t="shared" si="103"/>
        <v>YES</v>
      </c>
      <c r="FY24" s="15" t="str">
        <f t="shared" si="104"/>
        <v>-----</v>
      </c>
      <c r="FZ24" s="15" t="str">
        <f t="shared" si="105"/>
        <v>YES</v>
      </c>
      <c r="GA24" s="15" t="str">
        <f t="shared" si="106"/>
        <v>YES</v>
      </c>
      <c r="GB24" s="16" t="str">
        <f t="shared" si="107"/>
        <v>-----</v>
      </c>
      <c r="GC24" s="16" t="str">
        <f t="shared" si="108"/>
        <v>-----</v>
      </c>
      <c r="GD24" s="16" t="str">
        <f t="shared" si="109"/>
        <v>-----</v>
      </c>
      <c r="GE24" s="16" t="str">
        <f t="shared" si="112"/>
        <v>YES</v>
      </c>
      <c r="GF24" s="15" t="str">
        <f t="shared" si="110"/>
        <v>-----</v>
      </c>
      <c r="GG24" s="16" t="str">
        <f t="shared" si="111"/>
        <v>-----</v>
      </c>
      <c r="GH24" s="14"/>
      <c r="GI24" s="5" t="str">
        <f t="shared" si="61"/>
        <v>-----</v>
      </c>
      <c r="GJ24" s="5" t="str">
        <f t="shared" si="62"/>
        <v>-----</v>
      </c>
      <c r="GK24" s="5"/>
      <c r="GL24" s="5" t="str">
        <f t="shared" si="63"/>
        <v>-----</v>
      </c>
      <c r="GM24" s="5" t="str">
        <f t="shared" si="64"/>
        <v>-----</v>
      </c>
      <c r="GN24" s="5"/>
      <c r="GO24" s="12">
        <f t="shared" si="65"/>
        <v>0.12400000000002365</v>
      </c>
      <c r="GP24" s="5">
        <f t="shared" si="97"/>
        <v>1.1113833063853131</v>
      </c>
      <c r="GQ24" s="13" t="str">
        <f t="shared" si="98"/>
        <v>-----</v>
      </c>
      <c r="GR24" s="5"/>
      <c r="GS24">
        <f t="shared" si="99"/>
        <v>1.0360855133722129</v>
      </c>
      <c r="GT24" s="5" t="str">
        <f t="shared" si="100"/>
        <v>-----</v>
      </c>
    </row>
    <row r="25" spans="1:202" x14ac:dyDescent="0.55000000000000004">
      <c r="A25">
        <v>21</v>
      </c>
      <c r="B25" t="s">
        <v>24</v>
      </c>
      <c r="C25" t="s">
        <v>4</v>
      </c>
      <c r="D25" t="s">
        <v>103</v>
      </c>
      <c r="E25">
        <v>153.089</v>
      </c>
      <c r="F25">
        <v>153.09200000000001</v>
      </c>
      <c r="G25">
        <v>152.989</v>
      </c>
      <c r="H25">
        <v>153.001</v>
      </c>
      <c r="I25">
        <v>472</v>
      </c>
      <c r="J25">
        <v>152.99</v>
      </c>
      <c r="K25">
        <v>152.904</v>
      </c>
      <c r="L25">
        <v>153.238</v>
      </c>
      <c r="M25">
        <v>152.57499999999999</v>
      </c>
      <c r="N25">
        <v>152.59800000000001</v>
      </c>
      <c r="O25">
        <v>152.80000000000001</v>
      </c>
      <c r="P25">
        <v>0</v>
      </c>
      <c r="Q25">
        <v>0</v>
      </c>
      <c r="R25">
        <v>0</v>
      </c>
      <c r="S25">
        <v>0</v>
      </c>
      <c r="T25">
        <v>0</v>
      </c>
      <c r="U25">
        <v>0.90571000000000002</v>
      </c>
      <c r="V25">
        <v>3</v>
      </c>
      <c r="W25">
        <v>153.38673</v>
      </c>
      <c r="X25">
        <v>153.30482000000001</v>
      </c>
      <c r="Y25">
        <v>153.22291999999999</v>
      </c>
      <c r="Z25">
        <v>153.14100999999999</v>
      </c>
      <c r="AA25">
        <v>153.0591</v>
      </c>
      <c r="AB25">
        <v>152.93299999999999</v>
      </c>
      <c r="AC25">
        <v>152.85109</v>
      </c>
      <c r="AD25">
        <v>152.76918000000001</v>
      </c>
      <c r="AE25">
        <v>152.68727999999999</v>
      </c>
      <c r="AF25">
        <v>152.60536999999999</v>
      </c>
      <c r="AG25">
        <v>153.06100000000001</v>
      </c>
      <c r="AH25">
        <v>152.99600000000001</v>
      </c>
      <c r="AI25">
        <v>153.07400000000001</v>
      </c>
      <c r="AJ25">
        <v>153.20500000000001</v>
      </c>
      <c r="AK25">
        <v>153.124</v>
      </c>
      <c r="AL25">
        <v>153.011</v>
      </c>
      <c r="AM25" s="11">
        <f t="shared" si="0"/>
        <v>0.10300000000000864</v>
      </c>
      <c r="AN25" s="11">
        <f t="shared" si="66"/>
        <v>2.0000000000095497E-3</v>
      </c>
      <c r="AO25" s="11">
        <f t="shared" si="67"/>
        <v>0.10099999999999909</v>
      </c>
      <c r="AP25" s="11">
        <f t="shared" si="68"/>
        <v>0.10300000000000864</v>
      </c>
      <c r="AR25" s="5" t="str">
        <f t="shared" si="1"/>
        <v>------</v>
      </c>
      <c r="AS25" s="5" t="str">
        <f t="shared" si="2"/>
        <v>------</v>
      </c>
      <c r="AT25" t="str">
        <f t="shared" si="3"/>
        <v/>
      </c>
      <c r="AV25" s="2">
        <f t="shared" si="4"/>
        <v>153.01294850000002</v>
      </c>
      <c r="AW25" s="2">
        <f t="shared" si="5"/>
        <v>152.96705150000003</v>
      </c>
      <c r="AX25" s="2">
        <f t="shared" si="6"/>
        <v>152.92693560000001</v>
      </c>
      <c r="AY25" s="2">
        <f t="shared" si="7"/>
        <v>152.88106439999999</v>
      </c>
      <c r="AZ25" s="2">
        <f t="shared" si="8"/>
        <v>153.26098570000002</v>
      </c>
      <c r="BA25" s="2">
        <f t="shared" si="9"/>
        <v>153.21501430000001</v>
      </c>
      <c r="BB25" s="2">
        <f t="shared" si="10"/>
        <v>152.59788625000002</v>
      </c>
      <c r="BC25" s="2">
        <f t="shared" si="11"/>
        <v>152.55211374999999</v>
      </c>
      <c r="BD25" s="2">
        <f t="shared" si="12"/>
        <v>152.62088970000002</v>
      </c>
      <c r="BE25" s="2">
        <f t="shared" si="13"/>
        <v>152.57511030000001</v>
      </c>
      <c r="BF25" s="2">
        <f t="shared" si="14"/>
        <v>152.82292000000004</v>
      </c>
      <c r="BG25" s="2">
        <f t="shared" si="15"/>
        <v>152.77708000000001</v>
      </c>
      <c r="BI25" s="5" t="str">
        <f t="shared" si="69"/>
        <v>TOUCH</v>
      </c>
      <c r="BJ25" s="5" t="str">
        <f t="shared" si="70"/>
        <v>-----</v>
      </c>
      <c r="BK25" s="5" t="str">
        <f t="shared" si="71"/>
        <v>-----</v>
      </c>
      <c r="BL25" s="5" t="str">
        <f t="shared" si="72"/>
        <v>-----</v>
      </c>
      <c r="BM25" s="5" t="str">
        <f t="shared" si="73"/>
        <v>-----</v>
      </c>
      <c r="BN25" s="5" t="str">
        <f t="shared" si="74"/>
        <v>-----</v>
      </c>
      <c r="BO25" s="5"/>
      <c r="BP25" s="5">
        <f t="shared" si="114"/>
        <v>0</v>
      </c>
      <c r="BQ25" s="5">
        <f t="shared" si="114"/>
        <v>8</v>
      </c>
      <c r="BR25" s="5">
        <f t="shared" si="114"/>
        <v>19</v>
      </c>
      <c r="BS25" s="5">
        <f t="shared" si="114"/>
        <v>21</v>
      </c>
      <c r="BT25" s="5">
        <f t="shared" si="114"/>
        <v>21</v>
      </c>
      <c r="BU25" s="5">
        <f t="shared" si="114"/>
        <v>21</v>
      </c>
      <c r="BV25" s="5">
        <f t="shared" si="115"/>
        <v>5</v>
      </c>
      <c r="BW25" s="5">
        <f t="shared" si="115"/>
        <v>4</v>
      </c>
      <c r="BX25" s="5">
        <f t="shared" si="115"/>
        <v>2</v>
      </c>
      <c r="BY25" s="5">
        <f t="shared" si="115"/>
        <v>0</v>
      </c>
      <c r="BZ25" s="5">
        <f t="shared" si="115"/>
        <v>0</v>
      </c>
      <c r="CA25" s="5">
        <f t="shared" si="115"/>
        <v>0</v>
      </c>
      <c r="CB25" s="5">
        <f t="shared" si="102"/>
        <v>5</v>
      </c>
      <c r="CC25" s="5" t="str">
        <f t="shared" si="101"/>
        <v>-----</v>
      </c>
      <c r="CD25" s="5" t="str">
        <f t="shared" si="101"/>
        <v>-----</v>
      </c>
      <c r="CE25" s="5" t="str">
        <f t="shared" si="101"/>
        <v>-----</v>
      </c>
      <c r="CF25" s="5" t="str">
        <f t="shared" si="101"/>
        <v>-----</v>
      </c>
      <c r="CG25" s="5" t="str">
        <f t="shared" si="101"/>
        <v>-----</v>
      </c>
      <c r="CH25" s="5"/>
      <c r="CI25" s="17">
        <f t="shared" si="19"/>
        <v>7.1900124191095355E-5</v>
      </c>
      <c r="CJ25" s="17" t="str">
        <f t="shared" si="20"/>
        <v>-----</v>
      </c>
      <c r="CK25" s="17" t="str">
        <f t="shared" si="21"/>
        <v>-----</v>
      </c>
      <c r="CL25" s="17" t="str">
        <f t="shared" si="22"/>
        <v>-----</v>
      </c>
      <c r="CM25" s="17" t="str">
        <f t="shared" si="23"/>
        <v>-----</v>
      </c>
      <c r="CN25" s="17" t="str">
        <f t="shared" si="24"/>
        <v>-----</v>
      </c>
      <c r="CO25" s="5"/>
      <c r="CP25" s="5" t="str">
        <f t="shared" si="77"/>
        <v>Support</v>
      </c>
      <c r="CQ25" s="5" t="str">
        <f t="shared" si="77"/>
        <v>-----</v>
      </c>
      <c r="CR25" s="5" t="str">
        <f t="shared" si="77"/>
        <v>-----</v>
      </c>
      <c r="CS25" s="5" t="str">
        <f t="shared" si="77"/>
        <v>-----</v>
      </c>
      <c r="CT25" s="5" t="str">
        <f t="shared" si="77"/>
        <v>-----</v>
      </c>
      <c r="CU25" s="5" t="str">
        <f t="shared" si="77"/>
        <v>-----</v>
      </c>
      <c r="CV25" s="5"/>
      <c r="CW25" s="17">
        <f t="shared" si="78"/>
        <v>7.1900124191095355E-5</v>
      </c>
      <c r="CX25" s="17" t="str">
        <f t="shared" si="78"/>
        <v/>
      </c>
      <c r="CY25" s="17" t="str">
        <f t="shared" si="78"/>
        <v/>
      </c>
      <c r="CZ25" s="17" t="str">
        <f t="shared" si="78"/>
        <v/>
      </c>
      <c r="DA25" s="17" t="str">
        <f t="shared" si="78"/>
        <v/>
      </c>
      <c r="DB25" s="17" t="str">
        <f t="shared" si="78"/>
        <v/>
      </c>
      <c r="DC25" s="8"/>
      <c r="DD25" s="5">
        <f t="shared" si="27"/>
        <v>1</v>
      </c>
      <c r="DE25" s="17">
        <f t="shared" si="79"/>
        <v>7.1900124191095355E-5</v>
      </c>
      <c r="DF25" s="5" t="str" cm="1">
        <f t="array" ref="DF25">_xlfn.IFS(DE25=CW25,CP25,DE25=CX25,CQ25,DE25=CY25,CR25,DE25=CZ25,CS25,DE25=DA25,CT25,DE25=DB25,CU25,TRUE,"----- ")</f>
        <v>Support</v>
      </c>
      <c r="DG25" s="5"/>
      <c r="DH25" s="5">
        <f t="shared" si="80"/>
        <v>-2.423265306122455E-3</v>
      </c>
      <c r="DI25" s="5">
        <f t="shared" si="81"/>
        <v>-3.7194805194805478E-4</v>
      </c>
      <c r="DJ25" s="5">
        <f t="shared" si="82"/>
        <v>-1.6402721088435472E-3</v>
      </c>
      <c r="DK25" s="5">
        <f t="shared" si="83"/>
        <v>7.6471243042669956E-4</v>
      </c>
      <c r="DL25" s="5">
        <f t="shared" si="84"/>
        <v>-2.3081014223875058E-4</v>
      </c>
      <c r="DM25" s="5">
        <f t="shared" si="85"/>
        <v>1.5802844774273381E-3</v>
      </c>
      <c r="DO25" s="5">
        <f t="shared" si="29"/>
        <v>-1.9079214597220278</v>
      </c>
      <c r="DP25" s="5">
        <f t="shared" si="30"/>
        <v>-0.29295343676527091</v>
      </c>
      <c r="DQ25" s="5">
        <f t="shared" si="31"/>
        <v>-1.2917022253843653</v>
      </c>
      <c r="DR25" s="5">
        <f t="shared" si="32"/>
        <v>0.60228527619529781</v>
      </c>
      <c r="DS25" s="5">
        <f t="shared" si="33"/>
        <v>-0.18179147971962978</v>
      </c>
      <c r="DT25" s="5">
        <f t="shared" si="34"/>
        <v>1.2444775446344229</v>
      </c>
      <c r="DV25" t="str" cm="1">
        <f t="array" ref="DV25">_xlfn.IFS(DO25&gt;3,"Strong + Slope",DO25&gt;1.5,"Moderate + Slope",DO25&gt;0.5,"Sideway + Slope",DO25&gt;=-0.5,"Sideway Flat",DO25&gt;=-1.5,"Sideway - Slope",DO25&gt;=-3,"Moderate - Slope",TRUE,"Strong - Slope")</f>
        <v>Moderate - Slope</v>
      </c>
      <c r="DW25" t="str" cm="1">
        <f t="array" ref="DW25">_xlfn.IFS(DP25&gt;3,"Strong + Slope",DP25&gt;1.5,"Moderate + Slope",DP25&gt;0.5,"Sideway + Slope",DP25&gt;=-0.5,"Sideway Flat",DP25&gt;=-1.5,"Sideway - Slope",DP25&gt;=-3,"Moderate - Slope",TRUE,"Strong - Slope")</f>
        <v>Sideway Flat</v>
      </c>
      <c r="DX25" t="str" cm="1">
        <f t="array" ref="DX25">_xlfn.IFS(DQ25&gt;3,"Strong + Slope",DQ25&gt;1.5,"Moderate + Slope",DQ25&gt;0.5,"Sideway + Slope",DQ25&gt;=-0.5,"Sideway Flat",DQ25&gt;=-1.5,"Sideway - Slope",DQ25&gt;=-3,"Moderate - Slope",TRUE,"Strong - Slope")</f>
        <v>Sideway - Slope</v>
      </c>
      <c r="DY25" t="str" cm="1">
        <f t="array" ref="DY25">_xlfn.IFS(DR25&gt;3,"Strong + Slope",DR25&gt;1.5,"Moderate + Slope",DR25&gt;0.5,"Sideway + Slope",DR25&gt;=-0.5,"Sideway Flat",DR25&gt;=-1.5,"Sideway - Slope",DR25&gt;=-3,"Moderate - Slope",TRUE,"Strong - Slope")</f>
        <v>Sideway + Slope</v>
      </c>
      <c r="DZ25" t="str" cm="1">
        <f t="array" ref="DZ25">_xlfn.IFS(DS25&gt;3,"Strong + Slope",DS25&gt;1.5,"Moderate + Slope",DS25&gt;0.5,"Sideway + Slope",DS25&gt;=-0.5,"Sideway Flat",DS25&gt;=-1.5,"Sideway - Slope",DS25&gt;=-3,"Moderate - Slope",TRUE,"Strong - Slope")</f>
        <v>Sideway Flat</v>
      </c>
      <c r="EA25" t="str" cm="1">
        <f t="array" ref="EA25">_xlfn.IFS(DT25&gt;3,"Strong + Slope",DT25&gt;1.5,"Moderate + Slope",DT25&gt;0.5,"Sideway + Slope",DT25&gt;=-0.5,"Sideway Flat",DT25&gt;=-1.5,"Sideway - Slope",DT25&gt;=-3,"Moderate - Slope",TRUE,"Strong - Slope")</f>
        <v>Sideway + Slope</v>
      </c>
      <c r="EB25" s="5"/>
      <c r="EC25" s="5">
        <f t="shared" si="35"/>
        <v>2</v>
      </c>
      <c r="ED25" s="5">
        <f t="shared" si="36"/>
        <v>3</v>
      </c>
      <c r="EE25" s="5">
        <f t="shared" si="37"/>
        <v>1</v>
      </c>
      <c r="EF25" s="5">
        <f t="shared" si="38"/>
        <v>6</v>
      </c>
      <c r="EG25" s="5">
        <f t="shared" si="39"/>
        <v>5</v>
      </c>
      <c r="EH25" s="5">
        <f t="shared" si="40"/>
        <v>4</v>
      </c>
      <c r="EI25" s="5"/>
      <c r="EJ25" s="5" t="str">
        <f t="shared" si="41"/>
        <v>SUP</v>
      </c>
      <c r="EK25" s="5" t="str">
        <f t="shared" si="42"/>
        <v>SUP</v>
      </c>
      <c r="EL25" s="5" t="str">
        <f t="shared" si="43"/>
        <v>RES</v>
      </c>
      <c r="EM25" s="5" t="str">
        <f t="shared" si="44"/>
        <v>SUP</v>
      </c>
      <c r="EN25" s="5" t="str">
        <f t="shared" si="45"/>
        <v>SUP</v>
      </c>
      <c r="EO25" s="5" t="str">
        <f t="shared" si="46"/>
        <v>SUP</v>
      </c>
      <c r="EP25" s="5"/>
      <c r="EQ25" s="8">
        <f t="shared" si="47"/>
        <v>-7.1894954934906825E-5</v>
      </c>
      <c r="ER25" s="8">
        <f t="shared" si="48"/>
        <v>-6.3398278442630056E-4</v>
      </c>
      <c r="ES25" s="8">
        <f t="shared" si="49"/>
        <v>1.5490094835981121E-3</v>
      </c>
      <c r="ET25" s="8">
        <f t="shared" si="50"/>
        <v>-2.7842955274803181E-3</v>
      </c>
      <c r="EU25" s="8">
        <f t="shared" si="51"/>
        <v>-2.6339697126162025E-3</v>
      </c>
      <c r="EV25" s="8">
        <f t="shared" si="52"/>
        <v>-1.3137169038110431E-3</v>
      </c>
      <c r="EW25" s="8"/>
      <c r="EX25" s="8">
        <f t="shared" si="53"/>
        <v>0.64253393665159753</v>
      </c>
      <c r="EY25" s="9">
        <f t="shared" si="54"/>
        <v>1</v>
      </c>
      <c r="EZ25" s="10">
        <f t="shared" si="55"/>
        <v>5</v>
      </c>
      <c r="FA25" s="8">
        <f t="shared" si="86"/>
        <v>1.5490094835981121E-3</v>
      </c>
      <c r="FB25" s="8">
        <f t="shared" si="87"/>
        <v>-7.1894954934906825E-5</v>
      </c>
      <c r="FC25" s="8">
        <f t="shared" si="88"/>
        <v>-6.3398278442630056E-4</v>
      </c>
      <c r="FD25" s="8">
        <f t="shared" si="89"/>
        <v>-1.3137169038110431E-3</v>
      </c>
      <c r="FE25" s="8">
        <f t="shared" si="90"/>
        <v>-2.6339697126162025E-3</v>
      </c>
      <c r="FF25" s="8">
        <f t="shared" si="91"/>
        <v>-2.7842955274803181E-3</v>
      </c>
      <c r="FG25" s="5"/>
      <c r="FH25" s="5" t="str">
        <f t="shared" si="56"/>
        <v>Flat Momentum</v>
      </c>
      <c r="FI25" s="5" t="str">
        <f t="shared" si="92"/>
        <v>-----</v>
      </c>
      <c r="FJ25" s="5"/>
      <c r="FK25" s="5" t="str">
        <f t="shared" si="93"/>
        <v>-----</v>
      </c>
      <c r="FL25" s="5" t="str">
        <f t="shared" si="94"/>
        <v>-----</v>
      </c>
      <c r="FM25" s="5"/>
      <c r="FN25" s="5"/>
      <c r="FO25" s="8" t="str">
        <f t="shared" si="113"/>
        <v>Bearish</v>
      </c>
      <c r="FP25" s="8"/>
      <c r="FQ25" s="14">
        <f t="shared" si="57"/>
        <v>-5.0955746893661198E-4</v>
      </c>
      <c r="FR25" s="14">
        <f t="shared" si="58"/>
        <v>-0.17090522744029651</v>
      </c>
      <c r="FS25" s="14" t="str">
        <f t="shared" si="59"/>
        <v>-----</v>
      </c>
      <c r="FT25" s="14" t="str">
        <f t="shared" si="60"/>
        <v>Bullish</v>
      </c>
      <c r="FU25" s="5" t="str">
        <f t="shared" si="95"/>
        <v>-----</v>
      </c>
      <c r="FV25" s="5" t="str">
        <f t="shared" si="96"/>
        <v>TEMA crossunder</v>
      </c>
      <c r="FW25" s="5"/>
      <c r="FX25" s="15" t="str">
        <f t="shared" si="103"/>
        <v>YES</v>
      </c>
      <c r="FY25" s="15" t="str">
        <f t="shared" si="104"/>
        <v>-----</v>
      </c>
      <c r="FZ25" s="15" t="str">
        <f t="shared" si="105"/>
        <v>YES</v>
      </c>
      <c r="GA25" s="15" t="str">
        <f t="shared" si="106"/>
        <v>YES</v>
      </c>
      <c r="GB25" s="16" t="str">
        <f t="shared" si="107"/>
        <v>-----</v>
      </c>
      <c r="GC25" s="16" t="str">
        <f t="shared" si="108"/>
        <v>-----</v>
      </c>
      <c r="GD25" s="16" t="str">
        <f t="shared" si="109"/>
        <v>-----</v>
      </c>
      <c r="GE25" s="16" t="str">
        <f t="shared" si="112"/>
        <v>YES</v>
      </c>
      <c r="GF25" s="15" t="str">
        <f t="shared" si="110"/>
        <v>-----</v>
      </c>
      <c r="GG25" s="16" t="str">
        <f t="shared" si="111"/>
        <v>-----</v>
      </c>
      <c r="GH25" s="14"/>
      <c r="GI25" s="5" t="str">
        <f t="shared" si="61"/>
        <v>-----</v>
      </c>
      <c r="GJ25" s="5" t="str">
        <f t="shared" si="62"/>
        <v>Bearish Trigger</v>
      </c>
      <c r="GK25" s="5"/>
      <c r="GL25" s="5" t="str">
        <f t="shared" si="63"/>
        <v>-----</v>
      </c>
      <c r="GM25" s="5" t="str">
        <f t="shared" si="64"/>
        <v>-----</v>
      </c>
      <c r="GN25" s="5"/>
      <c r="GO25" s="12">
        <f t="shared" si="65"/>
        <v>0.11299999999999955</v>
      </c>
      <c r="GP25" s="5">
        <f t="shared" si="97"/>
        <v>0.85786499455964971</v>
      </c>
      <c r="GQ25" s="13" t="str">
        <f t="shared" si="98"/>
        <v>-----</v>
      </c>
      <c r="GR25" s="5"/>
      <c r="GS25">
        <f t="shared" si="99"/>
        <v>1.1845074519660177</v>
      </c>
      <c r="GT25" s="5" t="str">
        <f t="shared" si="100"/>
        <v>-----</v>
      </c>
    </row>
    <row r="26" spans="1:202" x14ac:dyDescent="0.55000000000000004">
      <c r="A26">
        <v>22</v>
      </c>
      <c r="B26" t="s">
        <v>25</v>
      </c>
      <c r="C26" t="s">
        <v>4</v>
      </c>
      <c r="D26" t="s">
        <v>103</v>
      </c>
      <c r="E26">
        <v>153</v>
      </c>
      <c r="F26">
        <v>153.05199999999999</v>
      </c>
      <c r="G26">
        <v>152.98400000000001</v>
      </c>
      <c r="H26">
        <v>153.036</v>
      </c>
      <c r="I26">
        <v>451</v>
      </c>
      <c r="J26">
        <v>152.98699999999999</v>
      </c>
      <c r="K26">
        <v>152.90299999999999</v>
      </c>
      <c r="L26">
        <v>153.23599999999999</v>
      </c>
      <c r="M26">
        <v>152.57599999999999</v>
      </c>
      <c r="N26">
        <v>152.59800000000001</v>
      </c>
      <c r="O26">
        <v>152.80099999999999</v>
      </c>
      <c r="P26">
        <v>0</v>
      </c>
      <c r="Q26">
        <v>0</v>
      </c>
      <c r="R26">
        <v>0</v>
      </c>
      <c r="S26">
        <v>0</v>
      </c>
      <c r="T26">
        <v>0</v>
      </c>
      <c r="U26">
        <v>0.28775000000000001</v>
      </c>
      <c r="V26">
        <v>0</v>
      </c>
      <c r="W26">
        <v>153.38255000000001</v>
      </c>
      <c r="X26">
        <v>153.30072999999999</v>
      </c>
      <c r="Y26">
        <v>153.21892</v>
      </c>
      <c r="Z26">
        <v>153.1371</v>
      </c>
      <c r="AA26">
        <v>153.05529000000001</v>
      </c>
      <c r="AB26">
        <v>152.93037000000001</v>
      </c>
      <c r="AC26">
        <v>152.84854999999999</v>
      </c>
      <c r="AD26">
        <v>152.76674</v>
      </c>
      <c r="AE26">
        <v>152.68492000000001</v>
      </c>
      <c r="AF26">
        <v>152.60310999999999</v>
      </c>
      <c r="AG26">
        <v>153.05199999999999</v>
      </c>
      <c r="AH26">
        <v>153.00299999999999</v>
      </c>
      <c r="AI26">
        <v>153.07</v>
      </c>
      <c r="AJ26">
        <v>153.19999999999999</v>
      </c>
      <c r="AK26">
        <v>153.09700000000001</v>
      </c>
      <c r="AL26">
        <v>153.00800000000001</v>
      </c>
      <c r="AM26" s="11">
        <f t="shared" si="0"/>
        <v>6.7999999999983629E-2</v>
      </c>
      <c r="AN26" s="11">
        <f t="shared" si="66"/>
        <v>5.0999999999987722E-2</v>
      </c>
      <c r="AO26" s="11">
        <f t="shared" si="67"/>
        <v>1.6999999999995907E-2</v>
      </c>
      <c r="AP26" s="11">
        <f t="shared" si="68"/>
        <v>6.7999999999983629E-2</v>
      </c>
      <c r="AR26" s="5" t="str">
        <f t="shared" si="1"/>
        <v>------</v>
      </c>
      <c r="AS26" s="5" t="str">
        <f t="shared" si="2"/>
        <v>------</v>
      </c>
      <c r="AT26" t="str">
        <f t="shared" si="3"/>
        <v/>
      </c>
      <c r="AV26" s="2">
        <f t="shared" si="4"/>
        <v>153.00994805000002</v>
      </c>
      <c r="AW26" s="2">
        <f t="shared" si="5"/>
        <v>152.96405195</v>
      </c>
      <c r="AX26" s="2">
        <f t="shared" si="6"/>
        <v>152.92593545</v>
      </c>
      <c r="AY26" s="2">
        <f t="shared" si="7"/>
        <v>152.88006454999999</v>
      </c>
      <c r="AZ26" s="2">
        <f t="shared" si="8"/>
        <v>153.2589854</v>
      </c>
      <c r="BA26" s="2">
        <f t="shared" si="9"/>
        <v>153.21301459999998</v>
      </c>
      <c r="BB26" s="2">
        <f t="shared" si="10"/>
        <v>152.5988864</v>
      </c>
      <c r="BC26" s="2">
        <f t="shared" si="11"/>
        <v>152.55311359999999</v>
      </c>
      <c r="BD26" s="2">
        <f t="shared" si="12"/>
        <v>152.62088970000002</v>
      </c>
      <c r="BE26" s="2">
        <f t="shared" si="13"/>
        <v>152.57511030000001</v>
      </c>
      <c r="BF26" s="2">
        <f t="shared" si="14"/>
        <v>152.82392014999999</v>
      </c>
      <c r="BG26" s="2">
        <f t="shared" si="15"/>
        <v>152.77807984999998</v>
      </c>
      <c r="BI26" s="5" t="str">
        <f t="shared" si="69"/>
        <v>TOUCH</v>
      </c>
      <c r="BJ26" s="5" t="str">
        <f t="shared" si="70"/>
        <v>-----</v>
      </c>
      <c r="BK26" s="5" t="str">
        <f t="shared" si="71"/>
        <v>-----</v>
      </c>
      <c r="BL26" s="5" t="str">
        <f t="shared" si="72"/>
        <v>-----</v>
      </c>
      <c r="BM26" s="5" t="str">
        <f t="shared" si="73"/>
        <v>-----</v>
      </c>
      <c r="BN26" s="5" t="str">
        <f t="shared" si="74"/>
        <v>-----</v>
      </c>
      <c r="BO26" s="5"/>
      <c r="BP26" s="5">
        <f t="shared" si="114"/>
        <v>0</v>
      </c>
      <c r="BQ26" s="5">
        <f t="shared" si="114"/>
        <v>9</v>
      </c>
      <c r="BR26" s="5">
        <f t="shared" si="114"/>
        <v>20</v>
      </c>
      <c r="BS26" s="5">
        <f t="shared" si="114"/>
        <v>22</v>
      </c>
      <c r="BT26" s="5">
        <f t="shared" si="114"/>
        <v>22</v>
      </c>
      <c r="BU26" s="5">
        <f t="shared" si="114"/>
        <v>22</v>
      </c>
      <c r="BV26" s="5">
        <f t="shared" si="115"/>
        <v>6</v>
      </c>
      <c r="BW26" s="5">
        <f t="shared" si="115"/>
        <v>4</v>
      </c>
      <c r="BX26" s="5">
        <f t="shared" si="115"/>
        <v>2</v>
      </c>
      <c r="BY26" s="5">
        <f t="shared" si="115"/>
        <v>0</v>
      </c>
      <c r="BZ26" s="5">
        <f t="shared" si="115"/>
        <v>0</v>
      </c>
      <c r="CA26" s="5">
        <f t="shared" si="115"/>
        <v>0</v>
      </c>
      <c r="CB26" s="5">
        <f t="shared" si="102"/>
        <v>6</v>
      </c>
      <c r="CC26" s="5" t="str">
        <f t="shared" si="101"/>
        <v>-----</v>
      </c>
      <c r="CD26" s="5" t="str">
        <f t="shared" si="101"/>
        <v>-----</v>
      </c>
      <c r="CE26" s="5" t="str">
        <f t="shared" si="101"/>
        <v>-----</v>
      </c>
      <c r="CF26" s="5" t="str">
        <f t="shared" si="101"/>
        <v>-----</v>
      </c>
      <c r="CG26" s="5" t="str">
        <f t="shared" si="101"/>
        <v>-----</v>
      </c>
      <c r="CH26" s="5"/>
      <c r="CI26" s="17">
        <f t="shared" si="19"/>
        <v>3.2028865197700847E-4</v>
      </c>
      <c r="CJ26" s="17" t="str">
        <f t="shared" si="20"/>
        <v>-----</v>
      </c>
      <c r="CK26" s="17" t="str">
        <f t="shared" si="21"/>
        <v>-----</v>
      </c>
      <c r="CL26" s="17" t="str">
        <f t="shared" si="22"/>
        <v>-----</v>
      </c>
      <c r="CM26" s="17" t="str">
        <f t="shared" si="23"/>
        <v>-----</v>
      </c>
      <c r="CN26" s="17" t="str">
        <f t="shared" si="24"/>
        <v>-----</v>
      </c>
      <c r="CO26" s="5"/>
      <c r="CP26" s="5" t="str">
        <f t="shared" si="77"/>
        <v>Support</v>
      </c>
      <c r="CQ26" s="5" t="str">
        <f t="shared" si="77"/>
        <v>-----</v>
      </c>
      <c r="CR26" s="5" t="str">
        <f t="shared" si="77"/>
        <v>-----</v>
      </c>
      <c r="CS26" s="5" t="str">
        <f t="shared" si="77"/>
        <v>-----</v>
      </c>
      <c r="CT26" s="5" t="str">
        <f t="shared" si="77"/>
        <v>-----</v>
      </c>
      <c r="CU26" s="5" t="str">
        <f t="shared" si="77"/>
        <v>-----</v>
      </c>
      <c r="CV26" s="5"/>
      <c r="CW26" s="17">
        <f t="shared" si="78"/>
        <v>3.2028865197700847E-4</v>
      </c>
      <c r="CX26" s="17" t="str">
        <f t="shared" si="78"/>
        <v/>
      </c>
      <c r="CY26" s="17" t="str">
        <f t="shared" si="78"/>
        <v/>
      </c>
      <c r="CZ26" s="17" t="str">
        <f t="shared" si="78"/>
        <v/>
      </c>
      <c r="DA26" s="17" t="str">
        <f t="shared" si="78"/>
        <v/>
      </c>
      <c r="DB26" s="17" t="str">
        <f t="shared" si="78"/>
        <v/>
      </c>
      <c r="DC26" s="8"/>
      <c r="DD26" s="5">
        <f t="shared" si="27"/>
        <v>1</v>
      </c>
      <c r="DE26" s="17">
        <f t="shared" si="79"/>
        <v>3.2028865197700847E-4</v>
      </c>
      <c r="DF26" s="5" t="str" cm="1">
        <f t="array" ref="DF26">_xlfn.IFS(DE26=CW26,CP26,DE26=CX26,CQ26,DE26=CY26,CR26,DE26=CZ26,CS26,DE26=DA26,CT26,DE26=DB26,CU26,TRUE,"----- ")</f>
        <v>Support</v>
      </c>
      <c r="DG26" s="5"/>
      <c r="DH26" s="5">
        <f t="shared" si="80"/>
        <v>-2.423265306122455E-3</v>
      </c>
      <c r="DI26" s="5">
        <f t="shared" si="81"/>
        <v>-3.7194805194805478E-4</v>
      </c>
      <c r="DJ26" s="5">
        <f t="shared" si="82"/>
        <v>-1.6402721088435472E-3</v>
      </c>
      <c r="DK26" s="5">
        <f t="shared" si="83"/>
        <v>7.6471243042669956E-4</v>
      </c>
      <c r="DL26" s="5">
        <f t="shared" si="84"/>
        <v>-2.3081014223875058E-4</v>
      </c>
      <c r="DM26" s="5">
        <f t="shared" si="85"/>
        <v>1.5802844774273381E-3</v>
      </c>
      <c r="DO26" s="5">
        <f t="shared" si="29"/>
        <v>-1.9079214597220278</v>
      </c>
      <c r="DP26" s="5">
        <f t="shared" si="30"/>
        <v>-0.29295343676527091</v>
      </c>
      <c r="DQ26" s="5">
        <f t="shared" si="31"/>
        <v>-1.2917022253843653</v>
      </c>
      <c r="DR26" s="5">
        <f t="shared" si="32"/>
        <v>0.60228527619529781</v>
      </c>
      <c r="DS26" s="5">
        <f t="shared" si="33"/>
        <v>-0.18179147971962978</v>
      </c>
      <c r="DT26" s="5">
        <f t="shared" si="34"/>
        <v>1.2444775446344229</v>
      </c>
      <c r="DV26" t="str" cm="1">
        <f t="array" ref="DV26">_xlfn.IFS(DO26&gt;3,"Strong + Slope",DO26&gt;1.5,"Moderate + Slope",DO26&gt;0.5,"Sideway + Slope",DO26&gt;=-0.5,"Sideway Flat",DO26&gt;=-1.5,"Sideway - Slope",DO26&gt;=-3,"Moderate - Slope",TRUE,"Strong - Slope")</f>
        <v>Moderate - Slope</v>
      </c>
      <c r="DW26" t="str" cm="1">
        <f t="array" ref="DW26">_xlfn.IFS(DP26&gt;3,"Strong + Slope",DP26&gt;1.5,"Moderate + Slope",DP26&gt;0.5,"Sideway + Slope",DP26&gt;=-0.5,"Sideway Flat",DP26&gt;=-1.5,"Sideway - Slope",DP26&gt;=-3,"Moderate - Slope",TRUE,"Strong - Slope")</f>
        <v>Sideway Flat</v>
      </c>
      <c r="DX26" t="str" cm="1">
        <f t="array" ref="DX26">_xlfn.IFS(DQ26&gt;3,"Strong + Slope",DQ26&gt;1.5,"Moderate + Slope",DQ26&gt;0.5,"Sideway + Slope",DQ26&gt;=-0.5,"Sideway Flat",DQ26&gt;=-1.5,"Sideway - Slope",DQ26&gt;=-3,"Moderate - Slope",TRUE,"Strong - Slope")</f>
        <v>Sideway - Slope</v>
      </c>
      <c r="DY26" t="str" cm="1">
        <f t="array" ref="DY26">_xlfn.IFS(DR26&gt;3,"Strong + Slope",DR26&gt;1.5,"Moderate + Slope",DR26&gt;0.5,"Sideway + Slope",DR26&gt;=-0.5,"Sideway Flat",DR26&gt;=-1.5,"Sideway - Slope",DR26&gt;=-3,"Moderate - Slope",TRUE,"Strong - Slope")</f>
        <v>Sideway + Slope</v>
      </c>
      <c r="DZ26" t="str" cm="1">
        <f t="array" ref="DZ26">_xlfn.IFS(DS26&gt;3,"Strong + Slope",DS26&gt;1.5,"Moderate + Slope",DS26&gt;0.5,"Sideway + Slope",DS26&gt;=-0.5,"Sideway Flat",DS26&gt;=-1.5,"Sideway - Slope",DS26&gt;=-3,"Moderate - Slope",TRUE,"Strong - Slope")</f>
        <v>Sideway Flat</v>
      </c>
      <c r="EA26" t="str" cm="1">
        <f t="array" ref="EA26">_xlfn.IFS(DT26&gt;3,"Strong + Slope",DT26&gt;1.5,"Moderate + Slope",DT26&gt;0.5,"Sideway + Slope",DT26&gt;=-0.5,"Sideway Flat",DT26&gt;=-1.5,"Sideway - Slope",DT26&gt;=-3,"Moderate - Slope",TRUE,"Strong - Slope")</f>
        <v>Sideway + Slope</v>
      </c>
      <c r="EB26" s="5"/>
      <c r="EC26" s="5">
        <f t="shared" si="35"/>
        <v>2</v>
      </c>
      <c r="ED26" s="5">
        <f t="shared" si="36"/>
        <v>3</v>
      </c>
      <c r="EE26" s="5">
        <f t="shared" si="37"/>
        <v>1</v>
      </c>
      <c r="EF26" s="5">
        <f t="shared" si="38"/>
        <v>6</v>
      </c>
      <c r="EG26" s="5">
        <f t="shared" si="39"/>
        <v>5</v>
      </c>
      <c r="EH26" s="5">
        <f t="shared" si="40"/>
        <v>4</v>
      </c>
      <c r="EI26" s="5"/>
      <c r="EJ26" s="5" t="str">
        <f t="shared" si="41"/>
        <v>SUP</v>
      </c>
      <c r="EK26" s="5" t="str">
        <f t="shared" si="42"/>
        <v>SUP</v>
      </c>
      <c r="EL26" s="5" t="str">
        <f t="shared" si="43"/>
        <v>RES</v>
      </c>
      <c r="EM26" s="5" t="str">
        <f t="shared" si="44"/>
        <v>SUP</v>
      </c>
      <c r="EN26" s="5" t="str">
        <f t="shared" si="45"/>
        <v>SUP</v>
      </c>
      <c r="EO26" s="5" t="str">
        <f t="shared" si="46"/>
        <v>SUP</v>
      </c>
      <c r="EP26" s="5"/>
      <c r="EQ26" s="8">
        <f t="shared" si="47"/>
        <v>-3.2018610000265684E-4</v>
      </c>
      <c r="ER26" s="8">
        <f t="shared" si="48"/>
        <v>-8.6907655715001556E-4</v>
      </c>
      <c r="ES26" s="8">
        <f t="shared" si="49"/>
        <v>1.3068820408269207E-3</v>
      </c>
      <c r="ET26" s="8">
        <f t="shared" si="50"/>
        <v>-3.0058286939021405E-3</v>
      </c>
      <c r="EU26" s="8">
        <f t="shared" si="51"/>
        <v>-2.8620716694110417E-3</v>
      </c>
      <c r="EV26" s="8">
        <f t="shared" si="52"/>
        <v>-1.5355863979718083E-3</v>
      </c>
      <c r="EW26" s="8"/>
      <c r="EX26" s="8">
        <f t="shared" si="53"/>
        <v>0.69696969696971267</v>
      </c>
      <c r="EY26" s="9">
        <f t="shared" si="54"/>
        <v>1</v>
      </c>
      <c r="EZ26" s="10">
        <f t="shared" si="55"/>
        <v>5</v>
      </c>
      <c r="FA26" s="8">
        <f t="shared" si="86"/>
        <v>1.3068820408269207E-3</v>
      </c>
      <c r="FB26" s="8">
        <f t="shared" si="87"/>
        <v>-3.2018610000265684E-4</v>
      </c>
      <c r="FC26" s="8">
        <f t="shared" si="88"/>
        <v>-8.6907655715001556E-4</v>
      </c>
      <c r="FD26" s="8">
        <f t="shared" si="89"/>
        <v>-1.5355863979718083E-3</v>
      </c>
      <c r="FE26" s="8">
        <f t="shared" si="90"/>
        <v>-2.8620716694110417E-3</v>
      </c>
      <c r="FF26" s="8">
        <f t="shared" si="91"/>
        <v>-3.0058286939021405E-3</v>
      </c>
      <c r="FG26" s="5"/>
      <c r="FH26" s="5" t="str">
        <f t="shared" si="56"/>
        <v>-----</v>
      </c>
      <c r="FI26" s="5" t="str">
        <f t="shared" si="92"/>
        <v>-----</v>
      </c>
      <c r="FJ26" s="5"/>
      <c r="FK26" s="5" t="str">
        <f t="shared" si="93"/>
        <v>-----</v>
      </c>
      <c r="FL26" s="5" t="str">
        <f t="shared" si="94"/>
        <v>-----</v>
      </c>
      <c r="FM26" s="5"/>
      <c r="FN26" s="5"/>
      <c r="FO26" s="8" t="str">
        <f t="shared" si="113"/>
        <v>Bearish</v>
      </c>
      <c r="FP26" s="8"/>
      <c r="FQ26" s="14">
        <f t="shared" si="57"/>
        <v>-4.3770823806106541E-4</v>
      </c>
      <c r="FR26" s="14">
        <f t="shared" si="58"/>
        <v>3.6311746398169087E-2</v>
      </c>
      <c r="FS26" s="14" t="str">
        <f t="shared" si="59"/>
        <v>-----</v>
      </c>
      <c r="FT26" s="14" t="str">
        <f t="shared" si="60"/>
        <v>Bullish</v>
      </c>
      <c r="FU26" s="5" t="str">
        <f t="shared" si="95"/>
        <v>-----</v>
      </c>
      <c r="FV26" s="5" t="str">
        <f t="shared" si="96"/>
        <v>-----</v>
      </c>
      <c r="FW26" s="5"/>
      <c r="FX26" s="15" t="str">
        <f t="shared" si="103"/>
        <v>YES</v>
      </c>
      <c r="FY26" s="15" t="str">
        <f t="shared" si="104"/>
        <v>-----</v>
      </c>
      <c r="FZ26" s="15" t="str">
        <f t="shared" si="105"/>
        <v>YES</v>
      </c>
      <c r="GA26" s="15" t="str">
        <f t="shared" si="106"/>
        <v>YES</v>
      </c>
      <c r="GB26" s="16" t="str">
        <f t="shared" si="107"/>
        <v>-----</v>
      </c>
      <c r="GC26" s="16" t="str">
        <f t="shared" si="108"/>
        <v>-----</v>
      </c>
      <c r="GD26" s="16" t="str">
        <f t="shared" si="109"/>
        <v>-----</v>
      </c>
      <c r="GE26" s="16" t="str">
        <f t="shared" si="112"/>
        <v>YES</v>
      </c>
      <c r="GF26" s="15" t="str">
        <f t="shared" si="110"/>
        <v>-----</v>
      </c>
      <c r="GG26" s="16" t="str">
        <f t="shared" si="111"/>
        <v>-----</v>
      </c>
      <c r="GH26" s="14"/>
      <c r="GI26" s="5" t="str">
        <f t="shared" si="61"/>
        <v>-----</v>
      </c>
      <c r="GJ26" s="5" t="str">
        <f t="shared" si="62"/>
        <v>-----</v>
      </c>
      <c r="GK26" s="5"/>
      <c r="GL26" s="5" t="str">
        <f t="shared" si="63"/>
        <v>-----</v>
      </c>
      <c r="GM26" s="5" t="str">
        <f t="shared" si="64"/>
        <v>-----</v>
      </c>
      <c r="GN26" s="5"/>
      <c r="GO26" s="12">
        <f t="shared" si="65"/>
        <v>8.8999999999998636E-2</v>
      </c>
      <c r="GP26" s="5">
        <f t="shared" si="97"/>
        <v>0.30473413239575681</v>
      </c>
      <c r="GQ26" s="13" t="str">
        <f t="shared" si="98"/>
        <v>-----</v>
      </c>
      <c r="GR26" s="5"/>
      <c r="GS26">
        <f t="shared" si="99"/>
        <v>1.0489917689021089</v>
      </c>
      <c r="GT26" s="5" t="str">
        <f t="shared" si="100"/>
        <v>-----</v>
      </c>
    </row>
    <row r="27" spans="1:202" x14ac:dyDescent="0.55000000000000004">
      <c r="A27">
        <v>23</v>
      </c>
      <c r="B27" t="s">
        <v>26</v>
      </c>
      <c r="C27" t="s">
        <v>4</v>
      </c>
      <c r="D27" t="s">
        <v>103</v>
      </c>
      <c r="E27">
        <v>153.035</v>
      </c>
      <c r="F27">
        <v>153.13</v>
      </c>
      <c r="G27">
        <v>153.03200000000001</v>
      </c>
      <c r="H27">
        <v>153.07499999999999</v>
      </c>
      <c r="I27">
        <v>395</v>
      </c>
      <c r="J27">
        <v>152.98500000000001</v>
      </c>
      <c r="K27">
        <v>152.90299999999999</v>
      </c>
      <c r="L27">
        <v>153.23500000000001</v>
      </c>
      <c r="M27">
        <v>152.577</v>
      </c>
      <c r="N27">
        <v>152.59800000000001</v>
      </c>
      <c r="O27">
        <v>152.803</v>
      </c>
      <c r="P27">
        <v>0</v>
      </c>
      <c r="Q27">
        <v>0</v>
      </c>
      <c r="R27">
        <v>0</v>
      </c>
      <c r="S27">
        <v>0</v>
      </c>
      <c r="T27">
        <v>0</v>
      </c>
      <c r="U27">
        <v>0.19369</v>
      </c>
      <c r="V27">
        <v>0</v>
      </c>
      <c r="W27">
        <v>153.38057000000001</v>
      </c>
      <c r="X27">
        <v>153.29872</v>
      </c>
      <c r="Y27">
        <v>153.21686</v>
      </c>
      <c r="Z27">
        <v>153.13500999999999</v>
      </c>
      <c r="AA27">
        <v>153.05315999999999</v>
      </c>
      <c r="AB27">
        <v>152.92956000000001</v>
      </c>
      <c r="AC27">
        <v>152.84771000000001</v>
      </c>
      <c r="AD27">
        <v>152.76586</v>
      </c>
      <c r="AE27">
        <v>152.68401</v>
      </c>
      <c r="AF27">
        <v>152.60214999999999</v>
      </c>
      <c r="AG27">
        <v>153.071</v>
      </c>
      <c r="AH27">
        <v>153.01300000000001</v>
      </c>
      <c r="AI27">
        <v>153.071</v>
      </c>
      <c r="AJ27">
        <v>153.196</v>
      </c>
      <c r="AK27">
        <v>153.11799999999999</v>
      </c>
      <c r="AL27">
        <v>153.02799999999999</v>
      </c>
      <c r="AM27" s="11">
        <f t="shared" si="0"/>
        <v>9.7999999999984766E-2</v>
      </c>
      <c r="AN27" s="11">
        <f t="shared" si="66"/>
        <v>9.3999999999994088E-2</v>
      </c>
      <c r="AO27" s="11">
        <f t="shared" si="67"/>
        <v>3.9999999999906777E-3</v>
      </c>
      <c r="AP27" s="11">
        <f t="shared" si="68"/>
        <v>9.7999999999984766E-2</v>
      </c>
      <c r="AR27" s="5" t="str">
        <f t="shared" si="1"/>
        <v>------</v>
      </c>
      <c r="AS27" s="5" t="str">
        <f t="shared" si="2"/>
        <v>------</v>
      </c>
      <c r="AT27" t="str">
        <f t="shared" si="3"/>
        <v/>
      </c>
      <c r="AV27" s="2">
        <f t="shared" si="4"/>
        <v>153.00794775000003</v>
      </c>
      <c r="AW27" s="2">
        <f t="shared" si="5"/>
        <v>152.96205225000003</v>
      </c>
      <c r="AX27" s="2">
        <f t="shared" si="6"/>
        <v>152.92593545</v>
      </c>
      <c r="AY27" s="2">
        <f t="shared" si="7"/>
        <v>152.88006454999999</v>
      </c>
      <c r="AZ27" s="2">
        <f t="shared" si="8"/>
        <v>153.25798525000002</v>
      </c>
      <c r="BA27" s="2">
        <f t="shared" si="9"/>
        <v>153.21201475000001</v>
      </c>
      <c r="BB27" s="2">
        <f t="shared" si="10"/>
        <v>152.59988655000001</v>
      </c>
      <c r="BC27" s="2">
        <f t="shared" si="11"/>
        <v>152.55411344999999</v>
      </c>
      <c r="BD27" s="2">
        <f t="shared" si="12"/>
        <v>152.62088970000002</v>
      </c>
      <c r="BE27" s="2">
        <f t="shared" si="13"/>
        <v>152.57511030000001</v>
      </c>
      <c r="BF27" s="2">
        <f t="shared" si="14"/>
        <v>152.82592045000001</v>
      </c>
      <c r="BG27" s="2">
        <f t="shared" si="15"/>
        <v>152.78007955000001</v>
      </c>
      <c r="BI27" s="5" t="str">
        <f t="shared" si="69"/>
        <v>-----</v>
      </c>
      <c r="BJ27" s="5" t="str">
        <f t="shared" si="70"/>
        <v>-----</v>
      </c>
      <c r="BK27" s="5" t="str">
        <f t="shared" si="71"/>
        <v>-----</v>
      </c>
      <c r="BL27" s="5" t="str">
        <f t="shared" si="72"/>
        <v>-----</v>
      </c>
      <c r="BM27" s="5" t="str">
        <f t="shared" si="73"/>
        <v>-----</v>
      </c>
      <c r="BN27" s="5" t="str">
        <f t="shared" si="74"/>
        <v>-----</v>
      </c>
      <c r="BO27" s="5"/>
      <c r="BP27" s="5">
        <f t="shared" si="114"/>
        <v>1</v>
      </c>
      <c r="BQ27" s="5">
        <f t="shared" si="114"/>
        <v>10</v>
      </c>
      <c r="BR27" s="5">
        <f t="shared" si="114"/>
        <v>21</v>
      </c>
      <c r="BS27" s="5">
        <f t="shared" si="114"/>
        <v>23</v>
      </c>
      <c r="BT27" s="5">
        <f t="shared" si="114"/>
        <v>23</v>
      </c>
      <c r="BU27" s="5">
        <f t="shared" si="114"/>
        <v>23</v>
      </c>
      <c r="BV27" s="5">
        <f t="shared" si="115"/>
        <v>6</v>
      </c>
      <c r="BW27" s="5">
        <f t="shared" si="115"/>
        <v>4</v>
      </c>
      <c r="BX27" s="5">
        <f t="shared" si="115"/>
        <v>2</v>
      </c>
      <c r="BY27" s="5">
        <f t="shared" si="115"/>
        <v>0</v>
      </c>
      <c r="BZ27" s="5">
        <f t="shared" si="115"/>
        <v>0</v>
      </c>
      <c r="CA27" s="5">
        <f t="shared" si="115"/>
        <v>0</v>
      </c>
      <c r="CB27" s="5" t="str">
        <f t="shared" si="102"/>
        <v>-----</v>
      </c>
      <c r="CC27" s="5" t="str">
        <f t="shared" si="101"/>
        <v>-----</v>
      </c>
      <c r="CD27" s="5" t="str">
        <f t="shared" si="101"/>
        <v>-----</v>
      </c>
      <c r="CE27" s="5" t="str">
        <f t="shared" si="101"/>
        <v>-----</v>
      </c>
      <c r="CF27" s="5" t="str">
        <f t="shared" si="101"/>
        <v>-----</v>
      </c>
      <c r="CG27" s="5" t="str">
        <f t="shared" si="101"/>
        <v>-----</v>
      </c>
      <c r="CH27" s="5"/>
      <c r="CI27" s="17" t="str">
        <f t="shared" si="19"/>
        <v>-----</v>
      </c>
      <c r="CJ27" s="17" t="str">
        <f t="shared" si="20"/>
        <v>-----</v>
      </c>
      <c r="CK27" s="17" t="str">
        <f t="shared" si="21"/>
        <v>-----</v>
      </c>
      <c r="CL27" s="17" t="str">
        <f t="shared" si="22"/>
        <v>-----</v>
      </c>
      <c r="CM27" s="17" t="str">
        <f t="shared" si="23"/>
        <v>-----</v>
      </c>
      <c r="CN27" s="17" t="str">
        <f t="shared" si="24"/>
        <v>-----</v>
      </c>
      <c r="CO27" s="5"/>
      <c r="CP27" s="5" t="str">
        <f t="shared" si="77"/>
        <v>-----</v>
      </c>
      <c r="CQ27" s="5" t="str">
        <f t="shared" si="77"/>
        <v>-----</v>
      </c>
      <c r="CR27" s="5" t="str">
        <f t="shared" si="77"/>
        <v>-----</v>
      </c>
      <c r="CS27" s="5" t="str">
        <f t="shared" si="77"/>
        <v>-----</v>
      </c>
      <c r="CT27" s="5" t="str">
        <f t="shared" si="77"/>
        <v>-----</v>
      </c>
      <c r="CU27" s="5" t="str">
        <f t="shared" si="77"/>
        <v>-----</v>
      </c>
      <c r="CV27" s="5"/>
      <c r="CW27" s="17" t="str">
        <f t="shared" si="78"/>
        <v/>
      </c>
      <c r="CX27" s="17" t="str">
        <f t="shared" si="78"/>
        <v/>
      </c>
      <c r="CY27" s="17" t="str">
        <f t="shared" si="78"/>
        <v/>
      </c>
      <c r="CZ27" s="17" t="str">
        <f t="shared" si="78"/>
        <v/>
      </c>
      <c r="DA27" s="17" t="str">
        <f t="shared" si="78"/>
        <v/>
      </c>
      <c r="DB27" s="17" t="str">
        <f t="shared" si="78"/>
        <v/>
      </c>
      <c r="DC27" s="8"/>
      <c r="DD27" s="5">
        <f t="shared" si="27"/>
        <v>0</v>
      </c>
      <c r="DE27" s="17" t="str">
        <f t="shared" si="79"/>
        <v>-----</v>
      </c>
      <c r="DF27" s="5" t="str" cm="1">
        <f t="array" ref="DF27">_xlfn.IFS(DE27=CW27,CP27,DE27=CX27,CQ27,DE27=CY27,CR27,DE27=CZ27,CS27,DE27=DA27,CT27,DE27=DB27,CU27,TRUE,"----- ")</f>
        <v xml:space="preserve">----- </v>
      </c>
      <c r="DG27" s="5"/>
      <c r="DH27" s="5">
        <f t="shared" si="80"/>
        <v>-2.423265306122455E-3</v>
      </c>
      <c r="DI27" s="5">
        <f t="shared" si="81"/>
        <v>-3.7194805194805478E-4</v>
      </c>
      <c r="DJ27" s="5">
        <f t="shared" si="82"/>
        <v>-1.6402721088435472E-3</v>
      </c>
      <c r="DK27" s="5">
        <f t="shared" si="83"/>
        <v>7.6471243042669956E-4</v>
      </c>
      <c r="DL27" s="5">
        <f t="shared" si="84"/>
        <v>-2.3081014223875058E-4</v>
      </c>
      <c r="DM27" s="5">
        <f t="shared" si="85"/>
        <v>1.5802844774273381E-3</v>
      </c>
      <c r="DO27" s="5">
        <f t="shared" si="29"/>
        <v>-1.9079214597220278</v>
      </c>
      <c r="DP27" s="5">
        <f t="shared" si="30"/>
        <v>-0.29295343676527091</v>
      </c>
      <c r="DQ27" s="5">
        <f t="shared" si="31"/>
        <v>-1.2917022253843653</v>
      </c>
      <c r="DR27" s="5">
        <f t="shared" si="32"/>
        <v>0.60228527619529781</v>
      </c>
      <c r="DS27" s="5">
        <f t="shared" si="33"/>
        <v>-0.18179147971962978</v>
      </c>
      <c r="DT27" s="5">
        <f t="shared" si="34"/>
        <v>1.2444775446344229</v>
      </c>
      <c r="DV27" t="str" cm="1">
        <f t="array" ref="DV27">_xlfn.IFS(DO27&gt;3,"Strong + Slope",DO27&gt;1.5,"Moderate + Slope",DO27&gt;0.5,"Sideway + Slope",DO27&gt;=-0.5,"Sideway Flat",DO27&gt;=-1.5,"Sideway - Slope",DO27&gt;=-3,"Moderate - Slope",TRUE,"Strong - Slope")</f>
        <v>Moderate - Slope</v>
      </c>
      <c r="DW27" t="str" cm="1">
        <f t="array" ref="DW27">_xlfn.IFS(DP27&gt;3,"Strong + Slope",DP27&gt;1.5,"Moderate + Slope",DP27&gt;0.5,"Sideway + Slope",DP27&gt;=-0.5,"Sideway Flat",DP27&gt;=-1.5,"Sideway - Slope",DP27&gt;=-3,"Moderate - Slope",TRUE,"Strong - Slope")</f>
        <v>Sideway Flat</v>
      </c>
      <c r="DX27" t="str" cm="1">
        <f t="array" ref="DX27">_xlfn.IFS(DQ27&gt;3,"Strong + Slope",DQ27&gt;1.5,"Moderate + Slope",DQ27&gt;0.5,"Sideway + Slope",DQ27&gt;=-0.5,"Sideway Flat",DQ27&gt;=-1.5,"Sideway - Slope",DQ27&gt;=-3,"Moderate - Slope",TRUE,"Strong - Slope")</f>
        <v>Sideway - Slope</v>
      </c>
      <c r="DY27" t="str" cm="1">
        <f t="array" ref="DY27">_xlfn.IFS(DR27&gt;3,"Strong + Slope",DR27&gt;1.5,"Moderate + Slope",DR27&gt;0.5,"Sideway + Slope",DR27&gt;=-0.5,"Sideway Flat",DR27&gt;=-1.5,"Sideway - Slope",DR27&gt;=-3,"Moderate - Slope",TRUE,"Strong - Slope")</f>
        <v>Sideway + Slope</v>
      </c>
      <c r="DZ27" t="str" cm="1">
        <f t="array" ref="DZ27">_xlfn.IFS(DS27&gt;3,"Strong + Slope",DS27&gt;1.5,"Moderate + Slope",DS27&gt;0.5,"Sideway + Slope",DS27&gt;=-0.5,"Sideway Flat",DS27&gt;=-1.5,"Sideway - Slope",DS27&gt;=-3,"Moderate - Slope",TRUE,"Strong - Slope")</f>
        <v>Sideway Flat</v>
      </c>
      <c r="EA27" t="str" cm="1">
        <f t="array" ref="EA27">_xlfn.IFS(DT27&gt;3,"Strong + Slope",DT27&gt;1.5,"Moderate + Slope",DT27&gt;0.5,"Sideway + Slope",DT27&gt;=-0.5,"Sideway Flat",DT27&gt;=-1.5,"Sideway - Slope",DT27&gt;=-3,"Moderate - Slope",TRUE,"Strong - Slope")</f>
        <v>Sideway + Slope</v>
      </c>
      <c r="EB27" s="5"/>
      <c r="EC27" s="5">
        <f t="shared" si="35"/>
        <v>2</v>
      </c>
      <c r="ED27" s="5">
        <f t="shared" si="36"/>
        <v>3</v>
      </c>
      <c r="EE27" s="5">
        <f t="shared" si="37"/>
        <v>1</v>
      </c>
      <c r="EF27" s="5">
        <f t="shared" si="38"/>
        <v>6</v>
      </c>
      <c r="EG27" s="5">
        <f t="shared" si="39"/>
        <v>5</v>
      </c>
      <c r="EH27" s="5">
        <f t="shared" si="40"/>
        <v>4</v>
      </c>
      <c r="EI27" s="5"/>
      <c r="EJ27" s="5" t="str">
        <f t="shared" si="41"/>
        <v>SUP</v>
      </c>
      <c r="EK27" s="5" t="str">
        <f t="shared" si="42"/>
        <v>SUP</v>
      </c>
      <c r="EL27" s="5" t="str">
        <f t="shared" si="43"/>
        <v>RES</v>
      </c>
      <c r="EM27" s="5" t="str">
        <f t="shared" si="44"/>
        <v>SUP</v>
      </c>
      <c r="EN27" s="5" t="str">
        <f t="shared" si="45"/>
        <v>SUP</v>
      </c>
      <c r="EO27" s="5" t="str">
        <f t="shared" si="46"/>
        <v>SUP</v>
      </c>
      <c r="EP27" s="5"/>
      <c r="EQ27" s="8">
        <f t="shared" si="47"/>
        <v>-5.8794708476220801E-4</v>
      </c>
      <c r="ER27" s="8">
        <f t="shared" si="48"/>
        <v>-1.123632206434735E-3</v>
      </c>
      <c r="ES27" s="8">
        <f t="shared" si="49"/>
        <v>1.0452392617999349E-3</v>
      </c>
      <c r="ET27" s="8">
        <f t="shared" si="50"/>
        <v>-3.2533072023517261E-3</v>
      </c>
      <c r="EU27" s="8">
        <f t="shared" si="51"/>
        <v>-3.116119549240408E-3</v>
      </c>
      <c r="EV27" s="8">
        <f t="shared" si="52"/>
        <v>-1.776906745059555E-3</v>
      </c>
      <c r="EW27" s="8"/>
      <c r="EX27" s="8">
        <f t="shared" si="53"/>
        <v>0.75683890577504365</v>
      </c>
      <c r="EY27" s="9">
        <f t="shared" si="54"/>
        <v>1</v>
      </c>
      <c r="EZ27" s="10">
        <f t="shared" si="55"/>
        <v>5</v>
      </c>
      <c r="FA27" s="8">
        <f t="shared" si="86"/>
        <v>1.0452392617999349E-3</v>
      </c>
      <c r="FB27" s="8">
        <f t="shared" si="87"/>
        <v>-5.8794708476220801E-4</v>
      </c>
      <c r="FC27" s="8">
        <f t="shared" si="88"/>
        <v>-1.123632206434735E-3</v>
      </c>
      <c r="FD27" s="8">
        <f t="shared" si="89"/>
        <v>-1.776906745059555E-3</v>
      </c>
      <c r="FE27" s="8">
        <f t="shared" si="90"/>
        <v>-3.116119549240408E-3</v>
      </c>
      <c r="FF27" s="8">
        <f t="shared" si="91"/>
        <v>-3.2533072023517261E-3</v>
      </c>
      <c r="FG27" s="5"/>
      <c r="FH27" s="5" t="str">
        <f t="shared" si="56"/>
        <v>Flat Momentum</v>
      </c>
      <c r="FI27" s="5" t="str">
        <f t="shared" si="92"/>
        <v>-----</v>
      </c>
      <c r="FJ27" s="5"/>
      <c r="FK27" s="5" t="str">
        <f t="shared" si="93"/>
        <v>-----</v>
      </c>
      <c r="FL27" s="5" t="str">
        <f t="shared" si="94"/>
        <v>-----</v>
      </c>
      <c r="FM27" s="5"/>
      <c r="FN27" s="5"/>
      <c r="FO27" s="8" t="str">
        <f t="shared" si="113"/>
        <v>Bearish</v>
      </c>
      <c r="FP27" s="8"/>
      <c r="FQ27" s="14">
        <f t="shared" si="57"/>
        <v>-3.7890913366994873E-4</v>
      </c>
      <c r="FR27" s="14">
        <f t="shared" si="58"/>
        <v>0.20589146670782713</v>
      </c>
      <c r="FS27" s="14" t="str">
        <f t="shared" si="59"/>
        <v>-----</v>
      </c>
      <c r="FT27" s="14" t="str">
        <f t="shared" si="60"/>
        <v>Bullish</v>
      </c>
      <c r="FU27" s="5" t="str">
        <f t="shared" si="95"/>
        <v>TEMA crossover</v>
      </c>
      <c r="FV27" s="5" t="str">
        <f t="shared" si="96"/>
        <v>-----</v>
      </c>
      <c r="FW27" s="5"/>
      <c r="FX27" s="15" t="str">
        <f t="shared" si="103"/>
        <v>YES</v>
      </c>
      <c r="FY27" s="15" t="str">
        <f t="shared" si="104"/>
        <v>-----</v>
      </c>
      <c r="FZ27" s="15" t="str">
        <f t="shared" si="105"/>
        <v>YES</v>
      </c>
      <c r="GA27" s="15" t="str">
        <f t="shared" si="106"/>
        <v>YES</v>
      </c>
      <c r="GB27" s="16" t="str">
        <f t="shared" si="107"/>
        <v>-----</v>
      </c>
      <c r="GC27" s="16" t="str">
        <f t="shared" si="108"/>
        <v>-----</v>
      </c>
      <c r="GD27" s="16" t="str">
        <f t="shared" si="109"/>
        <v>-----</v>
      </c>
      <c r="GE27" s="16" t="str">
        <f t="shared" si="112"/>
        <v>YES</v>
      </c>
      <c r="GF27" s="15" t="str">
        <f t="shared" si="110"/>
        <v>-----</v>
      </c>
      <c r="GG27" s="16" t="str">
        <f t="shared" si="111"/>
        <v>-----</v>
      </c>
      <c r="GH27" s="14"/>
      <c r="GI27" s="5" t="str">
        <f t="shared" si="61"/>
        <v>-----</v>
      </c>
      <c r="GJ27" s="5" t="str">
        <f t="shared" si="62"/>
        <v>-----</v>
      </c>
      <c r="GK27" s="5"/>
      <c r="GL27" s="5" t="str">
        <f t="shared" si="63"/>
        <v>-----</v>
      </c>
      <c r="GM27" s="5" t="str">
        <f t="shared" si="64"/>
        <v>-----</v>
      </c>
      <c r="GN27" s="5"/>
      <c r="GO27" s="12">
        <f t="shared" si="65"/>
        <v>9.0000000000003411E-2</v>
      </c>
      <c r="GP27" s="5">
        <f t="shared" si="97"/>
        <v>0.32778125165269489</v>
      </c>
      <c r="GQ27" s="13" t="str">
        <f t="shared" si="98"/>
        <v>-----</v>
      </c>
      <c r="GR27" s="5"/>
      <c r="GS27">
        <f t="shared" si="99"/>
        <v>0.68761661406501873</v>
      </c>
      <c r="GT27" s="5" t="str">
        <f t="shared" si="100"/>
        <v>-----</v>
      </c>
    </row>
    <row r="28" spans="1:202" x14ac:dyDescent="0.55000000000000004">
      <c r="A28">
        <v>24</v>
      </c>
      <c r="B28" t="s">
        <v>27</v>
      </c>
      <c r="C28" t="s">
        <v>4</v>
      </c>
      <c r="D28" t="s">
        <v>103</v>
      </c>
      <c r="E28">
        <v>153.07599999999999</v>
      </c>
      <c r="F28">
        <v>153.09700000000001</v>
      </c>
      <c r="G28">
        <v>153.06200000000001</v>
      </c>
      <c r="H28">
        <v>153.072</v>
      </c>
      <c r="I28">
        <v>323</v>
      </c>
      <c r="J28">
        <v>152.983</v>
      </c>
      <c r="K28">
        <v>152.90299999999999</v>
      </c>
      <c r="L28">
        <v>153.233</v>
      </c>
      <c r="M28">
        <v>152.578</v>
      </c>
      <c r="N28">
        <v>152.59800000000001</v>
      </c>
      <c r="O28">
        <v>152.804</v>
      </c>
      <c r="P28">
        <v>0</v>
      </c>
      <c r="Q28">
        <v>0</v>
      </c>
      <c r="R28">
        <v>0</v>
      </c>
      <c r="S28">
        <v>0</v>
      </c>
      <c r="T28">
        <v>0</v>
      </c>
      <c r="U28">
        <v>1.01817</v>
      </c>
      <c r="V28">
        <v>3</v>
      </c>
      <c r="W28">
        <v>153.37817999999999</v>
      </c>
      <c r="X28">
        <v>153.29649000000001</v>
      </c>
      <c r="Y28">
        <v>153.21481</v>
      </c>
      <c r="Z28">
        <v>153.13311999999999</v>
      </c>
      <c r="AA28">
        <v>153.05144000000001</v>
      </c>
      <c r="AB28">
        <v>152.93084999999999</v>
      </c>
      <c r="AC28">
        <v>152.84916000000001</v>
      </c>
      <c r="AD28">
        <v>152.76748000000001</v>
      </c>
      <c r="AE28">
        <v>152.68579</v>
      </c>
      <c r="AF28">
        <v>152.60410999999999</v>
      </c>
      <c r="AG28">
        <v>153.08199999999999</v>
      </c>
      <c r="AH28">
        <v>153.024</v>
      </c>
      <c r="AI28">
        <v>153.071</v>
      </c>
      <c r="AJ28">
        <v>153.19200000000001</v>
      </c>
      <c r="AK28">
        <v>153.114</v>
      </c>
      <c r="AL28">
        <v>153.054</v>
      </c>
      <c r="AM28" s="11">
        <f t="shared" si="0"/>
        <v>3.4999999999996589E-2</v>
      </c>
      <c r="AN28" s="11">
        <f t="shared" si="66"/>
        <v>2.2000000000019782E-2</v>
      </c>
      <c r="AO28" s="11">
        <f t="shared" si="67"/>
        <v>1.2999999999976808E-2</v>
      </c>
      <c r="AP28" s="11">
        <f t="shared" si="68"/>
        <v>3.4999999999996589E-2</v>
      </c>
      <c r="AR28" s="5" t="str">
        <f t="shared" si="1"/>
        <v>------</v>
      </c>
      <c r="AS28" s="5" t="str">
        <f t="shared" si="2"/>
        <v>------</v>
      </c>
      <c r="AT28" t="str">
        <f t="shared" si="3"/>
        <v/>
      </c>
      <c r="AV28" s="2">
        <f t="shared" si="4"/>
        <v>153.00594745000001</v>
      </c>
      <c r="AW28" s="2">
        <f t="shared" si="5"/>
        <v>152.96005255</v>
      </c>
      <c r="AX28" s="2">
        <f t="shared" si="6"/>
        <v>152.92593545</v>
      </c>
      <c r="AY28" s="2">
        <f t="shared" si="7"/>
        <v>152.88006454999999</v>
      </c>
      <c r="AZ28" s="2">
        <f t="shared" si="8"/>
        <v>153.25598495000003</v>
      </c>
      <c r="BA28" s="2">
        <f t="shared" si="9"/>
        <v>153.21001505000001</v>
      </c>
      <c r="BB28" s="2">
        <f t="shared" si="10"/>
        <v>152.60088670000002</v>
      </c>
      <c r="BC28" s="2">
        <f t="shared" si="11"/>
        <v>152.55511330000002</v>
      </c>
      <c r="BD28" s="2">
        <f t="shared" si="12"/>
        <v>152.62088970000002</v>
      </c>
      <c r="BE28" s="2">
        <f t="shared" si="13"/>
        <v>152.57511030000001</v>
      </c>
      <c r="BF28" s="2">
        <f t="shared" si="14"/>
        <v>152.82692060000002</v>
      </c>
      <c r="BG28" s="2">
        <f t="shared" si="15"/>
        <v>152.78107940000001</v>
      </c>
      <c r="BI28" s="5" t="str">
        <f t="shared" si="69"/>
        <v>-----</v>
      </c>
      <c r="BJ28" s="5" t="str">
        <f t="shared" si="70"/>
        <v>-----</v>
      </c>
      <c r="BK28" s="5" t="str">
        <f t="shared" si="71"/>
        <v>-----</v>
      </c>
      <c r="BL28" s="5" t="str">
        <f t="shared" si="72"/>
        <v>-----</v>
      </c>
      <c r="BM28" s="5" t="str">
        <f t="shared" si="73"/>
        <v>-----</v>
      </c>
      <c r="BN28" s="5" t="str">
        <f t="shared" si="74"/>
        <v>-----</v>
      </c>
      <c r="BO28" s="5"/>
      <c r="BP28" s="5">
        <f t="shared" si="114"/>
        <v>2</v>
      </c>
      <c r="BQ28" s="5">
        <f t="shared" si="114"/>
        <v>11</v>
      </c>
      <c r="BR28" s="5">
        <f t="shared" si="114"/>
        <v>22</v>
      </c>
      <c r="BS28" s="5">
        <f t="shared" si="114"/>
        <v>24</v>
      </c>
      <c r="BT28" s="5">
        <f t="shared" si="114"/>
        <v>24</v>
      </c>
      <c r="BU28" s="5">
        <f t="shared" si="114"/>
        <v>24</v>
      </c>
      <c r="BV28" s="5">
        <f t="shared" si="115"/>
        <v>6</v>
      </c>
      <c r="BW28" s="5">
        <f t="shared" si="115"/>
        <v>4</v>
      </c>
      <c r="BX28" s="5">
        <f t="shared" si="115"/>
        <v>2</v>
      </c>
      <c r="BY28" s="5">
        <f t="shared" si="115"/>
        <v>0</v>
      </c>
      <c r="BZ28" s="5">
        <f t="shared" si="115"/>
        <v>0</v>
      </c>
      <c r="CA28" s="5">
        <f t="shared" si="115"/>
        <v>0</v>
      </c>
      <c r="CB28" s="5" t="str">
        <f t="shared" si="102"/>
        <v>-----</v>
      </c>
      <c r="CC28" s="5" t="str">
        <f t="shared" si="101"/>
        <v>-----</v>
      </c>
      <c r="CD28" s="5" t="str">
        <f t="shared" si="101"/>
        <v>-----</v>
      </c>
      <c r="CE28" s="5" t="str">
        <f t="shared" si="101"/>
        <v>-----</v>
      </c>
      <c r="CF28" s="5" t="str">
        <f t="shared" si="101"/>
        <v>-----</v>
      </c>
      <c r="CG28" s="5" t="str">
        <f t="shared" si="101"/>
        <v>-----</v>
      </c>
      <c r="CH28" s="5"/>
      <c r="CI28" s="17" t="str">
        <f t="shared" si="19"/>
        <v>-----</v>
      </c>
      <c r="CJ28" s="17" t="str">
        <f t="shared" si="20"/>
        <v>-----</v>
      </c>
      <c r="CK28" s="17" t="str">
        <f t="shared" si="21"/>
        <v>-----</v>
      </c>
      <c r="CL28" s="17" t="str">
        <f t="shared" si="22"/>
        <v>-----</v>
      </c>
      <c r="CM28" s="17" t="str">
        <f t="shared" si="23"/>
        <v>-----</v>
      </c>
      <c r="CN28" s="17" t="str">
        <f t="shared" si="24"/>
        <v>-----</v>
      </c>
      <c r="CO28" s="5"/>
      <c r="CP28" s="5" t="str">
        <f t="shared" si="77"/>
        <v>-----</v>
      </c>
      <c r="CQ28" s="5" t="str">
        <f t="shared" si="77"/>
        <v>-----</v>
      </c>
      <c r="CR28" s="5" t="str">
        <f t="shared" si="77"/>
        <v>-----</v>
      </c>
      <c r="CS28" s="5" t="str">
        <f t="shared" si="77"/>
        <v>-----</v>
      </c>
      <c r="CT28" s="5" t="str">
        <f t="shared" si="77"/>
        <v>-----</v>
      </c>
      <c r="CU28" s="5" t="str">
        <f t="shared" si="77"/>
        <v>-----</v>
      </c>
      <c r="CV28" s="5"/>
      <c r="CW28" s="17" t="str">
        <f t="shared" si="78"/>
        <v/>
      </c>
      <c r="CX28" s="17" t="str">
        <f t="shared" si="78"/>
        <v/>
      </c>
      <c r="CY28" s="17" t="str">
        <f t="shared" si="78"/>
        <v/>
      </c>
      <c r="CZ28" s="17" t="str">
        <f t="shared" si="78"/>
        <v/>
      </c>
      <c r="DA28" s="17" t="str">
        <f t="shared" si="78"/>
        <v/>
      </c>
      <c r="DB28" s="17" t="str">
        <f t="shared" si="78"/>
        <v/>
      </c>
      <c r="DC28" s="8"/>
      <c r="DD28" s="5">
        <f t="shared" si="27"/>
        <v>0</v>
      </c>
      <c r="DE28" s="17" t="str">
        <f t="shared" si="79"/>
        <v>-----</v>
      </c>
      <c r="DF28" s="5" t="str" cm="1">
        <f t="array" ref="DF28">_xlfn.IFS(DE28=CW28,CP28,DE28=CX28,CQ28,DE28=CY28,CR28,DE28=CZ28,CS28,DE28=DA28,CT28,DE28=DB28,CU28,TRUE,"----- ")</f>
        <v xml:space="preserve">----- </v>
      </c>
      <c r="DG28" s="5"/>
      <c r="DH28" s="5">
        <f t="shared" si="80"/>
        <v>-2.423265306122455E-3</v>
      </c>
      <c r="DI28" s="5">
        <f t="shared" si="81"/>
        <v>-3.7194805194805478E-4</v>
      </c>
      <c r="DJ28" s="5">
        <f t="shared" si="82"/>
        <v>-1.6402721088435472E-3</v>
      </c>
      <c r="DK28" s="5">
        <f t="shared" si="83"/>
        <v>7.6471243042669956E-4</v>
      </c>
      <c r="DL28" s="5">
        <f t="shared" si="84"/>
        <v>-2.3081014223875058E-4</v>
      </c>
      <c r="DM28" s="5">
        <f t="shared" si="85"/>
        <v>1.5802844774273381E-3</v>
      </c>
      <c r="DO28" s="5">
        <f t="shared" si="29"/>
        <v>-1.9079214597220278</v>
      </c>
      <c r="DP28" s="5">
        <f t="shared" si="30"/>
        <v>-0.29295343676527091</v>
      </c>
      <c r="DQ28" s="5">
        <f t="shared" si="31"/>
        <v>-1.2917022253843653</v>
      </c>
      <c r="DR28" s="5">
        <f t="shared" si="32"/>
        <v>0.60228527619529781</v>
      </c>
      <c r="DS28" s="5">
        <f t="shared" si="33"/>
        <v>-0.18179147971962978</v>
      </c>
      <c r="DT28" s="5">
        <f t="shared" si="34"/>
        <v>1.2444775446344229</v>
      </c>
      <c r="DV28" t="str" cm="1">
        <f t="array" ref="DV28">_xlfn.IFS(DO28&gt;3,"Strong + Slope",DO28&gt;1.5,"Moderate + Slope",DO28&gt;0.5,"Sideway + Slope",DO28&gt;=-0.5,"Sideway Flat",DO28&gt;=-1.5,"Sideway - Slope",DO28&gt;=-3,"Moderate - Slope",TRUE,"Strong - Slope")</f>
        <v>Moderate - Slope</v>
      </c>
      <c r="DW28" t="str" cm="1">
        <f t="array" ref="DW28">_xlfn.IFS(DP28&gt;3,"Strong + Slope",DP28&gt;1.5,"Moderate + Slope",DP28&gt;0.5,"Sideway + Slope",DP28&gt;=-0.5,"Sideway Flat",DP28&gt;=-1.5,"Sideway - Slope",DP28&gt;=-3,"Moderate - Slope",TRUE,"Strong - Slope")</f>
        <v>Sideway Flat</v>
      </c>
      <c r="DX28" t="str" cm="1">
        <f t="array" ref="DX28">_xlfn.IFS(DQ28&gt;3,"Strong + Slope",DQ28&gt;1.5,"Moderate + Slope",DQ28&gt;0.5,"Sideway + Slope",DQ28&gt;=-0.5,"Sideway Flat",DQ28&gt;=-1.5,"Sideway - Slope",DQ28&gt;=-3,"Moderate - Slope",TRUE,"Strong - Slope")</f>
        <v>Sideway - Slope</v>
      </c>
      <c r="DY28" t="str" cm="1">
        <f t="array" ref="DY28">_xlfn.IFS(DR28&gt;3,"Strong + Slope",DR28&gt;1.5,"Moderate + Slope",DR28&gt;0.5,"Sideway + Slope",DR28&gt;=-0.5,"Sideway Flat",DR28&gt;=-1.5,"Sideway - Slope",DR28&gt;=-3,"Moderate - Slope",TRUE,"Strong - Slope")</f>
        <v>Sideway + Slope</v>
      </c>
      <c r="DZ28" t="str" cm="1">
        <f t="array" ref="DZ28">_xlfn.IFS(DS28&gt;3,"Strong + Slope",DS28&gt;1.5,"Moderate + Slope",DS28&gt;0.5,"Sideway + Slope",DS28&gt;=-0.5,"Sideway Flat",DS28&gt;=-1.5,"Sideway - Slope",DS28&gt;=-3,"Moderate - Slope",TRUE,"Strong - Slope")</f>
        <v>Sideway Flat</v>
      </c>
      <c r="EA28" t="str" cm="1">
        <f t="array" ref="EA28">_xlfn.IFS(DT28&gt;3,"Strong + Slope",DT28&gt;1.5,"Moderate + Slope",DT28&gt;0.5,"Sideway + Slope",DT28&gt;=-0.5,"Sideway Flat",DT28&gt;=-1.5,"Sideway - Slope",DT28&gt;=-3,"Moderate - Slope",TRUE,"Strong - Slope")</f>
        <v>Sideway + Slope</v>
      </c>
      <c r="EB28" s="5"/>
      <c r="EC28" s="5">
        <f t="shared" si="35"/>
        <v>2</v>
      </c>
      <c r="ED28" s="5">
        <f t="shared" si="36"/>
        <v>3</v>
      </c>
      <c r="EE28" s="5">
        <f t="shared" si="37"/>
        <v>1</v>
      </c>
      <c r="EF28" s="5">
        <f t="shared" si="38"/>
        <v>6</v>
      </c>
      <c r="EG28" s="5">
        <f t="shared" si="39"/>
        <v>5</v>
      </c>
      <c r="EH28" s="5">
        <f t="shared" si="40"/>
        <v>4</v>
      </c>
      <c r="EI28" s="5"/>
      <c r="EJ28" s="5" t="str">
        <f t="shared" si="41"/>
        <v>SUP</v>
      </c>
      <c r="EK28" s="5" t="str">
        <f t="shared" si="42"/>
        <v>SUP</v>
      </c>
      <c r="EL28" s="5" t="str">
        <f t="shared" si="43"/>
        <v>RES</v>
      </c>
      <c r="EM28" s="5" t="str">
        <f t="shared" si="44"/>
        <v>SUP</v>
      </c>
      <c r="EN28" s="5" t="str">
        <f t="shared" si="45"/>
        <v>SUP</v>
      </c>
      <c r="EO28" s="5" t="str">
        <f t="shared" si="46"/>
        <v>SUP</v>
      </c>
      <c r="EP28" s="5"/>
      <c r="EQ28" s="8">
        <f t="shared" si="47"/>
        <v>-5.8142573429496337E-4</v>
      </c>
      <c r="ER28" s="8">
        <f t="shared" si="48"/>
        <v>-1.1040556078186156E-3</v>
      </c>
      <c r="ES28" s="8">
        <f t="shared" si="49"/>
        <v>1.0517926204661947E-3</v>
      </c>
      <c r="ET28" s="8">
        <f t="shared" si="50"/>
        <v>-3.227239469008047E-3</v>
      </c>
      <c r="EU28" s="8">
        <f t="shared" si="51"/>
        <v>-3.0965820006270874E-3</v>
      </c>
      <c r="EV28" s="8">
        <f t="shared" si="52"/>
        <v>-1.750810076303966E-3</v>
      </c>
      <c r="EW28" s="8"/>
      <c r="EX28" s="8">
        <f t="shared" si="53"/>
        <v>0.75419847328244105</v>
      </c>
      <c r="EY28" s="9">
        <f t="shared" si="54"/>
        <v>1</v>
      </c>
      <c r="EZ28" s="10">
        <f t="shared" si="55"/>
        <v>5</v>
      </c>
      <c r="FA28" s="8">
        <f t="shared" si="86"/>
        <v>1.0517926204661947E-3</v>
      </c>
      <c r="FB28" s="8">
        <f t="shared" si="87"/>
        <v>-5.8142573429496337E-4</v>
      </c>
      <c r="FC28" s="8">
        <f t="shared" si="88"/>
        <v>-1.1040556078186156E-3</v>
      </c>
      <c r="FD28" s="8">
        <f t="shared" si="89"/>
        <v>-1.750810076303966E-3</v>
      </c>
      <c r="FE28" s="8">
        <f t="shared" si="90"/>
        <v>-3.0965820006270874E-3</v>
      </c>
      <c r="FF28" s="8">
        <f t="shared" si="91"/>
        <v>-3.227239469008047E-3</v>
      </c>
      <c r="FG28" s="5"/>
      <c r="FH28" s="5" t="str">
        <f t="shared" si="56"/>
        <v>Flat Momentum</v>
      </c>
      <c r="FI28" s="5" t="str">
        <f t="shared" si="92"/>
        <v>-----</v>
      </c>
      <c r="FJ28" s="5"/>
      <c r="FK28" s="5" t="str">
        <f t="shared" si="93"/>
        <v>-----</v>
      </c>
      <c r="FL28" s="5" t="str">
        <f t="shared" si="94"/>
        <v>-----</v>
      </c>
      <c r="FM28" s="5"/>
      <c r="FN28" s="5"/>
      <c r="FO28" s="8" t="str">
        <f t="shared" si="113"/>
        <v>Bearish</v>
      </c>
      <c r="FP28" s="8"/>
      <c r="FQ28" s="14">
        <f t="shared" si="57"/>
        <v>-3.0704705659463286E-4</v>
      </c>
      <c r="FR28" s="14">
        <f t="shared" si="58"/>
        <v>0.41314548966441245</v>
      </c>
      <c r="FS28" s="14" t="str">
        <f t="shared" si="59"/>
        <v>-----</v>
      </c>
      <c r="FT28" s="14" t="str">
        <f t="shared" si="60"/>
        <v>Bullish</v>
      </c>
      <c r="FU28" s="5" t="str">
        <f t="shared" si="95"/>
        <v>-----</v>
      </c>
      <c r="FV28" s="5" t="str">
        <f t="shared" si="96"/>
        <v>TEMA crossunder</v>
      </c>
      <c r="FW28" s="5"/>
      <c r="FX28" s="15" t="str">
        <f t="shared" si="103"/>
        <v>YES</v>
      </c>
      <c r="FY28" s="15" t="str">
        <f t="shared" si="104"/>
        <v>-----</v>
      </c>
      <c r="FZ28" s="15" t="str">
        <f t="shared" si="105"/>
        <v>YES</v>
      </c>
      <c r="GA28" s="15" t="str">
        <f t="shared" si="106"/>
        <v>YES</v>
      </c>
      <c r="GB28" s="16" t="str">
        <f t="shared" si="107"/>
        <v>-----</v>
      </c>
      <c r="GC28" s="16" t="str">
        <f t="shared" si="108"/>
        <v>-----</v>
      </c>
      <c r="GD28" s="16" t="str">
        <f t="shared" si="109"/>
        <v>-----</v>
      </c>
      <c r="GE28" s="16" t="str">
        <f t="shared" si="112"/>
        <v>YES</v>
      </c>
      <c r="GF28" s="15" t="str">
        <f t="shared" si="110"/>
        <v>-----</v>
      </c>
      <c r="GG28" s="16" t="str">
        <f t="shared" si="111"/>
        <v>-----</v>
      </c>
      <c r="GH28" s="14"/>
      <c r="GI28" s="5" t="str">
        <f t="shared" si="61"/>
        <v>-----</v>
      </c>
      <c r="GJ28" s="5" t="str">
        <f t="shared" si="62"/>
        <v>-----</v>
      </c>
      <c r="GK28" s="5"/>
      <c r="GL28" s="5" t="str">
        <f t="shared" si="63"/>
        <v>-----</v>
      </c>
      <c r="GM28" s="5" t="str">
        <f t="shared" si="64"/>
        <v>-----</v>
      </c>
      <c r="GN28" s="5"/>
      <c r="GO28" s="12">
        <f t="shared" si="65"/>
        <v>6.0000000000002274E-2</v>
      </c>
      <c r="GP28" s="5">
        <f t="shared" si="97"/>
        <v>-0.36363232605217127</v>
      </c>
      <c r="GQ28" s="13" t="str">
        <f t="shared" si="98"/>
        <v>-----</v>
      </c>
      <c r="GR28" s="5"/>
      <c r="GS28">
        <f t="shared" si="99"/>
        <v>0.22299141498875991</v>
      </c>
      <c r="GT28" s="5" t="str">
        <f t="shared" si="100"/>
        <v>-----</v>
      </c>
    </row>
    <row r="29" spans="1:202" x14ac:dyDescent="0.55000000000000004">
      <c r="A29">
        <v>25</v>
      </c>
      <c r="B29" t="s">
        <v>28</v>
      </c>
      <c r="C29" t="s">
        <v>4</v>
      </c>
      <c r="D29" t="s">
        <v>103</v>
      </c>
      <c r="E29">
        <v>153.072</v>
      </c>
      <c r="F29">
        <v>153.07400000000001</v>
      </c>
      <c r="G29">
        <v>152.946</v>
      </c>
      <c r="H29">
        <v>152.95099999999999</v>
      </c>
      <c r="I29">
        <v>368</v>
      </c>
      <c r="J29">
        <v>152.97999999999999</v>
      </c>
      <c r="K29">
        <v>152.90199999999999</v>
      </c>
      <c r="L29">
        <v>153.232</v>
      </c>
      <c r="M29">
        <v>152.578</v>
      </c>
      <c r="N29">
        <v>152.59700000000001</v>
      </c>
      <c r="O29">
        <v>152.80600000000001</v>
      </c>
      <c r="P29">
        <v>0</v>
      </c>
      <c r="Q29">
        <v>0</v>
      </c>
      <c r="R29">
        <v>0</v>
      </c>
      <c r="S29">
        <v>0</v>
      </c>
      <c r="T29">
        <v>0</v>
      </c>
      <c r="U29">
        <v>1.6609799999999999</v>
      </c>
      <c r="V29">
        <v>4</v>
      </c>
      <c r="W29">
        <v>153.37835000000001</v>
      </c>
      <c r="X29">
        <v>153.29613000000001</v>
      </c>
      <c r="Y29">
        <v>153.21391</v>
      </c>
      <c r="Z29">
        <v>153.1317</v>
      </c>
      <c r="AA29">
        <v>153.04947999999999</v>
      </c>
      <c r="AB29">
        <v>152.93064000000001</v>
      </c>
      <c r="AC29">
        <v>152.84842</v>
      </c>
      <c r="AD29">
        <v>152.76621</v>
      </c>
      <c r="AE29">
        <v>152.68398999999999</v>
      </c>
      <c r="AF29">
        <v>152.60177999999999</v>
      </c>
      <c r="AG29">
        <v>153.04499999999999</v>
      </c>
      <c r="AH29">
        <v>153.02500000000001</v>
      </c>
      <c r="AI29">
        <v>153.065</v>
      </c>
      <c r="AJ29">
        <v>153.18799999999999</v>
      </c>
      <c r="AK29">
        <v>153.09899999999999</v>
      </c>
      <c r="AL29">
        <v>153.012</v>
      </c>
      <c r="AM29" s="11">
        <f t="shared" si="0"/>
        <v>0.12800000000001432</v>
      </c>
      <c r="AN29" s="11">
        <f t="shared" si="66"/>
        <v>2.0000000000095497E-3</v>
      </c>
      <c r="AO29" s="11">
        <f t="shared" si="67"/>
        <v>0.12600000000000477</v>
      </c>
      <c r="AP29" s="11">
        <f t="shared" si="68"/>
        <v>0.12800000000001432</v>
      </c>
      <c r="AR29" s="5" t="str">
        <f t="shared" si="1"/>
        <v>------</v>
      </c>
      <c r="AS29" s="5" t="str">
        <f t="shared" si="2"/>
        <v>------</v>
      </c>
      <c r="AT29" t="str">
        <f t="shared" si="3"/>
        <v/>
      </c>
      <c r="AV29" s="2">
        <f t="shared" si="4"/>
        <v>153.00294700000001</v>
      </c>
      <c r="AW29" s="2">
        <f t="shared" si="5"/>
        <v>152.957053</v>
      </c>
      <c r="AX29" s="2">
        <f t="shared" si="6"/>
        <v>152.92493529999999</v>
      </c>
      <c r="AY29" s="2">
        <f t="shared" si="7"/>
        <v>152.87906469999999</v>
      </c>
      <c r="AZ29" s="2">
        <f t="shared" si="8"/>
        <v>153.25498480000002</v>
      </c>
      <c r="BA29" s="2">
        <f t="shared" si="9"/>
        <v>153.20901520000001</v>
      </c>
      <c r="BB29" s="2">
        <f t="shared" si="10"/>
        <v>152.60088670000002</v>
      </c>
      <c r="BC29" s="2">
        <f t="shared" si="11"/>
        <v>152.55511330000002</v>
      </c>
      <c r="BD29" s="2">
        <f t="shared" si="12"/>
        <v>152.61988955000001</v>
      </c>
      <c r="BE29" s="2">
        <f t="shared" si="13"/>
        <v>152.57411045000001</v>
      </c>
      <c r="BF29" s="2">
        <f t="shared" si="14"/>
        <v>152.82892090000001</v>
      </c>
      <c r="BG29" s="2">
        <f t="shared" si="15"/>
        <v>152.78307910000001</v>
      </c>
      <c r="BI29" s="5" t="str">
        <f t="shared" si="69"/>
        <v>TOUCH</v>
      </c>
      <c r="BJ29" s="5" t="str">
        <f t="shared" si="70"/>
        <v>-----</v>
      </c>
      <c r="BK29" s="5" t="str">
        <f t="shared" si="71"/>
        <v>-----</v>
      </c>
      <c r="BL29" s="5" t="str">
        <f t="shared" si="72"/>
        <v>-----</v>
      </c>
      <c r="BM29" s="5" t="str">
        <f t="shared" si="73"/>
        <v>-----</v>
      </c>
      <c r="BN29" s="5" t="str">
        <f t="shared" si="74"/>
        <v>-----</v>
      </c>
      <c r="BO29" s="5"/>
      <c r="BP29" s="5">
        <f t="shared" si="114"/>
        <v>0</v>
      </c>
      <c r="BQ29" s="5">
        <f t="shared" si="114"/>
        <v>12</v>
      </c>
      <c r="BR29" s="5">
        <f t="shared" si="114"/>
        <v>23</v>
      </c>
      <c r="BS29" s="5">
        <f t="shared" si="114"/>
        <v>25</v>
      </c>
      <c r="BT29" s="5">
        <f t="shared" si="114"/>
        <v>25</v>
      </c>
      <c r="BU29" s="5">
        <f t="shared" si="114"/>
        <v>25</v>
      </c>
      <c r="BV29" s="5">
        <f t="shared" si="115"/>
        <v>7</v>
      </c>
      <c r="BW29" s="5">
        <f t="shared" si="115"/>
        <v>4</v>
      </c>
      <c r="BX29" s="5">
        <f t="shared" si="115"/>
        <v>2</v>
      </c>
      <c r="BY29" s="5">
        <f t="shared" si="115"/>
        <v>0</v>
      </c>
      <c r="BZ29" s="5">
        <f t="shared" si="115"/>
        <v>0</v>
      </c>
      <c r="CA29" s="5">
        <f t="shared" si="115"/>
        <v>0</v>
      </c>
      <c r="CB29" s="5">
        <f t="shared" si="102"/>
        <v>7</v>
      </c>
      <c r="CC29" s="5" t="str">
        <f t="shared" si="101"/>
        <v>-----</v>
      </c>
      <c r="CD29" s="5" t="str">
        <f t="shared" si="101"/>
        <v>-----</v>
      </c>
      <c r="CE29" s="5" t="str">
        <f t="shared" si="101"/>
        <v>-----</v>
      </c>
      <c r="CF29" s="5" t="str">
        <f t="shared" si="101"/>
        <v>-----</v>
      </c>
      <c r="CG29" s="5" t="str">
        <f t="shared" si="101"/>
        <v>-----</v>
      </c>
      <c r="CH29" s="5"/>
      <c r="CI29" s="17">
        <f t="shared" si="19"/>
        <v>-1.8956726369457683E-4</v>
      </c>
      <c r="CJ29" s="17" t="str">
        <f t="shared" si="20"/>
        <v>-----</v>
      </c>
      <c r="CK29" s="17" t="str">
        <f t="shared" si="21"/>
        <v>-----</v>
      </c>
      <c r="CL29" s="17" t="str">
        <f t="shared" si="22"/>
        <v>-----</v>
      </c>
      <c r="CM29" s="17" t="str">
        <f t="shared" si="23"/>
        <v>-----</v>
      </c>
      <c r="CN29" s="17" t="str">
        <f t="shared" si="24"/>
        <v>-----</v>
      </c>
      <c r="CO29" s="5"/>
      <c r="CP29" s="5" t="str">
        <f t="shared" si="77"/>
        <v>Resistant</v>
      </c>
      <c r="CQ29" s="5" t="str">
        <f t="shared" si="77"/>
        <v>-----</v>
      </c>
      <c r="CR29" s="5" t="str">
        <f t="shared" si="77"/>
        <v>-----</v>
      </c>
      <c r="CS29" s="5" t="str">
        <f t="shared" si="77"/>
        <v>-----</v>
      </c>
      <c r="CT29" s="5" t="str">
        <f t="shared" si="77"/>
        <v>-----</v>
      </c>
      <c r="CU29" s="5" t="str">
        <f t="shared" si="77"/>
        <v>-----</v>
      </c>
      <c r="CV29" s="5"/>
      <c r="CW29" s="17">
        <f t="shared" si="78"/>
        <v>1.8956726369457683E-4</v>
      </c>
      <c r="CX29" s="17" t="str">
        <f t="shared" si="78"/>
        <v/>
      </c>
      <c r="CY29" s="17" t="str">
        <f t="shared" si="78"/>
        <v/>
      </c>
      <c r="CZ29" s="17" t="str">
        <f t="shared" si="78"/>
        <v/>
      </c>
      <c r="DA29" s="17" t="str">
        <f t="shared" si="78"/>
        <v/>
      </c>
      <c r="DB29" s="17" t="str">
        <f t="shared" si="78"/>
        <v/>
      </c>
      <c r="DC29" s="8"/>
      <c r="DD29" s="5">
        <f t="shared" si="27"/>
        <v>1</v>
      </c>
      <c r="DE29" s="17">
        <f t="shared" si="79"/>
        <v>1.8956726369457683E-4</v>
      </c>
      <c r="DF29" s="5" t="str" cm="1">
        <f t="array" ref="DF29">_xlfn.IFS(DE29=CW29,CP29,DE29=CX29,CQ29,DE29=CY29,CR29,DE29=CZ29,CS29,DE29=DA29,CT29,DE29=DB29,CU29,TRUE,"----- ")</f>
        <v>Resistant</v>
      </c>
      <c r="DG29" s="5"/>
      <c r="DH29" s="5">
        <f t="shared" si="80"/>
        <v>-2.423265306122455E-3</v>
      </c>
      <c r="DI29" s="5">
        <f t="shared" si="81"/>
        <v>-3.7194805194805478E-4</v>
      </c>
      <c r="DJ29" s="5">
        <f t="shared" si="82"/>
        <v>-1.6402721088435472E-3</v>
      </c>
      <c r="DK29" s="5">
        <f t="shared" si="83"/>
        <v>7.6471243042669956E-4</v>
      </c>
      <c r="DL29" s="5">
        <f t="shared" si="84"/>
        <v>-2.3081014223875058E-4</v>
      </c>
      <c r="DM29" s="5">
        <f t="shared" si="85"/>
        <v>1.5802844774273381E-3</v>
      </c>
      <c r="DO29" s="5">
        <f t="shared" si="29"/>
        <v>-1.9079214597220278</v>
      </c>
      <c r="DP29" s="5">
        <f t="shared" si="30"/>
        <v>-0.29295343676527091</v>
      </c>
      <c r="DQ29" s="5">
        <f t="shared" si="31"/>
        <v>-1.2917022253843653</v>
      </c>
      <c r="DR29" s="5">
        <f t="shared" si="32"/>
        <v>0.60228527619529781</v>
      </c>
      <c r="DS29" s="5">
        <f t="shared" si="33"/>
        <v>-0.18179147971962978</v>
      </c>
      <c r="DT29" s="5">
        <f t="shared" si="34"/>
        <v>1.2444775446344229</v>
      </c>
      <c r="DV29" t="str" cm="1">
        <f t="array" ref="DV29">_xlfn.IFS(DO29&gt;3,"Strong + Slope",DO29&gt;1.5,"Moderate + Slope",DO29&gt;0.5,"Sideway + Slope",DO29&gt;=-0.5,"Sideway Flat",DO29&gt;=-1.5,"Sideway - Slope",DO29&gt;=-3,"Moderate - Slope",TRUE,"Strong - Slope")</f>
        <v>Moderate - Slope</v>
      </c>
      <c r="DW29" t="str" cm="1">
        <f t="array" ref="DW29">_xlfn.IFS(DP29&gt;3,"Strong + Slope",DP29&gt;1.5,"Moderate + Slope",DP29&gt;0.5,"Sideway + Slope",DP29&gt;=-0.5,"Sideway Flat",DP29&gt;=-1.5,"Sideway - Slope",DP29&gt;=-3,"Moderate - Slope",TRUE,"Strong - Slope")</f>
        <v>Sideway Flat</v>
      </c>
      <c r="DX29" t="str" cm="1">
        <f t="array" ref="DX29">_xlfn.IFS(DQ29&gt;3,"Strong + Slope",DQ29&gt;1.5,"Moderate + Slope",DQ29&gt;0.5,"Sideway + Slope",DQ29&gt;=-0.5,"Sideway Flat",DQ29&gt;=-1.5,"Sideway - Slope",DQ29&gt;=-3,"Moderate - Slope",TRUE,"Strong - Slope")</f>
        <v>Sideway - Slope</v>
      </c>
      <c r="DY29" t="str" cm="1">
        <f t="array" ref="DY29">_xlfn.IFS(DR29&gt;3,"Strong + Slope",DR29&gt;1.5,"Moderate + Slope",DR29&gt;0.5,"Sideway + Slope",DR29&gt;=-0.5,"Sideway Flat",DR29&gt;=-1.5,"Sideway - Slope",DR29&gt;=-3,"Moderate - Slope",TRUE,"Strong - Slope")</f>
        <v>Sideway + Slope</v>
      </c>
      <c r="DZ29" t="str" cm="1">
        <f t="array" ref="DZ29">_xlfn.IFS(DS29&gt;3,"Strong + Slope",DS29&gt;1.5,"Moderate + Slope",DS29&gt;0.5,"Sideway + Slope",DS29&gt;=-0.5,"Sideway Flat",DS29&gt;=-1.5,"Sideway - Slope",DS29&gt;=-3,"Moderate - Slope",TRUE,"Strong - Slope")</f>
        <v>Sideway Flat</v>
      </c>
      <c r="EA29" t="str" cm="1">
        <f t="array" ref="EA29">_xlfn.IFS(DT29&gt;3,"Strong + Slope",DT29&gt;1.5,"Moderate + Slope",DT29&gt;0.5,"Sideway + Slope",DT29&gt;=-0.5,"Sideway Flat",DT29&gt;=-1.5,"Sideway - Slope",DT29&gt;=-3,"Moderate - Slope",TRUE,"Strong - Slope")</f>
        <v>Sideway + Slope</v>
      </c>
      <c r="EB29" s="5"/>
      <c r="EC29" s="5">
        <f t="shared" si="35"/>
        <v>2</v>
      </c>
      <c r="ED29" s="5">
        <f t="shared" si="36"/>
        <v>3</v>
      </c>
      <c r="EE29" s="5">
        <f t="shared" si="37"/>
        <v>1</v>
      </c>
      <c r="EF29" s="5">
        <f t="shared" si="38"/>
        <v>6</v>
      </c>
      <c r="EG29" s="5">
        <f t="shared" si="39"/>
        <v>5</v>
      </c>
      <c r="EH29" s="5">
        <f t="shared" si="40"/>
        <v>4</v>
      </c>
      <c r="EI29" s="5"/>
      <c r="EJ29" s="5" t="str">
        <f t="shared" si="41"/>
        <v>RES</v>
      </c>
      <c r="EK29" s="5" t="str">
        <f t="shared" si="42"/>
        <v>SUP</v>
      </c>
      <c r="EL29" s="5" t="str">
        <f t="shared" si="43"/>
        <v>RES</v>
      </c>
      <c r="EM29" s="5" t="str">
        <f t="shared" si="44"/>
        <v>SUP</v>
      </c>
      <c r="EN29" s="5" t="str">
        <f t="shared" si="45"/>
        <v>SUP</v>
      </c>
      <c r="EO29" s="5" t="str">
        <f t="shared" si="46"/>
        <v>SUP</v>
      </c>
      <c r="EP29" s="5"/>
      <c r="EQ29" s="8">
        <f t="shared" si="47"/>
        <v>1.8960320625557441E-4</v>
      </c>
      <c r="ER29" s="8">
        <f t="shared" si="48"/>
        <v>-3.2036403815605385E-4</v>
      </c>
      <c r="ES29" s="8">
        <f t="shared" si="49"/>
        <v>1.837189688200835E-3</v>
      </c>
      <c r="ET29" s="8">
        <f t="shared" si="50"/>
        <v>-2.4386895149426319E-3</v>
      </c>
      <c r="EU29" s="8">
        <f t="shared" si="51"/>
        <v>-2.3144667246372042E-3</v>
      </c>
      <c r="EV29" s="8">
        <f t="shared" si="52"/>
        <v>-9.480160312778721E-4</v>
      </c>
      <c r="EW29" s="8"/>
      <c r="EX29" s="8">
        <f t="shared" si="53"/>
        <v>0.57033639143729742</v>
      </c>
      <c r="EY29" s="9">
        <f t="shared" si="54"/>
        <v>2</v>
      </c>
      <c r="EZ29" s="10">
        <f t="shared" si="55"/>
        <v>4</v>
      </c>
      <c r="FA29" s="8">
        <f t="shared" si="86"/>
        <v>1.837189688200835E-3</v>
      </c>
      <c r="FB29" s="8">
        <f t="shared" si="87"/>
        <v>1.8960320625557441E-4</v>
      </c>
      <c r="FC29" s="8">
        <f t="shared" si="88"/>
        <v>-3.2036403815605385E-4</v>
      </c>
      <c r="FD29" s="8">
        <f t="shared" si="89"/>
        <v>-9.480160312778721E-4</v>
      </c>
      <c r="FE29" s="8">
        <f t="shared" si="90"/>
        <v>-2.3144667246372042E-3</v>
      </c>
      <c r="FF29" s="8">
        <f t="shared" si="91"/>
        <v>-2.4386895149426319E-3</v>
      </c>
      <c r="FG29" s="5"/>
      <c r="FH29" s="5" t="str">
        <f t="shared" si="56"/>
        <v>-----</v>
      </c>
      <c r="FI29" s="5" t="str">
        <f t="shared" si="92"/>
        <v>-----</v>
      </c>
      <c r="FJ29" s="5"/>
      <c r="FK29" s="5" t="str">
        <f t="shared" si="93"/>
        <v>-----</v>
      </c>
      <c r="FL29" s="5" t="str">
        <f t="shared" si="94"/>
        <v>-----</v>
      </c>
      <c r="FM29" s="5"/>
      <c r="FN29" s="5"/>
      <c r="FO29" s="8" t="str">
        <f t="shared" si="113"/>
        <v>Bearish</v>
      </c>
      <c r="FP29" s="8"/>
      <c r="FQ29" s="14">
        <f t="shared" si="57"/>
        <v>-2.6132688727006204E-4</v>
      </c>
      <c r="FR29" s="14">
        <f t="shared" si="58"/>
        <v>0.54500487097400729</v>
      </c>
      <c r="FS29" s="14" t="str">
        <f t="shared" si="59"/>
        <v>-----</v>
      </c>
      <c r="FT29" s="14" t="str">
        <f t="shared" si="60"/>
        <v>Bullish</v>
      </c>
      <c r="FU29" s="5" t="str">
        <f t="shared" si="95"/>
        <v>-----</v>
      </c>
      <c r="FV29" s="5" t="str">
        <f t="shared" si="96"/>
        <v>-----</v>
      </c>
      <c r="FW29" s="5"/>
      <c r="FX29" s="15" t="str">
        <f t="shared" si="103"/>
        <v>YES</v>
      </c>
      <c r="FY29" s="15" t="str">
        <f t="shared" si="104"/>
        <v>-----</v>
      </c>
      <c r="FZ29" s="15" t="str">
        <f t="shared" si="105"/>
        <v>YES</v>
      </c>
      <c r="GA29" s="15" t="str">
        <f t="shared" si="106"/>
        <v>YES</v>
      </c>
      <c r="GB29" s="16" t="str">
        <f t="shared" si="107"/>
        <v>-----</v>
      </c>
      <c r="GC29" s="16" t="str">
        <f t="shared" si="108"/>
        <v>-----</v>
      </c>
      <c r="GD29" s="16" t="str">
        <f t="shared" si="109"/>
        <v>-----</v>
      </c>
      <c r="GE29" s="16" t="str">
        <f t="shared" si="112"/>
        <v>YES</v>
      </c>
      <c r="GF29" s="15" t="str">
        <f t="shared" si="110"/>
        <v>-----</v>
      </c>
      <c r="GG29" s="16" t="str">
        <f t="shared" si="111"/>
        <v>-----</v>
      </c>
      <c r="GH29" s="14"/>
      <c r="GI29" s="5" t="str">
        <f t="shared" si="61"/>
        <v>-----</v>
      </c>
      <c r="GJ29" s="5" t="str">
        <f t="shared" si="62"/>
        <v>Bearish Trigger</v>
      </c>
      <c r="GK29" s="5"/>
      <c r="GL29" s="5" t="str">
        <f t="shared" si="63"/>
        <v>-----</v>
      </c>
      <c r="GM29" s="5" t="str">
        <f t="shared" si="64"/>
        <v>-----</v>
      </c>
      <c r="GN29" s="5"/>
      <c r="GO29" s="12">
        <f t="shared" si="65"/>
        <v>8.6999999999989086E-2</v>
      </c>
      <c r="GP29" s="5">
        <f t="shared" si="97"/>
        <v>0.25863989388188074</v>
      </c>
      <c r="GQ29" s="13" t="str">
        <f t="shared" si="98"/>
        <v>-----</v>
      </c>
      <c r="GR29" s="5"/>
      <c r="GS29">
        <f t="shared" si="99"/>
        <v>0.5133821644114217</v>
      </c>
      <c r="GT29" s="5" t="str">
        <f t="shared" si="100"/>
        <v>-----</v>
      </c>
    </row>
    <row r="30" spans="1:202" x14ac:dyDescent="0.55000000000000004">
      <c r="A30">
        <v>26</v>
      </c>
      <c r="B30" t="s">
        <v>29</v>
      </c>
      <c r="C30" t="s">
        <v>4</v>
      </c>
      <c r="D30" t="s">
        <v>103</v>
      </c>
      <c r="E30">
        <v>152.952</v>
      </c>
      <c r="F30">
        <v>152.96899999999999</v>
      </c>
      <c r="G30">
        <v>152.916</v>
      </c>
      <c r="H30">
        <v>152.94800000000001</v>
      </c>
      <c r="I30">
        <v>411</v>
      </c>
      <c r="J30">
        <v>152.97800000000001</v>
      </c>
      <c r="K30">
        <v>152.90199999999999</v>
      </c>
      <c r="L30">
        <v>153.22999999999999</v>
      </c>
      <c r="M30">
        <v>152.57900000000001</v>
      </c>
      <c r="N30">
        <v>152.59700000000001</v>
      </c>
      <c r="O30">
        <v>152.80799999999999</v>
      </c>
      <c r="P30">
        <v>0</v>
      </c>
      <c r="Q30">
        <v>0</v>
      </c>
      <c r="R30">
        <v>0</v>
      </c>
      <c r="S30">
        <v>0</v>
      </c>
      <c r="T30">
        <v>0</v>
      </c>
      <c r="U30">
        <v>1.0133799999999999</v>
      </c>
      <c r="V30">
        <v>3</v>
      </c>
      <c r="W30">
        <v>153.37248</v>
      </c>
      <c r="X30">
        <v>153.29055</v>
      </c>
      <c r="Y30">
        <v>153.20862</v>
      </c>
      <c r="Z30">
        <v>153.12669</v>
      </c>
      <c r="AA30">
        <v>153.04476</v>
      </c>
      <c r="AB30">
        <v>152.92867000000001</v>
      </c>
      <c r="AC30">
        <v>152.84674000000001</v>
      </c>
      <c r="AD30">
        <v>152.76481000000001</v>
      </c>
      <c r="AE30">
        <v>152.68287000000001</v>
      </c>
      <c r="AF30">
        <v>152.60094000000001</v>
      </c>
      <c r="AG30">
        <v>152.99799999999999</v>
      </c>
      <c r="AH30">
        <v>153.01599999999999</v>
      </c>
      <c r="AI30">
        <v>153.05600000000001</v>
      </c>
      <c r="AJ30">
        <v>153.18199999999999</v>
      </c>
      <c r="AK30">
        <v>153.03800000000001</v>
      </c>
      <c r="AL30">
        <v>152.97</v>
      </c>
      <c r="AM30" s="11">
        <f t="shared" si="0"/>
        <v>5.2999999999997272E-2</v>
      </c>
      <c r="AN30" s="11">
        <f t="shared" si="66"/>
        <v>1.8000000000000682E-2</v>
      </c>
      <c r="AO30" s="11">
        <f t="shared" si="67"/>
        <v>3.4999999999996589E-2</v>
      </c>
      <c r="AP30" s="11">
        <f t="shared" si="68"/>
        <v>5.2999999999997272E-2</v>
      </c>
      <c r="AR30" s="5" t="str">
        <f t="shared" si="1"/>
        <v>------</v>
      </c>
      <c r="AS30" s="5" t="str">
        <f t="shared" si="2"/>
        <v>------</v>
      </c>
      <c r="AT30" t="str">
        <f t="shared" si="3"/>
        <v/>
      </c>
      <c r="AV30" s="2">
        <f t="shared" si="4"/>
        <v>153.00094670000001</v>
      </c>
      <c r="AW30" s="2">
        <f t="shared" si="5"/>
        <v>152.9550533</v>
      </c>
      <c r="AX30" s="2">
        <f t="shared" si="6"/>
        <v>152.92493529999999</v>
      </c>
      <c r="AY30" s="2">
        <f t="shared" si="7"/>
        <v>152.87906469999999</v>
      </c>
      <c r="AZ30" s="2">
        <f t="shared" si="8"/>
        <v>153.2529845</v>
      </c>
      <c r="BA30" s="2">
        <f t="shared" si="9"/>
        <v>153.20701549999998</v>
      </c>
      <c r="BB30" s="2">
        <f t="shared" si="10"/>
        <v>152.60188685000003</v>
      </c>
      <c r="BC30" s="2">
        <f t="shared" si="11"/>
        <v>152.55611315000002</v>
      </c>
      <c r="BD30" s="2">
        <f t="shared" si="12"/>
        <v>152.61988955000001</v>
      </c>
      <c r="BE30" s="2">
        <f t="shared" si="13"/>
        <v>152.57411045000001</v>
      </c>
      <c r="BF30" s="2">
        <f t="shared" si="14"/>
        <v>152.83092120000001</v>
      </c>
      <c r="BG30" s="2">
        <f t="shared" si="15"/>
        <v>152.78507880000001</v>
      </c>
      <c r="BI30" s="5" t="str">
        <f t="shared" si="69"/>
        <v>-----</v>
      </c>
      <c r="BJ30" s="5" t="str">
        <f t="shared" si="70"/>
        <v>-----</v>
      </c>
      <c r="BK30" s="5" t="str">
        <f t="shared" si="71"/>
        <v>-----</v>
      </c>
      <c r="BL30" s="5" t="str">
        <f t="shared" si="72"/>
        <v>-----</v>
      </c>
      <c r="BM30" s="5" t="str">
        <f t="shared" si="73"/>
        <v>-----</v>
      </c>
      <c r="BN30" s="5" t="str">
        <f t="shared" si="74"/>
        <v>-----</v>
      </c>
      <c r="BO30" s="5"/>
      <c r="BP30" s="5">
        <f t="shared" si="114"/>
        <v>1</v>
      </c>
      <c r="BQ30" s="5">
        <f t="shared" si="114"/>
        <v>13</v>
      </c>
      <c r="BR30" s="5">
        <f t="shared" si="114"/>
        <v>24</v>
      </c>
      <c r="BS30" s="5">
        <f t="shared" si="114"/>
        <v>26</v>
      </c>
      <c r="BT30" s="5">
        <f t="shared" si="114"/>
        <v>26</v>
      </c>
      <c r="BU30" s="5">
        <f t="shared" si="114"/>
        <v>26</v>
      </c>
      <c r="BV30" s="5">
        <f t="shared" si="115"/>
        <v>7</v>
      </c>
      <c r="BW30" s="5">
        <f t="shared" si="115"/>
        <v>4</v>
      </c>
      <c r="BX30" s="5">
        <f t="shared" si="115"/>
        <v>2</v>
      </c>
      <c r="BY30" s="5">
        <f t="shared" si="115"/>
        <v>0</v>
      </c>
      <c r="BZ30" s="5">
        <f t="shared" si="115"/>
        <v>0</v>
      </c>
      <c r="CA30" s="5">
        <f t="shared" si="115"/>
        <v>0</v>
      </c>
      <c r="CB30" s="5" t="str">
        <f t="shared" si="102"/>
        <v>-----</v>
      </c>
      <c r="CC30" s="5" t="str">
        <f t="shared" si="101"/>
        <v>-----</v>
      </c>
      <c r="CD30" s="5" t="str">
        <f t="shared" si="101"/>
        <v>-----</v>
      </c>
      <c r="CE30" s="5" t="str">
        <f t="shared" si="101"/>
        <v>-----</v>
      </c>
      <c r="CF30" s="5" t="str">
        <f t="shared" si="101"/>
        <v>-----</v>
      </c>
      <c r="CG30" s="5" t="str">
        <f t="shared" si="101"/>
        <v>-----</v>
      </c>
      <c r="CH30" s="5"/>
      <c r="CI30" s="17" t="str">
        <f t="shared" si="19"/>
        <v>-----</v>
      </c>
      <c r="CJ30" s="17" t="str">
        <f t="shared" si="20"/>
        <v>-----</v>
      </c>
      <c r="CK30" s="17" t="str">
        <f t="shared" si="21"/>
        <v>-----</v>
      </c>
      <c r="CL30" s="17" t="str">
        <f t="shared" si="22"/>
        <v>-----</v>
      </c>
      <c r="CM30" s="17" t="str">
        <f t="shared" si="23"/>
        <v>-----</v>
      </c>
      <c r="CN30" s="17" t="str">
        <f t="shared" si="24"/>
        <v>-----</v>
      </c>
      <c r="CO30" s="5"/>
      <c r="CP30" s="5" t="str">
        <f t="shared" si="77"/>
        <v>-----</v>
      </c>
      <c r="CQ30" s="5" t="str">
        <f t="shared" si="77"/>
        <v>-----</v>
      </c>
      <c r="CR30" s="5" t="str">
        <f t="shared" si="77"/>
        <v>-----</v>
      </c>
      <c r="CS30" s="5" t="str">
        <f t="shared" si="77"/>
        <v>-----</v>
      </c>
      <c r="CT30" s="5" t="str">
        <f t="shared" si="77"/>
        <v>-----</v>
      </c>
      <c r="CU30" s="5" t="str">
        <f t="shared" si="77"/>
        <v>-----</v>
      </c>
      <c r="CV30" s="5"/>
      <c r="CW30" s="17" t="str">
        <f t="shared" si="78"/>
        <v/>
      </c>
      <c r="CX30" s="17" t="str">
        <f t="shared" si="78"/>
        <v/>
      </c>
      <c r="CY30" s="17" t="str">
        <f t="shared" si="78"/>
        <v/>
      </c>
      <c r="CZ30" s="17" t="str">
        <f t="shared" si="78"/>
        <v/>
      </c>
      <c r="DA30" s="17" t="str">
        <f t="shared" si="78"/>
        <v/>
      </c>
      <c r="DB30" s="17" t="str">
        <f t="shared" si="78"/>
        <v/>
      </c>
      <c r="DC30" s="8"/>
      <c r="DD30" s="5">
        <f t="shared" si="27"/>
        <v>0</v>
      </c>
      <c r="DE30" s="17" t="str">
        <f t="shared" si="79"/>
        <v>-----</v>
      </c>
      <c r="DF30" s="5" t="str" cm="1">
        <f t="array" ref="DF30">_xlfn.IFS(DE30=CW30,CP30,DE30=CX30,CQ30,DE30=CY30,CR30,DE30=CZ30,CS30,DE30=DA30,CT30,DE30=DB30,CU30,TRUE,"----- ")</f>
        <v xml:space="preserve">----- </v>
      </c>
      <c r="DG30" s="5"/>
      <c r="DH30" s="5">
        <f t="shared" si="80"/>
        <v>-2.423265306122455E-3</v>
      </c>
      <c r="DI30" s="5">
        <f t="shared" si="81"/>
        <v>-3.7194805194805478E-4</v>
      </c>
      <c r="DJ30" s="5">
        <f t="shared" si="82"/>
        <v>-1.6402721088435472E-3</v>
      </c>
      <c r="DK30" s="5">
        <f t="shared" si="83"/>
        <v>7.6471243042669956E-4</v>
      </c>
      <c r="DL30" s="5">
        <f t="shared" si="84"/>
        <v>-2.3081014223875058E-4</v>
      </c>
      <c r="DM30" s="5">
        <f t="shared" si="85"/>
        <v>1.5802844774273381E-3</v>
      </c>
      <c r="DO30" s="5">
        <f t="shared" si="29"/>
        <v>-1.9079214597220278</v>
      </c>
      <c r="DP30" s="5">
        <f t="shared" si="30"/>
        <v>-0.29295343676527091</v>
      </c>
      <c r="DQ30" s="5">
        <f t="shared" si="31"/>
        <v>-1.2917022253843653</v>
      </c>
      <c r="DR30" s="5">
        <f t="shared" si="32"/>
        <v>0.60228527619529781</v>
      </c>
      <c r="DS30" s="5">
        <f t="shared" si="33"/>
        <v>-0.18179147971962978</v>
      </c>
      <c r="DT30" s="5">
        <f t="shared" si="34"/>
        <v>1.2444775446344229</v>
      </c>
      <c r="DV30" t="str" cm="1">
        <f t="array" ref="DV30">_xlfn.IFS(DO30&gt;3,"Strong + Slope",DO30&gt;1.5,"Moderate + Slope",DO30&gt;0.5,"Sideway + Slope",DO30&gt;=-0.5,"Sideway Flat",DO30&gt;=-1.5,"Sideway - Slope",DO30&gt;=-3,"Moderate - Slope",TRUE,"Strong - Slope")</f>
        <v>Moderate - Slope</v>
      </c>
      <c r="DW30" t="str" cm="1">
        <f t="array" ref="DW30">_xlfn.IFS(DP30&gt;3,"Strong + Slope",DP30&gt;1.5,"Moderate + Slope",DP30&gt;0.5,"Sideway + Slope",DP30&gt;=-0.5,"Sideway Flat",DP30&gt;=-1.5,"Sideway - Slope",DP30&gt;=-3,"Moderate - Slope",TRUE,"Strong - Slope")</f>
        <v>Sideway Flat</v>
      </c>
      <c r="DX30" t="str" cm="1">
        <f t="array" ref="DX30">_xlfn.IFS(DQ30&gt;3,"Strong + Slope",DQ30&gt;1.5,"Moderate + Slope",DQ30&gt;0.5,"Sideway + Slope",DQ30&gt;=-0.5,"Sideway Flat",DQ30&gt;=-1.5,"Sideway - Slope",DQ30&gt;=-3,"Moderate - Slope",TRUE,"Strong - Slope")</f>
        <v>Sideway - Slope</v>
      </c>
      <c r="DY30" t="str" cm="1">
        <f t="array" ref="DY30">_xlfn.IFS(DR30&gt;3,"Strong + Slope",DR30&gt;1.5,"Moderate + Slope",DR30&gt;0.5,"Sideway + Slope",DR30&gt;=-0.5,"Sideway Flat",DR30&gt;=-1.5,"Sideway - Slope",DR30&gt;=-3,"Moderate - Slope",TRUE,"Strong - Slope")</f>
        <v>Sideway + Slope</v>
      </c>
      <c r="DZ30" t="str" cm="1">
        <f t="array" ref="DZ30">_xlfn.IFS(DS30&gt;3,"Strong + Slope",DS30&gt;1.5,"Moderate + Slope",DS30&gt;0.5,"Sideway + Slope",DS30&gt;=-0.5,"Sideway Flat",DS30&gt;=-1.5,"Sideway - Slope",DS30&gt;=-3,"Moderate - Slope",TRUE,"Strong - Slope")</f>
        <v>Sideway Flat</v>
      </c>
      <c r="EA30" t="str" cm="1">
        <f t="array" ref="EA30">_xlfn.IFS(DT30&gt;3,"Strong + Slope",DT30&gt;1.5,"Moderate + Slope",DT30&gt;0.5,"Sideway + Slope",DT30&gt;=-0.5,"Sideway Flat",DT30&gt;=-1.5,"Sideway - Slope",DT30&gt;=-3,"Moderate - Slope",TRUE,"Strong - Slope")</f>
        <v>Sideway + Slope</v>
      </c>
      <c r="EB30" s="5"/>
      <c r="EC30" s="5">
        <f t="shared" si="35"/>
        <v>2</v>
      </c>
      <c r="ED30" s="5">
        <f t="shared" si="36"/>
        <v>3</v>
      </c>
      <c r="EE30" s="5">
        <f t="shared" si="37"/>
        <v>1</v>
      </c>
      <c r="EF30" s="5">
        <f t="shared" si="38"/>
        <v>6</v>
      </c>
      <c r="EG30" s="5">
        <f t="shared" si="39"/>
        <v>5</v>
      </c>
      <c r="EH30" s="5">
        <f t="shared" si="40"/>
        <v>4</v>
      </c>
      <c r="EI30" s="5"/>
      <c r="EJ30" s="5" t="str">
        <f t="shared" si="41"/>
        <v>RES</v>
      </c>
      <c r="EK30" s="5" t="str">
        <f t="shared" si="42"/>
        <v>SUP</v>
      </c>
      <c r="EL30" s="5" t="str">
        <f t="shared" si="43"/>
        <v>RES</v>
      </c>
      <c r="EM30" s="5" t="str">
        <f t="shared" si="44"/>
        <v>SUP</v>
      </c>
      <c r="EN30" s="5" t="str">
        <f t="shared" si="45"/>
        <v>SUP</v>
      </c>
      <c r="EO30" s="5" t="str">
        <f t="shared" si="46"/>
        <v>SUP</v>
      </c>
      <c r="EP30" s="5"/>
      <c r="EQ30" s="8">
        <f t="shared" si="47"/>
        <v>1.9614509506499684E-4</v>
      </c>
      <c r="ER30" s="8">
        <f t="shared" si="48"/>
        <v>-3.0075581243311903E-4</v>
      </c>
      <c r="ES30" s="8">
        <f t="shared" si="49"/>
        <v>1.8437638936107843E-3</v>
      </c>
      <c r="ET30" s="8">
        <f t="shared" si="50"/>
        <v>-2.4125846692993683E-3</v>
      </c>
      <c r="EU30" s="8">
        <f t="shared" si="51"/>
        <v>-2.2948976122603702E-3</v>
      </c>
      <c r="EV30" s="8">
        <f t="shared" si="52"/>
        <v>-9.1534377697004711E-4</v>
      </c>
      <c r="EW30" s="8"/>
      <c r="EX30" s="8">
        <f t="shared" si="53"/>
        <v>0.56682027649771116</v>
      </c>
      <c r="EY30" s="9">
        <f t="shared" si="54"/>
        <v>2</v>
      </c>
      <c r="EZ30" s="10">
        <f t="shared" si="55"/>
        <v>4</v>
      </c>
      <c r="FA30" s="8">
        <f t="shared" si="86"/>
        <v>1.8437638936107843E-3</v>
      </c>
      <c r="FB30" s="8">
        <f t="shared" si="87"/>
        <v>1.9614509506499684E-4</v>
      </c>
      <c r="FC30" s="8">
        <f t="shared" si="88"/>
        <v>-3.0075581243311903E-4</v>
      </c>
      <c r="FD30" s="8">
        <f t="shared" si="89"/>
        <v>-9.1534377697004711E-4</v>
      </c>
      <c r="FE30" s="8">
        <f t="shared" si="90"/>
        <v>-2.2948976122603702E-3</v>
      </c>
      <c r="FF30" s="8">
        <f t="shared" si="91"/>
        <v>-2.4125846692993683E-3</v>
      </c>
      <c r="FG30" s="5"/>
      <c r="FH30" s="5" t="str">
        <f t="shared" si="56"/>
        <v>-----</v>
      </c>
      <c r="FI30" s="5" t="str">
        <f t="shared" si="92"/>
        <v>-----</v>
      </c>
      <c r="FJ30" s="5"/>
      <c r="FK30" s="5" t="str">
        <f t="shared" si="93"/>
        <v>-----</v>
      </c>
      <c r="FL30" s="5" t="str">
        <f t="shared" si="94"/>
        <v>-----</v>
      </c>
      <c r="FM30" s="5"/>
      <c r="FN30" s="5"/>
      <c r="FO30" s="8" t="str">
        <f t="shared" si="113"/>
        <v>Bearish</v>
      </c>
      <c r="FP30" s="8"/>
      <c r="FQ30" s="14">
        <f t="shared" si="57"/>
        <v>-2.6134225381573061E-4</v>
      </c>
      <c r="FR30" s="14">
        <f t="shared" si="58"/>
        <v>0.54496055304529756</v>
      </c>
      <c r="FS30" s="14" t="str">
        <f t="shared" si="59"/>
        <v>-----</v>
      </c>
      <c r="FT30" s="14" t="str">
        <f t="shared" si="60"/>
        <v>Bearish</v>
      </c>
      <c r="FU30" s="5" t="str">
        <f t="shared" si="95"/>
        <v>-----</v>
      </c>
      <c r="FV30" s="5" t="str">
        <f t="shared" si="96"/>
        <v>-----</v>
      </c>
      <c r="FW30" s="5"/>
      <c r="FX30" s="15" t="str">
        <f t="shared" si="103"/>
        <v>YES</v>
      </c>
      <c r="FY30" s="15" t="str">
        <f t="shared" si="104"/>
        <v>-----</v>
      </c>
      <c r="FZ30" s="15" t="str">
        <f t="shared" si="105"/>
        <v>-----</v>
      </c>
      <c r="GA30" s="15" t="str">
        <f t="shared" si="106"/>
        <v>YES</v>
      </c>
      <c r="GB30" s="16" t="str">
        <f t="shared" si="107"/>
        <v>-----</v>
      </c>
      <c r="GC30" s="16" t="str">
        <f t="shared" si="108"/>
        <v>-----</v>
      </c>
      <c r="GD30" s="16" t="str">
        <f t="shared" si="109"/>
        <v>-----</v>
      </c>
      <c r="GE30" s="16" t="str">
        <f t="shared" si="112"/>
        <v>YES</v>
      </c>
      <c r="GF30" s="15" t="str">
        <f t="shared" si="110"/>
        <v>-----</v>
      </c>
      <c r="GG30" s="16" t="str">
        <f t="shared" si="111"/>
        <v>-----</v>
      </c>
      <c r="GH30" s="14"/>
      <c r="GI30" s="5" t="str">
        <f t="shared" si="61"/>
        <v>-----</v>
      </c>
      <c r="GJ30" s="5" t="str">
        <f t="shared" si="62"/>
        <v>Bearish Trigger</v>
      </c>
      <c r="GK30" s="5"/>
      <c r="GL30" s="5" t="str">
        <f t="shared" si="63"/>
        <v>-----</v>
      </c>
      <c r="GM30" s="5" t="str">
        <f t="shared" si="64"/>
        <v>Bearish Spike</v>
      </c>
      <c r="GN30" s="5"/>
      <c r="GO30" s="12">
        <f t="shared" si="65"/>
        <v>6.8000000000012051E-2</v>
      </c>
      <c r="GP30" s="5">
        <f t="shared" si="97"/>
        <v>-0.17925537199732197</v>
      </c>
      <c r="GQ30" s="13" t="str">
        <f t="shared" si="98"/>
        <v>-----</v>
      </c>
      <c r="GR30" s="5"/>
      <c r="GS30">
        <f t="shared" si="99"/>
        <v>0.79086665830418734</v>
      </c>
      <c r="GT30" s="5" t="str">
        <f t="shared" si="100"/>
        <v>-----</v>
      </c>
    </row>
    <row r="31" spans="1:202" x14ac:dyDescent="0.55000000000000004">
      <c r="A31">
        <v>27</v>
      </c>
      <c r="B31" t="s">
        <v>30</v>
      </c>
      <c r="C31" t="s">
        <v>4</v>
      </c>
      <c r="D31" t="s">
        <v>103</v>
      </c>
      <c r="E31">
        <v>152.94499999999999</v>
      </c>
      <c r="F31">
        <v>153.13200000000001</v>
      </c>
      <c r="G31">
        <v>152.90700000000001</v>
      </c>
      <c r="H31">
        <v>153.006</v>
      </c>
      <c r="I31">
        <v>472</v>
      </c>
      <c r="J31">
        <v>152.97499999999999</v>
      </c>
      <c r="K31">
        <v>152.90100000000001</v>
      </c>
      <c r="L31">
        <v>153.22800000000001</v>
      </c>
      <c r="M31">
        <v>152.58000000000001</v>
      </c>
      <c r="N31">
        <v>152.59700000000001</v>
      </c>
      <c r="O31">
        <v>152.809</v>
      </c>
      <c r="P31">
        <v>0</v>
      </c>
      <c r="Q31">
        <v>0</v>
      </c>
      <c r="R31">
        <v>0</v>
      </c>
      <c r="S31">
        <v>152.90700000000001</v>
      </c>
      <c r="T31">
        <v>0</v>
      </c>
      <c r="U31">
        <v>0.29479</v>
      </c>
      <c r="V31">
        <v>0</v>
      </c>
      <c r="W31">
        <v>153.37241</v>
      </c>
      <c r="X31">
        <v>153.28989999999999</v>
      </c>
      <c r="Y31">
        <v>153.20740000000001</v>
      </c>
      <c r="Z31">
        <v>153.12488999999999</v>
      </c>
      <c r="AA31">
        <v>153.04238000000001</v>
      </c>
      <c r="AB31">
        <v>152.92532</v>
      </c>
      <c r="AC31">
        <v>152.84280999999999</v>
      </c>
      <c r="AD31">
        <v>152.76031</v>
      </c>
      <c r="AE31">
        <v>152.67779999999999</v>
      </c>
      <c r="AF31">
        <v>152.59529000000001</v>
      </c>
      <c r="AG31">
        <v>153.00299999999999</v>
      </c>
      <c r="AH31">
        <v>153.011</v>
      </c>
      <c r="AI31">
        <v>153.053</v>
      </c>
      <c r="AJ31">
        <v>153.17599999999999</v>
      </c>
      <c r="AK31">
        <v>153.07900000000001</v>
      </c>
      <c r="AL31">
        <v>152.93799999999999</v>
      </c>
      <c r="AM31" s="11">
        <f t="shared" si="0"/>
        <v>0.22499999999999432</v>
      </c>
      <c r="AN31" s="11">
        <f t="shared" si="66"/>
        <v>0.1839999999999975</v>
      </c>
      <c r="AO31" s="11">
        <f t="shared" si="67"/>
        <v>4.0999999999996817E-2</v>
      </c>
      <c r="AP31" s="11">
        <f t="shared" si="68"/>
        <v>0.22499999999999432</v>
      </c>
      <c r="AR31" s="5" t="str">
        <f t="shared" si="1"/>
        <v>------</v>
      </c>
      <c r="AS31" s="5" t="str">
        <f t="shared" si="2"/>
        <v>------</v>
      </c>
      <c r="AT31" t="str">
        <f t="shared" si="3"/>
        <v/>
      </c>
      <c r="AV31" s="2">
        <f t="shared" si="4"/>
        <v>152.99794625000001</v>
      </c>
      <c r="AW31" s="2">
        <f t="shared" si="5"/>
        <v>152.95205375</v>
      </c>
      <c r="AX31" s="2">
        <f t="shared" si="6"/>
        <v>152.92393515000003</v>
      </c>
      <c r="AY31" s="2">
        <f t="shared" si="7"/>
        <v>152.87806485000002</v>
      </c>
      <c r="AZ31" s="2">
        <f t="shared" si="8"/>
        <v>153.25098420000003</v>
      </c>
      <c r="BA31" s="2">
        <f t="shared" si="9"/>
        <v>153.20501580000001</v>
      </c>
      <c r="BB31" s="2">
        <f t="shared" si="10"/>
        <v>152.60288700000004</v>
      </c>
      <c r="BC31" s="2">
        <f t="shared" si="11"/>
        <v>152.55711300000002</v>
      </c>
      <c r="BD31" s="2">
        <f t="shared" si="12"/>
        <v>152.61988955000001</v>
      </c>
      <c r="BE31" s="2">
        <f t="shared" si="13"/>
        <v>152.57411045000001</v>
      </c>
      <c r="BF31" s="2">
        <f t="shared" si="14"/>
        <v>152.83192135000002</v>
      </c>
      <c r="BG31" s="2">
        <f t="shared" si="15"/>
        <v>152.78607865000001</v>
      </c>
      <c r="BI31" s="5" t="str">
        <f t="shared" si="69"/>
        <v>TOUCH</v>
      </c>
      <c r="BJ31" s="5" t="str">
        <f t="shared" si="70"/>
        <v>-----</v>
      </c>
      <c r="BK31" s="5" t="str">
        <f t="shared" si="71"/>
        <v>-----</v>
      </c>
      <c r="BL31" s="5" t="str">
        <f t="shared" si="72"/>
        <v>-----</v>
      </c>
      <c r="BM31" s="5" t="str">
        <f t="shared" si="73"/>
        <v>-----</v>
      </c>
      <c r="BN31" s="5" t="str">
        <f t="shared" si="74"/>
        <v>-----</v>
      </c>
      <c r="BO31" s="5"/>
      <c r="BP31" s="5">
        <f t="shared" si="114"/>
        <v>0</v>
      </c>
      <c r="BQ31" s="5">
        <f t="shared" si="114"/>
        <v>14</v>
      </c>
      <c r="BR31" s="5">
        <f t="shared" si="114"/>
        <v>25</v>
      </c>
      <c r="BS31" s="5">
        <f t="shared" si="114"/>
        <v>27</v>
      </c>
      <c r="BT31" s="5">
        <f t="shared" si="114"/>
        <v>27</v>
      </c>
      <c r="BU31" s="5">
        <f t="shared" si="114"/>
        <v>27</v>
      </c>
      <c r="BV31" s="5">
        <f t="shared" si="115"/>
        <v>8</v>
      </c>
      <c r="BW31" s="5">
        <f t="shared" si="115"/>
        <v>4</v>
      </c>
      <c r="BX31" s="5">
        <f t="shared" si="115"/>
        <v>2</v>
      </c>
      <c r="BY31" s="5">
        <f t="shared" si="115"/>
        <v>0</v>
      </c>
      <c r="BZ31" s="5">
        <f t="shared" si="115"/>
        <v>0</v>
      </c>
      <c r="CA31" s="5">
        <f t="shared" si="115"/>
        <v>0</v>
      </c>
      <c r="CB31" s="5">
        <f t="shared" si="102"/>
        <v>8</v>
      </c>
      <c r="CC31" s="5" t="str">
        <f t="shared" si="101"/>
        <v>-----</v>
      </c>
      <c r="CD31" s="5" t="str">
        <f t="shared" si="101"/>
        <v>-----</v>
      </c>
      <c r="CE31" s="5" t="str">
        <f t="shared" si="101"/>
        <v>-----</v>
      </c>
      <c r="CF31" s="5" t="str">
        <f t="shared" si="101"/>
        <v>-----</v>
      </c>
      <c r="CG31" s="5" t="str">
        <f t="shared" si="101"/>
        <v>-----</v>
      </c>
      <c r="CH31" s="5"/>
      <c r="CI31" s="17">
        <f t="shared" si="19"/>
        <v>2.0264749142020534E-4</v>
      </c>
      <c r="CJ31" s="17" t="str">
        <f t="shared" si="20"/>
        <v>-----</v>
      </c>
      <c r="CK31" s="17" t="str">
        <f t="shared" si="21"/>
        <v>-----</v>
      </c>
      <c r="CL31" s="17" t="str">
        <f t="shared" si="22"/>
        <v>-----</v>
      </c>
      <c r="CM31" s="17" t="str">
        <f t="shared" si="23"/>
        <v>-----</v>
      </c>
      <c r="CN31" s="17" t="str">
        <f t="shared" si="24"/>
        <v>-----</v>
      </c>
      <c r="CO31" s="5"/>
      <c r="CP31" s="5" t="str">
        <f t="shared" si="77"/>
        <v>Support</v>
      </c>
      <c r="CQ31" s="5" t="str">
        <f t="shared" si="77"/>
        <v>-----</v>
      </c>
      <c r="CR31" s="5" t="str">
        <f t="shared" si="77"/>
        <v>-----</v>
      </c>
      <c r="CS31" s="5" t="str">
        <f t="shared" si="77"/>
        <v>-----</v>
      </c>
      <c r="CT31" s="5" t="str">
        <f t="shared" si="77"/>
        <v>-----</v>
      </c>
      <c r="CU31" s="5" t="str">
        <f t="shared" si="77"/>
        <v>-----</v>
      </c>
      <c r="CV31" s="5"/>
      <c r="CW31" s="17">
        <f t="shared" si="78"/>
        <v>2.0264749142020534E-4</v>
      </c>
      <c r="CX31" s="17" t="str">
        <f t="shared" si="78"/>
        <v/>
      </c>
      <c r="CY31" s="17" t="str">
        <f t="shared" si="78"/>
        <v/>
      </c>
      <c r="CZ31" s="17" t="str">
        <f t="shared" si="78"/>
        <v/>
      </c>
      <c r="DA31" s="17" t="str">
        <f t="shared" si="78"/>
        <v/>
      </c>
      <c r="DB31" s="17" t="str">
        <f t="shared" si="78"/>
        <v/>
      </c>
      <c r="DC31" s="8"/>
      <c r="DD31" s="5">
        <f t="shared" si="27"/>
        <v>1</v>
      </c>
      <c r="DE31" s="17">
        <f t="shared" si="79"/>
        <v>2.0264749142020534E-4</v>
      </c>
      <c r="DF31" s="5" t="str" cm="1">
        <f t="array" ref="DF31">_xlfn.IFS(DE31=CW31,CP31,DE31=CX31,CQ31,DE31=CY31,CR31,DE31=CZ31,CS31,DE31=DA31,CT31,DE31=DB31,CU31,TRUE,"----- ")</f>
        <v>Support</v>
      </c>
      <c r="DG31" s="5"/>
      <c r="DH31" s="5">
        <f t="shared" si="80"/>
        <v>-2.423265306122455E-3</v>
      </c>
      <c r="DI31" s="5">
        <f t="shared" si="81"/>
        <v>-3.7194805194805478E-4</v>
      </c>
      <c r="DJ31" s="5">
        <f t="shared" si="82"/>
        <v>-1.6402721088435472E-3</v>
      </c>
      <c r="DK31" s="5">
        <f t="shared" si="83"/>
        <v>7.6471243042669956E-4</v>
      </c>
      <c r="DL31" s="5">
        <f t="shared" si="84"/>
        <v>-2.3081014223875058E-4</v>
      </c>
      <c r="DM31" s="5">
        <f t="shared" si="85"/>
        <v>1.5802844774273381E-3</v>
      </c>
      <c r="DO31" s="5">
        <f t="shared" si="29"/>
        <v>-1.9079214597220278</v>
      </c>
      <c r="DP31" s="5">
        <f t="shared" si="30"/>
        <v>-0.29295343676527091</v>
      </c>
      <c r="DQ31" s="5">
        <f t="shared" si="31"/>
        <v>-1.2917022253843653</v>
      </c>
      <c r="DR31" s="5">
        <f t="shared" si="32"/>
        <v>0.60228527619529781</v>
      </c>
      <c r="DS31" s="5">
        <f t="shared" si="33"/>
        <v>-0.18179147971962978</v>
      </c>
      <c r="DT31" s="5">
        <f t="shared" si="34"/>
        <v>1.2444775446344229</v>
      </c>
      <c r="DV31" t="str" cm="1">
        <f t="array" ref="DV31">_xlfn.IFS(DO31&gt;3,"Strong + Slope",DO31&gt;1.5,"Moderate + Slope",DO31&gt;0.5,"Sideway + Slope",DO31&gt;=-0.5,"Sideway Flat",DO31&gt;=-1.5,"Sideway - Slope",DO31&gt;=-3,"Moderate - Slope",TRUE,"Strong - Slope")</f>
        <v>Moderate - Slope</v>
      </c>
      <c r="DW31" t="str" cm="1">
        <f t="array" ref="DW31">_xlfn.IFS(DP31&gt;3,"Strong + Slope",DP31&gt;1.5,"Moderate + Slope",DP31&gt;0.5,"Sideway + Slope",DP31&gt;=-0.5,"Sideway Flat",DP31&gt;=-1.5,"Sideway - Slope",DP31&gt;=-3,"Moderate - Slope",TRUE,"Strong - Slope")</f>
        <v>Sideway Flat</v>
      </c>
      <c r="DX31" t="str" cm="1">
        <f t="array" ref="DX31">_xlfn.IFS(DQ31&gt;3,"Strong + Slope",DQ31&gt;1.5,"Moderate + Slope",DQ31&gt;0.5,"Sideway + Slope",DQ31&gt;=-0.5,"Sideway Flat",DQ31&gt;=-1.5,"Sideway - Slope",DQ31&gt;=-3,"Moderate - Slope",TRUE,"Strong - Slope")</f>
        <v>Sideway - Slope</v>
      </c>
      <c r="DY31" t="str" cm="1">
        <f t="array" ref="DY31">_xlfn.IFS(DR31&gt;3,"Strong + Slope",DR31&gt;1.5,"Moderate + Slope",DR31&gt;0.5,"Sideway + Slope",DR31&gt;=-0.5,"Sideway Flat",DR31&gt;=-1.5,"Sideway - Slope",DR31&gt;=-3,"Moderate - Slope",TRUE,"Strong - Slope")</f>
        <v>Sideway + Slope</v>
      </c>
      <c r="DZ31" t="str" cm="1">
        <f t="array" ref="DZ31">_xlfn.IFS(DS31&gt;3,"Strong + Slope",DS31&gt;1.5,"Moderate + Slope",DS31&gt;0.5,"Sideway + Slope",DS31&gt;=-0.5,"Sideway Flat",DS31&gt;=-1.5,"Sideway - Slope",DS31&gt;=-3,"Moderate - Slope",TRUE,"Strong - Slope")</f>
        <v>Sideway Flat</v>
      </c>
      <c r="EA31" t="str" cm="1">
        <f t="array" ref="EA31">_xlfn.IFS(DT31&gt;3,"Strong + Slope",DT31&gt;1.5,"Moderate + Slope",DT31&gt;0.5,"Sideway + Slope",DT31&gt;=-0.5,"Sideway Flat",DT31&gt;=-1.5,"Sideway - Slope",DT31&gt;=-3,"Moderate - Slope",TRUE,"Strong - Slope")</f>
        <v>Sideway + Slope</v>
      </c>
      <c r="EB31" s="5"/>
      <c r="EC31" s="5">
        <f t="shared" si="35"/>
        <v>2</v>
      </c>
      <c r="ED31" s="5">
        <f t="shared" si="36"/>
        <v>3</v>
      </c>
      <c r="EE31" s="5">
        <f t="shared" si="37"/>
        <v>1</v>
      </c>
      <c r="EF31" s="5">
        <f t="shared" si="38"/>
        <v>6</v>
      </c>
      <c r="EG31" s="5">
        <f t="shared" si="39"/>
        <v>5</v>
      </c>
      <c r="EH31" s="5">
        <f t="shared" si="40"/>
        <v>4</v>
      </c>
      <c r="EI31" s="5"/>
      <c r="EJ31" s="5" t="str">
        <f t="shared" si="41"/>
        <v>SUP</v>
      </c>
      <c r="EK31" s="5" t="str">
        <f t="shared" si="42"/>
        <v>SUP</v>
      </c>
      <c r="EL31" s="5" t="str">
        <f t="shared" si="43"/>
        <v>RES</v>
      </c>
      <c r="EM31" s="5" t="str">
        <f t="shared" si="44"/>
        <v>SUP</v>
      </c>
      <c r="EN31" s="5" t="str">
        <f t="shared" si="45"/>
        <v>SUP</v>
      </c>
      <c r="EO31" s="5" t="str">
        <f t="shared" si="46"/>
        <v>SUP</v>
      </c>
      <c r="EP31" s="5"/>
      <c r="EQ31" s="8">
        <f t="shared" si="47"/>
        <v>-2.0260643373466342E-4</v>
      </c>
      <c r="ER31" s="8">
        <f t="shared" si="48"/>
        <v>-6.862475981333397E-4</v>
      </c>
      <c r="ES31" s="8">
        <f t="shared" si="49"/>
        <v>1.4509234931964002E-3</v>
      </c>
      <c r="ET31" s="8">
        <f t="shared" si="50"/>
        <v>-2.7842045409983119E-3</v>
      </c>
      <c r="EU31" s="8">
        <f t="shared" si="51"/>
        <v>-2.673097787014835E-3</v>
      </c>
      <c r="EV31" s="8">
        <f t="shared" si="52"/>
        <v>-1.2875312079265043E-3</v>
      </c>
      <c r="EW31" s="8"/>
      <c r="EX31" s="8">
        <f t="shared" si="53"/>
        <v>0.65740740740739234</v>
      </c>
      <c r="EY31" s="9">
        <f t="shared" si="54"/>
        <v>1</v>
      </c>
      <c r="EZ31" s="10">
        <f t="shared" si="55"/>
        <v>5</v>
      </c>
      <c r="FA31" s="8">
        <f t="shared" si="86"/>
        <v>1.4509234931964002E-3</v>
      </c>
      <c r="FB31" s="8">
        <f t="shared" si="87"/>
        <v>-2.0260643373466342E-4</v>
      </c>
      <c r="FC31" s="8">
        <f t="shared" si="88"/>
        <v>-6.862475981333397E-4</v>
      </c>
      <c r="FD31" s="8">
        <f t="shared" si="89"/>
        <v>-1.2875312079265043E-3</v>
      </c>
      <c r="FE31" s="8">
        <f t="shared" si="90"/>
        <v>-2.673097787014835E-3</v>
      </c>
      <c r="FF31" s="8">
        <f t="shared" si="91"/>
        <v>-2.7842045409983119E-3</v>
      </c>
      <c r="FG31" s="5"/>
      <c r="FH31" s="5" t="str">
        <f t="shared" si="56"/>
        <v>-----</v>
      </c>
      <c r="FI31" s="5" t="str">
        <f t="shared" si="92"/>
        <v>-----</v>
      </c>
      <c r="FJ31" s="5"/>
      <c r="FK31" s="5" t="str">
        <f t="shared" si="93"/>
        <v>-----</v>
      </c>
      <c r="FL31" s="5" t="str">
        <f t="shared" si="94"/>
        <v>-----</v>
      </c>
      <c r="FM31" s="5"/>
      <c r="FN31" s="5"/>
      <c r="FO31" s="8" t="str">
        <f t="shared" si="113"/>
        <v>Bearish</v>
      </c>
      <c r="FP31" s="8"/>
      <c r="FQ31" s="14">
        <f t="shared" si="57"/>
        <v>-2.7441474521898684E-4</v>
      </c>
      <c r="FR31" s="14">
        <f t="shared" si="58"/>
        <v>0.50725879791023942</v>
      </c>
      <c r="FS31" s="14" t="str">
        <f t="shared" si="59"/>
        <v>-----</v>
      </c>
      <c r="FT31" s="14" t="str">
        <f t="shared" si="60"/>
        <v>Bearish</v>
      </c>
      <c r="FU31" s="5" t="str">
        <f t="shared" si="95"/>
        <v>TEMA crossover</v>
      </c>
      <c r="FV31" s="5" t="str">
        <f t="shared" si="96"/>
        <v>-----</v>
      </c>
      <c r="FW31" s="5"/>
      <c r="FX31" s="15" t="str">
        <f t="shared" si="103"/>
        <v>YES</v>
      </c>
      <c r="FY31" s="15" t="str">
        <f t="shared" si="104"/>
        <v>-----</v>
      </c>
      <c r="FZ31" s="15" t="str">
        <f t="shared" si="105"/>
        <v>-----</v>
      </c>
      <c r="GA31" s="15" t="str">
        <f t="shared" si="106"/>
        <v>YES</v>
      </c>
      <c r="GB31" s="16" t="str">
        <f t="shared" si="107"/>
        <v>-----</v>
      </c>
      <c r="GC31" s="16" t="str">
        <f t="shared" si="108"/>
        <v>-----</v>
      </c>
      <c r="GD31" s="16" t="str">
        <f t="shared" si="109"/>
        <v>-----</v>
      </c>
      <c r="GE31" s="16" t="str">
        <f t="shared" si="112"/>
        <v>YES</v>
      </c>
      <c r="GF31" s="15" t="str">
        <f t="shared" si="110"/>
        <v>-----</v>
      </c>
      <c r="GG31" s="16" t="str">
        <f t="shared" si="111"/>
        <v>-----</v>
      </c>
      <c r="GH31" s="14"/>
      <c r="GI31" s="5" t="str">
        <f t="shared" si="61"/>
        <v>-----</v>
      </c>
      <c r="GJ31" s="5" t="str">
        <f t="shared" si="62"/>
        <v>-----</v>
      </c>
      <c r="GK31" s="5"/>
      <c r="GL31" s="5" t="str">
        <f t="shared" si="63"/>
        <v>-----</v>
      </c>
      <c r="GM31" s="5" t="str">
        <f t="shared" si="64"/>
        <v>-----</v>
      </c>
      <c r="GN31" s="5"/>
      <c r="GO31" s="12">
        <f t="shared" si="65"/>
        <v>0.14100000000001955</v>
      </c>
      <c r="GP31" s="5">
        <f t="shared" si="97"/>
        <v>1.5031843337512949</v>
      </c>
      <c r="GQ31" s="13" t="str">
        <f t="shared" si="98"/>
        <v>Price Distribution</v>
      </c>
      <c r="GR31" s="5"/>
      <c r="GS31">
        <f t="shared" si="99"/>
        <v>1.1845074519660177</v>
      </c>
      <c r="GT31" s="5" t="str">
        <f t="shared" si="100"/>
        <v>-----</v>
      </c>
    </row>
    <row r="32" spans="1:202" x14ac:dyDescent="0.55000000000000004">
      <c r="A32">
        <v>28</v>
      </c>
      <c r="B32" t="s">
        <v>31</v>
      </c>
      <c r="C32" t="s">
        <v>4</v>
      </c>
      <c r="D32" t="s">
        <v>103</v>
      </c>
      <c r="E32">
        <v>153.00700000000001</v>
      </c>
      <c r="F32">
        <v>153.13499999999999</v>
      </c>
      <c r="G32">
        <v>152.99700000000001</v>
      </c>
      <c r="H32">
        <v>153.13200000000001</v>
      </c>
      <c r="I32">
        <v>594</v>
      </c>
      <c r="J32">
        <v>152.97300000000001</v>
      </c>
      <c r="K32">
        <v>152.90100000000001</v>
      </c>
      <c r="L32">
        <v>153.227</v>
      </c>
      <c r="M32">
        <v>152.58099999999999</v>
      </c>
      <c r="N32">
        <v>152.59700000000001</v>
      </c>
      <c r="O32">
        <v>152.81100000000001</v>
      </c>
      <c r="P32">
        <v>0</v>
      </c>
      <c r="Q32">
        <v>0</v>
      </c>
      <c r="R32">
        <v>0</v>
      </c>
      <c r="S32">
        <v>0</v>
      </c>
      <c r="T32">
        <v>0</v>
      </c>
      <c r="U32">
        <v>1.75468</v>
      </c>
      <c r="V32">
        <v>1</v>
      </c>
      <c r="W32">
        <v>153.37305000000001</v>
      </c>
      <c r="X32">
        <v>153.29024000000001</v>
      </c>
      <c r="Y32">
        <v>153.20742999999999</v>
      </c>
      <c r="Z32">
        <v>153.12461999999999</v>
      </c>
      <c r="AA32">
        <v>153.04181</v>
      </c>
      <c r="AB32">
        <v>152.92339999999999</v>
      </c>
      <c r="AC32">
        <v>152.84058999999999</v>
      </c>
      <c r="AD32">
        <v>152.75778</v>
      </c>
      <c r="AE32">
        <v>152.67497</v>
      </c>
      <c r="AF32">
        <v>152.59216000000001</v>
      </c>
      <c r="AG32">
        <v>153.042</v>
      </c>
      <c r="AH32">
        <v>153.01599999999999</v>
      </c>
      <c r="AI32">
        <v>153.05600000000001</v>
      </c>
      <c r="AJ32">
        <v>153.173</v>
      </c>
      <c r="AK32">
        <v>153.107</v>
      </c>
      <c r="AL32">
        <v>152.96199999999999</v>
      </c>
      <c r="AM32" s="11">
        <f t="shared" si="0"/>
        <v>0.13799999999997681</v>
      </c>
      <c r="AN32" s="11">
        <f t="shared" si="66"/>
        <v>0.12899999999999068</v>
      </c>
      <c r="AO32" s="11">
        <f t="shared" si="67"/>
        <v>8.9999999999861302E-3</v>
      </c>
      <c r="AP32" s="11">
        <f t="shared" si="68"/>
        <v>0.13799999999997681</v>
      </c>
      <c r="AR32" s="5" t="str">
        <f t="shared" si="1"/>
        <v>------</v>
      </c>
      <c r="AS32" s="5" t="str">
        <f t="shared" si="2"/>
        <v>------</v>
      </c>
      <c r="AT32" t="str">
        <f t="shared" si="3"/>
        <v/>
      </c>
      <c r="AV32" s="2">
        <f t="shared" si="4"/>
        <v>152.99594595000002</v>
      </c>
      <c r="AW32" s="2">
        <f t="shared" si="5"/>
        <v>152.95005405000001</v>
      </c>
      <c r="AX32" s="2">
        <f t="shared" si="6"/>
        <v>152.92393515000003</v>
      </c>
      <c r="AY32" s="2">
        <f t="shared" si="7"/>
        <v>152.87806485000002</v>
      </c>
      <c r="AZ32" s="2">
        <f t="shared" si="8"/>
        <v>153.24998405000002</v>
      </c>
      <c r="BA32" s="2">
        <f t="shared" si="9"/>
        <v>153.20401595000001</v>
      </c>
      <c r="BB32" s="2">
        <f t="shared" si="10"/>
        <v>152.60388714999999</v>
      </c>
      <c r="BC32" s="2">
        <f t="shared" si="11"/>
        <v>152.55811284999999</v>
      </c>
      <c r="BD32" s="2">
        <f t="shared" si="12"/>
        <v>152.61988955000001</v>
      </c>
      <c r="BE32" s="2">
        <f t="shared" si="13"/>
        <v>152.57411045000001</v>
      </c>
      <c r="BF32" s="2">
        <f t="shared" si="14"/>
        <v>152.83392165000001</v>
      </c>
      <c r="BG32" s="2">
        <f t="shared" si="15"/>
        <v>152.78807835000001</v>
      </c>
      <c r="BI32" s="5" t="str">
        <f t="shared" si="69"/>
        <v>-----</v>
      </c>
      <c r="BJ32" s="5" t="str">
        <f t="shared" si="70"/>
        <v>-----</v>
      </c>
      <c r="BK32" s="5" t="str">
        <f t="shared" si="71"/>
        <v>-----</v>
      </c>
      <c r="BL32" s="5" t="str">
        <f t="shared" si="72"/>
        <v>-----</v>
      </c>
      <c r="BM32" s="5" t="str">
        <f t="shared" si="73"/>
        <v>-----</v>
      </c>
      <c r="BN32" s="5" t="str">
        <f t="shared" si="74"/>
        <v>-----</v>
      </c>
      <c r="BO32" s="5"/>
      <c r="BP32" s="5">
        <f t="shared" si="114"/>
        <v>1</v>
      </c>
      <c r="BQ32" s="5">
        <f t="shared" si="114"/>
        <v>15</v>
      </c>
      <c r="BR32" s="5">
        <f t="shared" si="114"/>
        <v>26</v>
      </c>
      <c r="BS32" s="5">
        <f t="shared" si="114"/>
        <v>28</v>
      </c>
      <c r="BT32" s="5">
        <f t="shared" si="114"/>
        <v>28</v>
      </c>
      <c r="BU32" s="5">
        <f t="shared" si="114"/>
        <v>28</v>
      </c>
      <c r="BV32" s="5">
        <f t="shared" si="115"/>
        <v>8</v>
      </c>
      <c r="BW32" s="5">
        <f t="shared" si="115"/>
        <v>4</v>
      </c>
      <c r="BX32" s="5">
        <f t="shared" si="115"/>
        <v>2</v>
      </c>
      <c r="BY32" s="5">
        <f t="shared" si="115"/>
        <v>0</v>
      </c>
      <c r="BZ32" s="5">
        <f t="shared" si="115"/>
        <v>0</v>
      </c>
      <c r="CA32" s="5">
        <f t="shared" si="115"/>
        <v>0</v>
      </c>
      <c r="CB32" s="5" t="str">
        <f t="shared" si="102"/>
        <v>-----</v>
      </c>
      <c r="CC32" s="5" t="str">
        <f t="shared" si="101"/>
        <v>-----</v>
      </c>
      <c r="CD32" s="5" t="str">
        <f t="shared" si="101"/>
        <v>-----</v>
      </c>
      <c r="CE32" s="5" t="str">
        <f t="shared" si="101"/>
        <v>-----</v>
      </c>
      <c r="CF32" s="5" t="str">
        <f t="shared" si="101"/>
        <v>-----</v>
      </c>
      <c r="CG32" s="5" t="str">
        <f t="shared" si="101"/>
        <v>-----</v>
      </c>
      <c r="CH32" s="5"/>
      <c r="CI32" s="17" t="str">
        <f t="shared" si="19"/>
        <v>-----</v>
      </c>
      <c r="CJ32" s="17" t="str">
        <f t="shared" si="20"/>
        <v>-----</v>
      </c>
      <c r="CK32" s="17" t="str">
        <f t="shared" si="21"/>
        <v>-----</v>
      </c>
      <c r="CL32" s="17" t="str">
        <f t="shared" si="22"/>
        <v>-----</v>
      </c>
      <c r="CM32" s="17" t="str">
        <f t="shared" si="23"/>
        <v>-----</v>
      </c>
      <c r="CN32" s="17" t="str">
        <f t="shared" si="24"/>
        <v>-----</v>
      </c>
      <c r="CO32" s="5"/>
      <c r="CP32" s="5" t="str">
        <f t="shared" si="77"/>
        <v>-----</v>
      </c>
      <c r="CQ32" s="5" t="str">
        <f t="shared" si="77"/>
        <v>-----</v>
      </c>
      <c r="CR32" s="5" t="str">
        <f t="shared" si="77"/>
        <v>-----</v>
      </c>
      <c r="CS32" s="5" t="str">
        <f t="shared" si="77"/>
        <v>-----</v>
      </c>
      <c r="CT32" s="5" t="str">
        <f t="shared" si="77"/>
        <v>-----</v>
      </c>
      <c r="CU32" s="5" t="str">
        <f t="shared" si="77"/>
        <v>-----</v>
      </c>
      <c r="CV32" s="5"/>
      <c r="CW32" s="17" t="str">
        <f t="shared" si="78"/>
        <v/>
      </c>
      <c r="CX32" s="17" t="str">
        <f t="shared" si="78"/>
        <v/>
      </c>
      <c r="CY32" s="17" t="str">
        <f t="shared" si="78"/>
        <v/>
      </c>
      <c r="CZ32" s="17" t="str">
        <f t="shared" si="78"/>
        <v/>
      </c>
      <c r="DA32" s="17" t="str">
        <f t="shared" si="78"/>
        <v/>
      </c>
      <c r="DB32" s="17" t="str">
        <f t="shared" si="78"/>
        <v/>
      </c>
      <c r="DC32" s="8"/>
      <c r="DD32" s="5">
        <f t="shared" si="27"/>
        <v>0</v>
      </c>
      <c r="DE32" s="17" t="str">
        <f t="shared" si="79"/>
        <v>-----</v>
      </c>
      <c r="DF32" s="5" t="str" cm="1">
        <f t="array" ref="DF32">_xlfn.IFS(DE32=CW32,CP32,DE32=CX32,CQ32,DE32=CY32,CR32,DE32=CZ32,CS32,DE32=DA32,CT32,DE32=DB32,CU32,TRUE,"----- ")</f>
        <v xml:space="preserve">----- </v>
      </c>
      <c r="DG32" s="5"/>
      <c r="DH32" s="5">
        <f t="shared" si="80"/>
        <v>-2.423265306122455E-3</v>
      </c>
      <c r="DI32" s="5">
        <f t="shared" si="81"/>
        <v>-3.7194805194805478E-4</v>
      </c>
      <c r="DJ32" s="5">
        <f t="shared" si="82"/>
        <v>-1.6402721088435472E-3</v>
      </c>
      <c r="DK32" s="5">
        <f t="shared" si="83"/>
        <v>7.6471243042669956E-4</v>
      </c>
      <c r="DL32" s="5">
        <f t="shared" si="84"/>
        <v>-2.3081014223875058E-4</v>
      </c>
      <c r="DM32" s="5">
        <f t="shared" si="85"/>
        <v>1.5802844774273381E-3</v>
      </c>
      <c r="DO32" s="5">
        <f t="shared" si="29"/>
        <v>-1.9079214597220278</v>
      </c>
      <c r="DP32" s="5">
        <f t="shared" si="30"/>
        <v>-0.29295343676527091</v>
      </c>
      <c r="DQ32" s="5">
        <f t="shared" si="31"/>
        <v>-1.2917022253843653</v>
      </c>
      <c r="DR32" s="5">
        <f t="shared" si="32"/>
        <v>0.60228527619529781</v>
      </c>
      <c r="DS32" s="5">
        <f t="shared" si="33"/>
        <v>-0.18179147971962978</v>
      </c>
      <c r="DT32" s="5">
        <f t="shared" si="34"/>
        <v>1.2444775446344229</v>
      </c>
      <c r="DV32" t="str" cm="1">
        <f t="array" ref="DV32">_xlfn.IFS(DO32&gt;3,"Strong + Slope",DO32&gt;1.5,"Moderate + Slope",DO32&gt;0.5,"Sideway + Slope",DO32&gt;=-0.5,"Sideway Flat",DO32&gt;=-1.5,"Sideway - Slope",DO32&gt;=-3,"Moderate - Slope",TRUE,"Strong - Slope")</f>
        <v>Moderate - Slope</v>
      </c>
      <c r="DW32" t="str" cm="1">
        <f t="array" ref="DW32">_xlfn.IFS(DP32&gt;3,"Strong + Slope",DP32&gt;1.5,"Moderate + Slope",DP32&gt;0.5,"Sideway + Slope",DP32&gt;=-0.5,"Sideway Flat",DP32&gt;=-1.5,"Sideway - Slope",DP32&gt;=-3,"Moderate - Slope",TRUE,"Strong - Slope")</f>
        <v>Sideway Flat</v>
      </c>
      <c r="DX32" t="str" cm="1">
        <f t="array" ref="DX32">_xlfn.IFS(DQ32&gt;3,"Strong + Slope",DQ32&gt;1.5,"Moderate + Slope",DQ32&gt;0.5,"Sideway + Slope",DQ32&gt;=-0.5,"Sideway Flat",DQ32&gt;=-1.5,"Sideway - Slope",DQ32&gt;=-3,"Moderate - Slope",TRUE,"Strong - Slope")</f>
        <v>Sideway - Slope</v>
      </c>
      <c r="DY32" t="str" cm="1">
        <f t="array" ref="DY32">_xlfn.IFS(DR32&gt;3,"Strong + Slope",DR32&gt;1.5,"Moderate + Slope",DR32&gt;0.5,"Sideway + Slope",DR32&gt;=-0.5,"Sideway Flat",DR32&gt;=-1.5,"Sideway - Slope",DR32&gt;=-3,"Moderate - Slope",TRUE,"Strong - Slope")</f>
        <v>Sideway + Slope</v>
      </c>
      <c r="DZ32" t="str" cm="1">
        <f t="array" ref="DZ32">_xlfn.IFS(DS32&gt;3,"Strong + Slope",DS32&gt;1.5,"Moderate + Slope",DS32&gt;0.5,"Sideway + Slope",DS32&gt;=-0.5,"Sideway Flat",DS32&gt;=-1.5,"Sideway - Slope",DS32&gt;=-3,"Moderate - Slope",TRUE,"Strong - Slope")</f>
        <v>Sideway Flat</v>
      </c>
      <c r="EA32" t="str" cm="1">
        <f t="array" ref="EA32">_xlfn.IFS(DT32&gt;3,"Strong + Slope",DT32&gt;1.5,"Moderate + Slope",DT32&gt;0.5,"Sideway + Slope",DT32&gt;=-0.5,"Sideway Flat",DT32&gt;=-1.5,"Sideway - Slope",DT32&gt;=-3,"Moderate - Slope",TRUE,"Strong - Slope")</f>
        <v>Sideway + Slope</v>
      </c>
      <c r="EB32" s="5"/>
      <c r="EC32" s="5">
        <f t="shared" si="35"/>
        <v>2</v>
      </c>
      <c r="ED32" s="5">
        <f t="shared" si="36"/>
        <v>3</v>
      </c>
      <c r="EE32" s="5">
        <f t="shared" si="37"/>
        <v>1</v>
      </c>
      <c r="EF32" s="5">
        <f t="shared" si="38"/>
        <v>6</v>
      </c>
      <c r="EG32" s="5">
        <f t="shared" si="39"/>
        <v>5</v>
      </c>
      <c r="EH32" s="5">
        <f t="shared" si="40"/>
        <v>4</v>
      </c>
      <c r="EI32" s="5"/>
      <c r="EJ32" s="5" t="str">
        <f t="shared" si="41"/>
        <v>SUP</v>
      </c>
      <c r="EK32" s="5" t="str">
        <f t="shared" si="42"/>
        <v>SUP</v>
      </c>
      <c r="EL32" s="5" t="str">
        <f t="shared" si="43"/>
        <v>RES</v>
      </c>
      <c r="EM32" s="5" t="str">
        <f t="shared" si="44"/>
        <v>SUP</v>
      </c>
      <c r="EN32" s="5" t="str">
        <f t="shared" si="45"/>
        <v>SUP</v>
      </c>
      <c r="EO32" s="5" t="str">
        <f t="shared" si="46"/>
        <v>SUP</v>
      </c>
      <c r="EP32" s="5"/>
      <c r="EQ32" s="8">
        <f t="shared" si="47"/>
        <v>-1.0383198808870244E-3</v>
      </c>
      <c r="ER32" s="8">
        <f t="shared" si="48"/>
        <v>-1.508502468458549E-3</v>
      </c>
      <c r="ES32" s="8">
        <f t="shared" si="49"/>
        <v>6.2037980304573083E-4</v>
      </c>
      <c r="ET32" s="8">
        <f t="shared" si="50"/>
        <v>-3.5982028576653875E-3</v>
      </c>
      <c r="EU32" s="8">
        <f t="shared" si="51"/>
        <v>-3.4937178382049251E-3</v>
      </c>
      <c r="EV32" s="8">
        <f t="shared" si="52"/>
        <v>-2.0962307029229548E-3</v>
      </c>
      <c r="EW32" s="8"/>
      <c r="EX32" s="8">
        <f t="shared" si="53"/>
        <v>0.85294117647059342</v>
      </c>
      <c r="EY32" s="9">
        <f t="shared" si="54"/>
        <v>1</v>
      </c>
      <c r="EZ32" s="10">
        <f t="shared" si="55"/>
        <v>5</v>
      </c>
      <c r="FA32" s="8">
        <f t="shared" si="86"/>
        <v>6.2037980304573083E-4</v>
      </c>
      <c r="FB32" s="8">
        <f t="shared" si="87"/>
        <v>-1.0383198808870244E-3</v>
      </c>
      <c r="FC32" s="8">
        <f t="shared" si="88"/>
        <v>-1.508502468458549E-3</v>
      </c>
      <c r="FD32" s="8">
        <f t="shared" si="89"/>
        <v>-2.0962307029229548E-3</v>
      </c>
      <c r="FE32" s="8">
        <f t="shared" si="90"/>
        <v>-3.4937178382049251E-3</v>
      </c>
      <c r="FF32" s="8">
        <f t="shared" si="91"/>
        <v>-3.5982028576653875E-3</v>
      </c>
      <c r="FG32" s="5"/>
      <c r="FH32" s="5" t="str">
        <f t="shared" si="56"/>
        <v>Flat Momentum</v>
      </c>
      <c r="FI32" s="5" t="str">
        <f t="shared" si="92"/>
        <v>-----</v>
      </c>
      <c r="FJ32" s="5"/>
      <c r="FK32" s="5" t="str">
        <f t="shared" si="93"/>
        <v>-----</v>
      </c>
      <c r="FL32" s="5" t="str">
        <f t="shared" si="94"/>
        <v>-----</v>
      </c>
      <c r="FM32" s="5"/>
      <c r="FN32" s="5"/>
      <c r="FO32" s="8" t="str">
        <f t="shared" si="113"/>
        <v>Bearish</v>
      </c>
      <c r="FP32" s="8"/>
      <c r="FQ32" s="14">
        <f t="shared" si="57"/>
        <v>-2.6134225381573061E-4</v>
      </c>
      <c r="FR32" s="14">
        <f t="shared" si="58"/>
        <v>0.54496055304529756</v>
      </c>
      <c r="FS32" s="14" t="str">
        <f t="shared" si="59"/>
        <v>-----</v>
      </c>
      <c r="FT32" s="14" t="str">
        <f t="shared" si="60"/>
        <v>Bullish</v>
      </c>
      <c r="FU32" s="5" t="str">
        <f t="shared" si="95"/>
        <v>-----</v>
      </c>
      <c r="FV32" s="5" t="str">
        <f t="shared" si="96"/>
        <v>-----</v>
      </c>
      <c r="FW32" s="5"/>
      <c r="FX32" s="15" t="str">
        <f t="shared" si="103"/>
        <v>YES</v>
      </c>
      <c r="FY32" s="15" t="str">
        <f t="shared" si="104"/>
        <v>-----</v>
      </c>
      <c r="FZ32" s="15" t="str">
        <f t="shared" si="105"/>
        <v>-----</v>
      </c>
      <c r="GA32" s="15" t="str">
        <f t="shared" si="106"/>
        <v>-----</v>
      </c>
      <c r="GB32" s="16" t="str">
        <f t="shared" si="107"/>
        <v>-----</v>
      </c>
      <c r="GC32" s="16" t="str">
        <f t="shared" si="108"/>
        <v>-----</v>
      </c>
      <c r="GD32" s="16" t="str">
        <f t="shared" si="109"/>
        <v>-----</v>
      </c>
      <c r="GE32" s="16" t="str">
        <f t="shared" si="112"/>
        <v>YES</v>
      </c>
      <c r="GF32" s="15" t="str">
        <f t="shared" si="110"/>
        <v>-----</v>
      </c>
      <c r="GG32" s="16" t="str">
        <f t="shared" si="111"/>
        <v>-----</v>
      </c>
      <c r="GH32" s="14"/>
      <c r="GI32" s="5" t="str">
        <f t="shared" si="61"/>
        <v>Bullish Trigger</v>
      </c>
      <c r="GJ32" s="5" t="str">
        <f t="shared" si="62"/>
        <v>-----</v>
      </c>
      <c r="GK32" s="5"/>
      <c r="GL32" s="5" t="str">
        <f t="shared" si="63"/>
        <v>-----</v>
      </c>
      <c r="GM32" s="5" t="str">
        <f t="shared" si="64"/>
        <v>-----</v>
      </c>
      <c r="GN32" s="5"/>
      <c r="GO32" s="12">
        <f t="shared" si="65"/>
        <v>0.14500000000001023</v>
      </c>
      <c r="GP32" s="5">
        <f t="shared" si="97"/>
        <v>1.595372810778392</v>
      </c>
      <c r="GQ32" s="13" t="str">
        <f t="shared" si="98"/>
        <v>Price Distribution</v>
      </c>
      <c r="GR32" s="5"/>
      <c r="GS32">
        <f t="shared" si="99"/>
        <v>1.9717890392896784</v>
      </c>
      <c r="GT32" s="5" t="str">
        <f t="shared" si="100"/>
        <v>High Volume</v>
      </c>
    </row>
    <row r="33" spans="1:202" x14ac:dyDescent="0.55000000000000004">
      <c r="A33">
        <v>29</v>
      </c>
      <c r="B33" t="s">
        <v>32</v>
      </c>
      <c r="C33" t="s">
        <v>4</v>
      </c>
      <c r="D33" t="s">
        <v>103</v>
      </c>
      <c r="E33">
        <v>153.12799999999999</v>
      </c>
      <c r="F33">
        <v>153.22499999999999</v>
      </c>
      <c r="G33">
        <v>153.12799999999999</v>
      </c>
      <c r="H33">
        <v>153.16499999999999</v>
      </c>
      <c r="I33">
        <v>468</v>
      </c>
      <c r="J33">
        <v>152.97</v>
      </c>
      <c r="K33">
        <v>152.90100000000001</v>
      </c>
      <c r="L33">
        <v>153.22499999999999</v>
      </c>
      <c r="M33">
        <v>152.58199999999999</v>
      </c>
      <c r="N33">
        <v>152.596</v>
      </c>
      <c r="O33">
        <v>152.81200000000001</v>
      </c>
      <c r="P33">
        <v>153.22499999999999</v>
      </c>
      <c r="Q33">
        <v>0</v>
      </c>
      <c r="R33">
        <v>153.22499999999999</v>
      </c>
      <c r="S33">
        <v>0</v>
      </c>
      <c r="T33">
        <v>0</v>
      </c>
      <c r="U33">
        <v>0.25623000000000001</v>
      </c>
      <c r="V33">
        <v>0</v>
      </c>
      <c r="W33">
        <v>153.37671</v>
      </c>
      <c r="X33">
        <v>153.29374000000001</v>
      </c>
      <c r="Y33">
        <v>153.21077</v>
      </c>
      <c r="Z33">
        <v>153.12780000000001</v>
      </c>
      <c r="AA33">
        <v>153.04482999999999</v>
      </c>
      <c r="AB33">
        <v>152.92589000000001</v>
      </c>
      <c r="AC33">
        <v>152.84291999999999</v>
      </c>
      <c r="AD33">
        <v>152.75996000000001</v>
      </c>
      <c r="AE33">
        <v>152.67698999999999</v>
      </c>
      <c r="AF33">
        <v>152.59402</v>
      </c>
      <c r="AG33">
        <v>153.108</v>
      </c>
      <c r="AH33">
        <v>153.036</v>
      </c>
      <c r="AI33">
        <v>153.06399999999999</v>
      </c>
      <c r="AJ33">
        <v>153.172</v>
      </c>
      <c r="AK33">
        <v>153.16800000000001</v>
      </c>
      <c r="AL33">
        <v>153.042</v>
      </c>
      <c r="AM33" s="11">
        <f t="shared" si="0"/>
        <v>9.7000000000008413E-2</v>
      </c>
      <c r="AN33" s="11">
        <f t="shared" si="66"/>
        <v>9.2999999999989313E-2</v>
      </c>
      <c r="AO33" s="11">
        <f t="shared" si="67"/>
        <v>4.0000000000190994E-3</v>
      </c>
      <c r="AP33" s="11">
        <f t="shared" si="68"/>
        <v>9.7000000000008413E-2</v>
      </c>
      <c r="AR33" s="5" t="str">
        <f t="shared" si="1"/>
        <v>Important High</v>
      </c>
      <c r="AS33" s="5" t="str">
        <f t="shared" si="2"/>
        <v>------</v>
      </c>
      <c r="AT33" t="str">
        <f t="shared" si="3"/>
        <v/>
      </c>
      <c r="AV33" s="2">
        <f t="shared" si="4"/>
        <v>152.99294550000002</v>
      </c>
      <c r="AW33" s="2">
        <f t="shared" si="5"/>
        <v>152.94705450000001</v>
      </c>
      <c r="AX33" s="2">
        <f t="shared" si="6"/>
        <v>152.92393515000003</v>
      </c>
      <c r="AY33" s="2">
        <f t="shared" si="7"/>
        <v>152.87806485000002</v>
      </c>
      <c r="AZ33" s="2">
        <f t="shared" si="8"/>
        <v>153.24798375</v>
      </c>
      <c r="BA33" s="2">
        <f t="shared" si="9"/>
        <v>153.20201624999999</v>
      </c>
      <c r="BB33" s="2">
        <f t="shared" si="10"/>
        <v>152.6048873</v>
      </c>
      <c r="BC33" s="2">
        <f t="shared" si="11"/>
        <v>152.55911269999999</v>
      </c>
      <c r="BD33" s="2">
        <f t="shared" si="12"/>
        <v>152.61888940000003</v>
      </c>
      <c r="BE33" s="2">
        <f t="shared" si="13"/>
        <v>152.57311060000001</v>
      </c>
      <c r="BF33" s="2">
        <f t="shared" si="14"/>
        <v>152.83492180000002</v>
      </c>
      <c r="BG33" s="2">
        <f t="shared" si="15"/>
        <v>152.78907820000001</v>
      </c>
      <c r="BI33" s="5" t="str">
        <f t="shared" si="69"/>
        <v>-----</v>
      </c>
      <c r="BJ33" s="5" t="str">
        <f t="shared" si="70"/>
        <v>-----</v>
      </c>
      <c r="BK33" s="5" t="str">
        <f t="shared" si="71"/>
        <v>-----</v>
      </c>
      <c r="BL33" s="5" t="str">
        <f t="shared" si="72"/>
        <v>-----</v>
      </c>
      <c r="BM33" s="5" t="str">
        <f t="shared" si="73"/>
        <v>-----</v>
      </c>
      <c r="BN33" s="5" t="str">
        <f t="shared" si="74"/>
        <v>-----</v>
      </c>
      <c r="BO33" s="5"/>
      <c r="BP33" s="5">
        <f t="shared" si="114"/>
        <v>2</v>
      </c>
      <c r="BQ33" s="5">
        <f t="shared" si="114"/>
        <v>16</v>
      </c>
      <c r="BR33" s="5">
        <f t="shared" si="114"/>
        <v>27</v>
      </c>
      <c r="BS33" s="5">
        <f t="shared" si="114"/>
        <v>29</v>
      </c>
      <c r="BT33" s="5">
        <f t="shared" si="114"/>
        <v>29</v>
      </c>
      <c r="BU33" s="5">
        <f t="shared" si="114"/>
        <v>29</v>
      </c>
      <c r="BV33" s="5">
        <f t="shared" si="115"/>
        <v>8</v>
      </c>
      <c r="BW33" s="5">
        <f t="shared" si="115"/>
        <v>4</v>
      </c>
      <c r="BX33" s="5">
        <f t="shared" si="115"/>
        <v>2</v>
      </c>
      <c r="BY33" s="5">
        <f t="shared" si="115"/>
        <v>0</v>
      </c>
      <c r="BZ33" s="5">
        <f t="shared" si="115"/>
        <v>0</v>
      </c>
      <c r="CA33" s="5">
        <f t="shared" si="115"/>
        <v>0</v>
      </c>
      <c r="CB33" s="5" t="str">
        <f t="shared" si="102"/>
        <v>-----</v>
      </c>
      <c r="CC33" s="5" t="str">
        <f t="shared" si="101"/>
        <v>-----</v>
      </c>
      <c r="CD33" s="5" t="str">
        <f t="shared" si="101"/>
        <v>-----</v>
      </c>
      <c r="CE33" s="5" t="str">
        <f t="shared" si="101"/>
        <v>-----</v>
      </c>
      <c r="CF33" s="5" t="str">
        <f t="shared" si="101"/>
        <v>-----</v>
      </c>
      <c r="CG33" s="5" t="str">
        <f t="shared" si="101"/>
        <v>-----</v>
      </c>
      <c r="CH33" s="5"/>
      <c r="CI33" s="17" t="str">
        <f t="shared" si="19"/>
        <v>-----</v>
      </c>
      <c r="CJ33" s="17" t="str">
        <f t="shared" si="20"/>
        <v>-----</v>
      </c>
      <c r="CK33" s="17" t="str">
        <f t="shared" si="21"/>
        <v>-----</v>
      </c>
      <c r="CL33" s="17" t="str">
        <f t="shared" si="22"/>
        <v>-----</v>
      </c>
      <c r="CM33" s="17" t="str">
        <f t="shared" si="23"/>
        <v>-----</v>
      </c>
      <c r="CN33" s="17" t="str">
        <f t="shared" si="24"/>
        <v>-----</v>
      </c>
      <c r="CO33" s="5"/>
      <c r="CP33" s="5" t="str">
        <f t="shared" si="77"/>
        <v>-----</v>
      </c>
      <c r="CQ33" s="5" t="str">
        <f t="shared" si="77"/>
        <v>-----</v>
      </c>
      <c r="CR33" s="5" t="str">
        <f t="shared" si="77"/>
        <v>-----</v>
      </c>
      <c r="CS33" s="5" t="str">
        <f t="shared" si="77"/>
        <v>-----</v>
      </c>
      <c r="CT33" s="5" t="str">
        <f t="shared" si="77"/>
        <v>-----</v>
      </c>
      <c r="CU33" s="5" t="str">
        <f t="shared" si="77"/>
        <v>-----</v>
      </c>
      <c r="CV33" s="5"/>
      <c r="CW33" s="17" t="str">
        <f t="shared" si="78"/>
        <v/>
      </c>
      <c r="CX33" s="17" t="str">
        <f t="shared" si="78"/>
        <v/>
      </c>
      <c r="CY33" s="17" t="str">
        <f t="shared" si="78"/>
        <v/>
      </c>
      <c r="CZ33" s="17" t="str">
        <f t="shared" si="78"/>
        <v/>
      </c>
      <c r="DA33" s="17" t="str">
        <f t="shared" si="78"/>
        <v/>
      </c>
      <c r="DB33" s="17" t="str">
        <f t="shared" si="78"/>
        <v/>
      </c>
      <c r="DC33" s="8"/>
      <c r="DD33" s="5">
        <f t="shared" si="27"/>
        <v>0</v>
      </c>
      <c r="DE33" s="17" t="str">
        <f t="shared" si="79"/>
        <v>-----</v>
      </c>
      <c r="DF33" s="5" t="str" cm="1">
        <f t="array" ref="DF33">_xlfn.IFS(DE33=CW33,CP33,DE33=CX33,CQ33,DE33=CY33,CR33,DE33=CZ33,CS33,DE33=DA33,CT33,DE33=DB33,CU33,TRUE,"----- ")</f>
        <v xml:space="preserve">----- </v>
      </c>
      <c r="DG33" s="5"/>
      <c r="DH33" s="5">
        <f t="shared" si="80"/>
        <v>-2.423265306122455E-3</v>
      </c>
      <c r="DI33" s="5">
        <f t="shared" si="81"/>
        <v>-3.7194805194805478E-4</v>
      </c>
      <c r="DJ33" s="5">
        <f t="shared" si="82"/>
        <v>-1.6402721088435472E-3</v>
      </c>
      <c r="DK33" s="5">
        <f t="shared" si="83"/>
        <v>7.6471243042669956E-4</v>
      </c>
      <c r="DL33" s="5">
        <f t="shared" si="84"/>
        <v>-2.3081014223875058E-4</v>
      </c>
      <c r="DM33" s="5">
        <f t="shared" si="85"/>
        <v>1.5802844774273381E-3</v>
      </c>
      <c r="DO33" s="5">
        <f t="shared" si="29"/>
        <v>-1.9079214597220278</v>
      </c>
      <c r="DP33" s="5">
        <f t="shared" si="30"/>
        <v>-0.29295343676527091</v>
      </c>
      <c r="DQ33" s="5">
        <f t="shared" si="31"/>
        <v>-1.2917022253843653</v>
      </c>
      <c r="DR33" s="5">
        <f t="shared" si="32"/>
        <v>0.60228527619529781</v>
      </c>
      <c r="DS33" s="5">
        <f t="shared" si="33"/>
        <v>-0.18179147971962978</v>
      </c>
      <c r="DT33" s="5">
        <f t="shared" si="34"/>
        <v>1.2444775446344229</v>
      </c>
      <c r="DV33" t="str" cm="1">
        <f t="array" ref="DV33">_xlfn.IFS(DO33&gt;3,"Strong + Slope",DO33&gt;1.5,"Moderate + Slope",DO33&gt;0.5,"Sideway + Slope",DO33&gt;=-0.5,"Sideway Flat",DO33&gt;=-1.5,"Sideway - Slope",DO33&gt;=-3,"Moderate - Slope",TRUE,"Strong - Slope")</f>
        <v>Moderate - Slope</v>
      </c>
      <c r="DW33" t="str" cm="1">
        <f t="array" ref="DW33">_xlfn.IFS(DP33&gt;3,"Strong + Slope",DP33&gt;1.5,"Moderate + Slope",DP33&gt;0.5,"Sideway + Slope",DP33&gt;=-0.5,"Sideway Flat",DP33&gt;=-1.5,"Sideway - Slope",DP33&gt;=-3,"Moderate - Slope",TRUE,"Strong - Slope")</f>
        <v>Sideway Flat</v>
      </c>
      <c r="DX33" t="str" cm="1">
        <f t="array" ref="DX33">_xlfn.IFS(DQ33&gt;3,"Strong + Slope",DQ33&gt;1.5,"Moderate + Slope",DQ33&gt;0.5,"Sideway + Slope",DQ33&gt;=-0.5,"Sideway Flat",DQ33&gt;=-1.5,"Sideway - Slope",DQ33&gt;=-3,"Moderate - Slope",TRUE,"Strong - Slope")</f>
        <v>Sideway - Slope</v>
      </c>
      <c r="DY33" t="str" cm="1">
        <f t="array" ref="DY33">_xlfn.IFS(DR33&gt;3,"Strong + Slope",DR33&gt;1.5,"Moderate + Slope",DR33&gt;0.5,"Sideway + Slope",DR33&gt;=-0.5,"Sideway Flat",DR33&gt;=-1.5,"Sideway - Slope",DR33&gt;=-3,"Moderate - Slope",TRUE,"Strong - Slope")</f>
        <v>Sideway + Slope</v>
      </c>
      <c r="DZ33" t="str" cm="1">
        <f t="array" ref="DZ33">_xlfn.IFS(DS33&gt;3,"Strong + Slope",DS33&gt;1.5,"Moderate + Slope",DS33&gt;0.5,"Sideway + Slope",DS33&gt;=-0.5,"Sideway Flat",DS33&gt;=-1.5,"Sideway - Slope",DS33&gt;=-3,"Moderate - Slope",TRUE,"Strong - Slope")</f>
        <v>Sideway Flat</v>
      </c>
      <c r="EA33" t="str" cm="1">
        <f t="array" ref="EA33">_xlfn.IFS(DT33&gt;3,"Strong + Slope",DT33&gt;1.5,"Moderate + Slope",DT33&gt;0.5,"Sideway + Slope",DT33&gt;=-0.5,"Sideway Flat",DT33&gt;=-1.5,"Sideway - Slope",DT33&gt;=-3,"Moderate - Slope",TRUE,"Strong - Slope")</f>
        <v>Sideway + Slope</v>
      </c>
      <c r="EB33" s="5"/>
      <c r="EC33" s="5">
        <f t="shared" si="35"/>
        <v>2</v>
      </c>
      <c r="ED33" s="5">
        <f t="shared" si="36"/>
        <v>3</v>
      </c>
      <c r="EE33" s="5">
        <f t="shared" si="37"/>
        <v>1</v>
      </c>
      <c r="EF33" s="5">
        <f t="shared" si="38"/>
        <v>6</v>
      </c>
      <c r="EG33" s="5">
        <f t="shared" si="39"/>
        <v>5</v>
      </c>
      <c r="EH33" s="5">
        <f t="shared" si="40"/>
        <v>4</v>
      </c>
      <c r="EI33" s="5"/>
      <c r="EJ33" s="5" t="str">
        <f t="shared" si="41"/>
        <v>SUP</v>
      </c>
      <c r="EK33" s="5" t="str">
        <f t="shared" si="42"/>
        <v>SUP</v>
      </c>
      <c r="EL33" s="5" t="str">
        <f t="shared" si="43"/>
        <v>RES</v>
      </c>
      <c r="EM33" s="5" t="str">
        <f t="shared" si="44"/>
        <v>SUP</v>
      </c>
      <c r="EN33" s="5" t="str">
        <f t="shared" si="45"/>
        <v>SUP</v>
      </c>
      <c r="EO33" s="5" t="str">
        <f t="shared" si="46"/>
        <v>SUP</v>
      </c>
      <c r="EP33" s="5"/>
      <c r="EQ33" s="8">
        <f t="shared" si="47"/>
        <v>-1.2731368132405784E-3</v>
      </c>
      <c r="ER33" s="8">
        <f t="shared" si="48"/>
        <v>-1.7236313779256463E-3</v>
      </c>
      <c r="ES33" s="8">
        <f t="shared" si="49"/>
        <v>3.9173440407405267E-4</v>
      </c>
      <c r="ET33" s="8">
        <f t="shared" si="50"/>
        <v>-3.806352626252724E-3</v>
      </c>
      <c r="EU33" s="8">
        <f t="shared" si="51"/>
        <v>-3.7149479319687163E-3</v>
      </c>
      <c r="EV33" s="8">
        <f t="shared" si="52"/>
        <v>-2.3047040773021268E-3</v>
      </c>
      <c r="EW33" s="8"/>
      <c r="EX33" s="8">
        <f t="shared" si="53"/>
        <v>0.90668740279937443</v>
      </c>
      <c r="EY33" s="9">
        <f t="shared" si="54"/>
        <v>1</v>
      </c>
      <c r="EZ33" s="10">
        <f t="shared" si="55"/>
        <v>5</v>
      </c>
      <c r="FA33" s="8">
        <f t="shared" si="86"/>
        <v>3.9173440407405267E-4</v>
      </c>
      <c r="FB33" s="8">
        <f t="shared" si="87"/>
        <v>-1.2731368132405784E-3</v>
      </c>
      <c r="FC33" s="8">
        <f t="shared" si="88"/>
        <v>-1.7236313779256463E-3</v>
      </c>
      <c r="FD33" s="8">
        <f t="shared" si="89"/>
        <v>-2.3047040773021268E-3</v>
      </c>
      <c r="FE33" s="8">
        <f t="shared" si="90"/>
        <v>-3.7149479319687163E-3</v>
      </c>
      <c r="FF33" s="8">
        <f t="shared" si="91"/>
        <v>-3.806352626252724E-3</v>
      </c>
      <c r="FG33" s="5"/>
      <c r="FH33" s="5" t="str">
        <f t="shared" si="56"/>
        <v>Flat Momentum</v>
      </c>
      <c r="FI33" s="5" t="str">
        <f t="shared" si="92"/>
        <v>-----</v>
      </c>
      <c r="FJ33" s="5"/>
      <c r="FK33" s="5" t="str">
        <f t="shared" si="93"/>
        <v>-----</v>
      </c>
      <c r="FL33" s="5" t="str">
        <f t="shared" si="94"/>
        <v>-----</v>
      </c>
      <c r="FM33" s="5"/>
      <c r="FN33" s="5"/>
      <c r="FO33" s="8" t="str">
        <f t="shared" si="113"/>
        <v>Bearish</v>
      </c>
      <c r="FP33" s="8"/>
      <c r="FQ33" s="14">
        <f t="shared" si="57"/>
        <v>-1.829300162023179E-4</v>
      </c>
      <c r="FR33" s="14">
        <f t="shared" si="58"/>
        <v>0.77110558469217227</v>
      </c>
      <c r="FS33" s="14" t="str">
        <f t="shared" si="59"/>
        <v>-----</v>
      </c>
      <c r="FT33" s="14" t="str">
        <f t="shared" si="60"/>
        <v>Bullish</v>
      </c>
      <c r="FU33" s="5" t="str">
        <f t="shared" si="95"/>
        <v>-----</v>
      </c>
      <c r="FV33" s="5" t="str">
        <f t="shared" si="96"/>
        <v>-----</v>
      </c>
      <c r="FW33" s="5"/>
      <c r="FX33" s="15" t="str">
        <f t="shared" si="103"/>
        <v>YES</v>
      </c>
      <c r="FY33" s="15" t="str">
        <f t="shared" si="104"/>
        <v>-----</v>
      </c>
      <c r="FZ33" s="15" t="str">
        <f t="shared" si="105"/>
        <v>-----</v>
      </c>
      <c r="GA33" s="15" t="str">
        <f t="shared" si="106"/>
        <v>-----</v>
      </c>
      <c r="GB33" s="16" t="str">
        <f t="shared" si="107"/>
        <v>-----</v>
      </c>
      <c r="GC33" s="16" t="str">
        <f t="shared" si="108"/>
        <v>-----</v>
      </c>
      <c r="GD33" s="16" t="str">
        <f t="shared" si="109"/>
        <v>-----</v>
      </c>
      <c r="GE33" s="16" t="str">
        <f t="shared" si="112"/>
        <v>YES</v>
      </c>
      <c r="GF33" s="15" t="str">
        <f t="shared" si="110"/>
        <v>-----</v>
      </c>
      <c r="GG33" s="16" t="str">
        <f t="shared" si="111"/>
        <v>-----</v>
      </c>
      <c r="GH33" s="14"/>
      <c r="GI33" s="5" t="str">
        <f t="shared" si="61"/>
        <v>-----</v>
      </c>
      <c r="GJ33" s="5" t="str">
        <f t="shared" si="62"/>
        <v>-----</v>
      </c>
      <c r="GK33" s="5"/>
      <c r="GL33" s="5" t="str">
        <f t="shared" si="63"/>
        <v>-----</v>
      </c>
      <c r="GM33" s="5" t="str">
        <f t="shared" si="64"/>
        <v>-----</v>
      </c>
      <c r="GN33" s="5"/>
      <c r="GO33" s="12">
        <f t="shared" si="65"/>
        <v>0.12600000000000477</v>
      </c>
      <c r="GP33" s="5">
        <f t="shared" si="97"/>
        <v>1.1574775448985342</v>
      </c>
      <c r="GQ33" s="13" t="str">
        <f t="shared" si="98"/>
        <v>-----</v>
      </c>
      <c r="GR33" s="5"/>
      <c r="GS33">
        <f t="shared" si="99"/>
        <v>1.1586949409062255</v>
      </c>
      <c r="GT33" s="5" t="str">
        <f t="shared" si="100"/>
        <v>-----</v>
      </c>
    </row>
    <row r="34" spans="1:202" x14ac:dyDescent="0.55000000000000004">
      <c r="A34">
        <v>30</v>
      </c>
      <c r="B34" t="s">
        <v>33</v>
      </c>
      <c r="C34" t="s">
        <v>4</v>
      </c>
      <c r="D34" t="s">
        <v>103</v>
      </c>
      <c r="E34">
        <v>153.16399999999999</v>
      </c>
      <c r="F34">
        <v>153.166</v>
      </c>
      <c r="G34">
        <v>153.07499999999999</v>
      </c>
      <c r="H34">
        <v>153.161</v>
      </c>
      <c r="I34">
        <v>337</v>
      </c>
      <c r="J34">
        <v>152.96799999999999</v>
      </c>
      <c r="K34">
        <v>152.9</v>
      </c>
      <c r="L34">
        <v>153.22300000000001</v>
      </c>
      <c r="M34">
        <v>152.58199999999999</v>
      </c>
      <c r="N34">
        <v>152.596</v>
      </c>
      <c r="O34">
        <v>152.81399999999999</v>
      </c>
      <c r="P34">
        <v>0</v>
      </c>
      <c r="Q34">
        <v>0</v>
      </c>
      <c r="R34">
        <v>0</v>
      </c>
      <c r="S34">
        <v>0</v>
      </c>
      <c r="T34">
        <v>1</v>
      </c>
      <c r="U34">
        <v>1.0335300000000001</v>
      </c>
      <c r="V34">
        <v>3</v>
      </c>
      <c r="W34">
        <v>153.38193999999999</v>
      </c>
      <c r="X34">
        <v>153.29866000000001</v>
      </c>
      <c r="Y34">
        <v>153.21538000000001</v>
      </c>
      <c r="Z34">
        <v>153.13210000000001</v>
      </c>
      <c r="AA34">
        <v>153.04883000000001</v>
      </c>
      <c r="AB34">
        <v>152.93010000000001</v>
      </c>
      <c r="AC34">
        <v>152.84682000000001</v>
      </c>
      <c r="AD34">
        <v>152.76354000000001</v>
      </c>
      <c r="AE34">
        <v>152.68027000000001</v>
      </c>
      <c r="AF34">
        <v>152.59699000000001</v>
      </c>
      <c r="AG34">
        <v>153.131</v>
      </c>
      <c r="AH34">
        <v>153.05600000000001</v>
      </c>
      <c r="AI34">
        <v>153.06899999999999</v>
      </c>
      <c r="AJ34">
        <v>153.17099999999999</v>
      </c>
      <c r="AK34">
        <v>153.178</v>
      </c>
      <c r="AL34">
        <v>153.066</v>
      </c>
      <c r="AM34" s="11">
        <f t="shared" si="0"/>
        <v>9.1000000000008185E-2</v>
      </c>
      <c r="AN34" s="11">
        <f t="shared" si="66"/>
        <v>1.0000000000047748E-3</v>
      </c>
      <c r="AO34" s="11">
        <f t="shared" si="67"/>
        <v>9.0000000000003411E-2</v>
      </c>
      <c r="AP34" s="11">
        <f t="shared" si="68"/>
        <v>9.1000000000008185E-2</v>
      </c>
      <c r="AR34" s="5" t="str">
        <f t="shared" si="1"/>
        <v>------</v>
      </c>
      <c r="AS34" s="5" t="str">
        <f t="shared" si="2"/>
        <v>------</v>
      </c>
      <c r="AT34" t="str">
        <f t="shared" si="3"/>
        <v/>
      </c>
      <c r="AV34" s="2">
        <f t="shared" si="4"/>
        <v>152.9909452</v>
      </c>
      <c r="AW34" s="2">
        <f t="shared" si="5"/>
        <v>152.94505479999998</v>
      </c>
      <c r="AX34" s="2">
        <f t="shared" si="6"/>
        <v>152.92293500000002</v>
      </c>
      <c r="AY34" s="2">
        <f t="shared" si="7"/>
        <v>152.87706500000002</v>
      </c>
      <c r="AZ34" s="2">
        <f t="shared" si="8"/>
        <v>153.24598345000004</v>
      </c>
      <c r="BA34" s="2">
        <f t="shared" si="9"/>
        <v>153.20001655000002</v>
      </c>
      <c r="BB34" s="2">
        <f t="shared" si="10"/>
        <v>152.6048873</v>
      </c>
      <c r="BC34" s="2">
        <f t="shared" si="11"/>
        <v>152.55911269999999</v>
      </c>
      <c r="BD34" s="2">
        <f t="shared" si="12"/>
        <v>152.61888940000003</v>
      </c>
      <c r="BE34" s="2">
        <f t="shared" si="13"/>
        <v>152.57311060000001</v>
      </c>
      <c r="BF34" s="2">
        <f t="shared" si="14"/>
        <v>152.83692210000001</v>
      </c>
      <c r="BG34" s="2">
        <f t="shared" si="15"/>
        <v>152.7910779</v>
      </c>
      <c r="BI34" s="5" t="str">
        <f t="shared" si="69"/>
        <v>-----</v>
      </c>
      <c r="BJ34" s="5" t="str">
        <f t="shared" si="70"/>
        <v>-----</v>
      </c>
      <c r="BK34" s="5" t="str">
        <f t="shared" si="71"/>
        <v>-----</v>
      </c>
      <c r="BL34" s="5" t="str">
        <f t="shared" si="72"/>
        <v>-----</v>
      </c>
      <c r="BM34" s="5" t="str">
        <f t="shared" si="73"/>
        <v>-----</v>
      </c>
      <c r="BN34" s="5" t="str">
        <f t="shared" si="74"/>
        <v>-----</v>
      </c>
      <c r="BO34" s="5"/>
      <c r="BP34" s="5">
        <f t="shared" si="114"/>
        <v>3</v>
      </c>
      <c r="BQ34" s="5">
        <f t="shared" si="114"/>
        <v>17</v>
      </c>
      <c r="BR34" s="5">
        <f t="shared" si="114"/>
        <v>28</v>
      </c>
      <c r="BS34" s="5">
        <f t="shared" si="114"/>
        <v>30</v>
      </c>
      <c r="BT34" s="5">
        <f t="shared" si="114"/>
        <v>30</v>
      </c>
      <c r="BU34" s="5">
        <f t="shared" si="114"/>
        <v>30</v>
      </c>
      <c r="BV34" s="5">
        <f t="shared" si="115"/>
        <v>8</v>
      </c>
      <c r="BW34" s="5">
        <f t="shared" si="115"/>
        <v>4</v>
      </c>
      <c r="BX34" s="5">
        <f t="shared" si="115"/>
        <v>2</v>
      </c>
      <c r="BY34" s="5">
        <f t="shared" si="115"/>
        <v>0</v>
      </c>
      <c r="BZ34" s="5">
        <f t="shared" si="115"/>
        <v>0</v>
      </c>
      <c r="CA34" s="5">
        <f t="shared" si="115"/>
        <v>0</v>
      </c>
      <c r="CB34" s="5" t="str">
        <f t="shared" si="102"/>
        <v>-----</v>
      </c>
      <c r="CC34" s="5" t="str">
        <f t="shared" si="101"/>
        <v>-----</v>
      </c>
      <c r="CD34" s="5" t="str">
        <f t="shared" si="101"/>
        <v>-----</v>
      </c>
      <c r="CE34" s="5" t="str">
        <f t="shared" si="101"/>
        <v>-----</v>
      </c>
      <c r="CF34" s="5" t="str">
        <f t="shared" si="101"/>
        <v>-----</v>
      </c>
      <c r="CG34" s="5" t="str">
        <f t="shared" si="101"/>
        <v>-----</v>
      </c>
      <c r="CH34" s="5"/>
      <c r="CI34" s="17" t="str">
        <f t="shared" si="19"/>
        <v>-----</v>
      </c>
      <c r="CJ34" s="17" t="str">
        <f t="shared" si="20"/>
        <v>-----</v>
      </c>
      <c r="CK34" s="17" t="str">
        <f t="shared" si="21"/>
        <v>-----</v>
      </c>
      <c r="CL34" s="17" t="str">
        <f t="shared" si="22"/>
        <v>-----</v>
      </c>
      <c r="CM34" s="17" t="str">
        <f t="shared" si="23"/>
        <v>-----</v>
      </c>
      <c r="CN34" s="17" t="str">
        <f t="shared" si="24"/>
        <v>-----</v>
      </c>
      <c r="CO34" s="5"/>
      <c r="CP34" s="5" t="str">
        <f t="shared" si="77"/>
        <v>-----</v>
      </c>
      <c r="CQ34" s="5" t="str">
        <f t="shared" si="77"/>
        <v>-----</v>
      </c>
      <c r="CR34" s="5" t="str">
        <f t="shared" si="77"/>
        <v>-----</v>
      </c>
      <c r="CS34" s="5" t="str">
        <f t="shared" si="77"/>
        <v>-----</v>
      </c>
      <c r="CT34" s="5" t="str">
        <f t="shared" si="77"/>
        <v>-----</v>
      </c>
      <c r="CU34" s="5" t="str">
        <f t="shared" si="77"/>
        <v>-----</v>
      </c>
      <c r="CV34" s="5"/>
      <c r="CW34" s="17" t="str">
        <f t="shared" si="78"/>
        <v/>
      </c>
      <c r="CX34" s="17" t="str">
        <f t="shared" si="78"/>
        <v/>
      </c>
      <c r="CY34" s="17" t="str">
        <f t="shared" si="78"/>
        <v/>
      </c>
      <c r="CZ34" s="17" t="str">
        <f t="shared" si="78"/>
        <v/>
      </c>
      <c r="DA34" s="17" t="str">
        <f t="shared" si="78"/>
        <v/>
      </c>
      <c r="DB34" s="17" t="str">
        <f t="shared" si="78"/>
        <v/>
      </c>
      <c r="DC34" s="8"/>
      <c r="DD34" s="5">
        <f t="shared" si="27"/>
        <v>0</v>
      </c>
      <c r="DE34" s="17" t="str">
        <f t="shared" si="79"/>
        <v>-----</v>
      </c>
      <c r="DF34" s="5" t="str" cm="1">
        <f t="array" ref="DF34">_xlfn.IFS(DE34=CW34,CP34,DE34=CX34,CQ34,DE34=CY34,CR34,DE34=CZ34,CS34,DE34=DA34,CT34,DE34=DB34,CU34,TRUE,"----- ")</f>
        <v xml:space="preserve">----- </v>
      </c>
      <c r="DG34" s="5"/>
      <c r="DH34" s="5">
        <f t="shared" si="80"/>
        <v>-2.423265306122455E-3</v>
      </c>
      <c r="DI34" s="5">
        <f t="shared" si="81"/>
        <v>-3.7194805194805478E-4</v>
      </c>
      <c r="DJ34" s="5">
        <f t="shared" si="82"/>
        <v>-1.6402721088435472E-3</v>
      </c>
      <c r="DK34" s="5">
        <f t="shared" si="83"/>
        <v>7.6471243042669956E-4</v>
      </c>
      <c r="DL34" s="5">
        <f t="shared" si="84"/>
        <v>-2.3081014223875058E-4</v>
      </c>
      <c r="DM34" s="5">
        <f t="shared" si="85"/>
        <v>1.5802844774273381E-3</v>
      </c>
      <c r="DO34" s="5">
        <f t="shared" si="29"/>
        <v>-1.9079214597220278</v>
      </c>
      <c r="DP34" s="5">
        <f t="shared" si="30"/>
        <v>-0.29295343676527091</v>
      </c>
      <c r="DQ34" s="5">
        <f t="shared" si="31"/>
        <v>-1.2917022253843653</v>
      </c>
      <c r="DR34" s="5">
        <f t="shared" si="32"/>
        <v>0.60228527619529781</v>
      </c>
      <c r="DS34" s="5">
        <f t="shared" si="33"/>
        <v>-0.18179147971962978</v>
      </c>
      <c r="DT34" s="5">
        <f t="shared" si="34"/>
        <v>1.2444775446344229</v>
      </c>
      <c r="DV34" t="str" cm="1">
        <f t="array" ref="DV34">_xlfn.IFS(DO34&gt;3,"Strong + Slope",DO34&gt;1.5,"Moderate + Slope",DO34&gt;0.5,"Sideway + Slope",DO34&gt;=-0.5,"Sideway Flat",DO34&gt;=-1.5,"Sideway - Slope",DO34&gt;=-3,"Moderate - Slope",TRUE,"Strong - Slope")</f>
        <v>Moderate - Slope</v>
      </c>
      <c r="DW34" t="str" cm="1">
        <f t="array" ref="DW34">_xlfn.IFS(DP34&gt;3,"Strong + Slope",DP34&gt;1.5,"Moderate + Slope",DP34&gt;0.5,"Sideway + Slope",DP34&gt;=-0.5,"Sideway Flat",DP34&gt;=-1.5,"Sideway - Slope",DP34&gt;=-3,"Moderate - Slope",TRUE,"Strong - Slope")</f>
        <v>Sideway Flat</v>
      </c>
      <c r="DX34" t="str" cm="1">
        <f t="array" ref="DX34">_xlfn.IFS(DQ34&gt;3,"Strong + Slope",DQ34&gt;1.5,"Moderate + Slope",DQ34&gt;0.5,"Sideway + Slope",DQ34&gt;=-0.5,"Sideway Flat",DQ34&gt;=-1.5,"Sideway - Slope",DQ34&gt;=-3,"Moderate - Slope",TRUE,"Strong - Slope")</f>
        <v>Sideway - Slope</v>
      </c>
      <c r="DY34" t="str" cm="1">
        <f t="array" ref="DY34">_xlfn.IFS(DR34&gt;3,"Strong + Slope",DR34&gt;1.5,"Moderate + Slope",DR34&gt;0.5,"Sideway + Slope",DR34&gt;=-0.5,"Sideway Flat",DR34&gt;=-1.5,"Sideway - Slope",DR34&gt;=-3,"Moderate - Slope",TRUE,"Strong - Slope")</f>
        <v>Sideway + Slope</v>
      </c>
      <c r="DZ34" t="str" cm="1">
        <f t="array" ref="DZ34">_xlfn.IFS(DS34&gt;3,"Strong + Slope",DS34&gt;1.5,"Moderate + Slope",DS34&gt;0.5,"Sideway + Slope",DS34&gt;=-0.5,"Sideway Flat",DS34&gt;=-1.5,"Sideway - Slope",DS34&gt;=-3,"Moderate - Slope",TRUE,"Strong - Slope")</f>
        <v>Sideway Flat</v>
      </c>
      <c r="EA34" t="str" cm="1">
        <f t="array" ref="EA34">_xlfn.IFS(DT34&gt;3,"Strong + Slope",DT34&gt;1.5,"Moderate + Slope",DT34&gt;0.5,"Sideway + Slope",DT34&gt;=-0.5,"Sideway Flat",DT34&gt;=-1.5,"Sideway - Slope",DT34&gt;=-3,"Moderate - Slope",TRUE,"Strong - Slope")</f>
        <v>Sideway + Slope</v>
      </c>
      <c r="EB34" s="5"/>
      <c r="EC34" s="5">
        <f t="shared" si="35"/>
        <v>2</v>
      </c>
      <c r="ED34" s="5">
        <f t="shared" si="36"/>
        <v>3</v>
      </c>
      <c r="EE34" s="5">
        <f t="shared" si="37"/>
        <v>1</v>
      </c>
      <c r="EF34" s="5">
        <f t="shared" si="38"/>
        <v>6</v>
      </c>
      <c r="EG34" s="5">
        <f t="shared" si="39"/>
        <v>5</v>
      </c>
      <c r="EH34" s="5">
        <f t="shared" si="40"/>
        <v>4</v>
      </c>
      <c r="EI34" s="5"/>
      <c r="EJ34" s="5" t="str">
        <f t="shared" si="41"/>
        <v>SUP</v>
      </c>
      <c r="EK34" s="5" t="str">
        <f t="shared" si="42"/>
        <v>SUP</v>
      </c>
      <c r="EL34" s="5" t="str">
        <f t="shared" si="43"/>
        <v>RES</v>
      </c>
      <c r="EM34" s="5" t="str">
        <f t="shared" si="44"/>
        <v>SUP</v>
      </c>
      <c r="EN34" s="5" t="str">
        <f t="shared" si="45"/>
        <v>SUP</v>
      </c>
      <c r="EO34" s="5" t="str">
        <f t="shared" si="46"/>
        <v>SUP</v>
      </c>
      <c r="EP34" s="5"/>
      <c r="EQ34" s="8">
        <f t="shared" si="47"/>
        <v>-1.2601119083840667E-3</v>
      </c>
      <c r="ER34" s="8">
        <f t="shared" si="48"/>
        <v>-1.7040891610788365E-3</v>
      </c>
      <c r="ES34" s="8">
        <f t="shared" si="49"/>
        <v>4.048027892218765E-4</v>
      </c>
      <c r="ET34" s="8">
        <f t="shared" si="50"/>
        <v>-3.7803357251520145E-3</v>
      </c>
      <c r="EU34" s="8">
        <f t="shared" si="51"/>
        <v>-3.6889286437147687E-3</v>
      </c>
      <c r="EV34" s="8">
        <f t="shared" si="52"/>
        <v>-2.2655898041930283E-3</v>
      </c>
      <c r="EW34" s="8"/>
      <c r="EX34" s="8">
        <f t="shared" si="53"/>
        <v>0.9032761310452263</v>
      </c>
      <c r="EY34" s="9">
        <f t="shared" si="54"/>
        <v>1</v>
      </c>
      <c r="EZ34" s="10">
        <f t="shared" si="55"/>
        <v>5</v>
      </c>
      <c r="FA34" s="8">
        <f t="shared" si="86"/>
        <v>4.048027892218765E-4</v>
      </c>
      <c r="FB34" s="8">
        <f t="shared" si="87"/>
        <v>-1.2601119083840667E-3</v>
      </c>
      <c r="FC34" s="8">
        <f t="shared" si="88"/>
        <v>-1.7040891610788365E-3</v>
      </c>
      <c r="FD34" s="8">
        <f t="shared" si="89"/>
        <v>-2.2655898041930283E-3</v>
      </c>
      <c r="FE34" s="8">
        <f t="shared" si="90"/>
        <v>-3.6889286437147687E-3</v>
      </c>
      <c r="FF34" s="8">
        <f t="shared" si="91"/>
        <v>-3.7803357251520145E-3</v>
      </c>
      <c r="FG34" s="5"/>
      <c r="FH34" s="5" t="str">
        <f t="shared" si="56"/>
        <v>Flat Momentum</v>
      </c>
      <c r="FI34" s="5" t="str">
        <f t="shared" si="92"/>
        <v>-----</v>
      </c>
      <c r="FJ34" s="5"/>
      <c r="FK34" s="5" t="str">
        <f t="shared" si="93"/>
        <v>-----</v>
      </c>
      <c r="FL34" s="5" t="str">
        <f t="shared" si="94"/>
        <v>-----</v>
      </c>
      <c r="FM34" s="5"/>
      <c r="FN34" s="5"/>
      <c r="FO34" s="8" t="str">
        <f t="shared" si="113"/>
        <v>Bearish</v>
      </c>
      <c r="FP34" s="8"/>
      <c r="FQ34" s="14">
        <f t="shared" si="57"/>
        <v>-8.4929018939019718E-5</v>
      </c>
      <c r="FR34" s="14">
        <f t="shared" si="58"/>
        <v>1.0537456330070656</v>
      </c>
      <c r="FS34" s="14" t="str">
        <f t="shared" si="59"/>
        <v>-----</v>
      </c>
      <c r="FT34" s="14" t="str">
        <f t="shared" si="60"/>
        <v>Bullish</v>
      </c>
      <c r="FU34" s="5" t="str">
        <f t="shared" si="95"/>
        <v>-----</v>
      </c>
      <c r="FV34" s="5" t="str">
        <f t="shared" si="96"/>
        <v>-----</v>
      </c>
      <c r="FW34" s="5"/>
      <c r="FX34" s="15" t="str">
        <f t="shared" si="103"/>
        <v>YES</v>
      </c>
      <c r="FY34" s="15" t="str">
        <f t="shared" si="104"/>
        <v>-----</v>
      </c>
      <c r="FZ34" s="15" t="str">
        <f t="shared" si="105"/>
        <v>-----</v>
      </c>
      <c r="GA34" s="15" t="str">
        <f t="shared" si="106"/>
        <v>-----</v>
      </c>
      <c r="GB34" s="16" t="str">
        <f t="shared" si="107"/>
        <v>-----</v>
      </c>
      <c r="GC34" s="16" t="str">
        <f t="shared" si="108"/>
        <v>-----</v>
      </c>
      <c r="GD34" s="16" t="str">
        <f t="shared" si="109"/>
        <v>-----</v>
      </c>
      <c r="GE34" s="16" t="str">
        <f t="shared" si="112"/>
        <v>YES</v>
      </c>
      <c r="GF34" s="15" t="str">
        <f t="shared" si="110"/>
        <v>-----</v>
      </c>
      <c r="GG34" s="16" t="str">
        <f t="shared" si="111"/>
        <v>-----</v>
      </c>
      <c r="GH34" s="14"/>
      <c r="GI34" s="5" t="str">
        <f t="shared" si="61"/>
        <v>-----</v>
      </c>
      <c r="GJ34" s="5" t="str">
        <f t="shared" si="62"/>
        <v>-----</v>
      </c>
      <c r="GK34" s="5"/>
      <c r="GL34" s="5" t="str">
        <f t="shared" si="63"/>
        <v>-----</v>
      </c>
      <c r="GM34" s="5" t="str">
        <f t="shared" si="64"/>
        <v>-----</v>
      </c>
      <c r="GN34" s="5"/>
      <c r="GO34" s="12">
        <f t="shared" si="65"/>
        <v>0.11199999999999477</v>
      </c>
      <c r="GP34" s="5">
        <f t="shared" si="97"/>
        <v>0.83481787530271168</v>
      </c>
      <c r="GQ34" s="13" t="str">
        <f t="shared" si="98"/>
        <v>-----</v>
      </c>
      <c r="GR34" s="5"/>
      <c r="GS34">
        <f t="shared" si="99"/>
        <v>0.31333520369803247</v>
      </c>
      <c r="GT34" s="5" t="str">
        <f t="shared" si="100"/>
        <v>-----</v>
      </c>
    </row>
    <row r="35" spans="1:202" x14ac:dyDescent="0.55000000000000004">
      <c r="A35" s="18">
        <v>31</v>
      </c>
      <c r="B35" s="18" t="s">
        <v>34</v>
      </c>
      <c r="C35" s="18" t="s">
        <v>4</v>
      </c>
      <c r="D35" s="18" t="s">
        <v>103</v>
      </c>
      <c r="E35" s="18">
        <v>153.161</v>
      </c>
      <c r="F35" s="18">
        <v>153.17400000000001</v>
      </c>
      <c r="G35" s="18">
        <v>153.053</v>
      </c>
      <c r="H35" s="18">
        <v>153.053</v>
      </c>
      <c r="I35" s="18">
        <v>335</v>
      </c>
      <c r="J35" s="18">
        <v>152.96600000000001</v>
      </c>
      <c r="K35" s="18">
        <v>152.9</v>
      </c>
      <c r="L35" s="18">
        <v>153.22200000000001</v>
      </c>
      <c r="M35" s="18">
        <v>152.583</v>
      </c>
      <c r="N35" s="18">
        <v>152.596</v>
      </c>
      <c r="O35" s="18">
        <v>152.815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1.3623099999999999</v>
      </c>
      <c r="V35" s="18">
        <v>3</v>
      </c>
      <c r="W35" s="18">
        <v>153.38824</v>
      </c>
      <c r="X35" s="18">
        <v>153.30458999999999</v>
      </c>
      <c r="Y35" s="18">
        <v>153.22094000000001</v>
      </c>
      <c r="Z35" s="18">
        <v>153.13730000000001</v>
      </c>
      <c r="AA35" s="18">
        <v>153.05365</v>
      </c>
      <c r="AB35" s="18">
        <v>152.93489</v>
      </c>
      <c r="AC35" s="18">
        <v>152.85123999999999</v>
      </c>
      <c r="AD35" s="18">
        <v>152.76759000000001</v>
      </c>
      <c r="AE35" s="18">
        <v>152.68394000000001</v>
      </c>
      <c r="AF35" s="18">
        <v>152.60029</v>
      </c>
      <c r="AG35" s="18">
        <v>153.124</v>
      </c>
      <c r="AH35" s="18">
        <v>153.07</v>
      </c>
      <c r="AI35" s="18">
        <v>153.071</v>
      </c>
      <c r="AJ35" s="18">
        <v>153.16999999999999</v>
      </c>
      <c r="AK35" s="18">
        <v>153.18600000000001</v>
      </c>
      <c r="AL35" s="18">
        <v>153.07</v>
      </c>
      <c r="AM35" s="19">
        <f t="shared" si="0"/>
        <v>0.12100000000000932</v>
      </c>
      <c r="AN35" s="19">
        <f t="shared" si="66"/>
        <v>1.300000000000523E-2</v>
      </c>
      <c r="AO35" s="19">
        <f t="shared" si="67"/>
        <v>0.10800000000000409</v>
      </c>
      <c r="AP35" s="19">
        <f t="shared" si="68"/>
        <v>0.12100000000000932</v>
      </c>
      <c r="AQ35" s="18"/>
      <c r="AR35" s="20" t="str">
        <f t="shared" si="1"/>
        <v>------</v>
      </c>
      <c r="AS35" s="20" t="str">
        <f t="shared" si="2"/>
        <v>------</v>
      </c>
      <c r="AT35" s="18" t="str">
        <f t="shared" si="3"/>
        <v/>
      </c>
      <c r="AU35" s="18"/>
      <c r="AV35" s="21">
        <f t="shared" si="4"/>
        <v>152.98894490000004</v>
      </c>
      <c r="AW35" s="21">
        <f t="shared" si="5"/>
        <v>152.94305510000001</v>
      </c>
      <c r="AX35" s="21">
        <f t="shared" si="6"/>
        <v>152.92293500000002</v>
      </c>
      <c r="AY35" s="21">
        <f t="shared" si="7"/>
        <v>152.87706500000002</v>
      </c>
      <c r="AZ35" s="21">
        <f t="shared" si="8"/>
        <v>153.24498330000003</v>
      </c>
      <c r="BA35" s="21">
        <f t="shared" si="9"/>
        <v>153.19901670000002</v>
      </c>
      <c r="BB35" s="21">
        <f t="shared" si="10"/>
        <v>152.60588745000001</v>
      </c>
      <c r="BC35" s="21">
        <f t="shared" si="11"/>
        <v>152.56011255000001</v>
      </c>
      <c r="BD35" s="21">
        <f t="shared" si="12"/>
        <v>152.61888940000003</v>
      </c>
      <c r="BE35" s="21">
        <f t="shared" si="13"/>
        <v>152.57311060000001</v>
      </c>
      <c r="BF35" s="21">
        <f t="shared" si="14"/>
        <v>152.83792225000002</v>
      </c>
      <c r="BG35" s="21">
        <f t="shared" si="15"/>
        <v>152.79207775</v>
      </c>
      <c r="BH35" s="18"/>
      <c r="BI35" s="20" t="str">
        <f t="shared" si="69"/>
        <v>-----</v>
      </c>
      <c r="BJ35" s="20" t="str">
        <f t="shared" si="70"/>
        <v>-----</v>
      </c>
      <c r="BK35" s="20" t="str">
        <f t="shared" si="71"/>
        <v>-----</v>
      </c>
      <c r="BL35" s="20" t="str">
        <f t="shared" si="72"/>
        <v>-----</v>
      </c>
      <c r="BM35" s="20" t="str">
        <f t="shared" si="73"/>
        <v>-----</v>
      </c>
      <c r="BN35" s="20" t="str">
        <f t="shared" si="74"/>
        <v>-----</v>
      </c>
      <c r="BO35" s="20"/>
      <c r="BP35" s="20">
        <f t="shared" si="114"/>
        <v>4</v>
      </c>
      <c r="BQ35" s="20">
        <f t="shared" si="114"/>
        <v>18</v>
      </c>
      <c r="BR35" s="20">
        <f t="shared" si="114"/>
        <v>29</v>
      </c>
      <c r="BS35" s="20">
        <f t="shared" si="114"/>
        <v>31</v>
      </c>
      <c r="BT35" s="20">
        <f t="shared" si="114"/>
        <v>31</v>
      </c>
      <c r="BU35" s="20">
        <f t="shared" si="114"/>
        <v>31</v>
      </c>
      <c r="BV35" s="20">
        <f t="shared" si="115"/>
        <v>8</v>
      </c>
      <c r="BW35" s="20">
        <f t="shared" si="115"/>
        <v>4</v>
      </c>
      <c r="BX35" s="20">
        <f t="shared" si="115"/>
        <v>2</v>
      </c>
      <c r="BY35" s="20">
        <f t="shared" si="115"/>
        <v>0</v>
      </c>
      <c r="BZ35" s="20">
        <f t="shared" si="115"/>
        <v>0</v>
      </c>
      <c r="CA35" s="20">
        <f t="shared" si="115"/>
        <v>0</v>
      </c>
      <c r="CB35" s="20" t="str">
        <f t="shared" si="102"/>
        <v>-----</v>
      </c>
      <c r="CC35" s="20" t="str">
        <f t="shared" si="101"/>
        <v>-----</v>
      </c>
      <c r="CD35" s="20" t="str">
        <f t="shared" si="101"/>
        <v>-----</v>
      </c>
      <c r="CE35" s="20" t="str">
        <f t="shared" si="101"/>
        <v>-----</v>
      </c>
      <c r="CF35" s="20" t="str">
        <f t="shared" si="101"/>
        <v>-----</v>
      </c>
      <c r="CG35" s="20" t="str">
        <f t="shared" si="101"/>
        <v>-----</v>
      </c>
      <c r="CH35" s="20"/>
      <c r="CI35" s="22" t="str">
        <f t="shared" si="19"/>
        <v>-----</v>
      </c>
      <c r="CJ35" s="22" t="str">
        <f t="shared" si="20"/>
        <v>-----</v>
      </c>
      <c r="CK35" s="22" t="str">
        <f t="shared" si="21"/>
        <v>-----</v>
      </c>
      <c r="CL35" s="22" t="str">
        <f t="shared" si="22"/>
        <v>-----</v>
      </c>
      <c r="CM35" s="22" t="str">
        <f t="shared" si="23"/>
        <v>-----</v>
      </c>
      <c r="CN35" s="22" t="str">
        <f t="shared" si="24"/>
        <v>-----</v>
      </c>
      <c r="CO35" s="20"/>
      <c r="CP35" s="20" t="str">
        <f t="shared" si="77"/>
        <v>-----</v>
      </c>
      <c r="CQ35" s="20" t="str">
        <f t="shared" si="77"/>
        <v>-----</v>
      </c>
      <c r="CR35" s="20" t="str">
        <f t="shared" si="77"/>
        <v>-----</v>
      </c>
      <c r="CS35" s="20" t="str">
        <f t="shared" si="77"/>
        <v>-----</v>
      </c>
      <c r="CT35" s="20" t="str">
        <f t="shared" si="77"/>
        <v>-----</v>
      </c>
      <c r="CU35" s="20" t="str">
        <f t="shared" si="77"/>
        <v>-----</v>
      </c>
      <c r="CV35" s="20"/>
      <c r="CW35" s="22" t="str">
        <f t="shared" si="78"/>
        <v/>
      </c>
      <c r="CX35" s="22" t="str">
        <f t="shared" si="78"/>
        <v/>
      </c>
      <c r="CY35" s="22" t="str">
        <f t="shared" si="78"/>
        <v/>
      </c>
      <c r="CZ35" s="22" t="str">
        <f t="shared" si="78"/>
        <v/>
      </c>
      <c r="DA35" s="22" t="str">
        <f t="shared" si="78"/>
        <v/>
      </c>
      <c r="DB35" s="22" t="str">
        <f t="shared" si="78"/>
        <v/>
      </c>
      <c r="DC35" s="23"/>
      <c r="DD35" s="20">
        <f t="shared" si="27"/>
        <v>0</v>
      </c>
      <c r="DE35" s="22" t="str">
        <f t="shared" si="79"/>
        <v>-----</v>
      </c>
      <c r="DF35" s="20" t="str" cm="1">
        <f t="array" ref="DF35">_xlfn.IFS(DE35=CW35,CP35,DE35=CX35,CQ35,DE35=CY35,CR35,DE35=CZ35,CS35,DE35=DA35,CT35,DE35=DB35,CU35,TRUE,"----- ")</f>
        <v xml:space="preserve">----- </v>
      </c>
      <c r="DG35" s="20"/>
      <c r="DH35" s="20">
        <f t="shared" si="80"/>
        <v>-2.423265306122455E-3</v>
      </c>
      <c r="DI35" s="20">
        <f t="shared" si="81"/>
        <v>-3.7194805194805478E-4</v>
      </c>
      <c r="DJ35" s="20">
        <f t="shared" si="82"/>
        <v>-1.6402721088435472E-3</v>
      </c>
      <c r="DK35" s="20">
        <f t="shared" si="83"/>
        <v>7.6471243042669956E-4</v>
      </c>
      <c r="DL35" s="20">
        <f t="shared" si="84"/>
        <v>-2.3081014223875058E-4</v>
      </c>
      <c r="DM35" s="20">
        <f t="shared" si="85"/>
        <v>1.5802844774273381E-3</v>
      </c>
      <c r="DN35" s="18"/>
      <c r="DO35" s="20">
        <f t="shared" si="29"/>
        <v>-1.9079214597220278</v>
      </c>
      <c r="DP35" s="20">
        <f t="shared" si="30"/>
        <v>-0.29295343676527091</v>
      </c>
      <c r="DQ35" s="20">
        <f t="shared" si="31"/>
        <v>-1.2917022253843653</v>
      </c>
      <c r="DR35" s="20">
        <f t="shared" si="32"/>
        <v>0.60228527619529781</v>
      </c>
      <c r="DS35" s="20">
        <f t="shared" si="33"/>
        <v>-0.18179147971962978</v>
      </c>
      <c r="DT35" s="20">
        <f t="shared" si="34"/>
        <v>1.2444775446344229</v>
      </c>
      <c r="DU35" s="18"/>
      <c r="DV35" s="18" t="str" cm="1">
        <f t="array" ref="DV35">_xlfn.IFS(DO35&gt;3,"Strong + Slope",DO35&gt;1.5,"Moderate + Slope",DO35&gt;0.5,"Sideway + Slope",DO35&gt;=-0.5,"Sideway Flat",DO35&gt;=-1.5,"Sideway - Slope",DO35&gt;=-3,"Moderate - Slope",TRUE,"Strong - Slope")</f>
        <v>Moderate - Slope</v>
      </c>
      <c r="DW35" s="18" t="str" cm="1">
        <f t="array" ref="DW35">_xlfn.IFS(DP35&gt;3,"Strong + Slope",DP35&gt;1.5,"Moderate + Slope",DP35&gt;0.5,"Sideway + Slope",DP35&gt;=-0.5,"Sideway Flat",DP35&gt;=-1.5,"Sideway - Slope",DP35&gt;=-3,"Moderate - Slope",TRUE,"Strong - Slope")</f>
        <v>Sideway Flat</v>
      </c>
      <c r="DX35" s="18" t="str" cm="1">
        <f t="array" ref="DX35">_xlfn.IFS(DQ35&gt;3,"Strong + Slope",DQ35&gt;1.5,"Moderate + Slope",DQ35&gt;0.5,"Sideway + Slope",DQ35&gt;=-0.5,"Sideway Flat",DQ35&gt;=-1.5,"Sideway - Slope",DQ35&gt;=-3,"Moderate - Slope",TRUE,"Strong - Slope")</f>
        <v>Sideway - Slope</v>
      </c>
      <c r="DY35" s="18" t="str" cm="1">
        <f t="array" ref="DY35">_xlfn.IFS(DR35&gt;3,"Strong + Slope",DR35&gt;1.5,"Moderate + Slope",DR35&gt;0.5,"Sideway + Slope",DR35&gt;=-0.5,"Sideway Flat",DR35&gt;=-1.5,"Sideway - Slope",DR35&gt;=-3,"Moderate - Slope",TRUE,"Strong - Slope")</f>
        <v>Sideway + Slope</v>
      </c>
      <c r="DZ35" s="18" t="str" cm="1">
        <f t="array" ref="DZ35">_xlfn.IFS(DS35&gt;3,"Strong + Slope",DS35&gt;1.5,"Moderate + Slope",DS35&gt;0.5,"Sideway + Slope",DS35&gt;=-0.5,"Sideway Flat",DS35&gt;=-1.5,"Sideway - Slope",DS35&gt;=-3,"Moderate - Slope",TRUE,"Strong - Slope")</f>
        <v>Sideway Flat</v>
      </c>
      <c r="EA35" s="18" t="str" cm="1">
        <f t="array" ref="EA35">_xlfn.IFS(DT35&gt;3,"Strong + Slope",DT35&gt;1.5,"Moderate + Slope",DT35&gt;0.5,"Sideway + Slope",DT35&gt;=-0.5,"Sideway Flat",DT35&gt;=-1.5,"Sideway - Slope",DT35&gt;=-3,"Moderate - Slope",TRUE,"Strong - Slope")</f>
        <v>Sideway + Slope</v>
      </c>
      <c r="EB35" s="20"/>
      <c r="EC35" s="20">
        <f t="shared" si="35"/>
        <v>2</v>
      </c>
      <c r="ED35" s="20">
        <f t="shared" si="36"/>
        <v>3</v>
      </c>
      <c r="EE35" s="20">
        <f t="shared" si="37"/>
        <v>1</v>
      </c>
      <c r="EF35" s="20">
        <f t="shared" si="38"/>
        <v>6</v>
      </c>
      <c r="EG35" s="20">
        <f t="shared" si="39"/>
        <v>5</v>
      </c>
      <c r="EH35" s="20">
        <f t="shared" si="40"/>
        <v>4</v>
      </c>
      <c r="EI35" s="20"/>
      <c r="EJ35" s="20" t="str">
        <f t="shared" si="41"/>
        <v>SUP</v>
      </c>
      <c r="EK35" s="20" t="str">
        <f t="shared" si="42"/>
        <v>SUP</v>
      </c>
      <c r="EL35" s="20" t="str">
        <f t="shared" si="43"/>
        <v>RES</v>
      </c>
      <c r="EM35" s="20" t="str">
        <f t="shared" si="44"/>
        <v>SUP</v>
      </c>
      <c r="EN35" s="20" t="str">
        <f t="shared" si="45"/>
        <v>SUP</v>
      </c>
      <c r="EO35" s="20" t="str">
        <f t="shared" si="46"/>
        <v>SUP</v>
      </c>
      <c r="EP35" s="20"/>
      <c r="EQ35" s="23">
        <f t="shared" si="47"/>
        <v>-5.6843054366780845E-4</v>
      </c>
      <c r="ER35" s="23">
        <f t="shared" si="48"/>
        <v>-9.9965371472621645E-4</v>
      </c>
      <c r="ES35" s="23">
        <f t="shared" si="49"/>
        <v>1.1041926652859541E-3</v>
      </c>
      <c r="ET35" s="23">
        <f t="shared" si="50"/>
        <v>-3.0708316726885385E-3</v>
      </c>
      <c r="EU35" s="23">
        <f t="shared" si="51"/>
        <v>-2.9858937753588209E-3</v>
      </c>
      <c r="EV35" s="23">
        <f t="shared" si="52"/>
        <v>-1.5550168895741969E-3</v>
      </c>
      <c r="EW35" s="23"/>
      <c r="EX35" s="23">
        <f t="shared" si="53"/>
        <v>0.73552425665100396</v>
      </c>
      <c r="EY35" s="24">
        <f t="shared" si="54"/>
        <v>1</v>
      </c>
      <c r="EZ35" s="25">
        <f t="shared" si="55"/>
        <v>5</v>
      </c>
      <c r="FA35" s="23">
        <f t="shared" si="86"/>
        <v>1.1041926652859541E-3</v>
      </c>
      <c r="FB35" s="23">
        <f t="shared" si="87"/>
        <v>-5.6843054366780845E-4</v>
      </c>
      <c r="FC35" s="23">
        <f t="shared" si="88"/>
        <v>-9.9965371472621645E-4</v>
      </c>
      <c r="FD35" s="23">
        <f t="shared" si="89"/>
        <v>-1.5550168895741969E-3</v>
      </c>
      <c r="FE35" s="23">
        <f t="shared" si="90"/>
        <v>-2.9858937753588209E-3</v>
      </c>
      <c r="FF35" s="23">
        <f t="shared" si="91"/>
        <v>-3.0708316726885385E-3</v>
      </c>
      <c r="FG35" s="20"/>
      <c r="FH35" s="5" t="str">
        <f t="shared" si="56"/>
        <v>Flat Momentum</v>
      </c>
      <c r="FI35" s="5" t="str">
        <f t="shared" si="92"/>
        <v>-----</v>
      </c>
      <c r="FJ35" s="20"/>
      <c r="FK35" s="5" t="str">
        <f t="shared" si="93"/>
        <v>-----</v>
      </c>
      <c r="FL35" s="5" t="str">
        <f t="shared" si="94"/>
        <v>-----</v>
      </c>
      <c r="FM35" s="20"/>
      <c r="FN35" s="20"/>
      <c r="FO35" s="23" t="str">
        <f t="shared" si="113"/>
        <v>Bearish</v>
      </c>
      <c r="FP35" s="23"/>
      <c r="FQ35" s="20">
        <f t="shared" si="57"/>
        <v>-6.5329160977897507E-6</v>
      </c>
      <c r="FR35" s="20">
        <f t="shared" si="58"/>
        <v>1.2798441311194189</v>
      </c>
      <c r="FS35" s="20" t="str">
        <f t="shared" si="59"/>
        <v>Reverse to Bearish</v>
      </c>
      <c r="FT35" s="20" t="str">
        <f t="shared" si="60"/>
        <v>Bullish</v>
      </c>
      <c r="FU35" s="5" t="str">
        <f t="shared" si="95"/>
        <v>-----</v>
      </c>
      <c r="FV35" s="5" t="str">
        <f t="shared" si="96"/>
        <v>TEMA crossunder</v>
      </c>
      <c r="FW35" s="5"/>
      <c r="FX35" s="15" t="str">
        <f>IF(FO35="Bearish","YES","-----")</f>
        <v>YES</v>
      </c>
      <c r="FY35" s="15" t="str">
        <f>IF(FS35="Reverse to Bearish","YES","-----")</f>
        <v>YES</v>
      </c>
      <c r="FZ35" s="15" t="str">
        <f>IF(AND(FT35="Bullish",FT34="Bullish",FT33="Bullish",FT32="Bullish"),"YES","-----")</f>
        <v>YES</v>
      </c>
      <c r="GA35" s="15" t="str">
        <f>IF(OR(FV35="TEMA crossunder",FV34="TEMA crossunder",FV33="TEMA crossunder",FV32="TEMA crossunder"),"YES","-----")</f>
        <v>YES</v>
      </c>
      <c r="GB35" s="16" t="str">
        <f t="shared" si="107"/>
        <v>-----</v>
      </c>
      <c r="GC35" s="16" t="str">
        <f t="shared" si="108"/>
        <v>-----</v>
      </c>
      <c r="GD35" s="16" t="str">
        <f t="shared" si="109"/>
        <v>-----</v>
      </c>
      <c r="GE35" s="16" t="str">
        <f t="shared" si="112"/>
        <v>-----</v>
      </c>
      <c r="GF35" s="15" t="str">
        <f t="shared" si="110"/>
        <v>Open Sell / Close Buy</v>
      </c>
      <c r="GG35" s="16" t="str">
        <f>IF(AND(GB35="YES",GC35="YES",GD35="YES",GE35="YES"),"Open Buy / Close Sell","-----")</f>
        <v>-----</v>
      </c>
      <c r="GH35" s="14"/>
      <c r="GI35" s="5" t="str">
        <f t="shared" si="61"/>
        <v>-----</v>
      </c>
      <c r="GJ35" s="5" t="str">
        <f t="shared" si="62"/>
        <v>Bearish Trigger</v>
      </c>
      <c r="GK35" s="5"/>
      <c r="GL35" s="5" t="str">
        <f t="shared" si="63"/>
        <v>-----</v>
      </c>
      <c r="GM35" s="5" t="str">
        <f t="shared" si="64"/>
        <v>-----</v>
      </c>
      <c r="GN35" s="5"/>
      <c r="GO35" s="12">
        <f t="shared" si="65"/>
        <v>0.11600000000001387</v>
      </c>
      <c r="GP35" s="5">
        <f t="shared" si="97"/>
        <v>0.92700635233046391</v>
      </c>
      <c r="GQ35" s="13" t="str">
        <f t="shared" si="98"/>
        <v>-----</v>
      </c>
      <c r="GR35" s="5"/>
      <c r="GS35">
        <f t="shared" si="99"/>
        <v>0.30042894816813637</v>
      </c>
      <c r="GT35" s="5" t="str">
        <f t="shared" si="100"/>
        <v>-----</v>
      </c>
    </row>
    <row r="36" spans="1:202" x14ac:dyDescent="0.55000000000000004">
      <c r="A36" s="18">
        <v>32</v>
      </c>
      <c r="B36" s="18" t="s">
        <v>35</v>
      </c>
      <c r="C36" s="18" t="s">
        <v>4</v>
      </c>
      <c r="D36" s="18" t="s">
        <v>103</v>
      </c>
      <c r="E36" s="18">
        <v>153.053</v>
      </c>
      <c r="F36" s="18">
        <v>153.09399999999999</v>
      </c>
      <c r="G36" s="18">
        <v>153.05199999999999</v>
      </c>
      <c r="H36" s="18">
        <v>153.05699999999999</v>
      </c>
      <c r="I36" s="18">
        <v>390</v>
      </c>
      <c r="J36" s="18">
        <v>152.96299999999999</v>
      </c>
      <c r="K36" s="18">
        <v>152.9</v>
      </c>
      <c r="L36" s="18">
        <v>153.22</v>
      </c>
      <c r="M36" s="18">
        <v>152.584</v>
      </c>
      <c r="N36" s="18">
        <v>152.596</v>
      </c>
      <c r="O36" s="18">
        <v>152.81700000000001</v>
      </c>
      <c r="P36" s="18">
        <v>0</v>
      </c>
      <c r="Q36" s="18">
        <v>0</v>
      </c>
      <c r="R36" s="18">
        <v>0</v>
      </c>
      <c r="S36" s="18">
        <v>0</v>
      </c>
      <c r="T36" s="18">
        <v>1</v>
      </c>
      <c r="U36" s="18">
        <v>1.0097499999999999</v>
      </c>
      <c r="V36" s="18">
        <v>0</v>
      </c>
      <c r="W36" s="18">
        <v>153.39069000000001</v>
      </c>
      <c r="X36" s="18">
        <v>153.30725000000001</v>
      </c>
      <c r="Y36" s="18">
        <v>153.22380999999999</v>
      </c>
      <c r="Z36" s="18">
        <v>153.14036999999999</v>
      </c>
      <c r="AA36" s="18">
        <v>153.05692999999999</v>
      </c>
      <c r="AB36" s="18">
        <v>152.93997999999999</v>
      </c>
      <c r="AC36" s="18">
        <v>152.85654</v>
      </c>
      <c r="AD36" s="18">
        <v>152.77311</v>
      </c>
      <c r="AE36" s="18">
        <v>152.68967000000001</v>
      </c>
      <c r="AF36" s="18">
        <v>152.60623000000001</v>
      </c>
      <c r="AG36" s="18">
        <v>153.10499999999999</v>
      </c>
      <c r="AH36" s="18">
        <v>153.077</v>
      </c>
      <c r="AI36" s="18">
        <v>153.071</v>
      </c>
      <c r="AJ36" s="18">
        <v>153.167</v>
      </c>
      <c r="AK36" s="18">
        <v>153.15</v>
      </c>
      <c r="AL36" s="18">
        <v>153.07</v>
      </c>
      <c r="AM36" s="19">
        <f t="shared" si="0"/>
        <v>4.2000000000001592E-2</v>
      </c>
      <c r="AN36" s="19">
        <f t="shared" si="66"/>
        <v>4.0999999999996817E-2</v>
      </c>
      <c r="AO36" s="19">
        <f t="shared" si="67"/>
        <v>1.0000000000047748E-3</v>
      </c>
      <c r="AP36" s="19">
        <f t="shared" si="68"/>
        <v>4.2000000000001592E-2</v>
      </c>
      <c r="AQ36" s="18"/>
      <c r="AR36" s="20" t="str">
        <f t="shared" si="1"/>
        <v>------</v>
      </c>
      <c r="AS36" s="20" t="str">
        <f t="shared" si="2"/>
        <v>------</v>
      </c>
      <c r="AT36" s="18" t="str">
        <f t="shared" si="3"/>
        <v/>
      </c>
      <c r="AU36" s="18"/>
      <c r="AV36" s="21">
        <f t="shared" si="4"/>
        <v>152.98594445000001</v>
      </c>
      <c r="AW36" s="21">
        <f t="shared" si="5"/>
        <v>152.94005554999998</v>
      </c>
      <c r="AX36" s="21">
        <f t="shared" si="6"/>
        <v>152.92293500000002</v>
      </c>
      <c r="AY36" s="21">
        <f t="shared" si="7"/>
        <v>152.87706500000002</v>
      </c>
      <c r="AZ36" s="21">
        <f t="shared" si="8"/>
        <v>153.24298300000001</v>
      </c>
      <c r="BA36" s="21">
        <f t="shared" si="9"/>
        <v>153.19701699999999</v>
      </c>
      <c r="BB36" s="21">
        <f t="shared" si="10"/>
        <v>152.60688760000002</v>
      </c>
      <c r="BC36" s="21">
        <f t="shared" si="11"/>
        <v>152.56111240000001</v>
      </c>
      <c r="BD36" s="21">
        <f t="shared" si="12"/>
        <v>152.61888940000003</v>
      </c>
      <c r="BE36" s="21">
        <f t="shared" si="13"/>
        <v>152.57311060000001</v>
      </c>
      <c r="BF36" s="21">
        <f t="shared" si="14"/>
        <v>152.83992255000001</v>
      </c>
      <c r="BG36" s="21">
        <f t="shared" si="15"/>
        <v>152.79407745</v>
      </c>
      <c r="BH36" s="18"/>
      <c r="BI36" s="20" t="str">
        <f t="shared" si="69"/>
        <v>-----</v>
      </c>
      <c r="BJ36" s="20" t="str">
        <f t="shared" si="70"/>
        <v>-----</v>
      </c>
      <c r="BK36" s="20" t="str">
        <f t="shared" si="71"/>
        <v>-----</v>
      </c>
      <c r="BL36" s="20" t="str">
        <f t="shared" si="72"/>
        <v>-----</v>
      </c>
      <c r="BM36" s="20" t="str">
        <f t="shared" si="73"/>
        <v>-----</v>
      </c>
      <c r="BN36" s="20" t="str">
        <f t="shared" si="74"/>
        <v>-----</v>
      </c>
      <c r="BO36" s="20"/>
      <c r="BP36" s="20">
        <f t="shared" si="114"/>
        <v>5</v>
      </c>
      <c r="BQ36" s="20">
        <f t="shared" si="114"/>
        <v>19</v>
      </c>
      <c r="BR36" s="20">
        <f t="shared" si="114"/>
        <v>30</v>
      </c>
      <c r="BS36" s="20">
        <f t="shared" si="114"/>
        <v>32</v>
      </c>
      <c r="BT36" s="20">
        <f t="shared" si="114"/>
        <v>32</v>
      </c>
      <c r="BU36" s="20">
        <f t="shared" si="114"/>
        <v>32</v>
      </c>
      <c r="BV36" s="20">
        <f t="shared" si="115"/>
        <v>8</v>
      </c>
      <c r="BW36" s="20">
        <f t="shared" si="115"/>
        <v>4</v>
      </c>
      <c r="BX36" s="20">
        <f t="shared" si="115"/>
        <v>2</v>
      </c>
      <c r="BY36" s="20">
        <f t="shared" si="115"/>
        <v>0</v>
      </c>
      <c r="BZ36" s="20">
        <f t="shared" si="115"/>
        <v>0</v>
      </c>
      <c r="CA36" s="20">
        <f t="shared" si="115"/>
        <v>0</v>
      </c>
      <c r="CB36" s="20" t="str">
        <f t="shared" si="102"/>
        <v>-----</v>
      </c>
      <c r="CC36" s="20" t="str">
        <f t="shared" si="101"/>
        <v>-----</v>
      </c>
      <c r="CD36" s="20" t="str">
        <f t="shared" si="101"/>
        <v>-----</v>
      </c>
      <c r="CE36" s="20" t="str">
        <f t="shared" si="101"/>
        <v>-----</v>
      </c>
      <c r="CF36" s="20" t="str">
        <f t="shared" si="101"/>
        <v>-----</v>
      </c>
      <c r="CG36" s="20" t="str">
        <f t="shared" si="101"/>
        <v>-----</v>
      </c>
      <c r="CH36" s="20"/>
      <c r="CI36" s="22" t="str">
        <f t="shared" si="19"/>
        <v>-----</v>
      </c>
      <c r="CJ36" s="22" t="str">
        <f t="shared" si="20"/>
        <v>-----</v>
      </c>
      <c r="CK36" s="22" t="str">
        <f t="shared" si="21"/>
        <v>-----</v>
      </c>
      <c r="CL36" s="22" t="str">
        <f t="shared" si="22"/>
        <v>-----</v>
      </c>
      <c r="CM36" s="22" t="str">
        <f t="shared" si="23"/>
        <v>-----</v>
      </c>
      <c r="CN36" s="22" t="str">
        <f t="shared" si="24"/>
        <v>-----</v>
      </c>
      <c r="CO36" s="20"/>
      <c r="CP36" s="20" t="str">
        <f t="shared" si="77"/>
        <v>-----</v>
      </c>
      <c r="CQ36" s="20" t="str">
        <f t="shared" si="77"/>
        <v>-----</v>
      </c>
      <c r="CR36" s="20" t="str">
        <f t="shared" si="77"/>
        <v>-----</v>
      </c>
      <c r="CS36" s="20" t="str">
        <f t="shared" si="77"/>
        <v>-----</v>
      </c>
      <c r="CT36" s="20" t="str">
        <f t="shared" si="77"/>
        <v>-----</v>
      </c>
      <c r="CU36" s="20" t="str">
        <f t="shared" si="77"/>
        <v>-----</v>
      </c>
      <c r="CV36" s="20"/>
      <c r="CW36" s="22" t="str">
        <f t="shared" si="78"/>
        <v/>
      </c>
      <c r="CX36" s="22" t="str">
        <f t="shared" si="78"/>
        <v/>
      </c>
      <c r="CY36" s="22" t="str">
        <f t="shared" si="78"/>
        <v/>
      </c>
      <c r="CZ36" s="22" t="str">
        <f t="shared" si="78"/>
        <v/>
      </c>
      <c r="DA36" s="22" t="str">
        <f t="shared" si="78"/>
        <v/>
      </c>
      <c r="DB36" s="22" t="str">
        <f t="shared" si="78"/>
        <v/>
      </c>
      <c r="DC36" s="23"/>
      <c r="DD36" s="20">
        <f t="shared" si="27"/>
        <v>0</v>
      </c>
      <c r="DE36" s="22" t="str">
        <f t="shared" si="79"/>
        <v>-----</v>
      </c>
      <c r="DF36" s="20" t="str" cm="1">
        <f t="array" ref="DF36">_xlfn.IFS(DE36=CW36,CP36,DE36=CX36,CQ36,DE36=CY36,CR36,DE36=CZ36,CS36,DE36=DA36,CT36,DE36=DB36,CU36,TRUE,"----- ")</f>
        <v xml:space="preserve">----- </v>
      </c>
      <c r="DG36" s="20"/>
      <c r="DH36" s="20">
        <f t="shared" si="80"/>
        <v>-2.423265306122455E-3</v>
      </c>
      <c r="DI36" s="20">
        <f t="shared" si="81"/>
        <v>-3.7194805194805478E-4</v>
      </c>
      <c r="DJ36" s="20">
        <f t="shared" si="82"/>
        <v>-1.6402721088435472E-3</v>
      </c>
      <c r="DK36" s="20">
        <f t="shared" si="83"/>
        <v>7.6471243042669956E-4</v>
      </c>
      <c r="DL36" s="20">
        <f t="shared" si="84"/>
        <v>-2.3081014223875058E-4</v>
      </c>
      <c r="DM36" s="20">
        <f t="shared" si="85"/>
        <v>1.5802844774273381E-3</v>
      </c>
      <c r="DN36" s="18"/>
      <c r="DO36" s="20">
        <f t="shared" si="29"/>
        <v>-1.9079214597220278</v>
      </c>
      <c r="DP36" s="20">
        <f t="shared" si="30"/>
        <v>-0.29295343676527091</v>
      </c>
      <c r="DQ36" s="20">
        <f t="shared" si="31"/>
        <v>-1.2917022253843653</v>
      </c>
      <c r="DR36" s="20">
        <f t="shared" si="32"/>
        <v>0.60228527619529781</v>
      </c>
      <c r="DS36" s="20">
        <f t="shared" si="33"/>
        <v>-0.18179147971962978</v>
      </c>
      <c r="DT36" s="20">
        <f t="shared" si="34"/>
        <v>1.2444775446344229</v>
      </c>
      <c r="DU36" s="18"/>
      <c r="DV36" s="18" t="str" cm="1">
        <f t="array" ref="DV36">_xlfn.IFS(DO36&gt;3,"Strong + Slope",DO36&gt;1.5,"Moderate + Slope",DO36&gt;0.5,"Sideway + Slope",DO36&gt;=-0.5,"Sideway Flat",DO36&gt;=-1.5,"Sideway - Slope",DO36&gt;=-3,"Moderate - Slope",TRUE,"Strong - Slope")</f>
        <v>Moderate - Slope</v>
      </c>
      <c r="DW36" s="18" t="str" cm="1">
        <f t="array" ref="DW36">_xlfn.IFS(DP36&gt;3,"Strong + Slope",DP36&gt;1.5,"Moderate + Slope",DP36&gt;0.5,"Sideway + Slope",DP36&gt;=-0.5,"Sideway Flat",DP36&gt;=-1.5,"Sideway - Slope",DP36&gt;=-3,"Moderate - Slope",TRUE,"Strong - Slope")</f>
        <v>Sideway Flat</v>
      </c>
      <c r="DX36" s="18" t="str" cm="1">
        <f t="array" ref="DX36">_xlfn.IFS(DQ36&gt;3,"Strong + Slope",DQ36&gt;1.5,"Moderate + Slope",DQ36&gt;0.5,"Sideway + Slope",DQ36&gt;=-0.5,"Sideway Flat",DQ36&gt;=-1.5,"Sideway - Slope",DQ36&gt;=-3,"Moderate - Slope",TRUE,"Strong - Slope")</f>
        <v>Sideway - Slope</v>
      </c>
      <c r="DY36" s="18" t="str" cm="1">
        <f t="array" ref="DY36">_xlfn.IFS(DR36&gt;3,"Strong + Slope",DR36&gt;1.5,"Moderate + Slope",DR36&gt;0.5,"Sideway + Slope",DR36&gt;=-0.5,"Sideway Flat",DR36&gt;=-1.5,"Sideway - Slope",DR36&gt;=-3,"Moderate - Slope",TRUE,"Strong - Slope")</f>
        <v>Sideway + Slope</v>
      </c>
      <c r="DZ36" s="18" t="str" cm="1">
        <f t="array" ref="DZ36">_xlfn.IFS(DS36&gt;3,"Strong + Slope",DS36&gt;1.5,"Moderate + Slope",DS36&gt;0.5,"Sideway + Slope",DS36&gt;=-0.5,"Sideway Flat",DS36&gt;=-1.5,"Sideway - Slope",DS36&gt;=-3,"Moderate - Slope",TRUE,"Strong - Slope")</f>
        <v>Sideway Flat</v>
      </c>
      <c r="EA36" s="18" t="str" cm="1">
        <f t="array" ref="EA36">_xlfn.IFS(DT36&gt;3,"Strong + Slope",DT36&gt;1.5,"Moderate + Slope",DT36&gt;0.5,"Sideway + Slope",DT36&gt;=-0.5,"Sideway Flat",DT36&gt;=-1.5,"Sideway - Slope",DT36&gt;=-3,"Moderate - Slope",TRUE,"Strong - Slope")</f>
        <v>Sideway + Slope</v>
      </c>
      <c r="EB36" s="20"/>
      <c r="EC36" s="20">
        <f t="shared" si="35"/>
        <v>2</v>
      </c>
      <c r="ED36" s="20">
        <f t="shared" si="36"/>
        <v>3</v>
      </c>
      <c r="EE36" s="20">
        <f t="shared" si="37"/>
        <v>1</v>
      </c>
      <c r="EF36" s="20">
        <f t="shared" si="38"/>
        <v>6</v>
      </c>
      <c r="EG36" s="20">
        <f t="shared" si="39"/>
        <v>5</v>
      </c>
      <c r="EH36" s="20">
        <f t="shared" si="40"/>
        <v>4</v>
      </c>
      <c r="EI36" s="20"/>
      <c r="EJ36" s="20" t="str">
        <f t="shared" si="41"/>
        <v>SUP</v>
      </c>
      <c r="EK36" s="20" t="str">
        <f t="shared" si="42"/>
        <v>SUP</v>
      </c>
      <c r="EL36" s="20" t="str">
        <f t="shared" si="43"/>
        <v>RES</v>
      </c>
      <c r="EM36" s="20" t="str">
        <f t="shared" si="44"/>
        <v>SUP</v>
      </c>
      <c r="EN36" s="20" t="str">
        <f t="shared" si="45"/>
        <v>SUP</v>
      </c>
      <c r="EO36" s="20" t="str">
        <f t="shared" si="46"/>
        <v>SUP</v>
      </c>
      <c r="EP36" s="20"/>
      <c r="EQ36" s="23">
        <f t="shared" si="47"/>
        <v>-6.1415028388112991E-4</v>
      </c>
      <c r="ER36" s="23">
        <f t="shared" si="48"/>
        <v>-1.0257616443546018E-3</v>
      </c>
      <c r="ES36" s="23">
        <f t="shared" si="49"/>
        <v>1.0649627263046508E-3</v>
      </c>
      <c r="ET36" s="23">
        <f t="shared" si="50"/>
        <v>-3.0903519603806737E-3</v>
      </c>
      <c r="EU36" s="23">
        <f t="shared" si="51"/>
        <v>-3.0119497964809475E-3</v>
      </c>
      <c r="EV36" s="23">
        <f t="shared" si="52"/>
        <v>-1.5680432779943466E-3</v>
      </c>
      <c r="EW36" s="23"/>
      <c r="EX36" s="23">
        <f t="shared" si="53"/>
        <v>0.7437106918238805</v>
      </c>
      <c r="EY36" s="24">
        <f t="shared" si="54"/>
        <v>1</v>
      </c>
      <c r="EZ36" s="25">
        <f t="shared" si="55"/>
        <v>5</v>
      </c>
      <c r="FA36" s="23">
        <f t="shared" si="86"/>
        <v>1.0649627263046508E-3</v>
      </c>
      <c r="FB36" s="23">
        <f t="shared" si="87"/>
        <v>-6.1415028388112991E-4</v>
      </c>
      <c r="FC36" s="23">
        <f t="shared" si="88"/>
        <v>-1.0257616443546018E-3</v>
      </c>
      <c r="FD36" s="23">
        <f t="shared" si="89"/>
        <v>-1.5680432779943466E-3</v>
      </c>
      <c r="FE36" s="23">
        <f t="shared" si="90"/>
        <v>-3.0119497964809475E-3</v>
      </c>
      <c r="FF36" s="23">
        <f t="shared" si="91"/>
        <v>-3.0903519603806737E-3</v>
      </c>
      <c r="FG36" s="20"/>
      <c r="FH36" s="5" t="str">
        <f t="shared" si="56"/>
        <v>Flat Momentum</v>
      </c>
      <c r="FI36" s="5" t="str">
        <f t="shared" si="92"/>
        <v>-----</v>
      </c>
      <c r="FJ36" s="20"/>
      <c r="FK36" s="5" t="str">
        <f t="shared" si="93"/>
        <v>-----</v>
      </c>
      <c r="FL36" s="5" t="str">
        <f t="shared" si="94"/>
        <v>-----</v>
      </c>
      <c r="FM36" s="20"/>
      <c r="FN36" s="20"/>
      <c r="FO36" s="23" t="str">
        <f t="shared" si="113"/>
        <v>Bearish</v>
      </c>
      <c r="FP36" s="23"/>
      <c r="FQ36" s="20">
        <f t="shared" si="57"/>
        <v>3.9197496586552828E-5</v>
      </c>
      <c r="FR36" s="20">
        <f t="shared" si="58"/>
        <v>1.4117330548192102</v>
      </c>
      <c r="FS36" s="20" t="str">
        <f t="shared" si="59"/>
        <v>Reverse to Bearish</v>
      </c>
      <c r="FT36" s="20" t="str">
        <f t="shared" si="60"/>
        <v>Bullish</v>
      </c>
      <c r="FU36" s="5" t="str">
        <f t="shared" si="95"/>
        <v>-----</v>
      </c>
      <c r="FV36" s="5" t="str">
        <f t="shared" si="96"/>
        <v>-----</v>
      </c>
      <c r="FW36" s="5"/>
      <c r="FX36" s="15" t="str">
        <f t="shared" ref="FX36:FX99" si="116">IF(FO36="Bearish","YES","-----")</f>
        <v>YES</v>
      </c>
      <c r="FY36" s="15" t="str">
        <f t="shared" ref="FY36:FY99" si="117">IF(FS36="Reverse to Bearish","YES","-----")</f>
        <v>YES</v>
      </c>
      <c r="FZ36" s="15" t="str">
        <f t="shared" ref="FZ36:FZ99" si="118">IF(AND(FT36="Bullish",FT35="Bullish",FT34="Bullish",FT33="Bullish"),"YES","-----")</f>
        <v>YES</v>
      </c>
      <c r="GA36" s="15" t="str">
        <f t="shared" ref="GA36:GA99" si="119">IF(OR(FV36="TEMA crossunder",FV35="TEMA crossunder",FV34="TEMA crossunder",FV33="TEMA crossunder"),"YES","-----")</f>
        <v>YES</v>
      </c>
      <c r="GB36" s="16" t="str">
        <f t="shared" si="107"/>
        <v>-----</v>
      </c>
      <c r="GC36" s="16" t="str">
        <f t="shared" si="108"/>
        <v>-----</v>
      </c>
      <c r="GD36" s="16" t="str">
        <f t="shared" si="109"/>
        <v>-----</v>
      </c>
      <c r="GE36" s="16" t="str">
        <f t="shared" si="112"/>
        <v>-----</v>
      </c>
      <c r="GF36" s="15" t="str">
        <f t="shared" si="110"/>
        <v>Open Sell / Close Buy</v>
      </c>
      <c r="GG36" s="16" t="str">
        <f t="shared" ref="GG36:GG99" si="120">IF(AND(GB36="YES",GC36="YES",GD36="YES",GE36="YES"),"Open Buy / Close Sell","-----")</f>
        <v>-----</v>
      </c>
      <c r="GH36" s="14"/>
      <c r="GI36" s="5" t="str">
        <f t="shared" si="61"/>
        <v>-----</v>
      </c>
      <c r="GJ36" s="5" t="str">
        <f t="shared" si="62"/>
        <v>-----</v>
      </c>
      <c r="GK36" s="5"/>
      <c r="GL36" s="5" t="str">
        <f t="shared" si="63"/>
        <v>-----</v>
      </c>
      <c r="GM36" s="5" t="str">
        <f t="shared" si="64"/>
        <v>-----</v>
      </c>
      <c r="GN36" s="5"/>
      <c r="GO36" s="12">
        <f t="shared" si="65"/>
        <v>8.0000000000012506E-2</v>
      </c>
      <c r="GP36" s="5">
        <f t="shared" si="97"/>
        <v>9.7310059084624492E-2</v>
      </c>
      <c r="GQ36" s="13" t="str">
        <f t="shared" si="98"/>
        <v>-----</v>
      </c>
      <c r="GR36" s="5"/>
      <c r="GS36">
        <f t="shared" si="99"/>
        <v>0.65535097524027852</v>
      </c>
      <c r="GT36" s="5" t="str">
        <f t="shared" si="100"/>
        <v>-----</v>
      </c>
    </row>
    <row r="37" spans="1:202" x14ac:dyDescent="0.55000000000000004">
      <c r="A37">
        <v>33</v>
      </c>
      <c r="B37" t="s">
        <v>36</v>
      </c>
      <c r="C37" t="s">
        <v>4</v>
      </c>
      <c r="D37" t="s">
        <v>103</v>
      </c>
      <c r="E37">
        <v>153.05699999999999</v>
      </c>
      <c r="F37">
        <v>153.05799999999999</v>
      </c>
      <c r="G37">
        <v>152.87200000000001</v>
      </c>
      <c r="H37">
        <v>152.89500000000001</v>
      </c>
      <c r="I37">
        <v>358</v>
      </c>
      <c r="J37">
        <v>152.96100000000001</v>
      </c>
      <c r="K37">
        <v>152.899</v>
      </c>
      <c r="L37">
        <v>153.21799999999999</v>
      </c>
      <c r="M37">
        <v>152.58500000000001</v>
      </c>
      <c r="N37">
        <v>152.596</v>
      </c>
      <c r="O37">
        <v>152.81899999999999</v>
      </c>
      <c r="P37">
        <v>0</v>
      </c>
      <c r="Q37">
        <v>0</v>
      </c>
      <c r="R37">
        <v>0</v>
      </c>
      <c r="S37">
        <v>0</v>
      </c>
      <c r="T37">
        <v>0</v>
      </c>
      <c r="U37">
        <v>2.5676100000000002</v>
      </c>
      <c r="V37">
        <v>5</v>
      </c>
      <c r="W37">
        <v>153.39471</v>
      </c>
      <c r="X37">
        <v>153.31057999999999</v>
      </c>
      <c r="Y37">
        <v>153.22645</v>
      </c>
      <c r="Z37">
        <v>153.14232000000001</v>
      </c>
      <c r="AA37">
        <v>153.05819</v>
      </c>
      <c r="AB37">
        <v>152.94063</v>
      </c>
      <c r="AC37">
        <v>152.85650000000001</v>
      </c>
      <c r="AD37">
        <v>152.77237</v>
      </c>
      <c r="AE37">
        <v>152.68824000000001</v>
      </c>
      <c r="AF37">
        <v>152.60410999999999</v>
      </c>
      <c r="AG37">
        <v>153.03</v>
      </c>
      <c r="AH37">
        <v>153.066</v>
      </c>
      <c r="AI37">
        <v>153.06100000000001</v>
      </c>
      <c r="AJ37">
        <v>153.16300000000001</v>
      </c>
      <c r="AK37">
        <v>153.10900000000001</v>
      </c>
      <c r="AL37">
        <v>152.98099999999999</v>
      </c>
      <c r="AM37" s="11">
        <f t="shared" si="0"/>
        <v>0.18599999999997863</v>
      </c>
      <c r="AN37" s="11">
        <f t="shared" si="66"/>
        <v>1.0000000000047748E-3</v>
      </c>
      <c r="AO37" s="11">
        <f t="shared" si="67"/>
        <v>0.18499999999997385</v>
      </c>
      <c r="AP37" s="11">
        <f t="shared" si="68"/>
        <v>0.18599999999997863</v>
      </c>
      <c r="AR37" s="5" t="str">
        <f t="shared" ref="AR37:AR68" si="121">IF(AND(P37=R37,P37&gt;0,R37&gt;0),"Important High","------")</f>
        <v>------</v>
      </c>
      <c r="AS37" s="5" t="str">
        <f t="shared" ref="AS37:AS68" si="122">IF(AND(Q37=S37,Q37&gt;0,S37&gt;0),"Important Low","------")</f>
        <v>------</v>
      </c>
      <c r="AT37" t="str">
        <f t="shared" ref="AT37:AT68" si="123">IF(OR(AR37="Important High",AS37="Important High"),IF(T37=1,"Important High with Rejection",""),IF(OR(AR37="Important Low",AS37="Important Low"),IF(T37=1,"Important Low with Rejection",""),""))</f>
        <v/>
      </c>
      <c r="AV37" s="2">
        <f t="shared" si="4"/>
        <v>152.98394415000001</v>
      </c>
      <c r="AW37" s="2">
        <f t="shared" si="5"/>
        <v>152.93805585000001</v>
      </c>
      <c r="AX37" s="2">
        <f t="shared" si="6"/>
        <v>152.92193485000001</v>
      </c>
      <c r="AY37" s="2">
        <f t="shared" si="7"/>
        <v>152.87606515000002</v>
      </c>
      <c r="AZ37" s="2">
        <f t="shared" si="8"/>
        <v>153.24098270000002</v>
      </c>
      <c r="BA37" s="2">
        <f t="shared" si="9"/>
        <v>153.19501729999999</v>
      </c>
      <c r="BB37" s="2">
        <f t="shared" si="10"/>
        <v>152.60788775000003</v>
      </c>
      <c r="BC37" s="2">
        <f t="shared" si="11"/>
        <v>152.56211225000001</v>
      </c>
      <c r="BD37" s="2">
        <f t="shared" si="12"/>
        <v>152.61888940000003</v>
      </c>
      <c r="BE37" s="2">
        <f t="shared" si="13"/>
        <v>152.57311060000001</v>
      </c>
      <c r="BF37" s="2">
        <f t="shared" si="14"/>
        <v>152.84192285</v>
      </c>
      <c r="BG37" s="2">
        <f t="shared" si="15"/>
        <v>152.79607715</v>
      </c>
      <c r="BI37" s="5" t="str">
        <f t="shared" si="69"/>
        <v>TOUCH</v>
      </c>
      <c r="BJ37" s="5" t="str">
        <f t="shared" si="70"/>
        <v>TOUCH</v>
      </c>
      <c r="BK37" s="5" t="str">
        <f t="shared" si="71"/>
        <v>-----</v>
      </c>
      <c r="BL37" s="5" t="str">
        <f t="shared" si="72"/>
        <v>-----</v>
      </c>
      <c r="BM37" s="5" t="str">
        <f t="shared" si="73"/>
        <v>-----</v>
      </c>
      <c r="BN37" s="5" t="str">
        <f t="shared" si="74"/>
        <v>-----</v>
      </c>
      <c r="BO37" s="5"/>
      <c r="BP37" s="5">
        <f t="shared" si="114"/>
        <v>0</v>
      </c>
      <c r="BQ37" s="5">
        <f t="shared" si="114"/>
        <v>0</v>
      </c>
      <c r="BR37" s="5">
        <f t="shared" si="114"/>
        <v>31</v>
      </c>
      <c r="BS37" s="5">
        <f t="shared" si="114"/>
        <v>33</v>
      </c>
      <c r="BT37" s="5">
        <f t="shared" si="114"/>
        <v>33</v>
      </c>
      <c r="BU37" s="5">
        <f t="shared" si="114"/>
        <v>33</v>
      </c>
      <c r="BV37" s="5">
        <f t="shared" si="115"/>
        <v>1</v>
      </c>
      <c r="BW37" s="5">
        <f t="shared" si="115"/>
        <v>1</v>
      </c>
      <c r="BX37" s="5">
        <f t="shared" si="115"/>
        <v>2</v>
      </c>
      <c r="BY37" s="5">
        <f t="shared" si="115"/>
        <v>0</v>
      </c>
      <c r="BZ37" s="5">
        <f t="shared" si="115"/>
        <v>0</v>
      </c>
      <c r="CA37" s="5">
        <f t="shared" si="115"/>
        <v>0</v>
      </c>
      <c r="CB37" s="5">
        <f t="shared" si="102"/>
        <v>1</v>
      </c>
      <c r="CC37" s="5">
        <f t="shared" si="101"/>
        <v>1</v>
      </c>
      <c r="CD37" s="5" t="str">
        <f t="shared" si="101"/>
        <v>-----</v>
      </c>
      <c r="CE37" s="5" t="str">
        <f t="shared" si="101"/>
        <v>-----</v>
      </c>
      <c r="CF37" s="5" t="str">
        <f t="shared" si="101"/>
        <v>-----</v>
      </c>
      <c r="CG37" s="5" t="str">
        <f t="shared" si="101"/>
        <v>-----</v>
      </c>
      <c r="CH37" s="5"/>
      <c r="CI37" s="17">
        <f t="shared" ref="CI37:CI68" si="124">IF(CB37="-----","-----",((H37-J37)/J37))</f>
        <v>-4.314825347637796E-4</v>
      </c>
      <c r="CJ37" s="17">
        <f t="shared" ref="CJ37:CJ68" si="125">IF(CC37="-----","-----",((J37-K37)/K37))</f>
        <v>4.0549643882570731E-4</v>
      </c>
      <c r="CK37" s="17" t="str">
        <f t="shared" ref="CK37:CK68" si="126">IF(CD37="-----","-----",((K37-L37)/L37))</f>
        <v>-----</v>
      </c>
      <c r="CL37" s="17" t="str">
        <f t="shared" ref="CL37:CL68" si="127">IF(CE37="-----","-----",((L37-M37)/M37))</f>
        <v>-----</v>
      </c>
      <c r="CM37" s="17" t="str">
        <f t="shared" ref="CM37:CM68" si="128">IF(CF37="-----","-----",((M37-N37)/N37))</f>
        <v>-----</v>
      </c>
      <c r="CN37" s="17" t="str">
        <f t="shared" ref="CN37:CN68" si="129">IF(CG37="-----","-----",((N37-O37)/O37))</f>
        <v>-----</v>
      </c>
      <c r="CO37" s="5"/>
      <c r="CP37" s="5" t="str">
        <f t="shared" si="77"/>
        <v>Resistant</v>
      </c>
      <c r="CQ37" s="5" t="str">
        <f t="shared" si="77"/>
        <v>Support</v>
      </c>
      <c r="CR37" s="5" t="str">
        <f t="shared" si="77"/>
        <v>-----</v>
      </c>
      <c r="CS37" s="5" t="str">
        <f t="shared" si="77"/>
        <v>-----</v>
      </c>
      <c r="CT37" s="5" t="str">
        <f t="shared" si="77"/>
        <v>-----</v>
      </c>
      <c r="CU37" s="5" t="str">
        <f t="shared" si="77"/>
        <v>-----</v>
      </c>
      <c r="CV37" s="5"/>
      <c r="CW37" s="17">
        <f t="shared" si="78"/>
        <v>4.314825347637796E-4</v>
      </c>
      <c r="CX37" s="17">
        <f t="shared" si="78"/>
        <v>4.0549643882570731E-4</v>
      </c>
      <c r="CY37" s="17" t="str">
        <f t="shared" si="78"/>
        <v/>
      </c>
      <c r="CZ37" s="17" t="str">
        <f t="shared" si="78"/>
        <v/>
      </c>
      <c r="DA37" s="17" t="str">
        <f t="shared" si="78"/>
        <v/>
      </c>
      <c r="DB37" s="17" t="str">
        <f t="shared" si="78"/>
        <v/>
      </c>
      <c r="DC37" s="8"/>
      <c r="DD37" s="5">
        <f t="shared" si="27"/>
        <v>2</v>
      </c>
      <c r="DE37" s="17">
        <f t="shared" si="79"/>
        <v>4.0549643882570731E-4</v>
      </c>
      <c r="DF37" s="5" t="str" cm="1">
        <f t="array" ref="DF37">_xlfn.IFS(DE37=CW37,CP37,DE37=CX37,CQ37,DE37=CY37,CR37,DE37=CZ37,CS37,DE37=DA37,CT37,DE37=DB37,CU37,TRUE,"----- ")</f>
        <v>Support</v>
      </c>
      <c r="DG37" s="5"/>
      <c r="DH37" s="5">
        <f t="shared" si="80"/>
        <v>-2.423265306122455E-3</v>
      </c>
      <c r="DI37" s="5">
        <f t="shared" si="81"/>
        <v>-3.7194805194805478E-4</v>
      </c>
      <c r="DJ37" s="5">
        <f t="shared" si="82"/>
        <v>-1.6402721088435472E-3</v>
      </c>
      <c r="DK37" s="5">
        <f t="shared" si="83"/>
        <v>7.6471243042669956E-4</v>
      </c>
      <c r="DL37" s="5">
        <f t="shared" si="84"/>
        <v>-2.3081014223875058E-4</v>
      </c>
      <c r="DM37" s="5">
        <f t="shared" si="85"/>
        <v>1.5802844774273381E-3</v>
      </c>
      <c r="DO37" s="5">
        <f t="shared" ref="DO37:DO68" si="130">DEGREES(ATAN(DH37/$AP$2))</f>
        <v>-1.9079214597220278</v>
      </c>
      <c r="DP37" s="5">
        <f t="shared" ref="DP37:DP68" si="131">DEGREES(ATAN(DI37/$AP$2))</f>
        <v>-0.29295343676527091</v>
      </c>
      <c r="DQ37" s="5">
        <f t="shared" ref="DQ37:DQ68" si="132">DEGREES(ATAN(DJ37/$AP$2))</f>
        <v>-1.2917022253843653</v>
      </c>
      <c r="DR37" s="5">
        <f t="shared" ref="DR37:DR68" si="133">DEGREES(ATAN(DK37/$AP$2))</f>
        <v>0.60228527619529781</v>
      </c>
      <c r="DS37" s="5">
        <f t="shared" ref="DS37:DS68" si="134">DEGREES(ATAN(DL37/$AP$2))</f>
        <v>-0.18179147971962978</v>
      </c>
      <c r="DT37" s="5">
        <f t="shared" ref="DT37:DT68" si="135">DEGREES(ATAN(DM37/$AP$2))</f>
        <v>1.2444775446344229</v>
      </c>
      <c r="DV37" t="str" cm="1">
        <f t="array" ref="DV37">_xlfn.IFS(DO37&gt;3,"Strong + Slope",DO37&gt;1.5,"Moderate + Slope",DO37&gt;0.5,"Sideway + Slope",DO37&gt;=-0.5,"Sideway Flat",DO37&gt;=-1.5,"Sideway - Slope",DO37&gt;=-3,"Moderate - Slope",TRUE,"Strong - Slope")</f>
        <v>Moderate - Slope</v>
      </c>
      <c r="DW37" t="str" cm="1">
        <f t="array" ref="DW37">_xlfn.IFS(DP37&gt;3,"Strong + Slope",DP37&gt;1.5,"Moderate + Slope",DP37&gt;0.5,"Sideway + Slope",DP37&gt;=-0.5,"Sideway Flat",DP37&gt;=-1.5,"Sideway - Slope",DP37&gt;=-3,"Moderate - Slope",TRUE,"Strong - Slope")</f>
        <v>Sideway Flat</v>
      </c>
      <c r="DX37" t="str" cm="1">
        <f t="array" ref="DX37">_xlfn.IFS(DQ37&gt;3,"Strong + Slope",DQ37&gt;1.5,"Moderate + Slope",DQ37&gt;0.5,"Sideway + Slope",DQ37&gt;=-0.5,"Sideway Flat",DQ37&gt;=-1.5,"Sideway - Slope",DQ37&gt;=-3,"Moderate - Slope",TRUE,"Strong - Slope")</f>
        <v>Sideway - Slope</v>
      </c>
      <c r="DY37" t="str" cm="1">
        <f t="array" ref="DY37">_xlfn.IFS(DR37&gt;3,"Strong + Slope",DR37&gt;1.5,"Moderate + Slope",DR37&gt;0.5,"Sideway + Slope",DR37&gt;=-0.5,"Sideway Flat",DR37&gt;=-1.5,"Sideway - Slope",DR37&gt;=-3,"Moderate - Slope",TRUE,"Strong - Slope")</f>
        <v>Sideway + Slope</v>
      </c>
      <c r="DZ37" t="str" cm="1">
        <f t="array" ref="DZ37">_xlfn.IFS(DS37&gt;3,"Strong + Slope",DS37&gt;1.5,"Moderate + Slope",DS37&gt;0.5,"Sideway + Slope",DS37&gt;=-0.5,"Sideway Flat",DS37&gt;=-1.5,"Sideway - Slope",DS37&gt;=-3,"Moderate - Slope",TRUE,"Strong - Slope")</f>
        <v>Sideway Flat</v>
      </c>
      <c r="EA37" t="str" cm="1">
        <f t="array" ref="EA37">_xlfn.IFS(DT37&gt;3,"Strong + Slope",DT37&gt;1.5,"Moderate + Slope",DT37&gt;0.5,"Sideway + Slope",DT37&gt;=-0.5,"Sideway Flat",DT37&gt;=-1.5,"Sideway - Slope",DT37&gt;=-3,"Moderate - Slope",TRUE,"Strong - Slope")</f>
        <v>Sideway + Slope</v>
      </c>
      <c r="EB37" s="5"/>
      <c r="EC37" s="5">
        <f t="shared" ref="EC37:EC68" si="136">RANK(J37,$J37:$O37,0)</f>
        <v>2</v>
      </c>
      <c r="ED37" s="5">
        <f t="shared" ref="ED37:ED68" si="137">RANK(K37,$J37:$O37,0)</f>
        <v>3</v>
      </c>
      <c r="EE37" s="5">
        <f t="shared" ref="EE37:EE68" si="138">RANK(L37,$J37:$O37,0)</f>
        <v>1</v>
      </c>
      <c r="EF37" s="5">
        <f t="shared" ref="EF37:EF68" si="139">RANK(M37,$J37:$O37,0)</f>
        <v>6</v>
      </c>
      <c r="EG37" s="5">
        <f t="shared" ref="EG37:EG68" si="140">RANK(N37,$J37:$O37,0)</f>
        <v>5</v>
      </c>
      <c r="EH37" s="5">
        <f t="shared" ref="EH37:EH68" si="141">RANK(O37,$J37:$O37,0)</f>
        <v>4</v>
      </c>
      <c r="EI37" s="5"/>
      <c r="EJ37" s="5" t="str">
        <f t="shared" ref="EJ37:EJ68" si="142">IF($H37&gt;J37,"SUP","RES")</f>
        <v>RES</v>
      </c>
      <c r="EK37" s="5" t="str">
        <f t="shared" ref="EK37:EK68" si="143">IF($H37&gt;K37,"SUP","RES")</f>
        <v>RES</v>
      </c>
      <c r="EL37" s="5" t="str">
        <f t="shared" ref="EL37:EL68" si="144">IF($H37&gt;L37,"SUP","RES")</f>
        <v>RES</v>
      </c>
      <c r="EM37" s="5" t="str">
        <f t="shared" ref="EM37:EM68" si="145">IF($H37&gt;M37,"SUP","RES")</f>
        <v>SUP</v>
      </c>
      <c r="EN37" s="5" t="str">
        <f t="shared" ref="EN37:EN68" si="146">IF($H37&gt;N37,"SUP","RES")</f>
        <v>SUP</v>
      </c>
      <c r="EO37" s="5" t="str">
        <f t="shared" ref="EO37:EO68" si="147">IF($H37&gt;O37,"SUP","RES")</f>
        <v>SUP</v>
      </c>
      <c r="EP37" s="5"/>
      <c r="EQ37" s="8">
        <f t="shared" ref="EQ37:EQ68" si="148">(J37-$H37)/$H37</f>
        <v>4.3166879230846332E-4</v>
      </c>
      <c r="ER37" s="8">
        <f t="shared" ref="ER37:ER68" si="149">(K37-$H37)/$H37</f>
        <v>2.6161744988329753E-5</v>
      </c>
      <c r="ES37" s="8">
        <f t="shared" ref="ES37:ES68" si="150">(L37-$H37)/$H37</f>
        <v>2.1125609078124141E-3</v>
      </c>
      <c r="ET37" s="8">
        <f t="shared" ref="ET37:ET68" si="151">(M37-$H37)/$H37</f>
        <v>-2.0275352366002958E-3</v>
      </c>
      <c r="EU37" s="8">
        <f t="shared" ref="EU37:EU68" si="152">(N37-$H37)/$H37</f>
        <v>-1.9555904378822497E-3</v>
      </c>
      <c r="EV37" s="8">
        <f t="shared" ref="EV37:EV68" si="153">(O37-$H37)/$H37</f>
        <v>-4.9707315477956655E-4</v>
      </c>
      <c r="EW37" s="8"/>
      <c r="EX37" s="8">
        <f t="shared" ref="EX37:EX68" si="154">((H37-MIN(J37:O37))/(MAX(J37:O37)-MIN(J37:O37)))</f>
        <v>0.4897314375987542</v>
      </c>
      <c r="EY37" s="9">
        <f t="shared" si="54"/>
        <v>3</v>
      </c>
      <c r="EZ37" s="10">
        <f t="shared" si="55"/>
        <v>3</v>
      </c>
      <c r="FA37" s="8">
        <f t="shared" si="86"/>
        <v>2.1125609078124141E-3</v>
      </c>
      <c r="FB37" s="8">
        <f t="shared" si="87"/>
        <v>4.3166879230846332E-4</v>
      </c>
      <c r="FC37" s="8">
        <f t="shared" si="88"/>
        <v>2.6161744988329753E-5</v>
      </c>
      <c r="FD37" s="8">
        <f t="shared" si="89"/>
        <v>-4.9707315477956655E-4</v>
      </c>
      <c r="FE37" s="8">
        <f t="shared" si="90"/>
        <v>-1.9555904378822497E-3</v>
      </c>
      <c r="FF37" s="8">
        <f t="shared" si="91"/>
        <v>-2.0275352366002958E-3</v>
      </c>
      <c r="FG37" s="5"/>
      <c r="FH37" s="5" t="str">
        <f t="shared" ref="FH37:FH68" si="155">IF(AG37&gt;W37,"Overbought",IF(AG37&gt;Y37,"Bullish Momentum",IF(AG37&gt;AA37,"Flat Momentum","-----")))</f>
        <v>-----</v>
      </c>
      <c r="FI37" s="5" t="str">
        <f t="shared" si="92"/>
        <v>-----</v>
      </c>
      <c r="FJ37" s="5"/>
      <c r="FK37" s="5" t="str">
        <f t="shared" si="93"/>
        <v>-----</v>
      </c>
      <c r="FL37" s="5" t="str">
        <f t="shared" si="94"/>
        <v>-----</v>
      </c>
      <c r="FM37" s="5"/>
      <c r="FN37" s="5"/>
      <c r="FO37" s="8" t="str">
        <f t="shared" si="113"/>
        <v>Bearish</v>
      </c>
      <c r="FP37" s="8"/>
      <c r="FQ37" s="14">
        <f t="shared" ref="FQ37:FQ68" si="156">(AH37-AI37)/AI37</f>
        <v>3.2666714577818333E-5</v>
      </c>
      <c r="FR37" s="14">
        <f t="shared" si="58"/>
        <v>1.3928979348303443</v>
      </c>
      <c r="FS37" s="14" t="str">
        <f t="shared" si="59"/>
        <v>Reverse to Bearish</v>
      </c>
      <c r="FT37" s="14" t="str">
        <f t="shared" ref="FT37:FT68" si="157">IF(AG37&gt;AH37,"Bullish","Bearish")</f>
        <v>Bearish</v>
      </c>
      <c r="FU37" s="5" t="str">
        <f t="shared" si="95"/>
        <v>-----</v>
      </c>
      <c r="FV37" s="5" t="str">
        <f t="shared" si="96"/>
        <v>-----</v>
      </c>
      <c r="FW37" s="5"/>
      <c r="FX37" s="15" t="str">
        <f t="shared" si="116"/>
        <v>YES</v>
      </c>
      <c r="FY37" s="15" t="str">
        <f t="shared" si="117"/>
        <v>YES</v>
      </c>
      <c r="FZ37" s="15" t="str">
        <f t="shared" si="118"/>
        <v>-----</v>
      </c>
      <c r="GA37" s="15" t="str">
        <f t="shared" si="119"/>
        <v>YES</v>
      </c>
      <c r="GB37" s="16" t="str">
        <f t="shared" si="107"/>
        <v>-----</v>
      </c>
      <c r="GC37" s="16" t="str">
        <f t="shared" si="108"/>
        <v>-----</v>
      </c>
      <c r="GD37" s="16" t="str">
        <f t="shared" si="109"/>
        <v>-----</v>
      </c>
      <c r="GE37" s="16" t="str">
        <f t="shared" si="112"/>
        <v>-----</v>
      </c>
      <c r="GF37" s="15" t="str">
        <f t="shared" si="110"/>
        <v>-----</v>
      </c>
      <c r="GG37" s="16" t="str">
        <f t="shared" si="120"/>
        <v>-----</v>
      </c>
      <c r="GH37" s="14"/>
      <c r="GI37" s="5" t="str">
        <f t="shared" ref="GI37:GI68" si="158">IF(AND(H37&gt;AK37,H37&gt;E37),"Bullish Trigger","-----")</f>
        <v>-----</v>
      </c>
      <c r="GJ37" s="5" t="str">
        <f t="shared" ref="GJ37:GJ68" si="159">IF(AND(H37&lt;AL37,H37&lt;E37),"Bearish Trigger","-----")</f>
        <v>Bearish Trigger</v>
      </c>
      <c r="GK37" s="5"/>
      <c r="GL37" s="5" t="str">
        <f t="shared" ref="GL37:GL68" si="160">IF(G37&gt;AK37,"Bullish Spike","-----")</f>
        <v>-----</v>
      </c>
      <c r="GM37" s="5" t="str">
        <f t="shared" ref="GM37:GM68" si="161">IF(F37&lt;AL37,"Bearish Spike","-----")</f>
        <v>-----</v>
      </c>
      <c r="GN37" s="5"/>
      <c r="GO37" s="12">
        <f t="shared" ref="GO37:GO68" si="162">AK37-AL37</f>
        <v>0.12800000000001432</v>
      </c>
      <c r="GP37" s="5">
        <f t="shared" si="97"/>
        <v>1.2035717834124104</v>
      </c>
      <c r="GQ37" s="13" t="str">
        <f t="shared" si="98"/>
        <v>-----</v>
      </c>
      <c r="GR37" s="5"/>
      <c r="GS37">
        <f t="shared" si="99"/>
        <v>0.44885088676194129</v>
      </c>
      <c r="GT37" s="5" t="str">
        <f t="shared" si="100"/>
        <v>-----</v>
      </c>
    </row>
    <row r="38" spans="1:202" x14ac:dyDescent="0.55000000000000004">
      <c r="A38">
        <v>34</v>
      </c>
      <c r="B38" t="s">
        <v>37</v>
      </c>
      <c r="C38" t="s">
        <v>4</v>
      </c>
      <c r="D38" t="s">
        <v>103</v>
      </c>
      <c r="E38">
        <v>152.89599999999999</v>
      </c>
      <c r="F38">
        <v>152.90299999999999</v>
      </c>
      <c r="G38">
        <v>152.815</v>
      </c>
      <c r="H38">
        <v>152.87</v>
      </c>
      <c r="I38">
        <v>357</v>
      </c>
      <c r="J38">
        <v>152.958</v>
      </c>
      <c r="K38">
        <v>152.899</v>
      </c>
      <c r="L38">
        <v>153.21700000000001</v>
      </c>
      <c r="M38">
        <v>152.58500000000001</v>
      </c>
      <c r="N38">
        <v>152.595</v>
      </c>
      <c r="O38">
        <v>152.82</v>
      </c>
      <c r="P38">
        <v>0</v>
      </c>
      <c r="Q38">
        <v>0</v>
      </c>
      <c r="R38">
        <v>0</v>
      </c>
      <c r="S38">
        <v>0</v>
      </c>
      <c r="T38">
        <v>0</v>
      </c>
      <c r="U38">
        <v>0.50751999999999997</v>
      </c>
      <c r="V38">
        <v>3</v>
      </c>
      <c r="W38">
        <v>153.39196000000001</v>
      </c>
      <c r="X38">
        <v>153.30749</v>
      </c>
      <c r="Y38">
        <v>153.22301999999999</v>
      </c>
      <c r="Z38">
        <v>153.13855000000001</v>
      </c>
      <c r="AA38">
        <v>153.05409</v>
      </c>
      <c r="AB38">
        <v>152.93673000000001</v>
      </c>
      <c r="AC38">
        <v>152.85227</v>
      </c>
      <c r="AD38">
        <v>152.76779999999999</v>
      </c>
      <c r="AE38">
        <v>152.68333000000001</v>
      </c>
      <c r="AF38">
        <v>152.59886</v>
      </c>
      <c r="AG38">
        <v>152.94399999999999</v>
      </c>
      <c r="AH38">
        <v>153.03800000000001</v>
      </c>
      <c r="AI38">
        <v>153.047</v>
      </c>
      <c r="AJ38">
        <v>153.155</v>
      </c>
      <c r="AK38">
        <v>153.006</v>
      </c>
      <c r="AL38">
        <v>152.89500000000001</v>
      </c>
      <c r="AM38" s="11">
        <f t="shared" si="0"/>
        <v>8.7999999999993861E-2</v>
      </c>
      <c r="AN38" s="11">
        <f t="shared" si="66"/>
        <v>7.9999999999813554E-3</v>
      </c>
      <c r="AO38" s="11">
        <f t="shared" ref="AO38:AO69" si="163">ABS(G38-H37)</f>
        <v>8.0000000000012506E-2</v>
      </c>
      <c r="AP38" s="11">
        <f t="shared" ref="AP38:AP69" si="164">MAX(AM38:AO38)</f>
        <v>8.7999999999993861E-2</v>
      </c>
      <c r="AR38" s="5" t="str">
        <f t="shared" si="121"/>
        <v>------</v>
      </c>
      <c r="AS38" s="5" t="str">
        <f t="shared" si="122"/>
        <v>------</v>
      </c>
      <c r="AT38" t="str">
        <f t="shared" si="123"/>
        <v/>
      </c>
      <c r="AV38" s="2">
        <f t="shared" si="4"/>
        <v>152.98094370000001</v>
      </c>
      <c r="AW38" s="2">
        <f t="shared" si="5"/>
        <v>152.93505630000001</v>
      </c>
      <c r="AX38" s="2">
        <f t="shared" si="6"/>
        <v>152.92193485000001</v>
      </c>
      <c r="AY38" s="2">
        <f t="shared" si="7"/>
        <v>152.87606515000002</v>
      </c>
      <c r="AZ38" s="2">
        <f t="shared" si="8"/>
        <v>153.23998255000004</v>
      </c>
      <c r="BA38" s="2">
        <f t="shared" si="9"/>
        <v>153.19401745000002</v>
      </c>
      <c r="BB38" s="2">
        <f t="shared" si="10"/>
        <v>152.60788775000003</v>
      </c>
      <c r="BC38" s="2">
        <f t="shared" si="11"/>
        <v>152.56211225000001</v>
      </c>
      <c r="BD38" s="2">
        <f t="shared" si="12"/>
        <v>152.61788925000002</v>
      </c>
      <c r="BE38" s="2">
        <f t="shared" si="13"/>
        <v>152.57211075000001</v>
      </c>
      <c r="BF38" s="2">
        <f t="shared" si="14"/>
        <v>152.84292300000001</v>
      </c>
      <c r="BG38" s="2">
        <f t="shared" si="15"/>
        <v>152.797077</v>
      </c>
      <c r="BI38" s="5" t="str">
        <f t="shared" si="69"/>
        <v>-----</v>
      </c>
      <c r="BJ38" s="5" t="str">
        <f t="shared" si="70"/>
        <v>TOUCH</v>
      </c>
      <c r="BK38" s="5" t="str">
        <f t="shared" si="71"/>
        <v>-----</v>
      </c>
      <c r="BL38" s="5" t="str">
        <f t="shared" si="72"/>
        <v>-----</v>
      </c>
      <c r="BM38" s="5" t="str">
        <f t="shared" si="73"/>
        <v>-----</v>
      </c>
      <c r="BN38" s="5" t="str">
        <f t="shared" si="74"/>
        <v>-----</v>
      </c>
      <c r="BO38" s="5"/>
      <c r="BP38" s="5">
        <f t="shared" ref="BP38:BU53" si="165">IF(BI38="TOUCH",0,BP37+1)</f>
        <v>1</v>
      </c>
      <c r="BQ38" s="5">
        <f t="shared" si="165"/>
        <v>0</v>
      </c>
      <c r="BR38" s="5">
        <f t="shared" si="165"/>
        <v>32</v>
      </c>
      <c r="BS38" s="5">
        <f t="shared" si="165"/>
        <v>34</v>
      </c>
      <c r="BT38" s="5">
        <f t="shared" si="165"/>
        <v>34</v>
      </c>
      <c r="BU38" s="5">
        <f t="shared" si="165"/>
        <v>34</v>
      </c>
      <c r="BV38" s="5">
        <f t="shared" ref="BV38:CA53" si="166">IF(BI38="TOUCH",IF(BP37&gt;=3,1,BV37+1),BV37)</f>
        <v>1</v>
      </c>
      <c r="BW38" s="5">
        <f t="shared" si="166"/>
        <v>2</v>
      </c>
      <c r="BX38" s="5">
        <f t="shared" si="166"/>
        <v>2</v>
      </c>
      <c r="BY38" s="5">
        <f t="shared" si="166"/>
        <v>0</v>
      </c>
      <c r="BZ38" s="5">
        <f t="shared" si="166"/>
        <v>0</v>
      </c>
      <c r="CA38" s="5">
        <f t="shared" si="166"/>
        <v>0</v>
      </c>
      <c r="CB38" s="5" t="str">
        <f t="shared" si="102"/>
        <v>-----</v>
      </c>
      <c r="CC38" s="5">
        <f t="shared" si="101"/>
        <v>2</v>
      </c>
      <c r="CD38" s="5" t="str">
        <f t="shared" si="101"/>
        <v>-----</v>
      </c>
      <c r="CE38" s="5" t="str">
        <f t="shared" si="101"/>
        <v>-----</v>
      </c>
      <c r="CF38" s="5" t="str">
        <f t="shared" si="101"/>
        <v>-----</v>
      </c>
      <c r="CG38" s="5" t="str">
        <f t="shared" si="101"/>
        <v>-----</v>
      </c>
      <c r="CH38" s="5"/>
      <c r="CI38" s="17" t="str">
        <f t="shared" si="124"/>
        <v>-----</v>
      </c>
      <c r="CJ38" s="17">
        <f t="shared" si="125"/>
        <v>3.85875643398567E-4</v>
      </c>
      <c r="CK38" s="17" t="str">
        <f t="shared" si="126"/>
        <v>-----</v>
      </c>
      <c r="CL38" s="17" t="str">
        <f t="shared" si="127"/>
        <v>-----</v>
      </c>
      <c r="CM38" s="17" t="str">
        <f t="shared" si="128"/>
        <v>-----</v>
      </c>
      <c r="CN38" s="17" t="str">
        <f t="shared" si="129"/>
        <v>-----</v>
      </c>
      <c r="CO38" s="5"/>
      <c r="CP38" s="5" t="str">
        <f t="shared" si="77"/>
        <v>-----</v>
      </c>
      <c r="CQ38" s="5" t="str">
        <f t="shared" si="77"/>
        <v>Support</v>
      </c>
      <c r="CR38" s="5" t="str">
        <f t="shared" si="77"/>
        <v>-----</v>
      </c>
      <c r="CS38" s="5" t="str">
        <f t="shared" si="77"/>
        <v>-----</v>
      </c>
      <c r="CT38" s="5" t="str">
        <f t="shared" si="77"/>
        <v>-----</v>
      </c>
      <c r="CU38" s="5" t="str">
        <f t="shared" si="77"/>
        <v>-----</v>
      </c>
      <c r="CV38" s="5"/>
      <c r="CW38" s="17" t="str">
        <f t="shared" si="78"/>
        <v/>
      </c>
      <c r="CX38" s="17">
        <f t="shared" si="78"/>
        <v>3.85875643398567E-4</v>
      </c>
      <c r="CY38" s="17" t="str">
        <f t="shared" si="78"/>
        <v/>
      </c>
      <c r="CZ38" s="17" t="str">
        <f t="shared" si="78"/>
        <v/>
      </c>
      <c r="DA38" s="17" t="str">
        <f t="shared" si="78"/>
        <v/>
      </c>
      <c r="DB38" s="17" t="str">
        <f t="shared" si="78"/>
        <v/>
      </c>
      <c r="DC38" s="8"/>
      <c r="DD38" s="5">
        <f t="shared" si="27"/>
        <v>1</v>
      </c>
      <c r="DE38" s="17">
        <f t="shared" si="79"/>
        <v>3.85875643398567E-4</v>
      </c>
      <c r="DF38" s="5" t="str" cm="1">
        <f t="array" ref="DF38">_xlfn.IFS(DE38=CW38,CP38,DE38=CX38,CQ38,DE38=CY38,CR38,DE38=CZ38,CS38,DE38=DA38,CT38,DE38=DB38,CU38,TRUE,"----- ")</f>
        <v>Support</v>
      </c>
      <c r="DG38" s="5"/>
      <c r="DH38" s="5">
        <f t="shared" si="80"/>
        <v>-2.423265306122455E-3</v>
      </c>
      <c r="DI38" s="5">
        <f t="shared" ref="DI38:DI69" si="167">SLOPE(K$5:K$103,$A$5:$A$103)</f>
        <v>-3.7194805194805478E-4</v>
      </c>
      <c r="DJ38" s="5">
        <f t="shared" ref="DJ38:DJ69" si="168">SLOPE(L$5:L$103,$A$5:$A$103)</f>
        <v>-1.6402721088435472E-3</v>
      </c>
      <c r="DK38" s="5">
        <f t="shared" ref="DK38:DK69" si="169">SLOPE(M$5:M$103,$A$5:$A$103)</f>
        <v>7.6471243042669956E-4</v>
      </c>
      <c r="DL38" s="5">
        <f t="shared" ref="DL38:DL69" si="170">SLOPE(N$5:N$103,$A$5:$A$103)</f>
        <v>-2.3081014223875058E-4</v>
      </c>
      <c r="DM38" s="5">
        <f t="shared" ref="DM38:DM69" si="171">SLOPE(O$5:O$103,$A$5:$A$103)</f>
        <v>1.5802844774273381E-3</v>
      </c>
      <c r="DO38" s="5">
        <f t="shared" si="130"/>
        <v>-1.9079214597220278</v>
      </c>
      <c r="DP38" s="5">
        <f t="shared" si="131"/>
        <v>-0.29295343676527091</v>
      </c>
      <c r="DQ38" s="5">
        <f t="shared" si="132"/>
        <v>-1.2917022253843653</v>
      </c>
      <c r="DR38" s="5">
        <f t="shared" si="133"/>
        <v>0.60228527619529781</v>
      </c>
      <c r="DS38" s="5">
        <f t="shared" si="134"/>
        <v>-0.18179147971962978</v>
      </c>
      <c r="DT38" s="5">
        <f t="shared" si="135"/>
        <v>1.2444775446344229</v>
      </c>
      <c r="DV38" t="str" cm="1">
        <f t="array" ref="DV38">_xlfn.IFS(DO38&gt;3,"Strong + Slope",DO38&gt;1.5,"Moderate + Slope",DO38&gt;0.5,"Sideway + Slope",DO38&gt;=-0.5,"Sideway Flat",DO38&gt;=-1.5,"Sideway - Slope",DO38&gt;=-3,"Moderate - Slope",TRUE,"Strong - Slope")</f>
        <v>Moderate - Slope</v>
      </c>
      <c r="DW38" t="str" cm="1">
        <f t="array" ref="DW38">_xlfn.IFS(DP38&gt;3,"Strong + Slope",DP38&gt;1.5,"Moderate + Slope",DP38&gt;0.5,"Sideway + Slope",DP38&gt;=-0.5,"Sideway Flat",DP38&gt;=-1.5,"Sideway - Slope",DP38&gt;=-3,"Moderate - Slope",TRUE,"Strong - Slope")</f>
        <v>Sideway Flat</v>
      </c>
      <c r="DX38" t="str" cm="1">
        <f t="array" ref="DX38">_xlfn.IFS(DQ38&gt;3,"Strong + Slope",DQ38&gt;1.5,"Moderate + Slope",DQ38&gt;0.5,"Sideway + Slope",DQ38&gt;=-0.5,"Sideway Flat",DQ38&gt;=-1.5,"Sideway - Slope",DQ38&gt;=-3,"Moderate - Slope",TRUE,"Strong - Slope")</f>
        <v>Sideway - Slope</v>
      </c>
      <c r="DY38" t="str" cm="1">
        <f t="array" ref="DY38">_xlfn.IFS(DR38&gt;3,"Strong + Slope",DR38&gt;1.5,"Moderate + Slope",DR38&gt;0.5,"Sideway + Slope",DR38&gt;=-0.5,"Sideway Flat",DR38&gt;=-1.5,"Sideway - Slope",DR38&gt;=-3,"Moderate - Slope",TRUE,"Strong - Slope")</f>
        <v>Sideway + Slope</v>
      </c>
      <c r="DZ38" t="str" cm="1">
        <f t="array" ref="DZ38">_xlfn.IFS(DS38&gt;3,"Strong + Slope",DS38&gt;1.5,"Moderate + Slope",DS38&gt;0.5,"Sideway + Slope",DS38&gt;=-0.5,"Sideway Flat",DS38&gt;=-1.5,"Sideway - Slope",DS38&gt;=-3,"Moderate - Slope",TRUE,"Strong - Slope")</f>
        <v>Sideway Flat</v>
      </c>
      <c r="EA38" t="str" cm="1">
        <f t="array" ref="EA38">_xlfn.IFS(DT38&gt;3,"Strong + Slope",DT38&gt;1.5,"Moderate + Slope",DT38&gt;0.5,"Sideway + Slope",DT38&gt;=-0.5,"Sideway Flat",DT38&gt;=-1.5,"Sideway - Slope",DT38&gt;=-3,"Moderate - Slope",TRUE,"Strong - Slope")</f>
        <v>Sideway + Slope</v>
      </c>
      <c r="EB38" s="5"/>
      <c r="EC38" s="5">
        <f t="shared" si="136"/>
        <v>2</v>
      </c>
      <c r="ED38" s="5">
        <f t="shared" si="137"/>
        <v>3</v>
      </c>
      <c r="EE38" s="5">
        <f t="shared" si="138"/>
        <v>1</v>
      </c>
      <c r="EF38" s="5">
        <f t="shared" si="139"/>
        <v>6</v>
      </c>
      <c r="EG38" s="5">
        <f t="shared" si="140"/>
        <v>5</v>
      </c>
      <c r="EH38" s="5">
        <f t="shared" si="141"/>
        <v>4</v>
      </c>
      <c r="EI38" s="5"/>
      <c r="EJ38" s="5" t="str">
        <f t="shared" si="142"/>
        <v>RES</v>
      </c>
      <c r="EK38" s="5" t="str">
        <f t="shared" si="143"/>
        <v>RES</v>
      </c>
      <c r="EL38" s="5" t="str">
        <f t="shared" si="144"/>
        <v>RES</v>
      </c>
      <c r="EM38" s="5" t="str">
        <f t="shared" si="145"/>
        <v>SUP</v>
      </c>
      <c r="EN38" s="5" t="str">
        <f t="shared" si="146"/>
        <v>SUP</v>
      </c>
      <c r="EO38" s="5" t="str">
        <f t="shared" si="147"/>
        <v>SUP</v>
      </c>
      <c r="EP38" s="5"/>
      <c r="EQ38" s="8">
        <f t="shared" si="148"/>
        <v>5.7565251520896095E-4</v>
      </c>
      <c r="ER38" s="8">
        <f t="shared" si="149"/>
        <v>1.8970366978476066E-4</v>
      </c>
      <c r="ES38" s="8">
        <f t="shared" si="150"/>
        <v>2.2699025315628205E-3</v>
      </c>
      <c r="ET38" s="8">
        <f t="shared" si="151"/>
        <v>-1.8643291685745834E-3</v>
      </c>
      <c r="EU38" s="8">
        <f t="shared" si="152"/>
        <v>-1.7989141100281656E-3</v>
      </c>
      <c r="EV38" s="8">
        <f t="shared" si="153"/>
        <v>-3.2707529273246134E-4</v>
      </c>
      <c r="EW38" s="8"/>
      <c r="EX38" s="8">
        <f t="shared" si="154"/>
        <v>0.45094936708859862</v>
      </c>
      <c r="EY38" s="9">
        <f t="shared" si="54"/>
        <v>3</v>
      </c>
      <c r="EZ38" s="10">
        <f t="shared" si="55"/>
        <v>3</v>
      </c>
      <c r="FA38" s="8">
        <f t="shared" si="86"/>
        <v>2.2699025315628205E-3</v>
      </c>
      <c r="FB38" s="8">
        <f t="shared" si="87"/>
        <v>5.7565251520896095E-4</v>
      </c>
      <c r="FC38" s="8">
        <f t="shared" si="88"/>
        <v>1.8970366978476066E-4</v>
      </c>
      <c r="FD38" s="8">
        <f t="shared" si="89"/>
        <v>-3.2707529273246134E-4</v>
      </c>
      <c r="FE38" s="8">
        <f t="shared" si="90"/>
        <v>-1.7989141100281656E-3</v>
      </c>
      <c r="FF38" s="8">
        <f t="shared" si="91"/>
        <v>-1.8643291685745834E-3</v>
      </c>
      <c r="FG38" s="5"/>
      <c r="FH38" s="5" t="str">
        <f t="shared" si="155"/>
        <v>-----</v>
      </c>
      <c r="FI38" s="5" t="str">
        <f t="shared" si="92"/>
        <v>-----</v>
      </c>
      <c r="FJ38" s="5"/>
      <c r="FK38" s="5" t="str">
        <f t="shared" si="93"/>
        <v>-----</v>
      </c>
      <c r="FL38" s="5" t="str">
        <f t="shared" si="94"/>
        <v>-----</v>
      </c>
      <c r="FM38" s="5"/>
      <c r="FN38" s="5"/>
      <c r="FO38" s="8" t="str">
        <f t="shared" si="113"/>
        <v>Bearish</v>
      </c>
      <c r="FP38" s="8"/>
      <c r="FQ38" s="14">
        <f t="shared" si="156"/>
        <v>-5.8805464987788918E-5</v>
      </c>
      <c r="FR38" s="14">
        <f t="shared" si="58"/>
        <v>1.1290873413275968</v>
      </c>
      <c r="FS38" s="14" t="str">
        <f t="shared" si="59"/>
        <v>Reverse to Bearish</v>
      </c>
      <c r="FT38" s="14" t="str">
        <f t="shared" si="157"/>
        <v>Bearish</v>
      </c>
      <c r="FU38" s="5" t="str">
        <f t="shared" ref="FU38:FU69" si="172">IF(AND(H38&gt;AG38,H37&lt;AG37),"TEMA crossover","-----")</f>
        <v>-----</v>
      </c>
      <c r="FV38" s="5" t="str">
        <f t="shared" ref="FV38:FV69" si="173">IF(AND(H38&lt;AG38,H37&gt;AG37),"TEMA crossunder","-----")</f>
        <v>-----</v>
      </c>
      <c r="FW38" s="5"/>
      <c r="FX38" s="15" t="str">
        <f t="shared" si="116"/>
        <v>YES</v>
      </c>
      <c r="FY38" s="15" t="str">
        <f t="shared" si="117"/>
        <v>YES</v>
      </c>
      <c r="FZ38" s="15" t="str">
        <f t="shared" si="118"/>
        <v>-----</v>
      </c>
      <c r="GA38" s="15" t="str">
        <f t="shared" si="119"/>
        <v>YES</v>
      </c>
      <c r="GB38" s="16" t="str">
        <f t="shared" si="107"/>
        <v>-----</v>
      </c>
      <c r="GC38" s="16" t="str">
        <f t="shared" si="108"/>
        <v>-----</v>
      </c>
      <c r="GD38" s="16" t="str">
        <f t="shared" si="109"/>
        <v>-----</v>
      </c>
      <c r="GE38" s="16" t="str">
        <f t="shared" si="112"/>
        <v>-----</v>
      </c>
      <c r="GF38" s="15" t="str">
        <f t="shared" si="110"/>
        <v>-----</v>
      </c>
      <c r="GG38" s="16" t="str">
        <f t="shared" si="120"/>
        <v>-----</v>
      </c>
      <c r="GH38" s="14"/>
      <c r="GI38" s="5" t="str">
        <f t="shared" si="158"/>
        <v>-----</v>
      </c>
      <c r="GJ38" s="5" t="str">
        <f t="shared" si="159"/>
        <v>Bearish Trigger</v>
      </c>
      <c r="GK38" s="5"/>
      <c r="GL38" s="5" t="str">
        <f t="shared" si="160"/>
        <v>-----</v>
      </c>
      <c r="GM38" s="5" t="str">
        <f t="shared" si="161"/>
        <v>-----</v>
      </c>
      <c r="GN38" s="5"/>
      <c r="GO38" s="12">
        <f t="shared" si="162"/>
        <v>0.11099999999999</v>
      </c>
      <c r="GP38" s="5">
        <f t="shared" si="97"/>
        <v>0.81177075604577364</v>
      </c>
      <c r="GQ38" s="13" t="str">
        <f t="shared" si="98"/>
        <v>-----</v>
      </c>
      <c r="GR38" s="5"/>
      <c r="GS38">
        <f t="shared" si="99"/>
        <v>0.44239775899699324</v>
      </c>
      <c r="GT38" s="5" t="str">
        <f t="shared" si="100"/>
        <v>-----</v>
      </c>
    </row>
    <row r="39" spans="1:202" x14ac:dyDescent="0.55000000000000004">
      <c r="A39">
        <v>35</v>
      </c>
      <c r="B39" t="s">
        <v>38</v>
      </c>
      <c r="C39" t="s">
        <v>4</v>
      </c>
      <c r="D39" t="s">
        <v>103</v>
      </c>
      <c r="E39">
        <v>152.87</v>
      </c>
      <c r="F39">
        <v>152.881</v>
      </c>
      <c r="G39">
        <v>152.80099999999999</v>
      </c>
      <c r="H39">
        <v>152.86199999999999</v>
      </c>
      <c r="I39">
        <v>389</v>
      </c>
      <c r="J39">
        <v>152.95599999999999</v>
      </c>
      <c r="K39">
        <v>152.898</v>
      </c>
      <c r="L39">
        <v>153.215</v>
      </c>
      <c r="M39">
        <v>152.58600000000001</v>
      </c>
      <c r="N39">
        <v>152.595</v>
      </c>
      <c r="O39">
        <v>152.822</v>
      </c>
      <c r="P39">
        <v>0</v>
      </c>
      <c r="Q39">
        <v>0</v>
      </c>
      <c r="R39">
        <v>0</v>
      </c>
      <c r="S39">
        <v>0</v>
      </c>
      <c r="T39">
        <v>1</v>
      </c>
      <c r="U39">
        <v>0.91356000000000004</v>
      </c>
      <c r="V39">
        <v>3</v>
      </c>
      <c r="W39">
        <v>153.38446999999999</v>
      </c>
      <c r="X39">
        <v>153.2998</v>
      </c>
      <c r="Y39">
        <v>153.21512999999999</v>
      </c>
      <c r="Z39">
        <v>153.13045</v>
      </c>
      <c r="AA39">
        <v>153.04578000000001</v>
      </c>
      <c r="AB39">
        <v>152.92941999999999</v>
      </c>
      <c r="AC39">
        <v>152.84475</v>
      </c>
      <c r="AD39">
        <v>152.76007999999999</v>
      </c>
      <c r="AE39">
        <v>152.6754</v>
      </c>
      <c r="AF39">
        <v>152.59073000000001</v>
      </c>
      <c r="AG39">
        <v>152.88300000000001</v>
      </c>
      <c r="AH39">
        <v>153.00299999999999</v>
      </c>
      <c r="AI39">
        <v>153.03200000000001</v>
      </c>
      <c r="AJ39">
        <v>153.14699999999999</v>
      </c>
      <c r="AK39">
        <v>152.93100000000001</v>
      </c>
      <c r="AL39">
        <v>152.83500000000001</v>
      </c>
      <c r="AM39" s="11">
        <f t="shared" si="0"/>
        <v>8.0000000000012506E-2</v>
      </c>
      <c r="AN39" s="11">
        <f t="shared" si="66"/>
        <v>1.099999999999568E-2</v>
      </c>
      <c r="AO39" s="11">
        <f t="shared" si="163"/>
        <v>6.9000000000016826E-2</v>
      </c>
      <c r="AP39" s="11">
        <f t="shared" si="164"/>
        <v>8.0000000000012506E-2</v>
      </c>
      <c r="AR39" s="5" t="str">
        <f t="shared" si="121"/>
        <v>------</v>
      </c>
      <c r="AS39" s="5" t="str">
        <f t="shared" si="122"/>
        <v>------</v>
      </c>
      <c r="AT39" t="str">
        <f t="shared" si="123"/>
        <v/>
      </c>
      <c r="AV39" s="2">
        <f t="shared" si="4"/>
        <v>152.97894339999999</v>
      </c>
      <c r="AW39" s="2">
        <f t="shared" si="5"/>
        <v>152.93305659999999</v>
      </c>
      <c r="AX39" s="2">
        <f t="shared" si="6"/>
        <v>152.9209347</v>
      </c>
      <c r="AY39" s="2">
        <f t="shared" si="7"/>
        <v>152.87506529999999</v>
      </c>
      <c r="AZ39" s="2">
        <f t="shared" si="8"/>
        <v>153.23798225000002</v>
      </c>
      <c r="BA39" s="2">
        <f t="shared" si="9"/>
        <v>153.19201775000002</v>
      </c>
      <c r="BB39" s="2">
        <f t="shared" si="10"/>
        <v>152.60888790000001</v>
      </c>
      <c r="BC39" s="2">
        <f t="shared" si="11"/>
        <v>152.56311210000001</v>
      </c>
      <c r="BD39" s="2">
        <f t="shared" si="12"/>
        <v>152.61788925000002</v>
      </c>
      <c r="BE39" s="2">
        <f t="shared" si="13"/>
        <v>152.57211075000001</v>
      </c>
      <c r="BF39" s="2">
        <f t="shared" si="14"/>
        <v>152.8449233</v>
      </c>
      <c r="BG39" s="2">
        <f t="shared" si="15"/>
        <v>152.7990767</v>
      </c>
      <c r="BI39" s="5" t="str">
        <f t="shared" si="69"/>
        <v>-----</v>
      </c>
      <c r="BJ39" s="5" t="str">
        <f t="shared" si="70"/>
        <v>-----</v>
      </c>
      <c r="BK39" s="5" t="str">
        <f t="shared" si="71"/>
        <v>-----</v>
      </c>
      <c r="BL39" s="5" t="str">
        <f t="shared" si="72"/>
        <v>-----</v>
      </c>
      <c r="BM39" s="5" t="str">
        <f t="shared" si="73"/>
        <v>-----</v>
      </c>
      <c r="BN39" s="5" t="str">
        <f t="shared" si="74"/>
        <v>-----</v>
      </c>
      <c r="BO39" s="5"/>
      <c r="BP39" s="5">
        <f t="shared" si="165"/>
        <v>2</v>
      </c>
      <c r="BQ39" s="5">
        <f t="shared" si="165"/>
        <v>1</v>
      </c>
      <c r="BR39" s="5">
        <f t="shared" si="165"/>
        <v>33</v>
      </c>
      <c r="BS39" s="5">
        <f t="shared" si="165"/>
        <v>35</v>
      </c>
      <c r="BT39" s="5">
        <f t="shared" si="165"/>
        <v>35</v>
      </c>
      <c r="BU39" s="5">
        <f t="shared" si="165"/>
        <v>35</v>
      </c>
      <c r="BV39" s="5">
        <f t="shared" si="166"/>
        <v>1</v>
      </c>
      <c r="BW39" s="5">
        <f t="shared" si="166"/>
        <v>2</v>
      </c>
      <c r="BX39" s="5">
        <f t="shared" si="166"/>
        <v>2</v>
      </c>
      <c r="BY39" s="5">
        <f t="shared" si="166"/>
        <v>0</v>
      </c>
      <c r="BZ39" s="5">
        <f t="shared" si="166"/>
        <v>0</v>
      </c>
      <c r="CA39" s="5">
        <f t="shared" si="166"/>
        <v>0</v>
      </c>
      <c r="CB39" s="5" t="str">
        <f t="shared" si="102"/>
        <v>-----</v>
      </c>
      <c r="CC39" s="5" t="str">
        <f t="shared" si="101"/>
        <v>-----</v>
      </c>
      <c r="CD39" s="5" t="str">
        <f t="shared" si="101"/>
        <v>-----</v>
      </c>
      <c r="CE39" s="5" t="str">
        <f t="shared" si="101"/>
        <v>-----</v>
      </c>
      <c r="CF39" s="5" t="str">
        <f t="shared" si="101"/>
        <v>-----</v>
      </c>
      <c r="CG39" s="5" t="str">
        <f t="shared" si="101"/>
        <v>-----</v>
      </c>
      <c r="CH39" s="5"/>
      <c r="CI39" s="17" t="str">
        <f t="shared" si="124"/>
        <v>-----</v>
      </c>
      <c r="CJ39" s="17" t="str">
        <f t="shared" si="125"/>
        <v>-----</v>
      </c>
      <c r="CK39" s="17" t="str">
        <f t="shared" si="126"/>
        <v>-----</v>
      </c>
      <c r="CL39" s="17" t="str">
        <f t="shared" si="127"/>
        <v>-----</v>
      </c>
      <c r="CM39" s="17" t="str">
        <f t="shared" si="128"/>
        <v>-----</v>
      </c>
      <c r="CN39" s="17" t="str">
        <f t="shared" si="129"/>
        <v>-----</v>
      </c>
      <c r="CO39" s="5"/>
      <c r="CP39" s="5" t="str">
        <f t="shared" si="77"/>
        <v>-----</v>
      </c>
      <c r="CQ39" s="5" t="str">
        <f t="shared" si="77"/>
        <v>-----</v>
      </c>
      <c r="CR39" s="5" t="str">
        <f t="shared" si="77"/>
        <v>-----</v>
      </c>
      <c r="CS39" s="5" t="str">
        <f t="shared" si="77"/>
        <v>-----</v>
      </c>
      <c r="CT39" s="5" t="str">
        <f t="shared" si="77"/>
        <v>-----</v>
      </c>
      <c r="CU39" s="5" t="str">
        <f t="shared" si="77"/>
        <v>-----</v>
      </c>
      <c r="CV39" s="5"/>
      <c r="CW39" s="17" t="str">
        <f t="shared" si="78"/>
        <v/>
      </c>
      <c r="CX39" s="17" t="str">
        <f t="shared" si="78"/>
        <v/>
      </c>
      <c r="CY39" s="17" t="str">
        <f t="shared" si="78"/>
        <v/>
      </c>
      <c r="CZ39" s="17" t="str">
        <f t="shared" si="78"/>
        <v/>
      </c>
      <c r="DA39" s="17" t="str">
        <f t="shared" si="78"/>
        <v/>
      </c>
      <c r="DB39" s="17" t="str">
        <f t="shared" si="78"/>
        <v/>
      </c>
      <c r="DC39" s="8"/>
      <c r="DD39" s="5">
        <f t="shared" si="27"/>
        <v>0</v>
      </c>
      <c r="DE39" s="17" t="str">
        <f t="shared" si="79"/>
        <v>-----</v>
      </c>
      <c r="DF39" s="5" t="str" cm="1">
        <f t="array" ref="DF39">_xlfn.IFS(DE39=CW39,CP39,DE39=CX39,CQ39,DE39=CY39,CR39,DE39=CZ39,CS39,DE39=DA39,CT39,DE39=DB39,CU39,TRUE,"----- ")</f>
        <v xml:space="preserve">----- </v>
      </c>
      <c r="DG39" s="5"/>
      <c r="DH39" s="5">
        <f t="shared" si="80"/>
        <v>-2.423265306122455E-3</v>
      </c>
      <c r="DI39" s="5">
        <f t="shared" si="167"/>
        <v>-3.7194805194805478E-4</v>
      </c>
      <c r="DJ39" s="5">
        <f t="shared" si="168"/>
        <v>-1.6402721088435472E-3</v>
      </c>
      <c r="DK39" s="5">
        <f t="shared" si="169"/>
        <v>7.6471243042669956E-4</v>
      </c>
      <c r="DL39" s="5">
        <f t="shared" si="170"/>
        <v>-2.3081014223875058E-4</v>
      </c>
      <c r="DM39" s="5">
        <f t="shared" si="171"/>
        <v>1.5802844774273381E-3</v>
      </c>
      <c r="DO39" s="5">
        <f t="shared" si="130"/>
        <v>-1.9079214597220278</v>
      </c>
      <c r="DP39" s="5">
        <f t="shared" si="131"/>
        <v>-0.29295343676527091</v>
      </c>
      <c r="DQ39" s="5">
        <f t="shared" si="132"/>
        <v>-1.2917022253843653</v>
      </c>
      <c r="DR39" s="5">
        <f t="shared" si="133"/>
        <v>0.60228527619529781</v>
      </c>
      <c r="DS39" s="5">
        <f t="shared" si="134"/>
        <v>-0.18179147971962978</v>
      </c>
      <c r="DT39" s="5">
        <f t="shared" si="135"/>
        <v>1.2444775446344229</v>
      </c>
      <c r="DV39" t="str" cm="1">
        <f t="array" ref="DV39">_xlfn.IFS(DO39&gt;3,"Strong + Slope",DO39&gt;1.5,"Moderate + Slope",DO39&gt;0.5,"Sideway + Slope",DO39&gt;=-0.5,"Sideway Flat",DO39&gt;=-1.5,"Sideway - Slope",DO39&gt;=-3,"Moderate - Slope",TRUE,"Strong - Slope")</f>
        <v>Moderate - Slope</v>
      </c>
      <c r="DW39" t="str" cm="1">
        <f t="array" ref="DW39">_xlfn.IFS(DP39&gt;3,"Strong + Slope",DP39&gt;1.5,"Moderate + Slope",DP39&gt;0.5,"Sideway + Slope",DP39&gt;=-0.5,"Sideway Flat",DP39&gt;=-1.5,"Sideway - Slope",DP39&gt;=-3,"Moderate - Slope",TRUE,"Strong - Slope")</f>
        <v>Sideway Flat</v>
      </c>
      <c r="DX39" t="str" cm="1">
        <f t="array" ref="DX39">_xlfn.IFS(DQ39&gt;3,"Strong + Slope",DQ39&gt;1.5,"Moderate + Slope",DQ39&gt;0.5,"Sideway + Slope",DQ39&gt;=-0.5,"Sideway Flat",DQ39&gt;=-1.5,"Sideway - Slope",DQ39&gt;=-3,"Moderate - Slope",TRUE,"Strong - Slope")</f>
        <v>Sideway - Slope</v>
      </c>
      <c r="DY39" t="str" cm="1">
        <f t="array" ref="DY39">_xlfn.IFS(DR39&gt;3,"Strong + Slope",DR39&gt;1.5,"Moderate + Slope",DR39&gt;0.5,"Sideway + Slope",DR39&gt;=-0.5,"Sideway Flat",DR39&gt;=-1.5,"Sideway - Slope",DR39&gt;=-3,"Moderate - Slope",TRUE,"Strong - Slope")</f>
        <v>Sideway + Slope</v>
      </c>
      <c r="DZ39" t="str" cm="1">
        <f t="array" ref="DZ39">_xlfn.IFS(DS39&gt;3,"Strong + Slope",DS39&gt;1.5,"Moderate + Slope",DS39&gt;0.5,"Sideway + Slope",DS39&gt;=-0.5,"Sideway Flat",DS39&gt;=-1.5,"Sideway - Slope",DS39&gt;=-3,"Moderate - Slope",TRUE,"Strong - Slope")</f>
        <v>Sideway Flat</v>
      </c>
      <c r="EA39" t="str" cm="1">
        <f t="array" ref="EA39">_xlfn.IFS(DT39&gt;3,"Strong + Slope",DT39&gt;1.5,"Moderate + Slope",DT39&gt;0.5,"Sideway + Slope",DT39&gt;=-0.5,"Sideway Flat",DT39&gt;=-1.5,"Sideway - Slope",DT39&gt;=-3,"Moderate - Slope",TRUE,"Strong - Slope")</f>
        <v>Sideway + Slope</v>
      </c>
      <c r="EB39" s="5"/>
      <c r="EC39" s="5">
        <f t="shared" si="136"/>
        <v>2</v>
      </c>
      <c r="ED39" s="5">
        <f t="shared" si="137"/>
        <v>3</v>
      </c>
      <c r="EE39" s="5">
        <f t="shared" si="138"/>
        <v>1</v>
      </c>
      <c r="EF39" s="5">
        <f t="shared" si="139"/>
        <v>6</v>
      </c>
      <c r="EG39" s="5">
        <f t="shared" si="140"/>
        <v>5</v>
      </c>
      <c r="EH39" s="5">
        <f t="shared" si="141"/>
        <v>4</v>
      </c>
      <c r="EI39" s="5"/>
      <c r="EJ39" s="5" t="str">
        <f t="shared" si="142"/>
        <v>RES</v>
      </c>
      <c r="EK39" s="5" t="str">
        <f t="shared" si="143"/>
        <v>RES</v>
      </c>
      <c r="EL39" s="5" t="str">
        <f t="shared" si="144"/>
        <v>RES</v>
      </c>
      <c r="EM39" s="5" t="str">
        <f t="shared" si="145"/>
        <v>SUP</v>
      </c>
      <c r="EN39" s="5" t="str">
        <f t="shared" si="146"/>
        <v>SUP</v>
      </c>
      <c r="EO39" s="5" t="str">
        <f t="shared" si="147"/>
        <v>SUP</v>
      </c>
      <c r="EP39" s="5"/>
      <c r="EQ39" s="8">
        <f t="shared" si="148"/>
        <v>6.1493373107766544E-4</v>
      </c>
      <c r="ER39" s="8">
        <f t="shared" si="149"/>
        <v>2.3550653530636368E-4</v>
      </c>
      <c r="ES39" s="8">
        <f t="shared" si="150"/>
        <v>2.309272415642924E-3</v>
      </c>
      <c r="ET39" s="8">
        <f t="shared" si="151"/>
        <v>-1.805550104015269E-3</v>
      </c>
      <c r="EU39" s="8">
        <f t="shared" si="152"/>
        <v>-1.746673470188771E-3</v>
      </c>
      <c r="EV39" s="8">
        <f t="shared" si="153"/>
        <v>-2.6167392811811987E-4</v>
      </c>
      <c r="EW39" s="8"/>
      <c r="EX39" s="8">
        <f t="shared" si="154"/>
        <v>0.43879173290935791</v>
      </c>
      <c r="EY39" s="9">
        <f t="shared" si="54"/>
        <v>3</v>
      </c>
      <c r="EZ39" s="10">
        <f t="shared" si="55"/>
        <v>3</v>
      </c>
      <c r="FA39" s="8">
        <f t="shared" si="86"/>
        <v>2.309272415642924E-3</v>
      </c>
      <c r="FB39" s="8">
        <f t="shared" si="87"/>
        <v>6.1493373107766544E-4</v>
      </c>
      <c r="FC39" s="8">
        <f t="shared" si="88"/>
        <v>2.3550653530636368E-4</v>
      </c>
      <c r="FD39" s="8">
        <f t="shared" si="89"/>
        <v>-2.6167392811811987E-4</v>
      </c>
      <c r="FE39" s="8">
        <f t="shared" si="90"/>
        <v>-1.746673470188771E-3</v>
      </c>
      <c r="FF39" s="8">
        <f t="shared" si="91"/>
        <v>-1.805550104015269E-3</v>
      </c>
      <c r="FG39" s="5"/>
      <c r="FH39" s="5" t="str">
        <f t="shared" si="155"/>
        <v>-----</v>
      </c>
      <c r="FI39" s="5" t="str">
        <f t="shared" si="92"/>
        <v>Flat Momentum</v>
      </c>
      <c r="FJ39" s="5"/>
      <c r="FK39" s="5" t="str">
        <f t="shared" si="93"/>
        <v>-----</v>
      </c>
      <c r="FL39" s="5" t="str">
        <f t="shared" si="94"/>
        <v>-----</v>
      </c>
      <c r="FM39" s="5"/>
      <c r="FN39" s="5"/>
      <c r="FO39" s="8" t="str">
        <f t="shared" si="113"/>
        <v>Bearish</v>
      </c>
      <c r="FP39" s="8"/>
      <c r="FQ39" s="14">
        <f t="shared" si="156"/>
        <v>-1.8950284907747909E-4</v>
      </c>
      <c r="FR39" s="14">
        <f t="shared" si="58"/>
        <v>0.75214918778520923</v>
      </c>
      <c r="FS39" s="14" t="str">
        <f t="shared" si="59"/>
        <v>-----</v>
      </c>
      <c r="FT39" s="14" t="str">
        <f t="shared" si="157"/>
        <v>Bearish</v>
      </c>
      <c r="FU39" s="5" t="str">
        <f t="shared" si="172"/>
        <v>-----</v>
      </c>
      <c r="FV39" s="5" t="str">
        <f t="shared" si="173"/>
        <v>-----</v>
      </c>
      <c r="FW39" s="5"/>
      <c r="FX39" s="15" t="str">
        <f t="shared" si="116"/>
        <v>YES</v>
      </c>
      <c r="FY39" s="15" t="str">
        <f t="shared" si="117"/>
        <v>-----</v>
      </c>
      <c r="FZ39" s="15" t="str">
        <f t="shared" si="118"/>
        <v>-----</v>
      </c>
      <c r="GA39" s="15" t="str">
        <f t="shared" si="119"/>
        <v>-----</v>
      </c>
      <c r="GB39" s="16" t="str">
        <f t="shared" si="107"/>
        <v>-----</v>
      </c>
      <c r="GC39" s="16" t="str">
        <f t="shared" si="108"/>
        <v>-----</v>
      </c>
      <c r="GD39" s="16" t="str">
        <f t="shared" si="109"/>
        <v>-----</v>
      </c>
      <c r="GE39" s="16" t="str">
        <f t="shared" si="112"/>
        <v>-----</v>
      </c>
      <c r="GF39" s="15" t="str">
        <f t="shared" si="110"/>
        <v>-----</v>
      </c>
      <c r="GG39" s="16" t="str">
        <f t="shared" si="120"/>
        <v>-----</v>
      </c>
      <c r="GH39" s="14"/>
      <c r="GI39" s="5" t="str">
        <f t="shared" si="158"/>
        <v>-----</v>
      </c>
      <c r="GJ39" s="5" t="str">
        <f t="shared" si="159"/>
        <v>-----</v>
      </c>
      <c r="GK39" s="5"/>
      <c r="GL39" s="5" t="str">
        <f t="shared" si="160"/>
        <v>-----</v>
      </c>
      <c r="GM39" s="5" t="str">
        <f t="shared" si="161"/>
        <v>-----</v>
      </c>
      <c r="GN39" s="5"/>
      <c r="GO39" s="12">
        <f t="shared" si="162"/>
        <v>9.6000000000003638E-2</v>
      </c>
      <c r="GP39" s="5">
        <f t="shared" si="97"/>
        <v>0.4660639671936681</v>
      </c>
      <c r="GQ39" s="13" t="str">
        <f t="shared" si="98"/>
        <v>-----</v>
      </c>
      <c r="GR39" s="5"/>
      <c r="GS39">
        <f t="shared" si="99"/>
        <v>0.64889784747533041</v>
      </c>
      <c r="GT39" s="5" t="str">
        <f t="shared" si="100"/>
        <v>-----</v>
      </c>
    </row>
    <row r="40" spans="1:202" x14ac:dyDescent="0.55000000000000004">
      <c r="A40">
        <v>36</v>
      </c>
      <c r="B40" t="s">
        <v>39</v>
      </c>
      <c r="C40" t="s">
        <v>4</v>
      </c>
      <c r="D40" t="s">
        <v>103</v>
      </c>
      <c r="E40">
        <v>152.86099999999999</v>
      </c>
      <c r="F40">
        <v>152.90799999999999</v>
      </c>
      <c r="G40">
        <v>152.83500000000001</v>
      </c>
      <c r="H40">
        <v>152.89400000000001</v>
      </c>
      <c r="I40">
        <v>359</v>
      </c>
      <c r="J40">
        <v>152.953</v>
      </c>
      <c r="K40">
        <v>152.898</v>
      </c>
      <c r="L40">
        <v>153.214</v>
      </c>
      <c r="M40">
        <v>152.58699999999999</v>
      </c>
      <c r="N40">
        <v>152.595</v>
      </c>
      <c r="O40">
        <v>152.82300000000001</v>
      </c>
      <c r="P40">
        <v>0</v>
      </c>
      <c r="Q40">
        <v>0</v>
      </c>
      <c r="R40">
        <v>0</v>
      </c>
      <c r="S40">
        <v>0</v>
      </c>
      <c r="T40">
        <v>0</v>
      </c>
      <c r="U40">
        <v>0.34733000000000003</v>
      </c>
      <c r="V40">
        <v>0</v>
      </c>
      <c r="W40">
        <v>153.37501</v>
      </c>
      <c r="X40">
        <v>153.29012</v>
      </c>
      <c r="Y40">
        <v>153.20522</v>
      </c>
      <c r="Z40">
        <v>153.12033</v>
      </c>
      <c r="AA40">
        <v>153.03542999999999</v>
      </c>
      <c r="AB40">
        <v>152.92077</v>
      </c>
      <c r="AC40">
        <v>152.83588</v>
      </c>
      <c r="AD40">
        <v>152.75098</v>
      </c>
      <c r="AE40">
        <v>152.66609</v>
      </c>
      <c r="AF40">
        <v>152.58118999999999</v>
      </c>
      <c r="AG40">
        <v>152.86099999999999</v>
      </c>
      <c r="AH40">
        <v>152.971</v>
      </c>
      <c r="AI40">
        <v>153.02099999999999</v>
      </c>
      <c r="AJ40">
        <v>153.13900000000001</v>
      </c>
      <c r="AK40">
        <v>152.899</v>
      </c>
      <c r="AL40">
        <v>152.816</v>
      </c>
      <c r="AM40" s="11">
        <f t="shared" si="0"/>
        <v>7.2999999999979082E-2</v>
      </c>
      <c r="AN40" s="11">
        <f t="shared" si="66"/>
        <v>4.5999999999992269E-2</v>
      </c>
      <c r="AO40" s="11">
        <f t="shared" si="163"/>
        <v>2.6999999999986812E-2</v>
      </c>
      <c r="AP40" s="11">
        <f t="shared" si="164"/>
        <v>7.2999999999979082E-2</v>
      </c>
      <c r="AR40" s="5" t="str">
        <f t="shared" si="121"/>
        <v>------</v>
      </c>
      <c r="AS40" s="5" t="str">
        <f t="shared" si="122"/>
        <v>------</v>
      </c>
      <c r="AT40" t="str">
        <f t="shared" si="123"/>
        <v/>
      </c>
      <c r="AV40" s="2">
        <f t="shared" si="4"/>
        <v>152.97594295000002</v>
      </c>
      <c r="AW40" s="2">
        <f t="shared" si="5"/>
        <v>152.93005705000002</v>
      </c>
      <c r="AX40" s="2">
        <f t="shared" si="6"/>
        <v>152.9209347</v>
      </c>
      <c r="AY40" s="2">
        <f t="shared" si="7"/>
        <v>152.87506529999999</v>
      </c>
      <c r="AZ40" s="2">
        <f t="shared" si="8"/>
        <v>153.23698210000001</v>
      </c>
      <c r="BA40" s="2">
        <f t="shared" si="9"/>
        <v>153.19101789999999</v>
      </c>
      <c r="BB40" s="2">
        <f t="shared" si="10"/>
        <v>152.60988805</v>
      </c>
      <c r="BC40" s="2">
        <f t="shared" si="11"/>
        <v>152.56411194999998</v>
      </c>
      <c r="BD40" s="2">
        <f t="shared" si="12"/>
        <v>152.61788925000002</v>
      </c>
      <c r="BE40" s="2">
        <f t="shared" si="13"/>
        <v>152.57211075000001</v>
      </c>
      <c r="BF40" s="2">
        <f t="shared" si="14"/>
        <v>152.84592345000002</v>
      </c>
      <c r="BG40" s="2">
        <f t="shared" si="15"/>
        <v>152.80007655</v>
      </c>
      <c r="BI40" s="5" t="str">
        <f t="shared" si="69"/>
        <v>-----</v>
      </c>
      <c r="BJ40" s="5" t="str">
        <f t="shared" si="70"/>
        <v>TOUCH</v>
      </c>
      <c r="BK40" s="5" t="str">
        <f t="shared" si="71"/>
        <v>-----</v>
      </c>
      <c r="BL40" s="5" t="str">
        <f t="shared" si="72"/>
        <v>-----</v>
      </c>
      <c r="BM40" s="5" t="str">
        <f t="shared" si="73"/>
        <v>-----</v>
      </c>
      <c r="BN40" s="5" t="str">
        <f t="shared" si="74"/>
        <v>-----</v>
      </c>
      <c r="BO40" s="5"/>
      <c r="BP40" s="5">
        <f t="shared" si="165"/>
        <v>3</v>
      </c>
      <c r="BQ40" s="5">
        <f t="shared" si="165"/>
        <v>0</v>
      </c>
      <c r="BR40" s="5">
        <f t="shared" si="165"/>
        <v>34</v>
      </c>
      <c r="BS40" s="5">
        <f t="shared" si="165"/>
        <v>36</v>
      </c>
      <c r="BT40" s="5">
        <f t="shared" si="165"/>
        <v>36</v>
      </c>
      <c r="BU40" s="5">
        <f t="shared" si="165"/>
        <v>36</v>
      </c>
      <c r="BV40" s="5">
        <f t="shared" si="166"/>
        <v>1</v>
      </c>
      <c r="BW40" s="5">
        <f t="shared" si="166"/>
        <v>3</v>
      </c>
      <c r="BX40" s="5">
        <f t="shared" si="166"/>
        <v>2</v>
      </c>
      <c r="BY40" s="5">
        <f t="shared" si="166"/>
        <v>0</v>
      </c>
      <c r="BZ40" s="5">
        <f t="shared" si="166"/>
        <v>0</v>
      </c>
      <c r="CA40" s="5">
        <f t="shared" si="166"/>
        <v>0</v>
      </c>
      <c r="CB40" s="5" t="str">
        <f t="shared" si="102"/>
        <v>-----</v>
      </c>
      <c r="CC40" s="5">
        <f t="shared" si="101"/>
        <v>3</v>
      </c>
      <c r="CD40" s="5" t="str">
        <f t="shared" si="101"/>
        <v>-----</v>
      </c>
      <c r="CE40" s="5" t="str">
        <f t="shared" si="101"/>
        <v>-----</v>
      </c>
      <c r="CF40" s="5" t="str">
        <f t="shared" si="101"/>
        <v>-----</v>
      </c>
      <c r="CG40" s="5" t="str">
        <f t="shared" si="101"/>
        <v>-----</v>
      </c>
      <c r="CH40" s="5"/>
      <c r="CI40" s="17" t="str">
        <f t="shared" si="124"/>
        <v>-----</v>
      </c>
      <c r="CJ40" s="17">
        <f t="shared" si="125"/>
        <v>3.5971693547336668E-4</v>
      </c>
      <c r="CK40" s="17" t="str">
        <f t="shared" si="126"/>
        <v>-----</v>
      </c>
      <c r="CL40" s="17" t="str">
        <f t="shared" si="127"/>
        <v>-----</v>
      </c>
      <c r="CM40" s="17" t="str">
        <f t="shared" si="128"/>
        <v>-----</v>
      </c>
      <c r="CN40" s="17" t="str">
        <f t="shared" si="129"/>
        <v>-----</v>
      </c>
      <c r="CO40" s="5"/>
      <c r="CP40" s="5" t="str">
        <f t="shared" si="77"/>
        <v>-----</v>
      </c>
      <c r="CQ40" s="5" t="str">
        <f t="shared" si="77"/>
        <v>Support</v>
      </c>
      <c r="CR40" s="5" t="str">
        <f t="shared" si="77"/>
        <v>-----</v>
      </c>
      <c r="CS40" s="5" t="str">
        <f t="shared" si="77"/>
        <v>-----</v>
      </c>
      <c r="CT40" s="5" t="str">
        <f t="shared" si="77"/>
        <v>-----</v>
      </c>
      <c r="CU40" s="5" t="str">
        <f t="shared" si="77"/>
        <v>-----</v>
      </c>
      <c r="CV40" s="5"/>
      <c r="CW40" s="17" t="str">
        <f t="shared" si="78"/>
        <v/>
      </c>
      <c r="CX40" s="17">
        <f t="shared" si="78"/>
        <v>3.5971693547336668E-4</v>
      </c>
      <c r="CY40" s="17" t="str">
        <f t="shared" si="78"/>
        <v/>
      </c>
      <c r="CZ40" s="17" t="str">
        <f t="shared" si="78"/>
        <v/>
      </c>
      <c r="DA40" s="17" t="str">
        <f t="shared" si="78"/>
        <v/>
      </c>
      <c r="DB40" s="17" t="str">
        <f t="shared" si="78"/>
        <v/>
      </c>
      <c r="DC40" s="8"/>
      <c r="DD40" s="5">
        <f t="shared" si="27"/>
        <v>1</v>
      </c>
      <c r="DE40" s="17">
        <f t="shared" si="79"/>
        <v>3.5971693547336668E-4</v>
      </c>
      <c r="DF40" s="5" t="str" cm="1">
        <f t="array" ref="DF40">_xlfn.IFS(DE40=CW40,CP40,DE40=CX40,CQ40,DE40=CY40,CR40,DE40=CZ40,CS40,DE40=DA40,CT40,DE40=DB40,CU40,TRUE,"----- ")</f>
        <v>Support</v>
      </c>
      <c r="DG40" s="5"/>
      <c r="DH40" s="5">
        <f t="shared" si="80"/>
        <v>-2.423265306122455E-3</v>
      </c>
      <c r="DI40" s="5">
        <f t="shared" si="167"/>
        <v>-3.7194805194805478E-4</v>
      </c>
      <c r="DJ40" s="5">
        <f t="shared" si="168"/>
        <v>-1.6402721088435472E-3</v>
      </c>
      <c r="DK40" s="5">
        <f t="shared" si="169"/>
        <v>7.6471243042669956E-4</v>
      </c>
      <c r="DL40" s="5">
        <f t="shared" si="170"/>
        <v>-2.3081014223875058E-4</v>
      </c>
      <c r="DM40" s="5">
        <f t="shared" si="171"/>
        <v>1.5802844774273381E-3</v>
      </c>
      <c r="DO40" s="5">
        <f t="shared" si="130"/>
        <v>-1.9079214597220278</v>
      </c>
      <c r="DP40" s="5">
        <f t="shared" si="131"/>
        <v>-0.29295343676527091</v>
      </c>
      <c r="DQ40" s="5">
        <f t="shared" si="132"/>
        <v>-1.2917022253843653</v>
      </c>
      <c r="DR40" s="5">
        <f t="shared" si="133"/>
        <v>0.60228527619529781</v>
      </c>
      <c r="DS40" s="5">
        <f t="shared" si="134"/>
        <v>-0.18179147971962978</v>
      </c>
      <c r="DT40" s="5">
        <f t="shared" si="135"/>
        <v>1.2444775446344229</v>
      </c>
      <c r="DV40" t="str" cm="1">
        <f t="array" ref="DV40">_xlfn.IFS(DO40&gt;3,"Strong + Slope",DO40&gt;1.5,"Moderate + Slope",DO40&gt;0.5,"Sideway + Slope",DO40&gt;=-0.5,"Sideway Flat",DO40&gt;=-1.5,"Sideway - Slope",DO40&gt;=-3,"Moderate - Slope",TRUE,"Strong - Slope")</f>
        <v>Moderate - Slope</v>
      </c>
      <c r="DW40" t="str" cm="1">
        <f t="array" ref="DW40">_xlfn.IFS(DP40&gt;3,"Strong + Slope",DP40&gt;1.5,"Moderate + Slope",DP40&gt;0.5,"Sideway + Slope",DP40&gt;=-0.5,"Sideway Flat",DP40&gt;=-1.5,"Sideway - Slope",DP40&gt;=-3,"Moderate - Slope",TRUE,"Strong - Slope")</f>
        <v>Sideway Flat</v>
      </c>
      <c r="DX40" t="str" cm="1">
        <f t="array" ref="DX40">_xlfn.IFS(DQ40&gt;3,"Strong + Slope",DQ40&gt;1.5,"Moderate + Slope",DQ40&gt;0.5,"Sideway + Slope",DQ40&gt;=-0.5,"Sideway Flat",DQ40&gt;=-1.5,"Sideway - Slope",DQ40&gt;=-3,"Moderate - Slope",TRUE,"Strong - Slope")</f>
        <v>Sideway - Slope</v>
      </c>
      <c r="DY40" t="str" cm="1">
        <f t="array" ref="DY40">_xlfn.IFS(DR40&gt;3,"Strong + Slope",DR40&gt;1.5,"Moderate + Slope",DR40&gt;0.5,"Sideway + Slope",DR40&gt;=-0.5,"Sideway Flat",DR40&gt;=-1.5,"Sideway - Slope",DR40&gt;=-3,"Moderate - Slope",TRUE,"Strong - Slope")</f>
        <v>Sideway + Slope</v>
      </c>
      <c r="DZ40" t="str" cm="1">
        <f t="array" ref="DZ40">_xlfn.IFS(DS40&gt;3,"Strong + Slope",DS40&gt;1.5,"Moderate + Slope",DS40&gt;0.5,"Sideway + Slope",DS40&gt;=-0.5,"Sideway Flat",DS40&gt;=-1.5,"Sideway - Slope",DS40&gt;=-3,"Moderate - Slope",TRUE,"Strong - Slope")</f>
        <v>Sideway Flat</v>
      </c>
      <c r="EA40" t="str" cm="1">
        <f t="array" ref="EA40">_xlfn.IFS(DT40&gt;3,"Strong + Slope",DT40&gt;1.5,"Moderate + Slope",DT40&gt;0.5,"Sideway + Slope",DT40&gt;=-0.5,"Sideway Flat",DT40&gt;=-1.5,"Sideway - Slope",DT40&gt;=-3,"Moderate - Slope",TRUE,"Strong - Slope")</f>
        <v>Sideway + Slope</v>
      </c>
      <c r="EB40" s="5"/>
      <c r="EC40" s="5">
        <f t="shared" si="136"/>
        <v>2</v>
      </c>
      <c r="ED40" s="5">
        <f t="shared" si="137"/>
        <v>3</v>
      </c>
      <c r="EE40" s="5">
        <f t="shared" si="138"/>
        <v>1</v>
      </c>
      <c r="EF40" s="5">
        <f t="shared" si="139"/>
        <v>6</v>
      </c>
      <c r="EG40" s="5">
        <f t="shared" si="140"/>
        <v>5</v>
      </c>
      <c r="EH40" s="5">
        <f t="shared" si="141"/>
        <v>4</v>
      </c>
      <c r="EI40" s="5"/>
      <c r="EJ40" s="5" t="str">
        <f t="shared" si="142"/>
        <v>RES</v>
      </c>
      <c r="EK40" s="5" t="str">
        <f t="shared" si="143"/>
        <v>RES</v>
      </c>
      <c r="EL40" s="5" t="str">
        <f t="shared" si="144"/>
        <v>RES</v>
      </c>
      <c r="EM40" s="5" t="str">
        <f t="shared" si="145"/>
        <v>SUP</v>
      </c>
      <c r="EN40" s="5" t="str">
        <f t="shared" si="146"/>
        <v>SUP</v>
      </c>
      <c r="EO40" s="5" t="str">
        <f t="shared" si="147"/>
        <v>SUP</v>
      </c>
      <c r="EP40" s="5"/>
      <c r="EQ40" s="8">
        <f t="shared" si="148"/>
        <v>3.8588826245632591E-4</v>
      </c>
      <c r="ER40" s="8">
        <f t="shared" si="149"/>
        <v>2.6161916098674098E-5</v>
      </c>
      <c r="ES40" s="8">
        <f t="shared" si="150"/>
        <v>2.0929532878987611E-3</v>
      </c>
      <c r="ET40" s="8">
        <f t="shared" si="151"/>
        <v>-2.0079270605780236E-3</v>
      </c>
      <c r="EU40" s="8">
        <f t="shared" si="152"/>
        <v>-1.9556032283804896E-3</v>
      </c>
      <c r="EV40" s="8">
        <f t="shared" si="153"/>
        <v>-4.643740107525341E-4</v>
      </c>
      <c r="EW40" s="8"/>
      <c r="EX40" s="8">
        <f t="shared" si="154"/>
        <v>0.48963317384371879</v>
      </c>
      <c r="EY40" s="9">
        <f t="shared" si="54"/>
        <v>3</v>
      </c>
      <c r="EZ40" s="10">
        <f t="shared" si="55"/>
        <v>3</v>
      </c>
      <c r="FA40" s="8">
        <f t="shared" si="86"/>
        <v>2.0929532878987611E-3</v>
      </c>
      <c r="FB40" s="8">
        <f t="shared" si="87"/>
        <v>3.8588826245632591E-4</v>
      </c>
      <c r="FC40" s="8">
        <f t="shared" si="88"/>
        <v>2.6161916098674098E-5</v>
      </c>
      <c r="FD40" s="8">
        <f t="shared" si="89"/>
        <v>-4.643740107525341E-4</v>
      </c>
      <c r="FE40" s="8">
        <f t="shared" si="90"/>
        <v>-1.9556032283804896E-3</v>
      </c>
      <c r="FF40" s="8">
        <f t="shared" si="91"/>
        <v>-2.0079270605780236E-3</v>
      </c>
      <c r="FG40" s="5"/>
      <c r="FH40" s="5" t="str">
        <f t="shared" si="155"/>
        <v>-----</v>
      </c>
      <c r="FI40" s="5" t="str">
        <f t="shared" si="92"/>
        <v>Flat Momentum</v>
      </c>
      <c r="FJ40" s="5"/>
      <c r="FK40" s="5" t="str">
        <f t="shared" si="93"/>
        <v>-----</v>
      </c>
      <c r="FL40" s="5" t="str">
        <f t="shared" si="94"/>
        <v>-----</v>
      </c>
      <c r="FM40" s="5"/>
      <c r="FN40" s="5"/>
      <c r="FO40" s="8" t="str">
        <f t="shared" si="113"/>
        <v>Bearish</v>
      </c>
      <c r="FP40" s="8"/>
      <c r="FQ40" s="14">
        <f t="shared" si="156"/>
        <v>-3.267525372333402E-4</v>
      </c>
      <c r="FR40" s="14">
        <f t="shared" si="58"/>
        <v>0.35631384350443751</v>
      </c>
      <c r="FS40" s="14" t="str">
        <f t="shared" si="59"/>
        <v>-----</v>
      </c>
      <c r="FT40" s="14" t="str">
        <f t="shared" si="157"/>
        <v>Bearish</v>
      </c>
      <c r="FU40" s="5" t="str">
        <f t="shared" si="172"/>
        <v>TEMA crossover</v>
      </c>
      <c r="FV40" s="5" t="str">
        <f t="shared" si="173"/>
        <v>-----</v>
      </c>
      <c r="FW40" s="5"/>
      <c r="FX40" s="15" t="str">
        <f t="shared" si="116"/>
        <v>YES</v>
      </c>
      <c r="FY40" s="15" t="str">
        <f t="shared" si="117"/>
        <v>-----</v>
      </c>
      <c r="FZ40" s="15" t="str">
        <f t="shared" si="118"/>
        <v>-----</v>
      </c>
      <c r="GA40" s="15" t="str">
        <f t="shared" si="119"/>
        <v>-----</v>
      </c>
      <c r="GB40" s="16" t="str">
        <f t="shared" si="107"/>
        <v>-----</v>
      </c>
      <c r="GC40" s="16" t="str">
        <f t="shared" si="108"/>
        <v>-----</v>
      </c>
      <c r="GD40" s="16" t="str">
        <f t="shared" si="109"/>
        <v>YES</v>
      </c>
      <c r="GE40" s="16" t="str">
        <f t="shared" si="112"/>
        <v>YES</v>
      </c>
      <c r="GF40" s="15" t="str">
        <f t="shared" si="110"/>
        <v>-----</v>
      </c>
      <c r="GG40" s="16" t="str">
        <f t="shared" si="120"/>
        <v>-----</v>
      </c>
      <c r="GH40" s="14"/>
      <c r="GI40" s="5" t="str">
        <f t="shared" si="158"/>
        <v>-----</v>
      </c>
      <c r="GJ40" s="5" t="str">
        <f t="shared" si="159"/>
        <v>-----</v>
      </c>
      <c r="GK40" s="5"/>
      <c r="GL40" s="5" t="str">
        <f t="shared" si="160"/>
        <v>-----</v>
      </c>
      <c r="GM40" s="5" t="str">
        <f t="shared" si="161"/>
        <v>-----</v>
      </c>
      <c r="GN40" s="5"/>
      <c r="GO40" s="12">
        <f t="shared" si="162"/>
        <v>8.2999999999998408E-2</v>
      </c>
      <c r="GP40" s="5">
        <f t="shared" si="97"/>
        <v>0.1664514168547836</v>
      </c>
      <c r="GQ40" s="13" t="str">
        <f t="shared" si="98"/>
        <v>-----</v>
      </c>
      <c r="GR40" s="5"/>
      <c r="GS40">
        <f t="shared" si="99"/>
        <v>0.45530401452688929</v>
      </c>
      <c r="GT40" s="5" t="str">
        <f t="shared" si="100"/>
        <v>-----</v>
      </c>
    </row>
    <row r="41" spans="1:202" x14ac:dyDescent="0.55000000000000004">
      <c r="A41">
        <v>37</v>
      </c>
      <c r="B41" t="s">
        <v>40</v>
      </c>
      <c r="C41" t="s">
        <v>4</v>
      </c>
      <c r="D41" t="s">
        <v>103</v>
      </c>
      <c r="E41">
        <v>152.89400000000001</v>
      </c>
      <c r="F41">
        <v>152.90600000000001</v>
      </c>
      <c r="G41">
        <v>152.804</v>
      </c>
      <c r="H41">
        <v>152.80699999999999</v>
      </c>
      <c r="I41">
        <v>318</v>
      </c>
      <c r="J41">
        <v>152.95099999999999</v>
      </c>
      <c r="K41">
        <v>152.898</v>
      </c>
      <c r="L41">
        <v>153.21199999999999</v>
      </c>
      <c r="M41">
        <v>152.58799999999999</v>
      </c>
      <c r="N41">
        <v>152.595</v>
      </c>
      <c r="O41">
        <v>152.82499999999999</v>
      </c>
      <c r="P41">
        <v>0</v>
      </c>
      <c r="Q41">
        <v>0</v>
      </c>
      <c r="R41">
        <v>0</v>
      </c>
      <c r="S41">
        <v>0</v>
      </c>
      <c r="T41">
        <v>0</v>
      </c>
      <c r="U41">
        <v>0.88121000000000005</v>
      </c>
      <c r="V41">
        <v>3</v>
      </c>
      <c r="W41">
        <v>153.36492999999999</v>
      </c>
      <c r="X41">
        <v>153.27966000000001</v>
      </c>
      <c r="Y41">
        <v>153.19438</v>
      </c>
      <c r="Z41">
        <v>153.10910999999999</v>
      </c>
      <c r="AA41">
        <v>153.02384000000001</v>
      </c>
      <c r="AB41">
        <v>152.91059999999999</v>
      </c>
      <c r="AC41">
        <v>152.82533000000001</v>
      </c>
      <c r="AD41">
        <v>152.74006</v>
      </c>
      <c r="AE41">
        <v>152.65478999999999</v>
      </c>
      <c r="AF41">
        <v>152.56951000000001</v>
      </c>
      <c r="AG41">
        <v>152.83199999999999</v>
      </c>
      <c r="AH41">
        <v>152.94</v>
      </c>
      <c r="AI41">
        <v>153.00700000000001</v>
      </c>
      <c r="AJ41">
        <v>153.131</v>
      </c>
      <c r="AK41">
        <v>152.88200000000001</v>
      </c>
      <c r="AL41">
        <v>152.792</v>
      </c>
      <c r="AM41" s="11">
        <f t="shared" si="0"/>
        <v>0.10200000000000387</v>
      </c>
      <c r="AN41" s="11">
        <f t="shared" si="66"/>
        <v>1.2000000000000455E-2</v>
      </c>
      <c r="AO41" s="11">
        <f t="shared" si="163"/>
        <v>9.0000000000003411E-2</v>
      </c>
      <c r="AP41" s="11">
        <f t="shared" si="164"/>
        <v>0.10200000000000387</v>
      </c>
      <c r="AR41" s="5" t="str">
        <f t="shared" si="121"/>
        <v>------</v>
      </c>
      <c r="AS41" s="5" t="str">
        <f t="shared" si="122"/>
        <v>------</v>
      </c>
      <c r="AT41" t="str">
        <f t="shared" si="123"/>
        <v/>
      </c>
      <c r="AV41" s="2">
        <f t="shared" si="4"/>
        <v>152.97394265</v>
      </c>
      <c r="AW41" s="2">
        <f t="shared" si="5"/>
        <v>152.92805734999999</v>
      </c>
      <c r="AX41" s="2">
        <f t="shared" si="6"/>
        <v>152.9209347</v>
      </c>
      <c r="AY41" s="2">
        <f t="shared" si="7"/>
        <v>152.87506529999999</v>
      </c>
      <c r="AZ41" s="2">
        <f t="shared" si="8"/>
        <v>153.23498180000001</v>
      </c>
      <c r="BA41" s="2">
        <f t="shared" si="9"/>
        <v>153.18901819999999</v>
      </c>
      <c r="BB41" s="2">
        <f t="shared" si="10"/>
        <v>152.61088820000001</v>
      </c>
      <c r="BC41" s="2">
        <f t="shared" si="11"/>
        <v>152.56511179999998</v>
      </c>
      <c r="BD41" s="2">
        <f t="shared" si="12"/>
        <v>152.61788925000002</v>
      </c>
      <c r="BE41" s="2">
        <f t="shared" si="13"/>
        <v>152.57211075000001</v>
      </c>
      <c r="BF41" s="2">
        <f t="shared" si="14"/>
        <v>152.84792375000001</v>
      </c>
      <c r="BG41" s="2">
        <f t="shared" si="15"/>
        <v>152.80207625</v>
      </c>
      <c r="BI41" s="5" t="str">
        <f t="shared" si="69"/>
        <v>-----</v>
      </c>
      <c r="BJ41" s="5" t="str">
        <f t="shared" si="70"/>
        <v>TOUCH</v>
      </c>
      <c r="BK41" s="5" t="str">
        <f t="shared" si="71"/>
        <v>-----</v>
      </c>
      <c r="BL41" s="5" t="str">
        <f t="shared" si="72"/>
        <v>-----</v>
      </c>
      <c r="BM41" s="5" t="str">
        <f t="shared" si="73"/>
        <v>-----</v>
      </c>
      <c r="BN41" s="5" t="str">
        <f t="shared" si="74"/>
        <v>TOUCH</v>
      </c>
      <c r="BO41" s="5"/>
      <c r="BP41" s="5">
        <f t="shared" si="165"/>
        <v>4</v>
      </c>
      <c r="BQ41" s="5">
        <f t="shared" si="165"/>
        <v>0</v>
      </c>
      <c r="BR41" s="5">
        <f t="shared" si="165"/>
        <v>35</v>
      </c>
      <c r="BS41" s="5">
        <f t="shared" si="165"/>
        <v>37</v>
      </c>
      <c r="BT41" s="5">
        <f t="shared" si="165"/>
        <v>37</v>
      </c>
      <c r="BU41" s="5">
        <f t="shared" si="165"/>
        <v>0</v>
      </c>
      <c r="BV41" s="5">
        <f t="shared" si="166"/>
        <v>1</v>
      </c>
      <c r="BW41" s="5">
        <f t="shared" si="166"/>
        <v>4</v>
      </c>
      <c r="BX41" s="5">
        <f t="shared" si="166"/>
        <v>2</v>
      </c>
      <c r="BY41" s="5">
        <f t="shared" si="166"/>
        <v>0</v>
      </c>
      <c r="BZ41" s="5">
        <f t="shared" si="166"/>
        <v>0</v>
      </c>
      <c r="CA41" s="5">
        <f t="shared" si="166"/>
        <v>1</v>
      </c>
      <c r="CB41" s="5" t="str">
        <f t="shared" si="102"/>
        <v>-----</v>
      </c>
      <c r="CC41" s="5">
        <f t="shared" si="101"/>
        <v>4</v>
      </c>
      <c r="CD41" s="5" t="str">
        <f t="shared" si="101"/>
        <v>-----</v>
      </c>
      <c r="CE41" s="5" t="str">
        <f t="shared" si="101"/>
        <v>-----</v>
      </c>
      <c r="CF41" s="5" t="str">
        <f t="shared" si="101"/>
        <v>-----</v>
      </c>
      <c r="CG41" s="5">
        <f t="shared" si="101"/>
        <v>1</v>
      </c>
      <c r="CH41" s="5"/>
      <c r="CI41" s="17" t="str">
        <f t="shared" si="124"/>
        <v>-----</v>
      </c>
      <c r="CJ41" s="17">
        <f t="shared" si="125"/>
        <v>3.466363196379107E-4</v>
      </c>
      <c r="CK41" s="17" t="str">
        <f t="shared" si="126"/>
        <v>-----</v>
      </c>
      <c r="CL41" s="17" t="str">
        <f t="shared" si="127"/>
        <v>-----</v>
      </c>
      <c r="CM41" s="17" t="str">
        <f t="shared" si="128"/>
        <v>-----</v>
      </c>
      <c r="CN41" s="17">
        <f t="shared" si="129"/>
        <v>-1.5049893669228842E-3</v>
      </c>
      <c r="CO41" s="5"/>
      <c r="CP41" s="5" t="str">
        <f t="shared" si="77"/>
        <v>-----</v>
      </c>
      <c r="CQ41" s="5" t="str">
        <f t="shared" si="77"/>
        <v>Support</v>
      </c>
      <c r="CR41" s="5" t="str">
        <f t="shared" si="77"/>
        <v>-----</v>
      </c>
      <c r="CS41" s="5" t="str">
        <f t="shared" si="77"/>
        <v>-----</v>
      </c>
      <c r="CT41" s="5" t="str">
        <f t="shared" si="77"/>
        <v>-----</v>
      </c>
      <c r="CU41" s="5" t="str">
        <f t="shared" si="77"/>
        <v>Resistant</v>
      </c>
      <c r="CV41" s="5"/>
      <c r="CW41" s="17" t="str">
        <f t="shared" si="78"/>
        <v/>
      </c>
      <c r="CX41" s="17">
        <f t="shared" si="78"/>
        <v>3.466363196379107E-4</v>
      </c>
      <c r="CY41" s="17" t="str">
        <f t="shared" si="78"/>
        <v/>
      </c>
      <c r="CZ41" s="17" t="str">
        <f t="shared" si="78"/>
        <v/>
      </c>
      <c r="DA41" s="17" t="str">
        <f t="shared" si="78"/>
        <v/>
      </c>
      <c r="DB41" s="17">
        <f t="shared" si="78"/>
        <v>1.5049893669228842E-3</v>
      </c>
      <c r="DC41" s="8"/>
      <c r="DD41" s="5">
        <f t="shared" si="27"/>
        <v>2</v>
      </c>
      <c r="DE41" s="17">
        <f t="shared" si="79"/>
        <v>3.466363196379107E-4</v>
      </c>
      <c r="DF41" s="5" t="str" cm="1">
        <f t="array" ref="DF41">_xlfn.IFS(DE41=CW41,CP41,DE41=CX41,CQ41,DE41=CY41,CR41,DE41=CZ41,CS41,DE41=DA41,CT41,DE41=DB41,CU41,TRUE,"----- ")</f>
        <v>Support</v>
      </c>
      <c r="DG41" s="5"/>
      <c r="DH41" s="5">
        <f t="shared" si="80"/>
        <v>-2.423265306122455E-3</v>
      </c>
      <c r="DI41" s="5">
        <f t="shared" si="167"/>
        <v>-3.7194805194805478E-4</v>
      </c>
      <c r="DJ41" s="5">
        <f t="shared" si="168"/>
        <v>-1.6402721088435472E-3</v>
      </c>
      <c r="DK41" s="5">
        <f t="shared" si="169"/>
        <v>7.6471243042669956E-4</v>
      </c>
      <c r="DL41" s="5">
        <f t="shared" si="170"/>
        <v>-2.3081014223875058E-4</v>
      </c>
      <c r="DM41" s="5">
        <f t="shared" si="171"/>
        <v>1.5802844774273381E-3</v>
      </c>
      <c r="DO41" s="5">
        <f t="shared" si="130"/>
        <v>-1.9079214597220278</v>
      </c>
      <c r="DP41" s="5">
        <f t="shared" si="131"/>
        <v>-0.29295343676527091</v>
      </c>
      <c r="DQ41" s="5">
        <f t="shared" si="132"/>
        <v>-1.2917022253843653</v>
      </c>
      <c r="DR41" s="5">
        <f t="shared" si="133"/>
        <v>0.60228527619529781</v>
      </c>
      <c r="DS41" s="5">
        <f t="shared" si="134"/>
        <v>-0.18179147971962978</v>
      </c>
      <c r="DT41" s="5">
        <f t="shared" si="135"/>
        <v>1.2444775446344229</v>
      </c>
      <c r="DV41" t="str" cm="1">
        <f t="array" ref="DV41">_xlfn.IFS(DO41&gt;3,"Strong + Slope",DO41&gt;1.5,"Moderate + Slope",DO41&gt;0.5,"Sideway + Slope",DO41&gt;=-0.5,"Sideway Flat",DO41&gt;=-1.5,"Sideway - Slope",DO41&gt;=-3,"Moderate - Slope",TRUE,"Strong - Slope")</f>
        <v>Moderate - Slope</v>
      </c>
      <c r="DW41" t="str" cm="1">
        <f t="array" ref="DW41">_xlfn.IFS(DP41&gt;3,"Strong + Slope",DP41&gt;1.5,"Moderate + Slope",DP41&gt;0.5,"Sideway + Slope",DP41&gt;=-0.5,"Sideway Flat",DP41&gt;=-1.5,"Sideway - Slope",DP41&gt;=-3,"Moderate - Slope",TRUE,"Strong - Slope")</f>
        <v>Sideway Flat</v>
      </c>
      <c r="DX41" t="str" cm="1">
        <f t="array" ref="DX41">_xlfn.IFS(DQ41&gt;3,"Strong + Slope",DQ41&gt;1.5,"Moderate + Slope",DQ41&gt;0.5,"Sideway + Slope",DQ41&gt;=-0.5,"Sideway Flat",DQ41&gt;=-1.5,"Sideway - Slope",DQ41&gt;=-3,"Moderate - Slope",TRUE,"Strong - Slope")</f>
        <v>Sideway - Slope</v>
      </c>
      <c r="DY41" t="str" cm="1">
        <f t="array" ref="DY41">_xlfn.IFS(DR41&gt;3,"Strong + Slope",DR41&gt;1.5,"Moderate + Slope",DR41&gt;0.5,"Sideway + Slope",DR41&gt;=-0.5,"Sideway Flat",DR41&gt;=-1.5,"Sideway - Slope",DR41&gt;=-3,"Moderate - Slope",TRUE,"Strong - Slope")</f>
        <v>Sideway + Slope</v>
      </c>
      <c r="DZ41" t="str" cm="1">
        <f t="array" ref="DZ41">_xlfn.IFS(DS41&gt;3,"Strong + Slope",DS41&gt;1.5,"Moderate + Slope",DS41&gt;0.5,"Sideway + Slope",DS41&gt;=-0.5,"Sideway Flat",DS41&gt;=-1.5,"Sideway - Slope",DS41&gt;=-3,"Moderate - Slope",TRUE,"Strong - Slope")</f>
        <v>Sideway Flat</v>
      </c>
      <c r="EA41" t="str" cm="1">
        <f t="array" ref="EA41">_xlfn.IFS(DT41&gt;3,"Strong + Slope",DT41&gt;1.5,"Moderate + Slope",DT41&gt;0.5,"Sideway + Slope",DT41&gt;=-0.5,"Sideway Flat",DT41&gt;=-1.5,"Sideway - Slope",DT41&gt;=-3,"Moderate - Slope",TRUE,"Strong - Slope")</f>
        <v>Sideway + Slope</v>
      </c>
      <c r="EB41" s="5"/>
      <c r="EC41" s="5">
        <f t="shared" si="136"/>
        <v>2</v>
      </c>
      <c r="ED41" s="5">
        <f t="shared" si="137"/>
        <v>3</v>
      </c>
      <c r="EE41" s="5">
        <f t="shared" si="138"/>
        <v>1</v>
      </c>
      <c r="EF41" s="5">
        <f t="shared" si="139"/>
        <v>6</v>
      </c>
      <c r="EG41" s="5">
        <f t="shared" si="140"/>
        <v>5</v>
      </c>
      <c r="EH41" s="5">
        <f t="shared" si="141"/>
        <v>4</v>
      </c>
      <c r="EI41" s="5"/>
      <c r="EJ41" s="5" t="str">
        <f t="shared" si="142"/>
        <v>RES</v>
      </c>
      <c r="EK41" s="5" t="str">
        <f t="shared" si="143"/>
        <v>RES</v>
      </c>
      <c r="EL41" s="5" t="str">
        <f t="shared" si="144"/>
        <v>RES</v>
      </c>
      <c r="EM41" s="5" t="str">
        <f t="shared" si="145"/>
        <v>SUP</v>
      </c>
      <c r="EN41" s="5" t="str">
        <f t="shared" si="146"/>
        <v>SUP</v>
      </c>
      <c r="EO41" s="5" t="str">
        <f t="shared" si="147"/>
        <v>RES</v>
      </c>
      <c r="EP41" s="5"/>
      <c r="EQ41" s="8">
        <f t="shared" si="148"/>
        <v>9.4236520578249339E-4</v>
      </c>
      <c r="ER41" s="8">
        <f t="shared" si="149"/>
        <v>5.9552245643202338E-4</v>
      </c>
      <c r="ES41" s="8">
        <f t="shared" si="150"/>
        <v>2.6504021412631696E-3</v>
      </c>
      <c r="ET41" s="8">
        <f t="shared" si="151"/>
        <v>-1.4331804171274489E-3</v>
      </c>
      <c r="EU41" s="8">
        <f t="shared" si="152"/>
        <v>-1.3873709974018802E-3</v>
      </c>
      <c r="EV41" s="8">
        <f t="shared" si="153"/>
        <v>1.1779565072281167E-4</v>
      </c>
      <c r="EW41" s="8"/>
      <c r="EX41" s="8">
        <f t="shared" si="154"/>
        <v>0.35096153846153166</v>
      </c>
      <c r="EY41" s="9">
        <f t="shared" si="54"/>
        <v>4</v>
      </c>
      <c r="EZ41" s="10">
        <f t="shared" si="55"/>
        <v>2</v>
      </c>
      <c r="FA41" s="8">
        <f t="shared" si="86"/>
        <v>2.6504021412631696E-3</v>
      </c>
      <c r="FB41" s="8">
        <f t="shared" si="87"/>
        <v>9.4236520578249339E-4</v>
      </c>
      <c r="FC41" s="8">
        <f t="shared" si="88"/>
        <v>5.9552245643202338E-4</v>
      </c>
      <c r="FD41" s="8">
        <f t="shared" si="89"/>
        <v>1.1779565072281167E-4</v>
      </c>
      <c r="FE41" s="8">
        <f t="shared" si="90"/>
        <v>-1.3873709974018802E-3</v>
      </c>
      <c r="FF41" s="8">
        <f t="shared" si="91"/>
        <v>-1.4331804171274489E-3</v>
      </c>
      <c r="FG41" s="5"/>
      <c r="FH41" s="5" t="str">
        <f t="shared" si="155"/>
        <v>-----</v>
      </c>
      <c r="FI41" s="5" t="str">
        <f t="shared" si="92"/>
        <v>Flat Momentum</v>
      </c>
      <c r="FJ41" s="5"/>
      <c r="FK41" s="5" t="str">
        <f t="shared" si="93"/>
        <v>-----</v>
      </c>
      <c r="FL41" s="5" t="str">
        <f t="shared" si="94"/>
        <v>-----</v>
      </c>
      <c r="FM41" s="5"/>
      <c r="FN41" s="5"/>
      <c r="FO41" s="8" t="str">
        <f t="shared" si="113"/>
        <v>Bearish</v>
      </c>
      <c r="FP41" s="8"/>
      <c r="FQ41" s="14">
        <f t="shared" si="156"/>
        <v>-4.378884626194048E-4</v>
      </c>
      <c r="FR41" s="14">
        <f t="shared" si="58"/>
        <v>3.5791969260190397E-2</v>
      </c>
      <c r="FS41" s="14" t="str">
        <f t="shared" si="59"/>
        <v>-----</v>
      </c>
      <c r="FT41" s="14" t="str">
        <f t="shared" si="157"/>
        <v>Bearish</v>
      </c>
      <c r="FU41" s="5" t="str">
        <f t="shared" si="172"/>
        <v>-----</v>
      </c>
      <c r="FV41" s="5" t="str">
        <f t="shared" si="173"/>
        <v>TEMA crossunder</v>
      </c>
      <c r="FW41" s="5"/>
      <c r="FX41" s="15" t="str">
        <f t="shared" si="116"/>
        <v>YES</v>
      </c>
      <c r="FY41" s="15" t="str">
        <f t="shared" si="117"/>
        <v>-----</v>
      </c>
      <c r="FZ41" s="15" t="str">
        <f t="shared" si="118"/>
        <v>-----</v>
      </c>
      <c r="GA41" s="15" t="str">
        <f t="shared" si="119"/>
        <v>YES</v>
      </c>
      <c r="GB41" s="16" t="str">
        <f t="shared" si="107"/>
        <v>-----</v>
      </c>
      <c r="GC41" s="16" t="str">
        <f t="shared" si="108"/>
        <v>-----</v>
      </c>
      <c r="GD41" s="16" t="str">
        <f t="shared" si="109"/>
        <v>YES</v>
      </c>
      <c r="GE41" s="16" t="str">
        <f t="shared" si="112"/>
        <v>YES</v>
      </c>
      <c r="GF41" s="15" t="str">
        <f t="shared" si="110"/>
        <v>-----</v>
      </c>
      <c r="GG41" s="16" t="str">
        <f t="shared" si="120"/>
        <v>-----</v>
      </c>
      <c r="GH41" s="14"/>
      <c r="GI41" s="5" t="str">
        <f t="shared" si="158"/>
        <v>-----</v>
      </c>
      <c r="GJ41" s="5" t="str">
        <f t="shared" si="159"/>
        <v>-----</v>
      </c>
      <c r="GK41" s="5"/>
      <c r="GL41" s="5" t="str">
        <f t="shared" si="160"/>
        <v>-----</v>
      </c>
      <c r="GM41" s="5" t="str">
        <f t="shared" si="161"/>
        <v>-----</v>
      </c>
      <c r="GN41" s="5"/>
      <c r="GO41" s="12">
        <f t="shared" si="162"/>
        <v>9.0000000000003411E-2</v>
      </c>
      <c r="GP41" s="5">
        <f t="shared" si="97"/>
        <v>0.32778125165269489</v>
      </c>
      <c r="GQ41" s="13" t="str">
        <f t="shared" si="98"/>
        <v>-----</v>
      </c>
      <c r="GR41" s="5"/>
      <c r="GS41">
        <f t="shared" si="99"/>
        <v>0.19072577616401973</v>
      </c>
      <c r="GT41" s="5" t="str">
        <f t="shared" si="100"/>
        <v>-----</v>
      </c>
    </row>
    <row r="42" spans="1:202" x14ac:dyDescent="0.55000000000000004">
      <c r="A42">
        <v>38</v>
      </c>
      <c r="B42" t="s">
        <v>41</v>
      </c>
      <c r="C42" t="s">
        <v>4</v>
      </c>
      <c r="D42" t="s">
        <v>103</v>
      </c>
      <c r="E42">
        <v>152.804</v>
      </c>
      <c r="F42">
        <v>152.87299999999999</v>
      </c>
      <c r="G42">
        <v>152.79</v>
      </c>
      <c r="H42">
        <v>152.81700000000001</v>
      </c>
      <c r="I42">
        <v>316</v>
      </c>
      <c r="J42">
        <v>152.94900000000001</v>
      </c>
      <c r="K42">
        <v>152.89699999999999</v>
      </c>
      <c r="L42">
        <v>153.21</v>
      </c>
      <c r="M42">
        <v>152.58799999999999</v>
      </c>
      <c r="N42">
        <v>152.59399999999999</v>
      </c>
      <c r="O42">
        <v>152.827</v>
      </c>
      <c r="P42">
        <v>0</v>
      </c>
      <c r="Q42">
        <v>0</v>
      </c>
      <c r="R42">
        <v>0</v>
      </c>
      <c r="S42">
        <v>0</v>
      </c>
      <c r="T42">
        <v>0</v>
      </c>
      <c r="U42">
        <v>0.79886999999999997</v>
      </c>
      <c r="V42">
        <v>0</v>
      </c>
      <c r="W42">
        <v>153.35269</v>
      </c>
      <c r="X42">
        <v>153.26722000000001</v>
      </c>
      <c r="Y42">
        <v>153.18174999999999</v>
      </c>
      <c r="Z42">
        <v>153.09628000000001</v>
      </c>
      <c r="AA42">
        <v>153.01080999999999</v>
      </c>
      <c r="AB42">
        <v>152.89924999999999</v>
      </c>
      <c r="AC42">
        <v>152.81378000000001</v>
      </c>
      <c r="AD42">
        <v>152.72830999999999</v>
      </c>
      <c r="AE42">
        <v>152.64284000000001</v>
      </c>
      <c r="AF42">
        <v>152.55736999999999</v>
      </c>
      <c r="AG42">
        <v>152.81</v>
      </c>
      <c r="AH42">
        <v>152.91</v>
      </c>
      <c r="AI42">
        <v>152.994</v>
      </c>
      <c r="AJ42">
        <v>153.12299999999999</v>
      </c>
      <c r="AK42">
        <v>152.858</v>
      </c>
      <c r="AL42">
        <v>152.773</v>
      </c>
      <c r="AM42" s="11">
        <f t="shared" si="0"/>
        <v>8.2999999999998408E-2</v>
      </c>
      <c r="AN42" s="11">
        <f t="shared" si="66"/>
        <v>6.6000000000002501E-2</v>
      </c>
      <c r="AO42" s="11">
        <f t="shared" si="163"/>
        <v>1.6999999999995907E-2</v>
      </c>
      <c r="AP42" s="11">
        <f t="shared" si="164"/>
        <v>8.2999999999998408E-2</v>
      </c>
      <c r="AR42" s="5" t="str">
        <f t="shared" si="121"/>
        <v>------</v>
      </c>
      <c r="AS42" s="5" t="str">
        <f t="shared" si="122"/>
        <v>------</v>
      </c>
      <c r="AT42" t="str">
        <f t="shared" si="123"/>
        <v/>
      </c>
      <c r="AV42" s="2">
        <f t="shared" si="4"/>
        <v>152.97194235000003</v>
      </c>
      <c r="AW42" s="2">
        <f t="shared" si="5"/>
        <v>152.92605765000002</v>
      </c>
      <c r="AX42" s="2">
        <f t="shared" si="6"/>
        <v>152.91993454999999</v>
      </c>
      <c r="AY42" s="2">
        <f t="shared" si="7"/>
        <v>152.87406544999999</v>
      </c>
      <c r="AZ42" s="2">
        <f t="shared" si="8"/>
        <v>153.23298150000002</v>
      </c>
      <c r="BA42" s="2">
        <f t="shared" si="9"/>
        <v>153.18701850000002</v>
      </c>
      <c r="BB42" s="2">
        <f t="shared" si="10"/>
        <v>152.61088820000001</v>
      </c>
      <c r="BC42" s="2">
        <f t="shared" si="11"/>
        <v>152.56511179999998</v>
      </c>
      <c r="BD42" s="2">
        <f t="shared" si="12"/>
        <v>152.61688910000001</v>
      </c>
      <c r="BE42" s="2">
        <f t="shared" si="13"/>
        <v>152.57111090000001</v>
      </c>
      <c r="BF42" s="2">
        <f t="shared" si="14"/>
        <v>152.84992405</v>
      </c>
      <c r="BG42" s="2">
        <f t="shared" si="15"/>
        <v>152.80407595</v>
      </c>
      <c r="BI42" s="5" t="str">
        <f t="shared" si="69"/>
        <v>-----</v>
      </c>
      <c r="BJ42" s="5" t="str">
        <f t="shared" si="70"/>
        <v>-----</v>
      </c>
      <c r="BK42" s="5" t="str">
        <f t="shared" si="71"/>
        <v>-----</v>
      </c>
      <c r="BL42" s="5" t="str">
        <f t="shared" si="72"/>
        <v>-----</v>
      </c>
      <c r="BM42" s="5" t="str">
        <f t="shared" si="73"/>
        <v>-----</v>
      </c>
      <c r="BN42" s="5" t="str">
        <f t="shared" si="74"/>
        <v>TOUCH</v>
      </c>
      <c r="BO42" s="5"/>
      <c r="BP42" s="5">
        <f t="shared" si="165"/>
        <v>5</v>
      </c>
      <c r="BQ42" s="5">
        <f t="shared" si="165"/>
        <v>1</v>
      </c>
      <c r="BR42" s="5">
        <f t="shared" si="165"/>
        <v>36</v>
      </c>
      <c r="BS42" s="5">
        <f t="shared" si="165"/>
        <v>38</v>
      </c>
      <c r="BT42" s="5">
        <f t="shared" si="165"/>
        <v>38</v>
      </c>
      <c r="BU42" s="5">
        <f t="shared" si="165"/>
        <v>0</v>
      </c>
      <c r="BV42" s="5">
        <f t="shared" si="166"/>
        <v>1</v>
      </c>
      <c r="BW42" s="5">
        <f t="shared" si="166"/>
        <v>4</v>
      </c>
      <c r="BX42" s="5">
        <f t="shared" si="166"/>
        <v>2</v>
      </c>
      <c r="BY42" s="5">
        <f t="shared" si="166"/>
        <v>0</v>
      </c>
      <c r="BZ42" s="5">
        <f t="shared" si="166"/>
        <v>0</v>
      </c>
      <c r="CA42" s="5">
        <f t="shared" si="166"/>
        <v>2</v>
      </c>
      <c r="CB42" s="5" t="str">
        <f t="shared" si="102"/>
        <v>-----</v>
      </c>
      <c r="CC42" s="5" t="str">
        <f t="shared" si="101"/>
        <v>-----</v>
      </c>
      <c r="CD42" s="5" t="str">
        <f t="shared" si="101"/>
        <v>-----</v>
      </c>
      <c r="CE42" s="5" t="str">
        <f t="shared" si="101"/>
        <v>-----</v>
      </c>
      <c r="CF42" s="5" t="str">
        <f t="shared" si="101"/>
        <v>-----</v>
      </c>
      <c r="CG42" s="5">
        <f t="shared" si="101"/>
        <v>2</v>
      </c>
      <c r="CH42" s="5"/>
      <c r="CI42" s="17" t="str">
        <f t="shared" si="124"/>
        <v>-----</v>
      </c>
      <c r="CJ42" s="17" t="str">
        <f t="shared" si="125"/>
        <v>-----</v>
      </c>
      <c r="CK42" s="17" t="str">
        <f t="shared" si="126"/>
        <v>-----</v>
      </c>
      <c r="CL42" s="17" t="str">
        <f t="shared" si="127"/>
        <v>-----</v>
      </c>
      <c r="CM42" s="17" t="str">
        <f t="shared" si="128"/>
        <v>-----</v>
      </c>
      <c r="CN42" s="17">
        <f t="shared" si="129"/>
        <v>-1.524599710784116E-3</v>
      </c>
      <c r="CO42" s="5"/>
      <c r="CP42" s="5" t="str">
        <f t="shared" si="77"/>
        <v>-----</v>
      </c>
      <c r="CQ42" s="5" t="str">
        <f t="shared" si="77"/>
        <v>-----</v>
      </c>
      <c r="CR42" s="5" t="str">
        <f t="shared" si="77"/>
        <v>-----</v>
      </c>
      <c r="CS42" s="5" t="str">
        <f t="shared" si="77"/>
        <v>-----</v>
      </c>
      <c r="CT42" s="5" t="str">
        <f t="shared" si="77"/>
        <v>-----</v>
      </c>
      <c r="CU42" s="5" t="str">
        <f t="shared" si="77"/>
        <v>Resistant</v>
      </c>
      <c r="CV42" s="5"/>
      <c r="CW42" s="17" t="str">
        <f t="shared" si="78"/>
        <v/>
      </c>
      <c r="CX42" s="17" t="str">
        <f t="shared" si="78"/>
        <v/>
      </c>
      <c r="CY42" s="17" t="str">
        <f t="shared" si="78"/>
        <v/>
      </c>
      <c r="CZ42" s="17" t="str">
        <f t="shared" si="78"/>
        <v/>
      </c>
      <c r="DA42" s="17" t="str">
        <f t="shared" si="78"/>
        <v/>
      </c>
      <c r="DB42" s="17">
        <f t="shared" si="78"/>
        <v>1.524599710784116E-3</v>
      </c>
      <c r="DC42" s="8"/>
      <c r="DD42" s="5">
        <f t="shared" si="27"/>
        <v>1</v>
      </c>
      <c r="DE42" s="17">
        <f t="shared" si="79"/>
        <v>1.524599710784116E-3</v>
      </c>
      <c r="DF42" s="5" t="str" cm="1">
        <f t="array" ref="DF42">_xlfn.IFS(DE42=CW42,CP42,DE42=CX42,CQ42,DE42=CY42,CR42,DE42=CZ42,CS42,DE42=DA42,CT42,DE42=DB42,CU42,TRUE,"----- ")</f>
        <v>Resistant</v>
      </c>
      <c r="DG42" s="5"/>
      <c r="DH42" s="5">
        <f t="shared" si="80"/>
        <v>-2.423265306122455E-3</v>
      </c>
      <c r="DI42" s="5">
        <f t="shared" si="167"/>
        <v>-3.7194805194805478E-4</v>
      </c>
      <c r="DJ42" s="5">
        <f t="shared" si="168"/>
        <v>-1.6402721088435472E-3</v>
      </c>
      <c r="DK42" s="5">
        <f t="shared" si="169"/>
        <v>7.6471243042669956E-4</v>
      </c>
      <c r="DL42" s="5">
        <f t="shared" si="170"/>
        <v>-2.3081014223875058E-4</v>
      </c>
      <c r="DM42" s="5">
        <f t="shared" si="171"/>
        <v>1.5802844774273381E-3</v>
      </c>
      <c r="DO42" s="5">
        <f t="shared" si="130"/>
        <v>-1.9079214597220278</v>
      </c>
      <c r="DP42" s="5">
        <f t="shared" si="131"/>
        <v>-0.29295343676527091</v>
      </c>
      <c r="DQ42" s="5">
        <f t="shared" si="132"/>
        <v>-1.2917022253843653</v>
      </c>
      <c r="DR42" s="5">
        <f t="shared" si="133"/>
        <v>0.60228527619529781</v>
      </c>
      <c r="DS42" s="5">
        <f t="shared" si="134"/>
        <v>-0.18179147971962978</v>
      </c>
      <c r="DT42" s="5">
        <f t="shared" si="135"/>
        <v>1.2444775446344229</v>
      </c>
      <c r="DV42" t="str" cm="1">
        <f t="array" ref="DV42">_xlfn.IFS(DO42&gt;3,"Strong + Slope",DO42&gt;1.5,"Moderate + Slope",DO42&gt;0.5,"Sideway + Slope",DO42&gt;=-0.5,"Sideway Flat",DO42&gt;=-1.5,"Sideway - Slope",DO42&gt;=-3,"Moderate - Slope",TRUE,"Strong - Slope")</f>
        <v>Moderate - Slope</v>
      </c>
      <c r="DW42" t="str" cm="1">
        <f t="array" ref="DW42">_xlfn.IFS(DP42&gt;3,"Strong + Slope",DP42&gt;1.5,"Moderate + Slope",DP42&gt;0.5,"Sideway + Slope",DP42&gt;=-0.5,"Sideway Flat",DP42&gt;=-1.5,"Sideway - Slope",DP42&gt;=-3,"Moderate - Slope",TRUE,"Strong - Slope")</f>
        <v>Sideway Flat</v>
      </c>
      <c r="DX42" t="str" cm="1">
        <f t="array" ref="DX42">_xlfn.IFS(DQ42&gt;3,"Strong + Slope",DQ42&gt;1.5,"Moderate + Slope",DQ42&gt;0.5,"Sideway + Slope",DQ42&gt;=-0.5,"Sideway Flat",DQ42&gt;=-1.5,"Sideway - Slope",DQ42&gt;=-3,"Moderate - Slope",TRUE,"Strong - Slope")</f>
        <v>Sideway - Slope</v>
      </c>
      <c r="DY42" t="str" cm="1">
        <f t="array" ref="DY42">_xlfn.IFS(DR42&gt;3,"Strong + Slope",DR42&gt;1.5,"Moderate + Slope",DR42&gt;0.5,"Sideway + Slope",DR42&gt;=-0.5,"Sideway Flat",DR42&gt;=-1.5,"Sideway - Slope",DR42&gt;=-3,"Moderate - Slope",TRUE,"Strong - Slope")</f>
        <v>Sideway + Slope</v>
      </c>
      <c r="DZ42" t="str" cm="1">
        <f t="array" ref="DZ42">_xlfn.IFS(DS42&gt;3,"Strong + Slope",DS42&gt;1.5,"Moderate + Slope",DS42&gt;0.5,"Sideway + Slope",DS42&gt;=-0.5,"Sideway Flat",DS42&gt;=-1.5,"Sideway - Slope",DS42&gt;=-3,"Moderate - Slope",TRUE,"Strong - Slope")</f>
        <v>Sideway Flat</v>
      </c>
      <c r="EA42" t="str" cm="1">
        <f t="array" ref="EA42">_xlfn.IFS(DT42&gt;3,"Strong + Slope",DT42&gt;1.5,"Moderate + Slope",DT42&gt;0.5,"Sideway + Slope",DT42&gt;=-0.5,"Sideway Flat",DT42&gt;=-1.5,"Sideway - Slope",DT42&gt;=-3,"Moderate - Slope",TRUE,"Strong - Slope")</f>
        <v>Sideway + Slope</v>
      </c>
      <c r="EB42" s="5"/>
      <c r="EC42" s="5">
        <f t="shared" si="136"/>
        <v>2</v>
      </c>
      <c r="ED42" s="5">
        <f t="shared" si="137"/>
        <v>3</v>
      </c>
      <c r="EE42" s="5">
        <f t="shared" si="138"/>
        <v>1</v>
      </c>
      <c r="EF42" s="5">
        <f t="shared" si="139"/>
        <v>6</v>
      </c>
      <c r="EG42" s="5">
        <f t="shared" si="140"/>
        <v>5</v>
      </c>
      <c r="EH42" s="5">
        <f t="shared" si="141"/>
        <v>4</v>
      </c>
      <c r="EI42" s="5"/>
      <c r="EJ42" s="5" t="str">
        <f t="shared" si="142"/>
        <v>RES</v>
      </c>
      <c r="EK42" s="5" t="str">
        <f t="shared" si="143"/>
        <v>RES</v>
      </c>
      <c r="EL42" s="5" t="str">
        <f t="shared" si="144"/>
        <v>RES</v>
      </c>
      <c r="EM42" s="5" t="str">
        <f t="shared" si="145"/>
        <v>SUP</v>
      </c>
      <c r="EN42" s="5" t="str">
        <f t="shared" si="146"/>
        <v>SUP</v>
      </c>
      <c r="EO42" s="5" t="str">
        <f t="shared" si="147"/>
        <v>RES</v>
      </c>
      <c r="EP42" s="5"/>
      <c r="EQ42" s="8">
        <f t="shared" si="148"/>
        <v>8.6377824456706381E-4</v>
      </c>
      <c r="ER42" s="8">
        <f t="shared" si="149"/>
        <v>5.2350196640415711E-4</v>
      </c>
      <c r="ES42" s="8">
        <f t="shared" si="150"/>
        <v>2.5717034099609379E-3</v>
      </c>
      <c r="ET42" s="8">
        <f t="shared" si="151"/>
        <v>-1.4985243788322856E-3</v>
      </c>
      <c r="EU42" s="8">
        <f t="shared" si="152"/>
        <v>-1.4592617313519646E-3</v>
      </c>
      <c r="EV42" s="8">
        <f t="shared" si="153"/>
        <v>6.543774580047314E-5</v>
      </c>
      <c r="EW42" s="8"/>
      <c r="EX42" s="8">
        <f t="shared" si="154"/>
        <v>0.36816720257236046</v>
      </c>
      <c r="EY42" s="9">
        <f t="shared" si="54"/>
        <v>4</v>
      </c>
      <c r="EZ42" s="10">
        <f t="shared" si="55"/>
        <v>2</v>
      </c>
      <c r="FA42" s="8">
        <f t="shared" si="86"/>
        <v>2.5717034099609379E-3</v>
      </c>
      <c r="FB42" s="8">
        <f t="shared" si="87"/>
        <v>8.6377824456706381E-4</v>
      </c>
      <c r="FC42" s="8">
        <f t="shared" si="88"/>
        <v>5.2350196640415711E-4</v>
      </c>
      <c r="FD42" s="8">
        <f t="shared" si="89"/>
        <v>6.543774580047314E-5</v>
      </c>
      <c r="FE42" s="8">
        <f t="shared" si="90"/>
        <v>-1.4592617313519646E-3</v>
      </c>
      <c r="FF42" s="8">
        <f t="shared" si="91"/>
        <v>-1.4985243788322856E-3</v>
      </c>
      <c r="FG42" s="5"/>
      <c r="FH42" s="5" t="str">
        <f t="shared" si="155"/>
        <v>-----</v>
      </c>
      <c r="FI42" s="5" t="str">
        <f t="shared" si="92"/>
        <v>Flat Momentum</v>
      </c>
      <c r="FJ42" s="5"/>
      <c r="FK42" s="5" t="str">
        <f t="shared" si="93"/>
        <v>-----</v>
      </c>
      <c r="FL42" s="5" t="str">
        <f t="shared" si="94"/>
        <v>-----</v>
      </c>
      <c r="FM42" s="5"/>
      <c r="FN42" s="5"/>
      <c r="FO42" s="8" t="str">
        <f t="shared" si="113"/>
        <v>Bearish</v>
      </c>
      <c r="FP42" s="8"/>
      <c r="FQ42" s="14">
        <f t="shared" si="156"/>
        <v>-5.4904113886821175E-4</v>
      </c>
      <c r="FR42" s="14">
        <f t="shared" si="58"/>
        <v>-0.28477821535626746</v>
      </c>
      <c r="FS42" s="14" t="str">
        <f t="shared" si="59"/>
        <v>-----</v>
      </c>
      <c r="FT42" s="14" t="str">
        <f t="shared" si="157"/>
        <v>Bearish</v>
      </c>
      <c r="FU42" s="5" t="str">
        <f t="shared" si="172"/>
        <v>TEMA crossover</v>
      </c>
      <c r="FV42" s="5" t="str">
        <f t="shared" si="173"/>
        <v>-----</v>
      </c>
      <c r="FW42" s="5"/>
      <c r="FX42" s="15" t="str">
        <f t="shared" si="116"/>
        <v>YES</v>
      </c>
      <c r="FY42" s="15" t="str">
        <f t="shared" si="117"/>
        <v>-----</v>
      </c>
      <c r="FZ42" s="15" t="str">
        <f t="shared" si="118"/>
        <v>-----</v>
      </c>
      <c r="GA42" s="15" t="str">
        <f t="shared" si="119"/>
        <v>YES</v>
      </c>
      <c r="GB42" s="16" t="str">
        <f t="shared" si="107"/>
        <v>-----</v>
      </c>
      <c r="GC42" s="16" t="str">
        <f t="shared" si="108"/>
        <v>-----</v>
      </c>
      <c r="GD42" s="16" t="str">
        <f t="shared" si="109"/>
        <v>YES</v>
      </c>
      <c r="GE42" s="16" t="str">
        <f t="shared" si="112"/>
        <v>YES</v>
      </c>
      <c r="GF42" s="15" t="str">
        <f t="shared" si="110"/>
        <v>-----</v>
      </c>
      <c r="GG42" s="16" t="str">
        <f t="shared" si="120"/>
        <v>-----</v>
      </c>
      <c r="GH42" s="14"/>
      <c r="GI42" s="5" t="str">
        <f t="shared" si="158"/>
        <v>-----</v>
      </c>
      <c r="GJ42" s="5" t="str">
        <f t="shared" si="159"/>
        <v>-----</v>
      </c>
      <c r="GK42" s="5"/>
      <c r="GL42" s="5" t="str">
        <f t="shared" si="160"/>
        <v>-----</v>
      </c>
      <c r="GM42" s="5" t="str">
        <f t="shared" si="161"/>
        <v>-----</v>
      </c>
      <c r="GN42" s="5"/>
      <c r="GO42" s="12">
        <f t="shared" si="162"/>
        <v>8.5000000000007958E-2</v>
      </c>
      <c r="GP42" s="5">
        <f t="shared" si="97"/>
        <v>0.21254565536865969</v>
      </c>
      <c r="GQ42" s="13" t="str">
        <f t="shared" si="98"/>
        <v>-----</v>
      </c>
      <c r="GR42" s="5"/>
      <c r="GS42">
        <f t="shared" si="99"/>
        <v>0.17781952063412365</v>
      </c>
      <c r="GT42" s="5" t="str">
        <f t="shared" si="100"/>
        <v>-----</v>
      </c>
    </row>
    <row r="43" spans="1:202" x14ac:dyDescent="0.55000000000000004">
      <c r="A43">
        <v>39</v>
      </c>
      <c r="B43" t="s">
        <v>42</v>
      </c>
      <c r="C43" t="s">
        <v>4</v>
      </c>
      <c r="D43" t="s">
        <v>103</v>
      </c>
      <c r="E43">
        <v>152.822</v>
      </c>
      <c r="F43">
        <v>152.83699999999999</v>
      </c>
      <c r="G43">
        <v>152.74700000000001</v>
      </c>
      <c r="H43">
        <v>152.77000000000001</v>
      </c>
      <c r="I43">
        <v>307</v>
      </c>
      <c r="J43">
        <v>152.946</v>
      </c>
      <c r="K43">
        <v>152.89699999999999</v>
      </c>
      <c r="L43">
        <v>153.209</v>
      </c>
      <c r="M43">
        <v>152.589</v>
      </c>
      <c r="N43">
        <v>152.59399999999999</v>
      </c>
      <c r="O43">
        <v>152.828</v>
      </c>
      <c r="P43">
        <v>0</v>
      </c>
      <c r="Q43">
        <v>0</v>
      </c>
      <c r="R43">
        <v>0</v>
      </c>
      <c r="S43">
        <v>0</v>
      </c>
      <c r="T43">
        <v>0</v>
      </c>
      <c r="U43">
        <v>8.6919999999999997E-2</v>
      </c>
      <c r="V43">
        <v>3</v>
      </c>
      <c r="W43">
        <v>153.33703</v>
      </c>
      <c r="X43">
        <v>153.25181000000001</v>
      </c>
      <c r="Y43">
        <v>153.16659000000001</v>
      </c>
      <c r="Z43">
        <v>153.08136999999999</v>
      </c>
      <c r="AA43">
        <v>152.99614</v>
      </c>
      <c r="AB43">
        <v>152.88623000000001</v>
      </c>
      <c r="AC43">
        <v>152.80100999999999</v>
      </c>
      <c r="AD43">
        <v>152.71579</v>
      </c>
      <c r="AE43">
        <v>152.63057000000001</v>
      </c>
      <c r="AF43">
        <v>152.54535000000001</v>
      </c>
      <c r="AG43">
        <v>152.779</v>
      </c>
      <c r="AH43">
        <v>152.87899999999999</v>
      </c>
      <c r="AI43">
        <v>152.97800000000001</v>
      </c>
      <c r="AJ43">
        <v>153.114</v>
      </c>
      <c r="AK43">
        <v>152.828</v>
      </c>
      <c r="AL43">
        <v>152.74299999999999</v>
      </c>
      <c r="AM43" s="11">
        <f t="shared" si="0"/>
        <v>8.9999999999974989E-2</v>
      </c>
      <c r="AN43" s="11">
        <f t="shared" si="66"/>
        <v>1.999999999998181E-2</v>
      </c>
      <c r="AO43" s="11">
        <f t="shared" si="163"/>
        <v>6.9999999999993179E-2</v>
      </c>
      <c r="AP43" s="11">
        <f t="shared" si="164"/>
        <v>8.9999999999974989E-2</v>
      </c>
      <c r="AR43" s="5" t="str">
        <f t="shared" si="121"/>
        <v>------</v>
      </c>
      <c r="AS43" s="5" t="str">
        <f t="shared" si="122"/>
        <v>------</v>
      </c>
      <c r="AT43" t="str">
        <f t="shared" si="123"/>
        <v/>
      </c>
      <c r="AV43" s="2">
        <f t="shared" si="4"/>
        <v>152.9689419</v>
      </c>
      <c r="AW43" s="2">
        <f t="shared" si="5"/>
        <v>152.92305809999999</v>
      </c>
      <c r="AX43" s="2">
        <f t="shared" si="6"/>
        <v>152.91993454999999</v>
      </c>
      <c r="AY43" s="2">
        <f t="shared" si="7"/>
        <v>152.87406544999999</v>
      </c>
      <c r="AZ43" s="2">
        <f t="shared" si="8"/>
        <v>153.23198135000001</v>
      </c>
      <c r="BA43" s="2">
        <f t="shared" si="9"/>
        <v>153.18601864999999</v>
      </c>
      <c r="BB43" s="2">
        <f t="shared" si="10"/>
        <v>152.61188835000002</v>
      </c>
      <c r="BC43" s="2">
        <f t="shared" si="11"/>
        <v>152.56611165000001</v>
      </c>
      <c r="BD43" s="2">
        <f t="shared" si="12"/>
        <v>152.61688910000001</v>
      </c>
      <c r="BE43" s="2">
        <f t="shared" si="13"/>
        <v>152.57111090000001</v>
      </c>
      <c r="BF43" s="2">
        <f t="shared" si="14"/>
        <v>152.85092420000001</v>
      </c>
      <c r="BG43" s="2">
        <f t="shared" si="15"/>
        <v>152.8050758</v>
      </c>
      <c r="BI43" s="5" t="str">
        <f t="shared" si="69"/>
        <v>-----</v>
      </c>
      <c r="BJ43" s="5" t="str">
        <f t="shared" si="70"/>
        <v>-----</v>
      </c>
      <c r="BK43" s="5" t="str">
        <f t="shared" si="71"/>
        <v>-----</v>
      </c>
      <c r="BL43" s="5" t="str">
        <f t="shared" si="72"/>
        <v>-----</v>
      </c>
      <c r="BM43" s="5" t="str">
        <f t="shared" si="73"/>
        <v>-----</v>
      </c>
      <c r="BN43" s="5" t="str">
        <f t="shared" si="74"/>
        <v>TOUCH</v>
      </c>
      <c r="BO43" s="5"/>
      <c r="BP43" s="5">
        <f t="shared" si="165"/>
        <v>6</v>
      </c>
      <c r="BQ43" s="5">
        <f t="shared" si="165"/>
        <v>2</v>
      </c>
      <c r="BR43" s="5">
        <f t="shared" si="165"/>
        <v>37</v>
      </c>
      <c r="BS43" s="5">
        <f t="shared" si="165"/>
        <v>39</v>
      </c>
      <c r="BT43" s="5">
        <f t="shared" si="165"/>
        <v>39</v>
      </c>
      <c r="BU43" s="5">
        <f t="shared" si="165"/>
        <v>0</v>
      </c>
      <c r="BV43" s="5">
        <f t="shared" si="166"/>
        <v>1</v>
      </c>
      <c r="BW43" s="5">
        <f t="shared" si="166"/>
        <v>4</v>
      </c>
      <c r="BX43" s="5">
        <f t="shared" si="166"/>
        <v>2</v>
      </c>
      <c r="BY43" s="5">
        <f t="shared" si="166"/>
        <v>0</v>
      </c>
      <c r="BZ43" s="5">
        <f t="shared" si="166"/>
        <v>0</v>
      </c>
      <c r="CA43" s="5">
        <f t="shared" si="166"/>
        <v>3</v>
      </c>
      <c r="CB43" s="5" t="str">
        <f t="shared" si="102"/>
        <v>-----</v>
      </c>
      <c r="CC43" s="5" t="str">
        <f t="shared" si="101"/>
        <v>-----</v>
      </c>
      <c r="CD43" s="5" t="str">
        <f t="shared" si="101"/>
        <v>-----</v>
      </c>
      <c r="CE43" s="5" t="str">
        <f t="shared" si="101"/>
        <v>-----</v>
      </c>
      <c r="CF43" s="5" t="str">
        <f t="shared" si="101"/>
        <v>-----</v>
      </c>
      <c r="CG43" s="5">
        <f t="shared" si="101"/>
        <v>3</v>
      </c>
      <c r="CH43" s="5"/>
      <c r="CI43" s="17" t="str">
        <f t="shared" si="124"/>
        <v>-----</v>
      </c>
      <c r="CJ43" s="17" t="str">
        <f t="shared" si="125"/>
        <v>-----</v>
      </c>
      <c r="CK43" s="17" t="str">
        <f t="shared" si="126"/>
        <v>-----</v>
      </c>
      <c r="CL43" s="17" t="str">
        <f t="shared" si="127"/>
        <v>-----</v>
      </c>
      <c r="CM43" s="17" t="str">
        <f t="shared" si="128"/>
        <v>-----</v>
      </c>
      <c r="CN43" s="17">
        <f t="shared" si="129"/>
        <v>-1.5311330384485098E-3</v>
      </c>
      <c r="CO43" s="5"/>
      <c r="CP43" s="5" t="str">
        <f t="shared" si="77"/>
        <v>-----</v>
      </c>
      <c r="CQ43" s="5" t="str">
        <f t="shared" si="77"/>
        <v>-----</v>
      </c>
      <c r="CR43" s="5" t="str">
        <f t="shared" si="77"/>
        <v>-----</v>
      </c>
      <c r="CS43" s="5" t="str">
        <f t="shared" si="77"/>
        <v>-----</v>
      </c>
      <c r="CT43" s="5" t="str">
        <f t="shared" si="77"/>
        <v>-----</v>
      </c>
      <c r="CU43" s="5" t="str">
        <f t="shared" si="77"/>
        <v>Resistant</v>
      </c>
      <c r="CV43" s="5"/>
      <c r="CW43" s="17" t="str">
        <f t="shared" si="78"/>
        <v/>
      </c>
      <c r="CX43" s="17" t="str">
        <f t="shared" si="78"/>
        <v/>
      </c>
      <c r="CY43" s="17" t="str">
        <f t="shared" si="78"/>
        <v/>
      </c>
      <c r="CZ43" s="17" t="str">
        <f t="shared" si="78"/>
        <v/>
      </c>
      <c r="DA43" s="17" t="str">
        <f t="shared" si="78"/>
        <v/>
      </c>
      <c r="DB43" s="17">
        <f t="shared" si="78"/>
        <v>1.5311330384485098E-3</v>
      </c>
      <c r="DC43" s="8"/>
      <c r="DD43" s="5">
        <f t="shared" si="27"/>
        <v>1</v>
      </c>
      <c r="DE43" s="17">
        <f t="shared" si="79"/>
        <v>1.5311330384485098E-3</v>
      </c>
      <c r="DF43" s="5" t="str" cm="1">
        <f t="array" ref="DF43">_xlfn.IFS(DE43=CW43,CP43,DE43=CX43,CQ43,DE43=CY43,CR43,DE43=CZ43,CS43,DE43=DA43,CT43,DE43=DB43,CU43,TRUE,"----- ")</f>
        <v>Resistant</v>
      </c>
      <c r="DG43" s="5"/>
      <c r="DH43" s="5">
        <f t="shared" si="80"/>
        <v>-2.423265306122455E-3</v>
      </c>
      <c r="DI43" s="5">
        <f t="shared" si="167"/>
        <v>-3.7194805194805478E-4</v>
      </c>
      <c r="DJ43" s="5">
        <f t="shared" si="168"/>
        <v>-1.6402721088435472E-3</v>
      </c>
      <c r="DK43" s="5">
        <f t="shared" si="169"/>
        <v>7.6471243042669956E-4</v>
      </c>
      <c r="DL43" s="5">
        <f t="shared" si="170"/>
        <v>-2.3081014223875058E-4</v>
      </c>
      <c r="DM43" s="5">
        <f t="shared" si="171"/>
        <v>1.5802844774273381E-3</v>
      </c>
      <c r="DO43" s="5">
        <f t="shared" si="130"/>
        <v>-1.9079214597220278</v>
      </c>
      <c r="DP43" s="5">
        <f t="shared" si="131"/>
        <v>-0.29295343676527091</v>
      </c>
      <c r="DQ43" s="5">
        <f t="shared" si="132"/>
        <v>-1.2917022253843653</v>
      </c>
      <c r="DR43" s="5">
        <f t="shared" si="133"/>
        <v>0.60228527619529781</v>
      </c>
      <c r="DS43" s="5">
        <f t="shared" si="134"/>
        <v>-0.18179147971962978</v>
      </c>
      <c r="DT43" s="5">
        <f t="shared" si="135"/>
        <v>1.2444775446344229</v>
      </c>
      <c r="DV43" t="str" cm="1">
        <f t="array" ref="DV43">_xlfn.IFS(DO43&gt;3,"Strong + Slope",DO43&gt;1.5,"Moderate + Slope",DO43&gt;0.5,"Sideway + Slope",DO43&gt;=-0.5,"Sideway Flat",DO43&gt;=-1.5,"Sideway - Slope",DO43&gt;=-3,"Moderate - Slope",TRUE,"Strong - Slope")</f>
        <v>Moderate - Slope</v>
      </c>
      <c r="DW43" t="str" cm="1">
        <f t="array" ref="DW43">_xlfn.IFS(DP43&gt;3,"Strong + Slope",DP43&gt;1.5,"Moderate + Slope",DP43&gt;0.5,"Sideway + Slope",DP43&gt;=-0.5,"Sideway Flat",DP43&gt;=-1.5,"Sideway - Slope",DP43&gt;=-3,"Moderate - Slope",TRUE,"Strong - Slope")</f>
        <v>Sideway Flat</v>
      </c>
      <c r="DX43" t="str" cm="1">
        <f t="array" ref="DX43">_xlfn.IFS(DQ43&gt;3,"Strong + Slope",DQ43&gt;1.5,"Moderate + Slope",DQ43&gt;0.5,"Sideway + Slope",DQ43&gt;=-0.5,"Sideway Flat",DQ43&gt;=-1.5,"Sideway - Slope",DQ43&gt;=-3,"Moderate - Slope",TRUE,"Strong - Slope")</f>
        <v>Sideway - Slope</v>
      </c>
      <c r="DY43" t="str" cm="1">
        <f t="array" ref="DY43">_xlfn.IFS(DR43&gt;3,"Strong + Slope",DR43&gt;1.5,"Moderate + Slope",DR43&gt;0.5,"Sideway + Slope",DR43&gt;=-0.5,"Sideway Flat",DR43&gt;=-1.5,"Sideway - Slope",DR43&gt;=-3,"Moderate - Slope",TRUE,"Strong - Slope")</f>
        <v>Sideway + Slope</v>
      </c>
      <c r="DZ43" t="str" cm="1">
        <f t="array" ref="DZ43">_xlfn.IFS(DS43&gt;3,"Strong + Slope",DS43&gt;1.5,"Moderate + Slope",DS43&gt;0.5,"Sideway + Slope",DS43&gt;=-0.5,"Sideway Flat",DS43&gt;=-1.5,"Sideway - Slope",DS43&gt;=-3,"Moderate - Slope",TRUE,"Strong - Slope")</f>
        <v>Sideway Flat</v>
      </c>
      <c r="EA43" t="str" cm="1">
        <f t="array" ref="EA43">_xlfn.IFS(DT43&gt;3,"Strong + Slope",DT43&gt;1.5,"Moderate + Slope",DT43&gt;0.5,"Sideway + Slope",DT43&gt;=-0.5,"Sideway Flat",DT43&gt;=-1.5,"Sideway - Slope",DT43&gt;=-3,"Moderate - Slope",TRUE,"Strong - Slope")</f>
        <v>Sideway + Slope</v>
      </c>
      <c r="EB43" s="5"/>
      <c r="EC43" s="5">
        <f t="shared" si="136"/>
        <v>2</v>
      </c>
      <c r="ED43" s="5">
        <f t="shared" si="137"/>
        <v>3</v>
      </c>
      <c r="EE43" s="5">
        <f t="shared" si="138"/>
        <v>1</v>
      </c>
      <c r="EF43" s="5">
        <f t="shared" si="139"/>
        <v>6</v>
      </c>
      <c r="EG43" s="5">
        <f t="shared" si="140"/>
        <v>5</v>
      </c>
      <c r="EH43" s="5">
        <f t="shared" si="141"/>
        <v>4</v>
      </c>
      <c r="EI43" s="5"/>
      <c r="EJ43" s="5" t="str">
        <f t="shared" si="142"/>
        <v>RES</v>
      </c>
      <c r="EK43" s="5" t="str">
        <f t="shared" si="143"/>
        <v>RES</v>
      </c>
      <c r="EL43" s="5" t="str">
        <f t="shared" si="144"/>
        <v>RES</v>
      </c>
      <c r="EM43" s="5" t="str">
        <f t="shared" si="145"/>
        <v>SUP</v>
      </c>
      <c r="EN43" s="5" t="str">
        <f t="shared" si="146"/>
        <v>SUP</v>
      </c>
      <c r="EO43" s="5" t="str">
        <f t="shared" si="147"/>
        <v>RES</v>
      </c>
      <c r="EP43" s="5"/>
      <c r="EQ43" s="8">
        <f t="shared" si="148"/>
        <v>1.1520586502584782E-3</v>
      </c>
      <c r="ER43" s="8">
        <f t="shared" si="149"/>
        <v>8.3131504876599537E-4</v>
      </c>
      <c r="ES43" s="8">
        <f t="shared" si="150"/>
        <v>2.8736008378607903E-3</v>
      </c>
      <c r="ET43" s="8">
        <f t="shared" si="151"/>
        <v>-1.1847875891864343E-3</v>
      </c>
      <c r="EU43" s="8">
        <f t="shared" si="152"/>
        <v>-1.1520586502586643E-3</v>
      </c>
      <c r="EV43" s="8">
        <f t="shared" si="153"/>
        <v>3.796556915624319E-4</v>
      </c>
      <c r="EW43" s="8"/>
      <c r="EX43" s="8">
        <f t="shared" si="154"/>
        <v>0.29193548387098428</v>
      </c>
      <c r="EY43" s="9">
        <f t="shared" si="54"/>
        <v>4</v>
      </c>
      <c r="EZ43" s="10">
        <f t="shared" si="55"/>
        <v>2</v>
      </c>
      <c r="FA43" s="8">
        <f t="shared" si="86"/>
        <v>2.8736008378607903E-3</v>
      </c>
      <c r="FB43" s="8">
        <f t="shared" si="87"/>
        <v>1.1520586502584782E-3</v>
      </c>
      <c r="FC43" s="8">
        <f t="shared" si="88"/>
        <v>8.3131504876599537E-4</v>
      </c>
      <c r="FD43" s="8">
        <f t="shared" si="89"/>
        <v>3.796556915624319E-4</v>
      </c>
      <c r="FE43" s="8">
        <f t="shared" si="90"/>
        <v>-1.1520586502586643E-3</v>
      </c>
      <c r="FF43" s="8">
        <f t="shared" si="91"/>
        <v>-1.1847875891864343E-3</v>
      </c>
      <c r="FG43" s="5"/>
      <c r="FH43" s="5" t="str">
        <f t="shared" si="155"/>
        <v>-----</v>
      </c>
      <c r="FI43" s="5" t="str">
        <f t="shared" si="92"/>
        <v>Flat Momentum</v>
      </c>
      <c r="FJ43" s="5"/>
      <c r="FK43" s="5" t="str">
        <f t="shared" si="93"/>
        <v>-----</v>
      </c>
      <c r="FL43" s="5" t="str">
        <f t="shared" si="94"/>
        <v>-----</v>
      </c>
      <c r="FM43" s="5"/>
      <c r="FN43" s="5"/>
      <c r="FO43" s="8" t="str">
        <f t="shared" si="113"/>
        <v>Bearish</v>
      </c>
      <c r="FP43" s="8"/>
      <c r="FQ43" s="14">
        <f t="shared" si="156"/>
        <v>-6.4715187804794121E-4</v>
      </c>
      <c r="FR43" s="14">
        <f t="shared" si="58"/>
        <v>-0.56773476515000754</v>
      </c>
      <c r="FS43" s="14" t="str">
        <f t="shared" si="59"/>
        <v>-----</v>
      </c>
      <c r="FT43" s="14" t="str">
        <f t="shared" si="157"/>
        <v>Bearish</v>
      </c>
      <c r="FU43" s="5" t="str">
        <f t="shared" si="172"/>
        <v>-----</v>
      </c>
      <c r="FV43" s="5" t="str">
        <f t="shared" si="173"/>
        <v>TEMA crossunder</v>
      </c>
      <c r="FW43" s="5"/>
      <c r="FX43" s="15" t="str">
        <f t="shared" si="116"/>
        <v>YES</v>
      </c>
      <c r="FY43" s="15" t="str">
        <f t="shared" si="117"/>
        <v>-----</v>
      </c>
      <c r="FZ43" s="15" t="str">
        <f t="shared" si="118"/>
        <v>-----</v>
      </c>
      <c r="GA43" s="15" t="str">
        <f t="shared" si="119"/>
        <v>YES</v>
      </c>
      <c r="GB43" s="16" t="str">
        <f t="shared" si="107"/>
        <v>-----</v>
      </c>
      <c r="GC43" s="16" t="str">
        <f t="shared" si="108"/>
        <v>-----</v>
      </c>
      <c r="GD43" s="16" t="str">
        <f t="shared" si="109"/>
        <v>YES</v>
      </c>
      <c r="GE43" s="16" t="str">
        <f t="shared" si="112"/>
        <v>YES</v>
      </c>
      <c r="GF43" s="15" t="str">
        <f t="shared" si="110"/>
        <v>-----</v>
      </c>
      <c r="GG43" s="16" t="str">
        <f t="shared" si="120"/>
        <v>-----</v>
      </c>
      <c r="GH43" s="14"/>
      <c r="GI43" s="5" t="str">
        <f t="shared" si="158"/>
        <v>-----</v>
      </c>
      <c r="GJ43" s="5" t="str">
        <f t="shared" si="159"/>
        <v>-----</v>
      </c>
      <c r="GK43" s="5"/>
      <c r="GL43" s="5" t="str">
        <f t="shared" si="160"/>
        <v>-----</v>
      </c>
      <c r="GM43" s="5" t="str">
        <f t="shared" si="161"/>
        <v>-----</v>
      </c>
      <c r="GN43" s="5"/>
      <c r="GO43" s="12">
        <f t="shared" si="162"/>
        <v>8.5000000000007958E-2</v>
      </c>
      <c r="GP43" s="5">
        <f t="shared" si="97"/>
        <v>0.21254565536865969</v>
      </c>
      <c r="GQ43" s="13" t="str">
        <f t="shared" si="98"/>
        <v>-----</v>
      </c>
      <c r="GR43" s="5"/>
      <c r="GS43">
        <f t="shared" si="99"/>
        <v>0.11974137074959131</v>
      </c>
      <c r="GT43" s="5" t="str">
        <f t="shared" si="100"/>
        <v>-----</v>
      </c>
    </row>
    <row r="44" spans="1:202" x14ac:dyDescent="0.55000000000000004">
      <c r="A44">
        <v>40</v>
      </c>
      <c r="B44" t="s">
        <v>43</v>
      </c>
      <c r="C44" t="s">
        <v>4</v>
      </c>
      <c r="D44" t="s">
        <v>103</v>
      </c>
      <c r="E44">
        <v>152.77000000000001</v>
      </c>
      <c r="F44">
        <v>152.791</v>
      </c>
      <c r="G44">
        <v>152.74199999999999</v>
      </c>
      <c r="H44">
        <v>152.79</v>
      </c>
      <c r="I44">
        <v>334</v>
      </c>
      <c r="J44">
        <v>152.94399999999999</v>
      </c>
      <c r="K44">
        <v>152.89699999999999</v>
      </c>
      <c r="L44">
        <v>153.20699999999999</v>
      </c>
      <c r="M44">
        <v>152.59</v>
      </c>
      <c r="N44">
        <v>152.59399999999999</v>
      </c>
      <c r="O44">
        <v>152.83000000000001</v>
      </c>
      <c r="P44">
        <v>0</v>
      </c>
      <c r="Q44">
        <v>0</v>
      </c>
      <c r="R44">
        <v>0</v>
      </c>
      <c r="S44">
        <v>0</v>
      </c>
      <c r="T44">
        <v>0</v>
      </c>
      <c r="U44">
        <v>0.63841000000000003</v>
      </c>
      <c r="V44">
        <v>0</v>
      </c>
      <c r="W44">
        <v>153.32065</v>
      </c>
      <c r="X44">
        <v>153.23535999999999</v>
      </c>
      <c r="Y44">
        <v>153.15007</v>
      </c>
      <c r="Z44">
        <v>153.06478000000001</v>
      </c>
      <c r="AA44">
        <v>152.97949</v>
      </c>
      <c r="AB44">
        <v>152.87223</v>
      </c>
      <c r="AC44">
        <v>152.78693999999999</v>
      </c>
      <c r="AD44">
        <v>152.70165</v>
      </c>
      <c r="AE44">
        <v>152.61635999999999</v>
      </c>
      <c r="AF44">
        <v>152.53107</v>
      </c>
      <c r="AG44">
        <v>152.75800000000001</v>
      </c>
      <c r="AH44">
        <v>152.85</v>
      </c>
      <c r="AI44">
        <v>152.96299999999999</v>
      </c>
      <c r="AJ44">
        <v>153.10499999999999</v>
      </c>
      <c r="AK44">
        <v>152.791</v>
      </c>
      <c r="AL44">
        <v>152.72499999999999</v>
      </c>
      <c r="AM44" s="11">
        <f t="shared" si="0"/>
        <v>4.9000000000006594E-2</v>
      </c>
      <c r="AN44" s="11">
        <f t="shared" si="66"/>
        <v>2.0999999999986585E-2</v>
      </c>
      <c r="AO44" s="11">
        <f t="shared" si="163"/>
        <v>2.8000000000020009E-2</v>
      </c>
      <c r="AP44" s="11">
        <f t="shared" si="164"/>
        <v>4.9000000000006594E-2</v>
      </c>
      <c r="AR44" s="5" t="str">
        <f t="shared" si="121"/>
        <v>------</v>
      </c>
      <c r="AS44" s="5" t="str">
        <f t="shared" si="122"/>
        <v>------</v>
      </c>
      <c r="AT44" t="str">
        <f t="shared" si="123"/>
        <v/>
      </c>
      <c r="AV44" s="2">
        <f t="shared" si="4"/>
        <v>152.96694160000001</v>
      </c>
      <c r="AW44" s="2">
        <f t="shared" si="5"/>
        <v>152.92105839999999</v>
      </c>
      <c r="AX44" s="2">
        <f t="shared" si="6"/>
        <v>152.91993454999999</v>
      </c>
      <c r="AY44" s="2">
        <f t="shared" si="7"/>
        <v>152.87406544999999</v>
      </c>
      <c r="AZ44" s="2">
        <f t="shared" si="8"/>
        <v>153.22998105000002</v>
      </c>
      <c r="BA44" s="2">
        <f t="shared" si="9"/>
        <v>153.18401895</v>
      </c>
      <c r="BB44" s="2">
        <f t="shared" si="10"/>
        <v>152.61288850000003</v>
      </c>
      <c r="BC44" s="2">
        <f t="shared" si="11"/>
        <v>152.56711150000001</v>
      </c>
      <c r="BD44" s="2">
        <f t="shared" si="12"/>
        <v>152.61688910000001</v>
      </c>
      <c r="BE44" s="2">
        <f t="shared" si="13"/>
        <v>152.57111090000001</v>
      </c>
      <c r="BF44" s="2">
        <f t="shared" si="14"/>
        <v>152.85292450000003</v>
      </c>
      <c r="BG44" s="2">
        <f t="shared" si="15"/>
        <v>152.80707550000002</v>
      </c>
      <c r="BI44" s="5" t="str">
        <f t="shared" si="69"/>
        <v>-----</v>
      </c>
      <c r="BJ44" s="5" t="str">
        <f t="shared" si="70"/>
        <v>-----</v>
      </c>
      <c r="BK44" s="5" t="str">
        <f t="shared" si="71"/>
        <v>-----</v>
      </c>
      <c r="BL44" s="5" t="str">
        <f t="shared" si="72"/>
        <v>-----</v>
      </c>
      <c r="BM44" s="5" t="str">
        <f t="shared" si="73"/>
        <v>-----</v>
      </c>
      <c r="BN44" s="5" t="str">
        <f t="shared" si="74"/>
        <v>-----</v>
      </c>
      <c r="BO44" s="5"/>
      <c r="BP44" s="5">
        <f t="shared" si="165"/>
        <v>7</v>
      </c>
      <c r="BQ44" s="5">
        <f t="shared" si="165"/>
        <v>3</v>
      </c>
      <c r="BR44" s="5">
        <f t="shared" si="165"/>
        <v>38</v>
      </c>
      <c r="BS44" s="5">
        <f t="shared" si="165"/>
        <v>40</v>
      </c>
      <c r="BT44" s="5">
        <f t="shared" si="165"/>
        <v>40</v>
      </c>
      <c r="BU44" s="5">
        <f t="shared" si="165"/>
        <v>1</v>
      </c>
      <c r="BV44" s="5">
        <f t="shared" si="166"/>
        <v>1</v>
      </c>
      <c r="BW44" s="5">
        <f t="shared" si="166"/>
        <v>4</v>
      </c>
      <c r="BX44" s="5">
        <f t="shared" si="166"/>
        <v>2</v>
      </c>
      <c r="BY44" s="5">
        <f t="shared" si="166"/>
        <v>0</v>
      </c>
      <c r="BZ44" s="5">
        <f t="shared" si="166"/>
        <v>0</v>
      </c>
      <c r="CA44" s="5">
        <f t="shared" si="166"/>
        <v>3</v>
      </c>
      <c r="CB44" s="5" t="str">
        <f t="shared" si="102"/>
        <v>-----</v>
      </c>
      <c r="CC44" s="5" t="str">
        <f t="shared" si="101"/>
        <v>-----</v>
      </c>
      <c r="CD44" s="5" t="str">
        <f t="shared" si="101"/>
        <v>-----</v>
      </c>
      <c r="CE44" s="5" t="str">
        <f t="shared" si="101"/>
        <v>-----</v>
      </c>
      <c r="CF44" s="5" t="str">
        <f t="shared" si="101"/>
        <v>-----</v>
      </c>
      <c r="CG44" s="5" t="str">
        <f t="shared" si="101"/>
        <v>-----</v>
      </c>
      <c r="CH44" s="5"/>
      <c r="CI44" s="17" t="str">
        <f t="shared" si="124"/>
        <v>-----</v>
      </c>
      <c r="CJ44" s="17" t="str">
        <f t="shared" si="125"/>
        <v>-----</v>
      </c>
      <c r="CK44" s="17" t="str">
        <f t="shared" si="126"/>
        <v>-----</v>
      </c>
      <c r="CL44" s="17" t="str">
        <f t="shared" si="127"/>
        <v>-----</v>
      </c>
      <c r="CM44" s="17" t="str">
        <f t="shared" si="128"/>
        <v>-----</v>
      </c>
      <c r="CN44" s="17" t="str">
        <f t="shared" si="129"/>
        <v>-----</v>
      </c>
      <c r="CO44" s="5"/>
      <c r="CP44" s="5" t="str">
        <f t="shared" si="77"/>
        <v>-----</v>
      </c>
      <c r="CQ44" s="5" t="str">
        <f t="shared" si="77"/>
        <v>-----</v>
      </c>
      <c r="CR44" s="5" t="str">
        <f t="shared" si="77"/>
        <v>-----</v>
      </c>
      <c r="CS44" s="5" t="str">
        <f t="shared" si="77"/>
        <v>-----</v>
      </c>
      <c r="CT44" s="5" t="str">
        <f t="shared" si="77"/>
        <v>-----</v>
      </c>
      <c r="CU44" s="5" t="str">
        <f t="shared" si="77"/>
        <v>-----</v>
      </c>
      <c r="CV44" s="5"/>
      <c r="CW44" s="17" t="str">
        <f t="shared" si="78"/>
        <v/>
      </c>
      <c r="CX44" s="17" t="str">
        <f t="shared" si="78"/>
        <v/>
      </c>
      <c r="CY44" s="17" t="str">
        <f t="shared" si="78"/>
        <v/>
      </c>
      <c r="CZ44" s="17" t="str">
        <f t="shared" si="78"/>
        <v/>
      </c>
      <c r="DA44" s="17" t="str">
        <f t="shared" si="78"/>
        <v/>
      </c>
      <c r="DB44" s="17" t="str">
        <f t="shared" si="78"/>
        <v/>
      </c>
      <c r="DC44" s="8"/>
      <c r="DD44" s="5">
        <f t="shared" si="27"/>
        <v>0</v>
      </c>
      <c r="DE44" s="17" t="str">
        <f t="shared" si="79"/>
        <v>-----</v>
      </c>
      <c r="DF44" s="5" t="str" cm="1">
        <f t="array" ref="DF44">_xlfn.IFS(DE44=CW44,CP44,DE44=CX44,CQ44,DE44=CY44,CR44,DE44=CZ44,CS44,DE44=DA44,CT44,DE44=DB44,CU44,TRUE,"----- ")</f>
        <v xml:space="preserve">----- </v>
      </c>
      <c r="DG44" s="5"/>
      <c r="DH44" s="5">
        <f t="shared" si="80"/>
        <v>-2.423265306122455E-3</v>
      </c>
      <c r="DI44" s="5">
        <f t="shared" si="167"/>
        <v>-3.7194805194805478E-4</v>
      </c>
      <c r="DJ44" s="5">
        <f t="shared" si="168"/>
        <v>-1.6402721088435472E-3</v>
      </c>
      <c r="DK44" s="5">
        <f t="shared" si="169"/>
        <v>7.6471243042669956E-4</v>
      </c>
      <c r="DL44" s="5">
        <f t="shared" si="170"/>
        <v>-2.3081014223875058E-4</v>
      </c>
      <c r="DM44" s="5">
        <f t="shared" si="171"/>
        <v>1.5802844774273381E-3</v>
      </c>
      <c r="DO44" s="5">
        <f t="shared" si="130"/>
        <v>-1.9079214597220278</v>
      </c>
      <c r="DP44" s="5">
        <f t="shared" si="131"/>
        <v>-0.29295343676527091</v>
      </c>
      <c r="DQ44" s="5">
        <f t="shared" si="132"/>
        <v>-1.2917022253843653</v>
      </c>
      <c r="DR44" s="5">
        <f t="shared" si="133"/>
        <v>0.60228527619529781</v>
      </c>
      <c r="DS44" s="5">
        <f t="shared" si="134"/>
        <v>-0.18179147971962978</v>
      </c>
      <c r="DT44" s="5">
        <f t="shared" si="135"/>
        <v>1.2444775446344229</v>
      </c>
      <c r="DV44" t="str" cm="1">
        <f t="array" ref="DV44">_xlfn.IFS(DO44&gt;3,"Strong + Slope",DO44&gt;1.5,"Moderate + Slope",DO44&gt;0.5,"Sideway + Slope",DO44&gt;=-0.5,"Sideway Flat",DO44&gt;=-1.5,"Sideway - Slope",DO44&gt;=-3,"Moderate - Slope",TRUE,"Strong - Slope")</f>
        <v>Moderate - Slope</v>
      </c>
      <c r="DW44" t="str" cm="1">
        <f t="array" ref="DW44">_xlfn.IFS(DP44&gt;3,"Strong + Slope",DP44&gt;1.5,"Moderate + Slope",DP44&gt;0.5,"Sideway + Slope",DP44&gt;=-0.5,"Sideway Flat",DP44&gt;=-1.5,"Sideway - Slope",DP44&gt;=-3,"Moderate - Slope",TRUE,"Strong - Slope")</f>
        <v>Sideway Flat</v>
      </c>
      <c r="DX44" t="str" cm="1">
        <f t="array" ref="DX44">_xlfn.IFS(DQ44&gt;3,"Strong + Slope",DQ44&gt;1.5,"Moderate + Slope",DQ44&gt;0.5,"Sideway + Slope",DQ44&gt;=-0.5,"Sideway Flat",DQ44&gt;=-1.5,"Sideway - Slope",DQ44&gt;=-3,"Moderate - Slope",TRUE,"Strong - Slope")</f>
        <v>Sideway - Slope</v>
      </c>
      <c r="DY44" t="str" cm="1">
        <f t="array" ref="DY44">_xlfn.IFS(DR44&gt;3,"Strong + Slope",DR44&gt;1.5,"Moderate + Slope",DR44&gt;0.5,"Sideway + Slope",DR44&gt;=-0.5,"Sideway Flat",DR44&gt;=-1.5,"Sideway - Slope",DR44&gt;=-3,"Moderate - Slope",TRUE,"Strong - Slope")</f>
        <v>Sideway + Slope</v>
      </c>
      <c r="DZ44" t="str" cm="1">
        <f t="array" ref="DZ44">_xlfn.IFS(DS44&gt;3,"Strong + Slope",DS44&gt;1.5,"Moderate + Slope",DS44&gt;0.5,"Sideway + Slope",DS44&gt;=-0.5,"Sideway Flat",DS44&gt;=-1.5,"Sideway - Slope",DS44&gt;=-3,"Moderate - Slope",TRUE,"Strong - Slope")</f>
        <v>Sideway Flat</v>
      </c>
      <c r="EA44" t="str" cm="1">
        <f t="array" ref="EA44">_xlfn.IFS(DT44&gt;3,"Strong + Slope",DT44&gt;1.5,"Moderate + Slope",DT44&gt;0.5,"Sideway + Slope",DT44&gt;=-0.5,"Sideway Flat",DT44&gt;=-1.5,"Sideway - Slope",DT44&gt;=-3,"Moderate - Slope",TRUE,"Strong - Slope")</f>
        <v>Sideway + Slope</v>
      </c>
      <c r="EB44" s="5"/>
      <c r="EC44" s="5">
        <f t="shared" si="136"/>
        <v>2</v>
      </c>
      <c r="ED44" s="5">
        <f t="shared" si="137"/>
        <v>3</v>
      </c>
      <c r="EE44" s="5">
        <f t="shared" si="138"/>
        <v>1</v>
      </c>
      <c r="EF44" s="5">
        <f t="shared" si="139"/>
        <v>6</v>
      </c>
      <c r="EG44" s="5">
        <f t="shared" si="140"/>
        <v>5</v>
      </c>
      <c r="EH44" s="5">
        <f t="shared" si="141"/>
        <v>4</v>
      </c>
      <c r="EI44" s="5"/>
      <c r="EJ44" s="5" t="str">
        <f t="shared" si="142"/>
        <v>RES</v>
      </c>
      <c r="EK44" s="5" t="str">
        <f t="shared" si="143"/>
        <v>RES</v>
      </c>
      <c r="EL44" s="5" t="str">
        <f t="shared" si="144"/>
        <v>RES</v>
      </c>
      <c r="EM44" s="5" t="str">
        <f t="shared" si="145"/>
        <v>SUP</v>
      </c>
      <c r="EN44" s="5" t="str">
        <f t="shared" si="146"/>
        <v>SUP</v>
      </c>
      <c r="EO44" s="5" t="str">
        <f t="shared" si="147"/>
        <v>RES</v>
      </c>
      <c r="EP44" s="5"/>
      <c r="EQ44" s="8">
        <f t="shared" si="148"/>
        <v>1.0079193664506601E-3</v>
      </c>
      <c r="ER44" s="8">
        <f t="shared" si="149"/>
        <v>7.0030761175469156E-4</v>
      </c>
      <c r="ES44" s="8">
        <f t="shared" si="150"/>
        <v>2.7292362065580314E-3</v>
      </c>
      <c r="ET44" s="8">
        <f t="shared" si="151"/>
        <v>-1.3089861901956191E-3</v>
      </c>
      <c r="EU44" s="8">
        <f t="shared" si="152"/>
        <v>-1.2828064663917662E-3</v>
      </c>
      <c r="EV44" s="8">
        <f t="shared" si="153"/>
        <v>2.6179723803927262E-4</v>
      </c>
      <c r="EW44" s="8"/>
      <c r="EX44" s="8">
        <f t="shared" si="154"/>
        <v>0.32414910858993806</v>
      </c>
      <c r="EY44" s="9">
        <f t="shared" si="54"/>
        <v>4</v>
      </c>
      <c r="EZ44" s="10">
        <f t="shared" si="55"/>
        <v>2</v>
      </c>
      <c r="FA44" s="8">
        <f t="shared" si="86"/>
        <v>2.7292362065580314E-3</v>
      </c>
      <c r="FB44" s="8">
        <f t="shared" si="87"/>
        <v>1.0079193664506601E-3</v>
      </c>
      <c r="FC44" s="8">
        <f t="shared" si="88"/>
        <v>7.0030761175469156E-4</v>
      </c>
      <c r="FD44" s="8">
        <f t="shared" si="89"/>
        <v>2.6179723803927262E-4</v>
      </c>
      <c r="FE44" s="8">
        <f t="shared" si="90"/>
        <v>-1.2828064663917662E-3</v>
      </c>
      <c r="FF44" s="8">
        <f t="shared" si="91"/>
        <v>-1.3089861901956191E-3</v>
      </c>
      <c r="FG44" s="5"/>
      <c r="FH44" s="5" t="str">
        <f t="shared" si="155"/>
        <v>-----</v>
      </c>
      <c r="FI44" s="5" t="str">
        <f t="shared" si="92"/>
        <v>Flat Momentum</v>
      </c>
      <c r="FJ44" s="5"/>
      <c r="FK44" s="5" t="str">
        <f t="shared" si="93"/>
        <v>-----</v>
      </c>
      <c r="FL44" s="5" t="str">
        <f t="shared" si="94"/>
        <v>-----</v>
      </c>
      <c r="FM44" s="5"/>
      <c r="FN44" s="5"/>
      <c r="FO44" s="8" t="str">
        <f t="shared" si="113"/>
        <v>Bearish</v>
      </c>
      <c r="FP44" s="8"/>
      <c r="FQ44" s="14">
        <f t="shared" si="156"/>
        <v>-7.3874074122499923E-4</v>
      </c>
      <c r="FR44" s="14">
        <f t="shared" si="58"/>
        <v>-0.83188188034640054</v>
      </c>
      <c r="FS44" s="14" t="str">
        <f t="shared" si="59"/>
        <v>-----</v>
      </c>
      <c r="FT44" s="14" t="str">
        <f t="shared" si="157"/>
        <v>Bearish</v>
      </c>
      <c r="FU44" s="5" t="str">
        <f t="shared" si="172"/>
        <v>TEMA crossover</v>
      </c>
      <c r="FV44" s="5" t="str">
        <f t="shared" si="173"/>
        <v>-----</v>
      </c>
      <c r="FW44" s="5"/>
      <c r="FX44" s="15" t="str">
        <f t="shared" si="116"/>
        <v>YES</v>
      </c>
      <c r="FY44" s="15" t="str">
        <f t="shared" si="117"/>
        <v>-----</v>
      </c>
      <c r="FZ44" s="15" t="str">
        <f t="shared" si="118"/>
        <v>-----</v>
      </c>
      <c r="GA44" s="15" t="str">
        <f t="shared" si="119"/>
        <v>YES</v>
      </c>
      <c r="GB44" s="16" t="str">
        <f t="shared" si="107"/>
        <v>-----</v>
      </c>
      <c r="GC44" s="16" t="str">
        <f t="shared" si="108"/>
        <v>-----</v>
      </c>
      <c r="GD44" s="16" t="str">
        <f t="shared" si="109"/>
        <v>YES</v>
      </c>
      <c r="GE44" s="16" t="str">
        <f t="shared" si="112"/>
        <v>YES</v>
      </c>
      <c r="GF44" s="15" t="str">
        <f t="shared" si="110"/>
        <v>-----</v>
      </c>
      <c r="GG44" s="16" t="str">
        <f t="shared" si="120"/>
        <v>-----</v>
      </c>
      <c r="GH44" s="14"/>
      <c r="GI44" s="5" t="str">
        <f t="shared" si="158"/>
        <v>-----</v>
      </c>
      <c r="GJ44" s="5" t="str">
        <f t="shared" si="159"/>
        <v>-----</v>
      </c>
      <c r="GK44" s="5"/>
      <c r="GL44" s="5" t="str">
        <f t="shared" si="160"/>
        <v>-----</v>
      </c>
      <c r="GM44" s="5" t="str">
        <f t="shared" si="161"/>
        <v>-----</v>
      </c>
      <c r="GN44" s="5"/>
      <c r="GO44" s="12">
        <f t="shared" si="162"/>
        <v>6.6000000000002501E-2</v>
      </c>
      <c r="GP44" s="5">
        <f t="shared" si="97"/>
        <v>-0.22534961051119806</v>
      </c>
      <c r="GQ44" s="13" t="str">
        <f t="shared" si="98"/>
        <v>-----</v>
      </c>
      <c r="GR44" s="5"/>
      <c r="GS44">
        <f t="shared" si="99"/>
        <v>0.29397582040318837</v>
      </c>
      <c r="GT44" s="5" t="str">
        <f t="shared" si="100"/>
        <v>-----</v>
      </c>
    </row>
    <row r="45" spans="1:202" x14ac:dyDescent="0.55000000000000004">
      <c r="A45">
        <v>41</v>
      </c>
      <c r="B45" t="s">
        <v>44</v>
      </c>
      <c r="C45" t="s">
        <v>4</v>
      </c>
      <c r="D45" t="s">
        <v>103</v>
      </c>
      <c r="E45">
        <v>152.78899999999999</v>
      </c>
      <c r="F45">
        <v>152.79900000000001</v>
      </c>
      <c r="G45">
        <v>152.76599999999999</v>
      </c>
      <c r="H45">
        <v>152.78899999999999</v>
      </c>
      <c r="I45">
        <v>254</v>
      </c>
      <c r="J45">
        <v>152.941</v>
      </c>
      <c r="K45">
        <v>152.89599999999999</v>
      </c>
      <c r="L45">
        <v>153.20500000000001</v>
      </c>
      <c r="M45">
        <v>152.59100000000001</v>
      </c>
      <c r="N45">
        <v>152.59399999999999</v>
      </c>
      <c r="O45">
        <v>152.83099999999999</v>
      </c>
      <c r="P45">
        <v>0</v>
      </c>
      <c r="Q45">
        <v>0</v>
      </c>
      <c r="R45">
        <v>0</v>
      </c>
      <c r="S45">
        <v>0</v>
      </c>
      <c r="T45">
        <v>0</v>
      </c>
      <c r="U45">
        <v>1.0903700000000001</v>
      </c>
      <c r="V45">
        <v>0</v>
      </c>
      <c r="W45">
        <v>153.30107000000001</v>
      </c>
      <c r="X45">
        <v>153.21630999999999</v>
      </c>
      <c r="Y45">
        <v>153.13155</v>
      </c>
      <c r="Z45">
        <v>153.04678999999999</v>
      </c>
      <c r="AA45">
        <v>152.96203</v>
      </c>
      <c r="AB45">
        <v>152.85846000000001</v>
      </c>
      <c r="AC45">
        <v>152.77370999999999</v>
      </c>
      <c r="AD45">
        <v>152.68895000000001</v>
      </c>
      <c r="AE45">
        <v>152.60418999999999</v>
      </c>
      <c r="AF45">
        <v>152.51943</v>
      </c>
      <c r="AG45">
        <v>152.75299999999999</v>
      </c>
      <c r="AH45">
        <v>152.82499999999999</v>
      </c>
      <c r="AI45">
        <v>152.94999999999999</v>
      </c>
      <c r="AJ45">
        <v>153.096</v>
      </c>
      <c r="AK45">
        <v>152.774</v>
      </c>
      <c r="AL45">
        <v>152.72800000000001</v>
      </c>
      <c r="AM45" s="11">
        <f t="shared" si="0"/>
        <v>3.3000000000015461E-2</v>
      </c>
      <c r="AN45" s="11">
        <f t="shared" si="66"/>
        <v>9.0000000000145519E-3</v>
      </c>
      <c r="AO45" s="11">
        <f t="shared" si="163"/>
        <v>2.4000000000000909E-2</v>
      </c>
      <c r="AP45" s="11">
        <f t="shared" si="164"/>
        <v>3.3000000000015461E-2</v>
      </c>
      <c r="AR45" s="5" t="str">
        <f t="shared" si="121"/>
        <v>------</v>
      </c>
      <c r="AS45" s="5" t="str">
        <f t="shared" si="122"/>
        <v>------</v>
      </c>
      <c r="AT45" t="str">
        <f t="shared" si="123"/>
        <v/>
      </c>
      <c r="AV45" s="2">
        <f t="shared" si="4"/>
        <v>152.96394115000001</v>
      </c>
      <c r="AW45" s="2">
        <f t="shared" si="5"/>
        <v>152.91805884999999</v>
      </c>
      <c r="AX45" s="2">
        <f t="shared" si="6"/>
        <v>152.91893440000001</v>
      </c>
      <c r="AY45" s="2">
        <f t="shared" si="7"/>
        <v>152.87306559999999</v>
      </c>
      <c r="AZ45" s="2">
        <f t="shared" si="8"/>
        <v>153.22798075000003</v>
      </c>
      <c r="BA45" s="2">
        <f t="shared" si="9"/>
        <v>153.18201925000002</v>
      </c>
      <c r="BB45" s="2">
        <f t="shared" si="10"/>
        <v>152.61388865000004</v>
      </c>
      <c r="BC45" s="2">
        <f t="shared" si="11"/>
        <v>152.56811135000001</v>
      </c>
      <c r="BD45" s="2">
        <f t="shared" si="12"/>
        <v>152.61688910000001</v>
      </c>
      <c r="BE45" s="2">
        <f t="shared" si="13"/>
        <v>152.57111090000001</v>
      </c>
      <c r="BF45" s="2">
        <f t="shared" si="14"/>
        <v>152.85392465000001</v>
      </c>
      <c r="BG45" s="2">
        <f t="shared" si="15"/>
        <v>152.80807535</v>
      </c>
      <c r="BI45" s="5" t="str">
        <f t="shared" si="69"/>
        <v>-----</v>
      </c>
      <c r="BJ45" s="5" t="str">
        <f t="shared" si="70"/>
        <v>-----</v>
      </c>
      <c r="BK45" s="5" t="str">
        <f t="shared" si="71"/>
        <v>-----</v>
      </c>
      <c r="BL45" s="5" t="str">
        <f t="shared" si="72"/>
        <v>-----</v>
      </c>
      <c r="BM45" s="5" t="str">
        <f t="shared" si="73"/>
        <v>-----</v>
      </c>
      <c r="BN45" s="5" t="str">
        <f t="shared" si="74"/>
        <v>-----</v>
      </c>
      <c r="BO45" s="5"/>
      <c r="BP45" s="5">
        <f t="shared" si="165"/>
        <v>8</v>
      </c>
      <c r="BQ45" s="5">
        <f t="shared" si="165"/>
        <v>4</v>
      </c>
      <c r="BR45" s="5">
        <f t="shared" si="165"/>
        <v>39</v>
      </c>
      <c r="BS45" s="5">
        <f t="shared" si="165"/>
        <v>41</v>
      </c>
      <c r="BT45" s="5">
        <f t="shared" si="165"/>
        <v>41</v>
      </c>
      <c r="BU45" s="5">
        <f t="shared" si="165"/>
        <v>2</v>
      </c>
      <c r="BV45" s="5">
        <f t="shared" si="166"/>
        <v>1</v>
      </c>
      <c r="BW45" s="5">
        <f t="shared" si="166"/>
        <v>4</v>
      </c>
      <c r="BX45" s="5">
        <f t="shared" si="166"/>
        <v>2</v>
      </c>
      <c r="BY45" s="5">
        <f t="shared" si="166"/>
        <v>0</v>
      </c>
      <c r="BZ45" s="5">
        <f t="shared" si="166"/>
        <v>0</v>
      </c>
      <c r="CA45" s="5">
        <f t="shared" si="166"/>
        <v>3</v>
      </c>
      <c r="CB45" s="5" t="str">
        <f t="shared" si="102"/>
        <v>-----</v>
      </c>
      <c r="CC45" s="5" t="str">
        <f t="shared" si="101"/>
        <v>-----</v>
      </c>
      <c r="CD45" s="5" t="str">
        <f t="shared" si="101"/>
        <v>-----</v>
      </c>
      <c r="CE45" s="5" t="str">
        <f t="shared" si="101"/>
        <v>-----</v>
      </c>
      <c r="CF45" s="5" t="str">
        <f t="shared" si="101"/>
        <v>-----</v>
      </c>
      <c r="CG45" s="5" t="str">
        <f t="shared" si="101"/>
        <v>-----</v>
      </c>
      <c r="CH45" s="5"/>
      <c r="CI45" s="17" t="str">
        <f t="shared" si="124"/>
        <v>-----</v>
      </c>
      <c r="CJ45" s="17" t="str">
        <f t="shared" si="125"/>
        <v>-----</v>
      </c>
      <c r="CK45" s="17" t="str">
        <f t="shared" si="126"/>
        <v>-----</v>
      </c>
      <c r="CL45" s="17" t="str">
        <f t="shared" si="127"/>
        <v>-----</v>
      </c>
      <c r="CM45" s="17" t="str">
        <f t="shared" si="128"/>
        <v>-----</v>
      </c>
      <c r="CN45" s="17" t="str">
        <f t="shared" si="129"/>
        <v>-----</v>
      </c>
      <c r="CO45" s="5"/>
      <c r="CP45" s="5" t="str">
        <f t="shared" si="77"/>
        <v>-----</v>
      </c>
      <c r="CQ45" s="5" t="str">
        <f t="shared" si="77"/>
        <v>-----</v>
      </c>
      <c r="CR45" s="5" t="str">
        <f t="shared" si="77"/>
        <v>-----</v>
      </c>
      <c r="CS45" s="5" t="str">
        <f t="shared" si="77"/>
        <v>-----</v>
      </c>
      <c r="CT45" s="5" t="str">
        <f t="shared" si="77"/>
        <v>-----</v>
      </c>
      <c r="CU45" s="5" t="str">
        <f t="shared" si="77"/>
        <v>-----</v>
      </c>
      <c r="CV45" s="5"/>
      <c r="CW45" s="17" t="str">
        <f t="shared" si="78"/>
        <v/>
      </c>
      <c r="CX45" s="17" t="str">
        <f t="shared" si="78"/>
        <v/>
      </c>
      <c r="CY45" s="17" t="str">
        <f t="shared" si="78"/>
        <v/>
      </c>
      <c r="CZ45" s="17" t="str">
        <f t="shared" si="78"/>
        <v/>
      </c>
      <c r="DA45" s="17" t="str">
        <f t="shared" si="78"/>
        <v/>
      </c>
      <c r="DB45" s="17" t="str">
        <f t="shared" si="78"/>
        <v/>
      </c>
      <c r="DC45" s="8"/>
      <c r="DD45" s="5">
        <f t="shared" si="27"/>
        <v>0</v>
      </c>
      <c r="DE45" s="17" t="str">
        <f t="shared" si="79"/>
        <v>-----</v>
      </c>
      <c r="DF45" s="5" t="str" cm="1">
        <f t="array" ref="DF45">_xlfn.IFS(DE45=CW45,CP45,DE45=CX45,CQ45,DE45=CY45,CR45,DE45=CZ45,CS45,DE45=DA45,CT45,DE45=DB45,CU45,TRUE,"----- ")</f>
        <v xml:space="preserve">----- </v>
      </c>
      <c r="DG45" s="5"/>
      <c r="DH45" s="5">
        <f t="shared" si="80"/>
        <v>-2.423265306122455E-3</v>
      </c>
      <c r="DI45" s="5">
        <f t="shared" si="167"/>
        <v>-3.7194805194805478E-4</v>
      </c>
      <c r="DJ45" s="5">
        <f t="shared" si="168"/>
        <v>-1.6402721088435472E-3</v>
      </c>
      <c r="DK45" s="5">
        <f t="shared" si="169"/>
        <v>7.6471243042669956E-4</v>
      </c>
      <c r="DL45" s="5">
        <f t="shared" si="170"/>
        <v>-2.3081014223875058E-4</v>
      </c>
      <c r="DM45" s="5">
        <f t="shared" si="171"/>
        <v>1.5802844774273381E-3</v>
      </c>
      <c r="DO45" s="5">
        <f t="shared" si="130"/>
        <v>-1.9079214597220278</v>
      </c>
      <c r="DP45" s="5">
        <f t="shared" si="131"/>
        <v>-0.29295343676527091</v>
      </c>
      <c r="DQ45" s="5">
        <f t="shared" si="132"/>
        <v>-1.2917022253843653</v>
      </c>
      <c r="DR45" s="5">
        <f t="shared" si="133"/>
        <v>0.60228527619529781</v>
      </c>
      <c r="DS45" s="5">
        <f t="shared" si="134"/>
        <v>-0.18179147971962978</v>
      </c>
      <c r="DT45" s="5">
        <f t="shared" si="135"/>
        <v>1.2444775446344229</v>
      </c>
      <c r="DV45" t="str" cm="1">
        <f t="array" ref="DV45">_xlfn.IFS(DO45&gt;3,"Strong + Slope",DO45&gt;1.5,"Moderate + Slope",DO45&gt;0.5,"Sideway + Slope",DO45&gt;=-0.5,"Sideway Flat",DO45&gt;=-1.5,"Sideway - Slope",DO45&gt;=-3,"Moderate - Slope",TRUE,"Strong - Slope")</f>
        <v>Moderate - Slope</v>
      </c>
      <c r="DW45" t="str" cm="1">
        <f t="array" ref="DW45">_xlfn.IFS(DP45&gt;3,"Strong + Slope",DP45&gt;1.5,"Moderate + Slope",DP45&gt;0.5,"Sideway + Slope",DP45&gt;=-0.5,"Sideway Flat",DP45&gt;=-1.5,"Sideway - Slope",DP45&gt;=-3,"Moderate - Slope",TRUE,"Strong - Slope")</f>
        <v>Sideway Flat</v>
      </c>
      <c r="DX45" t="str" cm="1">
        <f t="array" ref="DX45">_xlfn.IFS(DQ45&gt;3,"Strong + Slope",DQ45&gt;1.5,"Moderate + Slope",DQ45&gt;0.5,"Sideway + Slope",DQ45&gt;=-0.5,"Sideway Flat",DQ45&gt;=-1.5,"Sideway - Slope",DQ45&gt;=-3,"Moderate - Slope",TRUE,"Strong - Slope")</f>
        <v>Sideway - Slope</v>
      </c>
      <c r="DY45" t="str" cm="1">
        <f t="array" ref="DY45">_xlfn.IFS(DR45&gt;3,"Strong + Slope",DR45&gt;1.5,"Moderate + Slope",DR45&gt;0.5,"Sideway + Slope",DR45&gt;=-0.5,"Sideway Flat",DR45&gt;=-1.5,"Sideway - Slope",DR45&gt;=-3,"Moderate - Slope",TRUE,"Strong - Slope")</f>
        <v>Sideway + Slope</v>
      </c>
      <c r="DZ45" t="str" cm="1">
        <f t="array" ref="DZ45">_xlfn.IFS(DS45&gt;3,"Strong + Slope",DS45&gt;1.5,"Moderate + Slope",DS45&gt;0.5,"Sideway + Slope",DS45&gt;=-0.5,"Sideway Flat",DS45&gt;=-1.5,"Sideway - Slope",DS45&gt;=-3,"Moderate - Slope",TRUE,"Strong - Slope")</f>
        <v>Sideway Flat</v>
      </c>
      <c r="EA45" t="str" cm="1">
        <f t="array" ref="EA45">_xlfn.IFS(DT45&gt;3,"Strong + Slope",DT45&gt;1.5,"Moderate + Slope",DT45&gt;0.5,"Sideway + Slope",DT45&gt;=-0.5,"Sideway Flat",DT45&gt;=-1.5,"Sideway - Slope",DT45&gt;=-3,"Moderate - Slope",TRUE,"Strong - Slope")</f>
        <v>Sideway + Slope</v>
      </c>
      <c r="EB45" s="5"/>
      <c r="EC45" s="5">
        <f t="shared" si="136"/>
        <v>2</v>
      </c>
      <c r="ED45" s="5">
        <f t="shared" si="137"/>
        <v>3</v>
      </c>
      <c r="EE45" s="5">
        <f t="shared" si="138"/>
        <v>1</v>
      </c>
      <c r="EF45" s="5">
        <f t="shared" si="139"/>
        <v>6</v>
      </c>
      <c r="EG45" s="5">
        <f t="shared" si="140"/>
        <v>5</v>
      </c>
      <c r="EH45" s="5">
        <f t="shared" si="141"/>
        <v>4</v>
      </c>
      <c r="EI45" s="5"/>
      <c r="EJ45" s="5" t="str">
        <f t="shared" si="142"/>
        <v>RES</v>
      </c>
      <c r="EK45" s="5" t="str">
        <f t="shared" si="143"/>
        <v>RES</v>
      </c>
      <c r="EL45" s="5" t="str">
        <f t="shared" si="144"/>
        <v>RES</v>
      </c>
      <c r="EM45" s="5" t="str">
        <f t="shared" si="145"/>
        <v>SUP</v>
      </c>
      <c r="EN45" s="5" t="str">
        <f t="shared" si="146"/>
        <v>SUP</v>
      </c>
      <c r="EO45" s="5" t="str">
        <f t="shared" si="147"/>
        <v>RES</v>
      </c>
      <c r="EP45" s="5"/>
      <c r="EQ45" s="8">
        <f t="shared" si="148"/>
        <v>9.9483601568185688E-4</v>
      </c>
      <c r="ER45" s="8">
        <f t="shared" si="149"/>
        <v>7.003121952496536E-4</v>
      </c>
      <c r="ES45" s="8">
        <f t="shared" si="150"/>
        <v>2.7227090955502377E-3</v>
      </c>
      <c r="ET45" s="8">
        <f t="shared" si="151"/>
        <v>-1.2959048099010996E-3</v>
      </c>
      <c r="EU45" s="8">
        <f t="shared" si="152"/>
        <v>-1.2762698885390518E-3</v>
      </c>
      <c r="EV45" s="8">
        <f t="shared" si="153"/>
        <v>2.7488889906996967E-4</v>
      </c>
      <c r="EW45" s="8"/>
      <c r="EX45" s="8">
        <f t="shared" si="154"/>
        <v>0.32247557003253696</v>
      </c>
      <c r="EY45" s="9">
        <f t="shared" si="54"/>
        <v>4</v>
      </c>
      <c r="EZ45" s="10">
        <f t="shared" si="55"/>
        <v>2</v>
      </c>
      <c r="FA45" s="8">
        <f t="shared" si="86"/>
        <v>2.7227090955502377E-3</v>
      </c>
      <c r="FB45" s="8">
        <f t="shared" si="87"/>
        <v>9.9483601568185688E-4</v>
      </c>
      <c r="FC45" s="8">
        <f t="shared" si="88"/>
        <v>7.003121952496536E-4</v>
      </c>
      <c r="FD45" s="8">
        <f t="shared" si="89"/>
        <v>2.7488889906996967E-4</v>
      </c>
      <c r="FE45" s="8">
        <f t="shared" si="90"/>
        <v>-1.2762698885390518E-3</v>
      </c>
      <c r="FF45" s="8">
        <f t="shared" si="91"/>
        <v>-1.2959048099010996E-3</v>
      </c>
      <c r="FG45" s="5"/>
      <c r="FH45" s="5" t="str">
        <f t="shared" si="155"/>
        <v>-----</v>
      </c>
      <c r="FI45" s="5" t="str">
        <f t="shared" si="92"/>
        <v>Flat Momentum</v>
      </c>
      <c r="FJ45" s="5"/>
      <c r="FK45" s="5" t="str">
        <f t="shared" si="93"/>
        <v>-----</v>
      </c>
      <c r="FL45" s="5" t="str">
        <f t="shared" si="94"/>
        <v>-----</v>
      </c>
      <c r="FM45" s="5"/>
      <c r="FN45" s="5"/>
      <c r="FO45" s="8" t="str">
        <f t="shared" si="113"/>
        <v>Bearish</v>
      </c>
      <c r="FP45" s="8"/>
      <c r="FQ45" s="14">
        <f t="shared" si="156"/>
        <v>-8.1726054266100044E-4</v>
      </c>
      <c r="FR45" s="14">
        <f t="shared" si="58"/>
        <v>-1.0583371317345263</v>
      </c>
      <c r="FS45" s="14" t="str">
        <f t="shared" si="59"/>
        <v>-----</v>
      </c>
      <c r="FT45" s="14" t="str">
        <f t="shared" si="157"/>
        <v>Bearish</v>
      </c>
      <c r="FU45" s="5" t="str">
        <f t="shared" si="172"/>
        <v>-----</v>
      </c>
      <c r="FV45" s="5" t="str">
        <f t="shared" si="173"/>
        <v>-----</v>
      </c>
      <c r="FW45" s="5"/>
      <c r="FX45" s="15" t="str">
        <f t="shared" si="116"/>
        <v>YES</v>
      </c>
      <c r="FY45" s="15" t="str">
        <f t="shared" si="117"/>
        <v>-----</v>
      </c>
      <c r="FZ45" s="15" t="str">
        <f t="shared" si="118"/>
        <v>-----</v>
      </c>
      <c r="GA45" s="15" t="str">
        <f t="shared" si="119"/>
        <v>YES</v>
      </c>
      <c r="GB45" s="16" t="str">
        <f t="shared" si="107"/>
        <v>-----</v>
      </c>
      <c r="GC45" s="16" t="str">
        <f t="shared" si="108"/>
        <v>-----</v>
      </c>
      <c r="GD45" s="16" t="str">
        <f t="shared" si="109"/>
        <v>YES</v>
      </c>
      <c r="GE45" s="16" t="str">
        <f t="shared" si="112"/>
        <v>YES</v>
      </c>
      <c r="GF45" s="15" t="str">
        <f t="shared" si="110"/>
        <v>-----</v>
      </c>
      <c r="GG45" s="16" t="str">
        <f t="shared" si="120"/>
        <v>-----</v>
      </c>
      <c r="GH45" s="14"/>
      <c r="GI45" s="5" t="str">
        <f t="shared" si="158"/>
        <v>-----</v>
      </c>
      <c r="GJ45" s="5" t="str">
        <f t="shared" si="159"/>
        <v>-----</v>
      </c>
      <c r="GK45" s="5"/>
      <c r="GL45" s="5" t="str">
        <f t="shared" si="160"/>
        <v>-----</v>
      </c>
      <c r="GM45" s="5" t="str">
        <f t="shared" si="161"/>
        <v>-----</v>
      </c>
      <c r="GN45" s="5"/>
      <c r="GO45" s="12">
        <f t="shared" si="162"/>
        <v>4.5999999999992269E-2</v>
      </c>
      <c r="GP45" s="5">
        <f t="shared" si="97"/>
        <v>-0.68629199564799381</v>
      </c>
      <c r="GQ45" s="13" t="str">
        <f t="shared" si="98"/>
        <v>-----</v>
      </c>
      <c r="GR45" s="5"/>
      <c r="GS45">
        <f t="shared" si="99"/>
        <v>-0.22227440079265476</v>
      </c>
      <c r="GT45" s="5" t="str">
        <f t="shared" si="100"/>
        <v>-----</v>
      </c>
    </row>
    <row r="46" spans="1:202" x14ac:dyDescent="0.55000000000000004">
      <c r="A46">
        <v>42</v>
      </c>
      <c r="B46" t="s">
        <v>45</v>
      </c>
      <c r="C46" t="s">
        <v>4</v>
      </c>
      <c r="D46" t="s">
        <v>103</v>
      </c>
      <c r="E46">
        <v>152.78899999999999</v>
      </c>
      <c r="F46">
        <v>152.79599999999999</v>
      </c>
      <c r="G46">
        <v>152.72999999999999</v>
      </c>
      <c r="H46">
        <v>152.75</v>
      </c>
      <c r="I46">
        <v>218</v>
      </c>
      <c r="J46">
        <v>152.93899999999999</v>
      </c>
      <c r="K46">
        <v>152.89599999999999</v>
      </c>
      <c r="L46">
        <v>153.20400000000001</v>
      </c>
      <c r="M46">
        <v>152.59100000000001</v>
      </c>
      <c r="N46">
        <v>152.59299999999999</v>
      </c>
      <c r="O46">
        <v>152.833</v>
      </c>
      <c r="P46">
        <v>0</v>
      </c>
      <c r="Q46">
        <v>0</v>
      </c>
      <c r="R46">
        <v>0</v>
      </c>
      <c r="S46">
        <v>0</v>
      </c>
      <c r="T46">
        <v>0</v>
      </c>
      <c r="U46">
        <v>0.20588999999999999</v>
      </c>
      <c r="V46">
        <v>3</v>
      </c>
      <c r="W46">
        <v>153.28298000000001</v>
      </c>
      <c r="X46">
        <v>153.19832</v>
      </c>
      <c r="Y46">
        <v>153.11365000000001</v>
      </c>
      <c r="Z46">
        <v>153.02897999999999</v>
      </c>
      <c r="AA46">
        <v>152.94432</v>
      </c>
      <c r="AB46">
        <v>152.84425999999999</v>
      </c>
      <c r="AC46">
        <v>152.75959</v>
      </c>
      <c r="AD46">
        <v>152.67492999999999</v>
      </c>
      <c r="AE46">
        <v>152.59026</v>
      </c>
      <c r="AF46">
        <v>152.50559000000001</v>
      </c>
      <c r="AG46">
        <v>152.74</v>
      </c>
      <c r="AH46">
        <v>152.80199999999999</v>
      </c>
      <c r="AI46">
        <v>152.93600000000001</v>
      </c>
      <c r="AJ46">
        <v>153.08699999999999</v>
      </c>
      <c r="AK46">
        <v>152.76599999999999</v>
      </c>
      <c r="AL46">
        <v>152.715</v>
      </c>
      <c r="AM46" s="11">
        <f t="shared" si="0"/>
        <v>6.6000000000002501E-2</v>
      </c>
      <c r="AN46" s="11">
        <f t="shared" si="66"/>
        <v>7.0000000000050022E-3</v>
      </c>
      <c r="AO46" s="11">
        <f t="shared" si="163"/>
        <v>5.8999999999997499E-2</v>
      </c>
      <c r="AP46" s="11">
        <f t="shared" si="164"/>
        <v>6.6000000000002501E-2</v>
      </c>
      <c r="AR46" s="5" t="str">
        <f t="shared" si="121"/>
        <v>------</v>
      </c>
      <c r="AS46" s="5" t="str">
        <f t="shared" si="122"/>
        <v>------</v>
      </c>
      <c r="AT46" t="str">
        <f t="shared" si="123"/>
        <v/>
      </c>
      <c r="AV46" s="2">
        <f t="shared" si="4"/>
        <v>152.96194085000002</v>
      </c>
      <c r="AW46" s="2">
        <f t="shared" si="5"/>
        <v>152.91605915</v>
      </c>
      <c r="AX46" s="2">
        <f t="shared" si="6"/>
        <v>152.91893440000001</v>
      </c>
      <c r="AY46" s="2">
        <f t="shared" si="7"/>
        <v>152.87306559999999</v>
      </c>
      <c r="AZ46" s="2">
        <f t="shared" si="8"/>
        <v>153.22698060000002</v>
      </c>
      <c r="BA46" s="2">
        <f t="shared" si="9"/>
        <v>153.1810194</v>
      </c>
      <c r="BB46" s="2">
        <f t="shared" si="10"/>
        <v>152.61388865000004</v>
      </c>
      <c r="BC46" s="2">
        <f t="shared" si="11"/>
        <v>152.56811135000001</v>
      </c>
      <c r="BD46" s="2">
        <f t="shared" si="12"/>
        <v>152.61588895</v>
      </c>
      <c r="BE46" s="2">
        <f t="shared" si="13"/>
        <v>152.57011104999998</v>
      </c>
      <c r="BF46" s="2">
        <f t="shared" si="14"/>
        <v>152.85592495</v>
      </c>
      <c r="BG46" s="2">
        <f t="shared" si="15"/>
        <v>152.81007504999999</v>
      </c>
      <c r="BI46" s="5" t="str">
        <f t="shared" si="69"/>
        <v>-----</v>
      </c>
      <c r="BJ46" s="5" t="str">
        <f t="shared" si="70"/>
        <v>-----</v>
      </c>
      <c r="BK46" s="5" t="str">
        <f t="shared" si="71"/>
        <v>-----</v>
      </c>
      <c r="BL46" s="5" t="str">
        <f t="shared" si="72"/>
        <v>-----</v>
      </c>
      <c r="BM46" s="5" t="str">
        <f t="shared" si="73"/>
        <v>-----</v>
      </c>
      <c r="BN46" s="5" t="str">
        <f t="shared" si="74"/>
        <v>-----</v>
      </c>
      <c r="BO46" s="5"/>
      <c r="BP46" s="5">
        <f t="shared" si="165"/>
        <v>9</v>
      </c>
      <c r="BQ46" s="5">
        <f t="shared" si="165"/>
        <v>5</v>
      </c>
      <c r="BR46" s="5">
        <f t="shared" si="165"/>
        <v>40</v>
      </c>
      <c r="BS46" s="5">
        <f t="shared" si="165"/>
        <v>42</v>
      </c>
      <c r="BT46" s="5">
        <f t="shared" si="165"/>
        <v>42</v>
      </c>
      <c r="BU46" s="5">
        <f t="shared" si="165"/>
        <v>3</v>
      </c>
      <c r="BV46" s="5">
        <f t="shared" si="166"/>
        <v>1</v>
      </c>
      <c r="BW46" s="5">
        <f t="shared" si="166"/>
        <v>4</v>
      </c>
      <c r="BX46" s="5">
        <f t="shared" si="166"/>
        <v>2</v>
      </c>
      <c r="BY46" s="5">
        <f t="shared" si="166"/>
        <v>0</v>
      </c>
      <c r="BZ46" s="5">
        <f t="shared" si="166"/>
        <v>0</v>
      </c>
      <c r="CA46" s="5">
        <f t="shared" si="166"/>
        <v>3</v>
      </c>
      <c r="CB46" s="5" t="str">
        <f t="shared" si="102"/>
        <v>-----</v>
      </c>
      <c r="CC46" s="5" t="str">
        <f t="shared" si="101"/>
        <v>-----</v>
      </c>
      <c r="CD46" s="5" t="str">
        <f t="shared" si="101"/>
        <v>-----</v>
      </c>
      <c r="CE46" s="5" t="str">
        <f t="shared" si="101"/>
        <v>-----</v>
      </c>
      <c r="CF46" s="5" t="str">
        <f t="shared" si="101"/>
        <v>-----</v>
      </c>
      <c r="CG46" s="5" t="str">
        <f t="shared" si="101"/>
        <v>-----</v>
      </c>
      <c r="CH46" s="5"/>
      <c r="CI46" s="17" t="str">
        <f t="shared" si="124"/>
        <v>-----</v>
      </c>
      <c r="CJ46" s="17" t="str">
        <f t="shared" si="125"/>
        <v>-----</v>
      </c>
      <c r="CK46" s="17" t="str">
        <f t="shared" si="126"/>
        <v>-----</v>
      </c>
      <c r="CL46" s="17" t="str">
        <f t="shared" si="127"/>
        <v>-----</v>
      </c>
      <c r="CM46" s="17" t="str">
        <f t="shared" si="128"/>
        <v>-----</v>
      </c>
      <c r="CN46" s="17" t="str">
        <f t="shared" si="129"/>
        <v>-----</v>
      </c>
      <c r="CO46" s="5"/>
      <c r="CP46" s="5" t="str">
        <f t="shared" si="77"/>
        <v>-----</v>
      </c>
      <c r="CQ46" s="5" t="str">
        <f t="shared" si="77"/>
        <v>-----</v>
      </c>
      <c r="CR46" s="5" t="str">
        <f t="shared" si="77"/>
        <v>-----</v>
      </c>
      <c r="CS46" s="5" t="str">
        <f t="shared" si="77"/>
        <v>-----</v>
      </c>
      <c r="CT46" s="5" t="str">
        <f t="shared" si="77"/>
        <v>-----</v>
      </c>
      <c r="CU46" s="5" t="str">
        <f t="shared" si="77"/>
        <v>-----</v>
      </c>
      <c r="CV46" s="5"/>
      <c r="CW46" s="17" t="str">
        <f t="shared" si="78"/>
        <v/>
      </c>
      <c r="CX46" s="17" t="str">
        <f t="shared" si="78"/>
        <v/>
      </c>
      <c r="CY46" s="17" t="str">
        <f t="shared" si="78"/>
        <v/>
      </c>
      <c r="CZ46" s="17" t="str">
        <f t="shared" si="78"/>
        <v/>
      </c>
      <c r="DA46" s="17" t="str">
        <f t="shared" si="78"/>
        <v/>
      </c>
      <c r="DB46" s="17" t="str">
        <f t="shared" si="78"/>
        <v/>
      </c>
      <c r="DC46" s="8"/>
      <c r="DD46" s="5">
        <f t="shared" si="27"/>
        <v>0</v>
      </c>
      <c r="DE46" s="17" t="str">
        <f t="shared" si="79"/>
        <v>-----</v>
      </c>
      <c r="DF46" s="5" t="str" cm="1">
        <f t="array" ref="DF46">_xlfn.IFS(DE46=CW46,CP46,DE46=CX46,CQ46,DE46=CY46,CR46,DE46=CZ46,CS46,DE46=DA46,CT46,DE46=DB46,CU46,TRUE,"----- ")</f>
        <v xml:space="preserve">----- </v>
      </c>
      <c r="DG46" s="5"/>
      <c r="DH46" s="5">
        <f t="shared" si="80"/>
        <v>-2.423265306122455E-3</v>
      </c>
      <c r="DI46" s="5">
        <f t="shared" si="167"/>
        <v>-3.7194805194805478E-4</v>
      </c>
      <c r="DJ46" s="5">
        <f t="shared" si="168"/>
        <v>-1.6402721088435472E-3</v>
      </c>
      <c r="DK46" s="5">
        <f t="shared" si="169"/>
        <v>7.6471243042669956E-4</v>
      </c>
      <c r="DL46" s="5">
        <f t="shared" si="170"/>
        <v>-2.3081014223875058E-4</v>
      </c>
      <c r="DM46" s="5">
        <f t="shared" si="171"/>
        <v>1.5802844774273381E-3</v>
      </c>
      <c r="DO46" s="5">
        <f t="shared" si="130"/>
        <v>-1.9079214597220278</v>
      </c>
      <c r="DP46" s="5">
        <f t="shared" si="131"/>
        <v>-0.29295343676527091</v>
      </c>
      <c r="DQ46" s="5">
        <f t="shared" si="132"/>
        <v>-1.2917022253843653</v>
      </c>
      <c r="DR46" s="5">
        <f t="shared" si="133"/>
        <v>0.60228527619529781</v>
      </c>
      <c r="DS46" s="5">
        <f t="shared" si="134"/>
        <v>-0.18179147971962978</v>
      </c>
      <c r="DT46" s="5">
        <f t="shared" si="135"/>
        <v>1.2444775446344229</v>
      </c>
      <c r="DV46" t="str" cm="1">
        <f t="array" ref="DV46">_xlfn.IFS(DO46&gt;3,"Strong + Slope",DO46&gt;1.5,"Moderate + Slope",DO46&gt;0.5,"Sideway + Slope",DO46&gt;=-0.5,"Sideway Flat",DO46&gt;=-1.5,"Sideway - Slope",DO46&gt;=-3,"Moderate - Slope",TRUE,"Strong - Slope")</f>
        <v>Moderate - Slope</v>
      </c>
      <c r="DW46" t="str" cm="1">
        <f t="array" ref="DW46">_xlfn.IFS(DP46&gt;3,"Strong + Slope",DP46&gt;1.5,"Moderate + Slope",DP46&gt;0.5,"Sideway + Slope",DP46&gt;=-0.5,"Sideway Flat",DP46&gt;=-1.5,"Sideway - Slope",DP46&gt;=-3,"Moderate - Slope",TRUE,"Strong - Slope")</f>
        <v>Sideway Flat</v>
      </c>
      <c r="DX46" t="str" cm="1">
        <f t="array" ref="DX46">_xlfn.IFS(DQ46&gt;3,"Strong + Slope",DQ46&gt;1.5,"Moderate + Slope",DQ46&gt;0.5,"Sideway + Slope",DQ46&gt;=-0.5,"Sideway Flat",DQ46&gt;=-1.5,"Sideway - Slope",DQ46&gt;=-3,"Moderate - Slope",TRUE,"Strong - Slope")</f>
        <v>Sideway - Slope</v>
      </c>
      <c r="DY46" t="str" cm="1">
        <f t="array" ref="DY46">_xlfn.IFS(DR46&gt;3,"Strong + Slope",DR46&gt;1.5,"Moderate + Slope",DR46&gt;0.5,"Sideway + Slope",DR46&gt;=-0.5,"Sideway Flat",DR46&gt;=-1.5,"Sideway - Slope",DR46&gt;=-3,"Moderate - Slope",TRUE,"Strong - Slope")</f>
        <v>Sideway + Slope</v>
      </c>
      <c r="DZ46" t="str" cm="1">
        <f t="array" ref="DZ46">_xlfn.IFS(DS46&gt;3,"Strong + Slope",DS46&gt;1.5,"Moderate + Slope",DS46&gt;0.5,"Sideway + Slope",DS46&gt;=-0.5,"Sideway Flat",DS46&gt;=-1.5,"Sideway - Slope",DS46&gt;=-3,"Moderate - Slope",TRUE,"Strong - Slope")</f>
        <v>Sideway Flat</v>
      </c>
      <c r="EA46" t="str" cm="1">
        <f t="array" ref="EA46">_xlfn.IFS(DT46&gt;3,"Strong + Slope",DT46&gt;1.5,"Moderate + Slope",DT46&gt;0.5,"Sideway + Slope",DT46&gt;=-0.5,"Sideway Flat",DT46&gt;=-1.5,"Sideway - Slope",DT46&gt;=-3,"Moderate - Slope",TRUE,"Strong - Slope")</f>
        <v>Sideway + Slope</v>
      </c>
      <c r="EB46" s="5"/>
      <c r="EC46" s="5">
        <f t="shared" si="136"/>
        <v>2</v>
      </c>
      <c r="ED46" s="5">
        <f t="shared" si="137"/>
        <v>3</v>
      </c>
      <c r="EE46" s="5">
        <f t="shared" si="138"/>
        <v>1</v>
      </c>
      <c r="EF46" s="5">
        <f t="shared" si="139"/>
        <v>6</v>
      </c>
      <c r="EG46" s="5">
        <f t="shared" si="140"/>
        <v>5</v>
      </c>
      <c r="EH46" s="5">
        <f t="shared" si="141"/>
        <v>4</v>
      </c>
      <c r="EI46" s="5"/>
      <c r="EJ46" s="5" t="str">
        <f t="shared" si="142"/>
        <v>RES</v>
      </c>
      <c r="EK46" s="5" t="str">
        <f t="shared" si="143"/>
        <v>RES</v>
      </c>
      <c r="EL46" s="5" t="str">
        <f t="shared" si="144"/>
        <v>RES</v>
      </c>
      <c r="EM46" s="5" t="str">
        <f t="shared" si="145"/>
        <v>SUP</v>
      </c>
      <c r="EN46" s="5" t="str">
        <f t="shared" si="146"/>
        <v>SUP</v>
      </c>
      <c r="EO46" s="5" t="str">
        <f t="shared" si="147"/>
        <v>RES</v>
      </c>
      <c r="EP46" s="5"/>
      <c r="EQ46" s="8">
        <f t="shared" si="148"/>
        <v>1.2373158756137019E-3</v>
      </c>
      <c r="ER46" s="8">
        <f t="shared" si="149"/>
        <v>9.5581014729942122E-4</v>
      </c>
      <c r="ES46" s="8">
        <f t="shared" si="150"/>
        <v>2.9721767594108528E-3</v>
      </c>
      <c r="ET46" s="8">
        <f t="shared" si="151"/>
        <v>-1.0409165302781788E-3</v>
      </c>
      <c r="EU46" s="8">
        <f t="shared" si="152"/>
        <v>-1.0278232405892681E-3</v>
      </c>
      <c r="EV46" s="8">
        <f t="shared" si="153"/>
        <v>5.4337152209491598E-4</v>
      </c>
      <c r="EW46" s="8"/>
      <c r="EX46" s="8">
        <f t="shared" si="154"/>
        <v>0.25938009787926908</v>
      </c>
      <c r="EY46" s="9">
        <f t="shared" si="54"/>
        <v>4</v>
      </c>
      <c r="EZ46" s="10">
        <f t="shared" si="55"/>
        <v>2</v>
      </c>
      <c r="FA46" s="8">
        <f t="shared" si="86"/>
        <v>2.9721767594108528E-3</v>
      </c>
      <c r="FB46" s="8">
        <f t="shared" si="87"/>
        <v>1.2373158756137019E-3</v>
      </c>
      <c r="FC46" s="8">
        <f t="shared" si="88"/>
        <v>9.5581014729942122E-4</v>
      </c>
      <c r="FD46" s="8">
        <f t="shared" si="89"/>
        <v>5.4337152209491598E-4</v>
      </c>
      <c r="FE46" s="8">
        <f t="shared" si="90"/>
        <v>-1.0278232405892681E-3</v>
      </c>
      <c r="FF46" s="8">
        <f t="shared" si="91"/>
        <v>-1.0409165302781788E-3</v>
      </c>
      <c r="FG46" s="5"/>
      <c r="FH46" s="5" t="str">
        <f t="shared" si="155"/>
        <v>-----</v>
      </c>
      <c r="FI46" s="5" t="str">
        <f t="shared" si="92"/>
        <v>Flat Momentum</v>
      </c>
      <c r="FJ46" s="5"/>
      <c r="FK46" s="5" t="str">
        <f t="shared" si="93"/>
        <v>-----</v>
      </c>
      <c r="FL46" s="5" t="str">
        <f t="shared" si="94"/>
        <v>-----</v>
      </c>
      <c r="FM46" s="5"/>
      <c r="FN46" s="5"/>
      <c r="FO46" s="8" t="str">
        <f t="shared" si="113"/>
        <v>Bearish</v>
      </c>
      <c r="FP46" s="8"/>
      <c r="FQ46" s="14">
        <f t="shared" si="156"/>
        <v>-8.7618350159553377E-4</v>
      </c>
      <c r="FR46" s="14">
        <f t="shared" si="58"/>
        <v>-1.2282740550840803</v>
      </c>
      <c r="FS46" s="14" t="str">
        <f t="shared" si="59"/>
        <v>-----</v>
      </c>
      <c r="FT46" s="14" t="str">
        <f t="shared" si="157"/>
        <v>Bearish</v>
      </c>
      <c r="FU46" s="5" t="str">
        <f t="shared" si="172"/>
        <v>-----</v>
      </c>
      <c r="FV46" s="5" t="str">
        <f t="shared" si="173"/>
        <v>-----</v>
      </c>
      <c r="FW46" s="5"/>
      <c r="FX46" s="15" t="str">
        <f t="shared" si="116"/>
        <v>YES</v>
      </c>
      <c r="FY46" s="15" t="str">
        <f t="shared" si="117"/>
        <v>-----</v>
      </c>
      <c r="FZ46" s="15" t="str">
        <f t="shared" si="118"/>
        <v>-----</v>
      </c>
      <c r="GA46" s="15" t="str">
        <f t="shared" si="119"/>
        <v>YES</v>
      </c>
      <c r="GB46" s="16" t="str">
        <f t="shared" si="107"/>
        <v>-----</v>
      </c>
      <c r="GC46" s="16" t="str">
        <f t="shared" si="108"/>
        <v>-----</v>
      </c>
      <c r="GD46" s="16" t="str">
        <f t="shared" si="109"/>
        <v>YES</v>
      </c>
      <c r="GE46" s="16" t="str">
        <f t="shared" si="112"/>
        <v>YES</v>
      </c>
      <c r="GF46" s="15" t="str">
        <f t="shared" si="110"/>
        <v>-----</v>
      </c>
      <c r="GG46" s="16" t="str">
        <f t="shared" si="120"/>
        <v>-----</v>
      </c>
      <c r="GH46" s="14"/>
      <c r="GI46" s="5" t="str">
        <f t="shared" si="158"/>
        <v>-----</v>
      </c>
      <c r="GJ46" s="5" t="str">
        <f t="shared" si="159"/>
        <v>-----</v>
      </c>
      <c r="GK46" s="5"/>
      <c r="GL46" s="5" t="str">
        <f t="shared" si="160"/>
        <v>-----</v>
      </c>
      <c r="GM46" s="5" t="str">
        <f t="shared" si="161"/>
        <v>-----</v>
      </c>
      <c r="GN46" s="5"/>
      <c r="GO46" s="12">
        <f t="shared" si="162"/>
        <v>5.0999999999987722E-2</v>
      </c>
      <c r="GP46" s="5">
        <f t="shared" si="97"/>
        <v>-0.57105639936395869</v>
      </c>
      <c r="GQ46" s="13" t="str">
        <f t="shared" si="98"/>
        <v>-----</v>
      </c>
      <c r="GR46" s="5"/>
      <c r="GS46">
        <f t="shared" si="99"/>
        <v>-0.45458700033078414</v>
      </c>
      <c r="GT46" s="5" t="str">
        <f t="shared" si="100"/>
        <v>-----</v>
      </c>
    </row>
    <row r="47" spans="1:202" x14ac:dyDescent="0.55000000000000004">
      <c r="A47">
        <v>43</v>
      </c>
      <c r="B47" t="s">
        <v>46</v>
      </c>
      <c r="C47" t="s">
        <v>4</v>
      </c>
      <c r="D47" t="s">
        <v>103</v>
      </c>
      <c r="E47">
        <v>152.744</v>
      </c>
      <c r="F47">
        <v>152.745</v>
      </c>
      <c r="G47">
        <v>152.6</v>
      </c>
      <c r="H47">
        <v>152.661</v>
      </c>
      <c r="I47">
        <v>278</v>
      </c>
      <c r="J47">
        <v>152.93600000000001</v>
      </c>
      <c r="K47">
        <v>152.89500000000001</v>
      </c>
      <c r="L47">
        <v>153.202</v>
      </c>
      <c r="M47">
        <v>152.59200000000001</v>
      </c>
      <c r="N47">
        <v>152.59299999999999</v>
      </c>
      <c r="O47">
        <v>152.834</v>
      </c>
      <c r="P47">
        <v>0</v>
      </c>
      <c r="Q47">
        <v>0</v>
      </c>
      <c r="R47">
        <v>0</v>
      </c>
      <c r="S47">
        <v>0</v>
      </c>
      <c r="T47">
        <v>0</v>
      </c>
      <c r="U47">
        <v>0.78842000000000001</v>
      </c>
      <c r="V47">
        <v>3</v>
      </c>
      <c r="W47">
        <v>153.26665</v>
      </c>
      <c r="X47">
        <v>153.18136999999999</v>
      </c>
      <c r="Y47">
        <v>153.09608</v>
      </c>
      <c r="Z47">
        <v>153.01079999999999</v>
      </c>
      <c r="AA47">
        <v>152.92551</v>
      </c>
      <c r="AB47">
        <v>152.82675</v>
      </c>
      <c r="AC47">
        <v>152.74146999999999</v>
      </c>
      <c r="AD47">
        <v>152.65618000000001</v>
      </c>
      <c r="AE47">
        <v>152.57089999999999</v>
      </c>
      <c r="AF47">
        <v>152.48562000000001</v>
      </c>
      <c r="AG47">
        <v>152.691</v>
      </c>
      <c r="AH47">
        <v>152.773</v>
      </c>
      <c r="AI47">
        <v>152.916</v>
      </c>
      <c r="AJ47">
        <v>153.077</v>
      </c>
      <c r="AK47">
        <v>152.74</v>
      </c>
      <c r="AL47">
        <v>152.64699999999999</v>
      </c>
      <c r="AM47" s="11">
        <f t="shared" si="0"/>
        <v>0.14500000000001023</v>
      </c>
      <c r="AN47" s="11">
        <f t="shared" si="66"/>
        <v>4.9999999999954525E-3</v>
      </c>
      <c r="AO47" s="11">
        <f t="shared" si="163"/>
        <v>0.15000000000000568</v>
      </c>
      <c r="AP47" s="11">
        <f t="shared" si="164"/>
        <v>0.15000000000000568</v>
      </c>
      <c r="AR47" s="5" t="str">
        <f t="shared" si="121"/>
        <v>------</v>
      </c>
      <c r="AS47" s="5" t="str">
        <f t="shared" si="122"/>
        <v>------</v>
      </c>
      <c r="AT47" t="str">
        <f t="shared" si="123"/>
        <v/>
      </c>
      <c r="AV47" s="2">
        <f t="shared" si="4"/>
        <v>152.95894040000002</v>
      </c>
      <c r="AW47" s="2">
        <f t="shared" si="5"/>
        <v>152.9130596</v>
      </c>
      <c r="AX47" s="2">
        <f t="shared" si="6"/>
        <v>152.91793425000003</v>
      </c>
      <c r="AY47" s="2">
        <f t="shared" si="7"/>
        <v>152.87206575000002</v>
      </c>
      <c r="AZ47" s="2">
        <f t="shared" si="8"/>
        <v>153.2249803</v>
      </c>
      <c r="BA47" s="2">
        <f t="shared" si="9"/>
        <v>153.1790197</v>
      </c>
      <c r="BB47" s="2">
        <f t="shared" si="10"/>
        <v>152.61488880000002</v>
      </c>
      <c r="BC47" s="2">
        <f t="shared" si="11"/>
        <v>152.56911120000001</v>
      </c>
      <c r="BD47" s="2">
        <f t="shared" si="12"/>
        <v>152.61588895</v>
      </c>
      <c r="BE47" s="2">
        <f t="shared" si="13"/>
        <v>152.57011104999998</v>
      </c>
      <c r="BF47" s="2">
        <f t="shared" si="14"/>
        <v>152.85692510000001</v>
      </c>
      <c r="BG47" s="2">
        <f t="shared" si="15"/>
        <v>152.81107489999999</v>
      </c>
      <c r="BI47" s="5" t="str">
        <f t="shared" si="69"/>
        <v>-----</v>
      </c>
      <c r="BJ47" s="5" t="str">
        <f t="shared" si="70"/>
        <v>-----</v>
      </c>
      <c r="BK47" s="5" t="str">
        <f t="shared" si="71"/>
        <v>-----</v>
      </c>
      <c r="BL47" s="5" t="str">
        <f t="shared" si="72"/>
        <v>-----</v>
      </c>
      <c r="BM47" s="5" t="str">
        <f t="shared" si="73"/>
        <v>-----</v>
      </c>
      <c r="BN47" s="5" t="str">
        <f t="shared" si="74"/>
        <v>-----</v>
      </c>
      <c r="BO47" s="5"/>
      <c r="BP47" s="5">
        <f t="shared" si="165"/>
        <v>10</v>
      </c>
      <c r="BQ47" s="5">
        <f t="shared" si="165"/>
        <v>6</v>
      </c>
      <c r="BR47" s="5">
        <f t="shared" si="165"/>
        <v>41</v>
      </c>
      <c r="BS47" s="5">
        <f t="shared" si="165"/>
        <v>43</v>
      </c>
      <c r="BT47" s="5">
        <f t="shared" si="165"/>
        <v>43</v>
      </c>
      <c r="BU47" s="5">
        <f t="shared" si="165"/>
        <v>4</v>
      </c>
      <c r="BV47" s="5">
        <f t="shared" si="166"/>
        <v>1</v>
      </c>
      <c r="BW47" s="5">
        <f t="shared" si="166"/>
        <v>4</v>
      </c>
      <c r="BX47" s="5">
        <f t="shared" si="166"/>
        <v>2</v>
      </c>
      <c r="BY47" s="5">
        <f t="shared" si="166"/>
        <v>0</v>
      </c>
      <c r="BZ47" s="5">
        <f t="shared" si="166"/>
        <v>0</v>
      </c>
      <c r="CA47" s="5">
        <f t="shared" si="166"/>
        <v>3</v>
      </c>
      <c r="CB47" s="5" t="str">
        <f t="shared" si="102"/>
        <v>-----</v>
      </c>
      <c r="CC47" s="5" t="str">
        <f t="shared" si="101"/>
        <v>-----</v>
      </c>
      <c r="CD47" s="5" t="str">
        <f t="shared" si="101"/>
        <v>-----</v>
      </c>
      <c r="CE47" s="5" t="str">
        <f t="shared" si="101"/>
        <v>-----</v>
      </c>
      <c r="CF47" s="5" t="str">
        <f t="shared" si="101"/>
        <v>-----</v>
      </c>
      <c r="CG47" s="5" t="str">
        <f t="shared" si="101"/>
        <v>-----</v>
      </c>
      <c r="CH47" s="5"/>
      <c r="CI47" s="17" t="str">
        <f t="shared" si="124"/>
        <v>-----</v>
      </c>
      <c r="CJ47" s="17" t="str">
        <f t="shared" si="125"/>
        <v>-----</v>
      </c>
      <c r="CK47" s="17" t="str">
        <f t="shared" si="126"/>
        <v>-----</v>
      </c>
      <c r="CL47" s="17" t="str">
        <f t="shared" si="127"/>
        <v>-----</v>
      </c>
      <c r="CM47" s="17" t="str">
        <f t="shared" si="128"/>
        <v>-----</v>
      </c>
      <c r="CN47" s="17" t="str">
        <f t="shared" si="129"/>
        <v>-----</v>
      </c>
      <c r="CO47" s="5"/>
      <c r="CP47" s="5" t="str">
        <f t="shared" si="77"/>
        <v>-----</v>
      </c>
      <c r="CQ47" s="5" t="str">
        <f t="shared" si="77"/>
        <v>-----</v>
      </c>
      <c r="CR47" s="5" t="str">
        <f t="shared" si="77"/>
        <v>-----</v>
      </c>
      <c r="CS47" s="5" t="str">
        <f t="shared" si="77"/>
        <v>-----</v>
      </c>
      <c r="CT47" s="5" t="str">
        <f t="shared" si="77"/>
        <v>-----</v>
      </c>
      <c r="CU47" s="5" t="str">
        <f t="shared" si="77"/>
        <v>-----</v>
      </c>
      <c r="CV47" s="5"/>
      <c r="CW47" s="17" t="str">
        <f t="shared" si="78"/>
        <v/>
      </c>
      <c r="CX47" s="17" t="str">
        <f t="shared" si="78"/>
        <v/>
      </c>
      <c r="CY47" s="17" t="str">
        <f t="shared" si="78"/>
        <v/>
      </c>
      <c r="CZ47" s="17" t="str">
        <f t="shared" si="78"/>
        <v/>
      </c>
      <c r="DA47" s="17" t="str">
        <f t="shared" si="78"/>
        <v/>
      </c>
      <c r="DB47" s="17" t="str">
        <f t="shared" si="78"/>
        <v/>
      </c>
      <c r="DC47" s="8"/>
      <c r="DD47" s="5">
        <f t="shared" si="27"/>
        <v>0</v>
      </c>
      <c r="DE47" s="17" t="str">
        <f t="shared" si="79"/>
        <v>-----</v>
      </c>
      <c r="DF47" s="5" t="str" cm="1">
        <f t="array" ref="DF47">_xlfn.IFS(DE47=CW47,CP47,DE47=CX47,CQ47,DE47=CY47,CR47,DE47=CZ47,CS47,DE47=DA47,CT47,DE47=DB47,CU47,TRUE,"----- ")</f>
        <v xml:space="preserve">----- </v>
      </c>
      <c r="DG47" s="5"/>
      <c r="DH47" s="5">
        <f t="shared" si="80"/>
        <v>-2.423265306122455E-3</v>
      </c>
      <c r="DI47" s="5">
        <f t="shared" si="167"/>
        <v>-3.7194805194805478E-4</v>
      </c>
      <c r="DJ47" s="5">
        <f t="shared" si="168"/>
        <v>-1.6402721088435472E-3</v>
      </c>
      <c r="DK47" s="5">
        <f t="shared" si="169"/>
        <v>7.6471243042669956E-4</v>
      </c>
      <c r="DL47" s="5">
        <f t="shared" si="170"/>
        <v>-2.3081014223875058E-4</v>
      </c>
      <c r="DM47" s="5">
        <f t="shared" si="171"/>
        <v>1.5802844774273381E-3</v>
      </c>
      <c r="DO47" s="5">
        <f t="shared" si="130"/>
        <v>-1.9079214597220278</v>
      </c>
      <c r="DP47" s="5">
        <f t="shared" si="131"/>
        <v>-0.29295343676527091</v>
      </c>
      <c r="DQ47" s="5">
        <f t="shared" si="132"/>
        <v>-1.2917022253843653</v>
      </c>
      <c r="DR47" s="5">
        <f t="shared" si="133"/>
        <v>0.60228527619529781</v>
      </c>
      <c r="DS47" s="5">
        <f t="shared" si="134"/>
        <v>-0.18179147971962978</v>
      </c>
      <c r="DT47" s="5">
        <f t="shared" si="135"/>
        <v>1.2444775446344229</v>
      </c>
      <c r="DV47" t="str" cm="1">
        <f t="array" ref="DV47">_xlfn.IFS(DO47&gt;3,"Strong + Slope",DO47&gt;1.5,"Moderate + Slope",DO47&gt;0.5,"Sideway + Slope",DO47&gt;=-0.5,"Sideway Flat",DO47&gt;=-1.5,"Sideway - Slope",DO47&gt;=-3,"Moderate - Slope",TRUE,"Strong - Slope")</f>
        <v>Moderate - Slope</v>
      </c>
      <c r="DW47" t="str" cm="1">
        <f t="array" ref="DW47">_xlfn.IFS(DP47&gt;3,"Strong + Slope",DP47&gt;1.5,"Moderate + Slope",DP47&gt;0.5,"Sideway + Slope",DP47&gt;=-0.5,"Sideway Flat",DP47&gt;=-1.5,"Sideway - Slope",DP47&gt;=-3,"Moderate - Slope",TRUE,"Strong - Slope")</f>
        <v>Sideway Flat</v>
      </c>
      <c r="DX47" t="str" cm="1">
        <f t="array" ref="DX47">_xlfn.IFS(DQ47&gt;3,"Strong + Slope",DQ47&gt;1.5,"Moderate + Slope",DQ47&gt;0.5,"Sideway + Slope",DQ47&gt;=-0.5,"Sideway Flat",DQ47&gt;=-1.5,"Sideway - Slope",DQ47&gt;=-3,"Moderate - Slope",TRUE,"Strong - Slope")</f>
        <v>Sideway - Slope</v>
      </c>
      <c r="DY47" t="str" cm="1">
        <f t="array" ref="DY47">_xlfn.IFS(DR47&gt;3,"Strong + Slope",DR47&gt;1.5,"Moderate + Slope",DR47&gt;0.5,"Sideway + Slope",DR47&gt;=-0.5,"Sideway Flat",DR47&gt;=-1.5,"Sideway - Slope",DR47&gt;=-3,"Moderate - Slope",TRUE,"Strong - Slope")</f>
        <v>Sideway + Slope</v>
      </c>
      <c r="DZ47" t="str" cm="1">
        <f t="array" ref="DZ47">_xlfn.IFS(DS47&gt;3,"Strong + Slope",DS47&gt;1.5,"Moderate + Slope",DS47&gt;0.5,"Sideway + Slope",DS47&gt;=-0.5,"Sideway Flat",DS47&gt;=-1.5,"Sideway - Slope",DS47&gt;=-3,"Moderate - Slope",TRUE,"Strong - Slope")</f>
        <v>Sideway Flat</v>
      </c>
      <c r="EA47" t="str" cm="1">
        <f t="array" ref="EA47">_xlfn.IFS(DT47&gt;3,"Strong + Slope",DT47&gt;1.5,"Moderate + Slope",DT47&gt;0.5,"Sideway + Slope",DT47&gt;=-0.5,"Sideway Flat",DT47&gt;=-1.5,"Sideway - Slope",DT47&gt;=-3,"Moderate - Slope",TRUE,"Strong - Slope")</f>
        <v>Sideway + Slope</v>
      </c>
      <c r="EB47" s="5"/>
      <c r="EC47" s="5">
        <f t="shared" si="136"/>
        <v>2</v>
      </c>
      <c r="ED47" s="5">
        <f t="shared" si="137"/>
        <v>3</v>
      </c>
      <c r="EE47" s="5">
        <f t="shared" si="138"/>
        <v>1</v>
      </c>
      <c r="EF47" s="5">
        <f t="shared" si="139"/>
        <v>6</v>
      </c>
      <c r="EG47" s="5">
        <f t="shared" si="140"/>
        <v>5</v>
      </c>
      <c r="EH47" s="5">
        <f t="shared" si="141"/>
        <v>4</v>
      </c>
      <c r="EI47" s="5"/>
      <c r="EJ47" s="5" t="str">
        <f t="shared" si="142"/>
        <v>RES</v>
      </c>
      <c r="EK47" s="5" t="str">
        <f t="shared" si="143"/>
        <v>RES</v>
      </c>
      <c r="EL47" s="5" t="str">
        <f t="shared" si="144"/>
        <v>RES</v>
      </c>
      <c r="EM47" s="5" t="str">
        <f t="shared" si="145"/>
        <v>SUP</v>
      </c>
      <c r="EN47" s="5" t="str">
        <f t="shared" si="146"/>
        <v>SUP</v>
      </c>
      <c r="EO47" s="5" t="str">
        <f t="shared" si="147"/>
        <v>RES</v>
      </c>
      <c r="EP47" s="5"/>
      <c r="EQ47" s="8">
        <f t="shared" si="148"/>
        <v>1.8013769070031355E-3</v>
      </c>
      <c r="ER47" s="8">
        <f t="shared" si="149"/>
        <v>1.5328079863226945E-3</v>
      </c>
      <c r="ES47" s="8">
        <f t="shared" si="150"/>
        <v>3.5437996606860742E-3</v>
      </c>
      <c r="ET47" s="8">
        <f t="shared" si="151"/>
        <v>-4.5198184212070147E-4</v>
      </c>
      <c r="EU47" s="8">
        <f t="shared" si="152"/>
        <v>-4.4543138064084505E-4</v>
      </c>
      <c r="EV47" s="8">
        <f t="shared" si="153"/>
        <v>1.1332298360419611E-3</v>
      </c>
      <c r="EW47" s="8"/>
      <c r="EX47" s="8">
        <f t="shared" si="154"/>
        <v>0.11311475409834439</v>
      </c>
      <c r="EY47" s="9">
        <f t="shared" si="54"/>
        <v>4</v>
      </c>
      <c r="EZ47" s="10">
        <f t="shared" si="55"/>
        <v>2</v>
      </c>
      <c r="FA47" s="8">
        <f t="shared" si="86"/>
        <v>3.5437996606860742E-3</v>
      </c>
      <c r="FB47" s="8">
        <f t="shared" si="87"/>
        <v>1.8013769070031355E-3</v>
      </c>
      <c r="FC47" s="8">
        <f t="shared" si="88"/>
        <v>1.5328079863226945E-3</v>
      </c>
      <c r="FD47" s="8">
        <f t="shared" si="89"/>
        <v>1.1332298360419611E-3</v>
      </c>
      <c r="FE47" s="8">
        <f t="shared" si="90"/>
        <v>-4.4543138064084505E-4</v>
      </c>
      <c r="FF47" s="8">
        <f t="shared" si="91"/>
        <v>-4.5198184212070147E-4</v>
      </c>
      <c r="FG47" s="5"/>
      <c r="FH47" s="5" t="str">
        <f t="shared" si="155"/>
        <v>-----</v>
      </c>
      <c r="FI47" s="5" t="str">
        <f t="shared" si="92"/>
        <v>Flat Momentum</v>
      </c>
      <c r="FJ47" s="5"/>
      <c r="FK47" s="5" t="str">
        <f t="shared" si="93"/>
        <v>-----</v>
      </c>
      <c r="FL47" s="5" t="str">
        <f t="shared" si="94"/>
        <v>-----</v>
      </c>
      <c r="FM47" s="5"/>
      <c r="FN47" s="5"/>
      <c r="FO47" s="8" t="str">
        <f t="shared" si="113"/>
        <v>Bearish</v>
      </c>
      <c r="FP47" s="8"/>
      <c r="FQ47" s="14">
        <f t="shared" si="156"/>
        <v>-9.351539407256316E-4</v>
      </c>
      <c r="FR47" s="14">
        <f t="shared" si="58"/>
        <v>-1.3983479138235091</v>
      </c>
      <c r="FS47" s="14" t="str">
        <f t="shared" si="59"/>
        <v>-----</v>
      </c>
      <c r="FT47" s="14" t="str">
        <f t="shared" si="157"/>
        <v>Bearish</v>
      </c>
      <c r="FU47" s="5" t="str">
        <f t="shared" si="172"/>
        <v>-----</v>
      </c>
      <c r="FV47" s="5" t="str">
        <f t="shared" si="173"/>
        <v>TEMA crossunder</v>
      </c>
      <c r="FW47" s="5"/>
      <c r="FX47" s="15" t="str">
        <f t="shared" si="116"/>
        <v>YES</v>
      </c>
      <c r="FY47" s="15" t="str">
        <f t="shared" si="117"/>
        <v>-----</v>
      </c>
      <c r="FZ47" s="15" t="str">
        <f t="shared" si="118"/>
        <v>-----</v>
      </c>
      <c r="GA47" s="15" t="str">
        <f t="shared" si="119"/>
        <v>YES</v>
      </c>
      <c r="GB47" s="16" t="str">
        <f t="shared" si="107"/>
        <v>-----</v>
      </c>
      <c r="GC47" s="16" t="str">
        <f t="shared" si="108"/>
        <v>-----</v>
      </c>
      <c r="GD47" s="16" t="str">
        <f t="shared" si="109"/>
        <v>YES</v>
      </c>
      <c r="GE47" s="16" t="str">
        <f t="shared" si="112"/>
        <v>YES</v>
      </c>
      <c r="GF47" s="15" t="str">
        <f t="shared" si="110"/>
        <v>-----</v>
      </c>
      <c r="GG47" s="16" t="str">
        <f t="shared" si="120"/>
        <v>-----</v>
      </c>
      <c r="GH47" s="14"/>
      <c r="GI47" s="5" t="str">
        <f t="shared" si="158"/>
        <v>-----</v>
      </c>
      <c r="GJ47" s="5" t="str">
        <f t="shared" si="159"/>
        <v>-----</v>
      </c>
      <c r="GK47" s="5"/>
      <c r="GL47" s="5" t="str">
        <f t="shared" si="160"/>
        <v>-----</v>
      </c>
      <c r="GM47" s="5" t="str">
        <f t="shared" si="161"/>
        <v>-----</v>
      </c>
      <c r="GN47" s="5"/>
      <c r="GO47" s="12">
        <f t="shared" si="162"/>
        <v>9.3000000000017735E-2</v>
      </c>
      <c r="GP47" s="5">
        <f t="shared" si="97"/>
        <v>0.39692260942350899</v>
      </c>
      <c r="GQ47" s="13" t="str">
        <f t="shared" si="98"/>
        <v>-----</v>
      </c>
      <c r="GR47" s="5"/>
      <c r="GS47">
        <f t="shared" si="99"/>
        <v>-6.7399334433901822E-2</v>
      </c>
      <c r="GT47" s="5" t="str">
        <f t="shared" si="100"/>
        <v>-----</v>
      </c>
    </row>
    <row r="48" spans="1:202" x14ac:dyDescent="0.55000000000000004">
      <c r="A48">
        <v>44</v>
      </c>
      <c r="B48" t="s">
        <v>47</v>
      </c>
      <c r="C48" t="s">
        <v>4</v>
      </c>
      <c r="D48" t="s">
        <v>103</v>
      </c>
      <c r="E48">
        <v>152.66</v>
      </c>
      <c r="F48">
        <v>152.68100000000001</v>
      </c>
      <c r="G48">
        <v>152.59299999999999</v>
      </c>
      <c r="H48">
        <v>152.672</v>
      </c>
      <c r="I48">
        <v>258</v>
      </c>
      <c r="J48">
        <v>152.934</v>
      </c>
      <c r="K48">
        <v>152.89500000000001</v>
      </c>
      <c r="L48">
        <v>153.19999999999999</v>
      </c>
      <c r="M48">
        <v>152.59299999999999</v>
      </c>
      <c r="N48">
        <v>152.59299999999999</v>
      </c>
      <c r="O48">
        <v>152.83600000000001</v>
      </c>
      <c r="P48">
        <v>0</v>
      </c>
      <c r="Q48">
        <v>152.59299999999999</v>
      </c>
      <c r="R48">
        <v>0</v>
      </c>
      <c r="S48">
        <v>152.59299999999999</v>
      </c>
      <c r="T48">
        <v>1</v>
      </c>
      <c r="U48">
        <v>0.82179000000000002</v>
      </c>
      <c r="V48">
        <v>0</v>
      </c>
      <c r="W48">
        <v>153.24721</v>
      </c>
      <c r="X48">
        <v>153.16158999999999</v>
      </c>
      <c r="Y48">
        <v>153.07597000000001</v>
      </c>
      <c r="Z48">
        <v>152.99036000000001</v>
      </c>
      <c r="AA48">
        <v>152.90474</v>
      </c>
      <c r="AB48">
        <v>152.80715000000001</v>
      </c>
      <c r="AC48">
        <v>152.72154</v>
      </c>
      <c r="AD48">
        <v>152.63592</v>
      </c>
      <c r="AE48">
        <v>152.55029999999999</v>
      </c>
      <c r="AF48">
        <v>152.46468999999999</v>
      </c>
      <c r="AG48">
        <v>152.65299999999999</v>
      </c>
      <c r="AH48">
        <v>152.74</v>
      </c>
      <c r="AI48">
        <v>152.89599999999999</v>
      </c>
      <c r="AJ48">
        <v>153.065</v>
      </c>
      <c r="AK48">
        <v>152.69499999999999</v>
      </c>
      <c r="AL48">
        <v>152.602</v>
      </c>
      <c r="AM48" s="11">
        <f t="shared" si="0"/>
        <v>8.8000000000022283E-2</v>
      </c>
      <c r="AN48" s="11">
        <f t="shared" si="66"/>
        <v>2.0000000000010232E-2</v>
      </c>
      <c r="AO48" s="11">
        <f t="shared" si="163"/>
        <v>6.8000000000012051E-2</v>
      </c>
      <c r="AP48" s="11">
        <f t="shared" si="164"/>
        <v>8.8000000000022283E-2</v>
      </c>
      <c r="AR48" s="5" t="str">
        <f t="shared" si="121"/>
        <v>------</v>
      </c>
      <c r="AS48" s="5" t="str">
        <f t="shared" si="122"/>
        <v>Important Low</v>
      </c>
      <c r="AT48" t="str">
        <f t="shared" si="123"/>
        <v>Important Low with Rejection</v>
      </c>
      <c r="AV48" s="2">
        <f t="shared" si="4"/>
        <v>152.95694010000003</v>
      </c>
      <c r="AW48" s="2">
        <f t="shared" si="5"/>
        <v>152.9110599</v>
      </c>
      <c r="AX48" s="2">
        <f t="shared" si="6"/>
        <v>152.91793425000003</v>
      </c>
      <c r="AY48" s="2">
        <f t="shared" si="7"/>
        <v>152.87206575000002</v>
      </c>
      <c r="AZ48" s="2">
        <f t="shared" si="8"/>
        <v>153.22298000000001</v>
      </c>
      <c r="BA48" s="2">
        <f t="shared" si="9"/>
        <v>153.17702</v>
      </c>
      <c r="BB48" s="2">
        <f t="shared" si="10"/>
        <v>152.61588895</v>
      </c>
      <c r="BC48" s="2">
        <f t="shared" si="11"/>
        <v>152.57011104999998</v>
      </c>
      <c r="BD48" s="2">
        <f t="shared" si="12"/>
        <v>152.61588895</v>
      </c>
      <c r="BE48" s="2">
        <f t="shared" si="13"/>
        <v>152.57011104999998</v>
      </c>
      <c r="BF48" s="2">
        <f t="shared" si="14"/>
        <v>152.85892540000003</v>
      </c>
      <c r="BG48" s="2">
        <f t="shared" si="15"/>
        <v>152.81307460000002</v>
      </c>
      <c r="BI48" s="5" t="str">
        <f t="shared" si="69"/>
        <v>-----</v>
      </c>
      <c r="BJ48" s="5" t="str">
        <f t="shared" si="70"/>
        <v>-----</v>
      </c>
      <c r="BK48" s="5" t="str">
        <f t="shared" si="71"/>
        <v>-----</v>
      </c>
      <c r="BL48" s="5" t="str">
        <f t="shared" si="72"/>
        <v>-----</v>
      </c>
      <c r="BM48" s="5" t="str">
        <f t="shared" si="73"/>
        <v>-----</v>
      </c>
      <c r="BN48" s="5" t="str">
        <f t="shared" si="74"/>
        <v>-----</v>
      </c>
      <c r="BO48" s="5"/>
      <c r="BP48" s="5">
        <f t="shared" si="165"/>
        <v>11</v>
      </c>
      <c r="BQ48" s="5">
        <f t="shared" si="165"/>
        <v>7</v>
      </c>
      <c r="BR48" s="5">
        <f t="shared" si="165"/>
        <v>42</v>
      </c>
      <c r="BS48" s="5">
        <f t="shared" si="165"/>
        <v>44</v>
      </c>
      <c r="BT48" s="5">
        <f t="shared" si="165"/>
        <v>44</v>
      </c>
      <c r="BU48" s="5">
        <f t="shared" si="165"/>
        <v>5</v>
      </c>
      <c r="BV48" s="5">
        <f t="shared" si="166"/>
        <v>1</v>
      </c>
      <c r="BW48" s="5">
        <f t="shared" si="166"/>
        <v>4</v>
      </c>
      <c r="BX48" s="5">
        <f t="shared" si="166"/>
        <v>2</v>
      </c>
      <c r="BY48" s="5">
        <f t="shared" si="166"/>
        <v>0</v>
      </c>
      <c r="BZ48" s="5">
        <f t="shared" si="166"/>
        <v>0</v>
      </c>
      <c r="CA48" s="5">
        <f t="shared" si="166"/>
        <v>3</v>
      </c>
      <c r="CB48" s="5" t="str">
        <f t="shared" si="102"/>
        <v>-----</v>
      </c>
      <c r="CC48" s="5" t="str">
        <f t="shared" si="101"/>
        <v>-----</v>
      </c>
      <c r="CD48" s="5" t="str">
        <f t="shared" si="101"/>
        <v>-----</v>
      </c>
      <c r="CE48" s="5" t="str">
        <f t="shared" si="101"/>
        <v>-----</v>
      </c>
      <c r="CF48" s="5" t="str">
        <f t="shared" si="101"/>
        <v>-----</v>
      </c>
      <c r="CG48" s="5" t="str">
        <f t="shared" si="101"/>
        <v>-----</v>
      </c>
      <c r="CH48" s="5"/>
      <c r="CI48" s="17" t="str">
        <f t="shared" si="124"/>
        <v>-----</v>
      </c>
      <c r="CJ48" s="17" t="str">
        <f t="shared" si="125"/>
        <v>-----</v>
      </c>
      <c r="CK48" s="17" t="str">
        <f t="shared" si="126"/>
        <v>-----</v>
      </c>
      <c r="CL48" s="17" t="str">
        <f t="shared" si="127"/>
        <v>-----</v>
      </c>
      <c r="CM48" s="17" t="str">
        <f t="shared" si="128"/>
        <v>-----</v>
      </c>
      <c r="CN48" s="17" t="str">
        <f t="shared" si="129"/>
        <v>-----</v>
      </c>
      <c r="CO48" s="5"/>
      <c r="CP48" s="5" t="str">
        <f t="shared" si="77"/>
        <v>-----</v>
      </c>
      <c r="CQ48" s="5" t="str">
        <f t="shared" si="77"/>
        <v>-----</v>
      </c>
      <c r="CR48" s="5" t="str">
        <f t="shared" si="77"/>
        <v>-----</v>
      </c>
      <c r="CS48" s="5" t="str">
        <f t="shared" si="77"/>
        <v>-----</v>
      </c>
      <c r="CT48" s="5" t="str">
        <f t="shared" si="77"/>
        <v>-----</v>
      </c>
      <c r="CU48" s="5" t="str">
        <f t="shared" si="77"/>
        <v>-----</v>
      </c>
      <c r="CV48" s="5"/>
      <c r="CW48" s="17" t="str">
        <f t="shared" si="78"/>
        <v/>
      </c>
      <c r="CX48" s="17" t="str">
        <f t="shared" si="78"/>
        <v/>
      </c>
      <c r="CY48" s="17" t="str">
        <f t="shared" si="78"/>
        <v/>
      </c>
      <c r="CZ48" s="17" t="str">
        <f t="shared" si="78"/>
        <v/>
      </c>
      <c r="DA48" s="17" t="str">
        <f t="shared" si="78"/>
        <v/>
      </c>
      <c r="DB48" s="17" t="str">
        <f t="shared" si="78"/>
        <v/>
      </c>
      <c r="DC48" s="8"/>
      <c r="DD48" s="5">
        <f t="shared" si="27"/>
        <v>0</v>
      </c>
      <c r="DE48" s="17" t="str">
        <f t="shared" si="79"/>
        <v>-----</v>
      </c>
      <c r="DF48" s="5" t="str" cm="1">
        <f t="array" ref="DF48">_xlfn.IFS(DE48=CW48,CP48,DE48=CX48,CQ48,DE48=CY48,CR48,DE48=CZ48,CS48,DE48=DA48,CT48,DE48=DB48,CU48,TRUE,"----- ")</f>
        <v xml:space="preserve">----- </v>
      </c>
      <c r="DG48" s="5"/>
      <c r="DH48" s="5">
        <f t="shared" si="80"/>
        <v>-2.423265306122455E-3</v>
      </c>
      <c r="DI48" s="5">
        <f t="shared" si="167"/>
        <v>-3.7194805194805478E-4</v>
      </c>
      <c r="DJ48" s="5">
        <f t="shared" si="168"/>
        <v>-1.6402721088435472E-3</v>
      </c>
      <c r="DK48" s="5">
        <f t="shared" si="169"/>
        <v>7.6471243042669956E-4</v>
      </c>
      <c r="DL48" s="5">
        <f t="shared" si="170"/>
        <v>-2.3081014223875058E-4</v>
      </c>
      <c r="DM48" s="5">
        <f t="shared" si="171"/>
        <v>1.5802844774273381E-3</v>
      </c>
      <c r="DO48" s="5">
        <f t="shared" si="130"/>
        <v>-1.9079214597220278</v>
      </c>
      <c r="DP48" s="5">
        <f t="shared" si="131"/>
        <v>-0.29295343676527091</v>
      </c>
      <c r="DQ48" s="5">
        <f t="shared" si="132"/>
        <v>-1.2917022253843653</v>
      </c>
      <c r="DR48" s="5">
        <f t="shared" si="133"/>
        <v>0.60228527619529781</v>
      </c>
      <c r="DS48" s="5">
        <f t="shared" si="134"/>
        <v>-0.18179147971962978</v>
      </c>
      <c r="DT48" s="5">
        <f t="shared" si="135"/>
        <v>1.2444775446344229</v>
      </c>
      <c r="DV48" t="str" cm="1">
        <f t="array" ref="DV48">_xlfn.IFS(DO48&gt;3,"Strong + Slope",DO48&gt;1.5,"Moderate + Slope",DO48&gt;0.5,"Sideway + Slope",DO48&gt;=-0.5,"Sideway Flat",DO48&gt;=-1.5,"Sideway - Slope",DO48&gt;=-3,"Moderate - Slope",TRUE,"Strong - Slope")</f>
        <v>Moderate - Slope</v>
      </c>
      <c r="DW48" t="str" cm="1">
        <f t="array" ref="DW48">_xlfn.IFS(DP48&gt;3,"Strong + Slope",DP48&gt;1.5,"Moderate + Slope",DP48&gt;0.5,"Sideway + Slope",DP48&gt;=-0.5,"Sideway Flat",DP48&gt;=-1.5,"Sideway - Slope",DP48&gt;=-3,"Moderate - Slope",TRUE,"Strong - Slope")</f>
        <v>Sideway Flat</v>
      </c>
      <c r="DX48" t="str" cm="1">
        <f t="array" ref="DX48">_xlfn.IFS(DQ48&gt;3,"Strong + Slope",DQ48&gt;1.5,"Moderate + Slope",DQ48&gt;0.5,"Sideway + Slope",DQ48&gt;=-0.5,"Sideway Flat",DQ48&gt;=-1.5,"Sideway - Slope",DQ48&gt;=-3,"Moderate - Slope",TRUE,"Strong - Slope")</f>
        <v>Sideway - Slope</v>
      </c>
      <c r="DY48" t="str" cm="1">
        <f t="array" ref="DY48">_xlfn.IFS(DR48&gt;3,"Strong + Slope",DR48&gt;1.5,"Moderate + Slope",DR48&gt;0.5,"Sideway + Slope",DR48&gt;=-0.5,"Sideway Flat",DR48&gt;=-1.5,"Sideway - Slope",DR48&gt;=-3,"Moderate - Slope",TRUE,"Strong - Slope")</f>
        <v>Sideway + Slope</v>
      </c>
      <c r="DZ48" t="str" cm="1">
        <f t="array" ref="DZ48">_xlfn.IFS(DS48&gt;3,"Strong + Slope",DS48&gt;1.5,"Moderate + Slope",DS48&gt;0.5,"Sideway + Slope",DS48&gt;=-0.5,"Sideway Flat",DS48&gt;=-1.5,"Sideway - Slope",DS48&gt;=-3,"Moderate - Slope",TRUE,"Strong - Slope")</f>
        <v>Sideway Flat</v>
      </c>
      <c r="EA48" t="str" cm="1">
        <f t="array" ref="EA48">_xlfn.IFS(DT48&gt;3,"Strong + Slope",DT48&gt;1.5,"Moderate + Slope",DT48&gt;0.5,"Sideway + Slope",DT48&gt;=-0.5,"Sideway Flat",DT48&gt;=-1.5,"Sideway - Slope",DT48&gt;=-3,"Moderate - Slope",TRUE,"Strong - Slope")</f>
        <v>Sideway + Slope</v>
      </c>
      <c r="EB48" s="5"/>
      <c r="EC48" s="5">
        <f t="shared" si="136"/>
        <v>2</v>
      </c>
      <c r="ED48" s="5">
        <f t="shared" si="137"/>
        <v>3</v>
      </c>
      <c r="EE48" s="5">
        <f t="shared" si="138"/>
        <v>1</v>
      </c>
      <c r="EF48" s="5">
        <f t="shared" si="139"/>
        <v>5</v>
      </c>
      <c r="EG48" s="5">
        <f t="shared" si="140"/>
        <v>5</v>
      </c>
      <c r="EH48" s="5">
        <f t="shared" si="141"/>
        <v>4</v>
      </c>
      <c r="EI48" s="5"/>
      <c r="EJ48" s="5" t="str">
        <f t="shared" si="142"/>
        <v>RES</v>
      </c>
      <c r="EK48" s="5" t="str">
        <f t="shared" si="143"/>
        <v>RES</v>
      </c>
      <c r="EL48" s="5" t="str">
        <f t="shared" si="144"/>
        <v>RES</v>
      </c>
      <c r="EM48" s="5" t="str">
        <f t="shared" si="145"/>
        <v>SUP</v>
      </c>
      <c r="EN48" s="5" t="str">
        <f t="shared" si="146"/>
        <v>SUP</v>
      </c>
      <c r="EO48" s="5" t="str">
        <f t="shared" si="147"/>
        <v>RES</v>
      </c>
      <c r="EP48" s="5"/>
      <c r="EQ48" s="8">
        <f t="shared" si="148"/>
        <v>1.7160972542443961E-3</v>
      </c>
      <c r="ER48" s="8">
        <f t="shared" si="149"/>
        <v>1.4606476629638256E-3</v>
      </c>
      <c r="ES48" s="8">
        <f t="shared" si="150"/>
        <v>3.4583944665687984E-3</v>
      </c>
      <c r="ET48" s="8">
        <f t="shared" si="151"/>
        <v>-5.1744917208137531E-4</v>
      </c>
      <c r="EU48" s="8">
        <f t="shared" si="152"/>
        <v>-5.1744917208137531E-4</v>
      </c>
      <c r="EV48" s="8">
        <f t="shared" si="153"/>
        <v>1.0741982812828526E-3</v>
      </c>
      <c r="EW48" s="8"/>
      <c r="EX48" s="8">
        <f t="shared" si="154"/>
        <v>0.13014827018123198</v>
      </c>
      <c r="EY48" s="9">
        <f t="shared" si="54"/>
        <v>4</v>
      </c>
      <c r="EZ48" s="10">
        <f t="shared" si="55"/>
        <v>2</v>
      </c>
      <c r="FA48" s="8">
        <f t="shared" si="86"/>
        <v>3.4583944665687984E-3</v>
      </c>
      <c r="FB48" s="8">
        <f t="shared" si="87"/>
        <v>1.7160972542443961E-3</v>
      </c>
      <c r="FC48" s="8">
        <f t="shared" si="88"/>
        <v>1.4606476629638256E-3</v>
      </c>
      <c r="FD48" s="8">
        <f t="shared" si="89"/>
        <v>1.0741982812828526E-3</v>
      </c>
      <c r="FE48" s="8">
        <f t="shared" si="90"/>
        <v>-5.1744917208137531E-4</v>
      </c>
      <c r="FF48" s="8">
        <f t="shared" si="91"/>
        <v>-5.1744917208137531E-4</v>
      </c>
      <c r="FG48" s="5"/>
      <c r="FH48" s="5" t="str">
        <f t="shared" si="155"/>
        <v>-----</v>
      </c>
      <c r="FI48" s="5" t="str">
        <f t="shared" si="92"/>
        <v>Flat Momentum</v>
      </c>
      <c r="FJ48" s="5"/>
      <c r="FK48" s="5" t="str">
        <f t="shared" si="93"/>
        <v>-----</v>
      </c>
      <c r="FL48" s="5" t="str">
        <f t="shared" si="94"/>
        <v>-----</v>
      </c>
      <c r="FM48" s="5"/>
      <c r="FN48" s="5"/>
      <c r="FO48" s="8" t="str">
        <f t="shared" ref="FO48:FO79" si="174">IF(AND(AI48&gt;AJ48,AI47&gt;AJ47,AI46&gt;AJ46,AI45&gt;AJ45,AI44&gt;AJ44,AI43&gt;AJ43,AI42&gt;AJ42,AI41&gt;AJ41,AI40&gt;AJ40,AI39&gt;AJ39,AI38&gt;AJ38,AI37&gt;AJ37),"Bullish",IF(AND(AI48&lt;AJ48,AI47&lt;AJ47,AI46&lt;AJ46,AI45&lt;AJ45,AI44&lt;AJ44,AI43&lt;AJ43,AI42&lt;AJ42,AI41&lt;AJ41,AI40&lt;AJ40,AI39&lt;AJ39,AI38&lt;AJ38,AI37&lt;AJ37),"Bearish","-----"))</f>
        <v>Bearish</v>
      </c>
      <c r="FP48" s="8"/>
      <c r="FQ48" s="14">
        <f t="shared" si="156"/>
        <v>-1.0203013813309537E-3</v>
      </c>
      <c r="FR48" s="14">
        <f t="shared" si="58"/>
        <v>-1.6439176263634712</v>
      </c>
      <c r="FS48" s="14" t="str">
        <f t="shared" si="59"/>
        <v>Reverse to Bullish</v>
      </c>
      <c r="FT48" s="14" t="str">
        <f t="shared" si="157"/>
        <v>Bearish</v>
      </c>
      <c r="FU48" s="5" t="str">
        <f t="shared" si="172"/>
        <v>TEMA crossover</v>
      </c>
      <c r="FV48" s="5" t="str">
        <f t="shared" si="173"/>
        <v>-----</v>
      </c>
      <c r="FW48" s="5"/>
      <c r="FX48" s="15" t="str">
        <f t="shared" si="116"/>
        <v>YES</v>
      </c>
      <c r="FY48" s="15" t="str">
        <f t="shared" si="117"/>
        <v>-----</v>
      </c>
      <c r="FZ48" s="15" t="str">
        <f t="shared" si="118"/>
        <v>-----</v>
      </c>
      <c r="GA48" s="15" t="str">
        <f t="shared" si="119"/>
        <v>YES</v>
      </c>
      <c r="GB48" s="16" t="str">
        <f t="shared" si="107"/>
        <v>-----</v>
      </c>
      <c r="GC48" s="16" t="str">
        <f t="shared" si="108"/>
        <v>YES</v>
      </c>
      <c r="GD48" s="16" t="str">
        <f t="shared" si="109"/>
        <v>YES</v>
      </c>
      <c r="GE48" s="16" t="str">
        <f t="shared" si="112"/>
        <v>YES</v>
      </c>
      <c r="GF48" s="15" t="str">
        <f t="shared" si="110"/>
        <v>-----</v>
      </c>
      <c r="GG48" s="16" t="str">
        <f t="shared" si="120"/>
        <v>-----</v>
      </c>
      <c r="GH48" s="14"/>
      <c r="GI48" s="5" t="str">
        <f t="shared" si="158"/>
        <v>-----</v>
      </c>
      <c r="GJ48" s="5" t="str">
        <f t="shared" si="159"/>
        <v>-----</v>
      </c>
      <c r="GK48" s="5"/>
      <c r="GL48" s="5" t="str">
        <f t="shared" si="160"/>
        <v>-----</v>
      </c>
      <c r="GM48" s="5" t="str">
        <f t="shared" si="161"/>
        <v>-----</v>
      </c>
      <c r="GN48" s="5"/>
      <c r="GO48" s="12">
        <f t="shared" si="162"/>
        <v>9.2999999999989313E-2</v>
      </c>
      <c r="GP48" s="5">
        <f t="shared" si="97"/>
        <v>0.39692260942285396</v>
      </c>
      <c r="GQ48" s="13" t="str">
        <f t="shared" si="98"/>
        <v>-----</v>
      </c>
      <c r="GR48" s="5"/>
      <c r="GS48">
        <f t="shared" si="99"/>
        <v>-0.1964618897328626</v>
      </c>
      <c r="GT48" s="5" t="str">
        <f t="shared" si="100"/>
        <v>-----</v>
      </c>
    </row>
    <row r="49" spans="1:202" x14ac:dyDescent="0.55000000000000004">
      <c r="A49">
        <v>45</v>
      </c>
      <c r="B49" t="s">
        <v>48</v>
      </c>
      <c r="C49" t="s">
        <v>4</v>
      </c>
      <c r="D49" t="s">
        <v>103</v>
      </c>
      <c r="E49">
        <v>152.66999999999999</v>
      </c>
      <c r="F49">
        <v>152.74299999999999</v>
      </c>
      <c r="G49">
        <v>152.66499999999999</v>
      </c>
      <c r="H49">
        <v>152.738</v>
      </c>
      <c r="I49">
        <v>243</v>
      </c>
      <c r="J49">
        <v>152.93199999999999</v>
      </c>
      <c r="K49">
        <v>152.89500000000001</v>
      </c>
      <c r="L49">
        <v>153.19900000000001</v>
      </c>
      <c r="M49">
        <v>152.59399999999999</v>
      </c>
      <c r="N49">
        <v>152.59299999999999</v>
      </c>
      <c r="O49">
        <v>152.83799999999999</v>
      </c>
      <c r="P49">
        <v>0</v>
      </c>
      <c r="Q49">
        <v>0</v>
      </c>
      <c r="R49">
        <v>0</v>
      </c>
      <c r="S49">
        <v>0</v>
      </c>
      <c r="T49">
        <v>0</v>
      </c>
      <c r="U49">
        <v>0.45168000000000003</v>
      </c>
      <c r="V49">
        <v>0</v>
      </c>
      <c r="W49">
        <v>153.22748999999999</v>
      </c>
      <c r="X49">
        <v>153.14178000000001</v>
      </c>
      <c r="Y49">
        <v>153.05606</v>
      </c>
      <c r="Z49">
        <v>152.97033999999999</v>
      </c>
      <c r="AA49">
        <v>152.88462999999999</v>
      </c>
      <c r="AB49">
        <v>152.78836999999999</v>
      </c>
      <c r="AC49">
        <v>152.70266000000001</v>
      </c>
      <c r="AD49">
        <v>152.61694</v>
      </c>
      <c r="AE49">
        <v>152.53121999999999</v>
      </c>
      <c r="AF49">
        <v>152.44551000000001</v>
      </c>
      <c r="AG49">
        <v>152.66499999999999</v>
      </c>
      <c r="AH49">
        <v>152.71799999999999</v>
      </c>
      <c r="AI49">
        <v>152.88300000000001</v>
      </c>
      <c r="AJ49">
        <v>153.054</v>
      </c>
      <c r="AK49">
        <v>152.69999999999999</v>
      </c>
      <c r="AL49">
        <v>152.613</v>
      </c>
      <c r="AM49" s="11">
        <f t="shared" si="0"/>
        <v>7.8000000000002956E-2</v>
      </c>
      <c r="AN49" s="11">
        <f t="shared" si="66"/>
        <v>7.0999999999997954E-2</v>
      </c>
      <c r="AO49" s="11">
        <f t="shared" si="163"/>
        <v>7.0000000000050022E-3</v>
      </c>
      <c r="AP49" s="11">
        <f t="shared" si="164"/>
        <v>7.8000000000002956E-2</v>
      </c>
      <c r="AR49" s="5" t="str">
        <f t="shared" si="121"/>
        <v>------</v>
      </c>
      <c r="AS49" s="5" t="str">
        <f t="shared" si="122"/>
        <v>------</v>
      </c>
      <c r="AT49" t="str">
        <f t="shared" si="123"/>
        <v/>
      </c>
      <c r="AV49" s="2">
        <f t="shared" si="4"/>
        <v>152.95493980000001</v>
      </c>
      <c r="AW49" s="2">
        <f t="shared" si="5"/>
        <v>152.9090602</v>
      </c>
      <c r="AX49" s="2">
        <f t="shared" si="6"/>
        <v>152.91793425000003</v>
      </c>
      <c r="AY49" s="2">
        <f t="shared" si="7"/>
        <v>152.87206575000002</v>
      </c>
      <c r="AZ49" s="2">
        <f t="shared" si="8"/>
        <v>153.22197985000003</v>
      </c>
      <c r="BA49" s="2">
        <f t="shared" si="9"/>
        <v>153.17602015000003</v>
      </c>
      <c r="BB49" s="2">
        <f t="shared" si="10"/>
        <v>152.61688910000001</v>
      </c>
      <c r="BC49" s="2">
        <f t="shared" si="11"/>
        <v>152.57111090000001</v>
      </c>
      <c r="BD49" s="2">
        <f t="shared" si="12"/>
        <v>152.61588895</v>
      </c>
      <c r="BE49" s="2">
        <f t="shared" si="13"/>
        <v>152.57011104999998</v>
      </c>
      <c r="BF49" s="2">
        <f t="shared" si="14"/>
        <v>152.8609257</v>
      </c>
      <c r="BG49" s="2">
        <f t="shared" si="15"/>
        <v>152.81507429999999</v>
      </c>
      <c r="BI49" s="5" t="str">
        <f t="shared" si="69"/>
        <v>-----</v>
      </c>
      <c r="BJ49" s="5" t="str">
        <f t="shared" si="70"/>
        <v>-----</v>
      </c>
      <c r="BK49" s="5" t="str">
        <f t="shared" si="71"/>
        <v>-----</v>
      </c>
      <c r="BL49" s="5" t="str">
        <f t="shared" si="72"/>
        <v>-----</v>
      </c>
      <c r="BM49" s="5" t="str">
        <f t="shared" si="73"/>
        <v>-----</v>
      </c>
      <c r="BN49" s="5" t="str">
        <f t="shared" si="74"/>
        <v>-----</v>
      </c>
      <c r="BO49" s="5"/>
      <c r="BP49" s="5">
        <f t="shared" si="165"/>
        <v>12</v>
      </c>
      <c r="BQ49" s="5">
        <f t="shared" si="165"/>
        <v>8</v>
      </c>
      <c r="BR49" s="5">
        <f t="shared" si="165"/>
        <v>43</v>
      </c>
      <c r="BS49" s="5">
        <f t="shared" si="165"/>
        <v>45</v>
      </c>
      <c r="BT49" s="5">
        <f t="shared" si="165"/>
        <v>45</v>
      </c>
      <c r="BU49" s="5">
        <f t="shared" si="165"/>
        <v>6</v>
      </c>
      <c r="BV49" s="5">
        <f t="shared" si="166"/>
        <v>1</v>
      </c>
      <c r="BW49" s="5">
        <f t="shared" si="166"/>
        <v>4</v>
      </c>
      <c r="BX49" s="5">
        <f t="shared" si="166"/>
        <v>2</v>
      </c>
      <c r="BY49" s="5">
        <f t="shared" si="166"/>
        <v>0</v>
      </c>
      <c r="BZ49" s="5">
        <f t="shared" si="166"/>
        <v>0</v>
      </c>
      <c r="CA49" s="5">
        <f t="shared" si="166"/>
        <v>3</v>
      </c>
      <c r="CB49" s="5" t="str">
        <f t="shared" si="102"/>
        <v>-----</v>
      </c>
      <c r="CC49" s="5" t="str">
        <f t="shared" si="101"/>
        <v>-----</v>
      </c>
      <c r="CD49" s="5" t="str">
        <f t="shared" si="101"/>
        <v>-----</v>
      </c>
      <c r="CE49" s="5" t="str">
        <f t="shared" si="101"/>
        <v>-----</v>
      </c>
      <c r="CF49" s="5" t="str">
        <f t="shared" si="101"/>
        <v>-----</v>
      </c>
      <c r="CG49" s="5" t="str">
        <f t="shared" si="101"/>
        <v>-----</v>
      </c>
      <c r="CH49" s="5"/>
      <c r="CI49" s="17" t="str">
        <f t="shared" si="124"/>
        <v>-----</v>
      </c>
      <c r="CJ49" s="17" t="str">
        <f t="shared" si="125"/>
        <v>-----</v>
      </c>
      <c r="CK49" s="17" t="str">
        <f t="shared" si="126"/>
        <v>-----</v>
      </c>
      <c r="CL49" s="17" t="str">
        <f t="shared" si="127"/>
        <v>-----</v>
      </c>
      <c r="CM49" s="17" t="str">
        <f t="shared" si="128"/>
        <v>-----</v>
      </c>
      <c r="CN49" s="17" t="str">
        <f t="shared" si="129"/>
        <v>-----</v>
      </c>
      <c r="CO49" s="5"/>
      <c r="CP49" s="5" t="str">
        <f t="shared" si="77"/>
        <v>-----</v>
      </c>
      <c r="CQ49" s="5" t="str">
        <f t="shared" si="77"/>
        <v>-----</v>
      </c>
      <c r="CR49" s="5" t="str">
        <f t="shared" si="77"/>
        <v>-----</v>
      </c>
      <c r="CS49" s="5" t="str">
        <f t="shared" si="77"/>
        <v>-----</v>
      </c>
      <c r="CT49" s="5" t="str">
        <f t="shared" si="77"/>
        <v>-----</v>
      </c>
      <c r="CU49" s="5" t="str">
        <f t="shared" si="77"/>
        <v>-----</v>
      </c>
      <c r="CV49" s="5"/>
      <c r="CW49" s="17" t="str">
        <f t="shared" si="78"/>
        <v/>
      </c>
      <c r="CX49" s="17" t="str">
        <f t="shared" si="78"/>
        <v/>
      </c>
      <c r="CY49" s="17" t="str">
        <f t="shared" si="78"/>
        <v/>
      </c>
      <c r="CZ49" s="17" t="str">
        <f t="shared" si="78"/>
        <v/>
      </c>
      <c r="DA49" s="17" t="str">
        <f t="shared" si="78"/>
        <v/>
      </c>
      <c r="DB49" s="17" t="str">
        <f t="shared" si="78"/>
        <v/>
      </c>
      <c r="DC49" s="8"/>
      <c r="DD49" s="5">
        <f t="shared" si="27"/>
        <v>0</v>
      </c>
      <c r="DE49" s="17" t="str">
        <f t="shared" si="79"/>
        <v>-----</v>
      </c>
      <c r="DF49" s="5" t="str" cm="1">
        <f t="array" ref="DF49">_xlfn.IFS(DE49=CW49,CP49,DE49=CX49,CQ49,DE49=CY49,CR49,DE49=CZ49,CS49,DE49=DA49,CT49,DE49=DB49,CU49,TRUE,"----- ")</f>
        <v xml:space="preserve">----- </v>
      </c>
      <c r="DG49" s="5"/>
      <c r="DH49" s="5">
        <f t="shared" si="80"/>
        <v>-2.423265306122455E-3</v>
      </c>
      <c r="DI49" s="5">
        <f t="shared" si="167"/>
        <v>-3.7194805194805478E-4</v>
      </c>
      <c r="DJ49" s="5">
        <f t="shared" si="168"/>
        <v>-1.6402721088435472E-3</v>
      </c>
      <c r="DK49" s="5">
        <f t="shared" si="169"/>
        <v>7.6471243042669956E-4</v>
      </c>
      <c r="DL49" s="5">
        <f t="shared" si="170"/>
        <v>-2.3081014223875058E-4</v>
      </c>
      <c r="DM49" s="5">
        <f t="shared" si="171"/>
        <v>1.5802844774273381E-3</v>
      </c>
      <c r="DO49" s="5">
        <f t="shared" si="130"/>
        <v>-1.9079214597220278</v>
      </c>
      <c r="DP49" s="5">
        <f t="shared" si="131"/>
        <v>-0.29295343676527091</v>
      </c>
      <c r="DQ49" s="5">
        <f t="shared" si="132"/>
        <v>-1.2917022253843653</v>
      </c>
      <c r="DR49" s="5">
        <f t="shared" si="133"/>
        <v>0.60228527619529781</v>
      </c>
      <c r="DS49" s="5">
        <f t="shared" si="134"/>
        <v>-0.18179147971962978</v>
      </c>
      <c r="DT49" s="5">
        <f t="shared" si="135"/>
        <v>1.2444775446344229</v>
      </c>
      <c r="DV49" t="str" cm="1">
        <f t="array" ref="DV49">_xlfn.IFS(DO49&gt;3,"Strong + Slope",DO49&gt;1.5,"Moderate + Slope",DO49&gt;0.5,"Sideway + Slope",DO49&gt;=-0.5,"Sideway Flat",DO49&gt;=-1.5,"Sideway - Slope",DO49&gt;=-3,"Moderate - Slope",TRUE,"Strong - Slope")</f>
        <v>Moderate - Slope</v>
      </c>
      <c r="DW49" t="str" cm="1">
        <f t="array" ref="DW49">_xlfn.IFS(DP49&gt;3,"Strong + Slope",DP49&gt;1.5,"Moderate + Slope",DP49&gt;0.5,"Sideway + Slope",DP49&gt;=-0.5,"Sideway Flat",DP49&gt;=-1.5,"Sideway - Slope",DP49&gt;=-3,"Moderate - Slope",TRUE,"Strong - Slope")</f>
        <v>Sideway Flat</v>
      </c>
      <c r="DX49" t="str" cm="1">
        <f t="array" ref="DX49">_xlfn.IFS(DQ49&gt;3,"Strong + Slope",DQ49&gt;1.5,"Moderate + Slope",DQ49&gt;0.5,"Sideway + Slope",DQ49&gt;=-0.5,"Sideway Flat",DQ49&gt;=-1.5,"Sideway - Slope",DQ49&gt;=-3,"Moderate - Slope",TRUE,"Strong - Slope")</f>
        <v>Sideway - Slope</v>
      </c>
      <c r="DY49" t="str" cm="1">
        <f t="array" ref="DY49">_xlfn.IFS(DR49&gt;3,"Strong + Slope",DR49&gt;1.5,"Moderate + Slope",DR49&gt;0.5,"Sideway + Slope",DR49&gt;=-0.5,"Sideway Flat",DR49&gt;=-1.5,"Sideway - Slope",DR49&gt;=-3,"Moderate - Slope",TRUE,"Strong - Slope")</f>
        <v>Sideway + Slope</v>
      </c>
      <c r="DZ49" t="str" cm="1">
        <f t="array" ref="DZ49">_xlfn.IFS(DS49&gt;3,"Strong + Slope",DS49&gt;1.5,"Moderate + Slope",DS49&gt;0.5,"Sideway + Slope",DS49&gt;=-0.5,"Sideway Flat",DS49&gt;=-1.5,"Sideway - Slope",DS49&gt;=-3,"Moderate - Slope",TRUE,"Strong - Slope")</f>
        <v>Sideway Flat</v>
      </c>
      <c r="EA49" t="str" cm="1">
        <f t="array" ref="EA49">_xlfn.IFS(DT49&gt;3,"Strong + Slope",DT49&gt;1.5,"Moderate + Slope",DT49&gt;0.5,"Sideway + Slope",DT49&gt;=-0.5,"Sideway Flat",DT49&gt;=-1.5,"Sideway - Slope",DT49&gt;=-3,"Moderate - Slope",TRUE,"Strong - Slope")</f>
        <v>Sideway + Slope</v>
      </c>
      <c r="EB49" s="5"/>
      <c r="EC49" s="5">
        <f t="shared" si="136"/>
        <v>2</v>
      </c>
      <c r="ED49" s="5">
        <f t="shared" si="137"/>
        <v>3</v>
      </c>
      <c r="EE49" s="5">
        <f t="shared" si="138"/>
        <v>1</v>
      </c>
      <c r="EF49" s="5">
        <f t="shared" si="139"/>
        <v>5</v>
      </c>
      <c r="EG49" s="5">
        <f t="shared" si="140"/>
        <v>6</v>
      </c>
      <c r="EH49" s="5">
        <f t="shared" si="141"/>
        <v>4</v>
      </c>
      <c r="EI49" s="5"/>
      <c r="EJ49" s="5" t="str">
        <f t="shared" si="142"/>
        <v>RES</v>
      </c>
      <c r="EK49" s="5" t="str">
        <f t="shared" si="143"/>
        <v>RES</v>
      </c>
      <c r="EL49" s="5" t="str">
        <f t="shared" si="144"/>
        <v>RES</v>
      </c>
      <c r="EM49" s="5" t="str">
        <f t="shared" si="145"/>
        <v>SUP</v>
      </c>
      <c r="EN49" s="5" t="str">
        <f t="shared" si="146"/>
        <v>SUP</v>
      </c>
      <c r="EO49" s="5" t="str">
        <f t="shared" si="147"/>
        <v>RES</v>
      </c>
      <c r="EP49" s="5"/>
      <c r="EQ49" s="8">
        <f t="shared" si="148"/>
        <v>1.2701488823998507E-3</v>
      </c>
      <c r="ER49" s="8">
        <f t="shared" si="149"/>
        <v>1.0279039924577427E-3</v>
      </c>
      <c r="ES49" s="8">
        <f t="shared" si="150"/>
        <v>3.0182403854968165E-3</v>
      </c>
      <c r="ET49" s="8">
        <f t="shared" si="151"/>
        <v>-9.42790923018538E-4</v>
      </c>
      <c r="EU49" s="8">
        <f t="shared" si="152"/>
        <v>-9.4933808220619778E-4</v>
      </c>
      <c r="EV49" s="8">
        <f t="shared" si="153"/>
        <v>6.5471591876281154E-4</v>
      </c>
      <c r="EW49" s="8"/>
      <c r="EX49" s="8">
        <f t="shared" si="154"/>
        <v>0.23927392739274708</v>
      </c>
      <c r="EY49" s="9">
        <f t="shared" si="54"/>
        <v>4</v>
      </c>
      <c r="EZ49" s="10">
        <f t="shared" si="55"/>
        <v>2</v>
      </c>
      <c r="FA49" s="8">
        <f t="shared" si="86"/>
        <v>3.0182403854968165E-3</v>
      </c>
      <c r="FB49" s="8">
        <f t="shared" si="87"/>
        <v>1.2701488823998507E-3</v>
      </c>
      <c r="FC49" s="8">
        <f t="shared" si="88"/>
        <v>1.0279039924577427E-3</v>
      </c>
      <c r="FD49" s="8">
        <f t="shared" si="89"/>
        <v>6.5471591876281154E-4</v>
      </c>
      <c r="FE49" s="8">
        <f t="shared" si="90"/>
        <v>-9.42790923018538E-4</v>
      </c>
      <c r="FF49" s="8">
        <f t="shared" si="91"/>
        <v>-9.4933808220619778E-4</v>
      </c>
      <c r="FG49" s="5"/>
      <c r="FH49" s="5" t="str">
        <f t="shared" si="155"/>
        <v>-----</v>
      </c>
      <c r="FI49" s="5" t="str">
        <f t="shared" si="92"/>
        <v>Flat Momentum</v>
      </c>
      <c r="FJ49" s="5"/>
      <c r="FK49" s="5" t="str">
        <f t="shared" si="93"/>
        <v>-----</v>
      </c>
      <c r="FL49" s="5" t="str">
        <f t="shared" si="94"/>
        <v>-----</v>
      </c>
      <c r="FM49" s="5"/>
      <c r="FN49" s="5"/>
      <c r="FO49" s="8" t="str">
        <f t="shared" si="174"/>
        <v>Bearish</v>
      </c>
      <c r="FP49" s="8"/>
      <c r="FQ49" s="14">
        <f t="shared" si="156"/>
        <v>-1.0792566864858777E-3</v>
      </c>
      <c r="FR49" s="14">
        <f t="shared" si="58"/>
        <v>-1.8139478379197713</v>
      </c>
      <c r="FS49" s="14" t="str">
        <f t="shared" si="59"/>
        <v>Reverse to Bullish</v>
      </c>
      <c r="FT49" s="14" t="str">
        <f t="shared" si="157"/>
        <v>Bearish</v>
      </c>
      <c r="FU49" s="5" t="str">
        <f t="shared" si="172"/>
        <v>-----</v>
      </c>
      <c r="FV49" s="5" t="str">
        <f t="shared" si="173"/>
        <v>-----</v>
      </c>
      <c r="FW49" s="5"/>
      <c r="FX49" s="15" t="str">
        <f t="shared" si="116"/>
        <v>YES</v>
      </c>
      <c r="FY49" s="15" t="str">
        <f t="shared" si="117"/>
        <v>-----</v>
      </c>
      <c r="FZ49" s="15" t="str">
        <f t="shared" si="118"/>
        <v>-----</v>
      </c>
      <c r="GA49" s="15" t="str">
        <f t="shared" si="119"/>
        <v>YES</v>
      </c>
      <c r="GB49" s="16" t="str">
        <f t="shared" si="107"/>
        <v>-----</v>
      </c>
      <c r="GC49" s="16" t="str">
        <f t="shared" si="108"/>
        <v>YES</v>
      </c>
      <c r="GD49" s="16" t="str">
        <f t="shared" si="109"/>
        <v>YES</v>
      </c>
      <c r="GE49" s="16" t="str">
        <f t="shared" si="112"/>
        <v>YES</v>
      </c>
      <c r="GF49" s="15" t="str">
        <f t="shared" si="110"/>
        <v>-----</v>
      </c>
      <c r="GG49" s="16" t="str">
        <f t="shared" si="120"/>
        <v>-----</v>
      </c>
      <c r="GH49" s="14"/>
      <c r="GI49" s="5" t="str">
        <f t="shared" si="158"/>
        <v>Bullish Trigger</v>
      </c>
      <c r="GJ49" s="5" t="str">
        <f t="shared" si="159"/>
        <v>-----</v>
      </c>
      <c r="GK49" s="5"/>
      <c r="GL49" s="5" t="str">
        <f t="shared" si="160"/>
        <v>-----</v>
      </c>
      <c r="GM49" s="5" t="str">
        <f t="shared" si="161"/>
        <v>-----</v>
      </c>
      <c r="GN49" s="5"/>
      <c r="GO49" s="12">
        <f t="shared" si="162"/>
        <v>8.6999999999989086E-2</v>
      </c>
      <c r="GP49" s="5">
        <f t="shared" si="97"/>
        <v>0.25863989388188074</v>
      </c>
      <c r="GQ49" s="13" t="str">
        <f t="shared" si="98"/>
        <v>-----</v>
      </c>
      <c r="GR49" s="5"/>
      <c r="GS49">
        <f t="shared" si="99"/>
        <v>-0.29325880620708317</v>
      </c>
      <c r="GT49" s="5" t="str">
        <f t="shared" si="100"/>
        <v>-----</v>
      </c>
    </row>
    <row r="50" spans="1:202" x14ac:dyDescent="0.55000000000000004">
      <c r="A50">
        <v>46</v>
      </c>
      <c r="B50" t="s">
        <v>49</v>
      </c>
      <c r="C50" t="s">
        <v>4</v>
      </c>
      <c r="D50" t="s">
        <v>103</v>
      </c>
      <c r="E50">
        <v>152.738</v>
      </c>
      <c r="F50">
        <v>152.74299999999999</v>
      </c>
      <c r="G50">
        <v>152.69800000000001</v>
      </c>
      <c r="H50">
        <v>152.69800000000001</v>
      </c>
      <c r="I50">
        <v>257</v>
      </c>
      <c r="J50">
        <v>152.929</v>
      </c>
      <c r="K50">
        <v>152.89400000000001</v>
      </c>
      <c r="L50">
        <v>153.197</v>
      </c>
      <c r="M50">
        <v>152.595</v>
      </c>
      <c r="N50">
        <v>152.59299999999999</v>
      </c>
      <c r="O50">
        <v>152.839</v>
      </c>
      <c r="P50">
        <v>0</v>
      </c>
      <c r="Q50">
        <v>0</v>
      </c>
      <c r="R50">
        <v>0</v>
      </c>
      <c r="S50">
        <v>0</v>
      </c>
      <c r="T50">
        <v>0</v>
      </c>
      <c r="U50">
        <v>0.18303</v>
      </c>
      <c r="V50">
        <v>3</v>
      </c>
      <c r="W50">
        <v>153.20768000000001</v>
      </c>
      <c r="X50">
        <v>153.12210999999999</v>
      </c>
      <c r="Y50">
        <v>153.03655000000001</v>
      </c>
      <c r="Z50">
        <v>152.95098999999999</v>
      </c>
      <c r="AA50">
        <v>152.86543</v>
      </c>
      <c r="AB50">
        <v>152.77142000000001</v>
      </c>
      <c r="AC50">
        <v>152.68585999999999</v>
      </c>
      <c r="AD50">
        <v>152.60029</v>
      </c>
      <c r="AE50">
        <v>152.51472999999999</v>
      </c>
      <c r="AF50">
        <v>152.42917</v>
      </c>
      <c r="AG50">
        <v>152.67500000000001</v>
      </c>
      <c r="AH50">
        <v>152.702</v>
      </c>
      <c r="AI50">
        <v>152.87</v>
      </c>
      <c r="AJ50">
        <v>153.04499999999999</v>
      </c>
      <c r="AK50">
        <v>152.70699999999999</v>
      </c>
      <c r="AL50">
        <v>152.63999999999999</v>
      </c>
      <c r="AM50" s="11">
        <f t="shared" si="0"/>
        <v>4.4999999999987494E-2</v>
      </c>
      <c r="AN50" s="11">
        <f t="shared" si="66"/>
        <v>4.9999999999954525E-3</v>
      </c>
      <c r="AO50" s="11">
        <f t="shared" si="163"/>
        <v>3.9999999999992042E-2</v>
      </c>
      <c r="AP50" s="11">
        <f t="shared" si="164"/>
        <v>4.4999999999987494E-2</v>
      </c>
      <c r="AR50" s="5" t="str">
        <f t="shared" si="121"/>
        <v>------</v>
      </c>
      <c r="AS50" s="5" t="str">
        <f t="shared" si="122"/>
        <v>------</v>
      </c>
      <c r="AT50" t="str">
        <f t="shared" si="123"/>
        <v/>
      </c>
      <c r="AV50" s="2">
        <f t="shared" si="4"/>
        <v>152.95193935</v>
      </c>
      <c r="AW50" s="2">
        <f t="shared" si="5"/>
        <v>152.90606065</v>
      </c>
      <c r="AX50" s="2">
        <f t="shared" si="6"/>
        <v>152.91693410000002</v>
      </c>
      <c r="AY50" s="2">
        <f t="shared" si="7"/>
        <v>152.87106590000002</v>
      </c>
      <c r="AZ50" s="2">
        <f t="shared" si="8"/>
        <v>153.21997955000001</v>
      </c>
      <c r="BA50" s="2">
        <f t="shared" si="9"/>
        <v>153.17402045</v>
      </c>
      <c r="BB50" s="2">
        <f t="shared" si="10"/>
        <v>152.61788925000002</v>
      </c>
      <c r="BC50" s="2">
        <f t="shared" si="11"/>
        <v>152.57211075000001</v>
      </c>
      <c r="BD50" s="2">
        <f t="shared" si="12"/>
        <v>152.61588895</v>
      </c>
      <c r="BE50" s="2">
        <f t="shared" si="13"/>
        <v>152.57011104999998</v>
      </c>
      <c r="BF50" s="2">
        <f t="shared" si="14"/>
        <v>152.86192585000001</v>
      </c>
      <c r="BG50" s="2">
        <f t="shared" si="15"/>
        <v>152.81607414999999</v>
      </c>
      <c r="BI50" s="5" t="str">
        <f t="shared" si="69"/>
        <v>-----</v>
      </c>
      <c r="BJ50" s="5" t="str">
        <f t="shared" si="70"/>
        <v>-----</v>
      </c>
      <c r="BK50" s="5" t="str">
        <f t="shared" si="71"/>
        <v>-----</v>
      </c>
      <c r="BL50" s="5" t="str">
        <f t="shared" si="72"/>
        <v>-----</v>
      </c>
      <c r="BM50" s="5" t="str">
        <f t="shared" si="73"/>
        <v>-----</v>
      </c>
      <c r="BN50" s="5" t="str">
        <f t="shared" si="74"/>
        <v>-----</v>
      </c>
      <c r="BO50" s="5"/>
      <c r="BP50" s="5">
        <f t="shared" si="165"/>
        <v>13</v>
      </c>
      <c r="BQ50" s="5">
        <f t="shared" si="165"/>
        <v>9</v>
      </c>
      <c r="BR50" s="5">
        <f t="shared" si="165"/>
        <v>44</v>
      </c>
      <c r="BS50" s="5">
        <f t="shared" si="165"/>
        <v>46</v>
      </c>
      <c r="BT50" s="5">
        <f t="shared" si="165"/>
        <v>46</v>
      </c>
      <c r="BU50" s="5">
        <f t="shared" si="165"/>
        <v>7</v>
      </c>
      <c r="BV50" s="5">
        <f t="shared" si="166"/>
        <v>1</v>
      </c>
      <c r="BW50" s="5">
        <f t="shared" si="166"/>
        <v>4</v>
      </c>
      <c r="BX50" s="5">
        <f t="shared" si="166"/>
        <v>2</v>
      </c>
      <c r="BY50" s="5">
        <f t="shared" si="166"/>
        <v>0</v>
      </c>
      <c r="BZ50" s="5">
        <f t="shared" si="166"/>
        <v>0</v>
      </c>
      <c r="CA50" s="5">
        <f t="shared" si="166"/>
        <v>3</v>
      </c>
      <c r="CB50" s="5" t="str">
        <f t="shared" si="102"/>
        <v>-----</v>
      </c>
      <c r="CC50" s="5" t="str">
        <f t="shared" si="101"/>
        <v>-----</v>
      </c>
      <c r="CD50" s="5" t="str">
        <f t="shared" si="101"/>
        <v>-----</v>
      </c>
      <c r="CE50" s="5" t="str">
        <f t="shared" si="101"/>
        <v>-----</v>
      </c>
      <c r="CF50" s="5" t="str">
        <f t="shared" si="101"/>
        <v>-----</v>
      </c>
      <c r="CG50" s="5" t="str">
        <f t="shared" si="101"/>
        <v>-----</v>
      </c>
      <c r="CH50" s="5"/>
      <c r="CI50" s="17" t="str">
        <f t="shared" si="124"/>
        <v>-----</v>
      </c>
      <c r="CJ50" s="17" t="str">
        <f t="shared" si="125"/>
        <v>-----</v>
      </c>
      <c r="CK50" s="17" t="str">
        <f t="shared" si="126"/>
        <v>-----</v>
      </c>
      <c r="CL50" s="17" t="str">
        <f t="shared" si="127"/>
        <v>-----</v>
      </c>
      <c r="CM50" s="17" t="str">
        <f t="shared" si="128"/>
        <v>-----</v>
      </c>
      <c r="CN50" s="17" t="str">
        <f t="shared" si="129"/>
        <v>-----</v>
      </c>
      <c r="CO50" s="5"/>
      <c r="CP50" s="5" t="str">
        <f t="shared" si="77"/>
        <v>-----</v>
      </c>
      <c r="CQ50" s="5" t="str">
        <f t="shared" si="77"/>
        <v>-----</v>
      </c>
      <c r="CR50" s="5" t="str">
        <f t="shared" si="77"/>
        <v>-----</v>
      </c>
      <c r="CS50" s="5" t="str">
        <f t="shared" si="77"/>
        <v>-----</v>
      </c>
      <c r="CT50" s="5" t="str">
        <f t="shared" si="77"/>
        <v>-----</v>
      </c>
      <c r="CU50" s="5" t="str">
        <f t="shared" si="77"/>
        <v>-----</v>
      </c>
      <c r="CV50" s="5"/>
      <c r="CW50" s="17" t="str">
        <f t="shared" si="78"/>
        <v/>
      </c>
      <c r="CX50" s="17" t="str">
        <f t="shared" si="78"/>
        <v/>
      </c>
      <c r="CY50" s="17" t="str">
        <f t="shared" si="78"/>
        <v/>
      </c>
      <c r="CZ50" s="17" t="str">
        <f t="shared" si="78"/>
        <v/>
      </c>
      <c r="DA50" s="17" t="str">
        <f t="shared" si="78"/>
        <v/>
      </c>
      <c r="DB50" s="17" t="str">
        <f t="shared" si="78"/>
        <v/>
      </c>
      <c r="DC50" s="8"/>
      <c r="DD50" s="5">
        <f t="shared" si="27"/>
        <v>0</v>
      </c>
      <c r="DE50" s="17" t="str">
        <f t="shared" si="79"/>
        <v>-----</v>
      </c>
      <c r="DF50" s="5" t="str" cm="1">
        <f t="array" ref="DF50">_xlfn.IFS(DE50=CW50,CP50,DE50=CX50,CQ50,DE50=CY50,CR50,DE50=CZ50,CS50,DE50=DA50,CT50,DE50=DB50,CU50,TRUE,"----- ")</f>
        <v xml:space="preserve">----- </v>
      </c>
      <c r="DG50" s="5"/>
      <c r="DH50" s="5">
        <f t="shared" si="80"/>
        <v>-2.423265306122455E-3</v>
      </c>
      <c r="DI50" s="5">
        <f t="shared" si="167"/>
        <v>-3.7194805194805478E-4</v>
      </c>
      <c r="DJ50" s="5">
        <f t="shared" si="168"/>
        <v>-1.6402721088435472E-3</v>
      </c>
      <c r="DK50" s="5">
        <f t="shared" si="169"/>
        <v>7.6471243042669956E-4</v>
      </c>
      <c r="DL50" s="5">
        <f t="shared" si="170"/>
        <v>-2.3081014223875058E-4</v>
      </c>
      <c r="DM50" s="5">
        <f t="shared" si="171"/>
        <v>1.5802844774273381E-3</v>
      </c>
      <c r="DO50" s="5">
        <f t="shared" si="130"/>
        <v>-1.9079214597220278</v>
      </c>
      <c r="DP50" s="5">
        <f t="shared" si="131"/>
        <v>-0.29295343676527091</v>
      </c>
      <c r="DQ50" s="5">
        <f t="shared" si="132"/>
        <v>-1.2917022253843653</v>
      </c>
      <c r="DR50" s="5">
        <f t="shared" si="133"/>
        <v>0.60228527619529781</v>
      </c>
      <c r="DS50" s="5">
        <f t="shared" si="134"/>
        <v>-0.18179147971962978</v>
      </c>
      <c r="DT50" s="5">
        <f t="shared" si="135"/>
        <v>1.2444775446344229</v>
      </c>
      <c r="DV50" t="str" cm="1">
        <f t="array" ref="DV50">_xlfn.IFS(DO50&gt;3,"Strong + Slope",DO50&gt;1.5,"Moderate + Slope",DO50&gt;0.5,"Sideway + Slope",DO50&gt;=-0.5,"Sideway Flat",DO50&gt;=-1.5,"Sideway - Slope",DO50&gt;=-3,"Moderate - Slope",TRUE,"Strong - Slope")</f>
        <v>Moderate - Slope</v>
      </c>
      <c r="DW50" t="str" cm="1">
        <f t="array" ref="DW50">_xlfn.IFS(DP50&gt;3,"Strong + Slope",DP50&gt;1.5,"Moderate + Slope",DP50&gt;0.5,"Sideway + Slope",DP50&gt;=-0.5,"Sideway Flat",DP50&gt;=-1.5,"Sideway - Slope",DP50&gt;=-3,"Moderate - Slope",TRUE,"Strong - Slope")</f>
        <v>Sideway Flat</v>
      </c>
      <c r="DX50" t="str" cm="1">
        <f t="array" ref="DX50">_xlfn.IFS(DQ50&gt;3,"Strong + Slope",DQ50&gt;1.5,"Moderate + Slope",DQ50&gt;0.5,"Sideway + Slope",DQ50&gt;=-0.5,"Sideway Flat",DQ50&gt;=-1.5,"Sideway - Slope",DQ50&gt;=-3,"Moderate - Slope",TRUE,"Strong - Slope")</f>
        <v>Sideway - Slope</v>
      </c>
      <c r="DY50" t="str" cm="1">
        <f t="array" ref="DY50">_xlfn.IFS(DR50&gt;3,"Strong + Slope",DR50&gt;1.5,"Moderate + Slope",DR50&gt;0.5,"Sideway + Slope",DR50&gt;=-0.5,"Sideway Flat",DR50&gt;=-1.5,"Sideway - Slope",DR50&gt;=-3,"Moderate - Slope",TRUE,"Strong - Slope")</f>
        <v>Sideway + Slope</v>
      </c>
      <c r="DZ50" t="str" cm="1">
        <f t="array" ref="DZ50">_xlfn.IFS(DS50&gt;3,"Strong + Slope",DS50&gt;1.5,"Moderate + Slope",DS50&gt;0.5,"Sideway + Slope",DS50&gt;=-0.5,"Sideway Flat",DS50&gt;=-1.5,"Sideway - Slope",DS50&gt;=-3,"Moderate - Slope",TRUE,"Strong - Slope")</f>
        <v>Sideway Flat</v>
      </c>
      <c r="EA50" t="str" cm="1">
        <f t="array" ref="EA50">_xlfn.IFS(DT50&gt;3,"Strong + Slope",DT50&gt;1.5,"Moderate + Slope",DT50&gt;0.5,"Sideway + Slope",DT50&gt;=-0.5,"Sideway Flat",DT50&gt;=-1.5,"Sideway - Slope",DT50&gt;=-3,"Moderate - Slope",TRUE,"Strong - Slope")</f>
        <v>Sideway + Slope</v>
      </c>
      <c r="EB50" s="5"/>
      <c r="EC50" s="5">
        <f t="shared" si="136"/>
        <v>2</v>
      </c>
      <c r="ED50" s="5">
        <f t="shared" si="137"/>
        <v>3</v>
      </c>
      <c r="EE50" s="5">
        <f t="shared" si="138"/>
        <v>1</v>
      </c>
      <c r="EF50" s="5">
        <f t="shared" si="139"/>
        <v>5</v>
      </c>
      <c r="EG50" s="5">
        <f t="shared" si="140"/>
        <v>6</v>
      </c>
      <c r="EH50" s="5">
        <f t="shared" si="141"/>
        <v>4</v>
      </c>
      <c r="EI50" s="5"/>
      <c r="EJ50" s="5" t="str">
        <f t="shared" si="142"/>
        <v>RES</v>
      </c>
      <c r="EK50" s="5" t="str">
        <f t="shared" si="143"/>
        <v>RES</v>
      </c>
      <c r="EL50" s="5" t="str">
        <f t="shared" si="144"/>
        <v>RES</v>
      </c>
      <c r="EM50" s="5" t="str">
        <f t="shared" si="145"/>
        <v>SUP</v>
      </c>
      <c r="EN50" s="5" t="str">
        <f t="shared" si="146"/>
        <v>SUP</v>
      </c>
      <c r="EO50" s="5" t="str">
        <f t="shared" si="147"/>
        <v>RES</v>
      </c>
      <c r="EP50" s="5"/>
      <c r="EQ50" s="8">
        <f t="shared" si="148"/>
        <v>1.5127899514073174E-3</v>
      </c>
      <c r="ER50" s="8">
        <f t="shared" si="149"/>
        <v>1.2835793527092559E-3</v>
      </c>
      <c r="ES50" s="8">
        <f t="shared" si="150"/>
        <v>3.267888250009792E-3</v>
      </c>
      <c r="ET50" s="8">
        <f t="shared" si="151"/>
        <v>-6.7453404759727461E-4</v>
      </c>
      <c r="EU50" s="8">
        <f t="shared" si="152"/>
        <v>-6.8763179609437051E-4</v>
      </c>
      <c r="EV50" s="8">
        <f t="shared" si="153"/>
        <v>9.2339126904079374E-4</v>
      </c>
      <c r="EW50" s="8"/>
      <c r="EX50" s="8">
        <f t="shared" si="154"/>
        <v>0.17384105960267526</v>
      </c>
      <c r="EY50" s="9">
        <f t="shared" si="54"/>
        <v>4</v>
      </c>
      <c r="EZ50" s="10">
        <f t="shared" si="55"/>
        <v>2</v>
      </c>
      <c r="FA50" s="8">
        <f t="shared" si="86"/>
        <v>3.267888250009792E-3</v>
      </c>
      <c r="FB50" s="8">
        <f t="shared" si="87"/>
        <v>1.5127899514073174E-3</v>
      </c>
      <c r="FC50" s="8">
        <f t="shared" si="88"/>
        <v>1.2835793527092559E-3</v>
      </c>
      <c r="FD50" s="8">
        <f t="shared" si="89"/>
        <v>9.2339126904079374E-4</v>
      </c>
      <c r="FE50" s="8">
        <f t="shared" si="90"/>
        <v>-6.7453404759727461E-4</v>
      </c>
      <c r="FF50" s="8">
        <f t="shared" si="91"/>
        <v>-6.8763179609437051E-4</v>
      </c>
      <c r="FG50" s="5"/>
      <c r="FH50" s="5" t="str">
        <f t="shared" si="155"/>
        <v>-----</v>
      </c>
      <c r="FI50" s="5" t="str">
        <f t="shared" si="92"/>
        <v>Flat Momentum</v>
      </c>
      <c r="FJ50" s="5"/>
      <c r="FK50" s="5" t="str">
        <f t="shared" si="93"/>
        <v>-----</v>
      </c>
      <c r="FL50" s="5" t="str">
        <f t="shared" si="94"/>
        <v>-----</v>
      </c>
      <c r="FM50" s="5"/>
      <c r="FN50" s="5"/>
      <c r="FO50" s="8" t="str">
        <f t="shared" si="174"/>
        <v>Bearish</v>
      </c>
      <c r="FP50" s="8"/>
      <c r="FQ50" s="14">
        <f t="shared" si="156"/>
        <v>-1.0989729835808619E-3</v>
      </c>
      <c r="FR50" s="14">
        <f t="shared" si="58"/>
        <v>-1.8708106793105097</v>
      </c>
      <c r="FS50" s="14" t="str">
        <f t="shared" si="59"/>
        <v>Reverse to Bullish</v>
      </c>
      <c r="FT50" s="14" t="str">
        <f t="shared" si="157"/>
        <v>Bearish</v>
      </c>
      <c r="FU50" s="5" t="str">
        <f t="shared" si="172"/>
        <v>-----</v>
      </c>
      <c r="FV50" s="5" t="str">
        <f t="shared" si="173"/>
        <v>-----</v>
      </c>
      <c r="FW50" s="5"/>
      <c r="FX50" s="15" t="str">
        <f t="shared" si="116"/>
        <v>YES</v>
      </c>
      <c r="FY50" s="15" t="str">
        <f t="shared" si="117"/>
        <v>-----</v>
      </c>
      <c r="FZ50" s="15" t="str">
        <f t="shared" si="118"/>
        <v>-----</v>
      </c>
      <c r="GA50" s="15" t="str">
        <f t="shared" si="119"/>
        <v>YES</v>
      </c>
      <c r="GB50" s="16" t="str">
        <f t="shared" si="107"/>
        <v>-----</v>
      </c>
      <c r="GC50" s="16" t="str">
        <f t="shared" si="108"/>
        <v>YES</v>
      </c>
      <c r="GD50" s="16" t="str">
        <f t="shared" si="109"/>
        <v>YES</v>
      </c>
      <c r="GE50" s="16" t="str">
        <f t="shared" si="112"/>
        <v>YES</v>
      </c>
      <c r="GF50" s="15" t="str">
        <f t="shared" si="110"/>
        <v>-----</v>
      </c>
      <c r="GG50" s="16" t="str">
        <f t="shared" si="120"/>
        <v>-----</v>
      </c>
      <c r="GH50" s="14"/>
      <c r="GI50" s="5" t="str">
        <f t="shared" si="158"/>
        <v>-----</v>
      </c>
      <c r="GJ50" s="5" t="str">
        <f t="shared" si="159"/>
        <v>-----</v>
      </c>
      <c r="GK50" s="5"/>
      <c r="GL50" s="5" t="str">
        <f t="shared" si="160"/>
        <v>-----</v>
      </c>
      <c r="GM50" s="5" t="str">
        <f t="shared" si="161"/>
        <v>-----</v>
      </c>
      <c r="GN50" s="5"/>
      <c r="GO50" s="12">
        <f t="shared" si="162"/>
        <v>6.7000000000007276E-2</v>
      </c>
      <c r="GP50" s="5">
        <f t="shared" si="97"/>
        <v>-0.20230249125426</v>
      </c>
      <c r="GQ50" s="13" t="str">
        <f t="shared" si="98"/>
        <v>-----</v>
      </c>
      <c r="GR50" s="5"/>
      <c r="GS50">
        <f t="shared" si="99"/>
        <v>-0.20291501749781063</v>
      </c>
      <c r="GT50" s="5" t="str">
        <f t="shared" si="100"/>
        <v>-----</v>
      </c>
    </row>
    <row r="51" spans="1:202" x14ac:dyDescent="0.55000000000000004">
      <c r="A51">
        <v>47</v>
      </c>
      <c r="B51" t="s">
        <v>50</v>
      </c>
      <c r="C51" t="s">
        <v>4</v>
      </c>
      <c r="D51" t="s">
        <v>103</v>
      </c>
      <c r="E51">
        <v>152.69800000000001</v>
      </c>
      <c r="F51">
        <v>152.81899999999999</v>
      </c>
      <c r="G51">
        <v>152.69800000000001</v>
      </c>
      <c r="H51">
        <v>152.81299999999999</v>
      </c>
      <c r="I51">
        <v>293</v>
      </c>
      <c r="J51">
        <v>152.92699999999999</v>
      </c>
      <c r="K51">
        <v>152.89400000000001</v>
      </c>
      <c r="L51">
        <v>153.19499999999999</v>
      </c>
      <c r="M51">
        <v>152.595</v>
      </c>
      <c r="N51">
        <v>152.59200000000001</v>
      </c>
      <c r="O51">
        <v>152.84100000000001</v>
      </c>
      <c r="P51">
        <v>0</v>
      </c>
      <c r="Q51">
        <v>0</v>
      </c>
      <c r="R51">
        <v>0</v>
      </c>
      <c r="S51">
        <v>0</v>
      </c>
      <c r="T51">
        <v>0</v>
      </c>
      <c r="U51">
        <v>1.5141899999999999</v>
      </c>
      <c r="V51">
        <v>1</v>
      </c>
      <c r="W51">
        <v>153.19289000000001</v>
      </c>
      <c r="X51">
        <v>153.10696999999999</v>
      </c>
      <c r="Y51">
        <v>153.02106000000001</v>
      </c>
      <c r="Z51">
        <v>152.93514999999999</v>
      </c>
      <c r="AA51">
        <v>152.84923000000001</v>
      </c>
      <c r="AB51">
        <v>152.75612000000001</v>
      </c>
      <c r="AC51">
        <v>152.67021</v>
      </c>
      <c r="AD51">
        <v>152.58430000000001</v>
      </c>
      <c r="AE51">
        <v>152.49838</v>
      </c>
      <c r="AF51">
        <v>152.41247000000001</v>
      </c>
      <c r="AG51">
        <v>152.715</v>
      </c>
      <c r="AH51">
        <v>152.69800000000001</v>
      </c>
      <c r="AI51">
        <v>152.863</v>
      </c>
      <c r="AJ51">
        <v>153.036</v>
      </c>
      <c r="AK51">
        <v>152.751</v>
      </c>
      <c r="AL51">
        <v>152.65899999999999</v>
      </c>
      <c r="AM51" s="11">
        <f t="shared" si="0"/>
        <v>0.1209999999999809</v>
      </c>
      <c r="AN51" s="11">
        <f t="shared" si="66"/>
        <v>0.1209999999999809</v>
      </c>
      <c r="AO51" s="11">
        <f t="shared" si="163"/>
        <v>0</v>
      </c>
      <c r="AP51" s="11">
        <f t="shared" si="164"/>
        <v>0.1209999999999809</v>
      </c>
      <c r="AR51" s="5" t="str">
        <f t="shared" si="121"/>
        <v>------</v>
      </c>
      <c r="AS51" s="5" t="str">
        <f t="shared" si="122"/>
        <v>------</v>
      </c>
      <c r="AT51" t="str">
        <f t="shared" si="123"/>
        <v/>
      </c>
      <c r="AV51" s="2">
        <f t="shared" si="4"/>
        <v>152.94993905000001</v>
      </c>
      <c r="AW51" s="2">
        <f t="shared" si="5"/>
        <v>152.90406095</v>
      </c>
      <c r="AX51" s="2">
        <f t="shared" si="6"/>
        <v>152.91693410000002</v>
      </c>
      <c r="AY51" s="2">
        <f t="shared" si="7"/>
        <v>152.87106590000002</v>
      </c>
      <c r="AZ51" s="2">
        <f t="shared" si="8"/>
        <v>153.21797925000001</v>
      </c>
      <c r="BA51" s="2">
        <f t="shared" si="9"/>
        <v>153.17202075</v>
      </c>
      <c r="BB51" s="2">
        <f t="shared" si="10"/>
        <v>152.61788925000002</v>
      </c>
      <c r="BC51" s="2">
        <f t="shared" si="11"/>
        <v>152.57211075000001</v>
      </c>
      <c r="BD51" s="2">
        <f t="shared" si="12"/>
        <v>152.61488880000002</v>
      </c>
      <c r="BE51" s="2">
        <f t="shared" si="13"/>
        <v>152.56911120000001</v>
      </c>
      <c r="BF51" s="2">
        <f t="shared" si="14"/>
        <v>152.86392615000003</v>
      </c>
      <c r="BG51" s="2">
        <f t="shared" si="15"/>
        <v>152.81807385000002</v>
      </c>
      <c r="BI51" s="5" t="str">
        <f t="shared" si="69"/>
        <v>-----</v>
      </c>
      <c r="BJ51" s="5" t="str">
        <f t="shared" si="70"/>
        <v>-----</v>
      </c>
      <c r="BK51" s="5" t="str">
        <f t="shared" si="71"/>
        <v>-----</v>
      </c>
      <c r="BL51" s="5" t="str">
        <f t="shared" si="72"/>
        <v>-----</v>
      </c>
      <c r="BM51" s="5" t="str">
        <f t="shared" si="73"/>
        <v>-----</v>
      </c>
      <c r="BN51" s="5" t="str">
        <f t="shared" si="74"/>
        <v>-----</v>
      </c>
      <c r="BO51" s="5"/>
      <c r="BP51" s="5">
        <f t="shared" si="165"/>
        <v>14</v>
      </c>
      <c r="BQ51" s="5">
        <f t="shared" si="165"/>
        <v>10</v>
      </c>
      <c r="BR51" s="5">
        <f t="shared" si="165"/>
        <v>45</v>
      </c>
      <c r="BS51" s="5">
        <f t="shared" si="165"/>
        <v>47</v>
      </c>
      <c r="BT51" s="5">
        <f t="shared" si="165"/>
        <v>47</v>
      </c>
      <c r="BU51" s="5">
        <f t="shared" si="165"/>
        <v>8</v>
      </c>
      <c r="BV51" s="5">
        <f t="shared" si="166"/>
        <v>1</v>
      </c>
      <c r="BW51" s="5">
        <f t="shared" si="166"/>
        <v>4</v>
      </c>
      <c r="BX51" s="5">
        <f t="shared" si="166"/>
        <v>2</v>
      </c>
      <c r="BY51" s="5">
        <f t="shared" si="166"/>
        <v>0</v>
      </c>
      <c r="BZ51" s="5">
        <f t="shared" si="166"/>
        <v>0</v>
      </c>
      <c r="CA51" s="5">
        <f t="shared" si="166"/>
        <v>3</v>
      </c>
      <c r="CB51" s="5" t="str">
        <f t="shared" si="102"/>
        <v>-----</v>
      </c>
      <c r="CC51" s="5" t="str">
        <f t="shared" si="101"/>
        <v>-----</v>
      </c>
      <c r="CD51" s="5" t="str">
        <f t="shared" si="101"/>
        <v>-----</v>
      </c>
      <c r="CE51" s="5" t="str">
        <f t="shared" si="101"/>
        <v>-----</v>
      </c>
      <c r="CF51" s="5" t="str">
        <f t="shared" si="101"/>
        <v>-----</v>
      </c>
      <c r="CG51" s="5" t="str">
        <f t="shared" si="101"/>
        <v>-----</v>
      </c>
      <c r="CH51" s="5"/>
      <c r="CI51" s="17" t="str">
        <f t="shared" si="124"/>
        <v>-----</v>
      </c>
      <c r="CJ51" s="17" t="str">
        <f t="shared" si="125"/>
        <v>-----</v>
      </c>
      <c r="CK51" s="17" t="str">
        <f t="shared" si="126"/>
        <v>-----</v>
      </c>
      <c r="CL51" s="17" t="str">
        <f t="shared" si="127"/>
        <v>-----</v>
      </c>
      <c r="CM51" s="17" t="str">
        <f t="shared" si="128"/>
        <v>-----</v>
      </c>
      <c r="CN51" s="17" t="str">
        <f t="shared" si="129"/>
        <v>-----</v>
      </c>
      <c r="CO51" s="5"/>
      <c r="CP51" s="5" t="str">
        <f t="shared" si="77"/>
        <v>-----</v>
      </c>
      <c r="CQ51" s="5" t="str">
        <f t="shared" si="77"/>
        <v>-----</v>
      </c>
      <c r="CR51" s="5" t="str">
        <f t="shared" si="77"/>
        <v>-----</v>
      </c>
      <c r="CS51" s="5" t="str">
        <f t="shared" si="77"/>
        <v>-----</v>
      </c>
      <c r="CT51" s="5" t="str">
        <f t="shared" si="77"/>
        <v>-----</v>
      </c>
      <c r="CU51" s="5" t="str">
        <f t="shared" si="77"/>
        <v>-----</v>
      </c>
      <c r="CV51" s="5"/>
      <c r="CW51" s="17" t="str">
        <f t="shared" si="78"/>
        <v/>
      </c>
      <c r="CX51" s="17" t="str">
        <f t="shared" si="78"/>
        <v/>
      </c>
      <c r="CY51" s="17" t="str">
        <f t="shared" si="78"/>
        <v/>
      </c>
      <c r="CZ51" s="17" t="str">
        <f t="shared" si="78"/>
        <v/>
      </c>
      <c r="DA51" s="17" t="str">
        <f t="shared" si="78"/>
        <v/>
      </c>
      <c r="DB51" s="17" t="str">
        <f t="shared" si="78"/>
        <v/>
      </c>
      <c r="DC51" s="8"/>
      <c r="DD51" s="5">
        <f t="shared" si="27"/>
        <v>0</v>
      </c>
      <c r="DE51" s="17" t="str">
        <f t="shared" si="79"/>
        <v>-----</v>
      </c>
      <c r="DF51" s="5" t="str" cm="1">
        <f t="array" ref="DF51">_xlfn.IFS(DE51=CW51,CP51,DE51=CX51,CQ51,DE51=CY51,CR51,DE51=CZ51,CS51,DE51=DA51,CT51,DE51=DB51,CU51,TRUE,"----- ")</f>
        <v xml:space="preserve">----- </v>
      </c>
      <c r="DG51" s="5"/>
      <c r="DH51" s="5">
        <f t="shared" si="80"/>
        <v>-2.423265306122455E-3</v>
      </c>
      <c r="DI51" s="5">
        <f t="shared" si="167"/>
        <v>-3.7194805194805478E-4</v>
      </c>
      <c r="DJ51" s="5">
        <f t="shared" si="168"/>
        <v>-1.6402721088435472E-3</v>
      </c>
      <c r="DK51" s="5">
        <f t="shared" si="169"/>
        <v>7.6471243042669956E-4</v>
      </c>
      <c r="DL51" s="5">
        <f t="shared" si="170"/>
        <v>-2.3081014223875058E-4</v>
      </c>
      <c r="DM51" s="5">
        <f t="shared" si="171"/>
        <v>1.5802844774273381E-3</v>
      </c>
      <c r="DO51" s="5">
        <f t="shared" si="130"/>
        <v>-1.9079214597220278</v>
      </c>
      <c r="DP51" s="5">
        <f t="shared" si="131"/>
        <v>-0.29295343676527091</v>
      </c>
      <c r="DQ51" s="5">
        <f t="shared" si="132"/>
        <v>-1.2917022253843653</v>
      </c>
      <c r="DR51" s="5">
        <f t="shared" si="133"/>
        <v>0.60228527619529781</v>
      </c>
      <c r="DS51" s="5">
        <f t="shared" si="134"/>
        <v>-0.18179147971962978</v>
      </c>
      <c r="DT51" s="5">
        <f t="shared" si="135"/>
        <v>1.2444775446344229</v>
      </c>
      <c r="DV51" t="str" cm="1">
        <f t="array" ref="DV51">_xlfn.IFS(DO51&gt;3,"Strong + Slope",DO51&gt;1.5,"Moderate + Slope",DO51&gt;0.5,"Sideway + Slope",DO51&gt;=-0.5,"Sideway Flat",DO51&gt;=-1.5,"Sideway - Slope",DO51&gt;=-3,"Moderate - Slope",TRUE,"Strong - Slope")</f>
        <v>Moderate - Slope</v>
      </c>
      <c r="DW51" t="str" cm="1">
        <f t="array" ref="DW51">_xlfn.IFS(DP51&gt;3,"Strong + Slope",DP51&gt;1.5,"Moderate + Slope",DP51&gt;0.5,"Sideway + Slope",DP51&gt;=-0.5,"Sideway Flat",DP51&gt;=-1.5,"Sideway - Slope",DP51&gt;=-3,"Moderate - Slope",TRUE,"Strong - Slope")</f>
        <v>Sideway Flat</v>
      </c>
      <c r="DX51" t="str" cm="1">
        <f t="array" ref="DX51">_xlfn.IFS(DQ51&gt;3,"Strong + Slope",DQ51&gt;1.5,"Moderate + Slope",DQ51&gt;0.5,"Sideway + Slope",DQ51&gt;=-0.5,"Sideway Flat",DQ51&gt;=-1.5,"Sideway - Slope",DQ51&gt;=-3,"Moderate - Slope",TRUE,"Strong - Slope")</f>
        <v>Sideway - Slope</v>
      </c>
      <c r="DY51" t="str" cm="1">
        <f t="array" ref="DY51">_xlfn.IFS(DR51&gt;3,"Strong + Slope",DR51&gt;1.5,"Moderate + Slope",DR51&gt;0.5,"Sideway + Slope",DR51&gt;=-0.5,"Sideway Flat",DR51&gt;=-1.5,"Sideway - Slope",DR51&gt;=-3,"Moderate - Slope",TRUE,"Strong - Slope")</f>
        <v>Sideway + Slope</v>
      </c>
      <c r="DZ51" t="str" cm="1">
        <f t="array" ref="DZ51">_xlfn.IFS(DS51&gt;3,"Strong + Slope",DS51&gt;1.5,"Moderate + Slope",DS51&gt;0.5,"Sideway + Slope",DS51&gt;=-0.5,"Sideway Flat",DS51&gt;=-1.5,"Sideway - Slope",DS51&gt;=-3,"Moderate - Slope",TRUE,"Strong - Slope")</f>
        <v>Sideway Flat</v>
      </c>
      <c r="EA51" t="str" cm="1">
        <f t="array" ref="EA51">_xlfn.IFS(DT51&gt;3,"Strong + Slope",DT51&gt;1.5,"Moderate + Slope",DT51&gt;0.5,"Sideway + Slope",DT51&gt;=-0.5,"Sideway Flat",DT51&gt;=-1.5,"Sideway - Slope",DT51&gt;=-3,"Moderate - Slope",TRUE,"Strong - Slope")</f>
        <v>Sideway + Slope</v>
      </c>
      <c r="EB51" s="5"/>
      <c r="EC51" s="5">
        <f t="shared" si="136"/>
        <v>2</v>
      </c>
      <c r="ED51" s="5">
        <f t="shared" si="137"/>
        <v>3</v>
      </c>
      <c r="EE51" s="5">
        <f t="shared" si="138"/>
        <v>1</v>
      </c>
      <c r="EF51" s="5">
        <f t="shared" si="139"/>
        <v>5</v>
      </c>
      <c r="EG51" s="5">
        <f t="shared" si="140"/>
        <v>6</v>
      </c>
      <c r="EH51" s="5">
        <f t="shared" si="141"/>
        <v>4</v>
      </c>
      <c r="EI51" s="5"/>
      <c r="EJ51" s="5" t="str">
        <f t="shared" si="142"/>
        <v>RES</v>
      </c>
      <c r="EK51" s="5" t="str">
        <f t="shared" si="143"/>
        <v>RES</v>
      </c>
      <c r="EL51" s="5" t="str">
        <f t="shared" si="144"/>
        <v>RES</v>
      </c>
      <c r="EM51" s="5" t="str">
        <f t="shared" si="145"/>
        <v>SUP</v>
      </c>
      <c r="EN51" s="5" t="str">
        <f t="shared" si="146"/>
        <v>SUP</v>
      </c>
      <c r="EO51" s="5" t="str">
        <f t="shared" si="147"/>
        <v>RES</v>
      </c>
      <c r="EP51" s="5"/>
      <c r="EQ51" s="8">
        <f t="shared" si="148"/>
        <v>7.4600982900672281E-4</v>
      </c>
      <c r="ER51" s="8">
        <f t="shared" si="149"/>
        <v>5.3005961534697502E-4</v>
      </c>
      <c r="ES51" s="8">
        <f t="shared" si="150"/>
        <v>2.4997873217593074E-3</v>
      </c>
      <c r="ET51" s="8">
        <f t="shared" si="151"/>
        <v>-1.4265801993285213E-3</v>
      </c>
      <c r="EU51" s="8">
        <f t="shared" si="152"/>
        <v>-1.4462120369338684E-3</v>
      </c>
      <c r="EV51" s="8">
        <f t="shared" si="153"/>
        <v>1.8323048431756467E-4</v>
      </c>
      <c r="EW51" s="8"/>
      <c r="EX51" s="8">
        <f t="shared" si="154"/>
        <v>0.36650082918736726</v>
      </c>
      <c r="EY51" s="9">
        <f t="shared" si="54"/>
        <v>4</v>
      </c>
      <c r="EZ51" s="10">
        <f t="shared" si="55"/>
        <v>2</v>
      </c>
      <c r="FA51" s="8">
        <f t="shared" si="86"/>
        <v>2.4997873217593074E-3</v>
      </c>
      <c r="FB51" s="8">
        <f t="shared" si="87"/>
        <v>7.4600982900672281E-4</v>
      </c>
      <c r="FC51" s="8">
        <f t="shared" si="88"/>
        <v>5.3005961534697502E-4</v>
      </c>
      <c r="FD51" s="8">
        <f t="shared" si="89"/>
        <v>1.8323048431756467E-4</v>
      </c>
      <c r="FE51" s="8">
        <f t="shared" si="90"/>
        <v>-1.4265801993285213E-3</v>
      </c>
      <c r="FF51" s="8">
        <f t="shared" si="91"/>
        <v>-1.4462120369338684E-3</v>
      </c>
      <c r="FG51" s="5"/>
      <c r="FH51" s="5" t="str">
        <f t="shared" si="155"/>
        <v>-----</v>
      </c>
      <c r="FI51" s="5" t="str">
        <f t="shared" si="92"/>
        <v>Flat Momentum</v>
      </c>
      <c r="FJ51" s="5"/>
      <c r="FK51" s="5" t="str">
        <f t="shared" si="93"/>
        <v>-----</v>
      </c>
      <c r="FL51" s="5" t="str">
        <f t="shared" si="94"/>
        <v>-----</v>
      </c>
      <c r="FM51" s="5"/>
      <c r="FN51" s="5"/>
      <c r="FO51" s="8" t="str">
        <f t="shared" si="174"/>
        <v>Bearish</v>
      </c>
      <c r="FP51" s="8"/>
      <c r="FQ51" s="14">
        <f t="shared" si="156"/>
        <v>-1.0793978922302456E-3</v>
      </c>
      <c r="FR51" s="14">
        <f t="shared" si="58"/>
        <v>-1.8143550827389567</v>
      </c>
      <c r="FS51" s="14" t="str">
        <f t="shared" si="59"/>
        <v>Reverse to Bullish</v>
      </c>
      <c r="FT51" s="14" t="str">
        <f t="shared" si="157"/>
        <v>Bullish</v>
      </c>
      <c r="FU51" s="5" t="str">
        <f t="shared" si="172"/>
        <v>-----</v>
      </c>
      <c r="FV51" s="5" t="str">
        <f t="shared" si="173"/>
        <v>-----</v>
      </c>
      <c r="FW51" s="5"/>
      <c r="FX51" s="15" t="str">
        <f t="shared" si="116"/>
        <v>YES</v>
      </c>
      <c r="FY51" s="15" t="str">
        <f t="shared" si="117"/>
        <v>-----</v>
      </c>
      <c r="FZ51" s="15" t="str">
        <f t="shared" si="118"/>
        <v>-----</v>
      </c>
      <c r="GA51" s="15" t="str">
        <f t="shared" si="119"/>
        <v>-----</v>
      </c>
      <c r="GB51" s="16" t="str">
        <f t="shared" si="107"/>
        <v>-----</v>
      </c>
      <c r="GC51" s="16" t="str">
        <f t="shared" si="108"/>
        <v>YES</v>
      </c>
      <c r="GD51" s="16" t="str">
        <f t="shared" si="109"/>
        <v>-----</v>
      </c>
      <c r="GE51" s="16" t="str">
        <f t="shared" si="112"/>
        <v>YES</v>
      </c>
      <c r="GF51" s="15" t="str">
        <f t="shared" si="110"/>
        <v>-----</v>
      </c>
      <c r="GG51" s="16" t="str">
        <f t="shared" si="120"/>
        <v>-----</v>
      </c>
      <c r="GH51" s="14"/>
      <c r="GI51" s="5" t="str">
        <f t="shared" si="158"/>
        <v>Bullish Trigger</v>
      </c>
      <c r="GJ51" s="5" t="str">
        <f t="shared" si="159"/>
        <v>-----</v>
      </c>
      <c r="GK51" s="5"/>
      <c r="GL51" s="5" t="str">
        <f t="shared" si="160"/>
        <v>-----</v>
      </c>
      <c r="GM51" s="5" t="str">
        <f t="shared" si="161"/>
        <v>-----</v>
      </c>
      <c r="GN51" s="5"/>
      <c r="GO51" s="12">
        <f t="shared" si="162"/>
        <v>9.200000000001296E-2</v>
      </c>
      <c r="GP51" s="5">
        <f t="shared" si="97"/>
        <v>0.37387549016657096</v>
      </c>
      <c r="GQ51" s="13" t="str">
        <f t="shared" si="98"/>
        <v>-----</v>
      </c>
      <c r="GR51" s="5"/>
      <c r="GS51">
        <f t="shared" si="99"/>
        <v>2.9397582040318761E-2</v>
      </c>
      <c r="GT51" s="5" t="str">
        <f t="shared" si="100"/>
        <v>-----</v>
      </c>
    </row>
    <row r="52" spans="1:202" x14ac:dyDescent="0.55000000000000004">
      <c r="A52">
        <v>48</v>
      </c>
      <c r="B52" t="s">
        <v>51</v>
      </c>
      <c r="C52" t="s">
        <v>4</v>
      </c>
      <c r="D52" t="s">
        <v>103</v>
      </c>
      <c r="E52">
        <v>152.81299999999999</v>
      </c>
      <c r="F52">
        <v>152.82300000000001</v>
      </c>
      <c r="G52">
        <v>152.78899999999999</v>
      </c>
      <c r="H52">
        <v>152.81899999999999</v>
      </c>
      <c r="I52">
        <v>254</v>
      </c>
      <c r="J52">
        <v>152.92400000000001</v>
      </c>
      <c r="K52">
        <v>152.89400000000001</v>
      </c>
      <c r="L52">
        <v>153.19399999999999</v>
      </c>
      <c r="M52">
        <v>152.596</v>
      </c>
      <c r="N52">
        <v>152.59200000000001</v>
      </c>
      <c r="O52">
        <v>152.84200000000001</v>
      </c>
      <c r="P52">
        <v>0</v>
      </c>
      <c r="Q52">
        <v>0</v>
      </c>
      <c r="R52">
        <v>0</v>
      </c>
      <c r="S52">
        <v>0</v>
      </c>
      <c r="T52">
        <v>0</v>
      </c>
      <c r="U52">
        <v>0.95526999999999995</v>
      </c>
      <c r="V52">
        <v>0</v>
      </c>
      <c r="W52">
        <v>153.17936</v>
      </c>
      <c r="X52">
        <v>153.09342000000001</v>
      </c>
      <c r="Y52">
        <v>153.00747999999999</v>
      </c>
      <c r="Z52">
        <v>152.92153999999999</v>
      </c>
      <c r="AA52">
        <v>152.8356</v>
      </c>
      <c r="AB52">
        <v>152.74466000000001</v>
      </c>
      <c r="AC52">
        <v>152.65871999999999</v>
      </c>
      <c r="AD52">
        <v>152.57279</v>
      </c>
      <c r="AE52">
        <v>152.48685</v>
      </c>
      <c r="AF52">
        <v>152.40091000000001</v>
      </c>
      <c r="AG52">
        <v>152.75899999999999</v>
      </c>
      <c r="AH52">
        <v>152.70400000000001</v>
      </c>
      <c r="AI52">
        <v>152.85900000000001</v>
      </c>
      <c r="AJ52">
        <v>153.03</v>
      </c>
      <c r="AK52">
        <v>152.78299999999999</v>
      </c>
      <c r="AL52">
        <v>152.71799999999999</v>
      </c>
      <c r="AM52" s="11">
        <f t="shared" si="0"/>
        <v>3.4000000000020236E-2</v>
      </c>
      <c r="AN52" s="11">
        <f t="shared" si="66"/>
        <v>1.0000000000019327E-2</v>
      </c>
      <c r="AO52" s="11">
        <f t="shared" si="163"/>
        <v>2.4000000000000909E-2</v>
      </c>
      <c r="AP52" s="11">
        <f t="shared" si="164"/>
        <v>3.4000000000020236E-2</v>
      </c>
      <c r="AR52" s="5" t="str">
        <f t="shared" si="121"/>
        <v>------</v>
      </c>
      <c r="AS52" s="5" t="str">
        <f t="shared" si="122"/>
        <v>------</v>
      </c>
      <c r="AT52" t="str">
        <f t="shared" si="123"/>
        <v/>
      </c>
      <c r="AV52" s="2">
        <f t="shared" si="4"/>
        <v>152.94693860000001</v>
      </c>
      <c r="AW52" s="2">
        <f t="shared" si="5"/>
        <v>152.9010614</v>
      </c>
      <c r="AX52" s="2">
        <f t="shared" si="6"/>
        <v>152.91693410000002</v>
      </c>
      <c r="AY52" s="2">
        <f t="shared" si="7"/>
        <v>152.87106590000002</v>
      </c>
      <c r="AZ52" s="2">
        <f t="shared" si="8"/>
        <v>153.2169791</v>
      </c>
      <c r="BA52" s="2">
        <f t="shared" si="9"/>
        <v>153.1710209</v>
      </c>
      <c r="BB52" s="2">
        <f t="shared" si="10"/>
        <v>152.61888940000003</v>
      </c>
      <c r="BC52" s="2">
        <f t="shared" si="11"/>
        <v>152.57311060000001</v>
      </c>
      <c r="BD52" s="2">
        <f t="shared" si="12"/>
        <v>152.61488880000002</v>
      </c>
      <c r="BE52" s="2">
        <f t="shared" si="13"/>
        <v>152.56911120000001</v>
      </c>
      <c r="BF52" s="2">
        <f t="shared" si="14"/>
        <v>152.86492630000004</v>
      </c>
      <c r="BG52" s="2">
        <f t="shared" si="15"/>
        <v>152.81907370000002</v>
      </c>
      <c r="BI52" s="5" t="str">
        <f t="shared" si="69"/>
        <v>-----</v>
      </c>
      <c r="BJ52" s="5" t="str">
        <f t="shared" si="70"/>
        <v>-----</v>
      </c>
      <c r="BK52" s="5" t="str">
        <f t="shared" si="71"/>
        <v>-----</v>
      </c>
      <c r="BL52" s="5" t="str">
        <f t="shared" si="72"/>
        <v>-----</v>
      </c>
      <c r="BM52" s="5" t="str">
        <f t="shared" si="73"/>
        <v>-----</v>
      </c>
      <c r="BN52" s="5" t="str">
        <f t="shared" si="74"/>
        <v>-----</v>
      </c>
      <c r="BO52" s="5"/>
      <c r="BP52" s="5">
        <f t="shared" si="165"/>
        <v>15</v>
      </c>
      <c r="BQ52" s="5">
        <f t="shared" si="165"/>
        <v>11</v>
      </c>
      <c r="BR52" s="5">
        <f t="shared" si="165"/>
        <v>46</v>
      </c>
      <c r="BS52" s="5">
        <f t="shared" si="165"/>
        <v>48</v>
      </c>
      <c r="BT52" s="5">
        <f t="shared" si="165"/>
        <v>48</v>
      </c>
      <c r="BU52" s="5">
        <f t="shared" si="165"/>
        <v>9</v>
      </c>
      <c r="BV52" s="5">
        <f t="shared" si="166"/>
        <v>1</v>
      </c>
      <c r="BW52" s="5">
        <f t="shared" si="166"/>
        <v>4</v>
      </c>
      <c r="BX52" s="5">
        <f t="shared" si="166"/>
        <v>2</v>
      </c>
      <c r="BY52" s="5">
        <f t="shared" si="166"/>
        <v>0</v>
      </c>
      <c r="BZ52" s="5">
        <f t="shared" si="166"/>
        <v>0</v>
      </c>
      <c r="CA52" s="5">
        <f t="shared" si="166"/>
        <v>3</v>
      </c>
      <c r="CB52" s="5" t="str">
        <f t="shared" si="102"/>
        <v>-----</v>
      </c>
      <c r="CC52" s="5" t="str">
        <f t="shared" si="101"/>
        <v>-----</v>
      </c>
      <c r="CD52" s="5" t="str">
        <f t="shared" si="101"/>
        <v>-----</v>
      </c>
      <c r="CE52" s="5" t="str">
        <f t="shared" si="101"/>
        <v>-----</v>
      </c>
      <c r="CF52" s="5" t="str">
        <f t="shared" si="101"/>
        <v>-----</v>
      </c>
      <c r="CG52" s="5" t="str">
        <f t="shared" si="101"/>
        <v>-----</v>
      </c>
      <c r="CH52" s="5"/>
      <c r="CI52" s="17" t="str">
        <f t="shared" si="124"/>
        <v>-----</v>
      </c>
      <c r="CJ52" s="17" t="str">
        <f t="shared" si="125"/>
        <v>-----</v>
      </c>
      <c r="CK52" s="17" t="str">
        <f t="shared" si="126"/>
        <v>-----</v>
      </c>
      <c r="CL52" s="17" t="str">
        <f t="shared" si="127"/>
        <v>-----</v>
      </c>
      <c r="CM52" s="17" t="str">
        <f t="shared" si="128"/>
        <v>-----</v>
      </c>
      <c r="CN52" s="17" t="str">
        <f t="shared" si="129"/>
        <v>-----</v>
      </c>
      <c r="CO52" s="5"/>
      <c r="CP52" s="5" t="str">
        <f t="shared" si="77"/>
        <v>-----</v>
      </c>
      <c r="CQ52" s="5" t="str">
        <f t="shared" si="77"/>
        <v>-----</v>
      </c>
      <c r="CR52" s="5" t="str">
        <f t="shared" si="77"/>
        <v>-----</v>
      </c>
      <c r="CS52" s="5" t="str">
        <f t="shared" si="77"/>
        <v>-----</v>
      </c>
      <c r="CT52" s="5" t="str">
        <f t="shared" si="77"/>
        <v>-----</v>
      </c>
      <c r="CU52" s="5" t="str">
        <f t="shared" si="77"/>
        <v>-----</v>
      </c>
      <c r="CV52" s="5"/>
      <c r="CW52" s="17" t="str">
        <f t="shared" si="78"/>
        <v/>
      </c>
      <c r="CX52" s="17" t="str">
        <f t="shared" si="78"/>
        <v/>
      </c>
      <c r="CY52" s="17" t="str">
        <f t="shared" si="78"/>
        <v/>
      </c>
      <c r="CZ52" s="17" t="str">
        <f t="shared" si="78"/>
        <v/>
      </c>
      <c r="DA52" s="17" t="str">
        <f t="shared" si="78"/>
        <v/>
      </c>
      <c r="DB52" s="17" t="str">
        <f t="shared" si="78"/>
        <v/>
      </c>
      <c r="DC52" s="8"/>
      <c r="DD52" s="5">
        <f t="shared" si="27"/>
        <v>0</v>
      </c>
      <c r="DE52" s="17" t="str">
        <f t="shared" si="79"/>
        <v>-----</v>
      </c>
      <c r="DF52" s="5" t="str" cm="1">
        <f t="array" ref="DF52">_xlfn.IFS(DE52=CW52,CP52,DE52=CX52,CQ52,DE52=CY52,CR52,DE52=CZ52,CS52,DE52=DA52,CT52,DE52=DB52,CU52,TRUE,"----- ")</f>
        <v xml:space="preserve">----- </v>
      </c>
      <c r="DG52" s="5"/>
      <c r="DH52" s="5">
        <f t="shared" si="80"/>
        <v>-2.423265306122455E-3</v>
      </c>
      <c r="DI52" s="5">
        <f t="shared" si="167"/>
        <v>-3.7194805194805478E-4</v>
      </c>
      <c r="DJ52" s="5">
        <f t="shared" si="168"/>
        <v>-1.6402721088435472E-3</v>
      </c>
      <c r="DK52" s="5">
        <f t="shared" si="169"/>
        <v>7.6471243042669956E-4</v>
      </c>
      <c r="DL52" s="5">
        <f t="shared" si="170"/>
        <v>-2.3081014223875058E-4</v>
      </c>
      <c r="DM52" s="5">
        <f t="shared" si="171"/>
        <v>1.5802844774273381E-3</v>
      </c>
      <c r="DO52" s="5">
        <f t="shared" si="130"/>
        <v>-1.9079214597220278</v>
      </c>
      <c r="DP52" s="5">
        <f t="shared" si="131"/>
        <v>-0.29295343676527091</v>
      </c>
      <c r="DQ52" s="5">
        <f t="shared" si="132"/>
        <v>-1.2917022253843653</v>
      </c>
      <c r="DR52" s="5">
        <f t="shared" si="133"/>
        <v>0.60228527619529781</v>
      </c>
      <c r="DS52" s="5">
        <f t="shared" si="134"/>
        <v>-0.18179147971962978</v>
      </c>
      <c r="DT52" s="5">
        <f t="shared" si="135"/>
        <v>1.2444775446344229</v>
      </c>
      <c r="DV52" t="str" cm="1">
        <f t="array" ref="DV52">_xlfn.IFS(DO52&gt;3,"Strong + Slope",DO52&gt;1.5,"Moderate + Slope",DO52&gt;0.5,"Sideway + Slope",DO52&gt;=-0.5,"Sideway Flat",DO52&gt;=-1.5,"Sideway - Slope",DO52&gt;=-3,"Moderate - Slope",TRUE,"Strong - Slope")</f>
        <v>Moderate - Slope</v>
      </c>
      <c r="DW52" t="str" cm="1">
        <f t="array" ref="DW52">_xlfn.IFS(DP52&gt;3,"Strong + Slope",DP52&gt;1.5,"Moderate + Slope",DP52&gt;0.5,"Sideway + Slope",DP52&gt;=-0.5,"Sideway Flat",DP52&gt;=-1.5,"Sideway - Slope",DP52&gt;=-3,"Moderate - Slope",TRUE,"Strong - Slope")</f>
        <v>Sideway Flat</v>
      </c>
      <c r="DX52" t="str" cm="1">
        <f t="array" ref="DX52">_xlfn.IFS(DQ52&gt;3,"Strong + Slope",DQ52&gt;1.5,"Moderate + Slope",DQ52&gt;0.5,"Sideway + Slope",DQ52&gt;=-0.5,"Sideway Flat",DQ52&gt;=-1.5,"Sideway - Slope",DQ52&gt;=-3,"Moderate - Slope",TRUE,"Strong - Slope")</f>
        <v>Sideway - Slope</v>
      </c>
      <c r="DY52" t="str" cm="1">
        <f t="array" ref="DY52">_xlfn.IFS(DR52&gt;3,"Strong + Slope",DR52&gt;1.5,"Moderate + Slope",DR52&gt;0.5,"Sideway + Slope",DR52&gt;=-0.5,"Sideway Flat",DR52&gt;=-1.5,"Sideway - Slope",DR52&gt;=-3,"Moderate - Slope",TRUE,"Strong - Slope")</f>
        <v>Sideway + Slope</v>
      </c>
      <c r="DZ52" t="str" cm="1">
        <f t="array" ref="DZ52">_xlfn.IFS(DS52&gt;3,"Strong + Slope",DS52&gt;1.5,"Moderate + Slope",DS52&gt;0.5,"Sideway + Slope",DS52&gt;=-0.5,"Sideway Flat",DS52&gt;=-1.5,"Sideway - Slope",DS52&gt;=-3,"Moderate - Slope",TRUE,"Strong - Slope")</f>
        <v>Sideway Flat</v>
      </c>
      <c r="EA52" t="str" cm="1">
        <f t="array" ref="EA52">_xlfn.IFS(DT52&gt;3,"Strong + Slope",DT52&gt;1.5,"Moderate + Slope",DT52&gt;0.5,"Sideway + Slope",DT52&gt;=-0.5,"Sideway Flat",DT52&gt;=-1.5,"Sideway - Slope",DT52&gt;=-3,"Moderate - Slope",TRUE,"Strong - Slope")</f>
        <v>Sideway + Slope</v>
      </c>
      <c r="EB52" s="5"/>
      <c r="EC52" s="5">
        <f t="shared" si="136"/>
        <v>2</v>
      </c>
      <c r="ED52" s="5">
        <f t="shared" si="137"/>
        <v>3</v>
      </c>
      <c r="EE52" s="5">
        <f t="shared" si="138"/>
        <v>1</v>
      </c>
      <c r="EF52" s="5">
        <f t="shared" si="139"/>
        <v>5</v>
      </c>
      <c r="EG52" s="5">
        <f t="shared" si="140"/>
        <v>6</v>
      </c>
      <c r="EH52" s="5">
        <f t="shared" si="141"/>
        <v>4</v>
      </c>
      <c r="EI52" s="5"/>
      <c r="EJ52" s="5" t="str">
        <f t="shared" si="142"/>
        <v>RES</v>
      </c>
      <c r="EK52" s="5" t="str">
        <f t="shared" si="143"/>
        <v>RES</v>
      </c>
      <c r="EL52" s="5" t="str">
        <f t="shared" si="144"/>
        <v>RES</v>
      </c>
      <c r="EM52" s="5" t="str">
        <f t="shared" si="145"/>
        <v>SUP</v>
      </c>
      <c r="EN52" s="5" t="str">
        <f t="shared" si="146"/>
        <v>SUP</v>
      </c>
      <c r="EO52" s="5" t="str">
        <f t="shared" si="147"/>
        <v>RES</v>
      </c>
      <c r="EP52" s="5"/>
      <c r="EQ52" s="8">
        <f t="shared" si="148"/>
        <v>6.8708733861639064E-4</v>
      </c>
      <c r="ER52" s="8">
        <f t="shared" si="149"/>
        <v>4.9077667044030555E-4</v>
      </c>
      <c r="ES52" s="8">
        <f t="shared" si="150"/>
        <v>2.4538833522009698E-3</v>
      </c>
      <c r="ET52" s="8">
        <f t="shared" si="151"/>
        <v>-1.4592426334420771E-3</v>
      </c>
      <c r="EU52" s="8">
        <f t="shared" si="152"/>
        <v>-1.4854173891988265E-3</v>
      </c>
      <c r="EV52" s="8">
        <f t="shared" si="153"/>
        <v>1.5050484560182018E-4</v>
      </c>
      <c r="EW52" s="8"/>
      <c r="EX52" s="8">
        <f t="shared" si="154"/>
        <v>0.37707641196010749</v>
      </c>
      <c r="EY52" s="9">
        <f t="shared" si="54"/>
        <v>4</v>
      </c>
      <c r="EZ52" s="10">
        <f t="shared" si="55"/>
        <v>2</v>
      </c>
      <c r="FA52" s="8">
        <f t="shared" si="86"/>
        <v>2.4538833522009698E-3</v>
      </c>
      <c r="FB52" s="8">
        <f t="shared" si="87"/>
        <v>6.8708733861639064E-4</v>
      </c>
      <c r="FC52" s="8">
        <f t="shared" si="88"/>
        <v>4.9077667044030555E-4</v>
      </c>
      <c r="FD52" s="8">
        <f t="shared" si="89"/>
        <v>1.5050484560182018E-4</v>
      </c>
      <c r="FE52" s="8">
        <f t="shared" si="90"/>
        <v>-1.4592426334420771E-3</v>
      </c>
      <c r="FF52" s="8">
        <f t="shared" si="91"/>
        <v>-1.4854173891988265E-3</v>
      </c>
      <c r="FG52" s="5"/>
      <c r="FH52" s="5" t="str">
        <f t="shared" si="155"/>
        <v>-----</v>
      </c>
      <c r="FI52" s="5" t="str">
        <f t="shared" si="92"/>
        <v>-----</v>
      </c>
      <c r="FJ52" s="5"/>
      <c r="FK52" s="5" t="str">
        <f t="shared" si="93"/>
        <v>-----</v>
      </c>
      <c r="FL52" s="5" t="str">
        <f t="shared" si="94"/>
        <v>-----</v>
      </c>
      <c r="FM52" s="5"/>
      <c r="FN52" s="5"/>
      <c r="FO52" s="8" t="str">
        <f t="shared" si="174"/>
        <v>Bearish</v>
      </c>
      <c r="FP52" s="8"/>
      <c r="FQ52" s="14">
        <f t="shared" si="156"/>
        <v>-1.0140063718852088E-3</v>
      </c>
      <c r="FR52" s="14">
        <f t="shared" si="58"/>
        <v>-1.6257624868896572</v>
      </c>
      <c r="FS52" s="14" t="str">
        <f t="shared" si="59"/>
        <v>Reverse to Bullish</v>
      </c>
      <c r="FT52" s="14" t="str">
        <f t="shared" si="157"/>
        <v>Bullish</v>
      </c>
      <c r="FU52" s="5" t="str">
        <f t="shared" si="172"/>
        <v>-----</v>
      </c>
      <c r="FV52" s="5" t="str">
        <f t="shared" si="173"/>
        <v>-----</v>
      </c>
      <c r="FW52" s="5"/>
      <c r="FX52" s="15" t="str">
        <f t="shared" si="116"/>
        <v>YES</v>
      </c>
      <c r="FY52" s="15" t="str">
        <f t="shared" si="117"/>
        <v>-----</v>
      </c>
      <c r="FZ52" s="15" t="str">
        <f t="shared" si="118"/>
        <v>-----</v>
      </c>
      <c r="GA52" s="15" t="str">
        <f t="shared" si="119"/>
        <v>-----</v>
      </c>
      <c r="GB52" s="16" t="str">
        <f t="shared" si="107"/>
        <v>-----</v>
      </c>
      <c r="GC52" s="16" t="str">
        <f t="shared" si="108"/>
        <v>YES</v>
      </c>
      <c r="GD52" s="16" t="str">
        <f t="shared" si="109"/>
        <v>-----</v>
      </c>
      <c r="GE52" s="16" t="str">
        <f t="shared" si="112"/>
        <v>-----</v>
      </c>
      <c r="GF52" s="15" t="str">
        <f t="shared" si="110"/>
        <v>-----</v>
      </c>
      <c r="GG52" s="16" t="str">
        <f t="shared" si="120"/>
        <v>-----</v>
      </c>
      <c r="GH52" s="14"/>
      <c r="GI52" s="5" t="str">
        <f t="shared" si="158"/>
        <v>Bullish Trigger</v>
      </c>
      <c r="GJ52" s="5" t="str">
        <f t="shared" si="159"/>
        <v>-----</v>
      </c>
      <c r="GK52" s="5"/>
      <c r="GL52" s="5" t="str">
        <f t="shared" si="160"/>
        <v>Bullish Spike</v>
      </c>
      <c r="GM52" s="5" t="str">
        <f t="shared" si="161"/>
        <v>-----</v>
      </c>
      <c r="GN52" s="5"/>
      <c r="GO52" s="12">
        <f t="shared" si="162"/>
        <v>6.4999999999997726E-2</v>
      </c>
      <c r="GP52" s="5">
        <f t="shared" si="97"/>
        <v>-0.24839672976813609</v>
      </c>
      <c r="GQ52" s="13" t="str">
        <f t="shared" si="98"/>
        <v>-----</v>
      </c>
      <c r="GR52" s="5"/>
      <c r="GS52">
        <f t="shared" si="99"/>
        <v>-0.22227440079265476</v>
      </c>
      <c r="GT52" s="5" t="str">
        <f t="shared" si="100"/>
        <v>-----</v>
      </c>
    </row>
    <row r="53" spans="1:202" x14ac:dyDescent="0.55000000000000004">
      <c r="A53">
        <v>49</v>
      </c>
      <c r="B53" t="s">
        <v>52</v>
      </c>
      <c r="C53" t="s">
        <v>4</v>
      </c>
      <c r="D53" t="s">
        <v>103</v>
      </c>
      <c r="E53">
        <v>152.81899999999999</v>
      </c>
      <c r="F53">
        <v>152.87100000000001</v>
      </c>
      <c r="G53">
        <v>152.798</v>
      </c>
      <c r="H53">
        <v>152.816</v>
      </c>
      <c r="I53">
        <v>263</v>
      </c>
      <c r="J53">
        <v>152.922</v>
      </c>
      <c r="K53">
        <v>152.893</v>
      </c>
      <c r="L53">
        <v>153.19200000000001</v>
      </c>
      <c r="M53">
        <v>152.59700000000001</v>
      </c>
      <c r="N53">
        <v>152.59200000000001</v>
      </c>
      <c r="O53">
        <v>152.84399999999999</v>
      </c>
      <c r="P53">
        <v>0</v>
      </c>
      <c r="Q53">
        <v>0</v>
      </c>
      <c r="R53">
        <v>0</v>
      </c>
      <c r="S53">
        <v>0</v>
      </c>
      <c r="T53">
        <v>0</v>
      </c>
      <c r="U53">
        <v>1.0214700000000001</v>
      </c>
      <c r="V53">
        <v>3</v>
      </c>
      <c r="W53">
        <v>153.16906</v>
      </c>
      <c r="X53">
        <v>153.08312000000001</v>
      </c>
      <c r="Y53">
        <v>152.99718999999999</v>
      </c>
      <c r="Z53">
        <v>152.91125</v>
      </c>
      <c r="AA53">
        <v>152.82531</v>
      </c>
      <c r="AB53">
        <v>152.73636999999999</v>
      </c>
      <c r="AC53">
        <v>152.65044</v>
      </c>
      <c r="AD53">
        <v>152.56450000000001</v>
      </c>
      <c r="AE53">
        <v>152.47855999999999</v>
      </c>
      <c r="AF53">
        <v>152.39261999999999</v>
      </c>
      <c r="AG53">
        <v>152.797</v>
      </c>
      <c r="AH53">
        <v>152.71700000000001</v>
      </c>
      <c r="AI53">
        <v>152.857</v>
      </c>
      <c r="AJ53">
        <v>153.024</v>
      </c>
      <c r="AK53">
        <v>152.828</v>
      </c>
      <c r="AL53">
        <v>152.761</v>
      </c>
      <c r="AM53" s="11">
        <f t="shared" si="0"/>
        <v>7.3000000000007503E-2</v>
      </c>
      <c r="AN53" s="11">
        <f t="shared" si="66"/>
        <v>5.2000000000020918E-2</v>
      </c>
      <c r="AO53" s="11">
        <f t="shared" si="163"/>
        <v>2.0999999999986585E-2</v>
      </c>
      <c r="AP53" s="11">
        <f t="shared" si="164"/>
        <v>7.3000000000007503E-2</v>
      </c>
      <c r="AR53" s="5" t="str">
        <f t="shared" si="121"/>
        <v>------</v>
      </c>
      <c r="AS53" s="5" t="str">
        <f t="shared" si="122"/>
        <v>------</v>
      </c>
      <c r="AT53" t="str">
        <f t="shared" si="123"/>
        <v/>
      </c>
      <c r="AV53" s="2">
        <f t="shared" si="4"/>
        <v>152.94493830000002</v>
      </c>
      <c r="AW53" s="2">
        <f t="shared" si="5"/>
        <v>152.8990617</v>
      </c>
      <c r="AX53" s="2">
        <f t="shared" si="6"/>
        <v>152.91593395000001</v>
      </c>
      <c r="AY53" s="2">
        <f t="shared" si="7"/>
        <v>152.87006604999999</v>
      </c>
      <c r="AZ53" s="2">
        <f t="shared" si="8"/>
        <v>153.21497880000001</v>
      </c>
      <c r="BA53" s="2">
        <f t="shared" si="9"/>
        <v>153.1690212</v>
      </c>
      <c r="BB53" s="2">
        <f t="shared" si="10"/>
        <v>152.61988955000001</v>
      </c>
      <c r="BC53" s="2">
        <f t="shared" si="11"/>
        <v>152.57411045000001</v>
      </c>
      <c r="BD53" s="2">
        <f t="shared" si="12"/>
        <v>152.61488880000002</v>
      </c>
      <c r="BE53" s="2">
        <f t="shared" si="13"/>
        <v>152.56911120000001</v>
      </c>
      <c r="BF53" s="2">
        <f t="shared" si="14"/>
        <v>152.8669266</v>
      </c>
      <c r="BG53" s="2">
        <f t="shared" si="15"/>
        <v>152.82107339999999</v>
      </c>
      <c r="BI53" s="5" t="str">
        <f t="shared" si="69"/>
        <v>-----</v>
      </c>
      <c r="BJ53" s="5" t="str">
        <f t="shared" si="70"/>
        <v>-----</v>
      </c>
      <c r="BK53" s="5" t="str">
        <f t="shared" si="71"/>
        <v>-----</v>
      </c>
      <c r="BL53" s="5" t="str">
        <f t="shared" si="72"/>
        <v>-----</v>
      </c>
      <c r="BM53" s="5" t="str">
        <f t="shared" si="73"/>
        <v>-----</v>
      </c>
      <c r="BN53" s="5" t="str">
        <f t="shared" si="74"/>
        <v>-----</v>
      </c>
      <c r="BO53" s="5"/>
      <c r="BP53" s="5">
        <f t="shared" si="165"/>
        <v>16</v>
      </c>
      <c r="BQ53" s="5">
        <f t="shared" si="165"/>
        <v>12</v>
      </c>
      <c r="BR53" s="5">
        <f t="shared" si="165"/>
        <v>47</v>
      </c>
      <c r="BS53" s="5">
        <f t="shared" si="165"/>
        <v>49</v>
      </c>
      <c r="BT53" s="5">
        <f t="shared" si="165"/>
        <v>49</v>
      </c>
      <c r="BU53" s="5">
        <f t="shared" si="165"/>
        <v>10</v>
      </c>
      <c r="BV53" s="5">
        <f t="shared" si="166"/>
        <v>1</v>
      </c>
      <c r="BW53" s="5">
        <f t="shared" si="166"/>
        <v>4</v>
      </c>
      <c r="BX53" s="5">
        <f t="shared" si="166"/>
        <v>2</v>
      </c>
      <c r="BY53" s="5">
        <f t="shared" si="166"/>
        <v>0</v>
      </c>
      <c r="BZ53" s="5">
        <f t="shared" si="166"/>
        <v>0</v>
      </c>
      <c r="CA53" s="5">
        <f t="shared" si="166"/>
        <v>3</v>
      </c>
      <c r="CB53" s="5" t="str">
        <f t="shared" si="102"/>
        <v>-----</v>
      </c>
      <c r="CC53" s="5" t="str">
        <f t="shared" si="101"/>
        <v>-----</v>
      </c>
      <c r="CD53" s="5" t="str">
        <f t="shared" si="101"/>
        <v>-----</v>
      </c>
      <c r="CE53" s="5" t="str">
        <f t="shared" si="101"/>
        <v>-----</v>
      </c>
      <c r="CF53" s="5" t="str">
        <f t="shared" si="101"/>
        <v>-----</v>
      </c>
      <c r="CG53" s="5" t="str">
        <f t="shared" si="101"/>
        <v>-----</v>
      </c>
      <c r="CH53" s="5"/>
      <c r="CI53" s="17" t="str">
        <f t="shared" si="124"/>
        <v>-----</v>
      </c>
      <c r="CJ53" s="17" t="str">
        <f t="shared" si="125"/>
        <v>-----</v>
      </c>
      <c r="CK53" s="17" t="str">
        <f t="shared" si="126"/>
        <v>-----</v>
      </c>
      <c r="CL53" s="17" t="str">
        <f t="shared" si="127"/>
        <v>-----</v>
      </c>
      <c r="CM53" s="17" t="str">
        <f t="shared" si="128"/>
        <v>-----</v>
      </c>
      <c r="CN53" s="17" t="str">
        <f t="shared" si="129"/>
        <v>-----</v>
      </c>
      <c r="CO53" s="5"/>
      <c r="CP53" s="5" t="str">
        <f t="shared" si="77"/>
        <v>-----</v>
      </c>
      <c r="CQ53" s="5" t="str">
        <f t="shared" si="77"/>
        <v>-----</v>
      </c>
      <c r="CR53" s="5" t="str">
        <f t="shared" si="77"/>
        <v>-----</v>
      </c>
      <c r="CS53" s="5" t="str">
        <f t="shared" si="77"/>
        <v>-----</v>
      </c>
      <c r="CT53" s="5" t="str">
        <f t="shared" si="77"/>
        <v>-----</v>
      </c>
      <c r="CU53" s="5" t="str">
        <f t="shared" si="77"/>
        <v>-----</v>
      </c>
      <c r="CV53" s="5"/>
      <c r="CW53" s="17" t="str">
        <f t="shared" si="78"/>
        <v/>
      </c>
      <c r="CX53" s="17" t="str">
        <f t="shared" si="78"/>
        <v/>
      </c>
      <c r="CY53" s="17" t="str">
        <f t="shared" si="78"/>
        <v/>
      </c>
      <c r="CZ53" s="17" t="str">
        <f t="shared" si="78"/>
        <v/>
      </c>
      <c r="DA53" s="17" t="str">
        <f t="shared" si="78"/>
        <v/>
      </c>
      <c r="DB53" s="17" t="str">
        <f t="shared" si="78"/>
        <v/>
      </c>
      <c r="DC53" s="8"/>
      <c r="DD53" s="5">
        <f t="shared" si="27"/>
        <v>0</v>
      </c>
      <c r="DE53" s="17" t="str">
        <f t="shared" si="79"/>
        <v>-----</v>
      </c>
      <c r="DF53" s="5" t="str" cm="1">
        <f t="array" ref="DF53">_xlfn.IFS(DE53=CW53,CP53,DE53=CX53,CQ53,DE53=CY53,CR53,DE53=CZ53,CS53,DE53=DA53,CT53,DE53=DB53,CU53,TRUE,"----- ")</f>
        <v xml:space="preserve">----- </v>
      </c>
      <c r="DG53" s="5"/>
      <c r="DH53" s="5">
        <f t="shared" si="80"/>
        <v>-2.423265306122455E-3</v>
      </c>
      <c r="DI53" s="5">
        <f t="shared" si="167"/>
        <v>-3.7194805194805478E-4</v>
      </c>
      <c r="DJ53" s="5">
        <f t="shared" si="168"/>
        <v>-1.6402721088435472E-3</v>
      </c>
      <c r="DK53" s="5">
        <f t="shared" si="169"/>
        <v>7.6471243042669956E-4</v>
      </c>
      <c r="DL53" s="5">
        <f t="shared" si="170"/>
        <v>-2.3081014223875058E-4</v>
      </c>
      <c r="DM53" s="5">
        <f t="shared" si="171"/>
        <v>1.5802844774273381E-3</v>
      </c>
      <c r="DO53" s="5">
        <f t="shared" si="130"/>
        <v>-1.9079214597220278</v>
      </c>
      <c r="DP53" s="5">
        <f t="shared" si="131"/>
        <v>-0.29295343676527091</v>
      </c>
      <c r="DQ53" s="5">
        <f t="shared" si="132"/>
        <v>-1.2917022253843653</v>
      </c>
      <c r="DR53" s="5">
        <f t="shared" si="133"/>
        <v>0.60228527619529781</v>
      </c>
      <c r="DS53" s="5">
        <f t="shared" si="134"/>
        <v>-0.18179147971962978</v>
      </c>
      <c r="DT53" s="5">
        <f t="shared" si="135"/>
        <v>1.2444775446344229</v>
      </c>
      <c r="DV53" t="str" cm="1">
        <f t="array" ref="DV53">_xlfn.IFS(DO53&gt;3,"Strong + Slope",DO53&gt;1.5,"Moderate + Slope",DO53&gt;0.5,"Sideway + Slope",DO53&gt;=-0.5,"Sideway Flat",DO53&gt;=-1.5,"Sideway - Slope",DO53&gt;=-3,"Moderate - Slope",TRUE,"Strong - Slope")</f>
        <v>Moderate - Slope</v>
      </c>
      <c r="DW53" t="str" cm="1">
        <f t="array" ref="DW53">_xlfn.IFS(DP53&gt;3,"Strong + Slope",DP53&gt;1.5,"Moderate + Slope",DP53&gt;0.5,"Sideway + Slope",DP53&gt;=-0.5,"Sideway Flat",DP53&gt;=-1.5,"Sideway - Slope",DP53&gt;=-3,"Moderate - Slope",TRUE,"Strong - Slope")</f>
        <v>Sideway Flat</v>
      </c>
      <c r="DX53" t="str" cm="1">
        <f t="array" ref="DX53">_xlfn.IFS(DQ53&gt;3,"Strong + Slope",DQ53&gt;1.5,"Moderate + Slope",DQ53&gt;0.5,"Sideway + Slope",DQ53&gt;=-0.5,"Sideway Flat",DQ53&gt;=-1.5,"Sideway - Slope",DQ53&gt;=-3,"Moderate - Slope",TRUE,"Strong - Slope")</f>
        <v>Sideway - Slope</v>
      </c>
      <c r="DY53" t="str" cm="1">
        <f t="array" ref="DY53">_xlfn.IFS(DR53&gt;3,"Strong + Slope",DR53&gt;1.5,"Moderate + Slope",DR53&gt;0.5,"Sideway + Slope",DR53&gt;=-0.5,"Sideway Flat",DR53&gt;=-1.5,"Sideway - Slope",DR53&gt;=-3,"Moderate - Slope",TRUE,"Strong - Slope")</f>
        <v>Sideway + Slope</v>
      </c>
      <c r="DZ53" t="str" cm="1">
        <f t="array" ref="DZ53">_xlfn.IFS(DS53&gt;3,"Strong + Slope",DS53&gt;1.5,"Moderate + Slope",DS53&gt;0.5,"Sideway + Slope",DS53&gt;=-0.5,"Sideway Flat",DS53&gt;=-1.5,"Sideway - Slope",DS53&gt;=-3,"Moderate - Slope",TRUE,"Strong - Slope")</f>
        <v>Sideway Flat</v>
      </c>
      <c r="EA53" t="str" cm="1">
        <f t="array" ref="EA53">_xlfn.IFS(DT53&gt;3,"Strong + Slope",DT53&gt;1.5,"Moderate + Slope",DT53&gt;0.5,"Sideway + Slope",DT53&gt;=-0.5,"Sideway Flat",DT53&gt;=-1.5,"Sideway - Slope",DT53&gt;=-3,"Moderate - Slope",TRUE,"Strong - Slope")</f>
        <v>Sideway + Slope</v>
      </c>
      <c r="EB53" s="5"/>
      <c r="EC53" s="5">
        <f t="shared" si="136"/>
        <v>2</v>
      </c>
      <c r="ED53" s="5">
        <f t="shared" si="137"/>
        <v>3</v>
      </c>
      <c r="EE53" s="5">
        <f t="shared" si="138"/>
        <v>1</v>
      </c>
      <c r="EF53" s="5">
        <f t="shared" si="139"/>
        <v>5</v>
      </c>
      <c r="EG53" s="5">
        <f t="shared" si="140"/>
        <v>6</v>
      </c>
      <c r="EH53" s="5">
        <f t="shared" si="141"/>
        <v>4</v>
      </c>
      <c r="EI53" s="5"/>
      <c r="EJ53" s="5" t="str">
        <f t="shared" si="142"/>
        <v>RES</v>
      </c>
      <c r="EK53" s="5" t="str">
        <f t="shared" si="143"/>
        <v>RES</v>
      </c>
      <c r="EL53" s="5" t="str">
        <f t="shared" si="144"/>
        <v>RES</v>
      </c>
      <c r="EM53" s="5" t="str">
        <f t="shared" si="145"/>
        <v>SUP</v>
      </c>
      <c r="EN53" s="5" t="str">
        <f t="shared" si="146"/>
        <v>SUP</v>
      </c>
      <c r="EO53" s="5" t="str">
        <f t="shared" si="147"/>
        <v>RES</v>
      </c>
      <c r="EP53" s="5"/>
      <c r="EQ53" s="8">
        <f t="shared" si="148"/>
        <v>6.9364464453980303E-4</v>
      </c>
      <c r="ER53" s="8">
        <f t="shared" si="149"/>
        <v>5.0387393990156907E-4</v>
      </c>
      <c r="ES53" s="8">
        <f t="shared" si="150"/>
        <v>2.4604753428960628E-3</v>
      </c>
      <c r="ET53" s="8">
        <f t="shared" si="151"/>
        <v>-1.4330960108888734E-3</v>
      </c>
      <c r="EU53" s="8">
        <f t="shared" si="152"/>
        <v>-1.4658150978954399E-3</v>
      </c>
      <c r="EV53" s="8">
        <f t="shared" si="153"/>
        <v>1.8322688723688347E-4</v>
      </c>
      <c r="EW53" s="8"/>
      <c r="EX53" s="8">
        <f t="shared" si="154"/>
        <v>0.37333333333331942</v>
      </c>
      <c r="EY53" s="9">
        <f t="shared" si="54"/>
        <v>4</v>
      </c>
      <c r="EZ53" s="10">
        <f t="shared" si="55"/>
        <v>2</v>
      </c>
      <c r="FA53" s="8">
        <f t="shared" si="86"/>
        <v>2.4604753428960628E-3</v>
      </c>
      <c r="FB53" s="8">
        <f t="shared" si="87"/>
        <v>6.9364464453980303E-4</v>
      </c>
      <c r="FC53" s="8">
        <f t="shared" si="88"/>
        <v>5.0387393990156907E-4</v>
      </c>
      <c r="FD53" s="8">
        <f t="shared" si="89"/>
        <v>1.8322688723688347E-4</v>
      </c>
      <c r="FE53" s="8">
        <f t="shared" si="90"/>
        <v>-1.4330960108888734E-3</v>
      </c>
      <c r="FF53" s="8">
        <f t="shared" si="91"/>
        <v>-1.4658150978954399E-3</v>
      </c>
      <c r="FG53" s="5"/>
      <c r="FH53" s="5" t="str">
        <f t="shared" si="155"/>
        <v>-----</v>
      </c>
      <c r="FI53" s="5" t="str">
        <f t="shared" si="92"/>
        <v>-----</v>
      </c>
      <c r="FJ53" s="5"/>
      <c r="FK53" s="5" t="str">
        <f t="shared" si="93"/>
        <v>-----</v>
      </c>
      <c r="FL53" s="5" t="str">
        <f t="shared" si="94"/>
        <v>-----</v>
      </c>
      <c r="FM53" s="5"/>
      <c r="FN53" s="5"/>
      <c r="FO53" s="8" t="str">
        <f t="shared" si="174"/>
        <v>Bearish</v>
      </c>
      <c r="FP53" s="8"/>
      <c r="FQ53" s="14">
        <f t="shared" si="156"/>
        <v>-9.1588870643795415E-4</v>
      </c>
      <c r="FR53" s="14">
        <f t="shared" si="58"/>
        <v>-1.3427859613748261</v>
      </c>
      <c r="FS53" s="14" t="str">
        <f t="shared" si="59"/>
        <v>-----</v>
      </c>
      <c r="FT53" s="14" t="str">
        <f t="shared" si="157"/>
        <v>Bullish</v>
      </c>
      <c r="FU53" s="5" t="str">
        <f t="shared" si="172"/>
        <v>-----</v>
      </c>
      <c r="FV53" s="5" t="str">
        <f t="shared" si="173"/>
        <v>-----</v>
      </c>
      <c r="FW53" s="5"/>
      <c r="FX53" s="15" t="str">
        <f t="shared" si="116"/>
        <v>YES</v>
      </c>
      <c r="FY53" s="15" t="str">
        <f t="shared" si="117"/>
        <v>-----</v>
      </c>
      <c r="FZ53" s="15" t="str">
        <f t="shared" si="118"/>
        <v>-----</v>
      </c>
      <c r="GA53" s="15" t="str">
        <f t="shared" si="119"/>
        <v>-----</v>
      </c>
      <c r="GB53" s="16" t="str">
        <f t="shared" si="107"/>
        <v>-----</v>
      </c>
      <c r="GC53" s="16" t="str">
        <f t="shared" si="108"/>
        <v>-----</v>
      </c>
      <c r="GD53" s="16" t="str">
        <f t="shared" si="109"/>
        <v>-----</v>
      </c>
      <c r="GE53" s="16" t="str">
        <f t="shared" si="112"/>
        <v>-----</v>
      </c>
      <c r="GF53" s="15" t="str">
        <f t="shared" si="110"/>
        <v>-----</v>
      </c>
      <c r="GG53" s="16" t="str">
        <f t="shared" si="120"/>
        <v>-----</v>
      </c>
      <c r="GH53" s="14"/>
      <c r="GI53" s="5" t="str">
        <f t="shared" si="158"/>
        <v>-----</v>
      </c>
      <c r="GJ53" s="5" t="str">
        <f t="shared" si="159"/>
        <v>-----</v>
      </c>
      <c r="GK53" s="5"/>
      <c r="GL53" s="5" t="str">
        <f t="shared" si="160"/>
        <v>-----</v>
      </c>
      <c r="GM53" s="5" t="str">
        <f t="shared" si="161"/>
        <v>-----</v>
      </c>
      <c r="GN53" s="5"/>
      <c r="GO53" s="12">
        <f t="shared" si="162"/>
        <v>6.7000000000007276E-2</v>
      </c>
      <c r="GP53" s="5">
        <f t="shared" si="97"/>
        <v>-0.20230249125426</v>
      </c>
      <c r="GQ53" s="13" t="str">
        <f t="shared" si="98"/>
        <v>-----</v>
      </c>
      <c r="GR53" s="5"/>
      <c r="GS53">
        <f t="shared" si="99"/>
        <v>-0.1641962509081224</v>
      </c>
      <c r="GT53" s="5" t="str">
        <f t="shared" si="100"/>
        <v>-----</v>
      </c>
    </row>
    <row r="54" spans="1:202" x14ac:dyDescent="0.55000000000000004">
      <c r="A54">
        <v>50</v>
      </c>
      <c r="B54" t="s">
        <v>53</v>
      </c>
      <c r="C54" t="s">
        <v>4</v>
      </c>
      <c r="D54" t="s">
        <v>103</v>
      </c>
      <c r="E54">
        <v>152.816</v>
      </c>
      <c r="F54">
        <v>152.83199999999999</v>
      </c>
      <c r="G54">
        <v>152.773</v>
      </c>
      <c r="H54">
        <v>152.82499999999999</v>
      </c>
      <c r="I54">
        <v>208</v>
      </c>
      <c r="J54">
        <v>152.91999999999999</v>
      </c>
      <c r="K54">
        <v>152.893</v>
      </c>
      <c r="L54">
        <v>153.191</v>
      </c>
      <c r="M54">
        <v>152.59800000000001</v>
      </c>
      <c r="N54">
        <v>152.59200000000001</v>
      </c>
      <c r="O54">
        <v>152.845</v>
      </c>
      <c r="P54">
        <v>0</v>
      </c>
      <c r="Q54">
        <v>0</v>
      </c>
      <c r="R54">
        <v>0</v>
      </c>
      <c r="S54">
        <v>0</v>
      </c>
      <c r="T54">
        <v>0</v>
      </c>
      <c r="U54">
        <v>0.88370000000000004</v>
      </c>
      <c r="V54">
        <v>0</v>
      </c>
      <c r="W54">
        <v>153.15973</v>
      </c>
      <c r="X54">
        <v>153.07395</v>
      </c>
      <c r="Y54">
        <v>152.98817</v>
      </c>
      <c r="Z54">
        <v>152.90237999999999</v>
      </c>
      <c r="AA54">
        <v>152.81659999999999</v>
      </c>
      <c r="AB54">
        <v>152.72987000000001</v>
      </c>
      <c r="AC54">
        <v>152.64409000000001</v>
      </c>
      <c r="AD54">
        <v>152.5583</v>
      </c>
      <c r="AE54">
        <v>152.47252</v>
      </c>
      <c r="AF54">
        <v>152.38674</v>
      </c>
      <c r="AG54">
        <v>152.81100000000001</v>
      </c>
      <c r="AH54">
        <v>152.73099999999999</v>
      </c>
      <c r="AI54">
        <v>152.85400000000001</v>
      </c>
      <c r="AJ54">
        <v>153.018</v>
      </c>
      <c r="AK54">
        <v>152.83799999999999</v>
      </c>
      <c r="AL54">
        <v>152.77600000000001</v>
      </c>
      <c r="AM54" s="11">
        <f t="shared" si="0"/>
        <v>5.8999999999997499E-2</v>
      </c>
      <c r="AN54" s="11">
        <f t="shared" si="66"/>
        <v>1.5999999999991132E-2</v>
      </c>
      <c r="AO54" s="11">
        <f t="shared" si="163"/>
        <v>4.3000000000006366E-2</v>
      </c>
      <c r="AP54" s="11">
        <f t="shared" si="164"/>
        <v>5.8999999999997499E-2</v>
      </c>
      <c r="AR54" s="5" t="str">
        <f t="shared" si="121"/>
        <v>------</v>
      </c>
      <c r="AS54" s="5" t="str">
        <f t="shared" si="122"/>
        <v>------</v>
      </c>
      <c r="AT54" t="str">
        <f t="shared" si="123"/>
        <v/>
      </c>
      <c r="AV54" s="2">
        <f t="shared" si="4"/>
        <v>152.942938</v>
      </c>
      <c r="AW54" s="2">
        <f t="shared" si="5"/>
        <v>152.89706199999998</v>
      </c>
      <c r="AX54" s="2">
        <f t="shared" si="6"/>
        <v>152.91593395000001</v>
      </c>
      <c r="AY54" s="2">
        <f t="shared" si="7"/>
        <v>152.87006604999999</v>
      </c>
      <c r="AZ54" s="2">
        <f t="shared" si="8"/>
        <v>153.21397865000003</v>
      </c>
      <c r="BA54" s="2">
        <f t="shared" si="9"/>
        <v>153.16802135</v>
      </c>
      <c r="BB54" s="2">
        <f t="shared" si="10"/>
        <v>152.62088970000002</v>
      </c>
      <c r="BC54" s="2">
        <f t="shared" si="11"/>
        <v>152.57511030000001</v>
      </c>
      <c r="BD54" s="2">
        <f t="shared" si="12"/>
        <v>152.61488880000002</v>
      </c>
      <c r="BE54" s="2">
        <f t="shared" si="13"/>
        <v>152.56911120000001</v>
      </c>
      <c r="BF54" s="2">
        <f t="shared" si="14"/>
        <v>152.86792675000001</v>
      </c>
      <c r="BG54" s="2">
        <f t="shared" si="15"/>
        <v>152.82207324999999</v>
      </c>
      <c r="BI54" s="5" t="str">
        <f t="shared" si="69"/>
        <v>-----</v>
      </c>
      <c r="BJ54" s="5" t="str">
        <f t="shared" si="70"/>
        <v>-----</v>
      </c>
      <c r="BK54" s="5" t="str">
        <f t="shared" si="71"/>
        <v>-----</v>
      </c>
      <c r="BL54" s="5" t="str">
        <f t="shared" si="72"/>
        <v>-----</v>
      </c>
      <c r="BM54" s="5" t="str">
        <f t="shared" si="73"/>
        <v>-----</v>
      </c>
      <c r="BN54" s="5" t="str">
        <f t="shared" si="74"/>
        <v>TOUCH</v>
      </c>
      <c r="BO54" s="5"/>
      <c r="BP54" s="5">
        <f t="shared" ref="BP54:BU69" si="175">IF(BI54="TOUCH",0,BP53+1)</f>
        <v>17</v>
      </c>
      <c r="BQ54" s="5">
        <f t="shared" si="175"/>
        <v>13</v>
      </c>
      <c r="BR54" s="5">
        <f t="shared" si="175"/>
        <v>48</v>
      </c>
      <c r="BS54" s="5">
        <f t="shared" si="175"/>
        <v>50</v>
      </c>
      <c r="BT54" s="5">
        <f t="shared" si="175"/>
        <v>50</v>
      </c>
      <c r="BU54" s="5">
        <f t="shared" si="175"/>
        <v>0</v>
      </c>
      <c r="BV54" s="5">
        <f t="shared" ref="BV54:CA69" si="176">IF(BI54="TOUCH",IF(BP53&gt;=3,1,BV53+1),BV53)</f>
        <v>1</v>
      </c>
      <c r="BW54" s="5">
        <f t="shared" si="176"/>
        <v>4</v>
      </c>
      <c r="BX54" s="5">
        <f t="shared" si="176"/>
        <v>2</v>
      </c>
      <c r="BY54" s="5">
        <f t="shared" si="176"/>
        <v>0</v>
      </c>
      <c r="BZ54" s="5">
        <f t="shared" si="176"/>
        <v>0</v>
      </c>
      <c r="CA54" s="5">
        <f t="shared" si="176"/>
        <v>1</v>
      </c>
      <c r="CB54" s="5" t="str">
        <f t="shared" si="102"/>
        <v>-----</v>
      </c>
      <c r="CC54" s="5" t="str">
        <f t="shared" si="101"/>
        <v>-----</v>
      </c>
      <c r="CD54" s="5" t="str">
        <f t="shared" si="101"/>
        <v>-----</v>
      </c>
      <c r="CE54" s="5" t="str">
        <f t="shared" si="101"/>
        <v>-----</v>
      </c>
      <c r="CF54" s="5" t="str">
        <f t="shared" si="101"/>
        <v>-----</v>
      </c>
      <c r="CG54" s="5">
        <f t="shared" si="101"/>
        <v>1</v>
      </c>
      <c r="CH54" s="5"/>
      <c r="CI54" s="17" t="str">
        <f t="shared" si="124"/>
        <v>-----</v>
      </c>
      <c r="CJ54" s="17" t="str">
        <f t="shared" si="125"/>
        <v>-----</v>
      </c>
      <c r="CK54" s="17" t="str">
        <f t="shared" si="126"/>
        <v>-----</v>
      </c>
      <c r="CL54" s="17" t="str">
        <f t="shared" si="127"/>
        <v>-----</v>
      </c>
      <c r="CM54" s="17" t="str">
        <f t="shared" si="128"/>
        <v>-----</v>
      </c>
      <c r="CN54" s="17">
        <f t="shared" si="129"/>
        <v>-1.655271680460505E-3</v>
      </c>
      <c r="CO54" s="5"/>
      <c r="CP54" s="5" t="str">
        <f t="shared" si="77"/>
        <v>-----</v>
      </c>
      <c r="CQ54" s="5" t="str">
        <f t="shared" si="77"/>
        <v>-----</v>
      </c>
      <c r="CR54" s="5" t="str">
        <f t="shared" si="77"/>
        <v>-----</v>
      </c>
      <c r="CS54" s="5" t="str">
        <f t="shared" si="77"/>
        <v>-----</v>
      </c>
      <c r="CT54" s="5" t="str">
        <f t="shared" si="77"/>
        <v>-----</v>
      </c>
      <c r="CU54" s="5" t="str">
        <f t="shared" si="77"/>
        <v>Resistant</v>
      </c>
      <c r="CV54" s="5"/>
      <c r="CW54" s="17" t="str">
        <f t="shared" si="78"/>
        <v/>
      </c>
      <c r="CX54" s="17" t="str">
        <f t="shared" si="78"/>
        <v/>
      </c>
      <c r="CY54" s="17" t="str">
        <f t="shared" si="78"/>
        <v/>
      </c>
      <c r="CZ54" s="17" t="str">
        <f t="shared" si="78"/>
        <v/>
      </c>
      <c r="DA54" s="17" t="str">
        <f t="shared" si="78"/>
        <v/>
      </c>
      <c r="DB54" s="17">
        <f t="shared" si="78"/>
        <v>1.655271680460505E-3</v>
      </c>
      <c r="DC54" s="8"/>
      <c r="DD54" s="5">
        <f t="shared" si="27"/>
        <v>1</v>
      </c>
      <c r="DE54" s="17">
        <f t="shared" si="79"/>
        <v>1.655271680460505E-3</v>
      </c>
      <c r="DF54" s="5" t="str" cm="1">
        <f t="array" ref="DF54">_xlfn.IFS(DE54=CW54,CP54,DE54=CX54,CQ54,DE54=CY54,CR54,DE54=CZ54,CS54,DE54=DA54,CT54,DE54=DB54,CU54,TRUE,"----- ")</f>
        <v>Resistant</v>
      </c>
      <c r="DG54" s="5"/>
      <c r="DH54" s="5">
        <f t="shared" si="80"/>
        <v>-2.423265306122455E-3</v>
      </c>
      <c r="DI54" s="5">
        <f t="shared" si="167"/>
        <v>-3.7194805194805478E-4</v>
      </c>
      <c r="DJ54" s="5">
        <f t="shared" si="168"/>
        <v>-1.6402721088435472E-3</v>
      </c>
      <c r="DK54" s="5">
        <f t="shared" si="169"/>
        <v>7.6471243042669956E-4</v>
      </c>
      <c r="DL54" s="5">
        <f t="shared" si="170"/>
        <v>-2.3081014223875058E-4</v>
      </c>
      <c r="DM54" s="5">
        <f t="shared" si="171"/>
        <v>1.5802844774273381E-3</v>
      </c>
      <c r="DO54" s="5">
        <f t="shared" si="130"/>
        <v>-1.9079214597220278</v>
      </c>
      <c r="DP54" s="5">
        <f t="shared" si="131"/>
        <v>-0.29295343676527091</v>
      </c>
      <c r="DQ54" s="5">
        <f t="shared" si="132"/>
        <v>-1.2917022253843653</v>
      </c>
      <c r="DR54" s="5">
        <f t="shared" si="133"/>
        <v>0.60228527619529781</v>
      </c>
      <c r="DS54" s="5">
        <f t="shared" si="134"/>
        <v>-0.18179147971962978</v>
      </c>
      <c r="DT54" s="5">
        <f t="shared" si="135"/>
        <v>1.2444775446344229</v>
      </c>
      <c r="DV54" t="str" cm="1">
        <f t="array" ref="DV54">_xlfn.IFS(DO54&gt;3,"Strong + Slope",DO54&gt;1.5,"Moderate + Slope",DO54&gt;0.5,"Sideway + Slope",DO54&gt;=-0.5,"Sideway Flat",DO54&gt;=-1.5,"Sideway - Slope",DO54&gt;=-3,"Moderate - Slope",TRUE,"Strong - Slope")</f>
        <v>Moderate - Slope</v>
      </c>
      <c r="DW54" t="str" cm="1">
        <f t="array" ref="DW54">_xlfn.IFS(DP54&gt;3,"Strong + Slope",DP54&gt;1.5,"Moderate + Slope",DP54&gt;0.5,"Sideway + Slope",DP54&gt;=-0.5,"Sideway Flat",DP54&gt;=-1.5,"Sideway - Slope",DP54&gt;=-3,"Moderate - Slope",TRUE,"Strong - Slope")</f>
        <v>Sideway Flat</v>
      </c>
      <c r="DX54" t="str" cm="1">
        <f t="array" ref="DX54">_xlfn.IFS(DQ54&gt;3,"Strong + Slope",DQ54&gt;1.5,"Moderate + Slope",DQ54&gt;0.5,"Sideway + Slope",DQ54&gt;=-0.5,"Sideway Flat",DQ54&gt;=-1.5,"Sideway - Slope",DQ54&gt;=-3,"Moderate - Slope",TRUE,"Strong - Slope")</f>
        <v>Sideway - Slope</v>
      </c>
      <c r="DY54" t="str" cm="1">
        <f t="array" ref="DY54">_xlfn.IFS(DR54&gt;3,"Strong + Slope",DR54&gt;1.5,"Moderate + Slope",DR54&gt;0.5,"Sideway + Slope",DR54&gt;=-0.5,"Sideway Flat",DR54&gt;=-1.5,"Sideway - Slope",DR54&gt;=-3,"Moderate - Slope",TRUE,"Strong - Slope")</f>
        <v>Sideway + Slope</v>
      </c>
      <c r="DZ54" t="str" cm="1">
        <f t="array" ref="DZ54">_xlfn.IFS(DS54&gt;3,"Strong + Slope",DS54&gt;1.5,"Moderate + Slope",DS54&gt;0.5,"Sideway + Slope",DS54&gt;=-0.5,"Sideway Flat",DS54&gt;=-1.5,"Sideway - Slope",DS54&gt;=-3,"Moderate - Slope",TRUE,"Strong - Slope")</f>
        <v>Sideway Flat</v>
      </c>
      <c r="EA54" t="str" cm="1">
        <f t="array" ref="EA54">_xlfn.IFS(DT54&gt;3,"Strong + Slope",DT54&gt;1.5,"Moderate + Slope",DT54&gt;0.5,"Sideway + Slope",DT54&gt;=-0.5,"Sideway Flat",DT54&gt;=-1.5,"Sideway - Slope",DT54&gt;=-3,"Moderate - Slope",TRUE,"Strong - Slope")</f>
        <v>Sideway + Slope</v>
      </c>
      <c r="EB54" s="5"/>
      <c r="EC54" s="5">
        <f t="shared" si="136"/>
        <v>2</v>
      </c>
      <c r="ED54" s="5">
        <f t="shared" si="137"/>
        <v>3</v>
      </c>
      <c r="EE54" s="5">
        <f t="shared" si="138"/>
        <v>1</v>
      </c>
      <c r="EF54" s="5">
        <f t="shared" si="139"/>
        <v>5</v>
      </c>
      <c r="EG54" s="5">
        <f t="shared" si="140"/>
        <v>6</v>
      </c>
      <c r="EH54" s="5">
        <f t="shared" si="141"/>
        <v>4</v>
      </c>
      <c r="EI54" s="5"/>
      <c r="EJ54" s="5" t="str">
        <f t="shared" si="142"/>
        <v>RES</v>
      </c>
      <c r="EK54" s="5" t="str">
        <f t="shared" si="143"/>
        <v>RES</v>
      </c>
      <c r="EL54" s="5" t="str">
        <f t="shared" si="144"/>
        <v>RES</v>
      </c>
      <c r="EM54" s="5" t="str">
        <f t="shared" si="145"/>
        <v>SUP</v>
      </c>
      <c r="EN54" s="5" t="str">
        <f t="shared" si="146"/>
        <v>SUP</v>
      </c>
      <c r="EO54" s="5" t="str">
        <f t="shared" si="147"/>
        <v>RES</v>
      </c>
      <c r="EP54" s="5"/>
      <c r="EQ54" s="8">
        <f t="shared" si="148"/>
        <v>6.2162604285947239E-4</v>
      </c>
      <c r="ER54" s="8">
        <f t="shared" si="149"/>
        <v>4.4495337804686442E-4</v>
      </c>
      <c r="ES54" s="8">
        <f t="shared" si="150"/>
        <v>2.394896123016613E-3</v>
      </c>
      <c r="ET54" s="8">
        <f t="shared" si="151"/>
        <v>-1.4853590708324912E-3</v>
      </c>
      <c r="EU54" s="8">
        <f t="shared" si="152"/>
        <v>-1.5246196630130913E-3</v>
      </c>
      <c r="EV54" s="8">
        <f t="shared" si="153"/>
        <v>1.3086864060206271E-4</v>
      </c>
      <c r="EW54" s="8"/>
      <c r="EX54" s="8">
        <f t="shared" si="154"/>
        <v>0.38898163606006636</v>
      </c>
      <c r="EY54" s="9">
        <f t="shared" si="54"/>
        <v>4</v>
      </c>
      <c r="EZ54" s="10">
        <f t="shared" si="55"/>
        <v>2</v>
      </c>
      <c r="FA54" s="8">
        <f t="shared" si="86"/>
        <v>2.394896123016613E-3</v>
      </c>
      <c r="FB54" s="8">
        <f t="shared" si="87"/>
        <v>6.2162604285947239E-4</v>
      </c>
      <c r="FC54" s="8">
        <f t="shared" si="88"/>
        <v>4.4495337804686442E-4</v>
      </c>
      <c r="FD54" s="8">
        <f t="shared" si="89"/>
        <v>1.3086864060206271E-4</v>
      </c>
      <c r="FE54" s="8">
        <f t="shared" si="90"/>
        <v>-1.4853590708324912E-3</v>
      </c>
      <c r="FF54" s="8">
        <f t="shared" si="91"/>
        <v>-1.5246196630130913E-3</v>
      </c>
      <c r="FG54" s="5"/>
      <c r="FH54" s="5" t="str">
        <f t="shared" si="155"/>
        <v>-----</v>
      </c>
      <c r="FI54" s="5" t="str">
        <f t="shared" si="92"/>
        <v>-----</v>
      </c>
      <c r="FJ54" s="5"/>
      <c r="FK54" s="5" t="str">
        <f t="shared" si="93"/>
        <v>-----</v>
      </c>
      <c r="FL54" s="5" t="str">
        <f t="shared" si="94"/>
        <v>-----</v>
      </c>
      <c r="FM54" s="5"/>
      <c r="FN54" s="5"/>
      <c r="FO54" s="8" t="str">
        <f t="shared" si="174"/>
        <v>Bearish</v>
      </c>
      <c r="FP54" s="8"/>
      <c r="FQ54" s="14">
        <f t="shared" si="156"/>
        <v>-8.046894422129539E-4</v>
      </c>
      <c r="FR54" s="14">
        <f t="shared" si="58"/>
        <v>-1.0220814145762489</v>
      </c>
      <c r="FS54" s="14" t="str">
        <f t="shared" si="59"/>
        <v>-----</v>
      </c>
      <c r="FT54" s="14" t="str">
        <f t="shared" si="157"/>
        <v>Bullish</v>
      </c>
      <c r="FU54" s="5" t="str">
        <f t="shared" si="172"/>
        <v>-----</v>
      </c>
      <c r="FV54" s="5" t="str">
        <f t="shared" si="173"/>
        <v>-----</v>
      </c>
      <c r="FW54" s="5"/>
      <c r="FX54" s="15" t="str">
        <f t="shared" si="116"/>
        <v>YES</v>
      </c>
      <c r="FY54" s="15" t="str">
        <f t="shared" si="117"/>
        <v>-----</v>
      </c>
      <c r="FZ54" s="15" t="str">
        <f t="shared" si="118"/>
        <v>YES</v>
      </c>
      <c r="GA54" s="15" t="str">
        <f t="shared" si="119"/>
        <v>-----</v>
      </c>
      <c r="GB54" s="16" t="str">
        <f t="shared" si="107"/>
        <v>-----</v>
      </c>
      <c r="GC54" s="16" t="str">
        <f t="shared" si="108"/>
        <v>-----</v>
      </c>
      <c r="GD54" s="16" t="str">
        <f t="shared" si="109"/>
        <v>-----</v>
      </c>
      <c r="GE54" s="16" t="str">
        <f t="shared" si="112"/>
        <v>-----</v>
      </c>
      <c r="GF54" s="15" t="str">
        <f t="shared" si="110"/>
        <v>-----</v>
      </c>
      <c r="GG54" s="16" t="str">
        <f t="shared" si="120"/>
        <v>-----</v>
      </c>
      <c r="GH54" s="14"/>
      <c r="GI54" s="5" t="str">
        <f t="shared" si="158"/>
        <v>-----</v>
      </c>
      <c r="GJ54" s="5" t="str">
        <f t="shared" si="159"/>
        <v>-----</v>
      </c>
      <c r="GK54" s="5"/>
      <c r="GL54" s="5" t="str">
        <f t="shared" si="160"/>
        <v>-----</v>
      </c>
      <c r="GM54" s="5" t="str">
        <f t="shared" si="161"/>
        <v>-----</v>
      </c>
      <c r="GN54" s="5"/>
      <c r="GO54" s="12">
        <f t="shared" si="162"/>
        <v>6.1999999999983402E-2</v>
      </c>
      <c r="GP54" s="5">
        <f t="shared" si="97"/>
        <v>-0.31753808753895024</v>
      </c>
      <c r="GQ54" s="13" t="str">
        <f t="shared" si="98"/>
        <v>-----</v>
      </c>
      <c r="GR54" s="5"/>
      <c r="GS54">
        <f t="shared" si="99"/>
        <v>-0.51911827798026455</v>
      </c>
      <c r="GT54" s="5" t="str">
        <f t="shared" si="100"/>
        <v>-----</v>
      </c>
    </row>
    <row r="55" spans="1:202" x14ac:dyDescent="0.55000000000000004">
      <c r="A55">
        <v>51</v>
      </c>
      <c r="B55" t="s">
        <v>54</v>
      </c>
      <c r="C55" t="s">
        <v>4</v>
      </c>
      <c r="D55" t="s">
        <v>103</v>
      </c>
      <c r="E55">
        <v>152.82499999999999</v>
      </c>
      <c r="F55">
        <v>152.833</v>
      </c>
      <c r="G55">
        <v>152.71799999999999</v>
      </c>
      <c r="H55">
        <v>152.75299999999999</v>
      </c>
      <c r="I55">
        <v>224</v>
      </c>
      <c r="J55">
        <v>152.917</v>
      </c>
      <c r="K55">
        <v>152.892</v>
      </c>
      <c r="L55">
        <v>153.18899999999999</v>
      </c>
      <c r="M55">
        <v>152.59800000000001</v>
      </c>
      <c r="N55">
        <v>152.59100000000001</v>
      </c>
      <c r="O55">
        <v>152.84700000000001</v>
      </c>
      <c r="P55">
        <v>0</v>
      </c>
      <c r="Q55">
        <v>0</v>
      </c>
      <c r="R55">
        <v>0</v>
      </c>
      <c r="S55">
        <v>0</v>
      </c>
      <c r="T55">
        <v>0</v>
      </c>
      <c r="U55">
        <v>0.54400999999999999</v>
      </c>
      <c r="V55">
        <v>3</v>
      </c>
      <c r="W55">
        <v>153.15314000000001</v>
      </c>
      <c r="X55">
        <v>153.06716</v>
      </c>
      <c r="Y55">
        <v>152.98117999999999</v>
      </c>
      <c r="Z55">
        <v>152.89520999999999</v>
      </c>
      <c r="AA55">
        <v>152.80923000000001</v>
      </c>
      <c r="AB55">
        <v>152.72338999999999</v>
      </c>
      <c r="AC55">
        <v>152.63740999999999</v>
      </c>
      <c r="AD55">
        <v>152.55144000000001</v>
      </c>
      <c r="AE55">
        <v>152.46546000000001</v>
      </c>
      <c r="AF55">
        <v>152.37949</v>
      </c>
      <c r="AG55">
        <v>152.79900000000001</v>
      </c>
      <c r="AH55">
        <v>152.738</v>
      </c>
      <c r="AI55">
        <v>152.84700000000001</v>
      </c>
      <c r="AJ55">
        <v>153.012</v>
      </c>
      <c r="AK55">
        <v>152.84399999999999</v>
      </c>
      <c r="AL55">
        <v>152.75700000000001</v>
      </c>
      <c r="AM55" s="11">
        <f t="shared" si="0"/>
        <v>0.11500000000000909</v>
      </c>
      <c r="AN55" s="11">
        <f t="shared" si="66"/>
        <v>8.0000000000097771E-3</v>
      </c>
      <c r="AO55" s="11">
        <f t="shared" si="163"/>
        <v>0.10699999999999932</v>
      </c>
      <c r="AP55" s="11">
        <f t="shared" si="164"/>
        <v>0.11500000000000909</v>
      </c>
      <c r="AR55" s="5" t="str">
        <f t="shared" si="121"/>
        <v>------</v>
      </c>
      <c r="AS55" s="5" t="str">
        <f t="shared" si="122"/>
        <v>------</v>
      </c>
      <c r="AT55" t="str">
        <f t="shared" si="123"/>
        <v/>
      </c>
      <c r="AV55" s="2">
        <f t="shared" si="4"/>
        <v>152.93993755000002</v>
      </c>
      <c r="AW55" s="2">
        <f t="shared" si="5"/>
        <v>152.89406245000001</v>
      </c>
      <c r="AX55" s="2">
        <f t="shared" si="6"/>
        <v>152.9149338</v>
      </c>
      <c r="AY55" s="2">
        <f t="shared" si="7"/>
        <v>152.86906619999999</v>
      </c>
      <c r="AZ55" s="2">
        <f t="shared" si="8"/>
        <v>153.21197835000001</v>
      </c>
      <c r="BA55" s="2">
        <f t="shared" si="9"/>
        <v>153.16602165</v>
      </c>
      <c r="BB55" s="2">
        <f t="shared" si="10"/>
        <v>152.62088970000002</v>
      </c>
      <c r="BC55" s="2">
        <f t="shared" si="11"/>
        <v>152.57511030000001</v>
      </c>
      <c r="BD55" s="2">
        <f t="shared" si="12"/>
        <v>152.61388865000004</v>
      </c>
      <c r="BE55" s="2">
        <f t="shared" si="13"/>
        <v>152.56811135000001</v>
      </c>
      <c r="BF55" s="2">
        <f t="shared" si="14"/>
        <v>152.86992705000003</v>
      </c>
      <c r="BG55" s="2">
        <f t="shared" si="15"/>
        <v>152.82407295000002</v>
      </c>
      <c r="BI55" s="5" t="str">
        <f t="shared" si="69"/>
        <v>-----</v>
      </c>
      <c r="BJ55" s="5" t="str">
        <f t="shared" si="70"/>
        <v>-----</v>
      </c>
      <c r="BK55" s="5" t="str">
        <f t="shared" si="71"/>
        <v>-----</v>
      </c>
      <c r="BL55" s="5" t="str">
        <f t="shared" si="72"/>
        <v>-----</v>
      </c>
      <c r="BM55" s="5" t="str">
        <f t="shared" si="73"/>
        <v>-----</v>
      </c>
      <c r="BN55" s="5" t="str">
        <f t="shared" si="74"/>
        <v>TOUCH</v>
      </c>
      <c r="BO55" s="5"/>
      <c r="BP55" s="5">
        <f t="shared" si="175"/>
        <v>18</v>
      </c>
      <c r="BQ55" s="5">
        <f t="shared" si="175"/>
        <v>14</v>
      </c>
      <c r="BR55" s="5">
        <f t="shared" si="175"/>
        <v>49</v>
      </c>
      <c r="BS55" s="5">
        <f t="shared" si="175"/>
        <v>51</v>
      </c>
      <c r="BT55" s="5">
        <f t="shared" si="175"/>
        <v>51</v>
      </c>
      <c r="BU55" s="5">
        <f t="shared" si="175"/>
        <v>0</v>
      </c>
      <c r="BV55" s="5">
        <f t="shared" si="176"/>
        <v>1</v>
      </c>
      <c r="BW55" s="5">
        <f t="shared" si="176"/>
        <v>4</v>
      </c>
      <c r="BX55" s="5">
        <f t="shared" si="176"/>
        <v>2</v>
      </c>
      <c r="BY55" s="5">
        <f t="shared" si="176"/>
        <v>0</v>
      </c>
      <c r="BZ55" s="5">
        <f t="shared" si="176"/>
        <v>0</v>
      </c>
      <c r="CA55" s="5">
        <f t="shared" si="176"/>
        <v>2</v>
      </c>
      <c r="CB55" s="5" t="str">
        <f t="shared" si="102"/>
        <v>-----</v>
      </c>
      <c r="CC55" s="5" t="str">
        <f t="shared" si="101"/>
        <v>-----</v>
      </c>
      <c r="CD55" s="5" t="str">
        <f t="shared" si="101"/>
        <v>-----</v>
      </c>
      <c r="CE55" s="5" t="str">
        <f t="shared" si="101"/>
        <v>-----</v>
      </c>
      <c r="CF55" s="5" t="str">
        <f t="shared" si="101"/>
        <v>-----</v>
      </c>
      <c r="CG55" s="5">
        <f t="shared" si="101"/>
        <v>2</v>
      </c>
      <c r="CH55" s="5"/>
      <c r="CI55" s="17" t="str">
        <f t="shared" si="124"/>
        <v>-----</v>
      </c>
      <c r="CJ55" s="17" t="str">
        <f t="shared" si="125"/>
        <v>-----</v>
      </c>
      <c r="CK55" s="17" t="str">
        <f t="shared" si="126"/>
        <v>-----</v>
      </c>
      <c r="CL55" s="17" t="str">
        <f t="shared" si="127"/>
        <v>-----</v>
      </c>
      <c r="CM55" s="17" t="str">
        <f t="shared" si="128"/>
        <v>-----</v>
      </c>
      <c r="CN55" s="17">
        <f t="shared" si="129"/>
        <v>-1.6748774918709573E-3</v>
      </c>
      <c r="CO55" s="5"/>
      <c r="CP55" s="5" t="str">
        <f t="shared" si="77"/>
        <v>-----</v>
      </c>
      <c r="CQ55" s="5" t="str">
        <f t="shared" si="77"/>
        <v>-----</v>
      </c>
      <c r="CR55" s="5" t="str">
        <f t="shared" si="77"/>
        <v>-----</v>
      </c>
      <c r="CS55" s="5" t="str">
        <f t="shared" si="77"/>
        <v>-----</v>
      </c>
      <c r="CT55" s="5" t="str">
        <f t="shared" si="77"/>
        <v>-----</v>
      </c>
      <c r="CU55" s="5" t="str">
        <f t="shared" si="77"/>
        <v>Resistant</v>
      </c>
      <c r="CV55" s="5"/>
      <c r="CW55" s="17" t="str">
        <f t="shared" si="78"/>
        <v/>
      </c>
      <c r="CX55" s="17" t="str">
        <f t="shared" si="78"/>
        <v/>
      </c>
      <c r="CY55" s="17" t="str">
        <f t="shared" si="78"/>
        <v/>
      </c>
      <c r="CZ55" s="17" t="str">
        <f t="shared" si="78"/>
        <v/>
      </c>
      <c r="DA55" s="17" t="str">
        <f t="shared" si="78"/>
        <v/>
      </c>
      <c r="DB55" s="17">
        <f t="shared" si="78"/>
        <v>1.6748774918709573E-3</v>
      </c>
      <c r="DC55" s="8"/>
      <c r="DD55" s="5">
        <f t="shared" si="27"/>
        <v>1</v>
      </c>
      <c r="DE55" s="17">
        <f t="shared" si="79"/>
        <v>1.6748774918709573E-3</v>
      </c>
      <c r="DF55" s="5" t="str" cm="1">
        <f t="array" ref="DF55">_xlfn.IFS(DE55=CW55,CP55,DE55=CX55,CQ55,DE55=CY55,CR55,DE55=CZ55,CS55,DE55=DA55,CT55,DE55=DB55,CU55,TRUE,"----- ")</f>
        <v>Resistant</v>
      </c>
      <c r="DG55" s="5"/>
      <c r="DH55" s="5">
        <f t="shared" si="80"/>
        <v>-2.423265306122455E-3</v>
      </c>
      <c r="DI55" s="5">
        <f t="shared" si="167"/>
        <v>-3.7194805194805478E-4</v>
      </c>
      <c r="DJ55" s="5">
        <f t="shared" si="168"/>
        <v>-1.6402721088435472E-3</v>
      </c>
      <c r="DK55" s="5">
        <f t="shared" si="169"/>
        <v>7.6471243042669956E-4</v>
      </c>
      <c r="DL55" s="5">
        <f t="shared" si="170"/>
        <v>-2.3081014223875058E-4</v>
      </c>
      <c r="DM55" s="5">
        <f t="shared" si="171"/>
        <v>1.5802844774273381E-3</v>
      </c>
      <c r="DO55" s="5">
        <f t="shared" si="130"/>
        <v>-1.9079214597220278</v>
      </c>
      <c r="DP55" s="5">
        <f t="shared" si="131"/>
        <v>-0.29295343676527091</v>
      </c>
      <c r="DQ55" s="5">
        <f t="shared" si="132"/>
        <v>-1.2917022253843653</v>
      </c>
      <c r="DR55" s="5">
        <f t="shared" si="133"/>
        <v>0.60228527619529781</v>
      </c>
      <c r="DS55" s="5">
        <f t="shared" si="134"/>
        <v>-0.18179147971962978</v>
      </c>
      <c r="DT55" s="5">
        <f t="shared" si="135"/>
        <v>1.2444775446344229</v>
      </c>
      <c r="DV55" t="str" cm="1">
        <f t="array" ref="DV55">_xlfn.IFS(DO55&gt;3,"Strong + Slope",DO55&gt;1.5,"Moderate + Slope",DO55&gt;0.5,"Sideway + Slope",DO55&gt;=-0.5,"Sideway Flat",DO55&gt;=-1.5,"Sideway - Slope",DO55&gt;=-3,"Moderate - Slope",TRUE,"Strong - Slope")</f>
        <v>Moderate - Slope</v>
      </c>
      <c r="DW55" t="str" cm="1">
        <f t="array" ref="DW55">_xlfn.IFS(DP55&gt;3,"Strong + Slope",DP55&gt;1.5,"Moderate + Slope",DP55&gt;0.5,"Sideway + Slope",DP55&gt;=-0.5,"Sideway Flat",DP55&gt;=-1.5,"Sideway - Slope",DP55&gt;=-3,"Moderate - Slope",TRUE,"Strong - Slope")</f>
        <v>Sideway Flat</v>
      </c>
      <c r="DX55" t="str" cm="1">
        <f t="array" ref="DX55">_xlfn.IFS(DQ55&gt;3,"Strong + Slope",DQ55&gt;1.5,"Moderate + Slope",DQ55&gt;0.5,"Sideway + Slope",DQ55&gt;=-0.5,"Sideway Flat",DQ55&gt;=-1.5,"Sideway - Slope",DQ55&gt;=-3,"Moderate - Slope",TRUE,"Strong - Slope")</f>
        <v>Sideway - Slope</v>
      </c>
      <c r="DY55" t="str" cm="1">
        <f t="array" ref="DY55">_xlfn.IFS(DR55&gt;3,"Strong + Slope",DR55&gt;1.5,"Moderate + Slope",DR55&gt;0.5,"Sideway + Slope",DR55&gt;=-0.5,"Sideway Flat",DR55&gt;=-1.5,"Sideway - Slope",DR55&gt;=-3,"Moderate - Slope",TRUE,"Strong - Slope")</f>
        <v>Sideway + Slope</v>
      </c>
      <c r="DZ55" t="str" cm="1">
        <f t="array" ref="DZ55">_xlfn.IFS(DS55&gt;3,"Strong + Slope",DS55&gt;1.5,"Moderate + Slope",DS55&gt;0.5,"Sideway + Slope",DS55&gt;=-0.5,"Sideway Flat",DS55&gt;=-1.5,"Sideway - Slope",DS55&gt;=-3,"Moderate - Slope",TRUE,"Strong - Slope")</f>
        <v>Sideway Flat</v>
      </c>
      <c r="EA55" t="str" cm="1">
        <f t="array" ref="EA55">_xlfn.IFS(DT55&gt;3,"Strong + Slope",DT55&gt;1.5,"Moderate + Slope",DT55&gt;0.5,"Sideway + Slope",DT55&gt;=-0.5,"Sideway Flat",DT55&gt;=-1.5,"Sideway - Slope",DT55&gt;=-3,"Moderate - Slope",TRUE,"Strong - Slope")</f>
        <v>Sideway + Slope</v>
      </c>
      <c r="EB55" s="5"/>
      <c r="EC55" s="5">
        <f t="shared" si="136"/>
        <v>2</v>
      </c>
      <c r="ED55" s="5">
        <f t="shared" si="137"/>
        <v>3</v>
      </c>
      <c r="EE55" s="5">
        <f t="shared" si="138"/>
        <v>1</v>
      </c>
      <c r="EF55" s="5">
        <f t="shared" si="139"/>
        <v>5</v>
      </c>
      <c r="EG55" s="5">
        <f t="shared" si="140"/>
        <v>6</v>
      </c>
      <c r="EH55" s="5">
        <f t="shared" si="141"/>
        <v>4</v>
      </c>
      <c r="EI55" s="5"/>
      <c r="EJ55" s="5" t="str">
        <f t="shared" si="142"/>
        <v>RES</v>
      </c>
      <c r="EK55" s="5" t="str">
        <f t="shared" si="143"/>
        <v>RES</v>
      </c>
      <c r="EL55" s="5" t="str">
        <f t="shared" si="144"/>
        <v>RES</v>
      </c>
      <c r="EM55" s="5" t="str">
        <f t="shared" si="145"/>
        <v>SUP</v>
      </c>
      <c r="EN55" s="5" t="str">
        <f t="shared" si="146"/>
        <v>SUP</v>
      </c>
      <c r="EO55" s="5" t="str">
        <f t="shared" si="147"/>
        <v>RES</v>
      </c>
      <c r="EP55" s="5"/>
      <c r="EQ55" s="8">
        <f t="shared" si="148"/>
        <v>1.0736286685041584E-3</v>
      </c>
      <c r="ER55" s="8">
        <f t="shared" si="149"/>
        <v>9.0996576171996628E-4</v>
      </c>
      <c r="ES55" s="8">
        <f t="shared" si="150"/>
        <v>2.8542810943157065E-3</v>
      </c>
      <c r="ET55" s="8">
        <f t="shared" si="151"/>
        <v>-1.0147100220615813E-3</v>
      </c>
      <c r="EU55" s="8">
        <f t="shared" si="152"/>
        <v>-1.0605356359611774E-3</v>
      </c>
      <c r="EV55" s="8">
        <f t="shared" si="153"/>
        <v>6.1537252950856947E-4</v>
      </c>
      <c r="EW55" s="8"/>
      <c r="EX55" s="8">
        <f t="shared" si="154"/>
        <v>0.27090301003341444</v>
      </c>
      <c r="EY55" s="9">
        <f t="shared" si="54"/>
        <v>4</v>
      </c>
      <c r="EZ55" s="10">
        <f t="shared" si="55"/>
        <v>2</v>
      </c>
      <c r="FA55" s="8">
        <f t="shared" si="86"/>
        <v>2.8542810943157065E-3</v>
      </c>
      <c r="FB55" s="8">
        <f t="shared" si="87"/>
        <v>1.0736286685041584E-3</v>
      </c>
      <c r="FC55" s="8">
        <f t="shared" si="88"/>
        <v>9.0996576171996628E-4</v>
      </c>
      <c r="FD55" s="8">
        <f t="shared" si="89"/>
        <v>6.1537252950856947E-4</v>
      </c>
      <c r="FE55" s="8">
        <f t="shared" si="90"/>
        <v>-1.0147100220615813E-3</v>
      </c>
      <c r="FF55" s="8">
        <f t="shared" si="91"/>
        <v>-1.0605356359611774E-3</v>
      </c>
      <c r="FG55" s="5"/>
      <c r="FH55" s="5" t="str">
        <f t="shared" si="155"/>
        <v>-----</v>
      </c>
      <c r="FI55" s="5" t="str">
        <f t="shared" si="92"/>
        <v>-----</v>
      </c>
      <c r="FJ55" s="5"/>
      <c r="FK55" s="5" t="str">
        <f t="shared" si="93"/>
        <v>-----</v>
      </c>
      <c r="FL55" s="5" t="str">
        <f t="shared" si="94"/>
        <v>-----</v>
      </c>
      <c r="FM55" s="5"/>
      <c r="FN55" s="5"/>
      <c r="FO55" s="8" t="str">
        <f t="shared" si="174"/>
        <v>Bearish</v>
      </c>
      <c r="FP55" s="8"/>
      <c r="FQ55" s="14">
        <f t="shared" si="156"/>
        <v>-7.1313143208573838E-4</v>
      </c>
      <c r="FR55" s="14">
        <f t="shared" si="58"/>
        <v>-0.75802328120393581</v>
      </c>
      <c r="FS55" s="14" t="str">
        <f t="shared" si="59"/>
        <v>-----</v>
      </c>
      <c r="FT55" s="14" t="str">
        <f t="shared" si="157"/>
        <v>Bullish</v>
      </c>
      <c r="FU55" s="5" t="str">
        <f t="shared" si="172"/>
        <v>-----</v>
      </c>
      <c r="FV55" s="5" t="str">
        <f t="shared" si="173"/>
        <v>TEMA crossunder</v>
      </c>
      <c r="FW55" s="5"/>
      <c r="FX55" s="15" t="str">
        <f t="shared" si="116"/>
        <v>YES</v>
      </c>
      <c r="FY55" s="15" t="str">
        <f t="shared" si="117"/>
        <v>-----</v>
      </c>
      <c r="FZ55" s="15" t="str">
        <f t="shared" si="118"/>
        <v>YES</v>
      </c>
      <c r="GA55" s="15" t="str">
        <f t="shared" si="119"/>
        <v>YES</v>
      </c>
      <c r="GB55" s="16" t="str">
        <f t="shared" si="107"/>
        <v>-----</v>
      </c>
      <c r="GC55" s="16" t="str">
        <f t="shared" si="108"/>
        <v>-----</v>
      </c>
      <c r="GD55" s="16" t="str">
        <f t="shared" si="109"/>
        <v>-----</v>
      </c>
      <c r="GE55" s="16" t="str">
        <f t="shared" si="112"/>
        <v>-----</v>
      </c>
      <c r="GF55" s="15" t="str">
        <f t="shared" si="110"/>
        <v>-----</v>
      </c>
      <c r="GG55" s="16" t="str">
        <f t="shared" si="120"/>
        <v>-----</v>
      </c>
      <c r="GH55" s="14"/>
      <c r="GI55" s="5" t="str">
        <f t="shared" si="158"/>
        <v>-----</v>
      </c>
      <c r="GJ55" s="5" t="str">
        <f t="shared" si="159"/>
        <v>Bearish Trigger</v>
      </c>
      <c r="GK55" s="5"/>
      <c r="GL55" s="5" t="str">
        <f t="shared" si="160"/>
        <v>-----</v>
      </c>
      <c r="GM55" s="5" t="str">
        <f t="shared" si="161"/>
        <v>-----</v>
      </c>
      <c r="GN55" s="5"/>
      <c r="GO55" s="12">
        <f t="shared" si="162"/>
        <v>8.6999999999989086E-2</v>
      </c>
      <c r="GP55" s="5">
        <f t="shared" si="97"/>
        <v>0.25863989388188074</v>
      </c>
      <c r="GQ55" s="13" t="str">
        <f t="shared" si="98"/>
        <v>-----</v>
      </c>
      <c r="GR55" s="5"/>
      <c r="GS55">
        <f t="shared" si="99"/>
        <v>-0.41586823374109588</v>
      </c>
      <c r="GT55" s="5" t="str">
        <f t="shared" si="100"/>
        <v>-----</v>
      </c>
    </row>
    <row r="56" spans="1:202" x14ac:dyDescent="0.55000000000000004">
      <c r="A56">
        <v>52</v>
      </c>
      <c r="B56" t="s">
        <v>55</v>
      </c>
      <c r="C56" t="s">
        <v>4</v>
      </c>
      <c r="D56" t="s">
        <v>103</v>
      </c>
      <c r="E56">
        <v>152.75299999999999</v>
      </c>
      <c r="F56">
        <v>152.827</v>
      </c>
      <c r="G56">
        <v>152.74700000000001</v>
      </c>
      <c r="H56">
        <v>152.80600000000001</v>
      </c>
      <c r="I56">
        <v>208</v>
      </c>
      <c r="J56">
        <v>152.91499999999999</v>
      </c>
      <c r="K56">
        <v>152.892</v>
      </c>
      <c r="L56">
        <v>153.18700000000001</v>
      </c>
      <c r="M56">
        <v>152.59899999999999</v>
      </c>
      <c r="N56">
        <v>152.59100000000001</v>
      </c>
      <c r="O56">
        <v>152.84899999999999</v>
      </c>
      <c r="P56">
        <v>0</v>
      </c>
      <c r="Q56">
        <v>0</v>
      </c>
      <c r="R56">
        <v>0</v>
      </c>
      <c r="S56">
        <v>0</v>
      </c>
      <c r="T56">
        <v>0</v>
      </c>
      <c r="U56">
        <v>0.11260000000000001</v>
      </c>
      <c r="V56">
        <v>0</v>
      </c>
      <c r="W56">
        <v>153.14786000000001</v>
      </c>
      <c r="X56">
        <v>153.06161</v>
      </c>
      <c r="Y56">
        <v>152.97535999999999</v>
      </c>
      <c r="Z56">
        <v>152.88910000000001</v>
      </c>
      <c r="AA56">
        <v>152.80285000000001</v>
      </c>
      <c r="AB56">
        <v>152.71781999999999</v>
      </c>
      <c r="AC56">
        <v>152.63157000000001</v>
      </c>
      <c r="AD56">
        <v>152.54532</v>
      </c>
      <c r="AE56">
        <v>152.45907</v>
      </c>
      <c r="AF56">
        <v>152.37280999999999</v>
      </c>
      <c r="AG56">
        <v>152.803</v>
      </c>
      <c r="AH56">
        <v>152.74600000000001</v>
      </c>
      <c r="AI56">
        <v>152.84299999999999</v>
      </c>
      <c r="AJ56">
        <v>153.005</v>
      </c>
      <c r="AK56">
        <v>152.84399999999999</v>
      </c>
      <c r="AL56">
        <v>152.75899999999999</v>
      </c>
      <c r="AM56" s="11">
        <f t="shared" si="0"/>
        <v>7.9999999999984084E-2</v>
      </c>
      <c r="AN56" s="11">
        <f t="shared" si="66"/>
        <v>7.4000000000012278E-2</v>
      </c>
      <c r="AO56" s="11">
        <f t="shared" si="163"/>
        <v>5.9999999999718057E-3</v>
      </c>
      <c r="AP56" s="11">
        <f t="shared" si="164"/>
        <v>7.9999999999984084E-2</v>
      </c>
      <c r="AR56" s="5" t="str">
        <f t="shared" si="121"/>
        <v>------</v>
      </c>
      <c r="AS56" s="5" t="str">
        <f t="shared" si="122"/>
        <v>------</v>
      </c>
      <c r="AT56" t="str">
        <f t="shared" si="123"/>
        <v/>
      </c>
      <c r="AV56" s="2">
        <f t="shared" si="4"/>
        <v>152.93793725</v>
      </c>
      <c r="AW56" s="2">
        <f t="shared" si="5"/>
        <v>152.89206275000001</v>
      </c>
      <c r="AX56" s="2">
        <f t="shared" si="6"/>
        <v>152.9149338</v>
      </c>
      <c r="AY56" s="2">
        <f t="shared" si="7"/>
        <v>152.86906619999999</v>
      </c>
      <c r="AZ56" s="2">
        <f t="shared" si="8"/>
        <v>153.20997805000002</v>
      </c>
      <c r="BA56" s="2">
        <f t="shared" si="9"/>
        <v>153.16402195000001</v>
      </c>
      <c r="BB56" s="2">
        <f t="shared" si="10"/>
        <v>152.62188985</v>
      </c>
      <c r="BC56" s="2">
        <f t="shared" si="11"/>
        <v>152.57611015000001</v>
      </c>
      <c r="BD56" s="2">
        <f t="shared" si="12"/>
        <v>152.61388865000004</v>
      </c>
      <c r="BE56" s="2">
        <f t="shared" si="13"/>
        <v>152.56811135000001</v>
      </c>
      <c r="BF56" s="2">
        <f t="shared" si="14"/>
        <v>152.87192734999999</v>
      </c>
      <c r="BG56" s="2">
        <f t="shared" si="15"/>
        <v>152.82607264999999</v>
      </c>
      <c r="BI56" s="5" t="str">
        <f t="shared" si="69"/>
        <v>-----</v>
      </c>
      <c r="BJ56" s="5" t="str">
        <f t="shared" si="70"/>
        <v>-----</v>
      </c>
      <c r="BK56" s="5" t="str">
        <f t="shared" si="71"/>
        <v>-----</v>
      </c>
      <c r="BL56" s="5" t="str">
        <f t="shared" si="72"/>
        <v>-----</v>
      </c>
      <c r="BM56" s="5" t="str">
        <f t="shared" si="73"/>
        <v>-----</v>
      </c>
      <c r="BN56" s="5" t="str">
        <f t="shared" si="74"/>
        <v>-----</v>
      </c>
      <c r="BO56" s="5"/>
      <c r="BP56" s="5">
        <f t="shared" si="175"/>
        <v>19</v>
      </c>
      <c r="BQ56" s="5">
        <f t="shared" si="175"/>
        <v>15</v>
      </c>
      <c r="BR56" s="5">
        <f t="shared" si="175"/>
        <v>50</v>
      </c>
      <c r="BS56" s="5">
        <f t="shared" si="175"/>
        <v>52</v>
      </c>
      <c r="BT56" s="5">
        <f t="shared" si="175"/>
        <v>52</v>
      </c>
      <c r="BU56" s="5">
        <f t="shared" si="175"/>
        <v>1</v>
      </c>
      <c r="BV56" s="5">
        <f t="shared" si="176"/>
        <v>1</v>
      </c>
      <c r="BW56" s="5">
        <f t="shared" si="176"/>
        <v>4</v>
      </c>
      <c r="BX56" s="5">
        <f t="shared" si="176"/>
        <v>2</v>
      </c>
      <c r="BY56" s="5">
        <f t="shared" si="176"/>
        <v>0</v>
      </c>
      <c r="BZ56" s="5">
        <f t="shared" si="176"/>
        <v>0</v>
      </c>
      <c r="CA56" s="5">
        <f t="shared" si="176"/>
        <v>2</v>
      </c>
      <c r="CB56" s="5" t="str">
        <f t="shared" si="102"/>
        <v>-----</v>
      </c>
      <c r="CC56" s="5" t="str">
        <f t="shared" si="101"/>
        <v>-----</v>
      </c>
      <c r="CD56" s="5" t="str">
        <f t="shared" si="101"/>
        <v>-----</v>
      </c>
      <c r="CE56" s="5" t="str">
        <f t="shared" si="101"/>
        <v>-----</v>
      </c>
      <c r="CF56" s="5" t="str">
        <f t="shared" si="101"/>
        <v>-----</v>
      </c>
      <c r="CG56" s="5" t="str">
        <f t="shared" si="101"/>
        <v>-----</v>
      </c>
      <c r="CH56" s="5"/>
      <c r="CI56" s="17" t="str">
        <f t="shared" si="124"/>
        <v>-----</v>
      </c>
      <c r="CJ56" s="17" t="str">
        <f t="shared" si="125"/>
        <v>-----</v>
      </c>
      <c r="CK56" s="17" t="str">
        <f t="shared" si="126"/>
        <v>-----</v>
      </c>
      <c r="CL56" s="17" t="str">
        <f t="shared" si="127"/>
        <v>-----</v>
      </c>
      <c r="CM56" s="17" t="str">
        <f t="shared" si="128"/>
        <v>-----</v>
      </c>
      <c r="CN56" s="17" t="str">
        <f t="shared" si="129"/>
        <v>-----</v>
      </c>
      <c r="CO56" s="5"/>
      <c r="CP56" s="5" t="str">
        <f t="shared" si="77"/>
        <v>-----</v>
      </c>
      <c r="CQ56" s="5" t="str">
        <f t="shared" si="77"/>
        <v>-----</v>
      </c>
      <c r="CR56" s="5" t="str">
        <f t="shared" si="77"/>
        <v>-----</v>
      </c>
      <c r="CS56" s="5" t="str">
        <f t="shared" si="77"/>
        <v>-----</v>
      </c>
      <c r="CT56" s="5" t="str">
        <f t="shared" si="77"/>
        <v>-----</v>
      </c>
      <c r="CU56" s="5" t="str">
        <f t="shared" si="77"/>
        <v>-----</v>
      </c>
      <c r="CV56" s="5"/>
      <c r="CW56" s="17" t="str">
        <f t="shared" si="78"/>
        <v/>
      </c>
      <c r="CX56" s="17" t="str">
        <f t="shared" si="78"/>
        <v/>
      </c>
      <c r="CY56" s="17" t="str">
        <f t="shared" si="78"/>
        <v/>
      </c>
      <c r="CZ56" s="17" t="str">
        <f t="shared" si="78"/>
        <v/>
      </c>
      <c r="DA56" s="17" t="str">
        <f t="shared" si="78"/>
        <v/>
      </c>
      <c r="DB56" s="17" t="str">
        <f t="shared" si="78"/>
        <v/>
      </c>
      <c r="DC56" s="8"/>
      <c r="DD56" s="5">
        <f t="shared" si="27"/>
        <v>0</v>
      </c>
      <c r="DE56" s="17" t="str">
        <f t="shared" si="79"/>
        <v>-----</v>
      </c>
      <c r="DF56" s="5" t="str" cm="1">
        <f t="array" ref="DF56">_xlfn.IFS(DE56=CW56,CP56,DE56=CX56,CQ56,DE56=CY56,CR56,DE56=CZ56,CS56,DE56=DA56,CT56,DE56=DB56,CU56,TRUE,"----- ")</f>
        <v xml:space="preserve">----- </v>
      </c>
      <c r="DG56" s="5"/>
      <c r="DH56" s="5">
        <f t="shared" si="80"/>
        <v>-2.423265306122455E-3</v>
      </c>
      <c r="DI56" s="5">
        <f t="shared" si="167"/>
        <v>-3.7194805194805478E-4</v>
      </c>
      <c r="DJ56" s="5">
        <f t="shared" si="168"/>
        <v>-1.6402721088435472E-3</v>
      </c>
      <c r="DK56" s="5">
        <f t="shared" si="169"/>
        <v>7.6471243042669956E-4</v>
      </c>
      <c r="DL56" s="5">
        <f t="shared" si="170"/>
        <v>-2.3081014223875058E-4</v>
      </c>
      <c r="DM56" s="5">
        <f t="shared" si="171"/>
        <v>1.5802844774273381E-3</v>
      </c>
      <c r="DO56" s="5">
        <f t="shared" si="130"/>
        <v>-1.9079214597220278</v>
      </c>
      <c r="DP56" s="5">
        <f t="shared" si="131"/>
        <v>-0.29295343676527091</v>
      </c>
      <c r="DQ56" s="5">
        <f t="shared" si="132"/>
        <v>-1.2917022253843653</v>
      </c>
      <c r="DR56" s="5">
        <f t="shared" si="133"/>
        <v>0.60228527619529781</v>
      </c>
      <c r="DS56" s="5">
        <f t="shared" si="134"/>
        <v>-0.18179147971962978</v>
      </c>
      <c r="DT56" s="5">
        <f t="shared" si="135"/>
        <v>1.2444775446344229</v>
      </c>
      <c r="DV56" t="str" cm="1">
        <f t="array" ref="DV56">_xlfn.IFS(DO56&gt;3,"Strong + Slope",DO56&gt;1.5,"Moderate + Slope",DO56&gt;0.5,"Sideway + Slope",DO56&gt;=-0.5,"Sideway Flat",DO56&gt;=-1.5,"Sideway - Slope",DO56&gt;=-3,"Moderate - Slope",TRUE,"Strong - Slope")</f>
        <v>Moderate - Slope</v>
      </c>
      <c r="DW56" t="str" cm="1">
        <f t="array" ref="DW56">_xlfn.IFS(DP56&gt;3,"Strong + Slope",DP56&gt;1.5,"Moderate + Slope",DP56&gt;0.5,"Sideway + Slope",DP56&gt;=-0.5,"Sideway Flat",DP56&gt;=-1.5,"Sideway - Slope",DP56&gt;=-3,"Moderate - Slope",TRUE,"Strong - Slope")</f>
        <v>Sideway Flat</v>
      </c>
      <c r="DX56" t="str" cm="1">
        <f t="array" ref="DX56">_xlfn.IFS(DQ56&gt;3,"Strong + Slope",DQ56&gt;1.5,"Moderate + Slope",DQ56&gt;0.5,"Sideway + Slope",DQ56&gt;=-0.5,"Sideway Flat",DQ56&gt;=-1.5,"Sideway - Slope",DQ56&gt;=-3,"Moderate - Slope",TRUE,"Strong - Slope")</f>
        <v>Sideway - Slope</v>
      </c>
      <c r="DY56" t="str" cm="1">
        <f t="array" ref="DY56">_xlfn.IFS(DR56&gt;3,"Strong + Slope",DR56&gt;1.5,"Moderate + Slope",DR56&gt;0.5,"Sideway + Slope",DR56&gt;=-0.5,"Sideway Flat",DR56&gt;=-1.5,"Sideway - Slope",DR56&gt;=-3,"Moderate - Slope",TRUE,"Strong - Slope")</f>
        <v>Sideway + Slope</v>
      </c>
      <c r="DZ56" t="str" cm="1">
        <f t="array" ref="DZ56">_xlfn.IFS(DS56&gt;3,"Strong + Slope",DS56&gt;1.5,"Moderate + Slope",DS56&gt;0.5,"Sideway + Slope",DS56&gt;=-0.5,"Sideway Flat",DS56&gt;=-1.5,"Sideway - Slope",DS56&gt;=-3,"Moderate - Slope",TRUE,"Strong - Slope")</f>
        <v>Sideway Flat</v>
      </c>
      <c r="EA56" t="str" cm="1">
        <f t="array" ref="EA56">_xlfn.IFS(DT56&gt;3,"Strong + Slope",DT56&gt;1.5,"Moderate + Slope",DT56&gt;0.5,"Sideway + Slope",DT56&gt;=-0.5,"Sideway Flat",DT56&gt;=-1.5,"Sideway - Slope",DT56&gt;=-3,"Moderate - Slope",TRUE,"Strong - Slope")</f>
        <v>Sideway + Slope</v>
      </c>
      <c r="EB56" s="5"/>
      <c r="EC56" s="5">
        <f t="shared" si="136"/>
        <v>2</v>
      </c>
      <c r="ED56" s="5">
        <f t="shared" si="137"/>
        <v>3</v>
      </c>
      <c r="EE56" s="5">
        <f t="shared" si="138"/>
        <v>1</v>
      </c>
      <c r="EF56" s="5">
        <f t="shared" si="139"/>
        <v>5</v>
      </c>
      <c r="EG56" s="5">
        <f t="shared" si="140"/>
        <v>6</v>
      </c>
      <c r="EH56" s="5">
        <f t="shared" si="141"/>
        <v>4</v>
      </c>
      <c r="EI56" s="5"/>
      <c r="EJ56" s="5" t="str">
        <f t="shared" si="142"/>
        <v>RES</v>
      </c>
      <c r="EK56" s="5" t="str">
        <f t="shared" si="143"/>
        <v>RES</v>
      </c>
      <c r="EL56" s="5" t="str">
        <f t="shared" si="144"/>
        <v>RES</v>
      </c>
      <c r="EM56" s="5" t="str">
        <f t="shared" si="145"/>
        <v>SUP</v>
      </c>
      <c r="EN56" s="5" t="str">
        <f t="shared" si="146"/>
        <v>SUP</v>
      </c>
      <c r="EO56" s="5" t="str">
        <f t="shared" si="147"/>
        <v>RES</v>
      </c>
      <c r="EP56" s="5"/>
      <c r="EQ56" s="8">
        <f t="shared" si="148"/>
        <v>7.1332277528356506E-4</v>
      </c>
      <c r="ER56" s="8">
        <f t="shared" si="149"/>
        <v>5.6280512545308628E-4</v>
      </c>
      <c r="ES56" s="8">
        <f t="shared" si="150"/>
        <v>2.4933575906705245E-3</v>
      </c>
      <c r="ET56" s="8">
        <f t="shared" si="151"/>
        <v>-1.3546588484746806E-3</v>
      </c>
      <c r="EU56" s="8">
        <f t="shared" si="152"/>
        <v>-1.4070128136329948E-3</v>
      </c>
      <c r="EV56" s="8">
        <f t="shared" si="153"/>
        <v>2.8140256272645017E-4</v>
      </c>
      <c r="EW56" s="8"/>
      <c r="EX56" s="8">
        <f t="shared" si="154"/>
        <v>0.36073825503356055</v>
      </c>
      <c r="EY56" s="9">
        <f t="shared" si="54"/>
        <v>4</v>
      </c>
      <c r="EZ56" s="10">
        <f t="shared" si="55"/>
        <v>2</v>
      </c>
      <c r="FA56" s="8">
        <f t="shared" si="86"/>
        <v>2.4933575906705245E-3</v>
      </c>
      <c r="FB56" s="8">
        <f t="shared" si="87"/>
        <v>7.1332277528356506E-4</v>
      </c>
      <c r="FC56" s="8">
        <f t="shared" si="88"/>
        <v>5.6280512545308628E-4</v>
      </c>
      <c r="FD56" s="8">
        <f t="shared" si="89"/>
        <v>2.8140256272645017E-4</v>
      </c>
      <c r="FE56" s="8">
        <f t="shared" si="90"/>
        <v>-1.3546588484746806E-3</v>
      </c>
      <c r="FF56" s="8">
        <f t="shared" si="91"/>
        <v>-1.4070128136329948E-3</v>
      </c>
      <c r="FG56" s="5"/>
      <c r="FH56" s="5" t="str">
        <f t="shared" si="155"/>
        <v>Flat Momentum</v>
      </c>
      <c r="FI56" s="5" t="str">
        <f t="shared" si="92"/>
        <v>-----</v>
      </c>
      <c r="FJ56" s="5"/>
      <c r="FK56" s="5" t="str">
        <f t="shared" si="93"/>
        <v>-----</v>
      </c>
      <c r="FL56" s="5" t="str">
        <f t="shared" si="94"/>
        <v>-----</v>
      </c>
      <c r="FM56" s="5"/>
      <c r="FN56" s="5"/>
      <c r="FO56" s="8" t="str">
        <f t="shared" si="174"/>
        <v>Bearish</v>
      </c>
      <c r="FP56" s="8"/>
      <c r="FQ56" s="14">
        <f t="shared" si="156"/>
        <v>-6.3463815810982512E-4</v>
      </c>
      <c r="FR56" s="14">
        <f t="shared" si="58"/>
        <v>-0.53164453641074605</v>
      </c>
      <c r="FS56" s="14" t="str">
        <f t="shared" si="59"/>
        <v>-----</v>
      </c>
      <c r="FT56" s="14" t="str">
        <f t="shared" si="157"/>
        <v>Bullish</v>
      </c>
      <c r="FU56" s="5" t="str">
        <f t="shared" si="172"/>
        <v>TEMA crossover</v>
      </c>
      <c r="FV56" s="5" t="str">
        <f t="shared" si="173"/>
        <v>-----</v>
      </c>
      <c r="FW56" s="5"/>
      <c r="FX56" s="15" t="str">
        <f t="shared" si="116"/>
        <v>YES</v>
      </c>
      <c r="FY56" s="15" t="str">
        <f t="shared" si="117"/>
        <v>-----</v>
      </c>
      <c r="FZ56" s="15" t="str">
        <f t="shared" si="118"/>
        <v>YES</v>
      </c>
      <c r="GA56" s="15" t="str">
        <f t="shared" si="119"/>
        <v>YES</v>
      </c>
      <c r="GB56" s="16" t="str">
        <f t="shared" si="107"/>
        <v>-----</v>
      </c>
      <c r="GC56" s="16" t="str">
        <f t="shared" si="108"/>
        <v>-----</v>
      </c>
      <c r="GD56" s="16" t="str">
        <f t="shared" si="109"/>
        <v>-----</v>
      </c>
      <c r="GE56" s="16" t="str">
        <f t="shared" si="112"/>
        <v>YES</v>
      </c>
      <c r="GF56" s="15" t="str">
        <f t="shared" si="110"/>
        <v>-----</v>
      </c>
      <c r="GG56" s="16" t="str">
        <f t="shared" si="120"/>
        <v>-----</v>
      </c>
      <c r="GH56" s="14"/>
      <c r="GI56" s="5" t="str">
        <f t="shared" si="158"/>
        <v>-----</v>
      </c>
      <c r="GJ56" s="5" t="str">
        <f t="shared" si="159"/>
        <v>-----</v>
      </c>
      <c r="GK56" s="5"/>
      <c r="GL56" s="5" t="str">
        <f t="shared" si="160"/>
        <v>-----</v>
      </c>
      <c r="GM56" s="5" t="str">
        <f t="shared" si="161"/>
        <v>-----</v>
      </c>
      <c r="GN56" s="5"/>
      <c r="GO56" s="12">
        <f t="shared" si="162"/>
        <v>8.5000000000007958E-2</v>
      </c>
      <c r="GP56" s="5">
        <f t="shared" si="97"/>
        <v>0.21254565536865969</v>
      </c>
      <c r="GQ56" s="13" t="str">
        <f t="shared" si="98"/>
        <v>-----</v>
      </c>
      <c r="GR56" s="5"/>
      <c r="GS56">
        <f t="shared" si="99"/>
        <v>-0.51911827798026455</v>
      </c>
      <c r="GT56" s="5" t="str">
        <f t="shared" si="100"/>
        <v>-----</v>
      </c>
    </row>
    <row r="57" spans="1:202" x14ac:dyDescent="0.55000000000000004">
      <c r="A57">
        <v>53</v>
      </c>
      <c r="B57" t="s">
        <v>56</v>
      </c>
      <c r="C57" t="s">
        <v>4</v>
      </c>
      <c r="D57" t="s">
        <v>103</v>
      </c>
      <c r="E57">
        <v>152.80500000000001</v>
      </c>
      <c r="F57">
        <v>152.82400000000001</v>
      </c>
      <c r="G57">
        <v>152.761</v>
      </c>
      <c r="H57">
        <v>152.78800000000001</v>
      </c>
      <c r="I57">
        <v>227</v>
      </c>
      <c r="J57">
        <v>152.91200000000001</v>
      </c>
      <c r="K57">
        <v>152.892</v>
      </c>
      <c r="L57">
        <v>153.18600000000001</v>
      </c>
      <c r="M57">
        <v>152.6</v>
      </c>
      <c r="N57">
        <v>152.59100000000001</v>
      </c>
      <c r="O57">
        <v>152.85</v>
      </c>
      <c r="P57">
        <v>0</v>
      </c>
      <c r="Q57">
        <v>0</v>
      </c>
      <c r="R57">
        <v>0</v>
      </c>
      <c r="S57">
        <v>0</v>
      </c>
      <c r="T57">
        <v>0</v>
      </c>
      <c r="U57">
        <v>0.70204</v>
      </c>
      <c r="V57">
        <v>3</v>
      </c>
      <c r="W57">
        <v>153.14164</v>
      </c>
      <c r="X57">
        <v>153.05554000000001</v>
      </c>
      <c r="Y57">
        <v>152.96943999999999</v>
      </c>
      <c r="Z57">
        <v>152.88334</v>
      </c>
      <c r="AA57">
        <v>152.79723999999999</v>
      </c>
      <c r="AB57">
        <v>152.71342000000001</v>
      </c>
      <c r="AC57">
        <v>152.62732</v>
      </c>
      <c r="AD57">
        <v>152.54122000000001</v>
      </c>
      <c r="AE57">
        <v>152.45511999999999</v>
      </c>
      <c r="AF57">
        <v>152.36902000000001</v>
      </c>
      <c r="AG57">
        <v>152.804</v>
      </c>
      <c r="AH57">
        <v>152.75200000000001</v>
      </c>
      <c r="AI57">
        <v>152.839</v>
      </c>
      <c r="AJ57">
        <v>152.999</v>
      </c>
      <c r="AK57">
        <v>152.84100000000001</v>
      </c>
      <c r="AL57">
        <v>152.76599999999999</v>
      </c>
      <c r="AM57" s="11">
        <f t="shared" si="0"/>
        <v>6.3000000000016598E-2</v>
      </c>
      <c r="AN57" s="11">
        <f t="shared" si="66"/>
        <v>1.8000000000000682E-2</v>
      </c>
      <c r="AO57" s="11">
        <f t="shared" si="163"/>
        <v>4.5000000000015916E-2</v>
      </c>
      <c r="AP57" s="11">
        <f t="shared" si="164"/>
        <v>6.3000000000016598E-2</v>
      </c>
      <c r="AR57" s="5" t="str">
        <f t="shared" si="121"/>
        <v>------</v>
      </c>
      <c r="AS57" s="5" t="str">
        <f t="shared" si="122"/>
        <v>------</v>
      </c>
      <c r="AT57" t="str">
        <f t="shared" si="123"/>
        <v/>
      </c>
      <c r="AV57" s="2">
        <f t="shared" si="4"/>
        <v>152.93493680000003</v>
      </c>
      <c r="AW57" s="2">
        <f t="shared" si="5"/>
        <v>152.88906320000001</v>
      </c>
      <c r="AX57" s="2">
        <f t="shared" si="6"/>
        <v>152.9149338</v>
      </c>
      <c r="AY57" s="2">
        <f t="shared" si="7"/>
        <v>152.86906619999999</v>
      </c>
      <c r="AZ57" s="2">
        <f t="shared" si="8"/>
        <v>153.20897790000001</v>
      </c>
      <c r="BA57" s="2">
        <f t="shared" si="9"/>
        <v>153.16302210000001</v>
      </c>
      <c r="BB57" s="2">
        <f t="shared" si="10"/>
        <v>152.62289000000001</v>
      </c>
      <c r="BC57" s="2">
        <f t="shared" si="11"/>
        <v>152.57711</v>
      </c>
      <c r="BD57" s="2">
        <f t="shared" si="12"/>
        <v>152.61388865000004</v>
      </c>
      <c r="BE57" s="2">
        <f t="shared" si="13"/>
        <v>152.56811135000001</v>
      </c>
      <c r="BF57" s="2">
        <f t="shared" si="14"/>
        <v>152.8729275</v>
      </c>
      <c r="BG57" s="2">
        <f t="shared" si="15"/>
        <v>152.82707249999999</v>
      </c>
      <c r="BI57" s="5" t="str">
        <f t="shared" si="69"/>
        <v>-----</v>
      </c>
      <c r="BJ57" s="5" t="str">
        <f t="shared" si="70"/>
        <v>-----</v>
      </c>
      <c r="BK57" s="5" t="str">
        <f t="shared" si="71"/>
        <v>-----</v>
      </c>
      <c r="BL57" s="5" t="str">
        <f t="shared" si="72"/>
        <v>-----</v>
      </c>
      <c r="BM57" s="5" t="str">
        <f t="shared" si="73"/>
        <v>-----</v>
      </c>
      <c r="BN57" s="5" t="str">
        <f t="shared" si="74"/>
        <v>-----</v>
      </c>
      <c r="BO57" s="5"/>
      <c r="BP57" s="5">
        <f t="shared" si="175"/>
        <v>20</v>
      </c>
      <c r="BQ57" s="5">
        <f t="shared" si="175"/>
        <v>16</v>
      </c>
      <c r="BR57" s="5">
        <f t="shared" si="175"/>
        <v>51</v>
      </c>
      <c r="BS57" s="5">
        <f t="shared" si="175"/>
        <v>53</v>
      </c>
      <c r="BT57" s="5">
        <f t="shared" si="175"/>
        <v>53</v>
      </c>
      <c r="BU57" s="5">
        <f t="shared" si="175"/>
        <v>2</v>
      </c>
      <c r="BV57" s="5">
        <f t="shared" si="176"/>
        <v>1</v>
      </c>
      <c r="BW57" s="5">
        <f t="shared" si="176"/>
        <v>4</v>
      </c>
      <c r="BX57" s="5">
        <f t="shared" si="176"/>
        <v>2</v>
      </c>
      <c r="BY57" s="5">
        <f t="shared" si="176"/>
        <v>0</v>
      </c>
      <c r="BZ57" s="5">
        <f t="shared" si="176"/>
        <v>0</v>
      </c>
      <c r="CA57" s="5">
        <f t="shared" si="176"/>
        <v>2</v>
      </c>
      <c r="CB57" s="5" t="str">
        <f t="shared" si="102"/>
        <v>-----</v>
      </c>
      <c r="CC57" s="5" t="str">
        <f t="shared" si="101"/>
        <v>-----</v>
      </c>
      <c r="CD57" s="5" t="str">
        <f t="shared" si="101"/>
        <v>-----</v>
      </c>
      <c r="CE57" s="5" t="str">
        <f t="shared" si="101"/>
        <v>-----</v>
      </c>
      <c r="CF57" s="5" t="str">
        <f t="shared" si="101"/>
        <v>-----</v>
      </c>
      <c r="CG57" s="5" t="str">
        <f t="shared" si="101"/>
        <v>-----</v>
      </c>
      <c r="CH57" s="5"/>
      <c r="CI57" s="17" t="str">
        <f t="shared" si="124"/>
        <v>-----</v>
      </c>
      <c r="CJ57" s="17" t="str">
        <f t="shared" si="125"/>
        <v>-----</v>
      </c>
      <c r="CK57" s="17" t="str">
        <f t="shared" si="126"/>
        <v>-----</v>
      </c>
      <c r="CL57" s="17" t="str">
        <f t="shared" si="127"/>
        <v>-----</v>
      </c>
      <c r="CM57" s="17" t="str">
        <f t="shared" si="128"/>
        <v>-----</v>
      </c>
      <c r="CN57" s="17" t="str">
        <f t="shared" si="129"/>
        <v>-----</v>
      </c>
      <c r="CO57" s="5"/>
      <c r="CP57" s="5" t="str">
        <f t="shared" si="77"/>
        <v>-----</v>
      </c>
      <c r="CQ57" s="5" t="str">
        <f t="shared" si="77"/>
        <v>-----</v>
      </c>
      <c r="CR57" s="5" t="str">
        <f t="shared" si="77"/>
        <v>-----</v>
      </c>
      <c r="CS57" s="5" t="str">
        <f t="shared" si="77"/>
        <v>-----</v>
      </c>
      <c r="CT57" s="5" t="str">
        <f t="shared" si="77"/>
        <v>-----</v>
      </c>
      <c r="CU57" s="5" t="str">
        <f t="shared" si="77"/>
        <v>-----</v>
      </c>
      <c r="CV57" s="5"/>
      <c r="CW57" s="17" t="str">
        <f t="shared" si="78"/>
        <v/>
      </c>
      <c r="CX57" s="17" t="str">
        <f t="shared" si="78"/>
        <v/>
      </c>
      <c r="CY57" s="17" t="str">
        <f t="shared" si="78"/>
        <v/>
      </c>
      <c r="CZ57" s="17" t="str">
        <f t="shared" si="78"/>
        <v/>
      </c>
      <c r="DA57" s="17" t="str">
        <f t="shared" si="78"/>
        <v/>
      </c>
      <c r="DB57" s="17" t="str">
        <f t="shared" si="78"/>
        <v/>
      </c>
      <c r="DC57" s="8"/>
      <c r="DD57" s="5">
        <f t="shared" si="27"/>
        <v>0</v>
      </c>
      <c r="DE57" s="17" t="str">
        <f t="shared" si="79"/>
        <v>-----</v>
      </c>
      <c r="DF57" s="5" t="str" cm="1">
        <f t="array" ref="DF57">_xlfn.IFS(DE57=CW57,CP57,DE57=CX57,CQ57,DE57=CY57,CR57,DE57=CZ57,CS57,DE57=DA57,CT57,DE57=DB57,CU57,TRUE,"----- ")</f>
        <v xml:space="preserve">----- </v>
      </c>
      <c r="DG57" s="5"/>
      <c r="DH57" s="5">
        <f t="shared" si="80"/>
        <v>-2.423265306122455E-3</v>
      </c>
      <c r="DI57" s="5">
        <f t="shared" si="167"/>
        <v>-3.7194805194805478E-4</v>
      </c>
      <c r="DJ57" s="5">
        <f t="shared" si="168"/>
        <v>-1.6402721088435472E-3</v>
      </c>
      <c r="DK57" s="5">
        <f t="shared" si="169"/>
        <v>7.6471243042669956E-4</v>
      </c>
      <c r="DL57" s="5">
        <f t="shared" si="170"/>
        <v>-2.3081014223875058E-4</v>
      </c>
      <c r="DM57" s="5">
        <f t="shared" si="171"/>
        <v>1.5802844774273381E-3</v>
      </c>
      <c r="DO57" s="5">
        <f t="shared" si="130"/>
        <v>-1.9079214597220278</v>
      </c>
      <c r="DP57" s="5">
        <f t="shared" si="131"/>
        <v>-0.29295343676527091</v>
      </c>
      <c r="DQ57" s="5">
        <f t="shared" si="132"/>
        <v>-1.2917022253843653</v>
      </c>
      <c r="DR57" s="5">
        <f t="shared" si="133"/>
        <v>0.60228527619529781</v>
      </c>
      <c r="DS57" s="5">
        <f t="shared" si="134"/>
        <v>-0.18179147971962978</v>
      </c>
      <c r="DT57" s="5">
        <f t="shared" si="135"/>
        <v>1.2444775446344229</v>
      </c>
      <c r="DV57" t="str" cm="1">
        <f t="array" ref="DV57">_xlfn.IFS(DO57&gt;3,"Strong + Slope",DO57&gt;1.5,"Moderate + Slope",DO57&gt;0.5,"Sideway + Slope",DO57&gt;=-0.5,"Sideway Flat",DO57&gt;=-1.5,"Sideway - Slope",DO57&gt;=-3,"Moderate - Slope",TRUE,"Strong - Slope")</f>
        <v>Moderate - Slope</v>
      </c>
      <c r="DW57" t="str" cm="1">
        <f t="array" ref="DW57">_xlfn.IFS(DP57&gt;3,"Strong + Slope",DP57&gt;1.5,"Moderate + Slope",DP57&gt;0.5,"Sideway + Slope",DP57&gt;=-0.5,"Sideway Flat",DP57&gt;=-1.5,"Sideway - Slope",DP57&gt;=-3,"Moderate - Slope",TRUE,"Strong - Slope")</f>
        <v>Sideway Flat</v>
      </c>
      <c r="DX57" t="str" cm="1">
        <f t="array" ref="DX57">_xlfn.IFS(DQ57&gt;3,"Strong + Slope",DQ57&gt;1.5,"Moderate + Slope",DQ57&gt;0.5,"Sideway + Slope",DQ57&gt;=-0.5,"Sideway Flat",DQ57&gt;=-1.5,"Sideway - Slope",DQ57&gt;=-3,"Moderate - Slope",TRUE,"Strong - Slope")</f>
        <v>Sideway - Slope</v>
      </c>
      <c r="DY57" t="str" cm="1">
        <f t="array" ref="DY57">_xlfn.IFS(DR57&gt;3,"Strong + Slope",DR57&gt;1.5,"Moderate + Slope",DR57&gt;0.5,"Sideway + Slope",DR57&gt;=-0.5,"Sideway Flat",DR57&gt;=-1.5,"Sideway - Slope",DR57&gt;=-3,"Moderate - Slope",TRUE,"Strong - Slope")</f>
        <v>Sideway + Slope</v>
      </c>
      <c r="DZ57" t="str" cm="1">
        <f t="array" ref="DZ57">_xlfn.IFS(DS57&gt;3,"Strong + Slope",DS57&gt;1.5,"Moderate + Slope",DS57&gt;0.5,"Sideway + Slope",DS57&gt;=-0.5,"Sideway Flat",DS57&gt;=-1.5,"Sideway - Slope",DS57&gt;=-3,"Moderate - Slope",TRUE,"Strong - Slope")</f>
        <v>Sideway Flat</v>
      </c>
      <c r="EA57" t="str" cm="1">
        <f t="array" ref="EA57">_xlfn.IFS(DT57&gt;3,"Strong + Slope",DT57&gt;1.5,"Moderate + Slope",DT57&gt;0.5,"Sideway + Slope",DT57&gt;=-0.5,"Sideway Flat",DT57&gt;=-1.5,"Sideway - Slope",DT57&gt;=-3,"Moderate - Slope",TRUE,"Strong - Slope")</f>
        <v>Sideway + Slope</v>
      </c>
      <c r="EB57" s="5"/>
      <c r="EC57" s="5">
        <f t="shared" si="136"/>
        <v>2</v>
      </c>
      <c r="ED57" s="5">
        <f t="shared" si="137"/>
        <v>3</v>
      </c>
      <c r="EE57" s="5">
        <f t="shared" si="138"/>
        <v>1</v>
      </c>
      <c r="EF57" s="5">
        <f t="shared" si="139"/>
        <v>5</v>
      </c>
      <c r="EG57" s="5">
        <f t="shared" si="140"/>
        <v>6</v>
      </c>
      <c r="EH57" s="5">
        <f t="shared" si="141"/>
        <v>4</v>
      </c>
      <c r="EI57" s="5"/>
      <c r="EJ57" s="5" t="str">
        <f t="shared" si="142"/>
        <v>RES</v>
      </c>
      <c r="EK57" s="5" t="str">
        <f t="shared" si="143"/>
        <v>RES</v>
      </c>
      <c r="EL57" s="5" t="str">
        <f t="shared" si="144"/>
        <v>RES</v>
      </c>
      <c r="EM57" s="5" t="str">
        <f t="shared" si="145"/>
        <v>SUP</v>
      </c>
      <c r="EN57" s="5" t="str">
        <f t="shared" si="146"/>
        <v>SUP</v>
      </c>
      <c r="EO57" s="5" t="str">
        <f t="shared" si="147"/>
        <v>RES</v>
      </c>
      <c r="EP57" s="5"/>
      <c r="EQ57" s="8">
        <f t="shared" si="148"/>
        <v>8.1158206141840469E-4</v>
      </c>
      <c r="ER57" s="8">
        <f t="shared" si="149"/>
        <v>6.8068172893149322E-4</v>
      </c>
      <c r="ES57" s="8">
        <f t="shared" si="150"/>
        <v>2.6049166164881805E-3</v>
      </c>
      <c r="ET57" s="8">
        <f t="shared" si="151"/>
        <v>-1.2304631253764471E-3</v>
      </c>
      <c r="EU57" s="8">
        <f t="shared" si="152"/>
        <v>-1.2893682749954363E-3</v>
      </c>
      <c r="EV57" s="8">
        <f t="shared" si="153"/>
        <v>4.0579103070910932E-4</v>
      </c>
      <c r="EW57" s="8"/>
      <c r="EX57" s="8">
        <f t="shared" si="154"/>
        <v>0.33109243697479512</v>
      </c>
      <c r="EY57" s="9">
        <f t="shared" si="54"/>
        <v>4</v>
      </c>
      <c r="EZ57" s="10">
        <f t="shared" si="55"/>
        <v>2</v>
      </c>
      <c r="FA57" s="8">
        <f t="shared" si="86"/>
        <v>2.6049166164881805E-3</v>
      </c>
      <c r="FB57" s="8">
        <f t="shared" si="87"/>
        <v>8.1158206141840469E-4</v>
      </c>
      <c r="FC57" s="8">
        <f t="shared" si="88"/>
        <v>6.8068172893149322E-4</v>
      </c>
      <c r="FD57" s="8">
        <f t="shared" si="89"/>
        <v>4.0579103070910932E-4</v>
      </c>
      <c r="FE57" s="8">
        <f t="shared" si="90"/>
        <v>-1.2304631253764471E-3</v>
      </c>
      <c r="FF57" s="8">
        <f t="shared" si="91"/>
        <v>-1.2893682749954363E-3</v>
      </c>
      <c r="FG57" s="5"/>
      <c r="FH57" s="5" t="str">
        <f t="shared" si="155"/>
        <v>Flat Momentum</v>
      </c>
      <c r="FI57" s="5" t="str">
        <f t="shared" si="92"/>
        <v>-----</v>
      </c>
      <c r="FJ57" s="5"/>
      <c r="FK57" s="5" t="str">
        <f t="shared" si="93"/>
        <v>-----</v>
      </c>
      <c r="FL57" s="5" t="str">
        <f t="shared" si="94"/>
        <v>-----</v>
      </c>
      <c r="FM57" s="5"/>
      <c r="FN57" s="5"/>
      <c r="FO57" s="8" t="str">
        <f t="shared" si="174"/>
        <v>Bearish</v>
      </c>
      <c r="FP57" s="8"/>
      <c r="FQ57" s="14">
        <f t="shared" si="156"/>
        <v>-5.6922644089524982E-4</v>
      </c>
      <c r="FR57" s="14">
        <f t="shared" si="58"/>
        <v>-0.34299369172376526</v>
      </c>
      <c r="FS57" s="14" t="str">
        <f t="shared" si="59"/>
        <v>-----</v>
      </c>
      <c r="FT57" s="14" t="str">
        <f t="shared" si="157"/>
        <v>Bullish</v>
      </c>
      <c r="FU57" s="5" t="str">
        <f t="shared" si="172"/>
        <v>-----</v>
      </c>
      <c r="FV57" s="5" t="str">
        <f t="shared" si="173"/>
        <v>TEMA crossunder</v>
      </c>
      <c r="FW57" s="5"/>
      <c r="FX57" s="15" t="str">
        <f t="shared" si="116"/>
        <v>YES</v>
      </c>
      <c r="FY57" s="15" t="str">
        <f t="shared" si="117"/>
        <v>-----</v>
      </c>
      <c r="FZ57" s="15" t="str">
        <f t="shared" si="118"/>
        <v>YES</v>
      </c>
      <c r="GA57" s="15" t="str">
        <f t="shared" si="119"/>
        <v>YES</v>
      </c>
      <c r="GB57" s="16" t="str">
        <f t="shared" si="107"/>
        <v>-----</v>
      </c>
      <c r="GC57" s="16" t="str">
        <f t="shared" si="108"/>
        <v>-----</v>
      </c>
      <c r="GD57" s="16" t="str">
        <f t="shared" si="109"/>
        <v>-----</v>
      </c>
      <c r="GE57" s="16" t="str">
        <f t="shared" si="112"/>
        <v>YES</v>
      </c>
      <c r="GF57" s="15" t="str">
        <f t="shared" si="110"/>
        <v>-----</v>
      </c>
      <c r="GG57" s="16" t="str">
        <f t="shared" si="120"/>
        <v>-----</v>
      </c>
      <c r="GH57" s="14"/>
      <c r="GI57" s="5" t="str">
        <f t="shared" si="158"/>
        <v>-----</v>
      </c>
      <c r="GJ57" s="5" t="str">
        <f t="shared" si="159"/>
        <v>-----</v>
      </c>
      <c r="GK57" s="5"/>
      <c r="GL57" s="5" t="str">
        <f t="shared" si="160"/>
        <v>-----</v>
      </c>
      <c r="GM57" s="5" t="str">
        <f t="shared" si="161"/>
        <v>-----</v>
      </c>
      <c r="GN57" s="5"/>
      <c r="GO57" s="12">
        <f t="shared" si="162"/>
        <v>7.5000000000017053E-2</v>
      </c>
      <c r="GP57" s="5">
        <f t="shared" si="97"/>
        <v>-1.7925537199410691E-2</v>
      </c>
      <c r="GQ57" s="13" t="str">
        <f t="shared" si="98"/>
        <v>-----</v>
      </c>
      <c r="GR57" s="5"/>
      <c r="GS57">
        <f t="shared" si="99"/>
        <v>-0.39650885044625178</v>
      </c>
      <c r="GT57" s="5" t="str">
        <f t="shared" si="100"/>
        <v>-----</v>
      </c>
    </row>
    <row r="58" spans="1:202" x14ac:dyDescent="0.55000000000000004">
      <c r="A58">
        <v>54</v>
      </c>
      <c r="B58" t="s">
        <v>57</v>
      </c>
      <c r="C58" t="s">
        <v>4</v>
      </c>
      <c r="D58" t="s">
        <v>103</v>
      </c>
      <c r="E58">
        <v>152.78800000000001</v>
      </c>
      <c r="F58">
        <v>152.82599999999999</v>
      </c>
      <c r="G58">
        <v>152.768</v>
      </c>
      <c r="H58">
        <v>152.81399999999999</v>
      </c>
      <c r="I58">
        <v>186</v>
      </c>
      <c r="J58">
        <v>152.91</v>
      </c>
      <c r="K58">
        <v>152.89099999999999</v>
      </c>
      <c r="L58">
        <v>153.184</v>
      </c>
      <c r="M58">
        <v>152.601</v>
      </c>
      <c r="N58">
        <v>152.59100000000001</v>
      </c>
      <c r="O58">
        <v>152.852</v>
      </c>
      <c r="P58">
        <v>0</v>
      </c>
      <c r="Q58">
        <v>0</v>
      </c>
      <c r="R58">
        <v>0</v>
      </c>
      <c r="S58">
        <v>0</v>
      </c>
      <c r="T58">
        <v>0</v>
      </c>
      <c r="U58">
        <v>0.49875999999999998</v>
      </c>
      <c r="V58">
        <v>0</v>
      </c>
      <c r="W58">
        <v>153.13606999999999</v>
      </c>
      <c r="X58">
        <v>153.05015</v>
      </c>
      <c r="Y58">
        <v>152.96422999999999</v>
      </c>
      <c r="Z58">
        <v>152.87831</v>
      </c>
      <c r="AA58">
        <v>152.79239000000001</v>
      </c>
      <c r="AB58">
        <v>152.71011999999999</v>
      </c>
      <c r="AC58">
        <v>152.6242</v>
      </c>
      <c r="AD58">
        <v>152.53827999999999</v>
      </c>
      <c r="AE58">
        <v>152.45236</v>
      </c>
      <c r="AF58">
        <v>152.36644000000001</v>
      </c>
      <c r="AG58">
        <v>152.809</v>
      </c>
      <c r="AH58">
        <v>152.75899999999999</v>
      </c>
      <c r="AI58">
        <v>152.83699999999999</v>
      </c>
      <c r="AJ58">
        <v>152.994</v>
      </c>
      <c r="AK58">
        <v>152.84</v>
      </c>
      <c r="AL58">
        <v>152.773</v>
      </c>
      <c r="AM58" s="11">
        <f t="shared" si="0"/>
        <v>5.7999999999992724E-2</v>
      </c>
      <c r="AN58" s="11">
        <f t="shared" si="66"/>
        <v>3.7999999999982492E-2</v>
      </c>
      <c r="AO58" s="11">
        <f t="shared" si="163"/>
        <v>2.0000000000010232E-2</v>
      </c>
      <c r="AP58" s="11">
        <f t="shared" si="164"/>
        <v>5.7999999999992724E-2</v>
      </c>
      <c r="AR58" s="5" t="str">
        <f t="shared" si="121"/>
        <v>------</v>
      </c>
      <c r="AS58" s="5" t="str">
        <f t="shared" si="122"/>
        <v>------</v>
      </c>
      <c r="AT58" t="str">
        <f t="shared" si="123"/>
        <v/>
      </c>
      <c r="AV58" s="2">
        <f t="shared" si="4"/>
        <v>152.93293650000001</v>
      </c>
      <c r="AW58" s="2">
        <f t="shared" si="5"/>
        <v>152.88706350000001</v>
      </c>
      <c r="AX58" s="2">
        <f t="shared" si="6"/>
        <v>152.91393365000002</v>
      </c>
      <c r="AY58" s="2">
        <f t="shared" si="7"/>
        <v>152.86806634999999</v>
      </c>
      <c r="AZ58" s="2">
        <f t="shared" si="8"/>
        <v>153.20697760000002</v>
      </c>
      <c r="BA58" s="2">
        <f t="shared" si="9"/>
        <v>153.16102240000001</v>
      </c>
      <c r="BB58" s="2">
        <f t="shared" si="10"/>
        <v>152.62389015000002</v>
      </c>
      <c r="BC58" s="2">
        <f t="shared" si="11"/>
        <v>152.57810985</v>
      </c>
      <c r="BD58" s="2">
        <f t="shared" si="12"/>
        <v>152.61388865000004</v>
      </c>
      <c r="BE58" s="2">
        <f t="shared" si="13"/>
        <v>152.56811135000001</v>
      </c>
      <c r="BF58" s="2">
        <f t="shared" si="14"/>
        <v>152.87492780000002</v>
      </c>
      <c r="BG58" s="2">
        <f t="shared" si="15"/>
        <v>152.82907220000001</v>
      </c>
      <c r="BI58" s="5" t="str">
        <f t="shared" si="69"/>
        <v>-----</v>
      </c>
      <c r="BJ58" s="5" t="str">
        <f t="shared" si="70"/>
        <v>-----</v>
      </c>
      <c r="BK58" s="5" t="str">
        <f t="shared" si="71"/>
        <v>-----</v>
      </c>
      <c r="BL58" s="5" t="str">
        <f t="shared" si="72"/>
        <v>-----</v>
      </c>
      <c r="BM58" s="5" t="str">
        <f t="shared" si="73"/>
        <v>-----</v>
      </c>
      <c r="BN58" s="5" t="str">
        <f t="shared" si="74"/>
        <v>-----</v>
      </c>
      <c r="BO58" s="5"/>
      <c r="BP58" s="5">
        <f t="shared" si="175"/>
        <v>21</v>
      </c>
      <c r="BQ58" s="5">
        <f t="shared" si="175"/>
        <v>17</v>
      </c>
      <c r="BR58" s="5">
        <f t="shared" si="175"/>
        <v>52</v>
      </c>
      <c r="BS58" s="5">
        <f t="shared" si="175"/>
        <v>54</v>
      </c>
      <c r="BT58" s="5">
        <f t="shared" si="175"/>
        <v>54</v>
      </c>
      <c r="BU58" s="5">
        <f t="shared" si="175"/>
        <v>3</v>
      </c>
      <c r="BV58" s="5">
        <f t="shared" si="176"/>
        <v>1</v>
      </c>
      <c r="BW58" s="5">
        <f t="shared" si="176"/>
        <v>4</v>
      </c>
      <c r="BX58" s="5">
        <f t="shared" si="176"/>
        <v>2</v>
      </c>
      <c r="BY58" s="5">
        <f t="shared" si="176"/>
        <v>0</v>
      </c>
      <c r="BZ58" s="5">
        <f t="shared" si="176"/>
        <v>0</v>
      </c>
      <c r="CA58" s="5">
        <f t="shared" si="176"/>
        <v>2</v>
      </c>
      <c r="CB58" s="5" t="str">
        <f t="shared" si="102"/>
        <v>-----</v>
      </c>
      <c r="CC58" s="5" t="str">
        <f t="shared" si="101"/>
        <v>-----</v>
      </c>
      <c r="CD58" s="5" t="str">
        <f t="shared" si="101"/>
        <v>-----</v>
      </c>
      <c r="CE58" s="5" t="str">
        <f t="shared" si="101"/>
        <v>-----</v>
      </c>
      <c r="CF58" s="5" t="str">
        <f t="shared" si="101"/>
        <v>-----</v>
      </c>
      <c r="CG58" s="5" t="str">
        <f t="shared" si="101"/>
        <v>-----</v>
      </c>
      <c r="CH58" s="5"/>
      <c r="CI58" s="17" t="str">
        <f t="shared" si="124"/>
        <v>-----</v>
      </c>
      <c r="CJ58" s="17" t="str">
        <f t="shared" si="125"/>
        <v>-----</v>
      </c>
      <c r="CK58" s="17" t="str">
        <f t="shared" si="126"/>
        <v>-----</v>
      </c>
      <c r="CL58" s="17" t="str">
        <f t="shared" si="127"/>
        <v>-----</v>
      </c>
      <c r="CM58" s="17" t="str">
        <f t="shared" si="128"/>
        <v>-----</v>
      </c>
      <c r="CN58" s="17" t="str">
        <f t="shared" si="129"/>
        <v>-----</v>
      </c>
      <c r="CO58" s="5"/>
      <c r="CP58" s="5" t="str">
        <f t="shared" si="77"/>
        <v>-----</v>
      </c>
      <c r="CQ58" s="5" t="str">
        <f t="shared" si="77"/>
        <v>-----</v>
      </c>
      <c r="CR58" s="5" t="str">
        <f t="shared" si="77"/>
        <v>-----</v>
      </c>
      <c r="CS58" s="5" t="str">
        <f t="shared" si="77"/>
        <v>-----</v>
      </c>
      <c r="CT58" s="5" t="str">
        <f t="shared" si="77"/>
        <v>-----</v>
      </c>
      <c r="CU58" s="5" t="str">
        <f t="shared" si="77"/>
        <v>-----</v>
      </c>
      <c r="CV58" s="5"/>
      <c r="CW58" s="17" t="str">
        <f t="shared" si="78"/>
        <v/>
      </c>
      <c r="CX58" s="17" t="str">
        <f t="shared" si="78"/>
        <v/>
      </c>
      <c r="CY58" s="17" t="str">
        <f t="shared" si="78"/>
        <v/>
      </c>
      <c r="CZ58" s="17" t="str">
        <f t="shared" si="78"/>
        <v/>
      </c>
      <c r="DA58" s="17" t="str">
        <f t="shared" si="78"/>
        <v/>
      </c>
      <c r="DB58" s="17" t="str">
        <f t="shared" si="78"/>
        <v/>
      </c>
      <c r="DC58" s="8"/>
      <c r="DD58" s="5">
        <f t="shared" si="27"/>
        <v>0</v>
      </c>
      <c r="DE58" s="17" t="str">
        <f t="shared" si="79"/>
        <v>-----</v>
      </c>
      <c r="DF58" s="5" t="str" cm="1">
        <f t="array" ref="DF58">_xlfn.IFS(DE58=CW58,CP58,DE58=CX58,CQ58,DE58=CY58,CR58,DE58=CZ58,CS58,DE58=DA58,CT58,DE58=DB58,CU58,TRUE,"----- ")</f>
        <v xml:space="preserve">----- </v>
      </c>
      <c r="DG58" s="5"/>
      <c r="DH58" s="5">
        <f t="shared" si="80"/>
        <v>-2.423265306122455E-3</v>
      </c>
      <c r="DI58" s="5">
        <f t="shared" si="167"/>
        <v>-3.7194805194805478E-4</v>
      </c>
      <c r="DJ58" s="5">
        <f t="shared" si="168"/>
        <v>-1.6402721088435472E-3</v>
      </c>
      <c r="DK58" s="5">
        <f t="shared" si="169"/>
        <v>7.6471243042669956E-4</v>
      </c>
      <c r="DL58" s="5">
        <f t="shared" si="170"/>
        <v>-2.3081014223875058E-4</v>
      </c>
      <c r="DM58" s="5">
        <f t="shared" si="171"/>
        <v>1.5802844774273381E-3</v>
      </c>
      <c r="DO58" s="5">
        <f t="shared" si="130"/>
        <v>-1.9079214597220278</v>
      </c>
      <c r="DP58" s="5">
        <f t="shared" si="131"/>
        <v>-0.29295343676527091</v>
      </c>
      <c r="DQ58" s="5">
        <f t="shared" si="132"/>
        <v>-1.2917022253843653</v>
      </c>
      <c r="DR58" s="5">
        <f t="shared" si="133"/>
        <v>0.60228527619529781</v>
      </c>
      <c r="DS58" s="5">
        <f t="shared" si="134"/>
        <v>-0.18179147971962978</v>
      </c>
      <c r="DT58" s="5">
        <f t="shared" si="135"/>
        <v>1.2444775446344229</v>
      </c>
      <c r="DV58" t="str" cm="1">
        <f t="array" ref="DV58">_xlfn.IFS(DO58&gt;3,"Strong + Slope",DO58&gt;1.5,"Moderate + Slope",DO58&gt;0.5,"Sideway + Slope",DO58&gt;=-0.5,"Sideway Flat",DO58&gt;=-1.5,"Sideway - Slope",DO58&gt;=-3,"Moderate - Slope",TRUE,"Strong - Slope")</f>
        <v>Moderate - Slope</v>
      </c>
      <c r="DW58" t="str" cm="1">
        <f t="array" ref="DW58">_xlfn.IFS(DP58&gt;3,"Strong + Slope",DP58&gt;1.5,"Moderate + Slope",DP58&gt;0.5,"Sideway + Slope",DP58&gt;=-0.5,"Sideway Flat",DP58&gt;=-1.5,"Sideway - Slope",DP58&gt;=-3,"Moderate - Slope",TRUE,"Strong - Slope")</f>
        <v>Sideway Flat</v>
      </c>
      <c r="DX58" t="str" cm="1">
        <f t="array" ref="DX58">_xlfn.IFS(DQ58&gt;3,"Strong + Slope",DQ58&gt;1.5,"Moderate + Slope",DQ58&gt;0.5,"Sideway + Slope",DQ58&gt;=-0.5,"Sideway Flat",DQ58&gt;=-1.5,"Sideway - Slope",DQ58&gt;=-3,"Moderate - Slope",TRUE,"Strong - Slope")</f>
        <v>Sideway - Slope</v>
      </c>
      <c r="DY58" t="str" cm="1">
        <f t="array" ref="DY58">_xlfn.IFS(DR58&gt;3,"Strong + Slope",DR58&gt;1.5,"Moderate + Slope",DR58&gt;0.5,"Sideway + Slope",DR58&gt;=-0.5,"Sideway Flat",DR58&gt;=-1.5,"Sideway - Slope",DR58&gt;=-3,"Moderate - Slope",TRUE,"Strong - Slope")</f>
        <v>Sideway + Slope</v>
      </c>
      <c r="DZ58" t="str" cm="1">
        <f t="array" ref="DZ58">_xlfn.IFS(DS58&gt;3,"Strong + Slope",DS58&gt;1.5,"Moderate + Slope",DS58&gt;0.5,"Sideway + Slope",DS58&gt;=-0.5,"Sideway Flat",DS58&gt;=-1.5,"Sideway - Slope",DS58&gt;=-3,"Moderate - Slope",TRUE,"Strong - Slope")</f>
        <v>Sideway Flat</v>
      </c>
      <c r="EA58" t="str" cm="1">
        <f t="array" ref="EA58">_xlfn.IFS(DT58&gt;3,"Strong + Slope",DT58&gt;1.5,"Moderate + Slope",DT58&gt;0.5,"Sideway + Slope",DT58&gt;=-0.5,"Sideway Flat",DT58&gt;=-1.5,"Sideway - Slope",DT58&gt;=-3,"Moderate - Slope",TRUE,"Strong - Slope")</f>
        <v>Sideway + Slope</v>
      </c>
      <c r="EB58" s="5"/>
      <c r="EC58" s="5">
        <f t="shared" si="136"/>
        <v>2</v>
      </c>
      <c r="ED58" s="5">
        <f t="shared" si="137"/>
        <v>3</v>
      </c>
      <c r="EE58" s="5">
        <f t="shared" si="138"/>
        <v>1</v>
      </c>
      <c r="EF58" s="5">
        <f t="shared" si="139"/>
        <v>5</v>
      </c>
      <c r="EG58" s="5">
        <f t="shared" si="140"/>
        <v>6</v>
      </c>
      <c r="EH58" s="5">
        <f t="shared" si="141"/>
        <v>4</v>
      </c>
      <c r="EI58" s="5"/>
      <c r="EJ58" s="5" t="str">
        <f t="shared" si="142"/>
        <v>RES</v>
      </c>
      <c r="EK58" s="5" t="str">
        <f t="shared" si="143"/>
        <v>RES</v>
      </c>
      <c r="EL58" s="5" t="str">
        <f t="shared" si="144"/>
        <v>RES</v>
      </c>
      <c r="EM58" s="5" t="str">
        <f t="shared" si="145"/>
        <v>SUP</v>
      </c>
      <c r="EN58" s="5" t="str">
        <f t="shared" si="146"/>
        <v>SUP</v>
      </c>
      <c r="EO58" s="5" t="str">
        <f t="shared" si="147"/>
        <v>RES</v>
      </c>
      <c r="EP58" s="5"/>
      <c r="EQ58" s="8">
        <f t="shared" si="148"/>
        <v>6.2821469237114163E-4</v>
      </c>
      <c r="ER58" s="8">
        <f t="shared" si="149"/>
        <v>5.038805345059889E-4</v>
      </c>
      <c r="ES58" s="8">
        <f t="shared" si="150"/>
        <v>2.4212441268470467E-3</v>
      </c>
      <c r="ET58" s="8">
        <f t="shared" si="151"/>
        <v>-1.3938513486983777E-3</v>
      </c>
      <c r="EU58" s="8">
        <f t="shared" si="152"/>
        <v>-1.4592903791536427E-3</v>
      </c>
      <c r="EV58" s="8">
        <f t="shared" si="153"/>
        <v>2.4866831573030557E-4</v>
      </c>
      <c r="EW58" s="8"/>
      <c r="EX58" s="8">
        <f t="shared" si="154"/>
        <v>0.37605396290048698</v>
      </c>
      <c r="EY58" s="9">
        <f t="shared" si="54"/>
        <v>4</v>
      </c>
      <c r="EZ58" s="10">
        <f t="shared" si="55"/>
        <v>2</v>
      </c>
      <c r="FA58" s="8">
        <f t="shared" si="86"/>
        <v>2.4212441268470467E-3</v>
      </c>
      <c r="FB58" s="8">
        <f t="shared" si="87"/>
        <v>6.2821469237114163E-4</v>
      </c>
      <c r="FC58" s="8">
        <f t="shared" si="88"/>
        <v>5.038805345059889E-4</v>
      </c>
      <c r="FD58" s="8">
        <f t="shared" si="89"/>
        <v>2.4866831573030557E-4</v>
      </c>
      <c r="FE58" s="8">
        <f t="shared" si="90"/>
        <v>-1.3938513486983777E-3</v>
      </c>
      <c r="FF58" s="8">
        <f t="shared" si="91"/>
        <v>-1.4592903791536427E-3</v>
      </c>
      <c r="FG58" s="5"/>
      <c r="FH58" s="5" t="str">
        <f t="shared" si="155"/>
        <v>Flat Momentum</v>
      </c>
      <c r="FI58" s="5" t="str">
        <f t="shared" si="92"/>
        <v>-----</v>
      </c>
      <c r="FJ58" s="5"/>
      <c r="FK58" s="5" t="str">
        <f t="shared" si="93"/>
        <v>-----</v>
      </c>
      <c r="FL58" s="5" t="str">
        <f t="shared" si="94"/>
        <v>-----</v>
      </c>
      <c r="FM58" s="5"/>
      <c r="FN58" s="5"/>
      <c r="FO58" s="8" t="str">
        <f t="shared" si="174"/>
        <v>Bearish</v>
      </c>
      <c r="FP58" s="8"/>
      <c r="FQ58" s="14">
        <f t="shared" si="156"/>
        <v>-5.1034762524783243E-4</v>
      </c>
      <c r="FR58" s="14">
        <f t="shared" si="58"/>
        <v>-0.17318407994400775</v>
      </c>
      <c r="FS58" s="14" t="str">
        <f t="shared" si="59"/>
        <v>-----</v>
      </c>
      <c r="FT58" s="14" t="str">
        <f t="shared" si="157"/>
        <v>Bullish</v>
      </c>
      <c r="FU58" s="5" t="str">
        <f t="shared" si="172"/>
        <v>TEMA crossover</v>
      </c>
      <c r="FV58" s="5" t="str">
        <f t="shared" si="173"/>
        <v>-----</v>
      </c>
      <c r="FW58" s="5"/>
      <c r="FX58" s="15" t="str">
        <f t="shared" si="116"/>
        <v>YES</v>
      </c>
      <c r="FY58" s="15" t="str">
        <f t="shared" si="117"/>
        <v>-----</v>
      </c>
      <c r="FZ58" s="15" t="str">
        <f t="shared" si="118"/>
        <v>YES</v>
      </c>
      <c r="GA58" s="15" t="str">
        <f t="shared" si="119"/>
        <v>YES</v>
      </c>
      <c r="GB58" s="16" t="str">
        <f t="shared" si="107"/>
        <v>-----</v>
      </c>
      <c r="GC58" s="16" t="str">
        <f t="shared" si="108"/>
        <v>-----</v>
      </c>
      <c r="GD58" s="16" t="str">
        <f t="shared" si="109"/>
        <v>-----</v>
      </c>
      <c r="GE58" s="16" t="str">
        <f t="shared" si="112"/>
        <v>YES</v>
      </c>
      <c r="GF58" s="15" t="str">
        <f t="shared" si="110"/>
        <v>-----</v>
      </c>
      <c r="GG58" s="16" t="str">
        <f t="shared" si="120"/>
        <v>-----</v>
      </c>
      <c r="GH58" s="14"/>
      <c r="GI58" s="5" t="str">
        <f t="shared" si="158"/>
        <v>-----</v>
      </c>
      <c r="GJ58" s="5" t="str">
        <f t="shared" si="159"/>
        <v>-----</v>
      </c>
      <c r="GK58" s="5"/>
      <c r="GL58" s="5" t="str">
        <f t="shared" si="160"/>
        <v>-----</v>
      </c>
      <c r="GM58" s="5" t="str">
        <f t="shared" si="161"/>
        <v>-----</v>
      </c>
      <c r="GN58" s="5"/>
      <c r="GO58" s="12">
        <f t="shared" si="162"/>
        <v>6.7000000000007276E-2</v>
      </c>
      <c r="GP58" s="5">
        <f t="shared" si="97"/>
        <v>-0.20230249125426</v>
      </c>
      <c r="GQ58" s="13" t="str">
        <f t="shared" si="98"/>
        <v>-----</v>
      </c>
      <c r="GR58" s="5"/>
      <c r="GS58">
        <f t="shared" si="99"/>
        <v>-0.66108708880912137</v>
      </c>
      <c r="GT58" s="5" t="str">
        <f t="shared" si="100"/>
        <v>-----</v>
      </c>
    </row>
    <row r="59" spans="1:202" x14ac:dyDescent="0.55000000000000004">
      <c r="A59">
        <v>55</v>
      </c>
      <c r="B59" t="s">
        <v>58</v>
      </c>
      <c r="C59" t="s">
        <v>4</v>
      </c>
      <c r="D59" t="s">
        <v>103</v>
      </c>
      <c r="E59">
        <v>152.81299999999999</v>
      </c>
      <c r="F59">
        <v>152.82400000000001</v>
      </c>
      <c r="G59">
        <v>152.797</v>
      </c>
      <c r="H59">
        <v>152.803</v>
      </c>
      <c r="I59">
        <v>179</v>
      </c>
      <c r="J59">
        <v>152.90700000000001</v>
      </c>
      <c r="K59">
        <v>152.89099999999999</v>
      </c>
      <c r="L59">
        <v>153.18199999999999</v>
      </c>
      <c r="M59">
        <v>152.601</v>
      </c>
      <c r="N59">
        <v>152.59</v>
      </c>
      <c r="O59">
        <v>152.85300000000001</v>
      </c>
      <c r="P59">
        <v>0</v>
      </c>
      <c r="Q59">
        <v>0</v>
      </c>
      <c r="R59">
        <v>0</v>
      </c>
      <c r="S59">
        <v>0</v>
      </c>
      <c r="T59">
        <v>0</v>
      </c>
      <c r="U59">
        <v>0.86073</v>
      </c>
      <c r="V59">
        <v>3</v>
      </c>
      <c r="W59">
        <v>153.13059000000001</v>
      </c>
      <c r="X59">
        <v>153.04498000000001</v>
      </c>
      <c r="Y59">
        <v>152.95936</v>
      </c>
      <c r="Z59">
        <v>152.87375</v>
      </c>
      <c r="AA59">
        <v>152.78814</v>
      </c>
      <c r="AB59">
        <v>152.70845</v>
      </c>
      <c r="AC59">
        <v>152.62284</v>
      </c>
      <c r="AD59">
        <v>152.53722999999999</v>
      </c>
      <c r="AE59">
        <v>152.45161999999999</v>
      </c>
      <c r="AF59">
        <v>152.36600999999999</v>
      </c>
      <c r="AG59">
        <v>152.815</v>
      </c>
      <c r="AH59">
        <v>152.76599999999999</v>
      </c>
      <c r="AI59">
        <v>152.83500000000001</v>
      </c>
      <c r="AJ59">
        <v>152.989</v>
      </c>
      <c r="AK59">
        <v>152.83799999999999</v>
      </c>
      <c r="AL59">
        <v>152.791</v>
      </c>
      <c r="AM59" s="11">
        <f t="shared" si="0"/>
        <v>2.7000000000015234E-2</v>
      </c>
      <c r="AN59" s="11">
        <f t="shared" si="66"/>
        <v>1.0000000000019327E-2</v>
      </c>
      <c r="AO59" s="11">
        <f t="shared" si="163"/>
        <v>1.6999999999995907E-2</v>
      </c>
      <c r="AP59" s="11">
        <f t="shared" si="164"/>
        <v>2.7000000000015234E-2</v>
      </c>
      <c r="AR59" s="5" t="str">
        <f t="shared" si="121"/>
        <v>------</v>
      </c>
      <c r="AS59" s="5" t="str">
        <f t="shared" si="122"/>
        <v>------</v>
      </c>
      <c r="AT59" t="str">
        <f t="shared" si="123"/>
        <v/>
      </c>
      <c r="AV59" s="2">
        <f t="shared" si="4"/>
        <v>152.92993605000004</v>
      </c>
      <c r="AW59" s="2">
        <f t="shared" si="5"/>
        <v>152.88406395000001</v>
      </c>
      <c r="AX59" s="2">
        <f t="shared" si="6"/>
        <v>152.91393365000002</v>
      </c>
      <c r="AY59" s="2">
        <f t="shared" si="7"/>
        <v>152.86806634999999</v>
      </c>
      <c r="AZ59" s="2">
        <f t="shared" si="8"/>
        <v>153.2049773</v>
      </c>
      <c r="BA59" s="2">
        <f t="shared" si="9"/>
        <v>153.15902269999998</v>
      </c>
      <c r="BB59" s="2">
        <f t="shared" si="10"/>
        <v>152.62389015000002</v>
      </c>
      <c r="BC59" s="2">
        <f t="shared" si="11"/>
        <v>152.57810985</v>
      </c>
      <c r="BD59" s="2">
        <f t="shared" si="12"/>
        <v>152.61288850000003</v>
      </c>
      <c r="BE59" s="2">
        <f t="shared" si="13"/>
        <v>152.56711150000001</v>
      </c>
      <c r="BF59" s="2">
        <f t="shared" si="14"/>
        <v>152.87592795000003</v>
      </c>
      <c r="BG59" s="2">
        <f t="shared" si="15"/>
        <v>152.83007205000001</v>
      </c>
      <c r="BI59" s="5" t="str">
        <f t="shared" si="69"/>
        <v>-----</v>
      </c>
      <c r="BJ59" s="5" t="str">
        <f t="shared" si="70"/>
        <v>-----</v>
      </c>
      <c r="BK59" s="5" t="str">
        <f t="shared" si="71"/>
        <v>-----</v>
      </c>
      <c r="BL59" s="5" t="str">
        <f t="shared" si="72"/>
        <v>-----</v>
      </c>
      <c r="BM59" s="5" t="str">
        <f t="shared" si="73"/>
        <v>-----</v>
      </c>
      <c r="BN59" s="5" t="str">
        <f t="shared" si="74"/>
        <v>-----</v>
      </c>
      <c r="BO59" s="5"/>
      <c r="BP59" s="5">
        <f t="shared" si="175"/>
        <v>22</v>
      </c>
      <c r="BQ59" s="5">
        <f t="shared" si="175"/>
        <v>18</v>
      </c>
      <c r="BR59" s="5">
        <f t="shared" si="175"/>
        <v>53</v>
      </c>
      <c r="BS59" s="5">
        <f t="shared" si="175"/>
        <v>55</v>
      </c>
      <c r="BT59" s="5">
        <f t="shared" si="175"/>
        <v>55</v>
      </c>
      <c r="BU59" s="5">
        <f t="shared" si="175"/>
        <v>4</v>
      </c>
      <c r="BV59" s="5">
        <f t="shared" si="176"/>
        <v>1</v>
      </c>
      <c r="BW59" s="5">
        <f t="shared" si="176"/>
        <v>4</v>
      </c>
      <c r="BX59" s="5">
        <f t="shared" si="176"/>
        <v>2</v>
      </c>
      <c r="BY59" s="5">
        <f t="shared" si="176"/>
        <v>0</v>
      </c>
      <c r="BZ59" s="5">
        <f t="shared" si="176"/>
        <v>0</v>
      </c>
      <c r="CA59" s="5">
        <f t="shared" si="176"/>
        <v>2</v>
      </c>
      <c r="CB59" s="5" t="str">
        <f t="shared" si="102"/>
        <v>-----</v>
      </c>
      <c r="CC59" s="5" t="str">
        <f t="shared" si="101"/>
        <v>-----</v>
      </c>
      <c r="CD59" s="5" t="str">
        <f t="shared" si="101"/>
        <v>-----</v>
      </c>
      <c r="CE59" s="5" t="str">
        <f t="shared" si="101"/>
        <v>-----</v>
      </c>
      <c r="CF59" s="5" t="str">
        <f t="shared" si="101"/>
        <v>-----</v>
      </c>
      <c r="CG59" s="5" t="str">
        <f t="shared" si="101"/>
        <v>-----</v>
      </c>
      <c r="CH59" s="5"/>
      <c r="CI59" s="17" t="str">
        <f t="shared" si="124"/>
        <v>-----</v>
      </c>
      <c r="CJ59" s="17" t="str">
        <f t="shared" si="125"/>
        <v>-----</v>
      </c>
      <c r="CK59" s="17" t="str">
        <f t="shared" si="126"/>
        <v>-----</v>
      </c>
      <c r="CL59" s="17" t="str">
        <f t="shared" si="127"/>
        <v>-----</v>
      </c>
      <c r="CM59" s="17" t="str">
        <f t="shared" si="128"/>
        <v>-----</v>
      </c>
      <c r="CN59" s="17" t="str">
        <f t="shared" si="129"/>
        <v>-----</v>
      </c>
      <c r="CO59" s="5"/>
      <c r="CP59" s="5" t="str">
        <f t="shared" si="77"/>
        <v>-----</v>
      </c>
      <c r="CQ59" s="5" t="str">
        <f t="shared" si="77"/>
        <v>-----</v>
      </c>
      <c r="CR59" s="5" t="str">
        <f t="shared" si="77"/>
        <v>-----</v>
      </c>
      <c r="CS59" s="5" t="str">
        <f t="shared" si="77"/>
        <v>-----</v>
      </c>
      <c r="CT59" s="5" t="str">
        <f t="shared" si="77"/>
        <v>-----</v>
      </c>
      <c r="CU59" s="5" t="str">
        <f t="shared" si="77"/>
        <v>-----</v>
      </c>
      <c r="CV59" s="5"/>
      <c r="CW59" s="17" t="str">
        <f t="shared" si="78"/>
        <v/>
      </c>
      <c r="CX59" s="17" t="str">
        <f t="shared" si="78"/>
        <v/>
      </c>
      <c r="CY59" s="17" t="str">
        <f t="shared" si="78"/>
        <v/>
      </c>
      <c r="CZ59" s="17" t="str">
        <f t="shared" si="78"/>
        <v/>
      </c>
      <c r="DA59" s="17" t="str">
        <f t="shared" si="78"/>
        <v/>
      </c>
      <c r="DB59" s="17" t="str">
        <f t="shared" si="78"/>
        <v/>
      </c>
      <c r="DC59" s="8"/>
      <c r="DD59" s="5">
        <f t="shared" si="27"/>
        <v>0</v>
      </c>
      <c r="DE59" s="17" t="str">
        <f t="shared" si="79"/>
        <v>-----</v>
      </c>
      <c r="DF59" s="5" t="str" cm="1">
        <f t="array" ref="DF59">_xlfn.IFS(DE59=CW59,CP59,DE59=CX59,CQ59,DE59=CY59,CR59,DE59=CZ59,CS59,DE59=DA59,CT59,DE59=DB59,CU59,TRUE,"----- ")</f>
        <v xml:space="preserve">----- </v>
      </c>
      <c r="DG59" s="5"/>
      <c r="DH59" s="5">
        <f t="shared" si="80"/>
        <v>-2.423265306122455E-3</v>
      </c>
      <c r="DI59" s="5">
        <f t="shared" si="167"/>
        <v>-3.7194805194805478E-4</v>
      </c>
      <c r="DJ59" s="5">
        <f t="shared" si="168"/>
        <v>-1.6402721088435472E-3</v>
      </c>
      <c r="DK59" s="5">
        <f t="shared" si="169"/>
        <v>7.6471243042669956E-4</v>
      </c>
      <c r="DL59" s="5">
        <f t="shared" si="170"/>
        <v>-2.3081014223875058E-4</v>
      </c>
      <c r="DM59" s="5">
        <f t="shared" si="171"/>
        <v>1.5802844774273381E-3</v>
      </c>
      <c r="DO59" s="5">
        <f t="shared" si="130"/>
        <v>-1.9079214597220278</v>
      </c>
      <c r="DP59" s="5">
        <f t="shared" si="131"/>
        <v>-0.29295343676527091</v>
      </c>
      <c r="DQ59" s="5">
        <f t="shared" si="132"/>
        <v>-1.2917022253843653</v>
      </c>
      <c r="DR59" s="5">
        <f t="shared" si="133"/>
        <v>0.60228527619529781</v>
      </c>
      <c r="DS59" s="5">
        <f t="shared" si="134"/>
        <v>-0.18179147971962978</v>
      </c>
      <c r="DT59" s="5">
        <f t="shared" si="135"/>
        <v>1.2444775446344229</v>
      </c>
      <c r="DV59" t="str" cm="1">
        <f t="array" ref="DV59">_xlfn.IFS(DO59&gt;3,"Strong + Slope",DO59&gt;1.5,"Moderate + Slope",DO59&gt;0.5,"Sideway + Slope",DO59&gt;=-0.5,"Sideway Flat",DO59&gt;=-1.5,"Sideway - Slope",DO59&gt;=-3,"Moderate - Slope",TRUE,"Strong - Slope")</f>
        <v>Moderate - Slope</v>
      </c>
      <c r="DW59" t="str" cm="1">
        <f t="array" ref="DW59">_xlfn.IFS(DP59&gt;3,"Strong + Slope",DP59&gt;1.5,"Moderate + Slope",DP59&gt;0.5,"Sideway + Slope",DP59&gt;=-0.5,"Sideway Flat",DP59&gt;=-1.5,"Sideway - Slope",DP59&gt;=-3,"Moderate - Slope",TRUE,"Strong - Slope")</f>
        <v>Sideway Flat</v>
      </c>
      <c r="DX59" t="str" cm="1">
        <f t="array" ref="DX59">_xlfn.IFS(DQ59&gt;3,"Strong + Slope",DQ59&gt;1.5,"Moderate + Slope",DQ59&gt;0.5,"Sideway + Slope",DQ59&gt;=-0.5,"Sideway Flat",DQ59&gt;=-1.5,"Sideway - Slope",DQ59&gt;=-3,"Moderate - Slope",TRUE,"Strong - Slope")</f>
        <v>Sideway - Slope</v>
      </c>
      <c r="DY59" t="str" cm="1">
        <f t="array" ref="DY59">_xlfn.IFS(DR59&gt;3,"Strong + Slope",DR59&gt;1.5,"Moderate + Slope",DR59&gt;0.5,"Sideway + Slope",DR59&gt;=-0.5,"Sideway Flat",DR59&gt;=-1.5,"Sideway - Slope",DR59&gt;=-3,"Moderate - Slope",TRUE,"Strong - Slope")</f>
        <v>Sideway + Slope</v>
      </c>
      <c r="DZ59" t="str" cm="1">
        <f t="array" ref="DZ59">_xlfn.IFS(DS59&gt;3,"Strong + Slope",DS59&gt;1.5,"Moderate + Slope",DS59&gt;0.5,"Sideway + Slope",DS59&gt;=-0.5,"Sideway Flat",DS59&gt;=-1.5,"Sideway - Slope",DS59&gt;=-3,"Moderate - Slope",TRUE,"Strong - Slope")</f>
        <v>Sideway Flat</v>
      </c>
      <c r="EA59" t="str" cm="1">
        <f t="array" ref="EA59">_xlfn.IFS(DT59&gt;3,"Strong + Slope",DT59&gt;1.5,"Moderate + Slope",DT59&gt;0.5,"Sideway + Slope",DT59&gt;=-0.5,"Sideway Flat",DT59&gt;=-1.5,"Sideway - Slope",DT59&gt;=-3,"Moderate - Slope",TRUE,"Strong - Slope")</f>
        <v>Sideway + Slope</v>
      </c>
      <c r="EB59" s="5"/>
      <c r="EC59" s="5">
        <f t="shared" si="136"/>
        <v>2</v>
      </c>
      <c r="ED59" s="5">
        <f t="shared" si="137"/>
        <v>3</v>
      </c>
      <c r="EE59" s="5">
        <f t="shared" si="138"/>
        <v>1</v>
      </c>
      <c r="EF59" s="5">
        <f t="shared" si="139"/>
        <v>5</v>
      </c>
      <c r="EG59" s="5">
        <f t="shared" si="140"/>
        <v>6</v>
      </c>
      <c r="EH59" s="5">
        <f t="shared" si="141"/>
        <v>4</v>
      </c>
      <c r="EI59" s="5"/>
      <c r="EJ59" s="5" t="str">
        <f t="shared" si="142"/>
        <v>RES</v>
      </c>
      <c r="EK59" s="5" t="str">
        <f t="shared" si="143"/>
        <v>RES</v>
      </c>
      <c r="EL59" s="5" t="str">
        <f t="shared" si="144"/>
        <v>RES</v>
      </c>
      <c r="EM59" s="5" t="str">
        <f t="shared" si="145"/>
        <v>SUP</v>
      </c>
      <c r="EN59" s="5" t="str">
        <f t="shared" si="146"/>
        <v>SUP</v>
      </c>
      <c r="EO59" s="5" t="str">
        <f t="shared" si="147"/>
        <v>RES</v>
      </c>
      <c r="EP59" s="5"/>
      <c r="EQ59" s="8">
        <f t="shared" si="148"/>
        <v>6.80614909393228E-4</v>
      </c>
      <c r="ER59" s="8">
        <f t="shared" si="149"/>
        <v>5.7590492333261687E-4</v>
      </c>
      <c r="ES59" s="8">
        <f t="shared" si="150"/>
        <v>2.4803177948076326E-3</v>
      </c>
      <c r="ET59" s="8">
        <f t="shared" si="151"/>
        <v>-1.3219635740135873E-3</v>
      </c>
      <c r="EU59" s="8">
        <f t="shared" si="152"/>
        <v>-1.3939516894301413E-3</v>
      </c>
      <c r="EV59" s="8">
        <f t="shared" si="153"/>
        <v>3.2721870643908409E-4</v>
      </c>
      <c r="EW59" s="8"/>
      <c r="EX59" s="8">
        <f t="shared" si="154"/>
        <v>0.35979729729729631</v>
      </c>
      <c r="EY59" s="9">
        <f t="shared" si="54"/>
        <v>4</v>
      </c>
      <c r="EZ59" s="10">
        <f t="shared" si="55"/>
        <v>2</v>
      </c>
      <c r="FA59" s="8">
        <f t="shared" si="86"/>
        <v>2.4803177948076326E-3</v>
      </c>
      <c r="FB59" s="8">
        <f t="shared" si="87"/>
        <v>6.80614909393228E-4</v>
      </c>
      <c r="FC59" s="8">
        <f t="shared" si="88"/>
        <v>5.7590492333261687E-4</v>
      </c>
      <c r="FD59" s="8">
        <f t="shared" si="89"/>
        <v>3.2721870643908409E-4</v>
      </c>
      <c r="FE59" s="8">
        <f t="shared" si="90"/>
        <v>-1.3219635740135873E-3</v>
      </c>
      <c r="FF59" s="8">
        <f t="shared" si="91"/>
        <v>-1.3939516894301413E-3</v>
      </c>
      <c r="FG59" s="5"/>
      <c r="FH59" s="5" t="str">
        <f t="shared" si="155"/>
        <v>Flat Momentum</v>
      </c>
      <c r="FI59" s="5" t="str">
        <f t="shared" si="92"/>
        <v>-----</v>
      </c>
      <c r="FJ59" s="5"/>
      <c r="FK59" s="5" t="str">
        <f t="shared" si="93"/>
        <v>-----</v>
      </c>
      <c r="FL59" s="5" t="str">
        <f t="shared" si="94"/>
        <v>-----</v>
      </c>
      <c r="FM59" s="5"/>
      <c r="FN59" s="5"/>
      <c r="FO59" s="8" t="str">
        <f t="shared" si="174"/>
        <v>Bearish</v>
      </c>
      <c r="FP59" s="8"/>
      <c r="FQ59" s="14">
        <f t="shared" si="156"/>
        <v>-4.514672686231349E-4</v>
      </c>
      <c r="FR59" s="14">
        <f t="shared" si="58"/>
        <v>-3.3700239044460538E-3</v>
      </c>
      <c r="FS59" s="14" t="str">
        <f t="shared" si="59"/>
        <v>-----</v>
      </c>
      <c r="FT59" s="14" t="str">
        <f t="shared" si="157"/>
        <v>Bullish</v>
      </c>
      <c r="FU59" s="5" t="str">
        <f t="shared" si="172"/>
        <v>-----</v>
      </c>
      <c r="FV59" s="5" t="str">
        <f t="shared" si="173"/>
        <v>TEMA crossunder</v>
      </c>
      <c r="FW59" s="5"/>
      <c r="FX59" s="15" t="str">
        <f t="shared" si="116"/>
        <v>YES</v>
      </c>
      <c r="FY59" s="15" t="str">
        <f t="shared" si="117"/>
        <v>-----</v>
      </c>
      <c r="FZ59" s="15" t="str">
        <f t="shared" si="118"/>
        <v>YES</v>
      </c>
      <c r="GA59" s="15" t="str">
        <f t="shared" si="119"/>
        <v>YES</v>
      </c>
      <c r="GB59" s="16" t="str">
        <f t="shared" si="107"/>
        <v>-----</v>
      </c>
      <c r="GC59" s="16" t="str">
        <f t="shared" si="108"/>
        <v>-----</v>
      </c>
      <c r="GD59" s="16" t="str">
        <f t="shared" si="109"/>
        <v>-----</v>
      </c>
      <c r="GE59" s="16" t="str">
        <f t="shared" si="112"/>
        <v>YES</v>
      </c>
      <c r="GF59" s="15" t="str">
        <f t="shared" si="110"/>
        <v>-----</v>
      </c>
      <c r="GG59" s="16" t="str">
        <f t="shared" si="120"/>
        <v>-----</v>
      </c>
      <c r="GH59" s="14"/>
      <c r="GI59" s="5" t="str">
        <f t="shared" si="158"/>
        <v>-----</v>
      </c>
      <c r="GJ59" s="5" t="str">
        <f t="shared" si="159"/>
        <v>-----</v>
      </c>
      <c r="GK59" s="5"/>
      <c r="GL59" s="5" t="str">
        <f t="shared" si="160"/>
        <v>-----</v>
      </c>
      <c r="GM59" s="5" t="str">
        <f t="shared" si="161"/>
        <v>-----</v>
      </c>
      <c r="GN59" s="5"/>
      <c r="GO59" s="12">
        <f t="shared" si="162"/>
        <v>4.6999999999997044E-2</v>
      </c>
      <c r="GP59" s="5">
        <f t="shared" si="97"/>
        <v>-0.66324487639105578</v>
      </c>
      <c r="GQ59" s="13" t="str">
        <f t="shared" si="98"/>
        <v>-----</v>
      </c>
      <c r="GR59" s="5"/>
      <c r="GS59">
        <f t="shared" si="99"/>
        <v>-0.70625898316375768</v>
      </c>
      <c r="GT59" s="5" t="str">
        <f t="shared" si="100"/>
        <v>-----</v>
      </c>
    </row>
    <row r="60" spans="1:202" x14ac:dyDescent="0.55000000000000004">
      <c r="A60">
        <v>56</v>
      </c>
      <c r="B60" t="s">
        <v>59</v>
      </c>
      <c r="C60" t="s">
        <v>4</v>
      </c>
      <c r="D60" t="s">
        <v>103</v>
      </c>
      <c r="E60">
        <v>152.804</v>
      </c>
      <c r="F60">
        <v>152.84899999999999</v>
      </c>
      <c r="G60">
        <v>152.80099999999999</v>
      </c>
      <c r="H60">
        <v>152.83799999999999</v>
      </c>
      <c r="I60">
        <v>167</v>
      </c>
      <c r="J60">
        <v>152.905</v>
      </c>
      <c r="K60">
        <v>152.89099999999999</v>
      </c>
      <c r="L60">
        <v>153.18100000000001</v>
      </c>
      <c r="M60">
        <v>152.602</v>
      </c>
      <c r="N60">
        <v>152.59</v>
      </c>
      <c r="O60">
        <v>152.85499999999999</v>
      </c>
      <c r="P60">
        <v>0</v>
      </c>
      <c r="Q60">
        <v>0</v>
      </c>
      <c r="R60">
        <v>0</v>
      </c>
      <c r="S60">
        <v>0</v>
      </c>
      <c r="T60">
        <v>0</v>
      </c>
      <c r="U60">
        <v>0.31561</v>
      </c>
      <c r="V60">
        <v>0</v>
      </c>
      <c r="W60">
        <v>153.12676999999999</v>
      </c>
      <c r="X60">
        <v>153.04134999999999</v>
      </c>
      <c r="Y60">
        <v>152.95593</v>
      </c>
      <c r="Z60">
        <v>152.87051</v>
      </c>
      <c r="AA60">
        <v>152.78509</v>
      </c>
      <c r="AB60">
        <v>152.70809</v>
      </c>
      <c r="AC60">
        <v>152.62267</v>
      </c>
      <c r="AD60">
        <v>152.53725</v>
      </c>
      <c r="AE60">
        <v>152.45183</v>
      </c>
      <c r="AF60">
        <v>152.36641</v>
      </c>
      <c r="AG60">
        <v>152.828</v>
      </c>
      <c r="AH60">
        <v>152.77500000000001</v>
      </c>
      <c r="AI60">
        <v>152.834</v>
      </c>
      <c r="AJ60">
        <v>152.98400000000001</v>
      </c>
      <c r="AK60">
        <v>152.84800000000001</v>
      </c>
      <c r="AL60">
        <v>152.804</v>
      </c>
      <c r="AM60" s="11">
        <f t="shared" si="0"/>
        <v>4.8000000000001819E-2</v>
      </c>
      <c r="AN60" s="11">
        <f t="shared" si="66"/>
        <v>4.5999999999992269E-2</v>
      </c>
      <c r="AO60" s="11">
        <f t="shared" si="163"/>
        <v>2.0000000000095497E-3</v>
      </c>
      <c r="AP60" s="11">
        <f t="shared" si="164"/>
        <v>4.8000000000001819E-2</v>
      </c>
      <c r="AR60" s="5" t="str">
        <f t="shared" si="121"/>
        <v>------</v>
      </c>
      <c r="AS60" s="5" t="str">
        <f t="shared" si="122"/>
        <v>------</v>
      </c>
      <c r="AT60" t="str">
        <f t="shared" si="123"/>
        <v/>
      </c>
      <c r="AV60" s="2">
        <f t="shared" si="4"/>
        <v>152.92793575000002</v>
      </c>
      <c r="AW60" s="2">
        <f t="shared" si="5"/>
        <v>152.88206425000001</v>
      </c>
      <c r="AX60" s="2">
        <f t="shared" si="6"/>
        <v>152.91393365000002</v>
      </c>
      <c r="AY60" s="2">
        <f t="shared" si="7"/>
        <v>152.86806634999999</v>
      </c>
      <c r="AZ60" s="2">
        <f t="shared" si="8"/>
        <v>153.20397715000001</v>
      </c>
      <c r="BA60" s="2">
        <f t="shared" si="9"/>
        <v>153.15802285000001</v>
      </c>
      <c r="BB60" s="2">
        <f t="shared" si="10"/>
        <v>152.6248903</v>
      </c>
      <c r="BC60" s="2">
        <f t="shared" si="11"/>
        <v>152.5791097</v>
      </c>
      <c r="BD60" s="2">
        <f t="shared" si="12"/>
        <v>152.61288850000003</v>
      </c>
      <c r="BE60" s="2">
        <f t="shared" si="13"/>
        <v>152.56711150000001</v>
      </c>
      <c r="BF60" s="2">
        <f t="shared" si="14"/>
        <v>152.87792825</v>
      </c>
      <c r="BG60" s="2">
        <f t="shared" si="15"/>
        <v>152.83207174999998</v>
      </c>
      <c r="BI60" s="5" t="str">
        <f t="shared" si="69"/>
        <v>-----</v>
      </c>
      <c r="BJ60" s="5" t="str">
        <f t="shared" si="70"/>
        <v>-----</v>
      </c>
      <c r="BK60" s="5" t="str">
        <f t="shared" si="71"/>
        <v>-----</v>
      </c>
      <c r="BL60" s="5" t="str">
        <f t="shared" si="72"/>
        <v>-----</v>
      </c>
      <c r="BM60" s="5" t="str">
        <f t="shared" si="73"/>
        <v>-----</v>
      </c>
      <c r="BN60" s="5" t="str">
        <f t="shared" si="74"/>
        <v>TOUCH</v>
      </c>
      <c r="BO60" s="5"/>
      <c r="BP60" s="5">
        <f t="shared" si="175"/>
        <v>23</v>
      </c>
      <c r="BQ60" s="5">
        <f t="shared" si="175"/>
        <v>19</v>
      </c>
      <c r="BR60" s="5">
        <f t="shared" si="175"/>
        <v>54</v>
      </c>
      <c r="BS60" s="5">
        <f t="shared" si="175"/>
        <v>56</v>
      </c>
      <c r="BT60" s="5">
        <f t="shared" si="175"/>
        <v>56</v>
      </c>
      <c r="BU60" s="5">
        <f t="shared" si="175"/>
        <v>0</v>
      </c>
      <c r="BV60" s="5">
        <f t="shared" si="176"/>
        <v>1</v>
      </c>
      <c r="BW60" s="5">
        <f t="shared" si="176"/>
        <v>4</v>
      </c>
      <c r="BX60" s="5">
        <f t="shared" si="176"/>
        <v>2</v>
      </c>
      <c r="BY60" s="5">
        <f t="shared" si="176"/>
        <v>0</v>
      </c>
      <c r="BZ60" s="5">
        <f t="shared" si="176"/>
        <v>0</v>
      </c>
      <c r="CA60" s="5">
        <f t="shared" si="176"/>
        <v>1</v>
      </c>
      <c r="CB60" s="5" t="str">
        <f t="shared" si="102"/>
        <v>-----</v>
      </c>
      <c r="CC60" s="5" t="str">
        <f t="shared" si="101"/>
        <v>-----</v>
      </c>
      <c r="CD60" s="5" t="str">
        <f t="shared" si="101"/>
        <v>-----</v>
      </c>
      <c r="CE60" s="5" t="str">
        <f t="shared" si="101"/>
        <v>-----</v>
      </c>
      <c r="CF60" s="5" t="str">
        <f t="shared" si="101"/>
        <v>-----</v>
      </c>
      <c r="CG60" s="5">
        <f t="shared" si="101"/>
        <v>1</v>
      </c>
      <c r="CH60" s="5"/>
      <c r="CI60" s="17" t="str">
        <f t="shared" si="124"/>
        <v>-----</v>
      </c>
      <c r="CJ60" s="17" t="str">
        <f t="shared" si="125"/>
        <v>-----</v>
      </c>
      <c r="CK60" s="17" t="str">
        <f t="shared" si="126"/>
        <v>-----</v>
      </c>
      <c r="CL60" s="17" t="str">
        <f t="shared" si="127"/>
        <v>-----</v>
      </c>
      <c r="CM60" s="17" t="str">
        <f t="shared" si="128"/>
        <v>-----</v>
      </c>
      <c r="CN60" s="17">
        <f t="shared" si="129"/>
        <v>-1.7336691635863163E-3</v>
      </c>
      <c r="CO60" s="5"/>
      <c r="CP60" s="5" t="str">
        <f t="shared" si="77"/>
        <v>-----</v>
      </c>
      <c r="CQ60" s="5" t="str">
        <f t="shared" si="77"/>
        <v>-----</v>
      </c>
      <c r="CR60" s="5" t="str">
        <f t="shared" si="77"/>
        <v>-----</v>
      </c>
      <c r="CS60" s="5" t="str">
        <f t="shared" si="77"/>
        <v>-----</v>
      </c>
      <c r="CT60" s="5" t="str">
        <f t="shared" si="77"/>
        <v>-----</v>
      </c>
      <c r="CU60" s="5" t="str">
        <f t="shared" si="77"/>
        <v>Resistant</v>
      </c>
      <c r="CV60" s="5"/>
      <c r="CW60" s="17" t="str">
        <f t="shared" si="78"/>
        <v/>
      </c>
      <c r="CX60" s="17" t="str">
        <f t="shared" si="78"/>
        <v/>
      </c>
      <c r="CY60" s="17" t="str">
        <f t="shared" si="78"/>
        <v/>
      </c>
      <c r="CZ60" s="17" t="str">
        <f t="shared" si="78"/>
        <v/>
      </c>
      <c r="DA60" s="17" t="str">
        <f t="shared" si="78"/>
        <v/>
      </c>
      <c r="DB60" s="17">
        <f t="shared" si="78"/>
        <v>1.7336691635863163E-3</v>
      </c>
      <c r="DC60" s="8"/>
      <c r="DD60" s="5">
        <f t="shared" si="27"/>
        <v>1</v>
      </c>
      <c r="DE60" s="17">
        <f t="shared" si="79"/>
        <v>1.7336691635863163E-3</v>
      </c>
      <c r="DF60" s="5" t="str" cm="1">
        <f t="array" ref="DF60">_xlfn.IFS(DE60=CW60,CP60,DE60=CX60,CQ60,DE60=CY60,CR60,DE60=CZ60,CS60,DE60=DA60,CT60,DE60=DB60,CU60,TRUE,"----- ")</f>
        <v>Resistant</v>
      </c>
      <c r="DG60" s="5"/>
      <c r="DH60" s="5">
        <f t="shared" si="80"/>
        <v>-2.423265306122455E-3</v>
      </c>
      <c r="DI60" s="5">
        <f t="shared" si="167"/>
        <v>-3.7194805194805478E-4</v>
      </c>
      <c r="DJ60" s="5">
        <f t="shared" si="168"/>
        <v>-1.6402721088435472E-3</v>
      </c>
      <c r="DK60" s="5">
        <f t="shared" si="169"/>
        <v>7.6471243042669956E-4</v>
      </c>
      <c r="DL60" s="5">
        <f t="shared" si="170"/>
        <v>-2.3081014223875058E-4</v>
      </c>
      <c r="DM60" s="5">
        <f t="shared" si="171"/>
        <v>1.5802844774273381E-3</v>
      </c>
      <c r="DO60" s="5">
        <f t="shared" si="130"/>
        <v>-1.9079214597220278</v>
      </c>
      <c r="DP60" s="5">
        <f t="shared" si="131"/>
        <v>-0.29295343676527091</v>
      </c>
      <c r="DQ60" s="5">
        <f t="shared" si="132"/>
        <v>-1.2917022253843653</v>
      </c>
      <c r="DR60" s="5">
        <f t="shared" si="133"/>
        <v>0.60228527619529781</v>
      </c>
      <c r="DS60" s="5">
        <f t="shared" si="134"/>
        <v>-0.18179147971962978</v>
      </c>
      <c r="DT60" s="5">
        <f t="shared" si="135"/>
        <v>1.2444775446344229</v>
      </c>
      <c r="DV60" t="str" cm="1">
        <f t="array" ref="DV60">_xlfn.IFS(DO60&gt;3,"Strong + Slope",DO60&gt;1.5,"Moderate + Slope",DO60&gt;0.5,"Sideway + Slope",DO60&gt;=-0.5,"Sideway Flat",DO60&gt;=-1.5,"Sideway - Slope",DO60&gt;=-3,"Moderate - Slope",TRUE,"Strong - Slope")</f>
        <v>Moderate - Slope</v>
      </c>
      <c r="DW60" t="str" cm="1">
        <f t="array" ref="DW60">_xlfn.IFS(DP60&gt;3,"Strong + Slope",DP60&gt;1.5,"Moderate + Slope",DP60&gt;0.5,"Sideway + Slope",DP60&gt;=-0.5,"Sideway Flat",DP60&gt;=-1.5,"Sideway - Slope",DP60&gt;=-3,"Moderate - Slope",TRUE,"Strong - Slope")</f>
        <v>Sideway Flat</v>
      </c>
      <c r="DX60" t="str" cm="1">
        <f t="array" ref="DX60">_xlfn.IFS(DQ60&gt;3,"Strong + Slope",DQ60&gt;1.5,"Moderate + Slope",DQ60&gt;0.5,"Sideway + Slope",DQ60&gt;=-0.5,"Sideway Flat",DQ60&gt;=-1.5,"Sideway - Slope",DQ60&gt;=-3,"Moderate - Slope",TRUE,"Strong - Slope")</f>
        <v>Sideway - Slope</v>
      </c>
      <c r="DY60" t="str" cm="1">
        <f t="array" ref="DY60">_xlfn.IFS(DR60&gt;3,"Strong + Slope",DR60&gt;1.5,"Moderate + Slope",DR60&gt;0.5,"Sideway + Slope",DR60&gt;=-0.5,"Sideway Flat",DR60&gt;=-1.5,"Sideway - Slope",DR60&gt;=-3,"Moderate - Slope",TRUE,"Strong - Slope")</f>
        <v>Sideway + Slope</v>
      </c>
      <c r="DZ60" t="str" cm="1">
        <f t="array" ref="DZ60">_xlfn.IFS(DS60&gt;3,"Strong + Slope",DS60&gt;1.5,"Moderate + Slope",DS60&gt;0.5,"Sideway + Slope",DS60&gt;=-0.5,"Sideway Flat",DS60&gt;=-1.5,"Sideway - Slope",DS60&gt;=-3,"Moderate - Slope",TRUE,"Strong - Slope")</f>
        <v>Sideway Flat</v>
      </c>
      <c r="EA60" t="str" cm="1">
        <f t="array" ref="EA60">_xlfn.IFS(DT60&gt;3,"Strong + Slope",DT60&gt;1.5,"Moderate + Slope",DT60&gt;0.5,"Sideway + Slope",DT60&gt;=-0.5,"Sideway Flat",DT60&gt;=-1.5,"Sideway - Slope",DT60&gt;=-3,"Moderate - Slope",TRUE,"Strong - Slope")</f>
        <v>Sideway + Slope</v>
      </c>
      <c r="EB60" s="5"/>
      <c r="EC60" s="5">
        <f t="shared" si="136"/>
        <v>2</v>
      </c>
      <c r="ED60" s="5">
        <f t="shared" si="137"/>
        <v>3</v>
      </c>
      <c r="EE60" s="5">
        <f t="shared" si="138"/>
        <v>1</v>
      </c>
      <c r="EF60" s="5">
        <f t="shared" si="139"/>
        <v>5</v>
      </c>
      <c r="EG60" s="5">
        <f t="shared" si="140"/>
        <v>6</v>
      </c>
      <c r="EH60" s="5">
        <f t="shared" si="141"/>
        <v>4</v>
      </c>
      <c r="EI60" s="5"/>
      <c r="EJ60" s="5" t="str">
        <f t="shared" si="142"/>
        <v>RES</v>
      </c>
      <c r="EK60" s="5" t="str">
        <f t="shared" si="143"/>
        <v>RES</v>
      </c>
      <c r="EL60" s="5" t="str">
        <f t="shared" si="144"/>
        <v>RES</v>
      </c>
      <c r="EM60" s="5" t="str">
        <f t="shared" si="145"/>
        <v>SUP</v>
      </c>
      <c r="EN60" s="5" t="str">
        <f t="shared" si="146"/>
        <v>SUP</v>
      </c>
      <c r="EO60" s="5" t="str">
        <f t="shared" si="147"/>
        <v>RES</v>
      </c>
      <c r="EP60" s="5"/>
      <c r="EQ60" s="8">
        <f t="shared" si="148"/>
        <v>4.3837265601491304E-4</v>
      </c>
      <c r="ER60" s="8">
        <f t="shared" si="149"/>
        <v>3.4677239953412943E-4</v>
      </c>
      <c r="ES60" s="8">
        <f t="shared" si="150"/>
        <v>2.2442062837777109E-3</v>
      </c>
      <c r="ET60" s="8">
        <f t="shared" si="151"/>
        <v>-1.5441186092463263E-3</v>
      </c>
      <c r="EU60" s="8">
        <f t="shared" si="152"/>
        <v>-1.6226331148012304E-3</v>
      </c>
      <c r="EV60" s="8">
        <f t="shared" si="153"/>
        <v>1.1122888286941669E-4</v>
      </c>
      <c r="EW60" s="8"/>
      <c r="EX60" s="8">
        <f t="shared" si="154"/>
        <v>0.41962774957696619</v>
      </c>
      <c r="EY60" s="9">
        <f t="shared" si="54"/>
        <v>4</v>
      </c>
      <c r="EZ60" s="10">
        <f t="shared" si="55"/>
        <v>2</v>
      </c>
      <c r="FA60" s="8">
        <f t="shared" si="86"/>
        <v>2.2442062837777109E-3</v>
      </c>
      <c r="FB60" s="8">
        <f t="shared" si="87"/>
        <v>4.3837265601491304E-4</v>
      </c>
      <c r="FC60" s="8">
        <f t="shared" si="88"/>
        <v>3.4677239953412943E-4</v>
      </c>
      <c r="FD60" s="8">
        <f t="shared" si="89"/>
        <v>1.1122888286941669E-4</v>
      </c>
      <c r="FE60" s="8">
        <f t="shared" si="90"/>
        <v>-1.5441186092463263E-3</v>
      </c>
      <c r="FF60" s="8">
        <f t="shared" si="91"/>
        <v>-1.6226331148012304E-3</v>
      </c>
      <c r="FG60" s="5"/>
      <c r="FH60" s="5" t="str">
        <f t="shared" si="155"/>
        <v>Flat Momentum</v>
      </c>
      <c r="FI60" s="5" t="str">
        <f t="shared" si="92"/>
        <v>-----</v>
      </c>
      <c r="FJ60" s="5"/>
      <c r="FK60" s="5" t="str">
        <f t="shared" si="93"/>
        <v>-----</v>
      </c>
      <c r="FL60" s="5" t="str">
        <f t="shared" si="94"/>
        <v>-----</v>
      </c>
      <c r="FM60" s="5"/>
      <c r="FN60" s="5"/>
      <c r="FO60" s="8" t="str">
        <f t="shared" si="174"/>
        <v>Bearish</v>
      </c>
      <c r="FP60" s="8"/>
      <c r="FQ60" s="14">
        <f t="shared" si="156"/>
        <v>-3.8603975555175877E-4</v>
      </c>
      <c r="FR60" s="14">
        <f t="shared" si="58"/>
        <v>0.18532637686720771</v>
      </c>
      <c r="FS60" s="14" t="str">
        <f t="shared" si="59"/>
        <v>-----</v>
      </c>
      <c r="FT60" s="14" t="str">
        <f t="shared" si="157"/>
        <v>Bullish</v>
      </c>
      <c r="FU60" s="5" t="str">
        <f t="shared" si="172"/>
        <v>TEMA crossover</v>
      </c>
      <c r="FV60" s="5" t="str">
        <f t="shared" si="173"/>
        <v>-----</v>
      </c>
      <c r="FW60" s="5"/>
      <c r="FX60" s="15" t="str">
        <f t="shared" si="116"/>
        <v>YES</v>
      </c>
      <c r="FY60" s="15" t="str">
        <f t="shared" si="117"/>
        <v>-----</v>
      </c>
      <c r="FZ60" s="15" t="str">
        <f t="shared" si="118"/>
        <v>YES</v>
      </c>
      <c r="GA60" s="15" t="str">
        <f t="shared" si="119"/>
        <v>YES</v>
      </c>
      <c r="GB60" s="16" t="str">
        <f t="shared" si="107"/>
        <v>-----</v>
      </c>
      <c r="GC60" s="16" t="str">
        <f t="shared" si="108"/>
        <v>-----</v>
      </c>
      <c r="GD60" s="16" t="str">
        <f t="shared" si="109"/>
        <v>-----</v>
      </c>
      <c r="GE60" s="16" t="str">
        <f t="shared" si="112"/>
        <v>YES</v>
      </c>
      <c r="GF60" s="15" t="str">
        <f t="shared" si="110"/>
        <v>-----</v>
      </c>
      <c r="GG60" s="16" t="str">
        <f t="shared" si="120"/>
        <v>-----</v>
      </c>
      <c r="GH60" s="14"/>
      <c r="GI60" s="5" t="str">
        <f t="shared" si="158"/>
        <v>-----</v>
      </c>
      <c r="GJ60" s="5" t="str">
        <f t="shared" si="159"/>
        <v>-----</v>
      </c>
      <c r="GK60" s="5"/>
      <c r="GL60" s="5" t="str">
        <f t="shared" si="160"/>
        <v>-----</v>
      </c>
      <c r="GM60" s="5" t="str">
        <f t="shared" si="161"/>
        <v>-----</v>
      </c>
      <c r="GN60" s="5"/>
      <c r="GO60" s="12">
        <f t="shared" si="162"/>
        <v>4.4000000000011141E-2</v>
      </c>
      <c r="GP60" s="5">
        <f t="shared" si="97"/>
        <v>-0.73238623416121484</v>
      </c>
      <c r="GQ60" s="13" t="str">
        <f t="shared" si="98"/>
        <v>-----</v>
      </c>
      <c r="GR60" s="5"/>
      <c r="GS60">
        <f t="shared" si="99"/>
        <v>-0.78369651634313409</v>
      </c>
      <c r="GT60" s="5" t="str">
        <f t="shared" si="100"/>
        <v>-----</v>
      </c>
    </row>
    <row r="61" spans="1:202" x14ac:dyDescent="0.55000000000000004">
      <c r="A61">
        <v>57</v>
      </c>
      <c r="B61" t="s">
        <v>60</v>
      </c>
      <c r="C61" t="s">
        <v>4</v>
      </c>
      <c r="D61" t="s">
        <v>103</v>
      </c>
      <c r="E61">
        <v>152.83799999999999</v>
      </c>
      <c r="F61">
        <v>152.87299999999999</v>
      </c>
      <c r="G61">
        <v>152.83799999999999</v>
      </c>
      <c r="H61">
        <v>152.864</v>
      </c>
      <c r="I61">
        <v>151</v>
      </c>
      <c r="J61">
        <v>152.90299999999999</v>
      </c>
      <c r="K61">
        <v>152.88999999999999</v>
      </c>
      <c r="L61">
        <v>153.179</v>
      </c>
      <c r="M61">
        <v>152.60300000000001</v>
      </c>
      <c r="N61">
        <v>152.59</v>
      </c>
      <c r="O61">
        <v>152.857</v>
      </c>
      <c r="P61">
        <v>0</v>
      </c>
      <c r="Q61">
        <v>0</v>
      </c>
      <c r="R61">
        <v>0</v>
      </c>
      <c r="S61">
        <v>0</v>
      </c>
      <c r="T61">
        <v>0</v>
      </c>
      <c r="U61">
        <v>0.50107999999999997</v>
      </c>
      <c r="V61">
        <v>0</v>
      </c>
      <c r="W61">
        <v>153.12521000000001</v>
      </c>
      <c r="X61">
        <v>153.03980000000001</v>
      </c>
      <c r="Y61">
        <v>152.95439999999999</v>
      </c>
      <c r="Z61">
        <v>152.86899</v>
      </c>
      <c r="AA61">
        <v>152.78358</v>
      </c>
      <c r="AB61">
        <v>152.70963</v>
      </c>
      <c r="AC61">
        <v>152.62422000000001</v>
      </c>
      <c r="AD61">
        <v>152.53881000000001</v>
      </c>
      <c r="AE61">
        <v>152.45340999999999</v>
      </c>
      <c r="AF61">
        <v>152.36799999999999</v>
      </c>
      <c r="AG61">
        <v>152.84899999999999</v>
      </c>
      <c r="AH61">
        <v>152.78800000000001</v>
      </c>
      <c r="AI61">
        <v>152.83600000000001</v>
      </c>
      <c r="AJ61">
        <v>152.97999999999999</v>
      </c>
      <c r="AK61">
        <v>152.86500000000001</v>
      </c>
      <c r="AL61">
        <v>152.82900000000001</v>
      </c>
      <c r="AM61" s="11">
        <f t="shared" si="0"/>
        <v>3.4999999999996589E-2</v>
      </c>
      <c r="AN61" s="11">
        <f t="shared" si="66"/>
        <v>3.4999999999996589E-2</v>
      </c>
      <c r="AO61" s="11">
        <f t="shared" si="163"/>
        <v>0</v>
      </c>
      <c r="AP61" s="11">
        <f t="shared" si="164"/>
        <v>3.4999999999996589E-2</v>
      </c>
      <c r="AR61" s="5" t="str">
        <f t="shared" si="121"/>
        <v>------</v>
      </c>
      <c r="AS61" s="5" t="str">
        <f t="shared" si="122"/>
        <v>------</v>
      </c>
      <c r="AT61" t="str">
        <f t="shared" si="123"/>
        <v/>
      </c>
      <c r="AV61" s="2">
        <f t="shared" si="4"/>
        <v>152.92593545</v>
      </c>
      <c r="AW61" s="2">
        <f t="shared" si="5"/>
        <v>152.88006454999999</v>
      </c>
      <c r="AX61" s="2">
        <f t="shared" si="6"/>
        <v>152.91293350000001</v>
      </c>
      <c r="AY61" s="2">
        <f t="shared" si="7"/>
        <v>152.86706649999999</v>
      </c>
      <c r="AZ61" s="2">
        <f t="shared" si="8"/>
        <v>153.20197685000002</v>
      </c>
      <c r="BA61" s="2">
        <f t="shared" si="9"/>
        <v>153.15602315000001</v>
      </c>
      <c r="BB61" s="2">
        <f t="shared" si="10"/>
        <v>152.62589045000001</v>
      </c>
      <c r="BC61" s="2">
        <f t="shared" si="11"/>
        <v>152.58010955</v>
      </c>
      <c r="BD61" s="2">
        <f t="shared" si="12"/>
        <v>152.61288850000003</v>
      </c>
      <c r="BE61" s="2">
        <f t="shared" si="13"/>
        <v>152.56711150000001</v>
      </c>
      <c r="BF61" s="2">
        <f t="shared" si="14"/>
        <v>152.87992855000002</v>
      </c>
      <c r="BG61" s="2">
        <f t="shared" si="15"/>
        <v>152.83407145000001</v>
      </c>
      <c r="BI61" s="5" t="str">
        <f t="shared" si="69"/>
        <v>-----</v>
      </c>
      <c r="BJ61" s="5" t="str">
        <f t="shared" si="70"/>
        <v>-----</v>
      </c>
      <c r="BK61" s="5" t="str">
        <f t="shared" si="71"/>
        <v>-----</v>
      </c>
      <c r="BL61" s="5" t="str">
        <f t="shared" si="72"/>
        <v>-----</v>
      </c>
      <c r="BM61" s="5" t="str">
        <f t="shared" si="73"/>
        <v>-----</v>
      </c>
      <c r="BN61" s="5" t="str">
        <f t="shared" si="74"/>
        <v>TOUCH</v>
      </c>
      <c r="BO61" s="5"/>
      <c r="BP61" s="5">
        <f t="shared" si="175"/>
        <v>24</v>
      </c>
      <c r="BQ61" s="5">
        <f t="shared" si="175"/>
        <v>20</v>
      </c>
      <c r="BR61" s="5">
        <f t="shared" si="175"/>
        <v>55</v>
      </c>
      <c r="BS61" s="5">
        <f t="shared" si="175"/>
        <v>57</v>
      </c>
      <c r="BT61" s="5">
        <f t="shared" si="175"/>
        <v>57</v>
      </c>
      <c r="BU61" s="5">
        <f t="shared" si="175"/>
        <v>0</v>
      </c>
      <c r="BV61" s="5">
        <f t="shared" si="176"/>
        <v>1</v>
      </c>
      <c r="BW61" s="5">
        <f t="shared" si="176"/>
        <v>4</v>
      </c>
      <c r="BX61" s="5">
        <f t="shared" si="176"/>
        <v>2</v>
      </c>
      <c r="BY61" s="5">
        <f t="shared" si="176"/>
        <v>0</v>
      </c>
      <c r="BZ61" s="5">
        <f t="shared" si="176"/>
        <v>0</v>
      </c>
      <c r="CA61" s="5">
        <f t="shared" si="176"/>
        <v>2</v>
      </c>
      <c r="CB61" s="5" t="str">
        <f t="shared" si="102"/>
        <v>-----</v>
      </c>
      <c r="CC61" s="5" t="str">
        <f t="shared" si="101"/>
        <v>-----</v>
      </c>
      <c r="CD61" s="5" t="str">
        <f t="shared" si="101"/>
        <v>-----</v>
      </c>
      <c r="CE61" s="5" t="str">
        <f t="shared" si="101"/>
        <v>-----</v>
      </c>
      <c r="CF61" s="5" t="str">
        <f t="shared" si="101"/>
        <v>-----</v>
      </c>
      <c r="CG61" s="5">
        <f t="shared" si="101"/>
        <v>2</v>
      </c>
      <c r="CH61" s="5"/>
      <c r="CI61" s="17" t="str">
        <f t="shared" si="124"/>
        <v>-----</v>
      </c>
      <c r="CJ61" s="17" t="str">
        <f t="shared" si="125"/>
        <v>-----</v>
      </c>
      <c r="CK61" s="17" t="str">
        <f t="shared" si="126"/>
        <v>-----</v>
      </c>
      <c r="CL61" s="17" t="str">
        <f t="shared" si="127"/>
        <v>-----</v>
      </c>
      <c r="CM61" s="17" t="str">
        <f t="shared" si="128"/>
        <v>-----</v>
      </c>
      <c r="CN61" s="17">
        <f t="shared" si="129"/>
        <v>-1.7467306044210988E-3</v>
      </c>
      <c r="CO61" s="5"/>
      <c r="CP61" s="5" t="str">
        <f t="shared" ref="CP61:CU103" si="177">IF(CI61="-----","-----",IF(CI61&gt;0%,"Support","Resistant"))</f>
        <v>-----</v>
      </c>
      <c r="CQ61" s="5" t="str">
        <f t="shared" si="177"/>
        <v>-----</v>
      </c>
      <c r="CR61" s="5" t="str">
        <f t="shared" si="177"/>
        <v>-----</v>
      </c>
      <c r="CS61" s="5" t="str">
        <f t="shared" si="177"/>
        <v>-----</v>
      </c>
      <c r="CT61" s="5" t="str">
        <f t="shared" si="177"/>
        <v>-----</v>
      </c>
      <c r="CU61" s="5" t="str">
        <f t="shared" si="177"/>
        <v>Resistant</v>
      </c>
      <c r="CV61" s="5"/>
      <c r="CW61" s="17" t="str">
        <f t="shared" ref="CW61:DB103" si="178">IF(CI61="-----","",ABS(CI61))</f>
        <v/>
      </c>
      <c r="CX61" s="17" t="str">
        <f t="shared" si="178"/>
        <v/>
      </c>
      <c r="CY61" s="17" t="str">
        <f t="shared" si="178"/>
        <v/>
      </c>
      <c r="CZ61" s="17" t="str">
        <f t="shared" si="178"/>
        <v/>
      </c>
      <c r="DA61" s="17" t="str">
        <f t="shared" si="178"/>
        <v/>
      </c>
      <c r="DB61" s="17">
        <f t="shared" si="178"/>
        <v>1.7467306044210988E-3</v>
      </c>
      <c r="DC61" s="8"/>
      <c r="DD61" s="5">
        <f t="shared" si="27"/>
        <v>1</v>
      </c>
      <c r="DE61" s="17">
        <f t="shared" si="79"/>
        <v>1.7467306044210988E-3</v>
      </c>
      <c r="DF61" s="5" t="str" cm="1">
        <f t="array" ref="DF61">_xlfn.IFS(DE61=CW61,CP61,DE61=CX61,CQ61,DE61=CY61,CR61,DE61=CZ61,CS61,DE61=DA61,CT61,DE61=DB61,CU61,TRUE,"----- ")</f>
        <v>Resistant</v>
      </c>
      <c r="DG61" s="5"/>
      <c r="DH61" s="5">
        <f t="shared" si="80"/>
        <v>-2.423265306122455E-3</v>
      </c>
      <c r="DI61" s="5">
        <f t="shared" si="167"/>
        <v>-3.7194805194805478E-4</v>
      </c>
      <c r="DJ61" s="5">
        <f t="shared" si="168"/>
        <v>-1.6402721088435472E-3</v>
      </c>
      <c r="DK61" s="5">
        <f t="shared" si="169"/>
        <v>7.6471243042669956E-4</v>
      </c>
      <c r="DL61" s="5">
        <f t="shared" si="170"/>
        <v>-2.3081014223875058E-4</v>
      </c>
      <c r="DM61" s="5">
        <f t="shared" si="171"/>
        <v>1.5802844774273381E-3</v>
      </c>
      <c r="DO61" s="5">
        <f t="shared" si="130"/>
        <v>-1.9079214597220278</v>
      </c>
      <c r="DP61" s="5">
        <f t="shared" si="131"/>
        <v>-0.29295343676527091</v>
      </c>
      <c r="DQ61" s="5">
        <f t="shared" si="132"/>
        <v>-1.2917022253843653</v>
      </c>
      <c r="DR61" s="5">
        <f t="shared" si="133"/>
        <v>0.60228527619529781</v>
      </c>
      <c r="DS61" s="5">
        <f t="shared" si="134"/>
        <v>-0.18179147971962978</v>
      </c>
      <c r="DT61" s="5">
        <f t="shared" si="135"/>
        <v>1.2444775446344229</v>
      </c>
      <c r="DV61" t="str" cm="1">
        <f t="array" ref="DV61">_xlfn.IFS(DO61&gt;3,"Strong + Slope",DO61&gt;1.5,"Moderate + Slope",DO61&gt;0.5,"Sideway + Slope",DO61&gt;=-0.5,"Sideway Flat",DO61&gt;=-1.5,"Sideway - Slope",DO61&gt;=-3,"Moderate - Slope",TRUE,"Strong - Slope")</f>
        <v>Moderate - Slope</v>
      </c>
      <c r="DW61" t="str" cm="1">
        <f t="array" ref="DW61">_xlfn.IFS(DP61&gt;3,"Strong + Slope",DP61&gt;1.5,"Moderate + Slope",DP61&gt;0.5,"Sideway + Slope",DP61&gt;=-0.5,"Sideway Flat",DP61&gt;=-1.5,"Sideway - Slope",DP61&gt;=-3,"Moderate - Slope",TRUE,"Strong - Slope")</f>
        <v>Sideway Flat</v>
      </c>
      <c r="DX61" t="str" cm="1">
        <f t="array" ref="DX61">_xlfn.IFS(DQ61&gt;3,"Strong + Slope",DQ61&gt;1.5,"Moderate + Slope",DQ61&gt;0.5,"Sideway + Slope",DQ61&gt;=-0.5,"Sideway Flat",DQ61&gt;=-1.5,"Sideway - Slope",DQ61&gt;=-3,"Moderate - Slope",TRUE,"Strong - Slope")</f>
        <v>Sideway - Slope</v>
      </c>
      <c r="DY61" t="str" cm="1">
        <f t="array" ref="DY61">_xlfn.IFS(DR61&gt;3,"Strong + Slope",DR61&gt;1.5,"Moderate + Slope",DR61&gt;0.5,"Sideway + Slope",DR61&gt;=-0.5,"Sideway Flat",DR61&gt;=-1.5,"Sideway - Slope",DR61&gt;=-3,"Moderate - Slope",TRUE,"Strong - Slope")</f>
        <v>Sideway + Slope</v>
      </c>
      <c r="DZ61" t="str" cm="1">
        <f t="array" ref="DZ61">_xlfn.IFS(DS61&gt;3,"Strong + Slope",DS61&gt;1.5,"Moderate + Slope",DS61&gt;0.5,"Sideway + Slope",DS61&gt;=-0.5,"Sideway Flat",DS61&gt;=-1.5,"Sideway - Slope",DS61&gt;=-3,"Moderate - Slope",TRUE,"Strong - Slope")</f>
        <v>Sideway Flat</v>
      </c>
      <c r="EA61" t="str" cm="1">
        <f t="array" ref="EA61">_xlfn.IFS(DT61&gt;3,"Strong + Slope",DT61&gt;1.5,"Moderate + Slope",DT61&gt;0.5,"Sideway + Slope",DT61&gt;=-0.5,"Sideway Flat",DT61&gt;=-1.5,"Sideway - Slope",DT61&gt;=-3,"Moderate - Slope",TRUE,"Strong - Slope")</f>
        <v>Sideway + Slope</v>
      </c>
      <c r="EB61" s="5"/>
      <c r="EC61" s="5">
        <f t="shared" si="136"/>
        <v>2</v>
      </c>
      <c r="ED61" s="5">
        <f t="shared" si="137"/>
        <v>3</v>
      </c>
      <c r="EE61" s="5">
        <f t="shared" si="138"/>
        <v>1</v>
      </c>
      <c r="EF61" s="5">
        <f t="shared" si="139"/>
        <v>5</v>
      </c>
      <c r="EG61" s="5">
        <f t="shared" si="140"/>
        <v>6</v>
      </c>
      <c r="EH61" s="5">
        <f t="shared" si="141"/>
        <v>4</v>
      </c>
      <c r="EI61" s="5"/>
      <c r="EJ61" s="5" t="str">
        <f t="shared" si="142"/>
        <v>RES</v>
      </c>
      <c r="EK61" s="5" t="str">
        <f t="shared" si="143"/>
        <v>RES</v>
      </c>
      <c r="EL61" s="5" t="str">
        <f t="shared" si="144"/>
        <v>RES</v>
      </c>
      <c r="EM61" s="5" t="str">
        <f t="shared" si="145"/>
        <v>SUP</v>
      </c>
      <c r="EN61" s="5" t="str">
        <f t="shared" si="146"/>
        <v>SUP</v>
      </c>
      <c r="EO61" s="5" t="str">
        <f t="shared" si="147"/>
        <v>SUP</v>
      </c>
      <c r="EP61" s="5"/>
      <c r="EQ61" s="8">
        <f t="shared" si="148"/>
        <v>2.5512874188813103E-4</v>
      </c>
      <c r="ER61" s="8">
        <f t="shared" si="149"/>
        <v>1.7008582792535872E-4</v>
      </c>
      <c r="ES61" s="8">
        <f t="shared" si="150"/>
        <v>2.0606552229432548E-3</v>
      </c>
      <c r="ET61" s="8">
        <f t="shared" si="151"/>
        <v>-1.7074000418672525E-3</v>
      </c>
      <c r="EU61" s="8">
        <f t="shared" si="152"/>
        <v>-1.7924429558300247E-3</v>
      </c>
      <c r="EV61" s="8">
        <f t="shared" si="153"/>
        <v>-4.5792338287660943E-5</v>
      </c>
      <c r="EW61" s="8"/>
      <c r="EX61" s="8">
        <f t="shared" si="154"/>
        <v>0.46519524617996866</v>
      </c>
      <c r="EY61" s="9">
        <f t="shared" si="54"/>
        <v>3</v>
      </c>
      <c r="EZ61" s="10">
        <f t="shared" si="55"/>
        <v>3</v>
      </c>
      <c r="FA61" s="8">
        <f t="shared" si="86"/>
        <v>2.0606552229432548E-3</v>
      </c>
      <c r="FB61" s="8">
        <f t="shared" si="87"/>
        <v>2.5512874188813103E-4</v>
      </c>
      <c r="FC61" s="8">
        <f t="shared" si="88"/>
        <v>1.7008582792535872E-4</v>
      </c>
      <c r="FD61" s="8">
        <f t="shared" si="89"/>
        <v>-4.5792338287660943E-5</v>
      </c>
      <c r="FE61" s="8">
        <f t="shared" si="90"/>
        <v>-1.7074000418672525E-3</v>
      </c>
      <c r="FF61" s="8">
        <f t="shared" si="91"/>
        <v>-1.7924429558300247E-3</v>
      </c>
      <c r="FG61" s="5"/>
      <c r="FH61" s="5" t="str">
        <f t="shared" si="155"/>
        <v>Flat Momentum</v>
      </c>
      <c r="FI61" s="5" t="str">
        <f t="shared" si="92"/>
        <v>-----</v>
      </c>
      <c r="FJ61" s="5"/>
      <c r="FK61" s="5" t="str">
        <f t="shared" si="93"/>
        <v>-----</v>
      </c>
      <c r="FL61" s="5" t="str">
        <f t="shared" si="94"/>
        <v>-----</v>
      </c>
      <c r="FM61" s="5"/>
      <c r="FN61" s="5"/>
      <c r="FO61" s="8" t="str">
        <f t="shared" si="174"/>
        <v>Bearish</v>
      </c>
      <c r="FP61" s="8"/>
      <c r="FQ61" s="14">
        <f t="shared" si="156"/>
        <v>-3.1406213195845099E-4</v>
      </c>
      <c r="FR61" s="14">
        <f t="shared" si="58"/>
        <v>0.39291364207989077</v>
      </c>
      <c r="FS61" s="14" t="str">
        <f t="shared" si="59"/>
        <v>-----</v>
      </c>
      <c r="FT61" s="14" t="str">
        <f t="shared" si="157"/>
        <v>Bullish</v>
      </c>
      <c r="FU61" s="5" t="str">
        <f t="shared" si="172"/>
        <v>-----</v>
      </c>
      <c r="FV61" s="5" t="str">
        <f t="shared" si="173"/>
        <v>-----</v>
      </c>
      <c r="FW61" s="5"/>
      <c r="FX61" s="15" t="str">
        <f t="shared" si="116"/>
        <v>YES</v>
      </c>
      <c r="FY61" s="15" t="str">
        <f t="shared" si="117"/>
        <v>-----</v>
      </c>
      <c r="FZ61" s="15" t="str">
        <f t="shared" si="118"/>
        <v>YES</v>
      </c>
      <c r="GA61" s="15" t="str">
        <f t="shared" si="119"/>
        <v>YES</v>
      </c>
      <c r="GB61" s="16" t="str">
        <f t="shared" si="107"/>
        <v>-----</v>
      </c>
      <c r="GC61" s="16" t="str">
        <f t="shared" si="108"/>
        <v>-----</v>
      </c>
      <c r="GD61" s="16" t="str">
        <f t="shared" si="109"/>
        <v>-----</v>
      </c>
      <c r="GE61" s="16" t="str">
        <f t="shared" si="112"/>
        <v>YES</v>
      </c>
      <c r="GF61" s="15" t="str">
        <f t="shared" si="110"/>
        <v>-----</v>
      </c>
      <c r="GG61" s="16" t="str">
        <f t="shared" si="120"/>
        <v>-----</v>
      </c>
      <c r="GH61" s="14"/>
      <c r="GI61" s="5" t="str">
        <f t="shared" si="158"/>
        <v>-----</v>
      </c>
      <c r="GJ61" s="5" t="str">
        <f t="shared" si="159"/>
        <v>-----</v>
      </c>
      <c r="GK61" s="5"/>
      <c r="GL61" s="5" t="str">
        <f t="shared" si="160"/>
        <v>-----</v>
      </c>
      <c r="GM61" s="5" t="str">
        <f t="shared" si="161"/>
        <v>-----</v>
      </c>
      <c r="GN61" s="5"/>
      <c r="GO61" s="12">
        <f t="shared" si="162"/>
        <v>3.6000000000001364E-2</v>
      </c>
      <c r="GP61" s="5">
        <f t="shared" si="97"/>
        <v>-0.91676318821606417</v>
      </c>
      <c r="GQ61" s="13" t="str">
        <f t="shared" si="98"/>
        <v>-----</v>
      </c>
      <c r="GR61" s="5"/>
      <c r="GS61">
        <f t="shared" si="99"/>
        <v>-0.8869465605823027</v>
      </c>
      <c r="GT61" s="5" t="str">
        <f t="shared" si="100"/>
        <v>-----</v>
      </c>
    </row>
    <row r="62" spans="1:202" x14ac:dyDescent="0.55000000000000004">
      <c r="A62">
        <v>58</v>
      </c>
      <c r="B62" t="s">
        <v>61</v>
      </c>
      <c r="C62" t="s">
        <v>4</v>
      </c>
      <c r="D62" t="s">
        <v>103</v>
      </c>
      <c r="E62">
        <v>152.86099999999999</v>
      </c>
      <c r="F62">
        <v>152.86500000000001</v>
      </c>
      <c r="G62">
        <v>152.81200000000001</v>
      </c>
      <c r="H62">
        <v>152.81299999999999</v>
      </c>
      <c r="I62">
        <v>157</v>
      </c>
      <c r="J62">
        <v>152.9</v>
      </c>
      <c r="K62">
        <v>152.88999999999999</v>
      </c>
      <c r="L62">
        <v>153.17699999999999</v>
      </c>
      <c r="M62">
        <v>152.60400000000001</v>
      </c>
      <c r="N62">
        <v>152.59</v>
      </c>
      <c r="O62">
        <v>152.858</v>
      </c>
      <c r="P62">
        <v>0</v>
      </c>
      <c r="Q62">
        <v>0</v>
      </c>
      <c r="R62">
        <v>0</v>
      </c>
      <c r="S62">
        <v>0</v>
      </c>
      <c r="T62">
        <v>0</v>
      </c>
      <c r="U62">
        <v>2.572E-2</v>
      </c>
      <c r="V62">
        <v>3</v>
      </c>
      <c r="W62">
        <v>153.12472</v>
      </c>
      <c r="X62">
        <v>153.0393</v>
      </c>
      <c r="Y62">
        <v>152.95386999999999</v>
      </c>
      <c r="Z62">
        <v>152.86845</v>
      </c>
      <c r="AA62">
        <v>152.78301999999999</v>
      </c>
      <c r="AB62">
        <v>152.71182999999999</v>
      </c>
      <c r="AC62">
        <v>152.62640999999999</v>
      </c>
      <c r="AD62">
        <v>152.54097999999999</v>
      </c>
      <c r="AE62">
        <v>152.45555999999999</v>
      </c>
      <c r="AF62">
        <v>152.37012999999999</v>
      </c>
      <c r="AG62">
        <v>152.84800000000001</v>
      </c>
      <c r="AH62">
        <v>152.798</v>
      </c>
      <c r="AI62">
        <v>152.83600000000001</v>
      </c>
      <c r="AJ62">
        <v>152.976</v>
      </c>
      <c r="AK62">
        <v>152.87200000000001</v>
      </c>
      <c r="AL62">
        <v>152.83000000000001</v>
      </c>
      <c r="AM62" s="11">
        <f t="shared" si="0"/>
        <v>5.2999999999997272E-2</v>
      </c>
      <c r="AN62" s="11">
        <f t="shared" si="66"/>
        <v>1.0000000000047748E-3</v>
      </c>
      <c r="AO62" s="11">
        <f t="shared" si="163"/>
        <v>5.1999999999992497E-2</v>
      </c>
      <c r="AP62" s="11">
        <f t="shared" si="164"/>
        <v>5.2999999999997272E-2</v>
      </c>
      <c r="AR62" s="5" t="str">
        <f t="shared" si="121"/>
        <v>------</v>
      </c>
      <c r="AS62" s="5" t="str">
        <f t="shared" si="122"/>
        <v>------</v>
      </c>
      <c r="AT62" t="str">
        <f t="shared" si="123"/>
        <v/>
      </c>
      <c r="AV62" s="2">
        <f t="shared" si="4"/>
        <v>152.92293500000002</v>
      </c>
      <c r="AW62" s="2">
        <f t="shared" si="5"/>
        <v>152.87706500000002</v>
      </c>
      <c r="AX62" s="2">
        <f t="shared" si="6"/>
        <v>152.91293350000001</v>
      </c>
      <c r="AY62" s="2">
        <f t="shared" si="7"/>
        <v>152.86706649999999</v>
      </c>
      <c r="AZ62" s="2">
        <f t="shared" si="8"/>
        <v>153.19997655</v>
      </c>
      <c r="BA62" s="2">
        <f t="shared" si="9"/>
        <v>153.15402344999998</v>
      </c>
      <c r="BB62" s="2">
        <f t="shared" si="10"/>
        <v>152.62689060000002</v>
      </c>
      <c r="BC62" s="2">
        <f t="shared" si="11"/>
        <v>152.5811094</v>
      </c>
      <c r="BD62" s="2">
        <f t="shared" si="12"/>
        <v>152.61288850000003</v>
      </c>
      <c r="BE62" s="2">
        <f t="shared" si="13"/>
        <v>152.56711150000001</v>
      </c>
      <c r="BF62" s="2">
        <f t="shared" si="14"/>
        <v>152.88092870000003</v>
      </c>
      <c r="BG62" s="2">
        <f t="shared" si="15"/>
        <v>152.83507130000001</v>
      </c>
      <c r="BI62" s="5" t="str">
        <f t="shared" si="69"/>
        <v>-----</v>
      </c>
      <c r="BJ62" s="5" t="str">
        <f t="shared" si="70"/>
        <v>-----</v>
      </c>
      <c r="BK62" s="5" t="str">
        <f t="shared" si="71"/>
        <v>-----</v>
      </c>
      <c r="BL62" s="5" t="str">
        <f t="shared" si="72"/>
        <v>-----</v>
      </c>
      <c r="BM62" s="5" t="str">
        <f t="shared" si="73"/>
        <v>-----</v>
      </c>
      <c r="BN62" s="5" t="str">
        <f t="shared" si="74"/>
        <v>TOUCH</v>
      </c>
      <c r="BO62" s="5"/>
      <c r="BP62" s="5">
        <f t="shared" si="175"/>
        <v>25</v>
      </c>
      <c r="BQ62" s="5">
        <f t="shared" si="175"/>
        <v>21</v>
      </c>
      <c r="BR62" s="5">
        <f t="shared" si="175"/>
        <v>56</v>
      </c>
      <c r="BS62" s="5">
        <f t="shared" si="175"/>
        <v>58</v>
      </c>
      <c r="BT62" s="5">
        <f t="shared" si="175"/>
        <v>58</v>
      </c>
      <c r="BU62" s="5">
        <f t="shared" si="175"/>
        <v>0</v>
      </c>
      <c r="BV62" s="5">
        <f t="shared" si="176"/>
        <v>1</v>
      </c>
      <c r="BW62" s="5">
        <f t="shared" si="176"/>
        <v>4</v>
      </c>
      <c r="BX62" s="5">
        <f t="shared" si="176"/>
        <v>2</v>
      </c>
      <c r="BY62" s="5">
        <f t="shared" si="176"/>
        <v>0</v>
      </c>
      <c r="BZ62" s="5">
        <f t="shared" si="176"/>
        <v>0</v>
      </c>
      <c r="CA62" s="5">
        <f t="shared" si="176"/>
        <v>3</v>
      </c>
      <c r="CB62" s="5" t="str">
        <f t="shared" si="102"/>
        <v>-----</v>
      </c>
      <c r="CC62" s="5" t="str">
        <f t="shared" si="101"/>
        <v>-----</v>
      </c>
      <c r="CD62" s="5" t="str">
        <f t="shared" si="101"/>
        <v>-----</v>
      </c>
      <c r="CE62" s="5" t="str">
        <f t="shared" si="101"/>
        <v>-----</v>
      </c>
      <c r="CF62" s="5" t="str">
        <f t="shared" si="101"/>
        <v>-----</v>
      </c>
      <c r="CG62" s="5">
        <f t="shared" si="101"/>
        <v>3</v>
      </c>
      <c r="CH62" s="5"/>
      <c r="CI62" s="17" t="str">
        <f t="shared" si="124"/>
        <v>-----</v>
      </c>
      <c r="CJ62" s="17" t="str">
        <f t="shared" si="125"/>
        <v>-----</v>
      </c>
      <c r="CK62" s="17" t="str">
        <f t="shared" si="126"/>
        <v>-----</v>
      </c>
      <c r="CL62" s="17" t="str">
        <f t="shared" si="127"/>
        <v>-----</v>
      </c>
      <c r="CM62" s="17" t="str">
        <f t="shared" si="128"/>
        <v>-----</v>
      </c>
      <c r="CN62" s="17">
        <f t="shared" si="129"/>
        <v>-1.7532611966661912E-3</v>
      </c>
      <c r="CO62" s="5"/>
      <c r="CP62" s="5" t="str">
        <f t="shared" si="177"/>
        <v>-----</v>
      </c>
      <c r="CQ62" s="5" t="str">
        <f t="shared" si="177"/>
        <v>-----</v>
      </c>
      <c r="CR62" s="5" t="str">
        <f t="shared" si="177"/>
        <v>-----</v>
      </c>
      <c r="CS62" s="5" t="str">
        <f t="shared" si="177"/>
        <v>-----</v>
      </c>
      <c r="CT62" s="5" t="str">
        <f t="shared" si="177"/>
        <v>-----</v>
      </c>
      <c r="CU62" s="5" t="str">
        <f t="shared" si="177"/>
        <v>Resistant</v>
      </c>
      <c r="CV62" s="5"/>
      <c r="CW62" s="17" t="str">
        <f t="shared" si="178"/>
        <v/>
      </c>
      <c r="CX62" s="17" t="str">
        <f t="shared" si="178"/>
        <v/>
      </c>
      <c r="CY62" s="17" t="str">
        <f t="shared" si="178"/>
        <v/>
      </c>
      <c r="CZ62" s="17" t="str">
        <f t="shared" si="178"/>
        <v/>
      </c>
      <c r="DA62" s="17" t="str">
        <f t="shared" si="178"/>
        <v/>
      </c>
      <c r="DB62" s="17">
        <f t="shared" si="178"/>
        <v>1.7532611966661912E-3</v>
      </c>
      <c r="DC62" s="8"/>
      <c r="DD62" s="5">
        <f t="shared" si="27"/>
        <v>1</v>
      </c>
      <c r="DE62" s="17">
        <f t="shared" si="79"/>
        <v>1.7532611966661912E-3</v>
      </c>
      <c r="DF62" s="5" t="str" cm="1">
        <f t="array" ref="DF62">_xlfn.IFS(DE62=CW62,CP62,DE62=CX62,CQ62,DE62=CY62,CR62,DE62=CZ62,CS62,DE62=DA62,CT62,DE62=DB62,CU62,TRUE,"----- ")</f>
        <v>Resistant</v>
      </c>
      <c r="DG62" s="5"/>
      <c r="DH62" s="5">
        <f t="shared" si="80"/>
        <v>-2.423265306122455E-3</v>
      </c>
      <c r="DI62" s="5">
        <f t="shared" si="167"/>
        <v>-3.7194805194805478E-4</v>
      </c>
      <c r="DJ62" s="5">
        <f t="shared" si="168"/>
        <v>-1.6402721088435472E-3</v>
      </c>
      <c r="DK62" s="5">
        <f t="shared" si="169"/>
        <v>7.6471243042669956E-4</v>
      </c>
      <c r="DL62" s="5">
        <f t="shared" si="170"/>
        <v>-2.3081014223875058E-4</v>
      </c>
      <c r="DM62" s="5">
        <f t="shared" si="171"/>
        <v>1.5802844774273381E-3</v>
      </c>
      <c r="DO62" s="5">
        <f t="shared" si="130"/>
        <v>-1.9079214597220278</v>
      </c>
      <c r="DP62" s="5">
        <f t="shared" si="131"/>
        <v>-0.29295343676527091</v>
      </c>
      <c r="DQ62" s="5">
        <f t="shared" si="132"/>
        <v>-1.2917022253843653</v>
      </c>
      <c r="DR62" s="5">
        <f t="shared" si="133"/>
        <v>0.60228527619529781</v>
      </c>
      <c r="DS62" s="5">
        <f t="shared" si="134"/>
        <v>-0.18179147971962978</v>
      </c>
      <c r="DT62" s="5">
        <f t="shared" si="135"/>
        <v>1.2444775446344229</v>
      </c>
      <c r="DV62" t="str" cm="1">
        <f t="array" ref="DV62">_xlfn.IFS(DO62&gt;3,"Strong + Slope",DO62&gt;1.5,"Moderate + Slope",DO62&gt;0.5,"Sideway + Slope",DO62&gt;=-0.5,"Sideway Flat",DO62&gt;=-1.5,"Sideway - Slope",DO62&gt;=-3,"Moderate - Slope",TRUE,"Strong - Slope")</f>
        <v>Moderate - Slope</v>
      </c>
      <c r="DW62" t="str" cm="1">
        <f t="array" ref="DW62">_xlfn.IFS(DP62&gt;3,"Strong + Slope",DP62&gt;1.5,"Moderate + Slope",DP62&gt;0.5,"Sideway + Slope",DP62&gt;=-0.5,"Sideway Flat",DP62&gt;=-1.5,"Sideway - Slope",DP62&gt;=-3,"Moderate - Slope",TRUE,"Strong - Slope")</f>
        <v>Sideway Flat</v>
      </c>
      <c r="DX62" t="str" cm="1">
        <f t="array" ref="DX62">_xlfn.IFS(DQ62&gt;3,"Strong + Slope",DQ62&gt;1.5,"Moderate + Slope",DQ62&gt;0.5,"Sideway + Slope",DQ62&gt;=-0.5,"Sideway Flat",DQ62&gt;=-1.5,"Sideway - Slope",DQ62&gt;=-3,"Moderate - Slope",TRUE,"Strong - Slope")</f>
        <v>Sideway - Slope</v>
      </c>
      <c r="DY62" t="str" cm="1">
        <f t="array" ref="DY62">_xlfn.IFS(DR62&gt;3,"Strong + Slope",DR62&gt;1.5,"Moderate + Slope",DR62&gt;0.5,"Sideway + Slope",DR62&gt;=-0.5,"Sideway Flat",DR62&gt;=-1.5,"Sideway - Slope",DR62&gt;=-3,"Moderate - Slope",TRUE,"Strong - Slope")</f>
        <v>Sideway + Slope</v>
      </c>
      <c r="DZ62" t="str" cm="1">
        <f t="array" ref="DZ62">_xlfn.IFS(DS62&gt;3,"Strong + Slope",DS62&gt;1.5,"Moderate + Slope",DS62&gt;0.5,"Sideway + Slope",DS62&gt;=-0.5,"Sideway Flat",DS62&gt;=-1.5,"Sideway - Slope",DS62&gt;=-3,"Moderate - Slope",TRUE,"Strong - Slope")</f>
        <v>Sideway Flat</v>
      </c>
      <c r="EA62" t="str" cm="1">
        <f t="array" ref="EA62">_xlfn.IFS(DT62&gt;3,"Strong + Slope",DT62&gt;1.5,"Moderate + Slope",DT62&gt;0.5,"Sideway + Slope",DT62&gt;=-0.5,"Sideway Flat",DT62&gt;=-1.5,"Sideway - Slope",DT62&gt;=-3,"Moderate - Slope",TRUE,"Strong - Slope")</f>
        <v>Sideway + Slope</v>
      </c>
      <c r="EB62" s="5"/>
      <c r="EC62" s="5">
        <f t="shared" si="136"/>
        <v>2</v>
      </c>
      <c r="ED62" s="5">
        <f t="shared" si="137"/>
        <v>3</v>
      </c>
      <c r="EE62" s="5">
        <f t="shared" si="138"/>
        <v>1</v>
      </c>
      <c r="EF62" s="5">
        <f t="shared" si="139"/>
        <v>5</v>
      </c>
      <c r="EG62" s="5">
        <f t="shared" si="140"/>
        <v>6</v>
      </c>
      <c r="EH62" s="5">
        <f t="shared" si="141"/>
        <v>4</v>
      </c>
      <c r="EI62" s="5"/>
      <c r="EJ62" s="5" t="str">
        <f t="shared" si="142"/>
        <v>RES</v>
      </c>
      <c r="EK62" s="5" t="str">
        <f t="shared" si="143"/>
        <v>RES</v>
      </c>
      <c r="EL62" s="5" t="str">
        <f t="shared" si="144"/>
        <v>RES</v>
      </c>
      <c r="EM62" s="5" t="str">
        <f t="shared" si="145"/>
        <v>SUP</v>
      </c>
      <c r="EN62" s="5" t="str">
        <f t="shared" si="146"/>
        <v>SUP</v>
      </c>
      <c r="EO62" s="5" t="str">
        <f t="shared" si="147"/>
        <v>RES</v>
      </c>
      <c r="EP62" s="5"/>
      <c r="EQ62" s="8">
        <f t="shared" si="148"/>
        <v>5.6932329055785517E-4</v>
      </c>
      <c r="ER62" s="8">
        <f t="shared" si="149"/>
        <v>5.0388383187293089E-4</v>
      </c>
      <c r="ES62" s="8">
        <f t="shared" si="150"/>
        <v>2.381996296126667E-3</v>
      </c>
      <c r="ET62" s="8">
        <f t="shared" si="151"/>
        <v>-1.3676846865121081E-3</v>
      </c>
      <c r="EU62" s="8">
        <f t="shared" si="152"/>
        <v>-1.4592999286708905E-3</v>
      </c>
      <c r="EV62" s="8">
        <f t="shared" si="153"/>
        <v>2.9447756408169408E-4</v>
      </c>
      <c r="EW62" s="8"/>
      <c r="EX62" s="8">
        <f t="shared" si="154"/>
        <v>0.37989778534921448</v>
      </c>
      <c r="EY62" s="9">
        <f t="shared" si="54"/>
        <v>4</v>
      </c>
      <c r="EZ62" s="10">
        <f t="shared" si="55"/>
        <v>2</v>
      </c>
      <c r="FA62" s="8">
        <f t="shared" si="86"/>
        <v>2.381996296126667E-3</v>
      </c>
      <c r="FB62" s="8">
        <f t="shared" si="87"/>
        <v>5.6932329055785517E-4</v>
      </c>
      <c r="FC62" s="8">
        <f t="shared" si="88"/>
        <v>5.0388383187293089E-4</v>
      </c>
      <c r="FD62" s="8">
        <f t="shared" si="89"/>
        <v>2.9447756408169408E-4</v>
      </c>
      <c r="FE62" s="8">
        <f t="shared" si="90"/>
        <v>-1.3676846865121081E-3</v>
      </c>
      <c r="FF62" s="8">
        <f t="shared" si="91"/>
        <v>-1.4592999286708905E-3</v>
      </c>
      <c r="FG62" s="5"/>
      <c r="FH62" s="5" t="str">
        <f t="shared" si="155"/>
        <v>Flat Momentum</v>
      </c>
      <c r="FI62" s="5" t="str">
        <f t="shared" si="92"/>
        <v>-----</v>
      </c>
      <c r="FJ62" s="5"/>
      <c r="FK62" s="5" t="str">
        <f t="shared" si="93"/>
        <v>-----</v>
      </c>
      <c r="FL62" s="5" t="str">
        <f t="shared" si="94"/>
        <v>-----</v>
      </c>
      <c r="FM62" s="5"/>
      <c r="FN62" s="5"/>
      <c r="FO62" s="8" t="str">
        <f t="shared" si="174"/>
        <v>Bearish</v>
      </c>
      <c r="FP62" s="8"/>
      <c r="FQ62" s="14">
        <f t="shared" si="156"/>
        <v>-2.4863252113383567E-4</v>
      </c>
      <c r="FR62" s="14">
        <f t="shared" si="58"/>
        <v>0.58161609288259963</v>
      </c>
      <c r="FS62" s="14" t="str">
        <f t="shared" si="59"/>
        <v>-----</v>
      </c>
      <c r="FT62" s="14" t="str">
        <f t="shared" si="157"/>
        <v>Bullish</v>
      </c>
      <c r="FU62" s="5" t="str">
        <f t="shared" si="172"/>
        <v>-----</v>
      </c>
      <c r="FV62" s="5" t="str">
        <f t="shared" si="173"/>
        <v>TEMA crossunder</v>
      </c>
      <c r="FW62" s="5"/>
      <c r="FX62" s="15" t="str">
        <f t="shared" si="116"/>
        <v>YES</v>
      </c>
      <c r="FY62" s="15" t="str">
        <f t="shared" si="117"/>
        <v>-----</v>
      </c>
      <c r="FZ62" s="15" t="str">
        <f t="shared" si="118"/>
        <v>YES</v>
      </c>
      <c r="GA62" s="15" t="str">
        <f t="shared" si="119"/>
        <v>YES</v>
      </c>
      <c r="GB62" s="16" t="str">
        <f t="shared" si="107"/>
        <v>-----</v>
      </c>
      <c r="GC62" s="16" t="str">
        <f t="shared" si="108"/>
        <v>-----</v>
      </c>
      <c r="GD62" s="16" t="str">
        <f t="shared" si="109"/>
        <v>-----</v>
      </c>
      <c r="GE62" s="16" t="str">
        <f t="shared" si="112"/>
        <v>YES</v>
      </c>
      <c r="GF62" s="15" t="str">
        <f t="shared" si="110"/>
        <v>-----</v>
      </c>
      <c r="GG62" s="16" t="str">
        <f t="shared" si="120"/>
        <v>-----</v>
      </c>
      <c r="GH62" s="14"/>
      <c r="GI62" s="5" t="str">
        <f t="shared" si="158"/>
        <v>-----</v>
      </c>
      <c r="GJ62" s="5" t="str">
        <f t="shared" si="159"/>
        <v>Bearish Trigger</v>
      </c>
      <c r="GK62" s="5"/>
      <c r="GL62" s="5" t="str">
        <f t="shared" si="160"/>
        <v>-----</v>
      </c>
      <c r="GM62" s="5" t="str">
        <f t="shared" si="161"/>
        <v>-----</v>
      </c>
      <c r="GN62" s="5"/>
      <c r="GO62" s="12">
        <f t="shared" si="162"/>
        <v>4.2000000000001592E-2</v>
      </c>
      <c r="GP62" s="5">
        <f t="shared" si="97"/>
        <v>-0.77848047267509102</v>
      </c>
      <c r="GQ62" s="13" t="str">
        <f t="shared" si="98"/>
        <v>-----</v>
      </c>
      <c r="GR62" s="5"/>
      <c r="GS62">
        <f t="shared" si="99"/>
        <v>-0.8482277939926145</v>
      </c>
      <c r="GT62" s="5" t="str">
        <f t="shared" si="100"/>
        <v>-----</v>
      </c>
    </row>
    <row r="63" spans="1:202" x14ac:dyDescent="0.55000000000000004">
      <c r="A63">
        <v>59</v>
      </c>
      <c r="B63" t="s">
        <v>62</v>
      </c>
      <c r="C63" t="s">
        <v>4</v>
      </c>
      <c r="D63" t="s">
        <v>103</v>
      </c>
      <c r="E63">
        <v>152.81399999999999</v>
      </c>
      <c r="F63">
        <v>152.82300000000001</v>
      </c>
      <c r="G63">
        <v>152.80500000000001</v>
      </c>
      <c r="H63">
        <v>152.81200000000001</v>
      </c>
      <c r="I63">
        <v>144</v>
      </c>
      <c r="J63">
        <v>152.898</v>
      </c>
      <c r="K63">
        <v>152.88900000000001</v>
      </c>
      <c r="L63">
        <v>153.17599999999999</v>
      </c>
      <c r="M63">
        <v>152.60400000000001</v>
      </c>
      <c r="N63">
        <v>152.59</v>
      </c>
      <c r="O63">
        <v>152.86000000000001</v>
      </c>
      <c r="P63">
        <v>0</v>
      </c>
      <c r="Q63">
        <v>0</v>
      </c>
      <c r="R63">
        <v>0</v>
      </c>
      <c r="S63">
        <v>0</v>
      </c>
      <c r="T63">
        <v>0</v>
      </c>
      <c r="U63">
        <v>1.06657</v>
      </c>
      <c r="V63">
        <v>3</v>
      </c>
      <c r="W63">
        <v>153.12273999999999</v>
      </c>
      <c r="X63">
        <v>153.03757999999999</v>
      </c>
      <c r="Y63">
        <v>152.95241999999999</v>
      </c>
      <c r="Z63">
        <v>152.86725999999999</v>
      </c>
      <c r="AA63">
        <v>152.78209000000001</v>
      </c>
      <c r="AB63">
        <v>152.71431999999999</v>
      </c>
      <c r="AC63">
        <v>152.62916000000001</v>
      </c>
      <c r="AD63">
        <v>152.54400000000001</v>
      </c>
      <c r="AE63">
        <v>152.45884000000001</v>
      </c>
      <c r="AF63">
        <v>152.37368000000001</v>
      </c>
      <c r="AG63">
        <v>152.83799999999999</v>
      </c>
      <c r="AH63">
        <v>152.804</v>
      </c>
      <c r="AI63">
        <v>152.834</v>
      </c>
      <c r="AJ63">
        <v>152.97200000000001</v>
      </c>
      <c r="AK63">
        <v>152.85400000000001</v>
      </c>
      <c r="AL63">
        <v>152.827</v>
      </c>
      <c r="AM63" s="11">
        <f t="shared" si="0"/>
        <v>1.8000000000000682E-2</v>
      </c>
      <c r="AN63" s="11">
        <f t="shared" si="66"/>
        <v>1.0000000000019327E-2</v>
      </c>
      <c r="AO63" s="11">
        <f t="shared" si="163"/>
        <v>7.9999999999813554E-3</v>
      </c>
      <c r="AP63" s="11">
        <f t="shared" si="164"/>
        <v>1.8000000000000682E-2</v>
      </c>
      <c r="AR63" s="5" t="str">
        <f t="shared" si="121"/>
        <v>------</v>
      </c>
      <c r="AS63" s="5" t="str">
        <f t="shared" si="122"/>
        <v>------</v>
      </c>
      <c r="AT63" t="str">
        <f t="shared" si="123"/>
        <v/>
      </c>
      <c r="AV63" s="2">
        <f t="shared" si="4"/>
        <v>152.9209347</v>
      </c>
      <c r="AW63" s="2">
        <f t="shared" si="5"/>
        <v>152.87506529999999</v>
      </c>
      <c r="AX63" s="2">
        <f t="shared" si="6"/>
        <v>152.91193335000003</v>
      </c>
      <c r="AY63" s="2">
        <f t="shared" si="7"/>
        <v>152.86606665000002</v>
      </c>
      <c r="AZ63" s="2">
        <f t="shared" si="8"/>
        <v>153.19897639999999</v>
      </c>
      <c r="BA63" s="2">
        <f t="shared" si="9"/>
        <v>153.15302359999998</v>
      </c>
      <c r="BB63" s="2">
        <f t="shared" si="10"/>
        <v>152.62689060000002</v>
      </c>
      <c r="BC63" s="2">
        <f t="shared" si="11"/>
        <v>152.5811094</v>
      </c>
      <c r="BD63" s="2">
        <f t="shared" si="12"/>
        <v>152.61288850000003</v>
      </c>
      <c r="BE63" s="2">
        <f t="shared" si="13"/>
        <v>152.56711150000001</v>
      </c>
      <c r="BF63" s="2">
        <f t="shared" si="14"/>
        <v>152.88292900000002</v>
      </c>
      <c r="BG63" s="2">
        <f t="shared" si="15"/>
        <v>152.83707100000001</v>
      </c>
      <c r="BI63" s="5" t="str">
        <f t="shared" si="69"/>
        <v>-----</v>
      </c>
      <c r="BJ63" s="5" t="str">
        <f t="shared" si="70"/>
        <v>-----</v>
      </c>
      <c r="BK63" s="5" t="str">
        <f t="shared" si="71"/>
        <v>-----</v>
      </c>
      <c r="BL63" s="5" t="str">
        <f t="shared" si="72"/>
        <v>-----</v>
      </c>
      <c r="BM63" s="5" t="str">
        <f t="shared" si="73"/>
        <v>-----</v>
      </c>
      <c r="BN63" s="5" t="str">
        <f t="shared" si="74"/>
        <v>-----</v>
      </c>
      <c r="BO63" s="5"/>
      <c r="BP63" s="5">
        <f t="shared" si="175"/>
        <v>26</v>
      </c>
      <c r="BQ63" s="5">
        <f t="shared" si="175"/>
        <v>22</v>
      </c>
      <c r="BR63" s="5">
        <f t="shared" si="175"/>
        <v>57</v>
      </c>
      <c r="BS63" s="5">
        <f t="shared" si="175"/>
        <v>59</v>
      </c>
      <c r="BT63" s="5">
        <f t="shared" si="175"/>
        <v>59</v>
      </c>
      <c r="BU63" s="5">
        <f t="shared" si="175"/>
        <v>1</v>
      </c>
      <c r="BV63" s="5">
        <f t="shared" si="176"/>
        <v>1</v>
      </c>
      <c r="BW63" s="5">
        <f t="shared" si="176"/>
        <v>4</v>
      </c>
      <c r="BX63" s="5">
        <f t="shared" si="176"/>
        <v>2</v>
      </c>
      <c r="BY63" s="5">
        <f t="shared" si="176"/>
        <v>0</v>
      </c>
      <c r="BZ63" s="5">
        <f t="shared" si="176"/>
        <v>0</v>
      </c>
      <c r="CA63" s="5">
        <f t="shared" si="176"/>
        <v>3</v>
      </c>
      <c r="CB63" s="5" t="str">
        <f t="shared" si="102"/>
        <v>-----</v>
      </c>
      <c r="CC63" s="5" t="str">
        <f t="shared" si="101"/>
        <v>-----</v>
      </c>
      <c r="CD63" s="5" t="str">
        <f t="shared" si="101"/>
        <v>-----</v>
      </c>
      <c r="CE63" s="5" t="str">
        <f t="shared" si="101"/>
        <v>-----</v>
      </c>
      <c r="CF63" s="5" t="str">
        <f t="shared" si="101"/>
        <v>-----</v>
      </c>
      <c r="CG63" s="5" t="str">
        <f t="shared" si="101"/>
        <v>-----</v>
      </c>
      <c r="CH63" s="5"/>
      <c r="CI63" s="17" t="str">
        <f t="shared" si="124"/>
        <v>-----</v>
      </c>
      <c r="CJ63" s="17" t="str">
        <f t="shared" si="125"/>
        <v>-----</v>
      </c>
      <c r="CK63" s="17" t="str">
        <f t="shared" si="126"/>
        <v>-----</v>
      </c>
      <c r="CL63" s="17" t="str">
        <f t="shared" si="127"/>
        <v>-----</v>
      </c>
      <c r="CM63" s="17" t="str">
        <f t="shared" si="128"/>
        <v>-----</v>
      </c>
      <c r="CN63" s="17" t="str">
        <f t="shared" si="129"/>
        <v>-----</v>
      </c>
      <c r="CO63" s="5"/>
      <c r="CP63" s="5" t="str">
        <f t="shared" si="177"/>
        <v>-----</v>
      </c>
      <c r="CQ63" s="5" t="str">
        <f t="shared" si="177"/>
        <v>-----</v>
      </c>
      <c r="CR63" s="5" t="str">
        <f t="shared" si="177"/>
        <v>-----</v>
      </c>
      <c r="CS63" s="5" t="str">
        <f t="shared" si="177"/>
        <v>-----</v>
      </c>
      <c r="CT63" s="5" t="str">
        <f t="shared" si="177"/>
        <v>-----</v>
      </c>
      <c r="CU63" s="5" t="str">
        <f t="shared" si="177"/>
        <v>-----</v>
      </c>
      <c r="CV63" s="5"/>
      <c r="CW63" s="17" t="str">
        <f t="shared" si="178"/>
        <v/>
      </c>
      <c r="CX63" s="17" t="str">
        <f t="shared" si="178"/>
        <v/>
      </c>
      <c r="CY63" s="17" t="str">
        <f t="shared" si="178"/>
        <v/>
      </c>
      <c r="CZ63" s="17" t="str">
        <f t="shared" si="178"/>
        <v/>
      </c>
      <c r="DA63" s="17" t="str">
        <f t="shared" si="178"/>
        <v/>
      </c>
      <c r="DB63" s="17" t="str">
        <f t="shared" si="178"/>
        <v/>
      </c>
      <c r="DC63" s="8"/>
      <c r="DD63" s="5">
        <f t="shared" si="27"/>
        <v>0</v>
      </c>
      <c r="DE63" s="17" t="str">
        <f t="shared" si="79"/>
        <v>-----</v>
      </c>
      <c r="DF63" s="5" t="str" cm="1">
        <f t="array" ref="DF63">_xlfn.IFS(DE63=CW63,CP63,DE63=CX63,CQ63,DE63=CY63,CR63,DE63=CZ63,CS63,DE63=DA63,CT63,DE63=DB63,CU63,TRUE,"----- ")</f>
        <v xml:space="preserve">----- </v>
      </c>
      <c r="DG63" s="5"/>
      <c r="DH63" s="5">
        <f t="shared" si="80"/>
        <v>-2.423265306122455E-3</v>
      </c>
      <c r="DI63" s="5">
        <f t="shared" si="167"/>
        <v>-3.7194805194805478E-4</v>
      </c>
      <c r="DJ63" s="5">
        <f t="shared" si="168"/>
        <v>-1.6402721088435472E-3</v>
      </c>
      <c r="DK63" s="5">
        <f t="shared" si="169"/>
        <v>7.6471243042669956E-4</v>
      </c>
      <c r="DL63" s="5">
        <f t="shared" si="170"/>
        <v>-2.3081014223875058E-4</v>
      </c>
      <c r="DM63" s="5">
        <f t="shared" si="171"/>
        <v>1.5802844774273381E-3</v>
      </c>
      <c r="DO63" s="5">
        <f t="shared" si="130"/>
        <v>-1.9079214597220278</v>
      </c>
      <c r="DP63" s="5">
        <f t="shared" si="131"/>
        <v>-0.29295343676527091</v>
      </c>
      <c r="DQ63" s="5">
        <f t="shared" si="132"/>
        <v>-1.2917022253843653</v>
      </c>
      <c r="DR63" s="5">
        <f t="shared" si="133"/>
        <v>0.60228527619529781</v>
      </c>
      <c r="DS63" s="5">
        <f t="shared" si="134"/>
        <v>-0.18179147971962978</v>
      </c>
      <c r="DT63" s="5">
        <f t="shared" si="135"/>
        <v>1.2444775446344229</v>
      </c>
      <c r="DV63" t="str" cm="1">
        <f t="array" ref="DV63">_xlfn.IFS(DO63&gt;3,"Strong + Slope",DO63&gt;1.5,"Moderate + Slope",DO63&gt;0.5,"Sideway + Slope",DO63&gt;=-0.5,"Sideway Flat",DO63&gt;=-1.5,"Sideway - Slope",DO63&gt;=-3,"Moderate - Slope",TRUE,"Strong - Slope")</f>
        <v>Moderate - Slope</v>
      </c>
      <c r="DW63" t="str" cm="1">
        <f t="array" ref="DW63">_xlfn.IFS(DP63&gt;3,"Strong + Slope",DP63&gt;1.5,"Moderate + Slope",DP63&gt;0.5,"Sideway + Slope",DP63&gt;=-0.5,"Sideway Flat",DP63&gt;=-1.5,"Sideway - Slope",DP63&gt;=-3,"Moderate - Slope",TRUE,"Strong - Slope")</f>
        <v>Sideway Flat</v>
      </c>
      <c r="DX63" t="str" cm="1">
        <f t="array" ref="DX63">_xlfn.IFS(DQ63&gt;3,"Strong + Slope",DQ63&gt;1.5,"Moderate + Slope",DQ63&gt;0.5,"Sideway + Slope",DQ63&gt;=-0.5,"Sideway Flat",DQ63&gt;=-1.5,"Sideway - Slope",DQ63&gt;=-3,"Moderate - Slope",TRUE,"Strong - Slope")</f>
        <v>Sideway - Slope</v>
      </c>
      <c r="DY63" t="str" cm="1">
        <f t="array" ref="DY63">_xlfn.IFS(DR63&gt;3,"Strong + Slope",DR63&gt;1.5,"Moderate + Slope",DR63&gt;0.5,"Sideway + Slope",DR63&gt;=-0.5,"Sideway Flat",DR63&gt;=-1.5,"Sideway - Slope",DR63&gt;=-3,"Moderate - Slope",TRUE,"Strong - Slope")</f>
        <v>Sideway + Slope</v>
      </c>
      <c r="DZ63" t="str" cm="1">
        <f t="array" ref="DZ63">_xlfn.IFS(DS63&gt;3,"Strong + Slope",DS63&gt;1.5,"Moderate + Slope",DS63&gt;0.5,"Sideway + Slope",DS63&gt;=-0.5,"Sideway Flat",DS63&gt;=-1.5,"Sideway - Slope",DS63&gt;=-3,"Moderate - Slope",TRUE,"Strong - Slope")</f>
        <v>Sideway Flat</v>
      </c>
      <c r="EA63" t="str" cm="1">
        <f t="array" ref="EA63">_xlfn.IFS(DT63&gt;3,"Strong + Slope",DT63&gt;1.5,"Moderate + Slope",DT63&gt;0.5,"Sideway + Slope",DT63&gt;=-0.5,"Sideway Flat",DT63&gt;=-1.5,"Sideway - Slope",DT63&gt;=-3,"Moderate - Slope",TRUE,"Strong - Slope")</f>
        <v>Sideway + Slope</v>
      </c>
      <c r="EB63" s="5"/>
      <c r="EC63" s="5">
        <f t="shared" si="136"/>
        <v>2</v>
      </c>
      <c r="ED63" s="5">
        <f t="shared" si="137"/>
        <v>3</v>
      </c>
      <c r="EE63" s="5">
        <f t="shared" si="138"/>
        <v>1</v>
      </c>
      <c r="EF63" s="5">
        <f t="shared" si="139"/>
        <v>5</v>
      </c>
      <c r="EG63" s="5">
        <f t="shared" si="140"/>
        <v>6</v>
      </c>
      <c r="EH63" s="5">
        <f t="shared" si="141"/>
        <v>4</v>
      </c>
      <c r="EI63" s="5"/>
      <c r="EJ63" s="5" t="str">
        <f t="shared" si="142"/>
        <v>RES</v>
      </c>
      <c r="EK63" s="5" t="str">
        <f t="shared" si="143"/>
        <v>RES</v>
      </c>
      <c r="EL63" s="5" t="str">
        <f t="shared" si="144"/>
        <v>RES</v>
      </c>
      <c r="EM63" s="5" t="str">
        <f t="shared" si="145"/>
        <v>SUP</v>
      </c>
      <c r="EN63" s="5" t="str">
        <f t="shared" si="146"/>
        <v>SUP</v>
      </c>
      <c r="EO63" s="5" t="str">
        <f t="shared" si="147"/>
        <v>RES</v>
      </c>
      <c r="EP63" s="5"/>
      <c r="EQ63" s="8">
        <f t="shared" si="148"/>
        <v>5.6278302751082573E-4</v>
      </c>
      <c r="ER63" s="8">
        <f t="shared" si="149"/>
        <v>5.0388712928302868E-4</v>
      </c>
      <c r="ES63" s="8">
        <f t="shared" si="150"/>
        <v>2.3820118838833067E-3</v>
      </c>
      <c r="ET63" s="8">
        <f t="shared" si="151"/>
        <v>-1.3611496479333978E-3</v>
      </c>
      <c r="EU63" s="8">
        <f t="shared" si="152"/>
        <v>-1.4527654896212888E-3</v>
      </c>
      <c r="EV63" s="8">
        <f t="shared" si="153"/>
        <v>3.1411145721541381E-4</v>
      </c>
      <c r="EW63" s="8"/>
      <c r="EX63" s="8">
        <f t="shared" si="154"/>
        <v>0.37883959044371052</v>
      </c>
      <c r="EY63" s="9">
        <f t="shared" si="54"/>
        <v>4</v>
      </c>
      <c r="EZ63" s="10">
        <f t="shared" si="55"/>
        <v>2</v>
      </c>
      <c r="FA63" s="8">
        <f t="shared" si="86"/>
        <v>2.3820118838833067E-3</v>
      </c>
      <c r="FB63" s="8">
        <f t="shared" si="87"/>
        <v>5.6278302751082573E-4</v>
      </c>
      <c r="FC63" s="8">
        <f t="shared" si="88"/>
        <v>5.0388712928302868E-4</v>
      </c>
      <c r="FD63" s="8">
        <f t="shared" si="89"/>
        <v>3.1411145721541381E-4</v>
      </c>
      <c r="FE63" s="8">
        <f t="shared" si="90"/>
        <v>-1.3611496479333978E-3</v>
      </c>
      <c r="FF63" s="8">
        <f t="shared" si="91"/>
        <v>-1.4527654896212888E-3</v>
      </c>
      <c r="FG63" s="5"/>
      <c r="FH63" s="5" t="str">
        <f t="shared" si="155"/>
        <v>Flat Momentum</v>
      </c>
      <c r="FI63" s="5" t="str">
        <f t="shared" si="92"/>
        <v>-----</v>
      </c>
      <c r="FJ63" s="5"/>
      <c r="FK63" s="5" t="str">
        <f t="shared" si="93"/>
        <v>-----</v>
      </c>
      <c r="FL63" s="5" t="str">
        <f t="shared" si="94"/>
        <v>-----</v>
      </c>
      <c r="FM63" s="5"/>
      <c r="FN63" s="5"/>
      <c r="FO63" s="8" t="str">
        <f t="shared" si="174"/>
        <v>Bearish</v>
      </c>
      <c r="FP63" s="8"/>
      <c r="FQ63" s="14">
        <f t="shared" si="156"/>
        <v>-1.9629140112802868E-4</v>
      </c>
      <c r="FR63" s="14">
        <f t="shared" si="58"/>
        <v>0.73257064539139549</v>
      </c>
      <c r="FS63" s="14" t="str">
        <f t="shared" si="59"/>
        <v>-----</v>
      </c>
      <c r="FT63" s="14" t="str">
        <f t="shared" si="157"/>
        <v>Bullish</v>
      </c>
      <c r="FU63" s="5" t="str">
        <f t="shared" si="172"/>
        <v>-----</v>
      </c>
      <c r="FV63" s="5" t="str">
        <f t="shared" si="173"/>
        <v>-----</v>
      </c>
      <c r="FW63" s="5"/>
      <c r="FX63" s="15" t="str">
        <f t="shared" si="116"/>
        <v>YES</v>
      </c>
      <c r="FY63" s="15" t="str">
        <f t="shared" si="117"/>
        <v>-----</v>
      </c>
      <c r="FZ63" s="15" t="str">
        <f t="shared" si="118"/>
        <v>YES</v>
      </c>
      <c r="GA63" s="15" t="str">
        <f t="shared" si="119"/>
        <v>YES</v>
      </c>
      <c r="GB63" s="16" t="str">
        <f t="shared" si="107"/>
        <v>-----</v>
      </c>
      <c r="GC63" s="16" t="str">
        <f t="shared" si="108"/>
        <v>-----</v>
      </c>
      <c r="GD63" s="16" t="str">
        <f t="shared" si="109"/>
        <v>-----</v>
      </c>
      <c r="GE63" s="16" t="str">
        <f t="shared" si="112"/>
        <v>YES</v>
      </c>
      <c r="GF63" s="15" t="str">
        <f t="shared" si="110"/>
        <v>-----</v>
      </c>
      <c r="GG63" s="16" t="str">
        <f t="shared" si="120"/>
        <v>-----</v>
      </c>
      <c r="GH63" s="14"/>
      <c r="GI63" s="5" t="str">
        <f t="shared" si="158"/>
        <v>-----</v>
      </c>
      <c r="GJ63" s="5" t="str">
        <f t="shared" si="159"/>
        <v>Bearish Trigger</v>
      </c>
      <c r="GK63" s="5"/>
      <c r="GL63" s="5" t="str">
        <f t="shared" si="160"/>
        <v>-----</v>
      </c>
      <c r="GM63" s="5" t="str">
        <f t="shared" si="161"/>
        <v>Bearish Spike</v>
      </c>
      <c r="GN63" s="5"/>
      <c r="GO63" s="12">
        <f t="shared" si="162"/>
        <v>2.7000000000015234E-2</v>
      </c>
      <c r="GP63" s="5">
        <f t="shared" si="97"/>
        <v>-1.1241872615271966</v>
      </c>
      <c r="GQ63" s="13" t="str">
        <f t="shared" si="98"/>
        <v>-----</v>
      </c>
      <c r="GR63" s="5"/>
      <c r="GS63">
        <f t="shared" si="99"/>
        <v>-0.93211845493693901</v>
      </c>
      <c r="GT63" s="5" t="str">
        <f t="shared" si="100"/>
        <v>-----</v>
      </c>
    </row>
    <row r="64" spans="1:202" x14ac:dyDescent="0.55000000000000004">
      <c r="A64">
        <v>60</v>
      </c>
      <c r="B64" t="s">
        <v>63</v>
      </c>
      <c r="C64" t="s">
        <v>4</v>
      </c>
      <c r="D64" t="s">
        <v>103</v>
      </c>
      <c r="E64">
        <v>152.81200000000001</v>
      </c>
      <c r="F64">
        <v>152.85900000000001</v>
      </c>
      <c r="G64">
        <v>152.81100000000001</v>
      </c>
      <c r="H64">
        <v>152.84700000000001</v>
      </c>
      <c r="I64">
        <v>129</v>
      </c>
      <c r="J64">
        <v>152.89500000000001</v>
      </c>
      <c r="K64">
        <v>152.88900000000001</v>
      </c>
      <c r="L64">
        <v>153.17400000000001</v>
      </c>
      <c r="M64">
        <v>152.60499999999999</v>
      </c>
      <c r="N64">
        <v>152.589</v>
      </c>
      <c r="O64">
        <v>152.86099999999999</v>
      </c>
      <c r="P64">
        <v>0</v>
      </c>
      <c r="Q64">
        <v>0</v>
      </c>
      <c r="R64">
        <v>0</v>
      </c>
      <c r="S64">
        <v>0</v>
      </c>
      <c r="T64">
        <v>0</v>
      </c>
      <c r="U64">
        <v>0.27628999999999998</v>
      </c>
      <c r="V64">
        <v>0</v>
      </c>
      <c r="W64">
        <v>153.12142</v>
      </c>
      <c r="X64">
        <v>153.03654</v>
      </c>
      <c r="Y64">
        <v>152.95166</v>
      </c>
      <c r="Z64">
        <v>152.86677</v>
      </c>
      <c r="AA64">
        <v>152.78189</v>
      </c>
      <c r="AB64">
        <v>152.71713</v>
      </c>
      <c r="AC64">
        <v>152.63225</v>
      </c>
      <c r="AD64">
        <v>152.54737</v>
      </c>
      <c r="AE64">
        <v>152.46249</v>
      </c>
      <c r="AF64">
        <v>152.3776</v>
      </c>
      <c r="AG64">
        <v>152.84299999999999</v>
      </c>
      <c r="AH64">
        <v>152.81</v>
      </c>
      <c r="AI64">
        <v>152.834</v>
      </c>
      <c r="AJ64">
        <v>152.96799999999999</v>
      </c>
      <c r="AK64">
        <v>152.86000000000001</v>
      </c>
      <c r="AL64">
        <v>152.82599999999999</v>
      </c>
      <c r="AM64" s="11">
        <f t="shared" si="0"/>
        <v>4.8000000000001819E-2</v>
      </c>
      <c r="AN64" s="11">
        <f t="shared" si="66"/>
        <v>4.6999999999997044E-2</v>
      </c>
      <c r="AO64" s="11">
        <f t="shared" si="163"/>
        <v>1.0000000000047748E-3</v>
      </c>
      <c r="AP64" s="11">
        <f t="shared" si="164"/>
        <v>4.8000000000001819E-2</v>
      </c>
      <c r="AR64" s="5" t="str">
        <f t="shared" si="121"/>
        <v>------</v>
      </c>
      <c r="AS64" s="5" t="str">
        <f t="shared" si="122"/>
        <v>------</v>
      </c>
      <c r="AT64" t="str">
        <f t="shared" si="123"/>
        <v/>
      </c>
      <c r="AV64" s="2">
        <f t="shared" si="4"/>
        <v>152.91793425000003</v>
      </c>
      <c r="AW64" s="2">
        <f t="shared" si="5"/>
        <v>152.87206575000002</v>
      </c>
      <c r="AX64" s="2">
        <f t="shared" si="6"/>
        <v>152.91193335000003</v>
      </c>
      <c r="AY64" s="2">
        <f t="shared" si="7"/>
        <v>152.86606665000002</v>
      </c>
      <c r="AZ64" s="2">
        <f t="shared" si="8"/>
        <v>153.19697610000003</v>
      </c>
      <c r="BA64" s="2">
        <f t="shared" si="9"/>
        <v>153.15102390000001</v>
      </c>
      <c r="BB64" s="2">
        <f t="shared" si="10"/>
        <v>152.62789075000001</v>
      </c>
      <c r="BC64" s="2">
        <f t="shared" si="11"/>
        <v>152.58210925</v>
      </c>
      <c r="BD64" s="2">
        <f t="shared" si="12"/>
        <v>152.61188835000002</v>
      </c>
      <c r="BE64" s="2">
        <f t="shared" si="13"/>
        <v>152.56611165000001</v>
      </c>
      <c r="BF64" s="2">
        <f t="shared" si="14"/>
        <v>152.88392915</v>
      </c>
      <c r="BG64" s="2">
        <f t="shared" si="15"/>
        <v>152.83807084999998</v>
      </c>
      <c r="BI64" s="5" t="str">
        <f t="shared" si="69"/>
        <v>-----</v>
      </c>
      <c r="BJ64" s="5" t="str">
        <f t="shared" si="70"/>
        <v>-----</v>
      </c>
      <c r="BK64" s="5" t="str">
        <f t="shared" si="71"/>
        <v>-----</v>
      </c>
      <c r="BL64" s="5" t="str">
        <f t="shared" si="72"/>
        <v>-----</v>
      </c>
      <c r="BM64" s="5" t="str">
        <f t="shared" si="73"/>
        <v>-----</v>
      </c>
      <c r="BN64" s="5" t="str">
        <f t="shared" si="74"/>
        <v>TOUCH</v>
      </c>
      <c r="BO64" s="5"/>
      <c r="BP64" s="5">
        <f t="shared" si="175"/>
        <v>27</v>
      </c>
      <c r="BQ64" s="5">
        <f t="shared" si="175"/>
        <v>23</v>
      </c>
      <c r="BR64" s="5">
        <f t="shared" si="175"/>
        <v>58</v>
      </c>
      <c r="BS64" s="5">
        <f t="shared" si="175"/>
        <v>60</v>
      </c>
      <c r="BT64" s="5">
        <f t="shared" si="175"/>
        <v>60</v>
      </c>
      <c r="BU64" s="5">
        <f t="shared" si="175"/>
        <v>0</v>
      </c>
      <c r="BV64" s="5">
        <f t="shared" si="176"/>
        <v>1</v>
      </c>
      <c r="BW64" s="5">
        <f t="shared" si="176"/>
        <v>4</v>
      </c>
      <c r="BX64" s="5">
        <f t="shared" si="176"/>
        <v>2</v>
      </c>
      <c r="BY64" s="5">
        <f t="shared" si="176"/>
        <v>0</v>
      </c>
      <c r="BZ64" s="5">
        <f t="shared" si="176"/>
        <v>0</v>
      </c>
      <c r="CA64" s="5">
        <f t="shared" si="176"/>
        <v>4</v>
      </c>
      <c r="CB64" s="5" t="str">
        <f t="shared" si="102"/>
        <v>-----</v>
      </c>
      <c r="CC64" s="5" t="str">
        <f t="shared" si="101"/>
        <v>-----</v>
      </c>
      <c r="CD64" s="5" t="str">
        <f t="shared" si="101"/>
        <v>-----</v>
      </c>
      <c r="CE64" s="5" t="str">
        <f t="shared" si="101"/>
        <v>-----</v>
      </c>
      <c r="CF64" s="5" t="str">
        <f t="shared" si="101"/>
        <v>-----</v>
      </c>
      <c r="CG64" s="5">
        <f t="shared" si="101"/>
        <v>4</v>
      </c>
      <c r="CH64" s="5"/>
      <c r="CI64" s="17" t="str">
        <f t="shared" si="124"/>
        <v>-----</v>
      </c>
      <c r="CJ64" s="17" t="str">
        <f t="shared" si="125"/>
        <v>-----</v>
      </c>
      <c r="CK64" s="17" t="str">
        <f t="shared" si="126"/>
        <v>-----</v>
      </c>
      <c r="CL64" s="17" t="str">
        <f t="shared" si="127"/>
        <v>-----</v>
      </c>
      <c r="CM64" s="17" t="str">
        <f t="shared" si="128"/>
        <v>-----</v>
      </c>
      <c r="CN64" s="17">
        <f t="shared" si="129"/>
        <v>-1.7793943517312551E-3</v>
      </c>
      <c r="CO64" s="5"/>
      <c r="CP64" s="5" t="str">
        <f t="shared" si="177"/>
        <v>-----</v>
      </c>
      <c r="CQ64" s="5" t="str">
        <f t="shared" si="177"/>
        <v>-----</v>
      </c>
      <c r="CR64" s="5" t="str">
        <f t="shared" si="177"/>
        <v>-----</v>
      </c>
      <c r="CS64" s="5" t="str">
        <f t="shared" si="177"/>
        <v>-----</v>
      </c>
      <c r="CT64" s="5" t="str">
        <f t="shared" si="177"/>
        <v>-----</v>
      </c>
      <c r="CU64" s="5" t="str">
        <f t="shared" si="177"/>
        <v>Resistant</v>
      </c>
      <c r="CV64" s="5"/>
      <c r="CW64" s="17" t="str">
        <f t="shared" si="178"/>
        <v/>
      </c>
      <c r="CX64" s="17" t="str">
        <f t="shared" si="178"/>
        <v/>
      </c>
      <c r="CY64" s="17" t="str">
        <f t="shared" si="178"/>
        <v/>
      </c>
      <c r="CZ64" s="17" t="str">
        <f t="shared" si="178"/>
        <v/>
      </c>
      <c r="DA64" s="17" t="str">
        <f t="shared" si="178"/>
        <v/>
      </c>
      <c r="DB64" s="17">
        <f t="shared" si="178"/>
        <v>1.7793943517312551E-3</v>
      </c>
      <c r="DC64" s="8"/>
      <c r="DD64" s="5">
        <f t="shared" si="27"/>
        <v>1</v>
      </c>
      <c r="DE64" s="17">
        <f t="shared" si="79"/>
        <v>1.7793943517312551E-3</v>
      </c>
      <c r="DF64" s="5" t="str" cm="1">
        <f t="array" ref="DF64">_xlfn.IFS(DE64=CW64,CP64,DE64=CX64,CQ64,DE64=CY64,CR64,DE64=CZ64,CS64,DE64=DA64,CT64,DE64=DB64,CU64,TRUE,"----- ")</f>
        <v>Resistant</v>
      </c>
      <c r="DG64" s="5"/>
      <c r="DH64" s="5">
        <f t="shared" si="80"/>
        <v>-2.423265306122455E-3</v>
      </c>
      <c r="DI64" s="5">
        <f t="shared" si="167"/>
        <v>-3.7194805194805478E-4</v>
      </c>
      <c r="DJ64" s="5">
        <f t="shared" si="168"/>
        <v>-1.6402721088435472E-3</v>
      </c>
      <c r="DK64" s="5">
        <f t="shared" si="169"/>
        <v>7.6471243042669956E-4</v>
      </c>
      <c r="DL64" s="5">
        <f t="shared" si="170"/>
        <v>-2.3081014223875058E-4</v>
      </c>
      <c r="DM64" s="5">
        <f t="shared" si="171"/>
        <v>1.5802844774273381E-3</v>
      </c>
      <c r="DO64" s="5">
        <f t="shared" si="130"/>
        <v>-1.9079214597220278</v>
      </c>
      <c r="DP64" s="5">
        <f t="shared" si="131"/>
        <v>-0.29295343676527091</v>
      </c>
      <c r="DQ64" s="5">
        <f t="shared" si="132"/>
        <v>-1.2917022253843653</v>
      </c>
      <c r="DR64" s="5">
        <f t="shared" si="133"/>
        <v>0.60228527619529781</v>
      </c>
      <c r="DS64" s="5">
        <f t="shared" si="134"/>
        <v>-0.18179147971962978</v>
      </c>
      <c r="DT64" s="5">
        <f t="shared" si="135"/>
        <v>1.2444775446344229</v>
      </c>
      <c r="DV64" t="str" cm="1">
        <f t="array" ref="DV64">_xlfn.IFS(DO64&gt;3,"Strong + Slope",DO64&gt;1.5,"Moderate + Slope",DO64&gt;0.5,"Sideway + Slope",DO64&gt;=-0.5,"Sideway Flat",DO64&gt;=-1.5,"Sideway - Slope",DO64&gt;=-3,"Moderate - Slope",TRUE,"Strong - Slope")</f>
        <v>Moderate - Slope</v>
      </c>
      <c r="DW64" t="str" cm="1">
        <f t="array" ref="DW64">_xlfn.IFS(DP64&gt;3,"Strong + Slope",DP64&gt;1.5,"Moderate + Slope",DP64&gt;0.5,"Sideway + Slope",DP64&gt;=-0.5,"Sideway Flat",DP64&gt;=-1.5,"Sideway - Slope",DP64&gt;=-3,"Moderate - Slope",TRUE,"Strong - Slope")</f>
        <v>Sideway Flat</v>
      </c>
      <c r="DX64" t="str" cm="1">
        <f t="array" ref="DX64">_xlfn.IFS(DQ64&gt;3,"Strong + Slope",DQ64&gt;1.5,"Moderate + Slope",DQ64&gt;0.5,"Sideway + Slope",DQ64&gt;=-0.5,"Sideway Flat",DQ64&gt;=-1.5,"Sideway - Slope",DQ64&gt;=-3,"Moderate - Slope",TRUE,"Strong - Slope")</f>
        <v>Sideway - Slope</v>
      </c>
      <c r="DY64" t="str" cm="1">
        <f t="array" ref="DY64">_xlfn.IFS(DR64&gt;3,"Strong + Slope",DR64&gt;1.5,"Moderate + Slope",DR64&gt;0.5,"Sideway + Slope",DR64&gt;=-0.5,"Sideway Flat",DR64&gt;=-1.5,"Sideway - Slope",DR64&gt;=-3,"Moderate - Slope",TRUE,"Strong - Slope")</f>
        <v>Sideway + Slope</v>
      </c>
      <c r="DZ64" t="str" cm="1">
        <f t="array" ref="DZ64">_xlfn.IFS(DS64&gt;3,"Strong + Slope",DS64&gt;1.5,"Moderate + Slope",DS64&gt;0.5,"Sideway + Slope",DS64&gt;=-0.5,"Sideway Flat",DS64&gt;=-1.5,"Sideway - Slope",DS64&gt;=-3,"Moderate - Slope",TRUE,"Strong - Slope")</f>
        <v>Sideway Flat</v>
      </c>
      <c r="EA64" t="str" cm="1">
        <f t="array" ref="EA64">_xlfn.IFS(DT64&gt;3,"Strong + Slope",DT64&gt;1.5,"Moderate + Slope",DT64&gt;0.5,"Sideway + Slope",DT64&gt;=-0.5,"Sideway Flat",DT64&gt;=-1.5,"Sideway - Slope",DT64&gt;=-3,"Moderate - Slope",TRUE,"Strong - Slope")</f>
        <v>Sideway + Slope</v>
      </c>
      <c r="EB64" s="5"/>
      <c r="EC64" s="5">
        <f t="shared" si="136"/>
        <v>2</v>
      </c>
      <c r="ED64" s="5">
        <f t="shared" si="137"/>
        <v>3</v>
      </c>
      <c r="EE64" s="5">
        <f t="shared" si="138"/>
        <v>1</v>
      </c>
      <c r="EF64" s="5">
        <f t="shared" si="139"/>
        <v>5</v>
      </c>
      <c r="EG64" s="5">
        <f t="shared" si="140"/>
        <v>6</v>
      </c>
      <c r="EH64" s="5">
        <f t="shared" si="141"/>
        <v>4</v>
      </c>
      <c r="EI64" s="5"/>
      <c r="EJ64" s="5" t="str">
        <f t="shared" si="142"/>
        <v>RES</v>
      </c>
      <c r="EK64" s="5" t="str">
        <f t="shared" si="143"/>
        <v>RES</v>
      </c>
      <c r="EL64" s="5" t="str">
        <f t="shared" si="144"/>
        <v>RES</v>
      </c>
      <c r="EM64" s="5" t="str">
        <f t="shared" si="145"/>
        <v>SUP</v>
      </c>
      <c r="EN64" s="5" t="str">
        <f t="shared" si="146"/>
        <v>SUP</v>
      </c>
      <c r="EO64" s="5" t="str">
        <f t="shared" si="147"/>
        <v>RES</v>
      </c>
      <c r="EP64" s="5"/>
      <c r="EQ64" s="8">
        <f t="shared" si="148"/>
        <v>3.1403952972581612E-4</v>
      </c>
      <c r="ER64" s="8">
        <f t="shared" si="149"/>
        <v>2.7478458851008911E-4</v>
      </c>
      <c r="ES64" s="8">
        <f t="shared" si="150"/>
        <v>2.1393942962570295E-3</v>
      </c>
      <c r="ET64" s="8">
        <f t="shared" si="151"/>
        <v>-1.583282629034385E-3</v>
      </c>
      <c r="EU64" s="8">
        <f t="shared" si="152"/>
        <v>-1.6879624722762616E-3</v>
      </c>
      <c r="EV64" s="8">
        <f t="shared" si="153"/>
        <v>9.1594862836572404E-5</v>
      </c>
      <c r="EW64" s="8"/>
      <c r="EX64" s="8">
        <f t="shared" si="154"/>
        <v>0.44102564102565173</v>
      </c>
      <c r="EY64" s="9">
        <f t="shared" si="54"/>
        <v>4</v>
      </c>
      <c r="EZ64" s="10">
        <f t="shared" si="55"/>
        <v>2</v>
      </c>
      <c r="FA64" s="8">
        <f t="shared" si="86"/>
        <v>2.1393942962570295E-3</v>
      </c>
      <c r="FB64" s="8">
        <f t="shared" si="87"/>
        <v>3.1403952972581612E-4</v>
      </c>
      <c r="FC64" s="8">
        <f t="shared" si="88"/>
        <v>2.7478458851008911E-4</v>
      </c>
      <c r="FD64" s="8">
        <f t="shared" si="89"/>
        <v>9.1594862836572404E-5</v>
      </c>
      <c r="FE64" s="8">
        <f t="shared" si="90"/>
        <v>-1.583282629034385E-3</v>
      </c>
      <c r="FF64" s="8">
        <f t="shared" si="91"/>
        <v>-1.6879624722762616E-3</v>
      </c>
      <c r="FG64" s="5"/>
      <c r="FH64" s="5" t="str">
        <f t="shared" si="155"/>
        <v>Flat Momentum</v>
      </c>
      <c r="FI64" s="5" t="str">
        <f t="shared" si="92"/>
        <v>-----</v>
      </c>
      <c r="FJ64" s="5"/>
      <c r="FK64" s="5" t="str">
        <f t="shared" si="93"/>
        <v>-----</v>
      </c>
      <c r="FL64" s="5" t="str">
        <f t="shared" si="94"/>
        <v>-----</v>
      </c>
      <c r="FM64" s="5"/>
      <c r="FN64" s="5"/>
      <c r="FO64" s="8" t="str">
        <f t="shared" si="174"/>
        <v>Bearish</v>
      </c>
      <c r="FP64" s="8"/>
      <c r="FQ64" s="14">
        <f t="shared" si="156"/>
        <v>-1.5703312090242295E-4</v>
      </c>
      <c r="FR64" s="14">
        <f t="shared" si="58"/>
        <v>0.84579359749986671</v>
      </c>
      <c r="FS64" s="14" t="str">
        <f t="shared" si="59"/>
        <v>-----</v>
      </c>
      <c r="FT64" s="14" t="str">
        <f t="shared" si="157"/>
        <v>Bullish</v>
      </c>
      <c r="FU64" s="5" t="str">
        <f t="shared" si="172"/>
        <v>TEMA crossover</v>
      </c>
      <c r="FV64" s="5" t="str">
        <f t="shared" si="173"/>
        <v>-----</v>
      </c>
      <c r="FW64" s="5"/>
      <c r="FX64" s="15" t="str">
        <f t="shared" si="116"/>
        <v>YES</v>
      </c>
      <c r="FY64" s="15" t="str">
        <f t="shared" si="117"/>
        <v>-----</v>
      </c>
      <c r="FZ64" s="15" t="str">
        <f t="shared" si="118"/>
        <v>YES</v>
      </c>
      <c r="GA64" s="15" t="str">
        <f t="shared" si="119"/>
        <v>YES</v>
      </c>
      <c r="GB64" s="16" t="str">
        <f t="shared" si="107"/>
        <v>-----</v>
      </c>
      <c r="GC64" s="16" t="str">
        <f t="shared" si="108"/>
        <v>-----</v>
      </c>
      <c r="GD64" s="16" t="str">
        <f t="shared" si="109"/>
        <v>-----</v>
      </c>
      <c r="GE64" s="16" t="str">
        <f t="shared" si="112"/>
        <v>YES</v>
      </c>
      <c r="GF64" s="15" t="str">
        <f t="shared" si="110"/>
        <v>-----</v>
      </c>
      <c r="GG64" s="16" t="str">
        <f t="shared" si="120"/>
        <v>-----</v>
      </c>
      <c r="GH64" s="14"/>
      <c r="GI64" s="5" t="str">
        <f t="shared" si="158"/>
        <v>-----</v>
      </c>
      <c r="GJ64" s="5" t="str">
        <f t="shared" si="159"/>
        <v>-----</v>
      </c>
      <c r="GK64" s="5"/>
      <c r="GL64" s="5" t="str">
        <f t="shared" si="160"/>
        <v>-----</v>
      </c>
      <c r="GM64" s="5" t="str">
        <f t="shared" si="161"/>
        <v>-----</v>
      </c>
      <c r="GN64" s="5"/>
      <c r="GO64" s="12">
        <f t="shared" si="162"/>
        <v>3.4000000000020236E-2</v>
      </c>
      <c r="GP64" s="5">
        <f t="shared" si="97"/>
        <v>-0.96285742672928532</v>
      </c>
      <c r="GQ64" s="13" t="str">
        <f t="shared" si="98"/>
        <v>-----</v>
      </c>
      <c r="GR64" s="5"/>
      <c r="GS64">
        <f t="shared" si="99"/>
        <v>-1.0289153714111596</v>
      </c>
      <c r="GT64" s="5" t="str">
        <f t="shared" si="100"/>
        <v>-----</v>
      </c>
    </row>
    <row r="65" spans="1:202" x14ac:dyDescent="0.55000000000000004">
      <c r="A65">
        <v>61</v>
      </c>
      <c r="B65" t="s">
        <v>64</v>
      </c>
      <c r="C65" t="s">
        <v>4</v>
      </c>
      <c r="D65" t="s">
        <v>103</v>
      </c>
      <c r="E65">
        <v>152.84700000000001</v>
      </c>
      <c r="F65">
        <v>152.84899999999999</v>
      </c>
      <c r="G65">
        <v>152.803</v>
      </c>
      <c r="H65">
        <v>152.803</v>
      </c>
      <c r="I65">
        <v>151</v>
      </c>
      <c r="J65">
        <v>152.893</v>
      </c>
      <c r="K65">
        <v>152.88900000000001</v>
      </c>
      <c r="L65">
        <v>153.173</v>
      </c>
      <c r="M65">
        <v>152.60599999999999</v>
      </c>
      <c r="N65">
        <v>152.589</v>
      </c>
      <c r="O65">
        <v>152.863</v>
      </c>
      <c r="P65">
        <v>0</v>
      </c>
      <c r="Q65">
        <v>0</v>
      </c>
      <c r="R65">
        <v>0</v>
      </c>
      <c r="S65">
        <v>0</v>
      </c>
      <c r="T65">
        <v>0</v>
      </c>
      <c r="U65">
        <v>5.9130000000000002E-2</v>
      </c>
      <c r="V65">
        <v>3</v>
      </c>
      <c r="W65">
        <v>153.12124</v>
      </c>
      <c r="X65">
        <v>153.03641999999999</v>
      </c>
      <c r="Y65">
        <v>152.95160999999999</v>
      </c>
      <c r="Z65">
        <v>152.86679000000001</v>
      </c>
      <c r="AA65">
        <v>152.78198</v>
      </c>
      <c r="AB65">
        <v>152.71995000000001</v>
      </c>
      <c r="AC65">
        <v>152.63514000000001</v>
      </c>
      <c r="AD65">
        <v>152.55032</v>
      </c>
      <c r="AE65">
        <v>152.46550999999999</v>
      </c>
      <c r="AF65">
        <v>152.38068999999999</v>
      </c>
      <c r="AG65">
        <v>152.83600000000001</v>
      </c>
      <c r="AH65">
        <v>152.81399999999999</v>
      </c>
      <c r="AI65">
        <v>152.833</v>
      </c>
      <c r="AJ65">
        <v>152.964</v>
      </c>
      <c r="AK65">
        <v>152.858</v>
      </c>
      <c r="AL65">
        <v>152.82</v>
      </c>
      <c r="AM65" s="11">
        <f t="shared" si="0"/>
        <v>4.5999999999992269E-2</v>
      </c>
      <c r="AN65" s="11">
        <f t="shared" si="66"/>
        <v>1.999999999981128E-3</v>
      </c>
      <c r="AO65" s="11">
        <f t="shared" si="163"/>
        <v>4.4000000000011141E-2</v>
      </c>
      <c r="AP65" s="11">
        <f t="shared" si="164"/>
        <v>4.5999999999992269E-2</v>
      </c>
      <c r="AR65" s="5" t="str">
        <f t="shared" si="121"/>
        <v>------</v>
      </c>
      <c r="AS65" s="5" t="str">
        <f t="shared" si="122"/>
        <v>------</v>
      </c>
      <c r="AT65" t="str">
        <f t="shared" si="123"/>
        <v/>
      </c>
      <c r="AV65" s="2">
        <f t="shared" si="4"/>
        <v>152.91593395000001</v>
      </c>
      <c r="AW65" s="2">
        <f t="shared" si="5"/>
        <v>152.87006604999999</v>
      </c>
      <c r="AX65" s="2">
        <f t="shared" si="6"/>
        <v>152.91193335000003</v>
      </c>
      <c r="AY65" s="2">
        <f t="shared" si="7"/>
        <v>152.86606665000002</v>
      </c>
      <c r="AZ65" s="2">
        <f t="shared" si="8"/>
        <v>153.19597595000002</v>
      </c>
      <c r="BA65" s="2">
        <f t="shared" si="9"/>
        <v>153.15002405000001</v>
      </c>
      <c r="BB65" s="2">
        <f t="shared" si="10"/>
        <v>152.62889090000002</v>
      </c>
      <c r="BC65" s="2">
        <f t="shared" si="11"/>
        <v>152.5831091</v>
      </c>
      <c r="BD65" s="2">
        <f t="shared" si="12"/>
        <v>152.61188835000002</v>
      </c>
      <c r="BE65" s="2">
        <f t="shared" si="13"/>
        <v>152.56611165000001</v>
      </c>
      <c r="BF65" s="2">
        <f t="shared" si="14"/>
        <v>152.88592945000002</v>
      </c>
      <c r="BG65" s="2">
        <f t="shared" si="15"/>
        <v>152.84007055000001</v>
      </c>
      <c r="BI65" s="5" t="str">
        <f t="shared" si="69"/>
        <v>-----</v>
      </c>
      <c r="BJ65" s="5" t="str">
        <f t="shared" si="70"/>
        <v>-----</v>
      </c>
      <c r="BK65" s="5" t="str">
        <f t="shared" si="71"/>
        <v>-----</v>
      </c>
      <c r="BL65" s="5" t="str">
        <f t="shared" si="72"/>
        <v>-----</v>
      </c>
      <c r="BM65" s="5" t="str">
        <f t="shared" si="73"/>
        <v>-----</v>
      </c>
      <c r="BN65" s="5" t="str">
        <f t="shared" si="74"/>
        <v>TOUCH</v>
      </c>
      <c r="BO65" s="5"/>
      <c r="BP65" s="5">
        <f t="shared" si="175"/>
        <v>28</v>
      </c>
      <c r="BQ65" s="5">
        <f t="shared" si="175"/>
        <v>24</v>
      </c>
      <c r="BR65" s="5">
        <f t="shared" si="175"/>
        <v>59</v>
      </c>
      <c r="BS65" s="5">
        <f t="shared" si="175"/>
        <v>61</v>
      </c>
      <c r="BT65" s="5">
        <f t="shared" si="175"/>
        <v>61</v>
      </c>
      <c r="BU65" s="5">
        <f t="shared" si="175"/>
        <v>0</v>
      </c>
      <c r="BV65" s="5">
        <f t="shared" si="176"/>
        <v>1</v>
      </c>
      <c r="BW65" s="5">
        <f t="shared" si="176"/>
        <v>4</v>
      </c>
      <c r="BX65" s="5">
        <f t="shared" si="176"/>
        <v>2</v>
      </c>
      <c r="BY65" s="5">
        <f t="shared" si="176"/>
        <v>0</v>
      </c>
      <c r="BZ65" s="5">
        <f t="shared" si="176"/>
        <v>0</v>
      </c>
      <c r="CA65" s="5">
        <f t="shared" si="176"/>
        <v>5</v>
      </c>
      <c r="CB65" s="5" t="str">
        <f t="shared" si="102"/>
        <v>-----</v>
      </c>
      <c r="CC65" s="5" t="str">
        <f t="shared" si="101"/>
        <v>-----</v>
      </c>
      <c r="CD65" s="5" t="str">
        <f t="shared" si="101"/>
        <v>-----</v>
      </c>
      <c r="CE65" s="5" t="str">
        <f t="shared" si="101"/>
        <v>-----</v>
      </c>
      <c r="CF65" s="5" t="str">
        <f t="shared" si="101"/>
        <v>-----</v>
      </c>
      <c r="CG65" s="5">
        <f t="shared" si="101"/>
        <v>5</v>
      </c>
      <c r="CH65" s="5"/>
      <c r="CI65" s="17" t="str">
        <f t="shared" si="124"/>
        <v>-----</v>
      </c>
      <c r="CJ65" s="17" t="str">
        <f t="shared" si="125"/>
        <v>-----</v>
      </c>
      <c r="CK65" s="17" t="str">
        <f t="shared" si="126"/>
        <v>-----</v>
      </c>
      <c r="CL65" s="17" t="str">
        <f t="shared" si="127"/>
        <v>-----</v>
      </c>
      <c r="CM65" s="17" t="str">
        <f t="shared" si="128"/>
        <v>-----</v>
      </c>
      <c r="CN65" s="17">
        <f t="shared" si="129"/>
        <v>-1.7924546816430458E-3</v>
      </c>
      <c r="CO65" s="5"/>
      <c r="CP65" s="5" t="str">
        <f t="shared" si="177"/>
        <v>-----</v>
      </c>
      <c r="CQ65" s="5" t="str">
        <f t="shared" si="177"/>
        <v>-----</v>
      </c>
      <c r="CR65" s="5" t="str">
        <f t="shared" si="177"/>
        <v>-----</v>
      </c>
      <c r="CS65" s="5" t="str">
        <f t="shared" si="177"/>
        <v>-----</v>
      </c>
      <c r="CT65" s="5" t="str">
        <f t="shared" si="177"/>
        <v>-----</v>
      </c>
      <c r="CU65" s="5" t="str">
        <f t="shared" si="177"/>
        <v>Resistant</v>
      </c>
      <c r="CV65" s="5"/>
      <c r="CW65" s="17" t="str">
        <f t="shared" si="178"/>
        <v/>
      </c>
      <c r="CX65" s="17" t="str">
        <f t="shared" si="178"/>
        <v/>
      </c>
      <c r="CY65" s="17" t="str">
        <f t="shared" si="178"/>
        <v/>
      </c>
      <c r="CZ65" s="17" t="str">
        <f t="shared" si="178"/>
        <v/>
      </c>
      <c r="DA65" s="17" t="str">
        <f t="shared" si="178"/>
        <v/>
      </c>
      <c r="DB65" s="17">
        <f t="shared" si="178"/>
        <v>1.7924546816430458E-3</v>
      </c>
      <c r="DC65" s="8"/>
      <c r="DD65" s="5">
        <f t="shared" si="27"/>
        <v>1</v>
      </c>
      <c r="DE65" s="17">
        <f t="shared" si="79"/>
        <v>1.7924546816430458E-3</v>
      </c>
      <c r="DF65" s="5" t="str" cm="1">
        <f t="array" ref="DF65">_xlfn.IFS(DE65=CW65,CP65,DE65=CX65,CQ65,DE65=CY65,CR65,DE65=CZ65,CS65,DE65=DA65,CT65,DE65=DB65,CU65,TRUE,"----- ")</f>
        <v>Resistant</v>
      </c>
      <c r="DG65" s="5"/>
      <c r="DH65" s="5">
        <f t="shared" si="80"/>
        <v>-2.423265306122455E-3</v>
      </c>
      <c r="DI65" s="5">
        <f t="shared" si="167"/>
        <v>-3.7194805194805478E-4</v>
      </c>
      <c r="DJ65" s="5">
        <f t="shared" si="168"/>
        <v>-1.6402721088435472E-3</v>
      </c>
      <c r="DK65" s="5">
        <f t="shared" si="169"/>
        <v>7.6471243042669956E-4</v>
      </c>
      <c r="DL65" s="5">
        <f t="shared" si="170"/>
        <v>-2.3081014223875058E-4</v>
      </c>
      <c r="DM65" s="5">
        <f t="shared" si="171"/>
        <v>1.5802844774273381E-3</v>
      </c>
      <c r="DO65" s="5">
        <f t="shared" si="130"/>
        <v>-1.9079214597220278</v>
      </c>
      <c r="DP65" s="5">
        <f t="shared" si="131"/>
        <v>-0.29295343676527091</v>
      </c>
      <c r="DQ65" s="5">
        <f t="shared" si="132"/>
        <v>-1.2917022253843653</v>
      </c>
      <c r="DR65" s="5">
        <f t="shared" si="133"/>
        <v>0.60228527619529781</v>
      </c>
      <c r="DS65" s="5">
        <f t="shared" si="134"/>
        <v>-0.18179147971962978</v>
      </c>
      <c r="DT65" s="5">
        <f t="shared" si="135"/>
        <v>1.2444775446344229</v>
      </c>
      <c r="DV65" t="str" cm="1">
        <f t="array" ref="DV65">_xlfn.IFS(DO65&gt;3,"Strong + Slope",DO65&gt;1.5,"Moderate + Slope",DO65&gt;0.5,"Sideway + Slope",DO65&gt;=-0.5,"Sideway Flat",DO65&gt;=-1.5,"Sideway - Slope",DO65&gt;=-3,"Moderate - Slope",TRUE,"Strong - Slope")</f>
        <v>Moderate - Slope</v>
      </c>
      <c r="DW65" t="str" cm="1">
        <f t="array" ref="DW65">_xlfn.IFS(DP65&gt;3,"Strong + Slope",DP65&gt;1.5,"Moderate + Slope",DP65&gt;0.5,"Sideway + Slope",DP65&gt;=-0.5,"Sideway Flat",DP65&gt;=-1.5,"Sideway - Slope",DP65&gt;=-3,"Moderate - Slope",TRUE,"Strong - Slope")</f>
        <v>Sideway Flat</v>
      </c>
      <c r="DX65" t="str" cm="1">
        <f t="array" ref="DX65">_xlfn.IFS(DQ65&gt;3,"Strong + Slope",DQ65&gt;1.5,"Moderate + Slope",DQ65&gt;0.5,"Sideway + Slope",DQ65&gt;=-0.5,"Sideway Flat",DQ65&gt;=-1.5,"Sideway - Slope",DQ65&gt;=-3,"Moderate - Slope",TRUE,"Strong - Slope")</f>
        <v>Sideway - Slope</v>
      </c>
      <c r="DY65" t="str" cm="1">
        <f t="array" ref="DY65">_xlfn.IFS(DR65&gt;3,"Strong + Slope",DR65&gt;1.5,"Moderate + Slope",DR65&gt;0.5,"Sideway + Slope",DR65&gt;=-0.5,"Sideway Flat",DR65&gt;=-1.5,"Sideway - Slope",DR65&gt;=-3,"Moderate - Slope",TRUE,"Strong - Slope")</f>
        <v>Sideway + Slope</v>
      </c>
      <c r="DZ65" t="str" cm="1">
        <f t="array" ref="DZ65">_xlfn.IFS(DS65&gt;3,"Strong + Slope",DS65&gt;1.5,"Moderate + Slope",DS65&gt;0.5,"Sideway + Slope",DS65&gt;=-0.5,"Sideway Flat",DS65&gt;=-1.5,"Sideway - Slope",DS65&gt;=-3,"Moderate - Slope",TRUE,"Strong - Slope")</f>
        <v>Sideway Flat</v>
      </c>
      <c r="EA65" t="str" cm="1">
        <f t="array" ref="EA65">_xlfn.IFS(DT65&gt;3,"Strong + Slope",DT65&gt;1.5,"Moderate + Slope",DT65&gt;0.5,"Sideway + Slope",DT65&gt;=-0.5,"Sideway Flat",DT65&gt;=-1.5,"Sideway - Slope",DT65&gt;=-3,"Moderate - Slope",TRUE,"Strong - Slope")</f>
        <v>Sideway + Slope</v>
      </c>
      <c r="EB65" s="5"/>
      <c r="EC65" s="5">
        <f t="shared" si="136"/>
        <v>2</v>
      </c>
      <c r="ED65" s="5">
        <f t="shared" si="137"/>
        <v>3</v>
      </c>
      <c r="EE65" s="5">
        <f t="shared" si="138"/>
        <v>1</v>
      </c>
      <c r="EF65" s="5">
        <f t="shared" si="139"/>
        <v>5</v>
      </c>
      <c r="EG65" s="5">
        <f t="shared" si="140"/>
        <v>6</v>
      </c>
      <c r="EH65" s="5">
        <f t="shared" si="141"/>
        <v>4</v>
      </c>
      <c r="EI65" s="5"/>
      <c r="EJ65" s="5" t="str">
        <f t="shared" si="142"/>
        <v>RES</v>
      </c>
      <c r="EK65" s="5" t="str">
        <f t="shared" si="143"/>
        <v>RES</v>
      </c>
      <c r="EL65" s="5" t="str">
        <f t="shared" si="144"/>
        <v>RES</v>
      </c>
      <c r="EM65" s="5" t="str">
        <f t="shared" si="145"/>
        <v>SUP</v>
      </c>
      <c r="EN65" s="5" t="str">
        <f t="shared" si="146"/>
        <v>SUP</v>
      </c>
      <c r="EO65" s="5" t="str">
        <f t="shared" si="147"/>
        <v>RES</v>
      </c>
      <c r="EP65" s="5"/>
      <c r="EQ65" s="8">
        <f t="shared" si="148"/>
        <v>5.889936715902398E-4</v>
      </c>
      <c r="ER65" s="8">
        <f t="shared" si="149"/>
        <v>5.6281617507517999E-4</v>
      </c>
      <c r="ES65" s="8">
        <f t="shared" si="150"/>
        <v>2.4214184276487014E-3</v>
      </c>
      <c r="ET65" s="8">
        <f t="shared" si="151"/>
        <v>-1.2892417033697162E-3</v>
      </c>
      <c r="EU65" s="8">
        <f t="shared" si="152"/>
        <v>-1.4004960635589526E-3</v>
      </c>
      <c r="EV65" s="8">
        <f t="shared" si="153"/>
        <v>3.9266244772682654E-4</v>
      </c>
      <c r="EW65" s="8"/>
      <c r="EX65" s="8">
        <f t="shared" si="154"/>
        <v>0.36643835616437925</v>
      </c>
      <c r="EY65" s="9">
        <f t="shared" si="54"/>
        <v>4</v>
      </c>
      <c r="EZ65" s="10">
        <f t="shared" si="55"/>
        <v>2</v>
      </c>
      <c r="FA65" s="8">
        <f t="shared" si="86"/>
        <v>2.4214184276487014E-3</v>
      </c>
      <c r="FB65" s="8">
        <f t="shared" si="87"/>
        <v>5.889936715902398E-4</v>
      </c>
      <c r="FC65" s="8">
        <f t="shared" si="88"/>
        <v>5.6281617507517999E-4</v>
      </c>
      <c r="FD65" s="8">
        <f t="shared" si="89"/>
        <v>3.9266244772682654E-4</v>
      </c>
      <c r="FE65" s="8">
        <f t="shared" si="90"/>
        <v>-1.2892417033697162E-3</v>
      </c>
      <c r="FF65" s="8">
        <f t="shared" si="91"/>
        <v>-1.4004960635589526E-3</v>
      </c>
      <c r="FG65" s="5"/>
      <c r="FH65" s="5" t="str">
        <f t="shared" si="155"/>
        <v>Flat Momentum</v>
      </c>
      <c r="FI65" s="5" t="str">
        <f t="shared" si="92"/>
        <v>-----</v>
      </c>
      <c r="FJ65" s="5"/>
      <c r="FK65" s="5" t="str">
        <f t="shared" si="93"/>
        <v>-----</v>
      </c>
      <c r="FL65" s="5" t="str">
        <f t="shared" si="94"/>
        <v>-----</v>
      </c>
      <c r="FM65" s="5"/>
      <c r="FN65" s="5"/>
      <c r="FO65" s="8" t="str">
        <f t="shared" si="174"/>
        <v>Bearish</v>
      </c>
      <c r="FP65" s="8"/>
      <c r="FQ65" s="14">
        <f t="shared" si="156"/>
        <v>-1.2431870080418142E-4</v>
      </c>
      <c r="FR65" s="14">
        <f t="shared" si="58"/>
        <v>0.94014371163511878</v>
      </c>
      <c r="FS65" s="14" t="str">
        <f t="shared" si="59"/>
        <v>-----</v>
      </c>
      <c r="FT65" s="14" t="str">
        <f t="shared" si="157"/>
        <v>Bullish</v>
      </c>
      <c r="FU65" s="5" t="str">
        <f t="shared" si="172"/>
        <v>-----</v>
      </c>
      <c r="FV65" s="5" t="str">
        <f t="shared" si="173"/>
        <v>TEMA crossunder</v>
      </c>
      <c r="FW65" s="5"/>
      <c r="FX65" s="15" t="str">
        <f t="shared" si="116"/>
        <v>YES</v>
      </c>
      <c r="FY65" s="15" t="str">
        <f t="shared" si="117"/>
        <v>-----</v>
      </c>
      <c r="FZ65" s="15" t="str">
        <f t="shared" si="118"/>
        <v>YES</v>
      </c>
      <c r="GA65" s="15" t="str">
        <f t="shared" si="119"/>
        <v>YES</v>
      </c>
      <c r="GB65" s="16" t="str">
        <f t="shared" si="107"/>
        <v>-----</v>
      </c>
      <c r="GC65" s="16" t="str">
        <f t="shared" si="108"/>
        <v>-----</v>
      </c>
      <c r="GD65" s="16" t="str">
        <f t="shared" si="109"/>
        <v>-----</v>
      </c>
      <c r="GE65" s="16" t="str">
        <f t="shared" si="112"/>
        <v>YES</v>
      </c>
      <c r="GF65" s="15" t="str">
        <f t="shared" si="110"/>
        <v>-----</v>
      </c>
      <c r="GG65" s="16" t="str">
        <f t="shared" si="120"/>
        <v>-----</v>
      </c>
      <c r="GH65" s="14"/>
      <c r="GI65" s="5" t="str">
        <f t="shared" si="158"/>
        <v>-----</v>
      </c>
      <c r="GJ65" s="5" t="str">
        <f t="shared" si="159"/>
        <v>Bearish Trigger</v>
      </c>
      <c r="GK65" s="5"/>
      <c r="GL65" s="5" t="str">
        <f t="shared" si="160"/>
        <v>-----</v>
      </c>
      <c r="GM65" s="5" t="str">
        <f t="shared" si="161"/>
        <v>-----</v>
      </c>
      <c r="GN65" s="5"/>
      <c r="GO65" s="12">
        <f t="shared" si="162"/>
        <v>3.8000000000010914E-2</v>
      </c>
      <c r="GP65" s="5">
        <f t="shared" si="97"/>
        <v>-0.87066894970218811</v>
      </c>
      <c r="GQ65" s="13" t="str">
        <f t="shared" si="98"/>
        <v>-----</v>
      </c>
      <c r="GR65" s="5"/>
      <c r="GS65">
        <f t="shared" si="99"/>
        <v>-0.8869465605823027</v>
      </c>
      <c r="GT65" s="5" t="str">
        <f t="shared" si="100"/>
        <v>-----</v>
      </c>
    </row>
    <row r="66" spans="1:202" x14ac:dyDescent="0.55000000000000004">
      <c r="A66">
        <v>62</v>
      </c>
      <c r="B66" t="s">
        <v>65</v>
      </c>
      <c r="C66" t="s">
        <v>4</v>
      </c>
      <c r="D66" t="s">
        <v>103</v>
      </c>
      <c r="E66">
        <v>152.803</v>
      </c>
      <c r="F66">
        <v>152.84</v>
      </c>
      <c r="G66">
        <v>152.803</v>
      </c>
      <c r="H66">
        <v>152.84</v>
      </c>
      <c r="I66">
        <v>100</v>
      </c>
      <c r="J66">
        <v>152.88999999999999</v>
      </c>
      <c r="K66">
        <v>152.88800000000001</v>
      </c>
      <c r="L66">
        <v>153.17099999999999</v>
      </c>
      <c r="M66">
        <v>152.607</v>
      </c>
      <c r="N66">
        <v>152.589</v>
      </c>
      <c r="O66">
        <v>152.864</v>
      </c>
      <c r="P66">
        <v>0</v>
      </c>
      <c r="Q66">
        <v>0</v>
      </c>
      <c r="R66">
        <v>0</v>
      </c>
      <c r="S66">
        <v>0</v>
      </c>
      <c r="T66">
        <v>0</v>
      </c>
      <c r="U66">
        <v>0.22405</v>
      </c>
      <c r="V66">
        <v>0</v>
      </c>
      <c r="W66">
        <v>153.12079</v>
      </c>
      <c r="X66">
        <v>153.03611000000001</v>
      </c>
      <c r="Y66">
        <v>152.95142999999999</v>
      </c>
      <c r="Z66">
        <v>152.86675</v>
      </c>
      <c r="AA66">
        <v>152.78207</v>
      </c>
      <c r="AB66">
        <v>152.72274999999999</v>
      </c>
      <c r="AC66">
        <v>152.63807</v>
      </c>
      <c r="AD66">
        <v>152.55339000000001</v>
      </c>
      <c r="AE66">
        <v>152.46870999999999</v>
      </c>
      <c r="AF66">
        <v>152.38403</v>
      </c>
      <c r="AG66">
        <v>152.83500000000001</v>
      </c>
      <c r="AH66">
        <v>152.81700000000001</v>
      </c>
      <c r="AI66">
        <v>152.833</v>
      </c>
      <c r="AJ66">
        <v>152.96</v>
      </c>
      <c r="AK66">
        <v>152.852</v>
      </c>
      <c r="AL66">
        <v>152.816</v>
      </c>
      <c r="AM66" s="11">
        <f t="shared" si="0"/>
        <v>3.7000000000006139E-2</v>
      </c>
      <c r="AN66" s="11">
        <f t="shared" si="66"/>
        <v>3.7000000000006139E-2</v>
      </c>
      <c r="AO66" s="11">
        <f t="shared" si="163"/>
        <v>0</v>
      </c>
      <c r="AP66" s="11">
        <f t="shared" si="164"/>
        <v>3.7000000000006139E-2</v>
      </c>
      <c r="AR66" s="5" t="str">
        <f t="shared" si="121"/>
        <v>------</v>
      </c>
      <c r="AS66" s="5" t="str">
        <f t="shared" si="122"/>
        <v>------</v>
      </c>
      <c r="AT66" t="str">
        <f t="shared" si="123"/>
        <v/>
      </c>
      <c r="AV66" s="2">
        <f t="shared" si="4"/>
        <v>152.91293350000001</v>
      </c>
      <c r="AW66" s="2">
        <f t="shared" si="5"/>
        <v>152.86706649999999</v>
      </c>
      <c r="AX66" s="2">
        <f t="shared" si="6"/>
        <v>152.91093320000002</v>
      </c>
      <c r="AY66" s="2">
        <f t="shared" si="7"/>
        <v>152.86506679999999</v>
      </c>
      <c r="AZ66" s="2">
        <f t="shared" si="8"/>
        <v>153.19397565</v>
      </c>
      <c r="BA66" s="2">
        <f t="shared" si="9"/>
        <v>153.14802434999999</v>
      </c>
      <c r="BB66" s="2">
        <f t="shared" si="10"/>
        <v>152.62989105000003</v>
      </c>
      <c r="BC66" s="2">
        <f t="shared" si="11"/>
        <v>152.58410895</v>
      </c>
      <c r="BD66" s="2">
        <f t="shared" si="12"/>
        <v>152.61188835000002</v>
      </c>
      <c r="BE66" s="2">
        <f t="shared" si="13"/>
        <v>152.56611165000001</v>
      </c>
      <c r="BF66" s="2">
        <f t="shared" si="14"/>
        <v>152.88692960000003</v>
      </c>
      <c r="BG66" s="2">
        <f t="shared" si="15"/>
        <v>152.84107040000001</v>
      </c>
      <c r="BI66" s="5" t="str">
        <f t="shared" si="69"/>
        <v>-----</v>
      </c>
      <c r="BJ66" s="5" t="str">
        <f t="shared" si="70"/>
        <v>-----</v>
      </c>
      <c r="BK66" s="5" t="str">
        <f t="shared" si="71"/>
        <v>-----</v>
      </c>
      <c r="BL66" s="5" t="str">
        <f t="shared" si="72"/>
        <v>-----</v>
      </c>
      <c r="BM66" s="5" t="str">
        <f t="shared" si="73"/>
        <v>-----</v>
      </c>
      <c r="BN66" s="5" t="str">
        <f t="shared" si="74"/>
        <v>-----</v>
      </c>
      <c r="BO66" s="5"/>
      <c r="BP66" s="5">
        <f t="shared" si="175"/>
        <v>29</v>
      </c>
      <c r="BQ66" s="5">
        <f t="shared" si="175"/>
        <v>25</v>
      </c>
      <c r="BR66" s="5">
        <f t="shared" si="175"/>
        <v>60</v>
      </c>
      <c r="BS66" s="5">
        <f t="shared" si="175"/>
        <v>62</v>
      </c>
      <c r="BT66" s="5">
        <f t="shared" si="175"/>
        <v>62</v>
      </c>
      <c r="BU66" s="5">
        <f t="shared" si="175"/>
        <v>1</v>
      </c>
      <c r="BV66" s="5">
        <f t="shared" si="176"/>
        <v>1</v>
      </c>
      <c r="BW66" s="5">
        <f t="shared" si="176"/>
        <v>4</v>
      </c>
      <c r="BX66" s="5">
        <f t="shared" si="176"/>
        <v>2</v>
      </c>
      <c r="BY66" s="5">
        <f t="shared" si="176"/>
        <v>0</v>
      </c>
      <c r="BZ66" s="5">
        <f t="shared" si="176"/>
        <v>0</v>
      </c>
      <c r="CA66" s="5">
        <f t="shared" si="176"/>
        <v>5</v>
      </c>
      <c r="CB66" s="5" t="str">
        <f t="shared" si="102"/>
        <v>-----</v>
      </c>
      <c r="CC66" s="5" t="str">
        <f t="shared" si="101"/>
        <v>-----</v>
      </c>
      <c r="CD66" s="5" t="str">
        <f t="shared" si="101"/>
        <v>-----</v>
      </c>
      <c r="CE66" s="5" t="str">
        <f t="shared" si="101"/>
        <v>-----</v>
      </c>
      <c r="CF66" s="5" t="str">
        <f t="shared" si="101"/>
        <v>-----</v>
      </c>
      <c r="CG66" s="5" t="str">
        <f t="shared" si="101"/>
        <v>-----</v>
      </c>
      <c r="CH66" s="5"/>
      <c r="CI66" s="17" t="str">
        <f t="shared" si="124"/>
        <v>-----</v>
      </c>
      <c r="CJ66" s="17" t="str">
        <f t="shared" si="125"/>
        <v>-----</v>
      </c>
      <c r="CK66" s="17" t="str">
        <f t="shared" si="126"/>
        <v>-----</v>
      </c>
      <c r="CL66" s="17" t="str">
        <f t="shared" si="127"/>
        <v>-----</v>
      </c>
      <c r="CM66" s="17" t="str">
        <f t="shared" si="128"/>
        <v>-----</v>
      </c>
      <c r="CN66" s="17" t="str">
        <f t="shared" si="129"/>
        <v>-----</v>
      </c>
      <c r="CO66" s="5"/>
      <c r="CP66" s="5" t="str">
        <f t="shared" si="177"/>
        <v>-----</v>
      </c>
      <c r="CQ66" s="5" t="str">
        <f t="shared" si="177"/>
        <v>-----</v>
      </c>
      <c r="CR66" s="5" t="str">
        <f t="shared" si="177"/>
        <v>-----</v>
      </c>
      <c r="CS66" s="5" t="str">
        <f t="shared" si="177"/>
        <v>-----</v>
      </c>
      <c r="CT66" s="5" t="str">
        <f t="shared" si="177"/>
        <v>-----</v>
      </c>
      <c r="CU66" s="5" t="str">
        <f t="shared" si="177"/>
        <v>-----</v>
      </c>
      <c r="CV66" s="5"/>
      <c r="CW66" s="17" t="str">
        <f t="shared" si="178"/>
        <v/>
      </c>
      <c r="CX66" s="17" t="str">
        <f t="shared" si="178"/>
        <v/>
      </c>
      <c r="CY66" s="17" t="str">
        <f t="shared" si="178"/>
        <v/>
      </c>
      <c r="CZ66" s="17" t="str">
        <f t="shared" si="178"/>
        <v/>
      </c>
      <c r="DA66" s="17" t="str">
        <f t="shared" si="178"/>
        <v/>
      </c>
      <c r="DB66" s="17" t="str">
        <f t="shared" si="178"/>
        <v/>
      </c>
      <c r="DC66" s="8"/>
      <c r="DD66" s="5">
        <f t="shared" si="27"/>
        <v>0</v>
      </c>
      <c r="DE66" s="17" t="str">
        <f t="shared" si="79"/>
        <v>-----</v>
      </c>
      <c r="DF66" s="5" t="str" cm="1">
        <f t="array" ref="DF66">_xlfn.IFS(DE66=CW66,CP66,DE66=CX66,CQ66,DE66=CY66,CR66,DE66=CZ66,CS66,DE66=DA66,CT66,DE66=DB66,CU66,TRUE,"----- ")</f>
        <v xml:space="preserve">----- </v>
      </c>
      <c r="DG66" s="5"/>
      <c r="DH66" s="5">
        <f t="shared" si="80"/>
        <v>-2.423265306122455E-3</v>
      </c>
      <c r="DI66" s="5">
        <f t="shared" si="167"/>
        <v>-3.7194805194805478E-4</v>
      </c>
      <c r="DJ66" s="5">
        <f t="shared" si="168"/>
        <v>-1.6402721088435472E-3</v>
      </c>
      <c r="DK66" s="5">
        <f t="shared" si="169"/>
        <v>7.6471243042669956E-4</v>
      </c>
      <c r="DL66" s="5">
        <f t="shared" si="170"/>
        <v>-2.3081014223875058E-4</v>
      </c>
      <c r="DM66" s="5">
        <f t="shared" si="171"/>
        <v>1.5802844774273381E-3</v>
      </c>
      <c r="DO66" s="5">
        <f t="shared" si="130"/>
        <v>-1.9079214597220278</v>
      </c>
      <c r="DP66" s="5">
        <f t="shared" si="131"/>
        <v>-0.29295343676527091</v>
      </c>
      <c r="DQ66" s="5">
        <f t="shared" si="132"/>
        <v>-1.2917022253843653</v>
      </c>
      <c r="DR66" s="5">
        <f t="shared" si="133"/>
        <v>0.60228527619529781</v>
      </c>
      <c r="DS66" s="5">
        <f t="shared" si="134"/>
        <v>-0.18179147971962978</v>
      </c>
      <c r="DT66" s="5">
        <f t="shared" si="135"/>
        <v>1.2444775446344229</v>
      </c>
      <c r="DV66" t="str" cm="1">
        <f t="array" ref="DV66">_xlfn.IFS(DO66&gt;3,"Strong + Slope",DO66&gt;1.5,"Moderate + Slope",DO66&gt;0.5,"Sideway + Slope",DO66&gt;=-0.5,"Sideway Flat",DO66&gt;=-1.5,"Sideway - Slope",DO66&gt;=-3,"Moderate - Slope",TRUE,"Strong - Slope")</f>
        <v>Moderate - Slope</v>
      </c>
      <c r="DW66" t="str" cm="1">
        <f t="array" ref="DW66">_xlfn.IFS(DP66&gt;3,"Strong + Slope",DP66&gt;1.5,"Moderate + Slope",DP66&gt;0.5,"Sideway + Slope",DP66&gt;=-0.5,"Sideway Flat",DP66&gt;=-1.5,"Sideway - Slope",DP66&gt;=-3,"Moderate - Slope",TRUE,"Strong - Slope")</f>
        <v>Sideway Flat</v>
      </c>
      <c r="DX66" t="str" cm="1">
        <f t="array" ref="DX66">_xlfn.IFS(DQ66&gt;3,"Strong + Slope",DQ66&gt;1.5,"Moderate + Slope",DQ66&gt;0.5,"Sideway + Slope",DQ66&gt;=-0.5,"Sideway Flat",DQ66&gt;=-1.5,"Sideway - Slope",DQ66&gt;=-3,"Moderate - Slope",TRUE,"Strong - Slope")</f>
        <v>Sideway - Slope</v>
      </c>
      <c r="DY66" t="str" cm="1">
        <f t="array" ref="DY66">_xlfn.IFS(DR66&gt;3,"Strong + Slope",DR66&gt;1.5,"Moderate + Slope",DR66&gt;0.5,"Sideway + Slope",DR66&gt;=-0.5,"Sideway Flat",DR66&gt;=-1.5,"Sideway - Slope",DR66&gt;=-3,"Moderate - Slope",TRUE,"Strong - Slope")</f>
        <v>Sideway + Slope</v>
      </c>
      <c r="DZ66" t="str" cm="1">
        <f t="array" ref="DZ66">_xlfn.IFS(DS66&gt;3,"Strong + Slope",DS66&gt;1.5,"Moderate + Slope",DS66&gt;0.5,"Sideway + Slope",DS66&gt;=-0.5,"Sideway Flat",DS66&gt;=-1.5,"Sideway - Slope",DS66&gt;=-3,"Moderate - Slope",TRUE,"Strong - Slope")</f>
        <v>Sideway Flat</v>
      </c>
      <c r="EA66" t="str" cm="1">
        <f t="array" ref="EA66">_xlfn.IFS(DT66&gt;3,"Strong + Slope",DT66&gt;1.5,"Moderate + Slope",DT66&gt;0.5,"Sideway + Slope",DT66&gt;=-0.5,"Sideway Flat",DT66&gt;=-1.5,"Sideway - Slope",DT66&gt;=-3,"Moderate - Slope",TRUE,"Strong - Slope")</f>
        <v>Sideway + Slope</v>
      </c>
      <c r="EB66" s="5"/>
      <c r="EC66" s="5">
        <f t="shared" si="136"/>
        <v>2</v>
      </c>
      <c r="ED66" s="5">
        <f t="shared" si="137"/>
        <v>3</v>
      </c>
      <c r="EE66" s="5">
        <f t="shared" si="138"/>
        <v>1</v>
      </c>
      <c r="EF66" s="5">
        <f t="shared" si="139"/>
        <v>5</v>
      </c>
      <c r="EG66" s="5">
        <f t="shared" si="140"/>
        <v>6</v>
      </c>
      <c r="EH66" s="5">
        <f t="shared" si="141"/>
        <v>4</v>
      </c>
      <c r="EI66" s="5"/>
      <c r="EJ66" s="5" t="str">
        <f t="shared" si="142"/>
        <v>RES</v>
      </c>
      <c r="EK66" s="5" t="str">
        <f t="shared" si="143"/>
        <v>RES</v>
      </c>
      <c r="EL66" s="5" t="str">
        <f t="shared" si="144"/>
        <v>RES</v>
      </c>
      <c r="EM66" s="5" t="str">
        <f t="shared" si="145"/>
        <v>SUP</v>
      </c>
      <c r="EN66" s="5" t="str">
        <f t="shared" si="146"/>
        <v>SUP</v>
      </c>
      <c r="EO66" s="5" t="str">
        <f t="shared" si="147"/>
        <v>RES</v>
      </c>
      <c r="EP66" s="5"/>
      <c r="EQ66" s="8">
        <f t="shared" si="148"/>
        <v>3.2713949227939639E-4</v>
      </c>
      <c r="ER66" s="8">
        <f t="shared" si="149"/>
        <v>3.1405391258833954E-4</v>
      </c>
      <c r="ES66" s="8">
        <f t="shared" si="150"/>
        <v>2.16566343889027E-3</v>
      </c>
      <c r="ET66" s="8">
        <f t="shared" si="151"/>
        <v>-1.5244700340225339E-3</v>
      </c>
      <c r="EU66" s="8">
        <f t="shared" si="152"/>
        <v>-1.6422402512431614E-3</v>
      </c>
      <c r="EV66" s="8">
        <f t="shared" si="153"/>
        <v>1.5702695629416977E-4</v>
      </c>
      <c r="EW66" s="8"/>
      <c r="EX66" s="8">
        <f t="shared" si="154"/>
        <v>0.43127147766324314</v>
      </c>
      <c r="EY66" s="9">
        <f t="shared" si="54"/>
        <v>4</v>
      </c>
      <c r="EZ66" s="10">
        <f t="shared" si="55"/>
        <v>2</v>
      </c>
      <c r="FA66" s="8">
        <f t="shared" si="86"/>
        <v>2.16566343889027E-3</v>
      </c>
      <c r="FB66" s="8">
        <f t="shared" si="87"/>
        <v>3.2713949227939639E-4</v>
      </c>
      <c r="FC66" s="8">
        <f t="shared" si="88"/>
        <v>3.1405391258833954E-4</v>
      </c>
      <c r="FD66" s="8">
        <f t="shared" si="89"/>
        <v>1.5702695629416977E-4</v>
      </c>
      <c r="FE66" s="8">
        <f t="shared" si="90"/>
        <v>-1.5244700340225339E-3</v>
      </c>
      <c r="FF66" s="8">
        <f t="shared" si="91"/>
        <v>-1.6422402512431614E-3</v>
      </c>
      <c r="FG66" s="5"/>
      <c r="FH66" s="5" t="str">
        <f t="shared" si="155"/>
        <v>Flat Momentum</v>
      </c>
      <c r="FI66" s="5" t="str">
        <f t="shared" si="92"/>
        <v>-----</v>
      </c>
      <c r="FJ66" s="5"/>
      <c r="FK66" s="5" t="str">
        <f t="shared" si="93"/>
        <v>-----</v>
      </c>
      <c r="FL66" s="5" t="str">
        <f t="shared" si="94"/>
        <v>-----</v>
      </c>
      <c r="FM66" s="5"/>
      <c r="FN66" s="5"/>
      <c r="FO66" s="8" t="str">
        <f t="shared" si="174"/>
        <v>Bearish</v>
      </c>
      <c r="FP66" s="8"/>
      <c r="FQ66" s="14">
        <f t="shared" si="156"/>
        <v>-1.0468943225606468E-4</v>
      </c>
      <c r="FR66" s="14">
        <f t="shared" si="58"/>
        <v>0.99675555810357785</v>
      </c>
      <c r="FS66" s="14" t="str">
        <f t="shared" si="59"/>
        <v>-----</v>
      </c>
      <c r="FT66" s="14" t="str">
        <f t="shared" si="157"/>
        <v>Bullish</v>
      </c>
      <c r="FU66" s="5" t="str">
        <f t="shared" si="172"/>
        <v>TEMA crossover</v>
      </c>
      <c r="FV66" s="5" t="str">
        <f t="shared" si="173"/>
        <v>-----</v>
      </c>
      <c r="FW66" s="5"/>
      <c r="FX66" s="15" t="str">
        <f t="shared" si="116"/>
        <v>YES</v>
      </c>
      <c r="FY66" s="15" t="str">
        <f t="shared" si="117"/>
        <v>-----</v>
      </c>
      <c r="FZ66" s="15" t="str">
        <f t="shared" si="118"/>
        <v>YES</v>
      </c>
      <c r="GA66" s="15" t="str">
        <f t="shared" si="119"/>
        <v>YES</v>
      </c>
      <c r="GB66" s="16" t="str">
        <f t="shared" si="107"/>
        <v>-----</v>
      </c>
      <c r="GC66" s="16" t="str">
        <f t="shared" si="108"/>
        <v>-----</v>
      </c>
      <c r="GD66" s="16" t="str">
        <f t="shared" si="109"/>
        <v>-----</v>
      </c>
      <c r="GE66" s="16" t="str">
        <f t="shared" si="112"/>
        <v>YES</v>
      </c>
      <c r="GF66" s="15" t="str">
        <f t="shared" si="110"/>
        <v>-----</v>
      </c>
      <c r="GG66" s="16" t="str">
        <f t="shared" si="120"/>
        <v>-----</v>
      </c>
      <c r="GH66" s="14"/>
      <c r="GI66" s="5" t="str">
        <f t="shared" si="158"/>
        <v>-----</v>
      </c>
      <c r="GJ66" s="5" t="str">
        <f t="shared" si="159"/>
        <v>-----</v>
      </c>
      <c r="GK66" s="5"/>
      <c r="GL66" s="5" t="str">
        <f t="shared" si="160"/>
        <v>-----</v>
      </c>
      <c r="GM66" s="5" t="str">
        <f t="shared" si="161"/>
        <v>-----</v>
      </c>
      <c r="GN66" s="5"/>
      <c r="GO66" s="12">
        <f t="shared" si="162"/>
        <v>3.6000000000001364E-2</v>
      </c>
      <c r="GP66" s="5">
        <f t="shared" si="97"/>
        <v>-0.91676318821606417</v>
      </c>
      <c r="GQ66" s="13" t="str">
        <f t="shared" si="98"/>
        <v>-----</v>
      </c>
      <c r="GR66" s="5"/>
      <c r="GS66">
        <f t="shared" si="99"/>
        <v>-1.2160560765946526</v>
      </c>
      <c r="GT66" s="5" t="str">
        <f t="shared" si="100"/>
        <v>-----</v>
      </c>
    </row>
    <row r="67" spans="1:202" x14ac:dyDescent="0.55000000000000004">
      <c r="A67">
        <v>63</v>
      </c>
      <c r="B67" t="s">
        <v>66</v>
      </c>
      <c r="C67" t="s">
        <v>4</v>
      </c>
      <c r="D67" t="s">
        <v>103</v>
      </c>
      <c r="E67">
        <v>152.84</v>
      </c>
      <c r="F67">
        <v>152.88800000000001</v>
      </c>
      <c r="G67">
        <v>152.83600000000001</v>
      </c>
      <c r="H67">
        <v>152.874</v>
      </c>
      <c r="I67">
        <v>172</v>
      </c>
      <c r="J67">
        <v>152.88800000000001</v>
      </c>
      <c r="K67">
        <v>152.88800000000001</v>
      </c>
      <c r="L67">
        <v>153.16900000000001</v>
      </c>
      <c r="M67">
        <v>152.608</v>
      </c>
      <c r="N67">
        <v>152.589</v>
      </c>
      <c r="O67">
        <v>152.86600000000001</v>
      </c>
      <c r="P67">
        <v>152.88800000000001</v>
      </c>
      <c r="Q67">
        <v>0</v>
      </c>
      <c r="R67">
        <v>152.88800000000001</v>
      </c>
      <c r="S67">
        <v>0</v>
      </c>
      <c r="T67">
        <v>0</v>
      </c>
      <c r="U67">
        <v>0.29421999999999998</v>
      </c>
      <c r="V67">
        <v>0</v>
      </c>
      <c r="W67">
        <v>153.12276</v>
      </c>
      <c r="X67">
        <v>153.03792999999999</v>
      </c>
      <c r="Y67">
        <v>152.95310000000001</v>
      </c>
      <c r="Z67">
        <v>152.86825999999999</v>
      </c>
      <c r="AA67">
        <v>152.78343000000001</v>
      </c>
      <c r="AB67">
        <v>152.72635</v>
      </c>
      <c r="AC67">
        <v>152.64151000000001</v>
      </c>
      <c r="AD67">
        <v>152.55668</v>
      </c>
      <c r="AE67">
        <v>152.47184999999999</v>
      </c>
      <c r="AF67">
        <v>152.38701</v>
      </c>
      <c r="AG67">
        <v>152.852</v>
      </c>
      <c r="AH67">
        <v>152.82400000000001</v>
      </c>
      <c r="AI67">
        <v>152.83500000000001</v>
      </c>
      <c r="AJ67">
        <v>152.95699999999999</v>
      </c>
      <c r="AK67">
        <v>152.87200000000001</v>
      </c>
      <c r="AL67">
        <v>152.82900000000001</v>
      </c>
      <c r="AM67" s="11">
        <f t="shared" si="0"/>
        <v>5.1999999999992497E-2</v>
      </c>
      <c r="AN67" s="11">
        <f t="shared" si="66"/>
        <v>4.8000000000001819E-2</v>
      </c>
      <c r="AO67" s="11">
        <f t="shared" si="163"/>
        <v>3.9999999999906777E-3</v>
      </c>
      <c r="AP67" s="11">
        <f t="shared" si="164"/>
        <v>5.1999999999992497E-2</v>
      </c>
      <c r="AR67" s="5" t="str">
        <f t="shared" si="121"/>
        <v>Important High</v>
      </c>
      <c r="AS67" s="5" t="str">
        <f t="shared" si="122"/>
        <v>------</v>
      </c>
      <c r="AT67" t="str">
        <f t="shared" si="123"/>
        <v/>
      </c>
      <c r="AV67" s="2">
        <f t="shared" si="4"/>
        <v>152.91093320000002</v>
      </c>
      <c r="AW67" s="2">
        <f t="shared" si="5"/>
        <v>152.86506679999999</v>
      </c>
      <c r="AX67" s="2">
        <f t="shared" si="6"/>
        <v>152.91093320000002</v>
      </c>
      <c r="AY67" s="2">
        <f t="shared" si="7"/>
        <v>152.86506679999999</v>
      </c>
      <c r="AZ67" s="2">
        <f t="shared" si="8"/>
        <v>153.19197535000004</v>
      </c>
      <c r="BA67" s="2">
        <f t="shared" si="9"/>
        <v>153.14602465000002</v>
      </c>
      <c r="BB67" s="2">
        <f t="shared" si="10"/>
        <v>152.63089120000001</v>
      </c>
      <c r="BC67" s="2">
        <f t="shared" si="11"/>
        <v>152.5851088</v>
      </c>
      <c r="BD67" s="2">
        <f t="shared" si="12"/>
        <v>152.61188835000002</v>
      </c>
      <c r="BE67" s="2">
        <f t="shared" si="13"/>
        <v>152.56611165000001</v>
      </c>
      <c r="BF67" s="2">
        <f t="shared" si="14"/>
        <v>152.88892990000002</v>
      </c>
      <c r="BG67" s="2">
        <f t="shared" si="15"/>
        <v>152.84307010000001</v>
      </c>
      <c r="BI67" s="5" t="str">
        <f t="shared" si="69"/>
        <v>TOUCH</v>
      </c>
      <c r="BJ67" s="5" t="str">
        <f t="shared" si="70"/>
        <v>TOUCH</v>
      </c>
      <c r="BK67" s="5" t="str">
        <f t="shared" si="71"/>
        <v>-----</v>
      </c>
      <c r="BL67" s="5" t="str">
        <f t="shared" si="72"/>
        <v>-----</v>
      </c>
      <c r="BM67" s="5" t="str">
        <f t="shared" si="73"/>
        <v>-----</v>
      </c>
      <c r="BN67" s="5" t="str">
        <f t="shared" si="74"/>
        <v>TOUCH</v>
      </c>
      <c r="BO67" s="5"/>
      <c r="BP67" s="5">
        <f t="shared" si="175"/>
        <v>0</v>
      </c>
      <c r="BQ67" s="5">
        <f t="shared" si="175"/>
        <v>0</v>
      </c>
      <c r="BR67" s="5">
        <f t="shared" si="175"/>
        <v>61</v>
      </c>
      <c r="BS67" s="5">
        <f t="shared" si="175"/>
        <v>63</v>
      </c>
      <c r="BT67" s="5">
        <f t="shared" si="175"/>
        <v>63</v>
      </c>
      <c r="BU67" s="5">
        <f t="shared" si="175"/>
        <v>0</v>
      </c>
      <c r="BV67" s="5">
        <f t="shared" si="176"/>
        <v>1</v>
      </c>
      <c r="BW67" s="5">
        <f t="shared" si="176"/>
        <v>1</v>
      </c>
      <c r="BX67" s="5">
        <f t="shared" si="176"/>
        <v>2</v>
      </c>
      <c r="BY67" s="5">
        <f t="shared" si="176"/>
        <v>0</v>
      </c>
      <c r="BZ67" s="5">
        <f t="shared" si="176"/>
        <v>0</v>
      </c>
      <c r="CA67" s="5">
        <f t="shared" si="176"/>
        <v>6</v>
      </c>
      <c r="CB67" s="5">
        <f t="shared" si="102"/>
        <v>1</v>
      </c>
      <c r="CC67" s="5">
        <f t="shared" si="101"/>
        <v>1</v>
      </c>
      <c r="CD67" s="5" t="str">
        <f t="shared" si="101"/>
        <v>-----</v>
      </c>
      <c r="CE67" s="5" t="str">
        <f t="shared" si="101"/>
        <v>-----</v>
      </c>
      <c r="CF67" s="5" t="str">
        <f t="shared" si="101"/>
        <v>-----</v>
      </c>
      <c r="CG67" s="5">
        <f t="shared" si="101"/>
        <v>6</v>
      </c>
      <c r="CH67" s="5"/>
      <c r="CI67" s="17">
        <f t="shared" si="124"/>
        <v>-9.1570299827390013E-5</v>
      </c>
      <c r="CJ67" s="17">
        <f t="shared" si="125"/>
        <v>0</v>
      </c>
      <c r="CK67" s="17" t="str">
        <f t="shared" si="126"/>
        <v>-----</v>
      </c>
      <c r="CL67" s="17" t="str">
        <f t="shared" si="127"/>
        <v>-----</v>
      </c>
      <c r="CM67" s="17" t="str">
        <f t="shared" si="128"/>
        <v>-----</v>
      </c>
      <c r="CN67" s="17">
        <f t="shared" si="129"/>
        <v>-1.812044535737281E-3</v>
      </c>
      <c r="CO67" s="5"/>
      <c r="CP67" s="5" t="str">
        <f t="shared" si="177"/>
        <v>Resistant</v>
      </c>
      <c r="CQ67" s="5" t="str">
        <f t="shared" si="177"/>
        <v>Resistant</v>
      </c>
      <c r="CR67" s="5" t="str">
        <f t="shared" si="177"/>
        <v>-----</v>
      </c>
      <c r="CS67" s="5" t="str">
        <f t="shared" si="177"/>
        <v>-----</v>
      </c>
      <c r="CT67" s="5" t="str">
        <f t="shared" si="177"/>
        <v>-----</v>
      </c>
      <c r="CU67" s="5" t="str">
        <f t="shared" si="177"/>
        <v>Resistant</v>
      </c>
      <c r="CV67" s="5"/>
      <c r="CW67" s="17">
        <f t="shared" si="178"/>
        <v>9.1570299827390013E-5</v>
      </c>
      <c r="CX67" s="17">
        <f t="shared" si="178"/>
        <v>0</v>
      </c>
      <c r="CY67" s="17" t="str">
        <f t="shared" si="178"/>
        <v/>
      </c>
      <c r="CZ67" s="17" t="str">
        <f t="shared" si="178"/>
        <v/>
      </c>
      <c r="DA67" s="17" t="str">
        <f t="shared" si="178"/>
        <v/>
      </c>
      <c r="DB67" s="17">
        <f t="shared" si="178"/>
        <v>1.812044535737281E-3</v>
      </c>
      <c r="DC67" s="8"/>
      <c r="DD67" s="5">
        <f t="shared" si="27"/>
        <v>3</v>
      </c>
      <c r="DE67" s="17">
        <f t="shared" si="79"/>
        <v>0</v>
      </c>
      <c r="DF67" s="5" t="str" cm="1">
        <f t="array" ref="DF67">_xlfn.IFS(DE67=CW67,CP67,DE67=CX67,CQ67,DE67=CY67,CR67,DE67=CZ67,CS67,DE67=DA67,CT67,DE67=DB67,CU67,TRUE,"----- ")</f>
        <v>Resistant</v>
      </c>
      <c r="DG67" s="5"/>
      <c r="DH67" s="5">
        <f t="shared" si="80"/>
        <v>-2.423265306122455E-3</v>
      </c>
      <c r="DI67" s="5">
        <f t="shared" si="167"/>
        <v>-3.7194805194805478E-4</v>
      </c>
      <c r="DJ67" s="5">
        <f t="shared" si="168"/>
        <v>-1.6402721088435472E-3</v>
      </c>
      <c r="DK67" s="5">
        <f t="shared" si="169"/>
        <v>7.6471243042669956E-4</v>
      </c>
      <c r="DL67" s="5">
        <f t="shared" si="170"/>
        <v>-2.3081014223875058E-4</v>
      </c>
      <c r="DM67" s="5">
        <f t="shared" si="171"/>
        <v>1.5802844774273381E-3</v>
      </c>
      <c r="DO67" s="5">
        <f t="shared" si="130"/>
        <v>-1.9079214597220278</v>
      </c>
      <c r="DP67" s="5">
        <f t="shared" si="131"/>
        <v>-0.29295343676527091</v>
      </c>
      <c r="DQ67" s="5">
        <f t="shared" si="132"/>
        <v>-1.2917022253843653</v>
      </c>
      <c r="DR67" s="5">
        <f t="shared" si="133"/>
        <v>0.60228527619529781</v>
      </c>
      <c r="DS67" s="5">
        <f t="shared" si="134"/>
        <v>-0.18179147971962978</v>
      </c>
      <c r="DT67" s="5">
        <f t="shared" si="135"/>
        <v>1.2444775446344229</v>
      </c>
      <c r="DV67" t="str" cm="1">
        <f t="array" ref="DV67">_xlfn.IFS(DO67&gt;3,"Strong + Slope",DO67&gt;1.5,"Moderate + Slope",DO67&gt;0.5,"Sideway + Slope",DO67&gt;=-0.5,"Sideway Flat",DO67&gt;=-1.5,"Sideway - Slope",DO67&gt;=-3,"Moderate - Slope",TRUE,"Strong - Slope")</f>
        <v>Moderate - Slope</v>
      </c>
      <c r="DW67" t="str" cm="1">
        <f t="array" ref="DW67">_xlfn.IFS(DP67&gt;3,"Strong + Slope",DP67&gt;1.5,"Moderate + Slope",DP67&gt;0.5,"Sideway + Slope",DP67&gt;=-0.5,"Sideway Flat",DP67&gt;=-1.5,"Sideway - Slope",DP67&gt;=-3,"Moderate - Slope",TRUE,"Strong - Slope")</f>
        <v>Sideway Flat</v>
      </c>
      <c r="DX67" t="str" cm="1">
        <f t="array" ref="DX67">_xlfn.IFS(DQ67&gt;3,"Strong + Slope",DQ67&gt;1.5,"Moderate + Slope",DQ67&gt;0.5,"Sideway + Slope",DQ67&gt;=-0.5,"Sideway Flat",DQ67&gt;=-1.5,"Sideway - Slope",DQ67&gt;=-3,"Moderate - Slope",TRUE,"Strong - Slope")</f>
        <v>Sideway - Slope</v>
      </c>
      <c r="DY67" t="str" cm="1">
        <f t="array" ref="DY67">_xlfn.IFS(DR67&gt;3,"Strong + Slope",DR67&gt;1.5,"Moderate + Slope",DR67&gt;0.5,"Sideway + Slope",DR67&gt;=-0.5,"Sideway Flat",DR67&gt;=-1.5,"Sideway - Slope",DR67&gt;=-3,"Moderate - Slope",TRUE,"Strong - Slope")</f>
        <v>Sideway + Slope</v>
      </c>
      <c r="DZ67" t="str" cm="1">
        <f t="array" ref="DZ67">_xlfn.IFS(DS67&gt;3,"Strong + Slope",DS67&gt;1.5,"Moderate + Slope",DS67&gt;0.5,"Sideway + Slope",DS67&gt;=-0.5,"Sideway Flat",DS67&gt;=-1.5,"Sideway - Slope",DS67&gt;=-3,"Moderate - Slope",TRUE,"Strong - Slope")</f>
        <v>Sideway Flat</v>
      </c>
      <c r="EA67" t="str" cm="1">
        <f t="array" ref="EA67">_xlfn.IFS(DT67&gt;3,"Strong + Slope",DT67&gt;1.5,"Moderate + Slope",DT67&gt;0.5,"Sideway + Slope",DT67&gt;=-0.5,"Sideway Flat",DT67&gt;=-1.5,"Sideway - Slope",DT67&gt;=-3,"Moderate - Slope",TRUE,"Strong - Slope")</f>
        <v>Sideway + Slope</v>
      </c>
      <c r="EB67" s="5"/>
      <c r="EC67" s="5">
        <f t="shared" si="136"/>
        <v>2</v>
      </c>
      <c r="ED67" s="5">
        <f t="shared" si="137"/>
        <v>2</v>
      </c>
      <c r="EE67" s="5">
        <f t="shared" si="138"/>
        <v>1</v>
      </c>
      <c r="EF67" s="5">
        <f t="shared" si="139"/>
        <v>5</v>
      </c>
      <c r="EG67" s="5">
        <f t="shared" si="140"/>
        <v>6</v>
      </c>
      <c r="EH67" s="5">
        <f t="shared" si="141"/>
        <v>4</v>
      </c>
      <c r="EI67" s="5"/>
      <c r="EJ67" s="5" t="str">
        <f t="shared" si="142"/>
        <v>RES</v>
      </c>
      <c r="EK67" s="5" t="str">
        <f t="shared" si="143"/>
        <v>RES</v>
      </c>
      <c r="EL67" s="5" t="str">
        <f t="shared" si="144"/>
        <v>RES</v>
      </c>
      <c r="EM67" s="5" t="str">
        <f t="shared" si="145"/>
        <v>SUP</v>
      </c>
      <c r="EN67" s="5" t="str">
        <f t="shared" si="146"/>
        <v>SUP</v>
      </c>
      <c r="EO67" s="5" t="str">
        <f t="shared" si="147"/>
        <v>SUP</v>
      </c>
      <c r="EP67" s="5"/>
      <c r="EQ67" s="8">
        <f t="shared" si="148"/>
        <v>9.157868571509874E-5</v>
      </c>
      <c r="ER67" s="8">
        <f t="shared" si="149"/>
        <v>9.157868571509874E-5</v>
      </c>
      <c r="ES67" s="8">
        <f t="shared" si="150"/>
        <v>1.9296937347097344E-3</v>
      </c>
      <c r="ET67" s="8">
        <f t="shared" si="151"/>
        <v>-1.7399950285855747E-3</v>
      </c>
      <c r="EU67" s="8">
        <f t="shared" si="152"/>
        <v>-1.8642803877702984E-3</v>
      </c>
      <c r="EV67" s="8">
        <f t="shared" si="153"/>
        <v>-5.2330677551325635E-5</v>
      </c>
      <c r="EW67" s="8"/>
      <c r="EX67" s="8">
        <f t="shared" si="154"/>
        <v>0.49137931034481114</v>
      </c>
      <c r="EY67" s="9">
        <f t="shared" si="54"/>
        <v>3</v>
      </c>
      <c r="EZ67" s="10">
        <f t="shared" si="55"/>
        <v>3</v>
      </c>
      <c r="FA67" s="8">
        <f t="shared" si="86"/>
        <v>1.9296937347097344E-3</v>
      </c>
      <c r="FB67" s="8">
        <f t="shared" si="87"/>
        <v>9.157868571509874E-5</v>
      </c>
      <c r="FC67" s="8">
        <f t="shared" si="88"/>
        <v>9.157868571509874E-5</v>
      </c>
      <c r="FD67" s="8">
        <f t="shared" si="89"/>
        <v>-5.2330677551325635E-5</v>
      </c>
      <c r="FE67" s="8">
        <f t="shared" si="90"/>
        <v>-1.7399950285855747E-3</v>
      </c>
      <c r="FF67" s="8">
        <f t="shared" si="91"/>
        <v>-1.8642803877702984E-3</v>
      </c>
      <c r="FG67" s="5"/>
      <c r="FH67" s="5" t="str">
        <f t="shared" si="155"/>
        <v>Flat Momentum</v>
      </c>
      <c r="FI67" s="5" t="str">
        <f t="shared" si="92"/>
        <v>-----</v>
      </c>
      <c r="FJ67" s="5"/>
      <c r="FK67" s="5" t="str">
        <f t="shared" si="93"/>
        <v>-----</v>
      </c>
      <c r="FL67" s="5" t="str">
        <f t="shared" si="94"/>
        <v>-----</v>
      </c>
      <c r="FM67" s="5"/>
      <c r="FN67" s="5"/>
      <c r="FO67" s="8" t="str">
        <f t="shared" si="174"/>
        <v>Bearish</v>
      </c>
      <c r="FP67" s="8"/>
      <c r="FQ67" s="14">
        <f t="shared" si="156"/>
        <v>-7.1973042823932209E-5</v>
      </c>
      <c r="FR67" s="14">
        <f t="shared" si="58"/>
        <v>1.091111351901707</v>
      </c>
      <c r="FS67" s="14" t="str">
        <f t="shared" si="59"/>
        <v>-----</v>
      </c>
      <c r="FT67" s="14" t="str">
        <f t="shared" si="157"/>
        <v>Bullish</v>
      </c>
      <c r="FU67" s="5" t="str">
        <f t="shared" si="172"/>
        <v>-----</v>
      </c>
      <c r="FV67" s="5" t="str">
        <f t="shared" si="173"/>
        <v>-----</v>
      </c>
      <c r="FW67" s="5"/>
      <c r="FX67" s="15" t="str">
        <f t="shared" si="116"/>
        <v>YES</v>
      </c>
      <c r="FY67" s="15" t="str">
        <f t="shared" si="117"/>
        <v>-----</v>
      </c>
      <c r="FZ67" s="15" t="str">
        <f t="shared" si="118"/>
        <v>YES</v>
      </c>
      <c r="GA67" s="15" t="str">
        <f t="shared" si="119"/>
        <v>YES</v>
      </c>
      <c r="GB67" s="16" t="str">
        <f t="shared" si="107"/>
        <v>-----</v>
      </c>
      <c r="GC67" s="16" t="str">
        <f t="shared" si="108"/>
        <v>-----</v>
      </c>
      <c r="GD67" s="16" t="str">
        <f t="shared" si="109"/>
        <v>-----</v>
      </c>
      <c r="GE67" s="16" t="str">
        <f t="shared" si="112"/>
        <v>YES</v>
      </c>
      <c r="GF67" s="15" t="str">
        <f t="shared" si="110"/>
        <v>-----</v>
      </c>
      <c r="GG67" s="16" t="str">
        <f t="shared" si="120"/>
        <v>-----</v>
      </c>
      <c r="GH67" s="14"/>
      <c r="GI67" s="5" t="str">
        <f t="shared" si="158"/>
        <v>Bullish Trigger</v>
      </c>
      <c r="GJ67" s="5" t="str">
        <f t="shared" si="159"/>
        <v>-----</v>
      </c>
      <c r="GK67" s="5"/>
      <c r="GL67" s="5" t="str">
        <f t="shared" si="160"/>
        <v>-----</v>
      </c>
      <c r="GM67" s="5" t="str">
        <f t="shared" si="161"/>
        <v>-----</v>
      </c>
      <c r="GN67" s="5"/>
      <c r="GO67" s="12">
        <f t="shared" si="162"/>
        <v>4.3000000000006366E-2</v>
      </c>
      <c r="GP67" s="5">
        <f t="shared" si="97"/>
        <v>-0.75543335341815299</v>
      </c>
      <c r="GQ67" s="13" t="str">
        <f t="shared" si="98"/>
        <v>-----</v>
      </c>
      <c r="GR67" s="5"/>
      <c r="GS67">
        <f t="shared" si="99"/>
        <v>-0.75143087751839388</v>
      </c>
      <c r="GT67" s="5" t="str">
        <f t="shared" si="100"/>
        <v>-----</v>
      </c>
    </row>
    <row r="68" spans="1:202" x14ac:dyDescent="0.55000000000000004">
      <c r="A68" s="18">
        <v>64</v>
      </c>
      <c r="B68" s="18" t="s">
        <v>67</v>
      </c>
      <c r="C68" s="18" t="s">
        <v>4</v>
      </c>
      <c r="D68" s="18" t="s">
        <v>103</v>
      </c>
      <c r="E68" s="18">
        <v>152.875</v>
      </c>
      <c r="F68" s="18">
        <v>152.876</v>
      </c>
      <c r="G68" s="18">
        <v>152.81899999999999</v>
      </c>
      <c r="H68" s="18">
        <v>152.83099999999999</v>
      </c>
      <c r="I68" s="18">
        <v>195</v>
      </c>
      <c r="J68" s="18">
        <v>152.886</v>
      </c>
      <c r="K68" s="18">
        <v>152.88800000000001</v>
      </c>
      <c r="L68" s="18">
        <v>153.16800000000001</v>
      </c>
      <c r="M68" s="18">
        <v>152.608</v>
      </c>
      <c r="N68" s="18">
        <v>152.58799999999999</v>
      </c>
      <c r="O68" s="18">
        <v>152.86799999999999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5.5190000000000003E-2</v>
      </c>
      <c r="V68" s="18">
        <v>3</v>
      </c>
      <c r="W68" s="18">
        <v>153.12475000000001</v>
      </c>
      <c r="X68" s="18">
        <v>153.03990999999999</v>
      </c>
      <c r="Y68" s="18">
        <v>152.95506</v>
      </c>
      <c r="Z68" s="18">
        <v>152.87020999999999</v>
      </c>
      <c r="AA68" s="18">
        <v>152.78537</v>
      </c>
      <c r="AB68" s="18">
        <v>152.73003</v>
      </c>
      <c r="AC68" s="18">
        <v>152.64518000000001</v>
      </c>
      <c r="AD68" s="18">
        <v>152.56034</v>
      </c>
      <c r="AE68" s="18">
        <v>152.47549000000001</v>
      </c>
      <c r="AF68" s="18">
        <v>152.39063999999999</v>
      </c>
      <c r="AG68" s="18">
        <v>152.851</v>
      </c>
      <c r="AH68" s="18">
        <v>152.83000000000001</v>
      </c>
      <c r="AI68" s="18">
        <v>152.83600000000001</v>
      </c>
      <c r="AJ68" s="18">
        <v>152.95400000000001</v>
      </c>
      <c r="AK68" s="18">
        <v>152.87700000000001</v>
      </c>
      <c r="AL68" s="18">
        <v>152.828</v>
      </c>
      <c r="AM68" s="19">
        <f t="shared" si="0"/>
        <v>5.7000000000016371E-2</v>
      </c>
      <c r="AN68" s="19">
        <f t="shared" si="66"/>
        <v>2.0000000000095497E-3</v>
      </c>
      <c r="AO68" s="19">
        <f t="shared" si="163"/>
        <v>5.5000000000006821E-2</v>
      </c>
      <c r="AP68" s="19">
        <f t="shared" si="164"/>
        <v>5.7000000000016371E-2</v>
      </c>
      <c r="AQ68" s="18"/>
      <c r="AR68" s="20" t="str">
        <f t="shared" si="121"/>
        <v>------</v>
      </c>
      <c r="AS68" s="20" t="str">
        <f t="shared" si="122"/>
        <v>------</v>
      </c>
      <c r="AT68" s="18" t="str">
        <f t="shared" si="123"/>
        <v/>
      </c>
      <c r="AU68" s="18"/>
      <c r="AV68" s="21">
        <f t="shared" si="4"/>
        <v>152.9089329</v>
      </c>
      <c r="AW68" s="21">
        <f t="shared" si="5"/>
        <v>152.86306709999999</v>
      </c>
      <c r="AX68" s="21">
        <f t="shared" si="6"/>
        <v>152.91093320000002</v>
      </c>
      <c r="AY68" s="21">
        <f t="shared" si="7"/>
        <v>152.86506679999999</v>
      </c>
      <c r="AZ68" s="21">
        <f t="shared" si="8"/>
        <v>153.19097520000003</v>
      </c>
      <c r="BA68" s="21">
        <f t="shared" si="9"/>
        <v>153.14502480000002</v>
      </c>
      <c r="BB68" s="21">
        <f t="shared" si="10"/>
        <v>152.63089120000001</v>
      </c>
      <c r="BC68" s="21">
        <f t="shared" si="11"/>
        <v>152.5851088</v>
      </c>
      <c r="BD68" s="21">
        <f t="shared" si="12"/>
        <v>152.61088820000001</v>
      </c>
      <c r="BE68" s="21">
        <f t="shared" si="13"/>
        <v>152.56511179999998</v>
      </c>
      <c r="BF68" s="21">
        <f t="shared" si="14"/>
        <v>152.89093020000001</v>
      </c>
      <c r="BG68" s="21">
        <f t="shared" si="15"/>
        <v>152.8450698</v>
      </c>
      <c r="BH68" s="18"/>
      <c r="BI68" s="20" t="str">
        <f t="shared" si="69"/>
        <v>TOUCH</v>
      </c>
      <c r="BJ68" s="20" t="str">
        <f t="shared" si="70"/>
        <v>TOUCH</v>
      </c>
      <c r="BK68" s="20" t="str">
        <f t="shared" si="71"/>
        <v>-----</v>
      </c>
      <c r="BL68" s="20" t="str">
        <f t="shared" si="72"/>
        <v>-----</v>
      </c>
      <c r="BM68" s="20" t="str">
        <f t="shared" si="73"/>
        <v>-----</v>
      </c>
      <c r="BN68" s="20" t="str">
        <f t="shared" si="74"/>
        <v>TOUCH</v>
      </c>
      <c r="BO68" s="20"/>
      <c r="BP68" s="20">
        <f t="shared" si="175"/>
        <v>0</v>
      </c>
      <c r="BQ68" s="20">
        <f t="shared" si="175"/>
        <v>0</v>
      </c>
      <c r="BR68" s="20">
        <f t="shared" si="175"/>
        <v>62</v>
      </c>
      <c r="BS68" s="20">
        <f t="shared" si="175"/>
        <v>64</v>
      </c>
      <c r="BT68" s="20">
        <f t="shared" si="175"/>
        <v>64</v>
      </c>
      <c r="BU68" s="20">
        <f t="shared" si="175"/>
        <v>0</v>
      </c>
      <c r="BV68" s="20">
        <f t="shared" si="176"/>
        <v>2</v>
      </c>
      <c r="BW68" s="20">
        <f t="shared" si="176"/>
        <v>2</v>
      </c>
      <c r="BX68" s="20">
        <f t="shared" si="176"/>
        <v>2</v>
      </c>
      <c r="BY68" s="20">
        <f t="shared" si="176"/>
        <v>0</v>
      </c>
      <c r="BZ68" s="20">
        <f t="shared" si="176"/>
        <v>0</v>
      </c>
      <c r="CA68" s="20">
        <f t="shared" si="176"/>
        <v>7</v>
      </c>
      <c r="CB68" s="20">
        <f t="shared" si="102"/>
        <v>2</v>
      </c>
      <c r="CC68" s="20">
        <f t="shared" si="101"/>
        <v>2</v>
      </c>
      <c r="CD68" s="20" t="str">
        <f t="shared" si="101"/>
        <v>-----</v>
      </c>
      <c r="CE68" s="20" t="str">
        <f t="shared" si="101"/>
        <v>-----</v>
      </c>
      <c r="CF68" s="20" t="str">
        <f t="shared" si="101"/>
        <v>-----</v>
      </c>
      <c r="CG68" s="20">
        <f t="shared" si="101"/>
        <v>7</v>
      </c>
      <c r="CH68" s="20"/>
      <c r="CI68" s="22">
        <f t="shared" si="124"/>
        <v>-3.5974516960354005E-4</v>
      </c>
      <c r="CJ68" s="22">
        <f t="shared" si="125"/>
        <v>-1.3081471403965973E-5</v>
      </c>
      <c r="CK68" s="22" t="str">
        <f t="shared" si="126"/>
        <v>-----</v>
      </c>
      <c r="CL68" s="22" t="str">
        <f t="shared" si="127"/>
        <v>-----</v>
      </c>
      <c r="CM68" s="22" t="str">
        <f t="shared" si="128"/>
        <v>-----</v>
      </c>
      <c r="CN68" s="22">
        <f t="shared" si="129"/>
        <v>-1.8316456027422426E-3</v>
      </c>
      <c r="CO68" s="20"/>
      <c r="CP68" s="20" t="str">
        <f t="shared" si="177"/>
        <v>Resistant</v>
      </c>
      <c r="CQ68" s="20" t="str">
        <f t="shared" si="177"/>
        <v>Resistant</v>
      </c>
      <c r="CR68" s="20" t="str">
        <f t="shared" si="177"/>
        <v>-----</v>
      </c>
      <c r="CS68" s="20" t="str">
        <f t="shared" si="177"/>
        <v>-----</v>
      </c>
      <c r="CT68" s="20" t="str">
        <f t="shared" si="177"/>
        <v>-----</v>
      </c>
      <c r="CU68" s="20" t="str">
        <f t="shared" si="177"/>
        <v>Resistant</v>
      </c>
      <c r="CV68" s="20"/>
      <c r="CW68" s="22">
        <f t="shared" si="178"/>
        <v>3.5974516960354005E-4</v>
      </c>
      <c r="CX68" s="22">
        <f t="shared" si="178"/>
        <v>1.3081471403965973E-5</v>
      </c>
      <c r="CY68" s="22" t="str">
        <f t="shared" si="178"/>
        <v/>
      </c>
      <c r="CZ68" s="22" t="str">
        <f t="shared" si="178"/>
        <v/>
      </c>
      <c r="DA68" s="22" t="str">
        <f t="shared" si="178"/>
        <v/>
      </c>
      <c r="DB68" s="22">
        <f t="shared" si="178"/>
        <v>1.8316456027422426E-3</v>
      </c>
      <c r="DC68" s="23"/>
      <c r="DD68" s="20">
        <f t="shared" si="27"/>
        <v>3</v>
      </c>
      <c r="DE68" s="22">
        <f t="shared" si="79"/>
        <v>1.3081471403965973E-5</v>
      </c>
      <c r="DF68" s="20" t="str" cm="1">
        <f t="array" ref="DF68">_xlfn.IFS(DE68=CW68,CP68,DE68=CX68,CQ68,DE68=CY68,CR68,DE68=CZ68,CS68,DE68=DA68,CT68,DE68=DB68,CU68,TRUE,"----- ")</f>
        <v>Resistant</v>
      </c>
      <c r="DG68" s="20"/>
      <c r="DH68" s="20">
        <f t="shared" si="80"/>
        <v>-2.423265306122455E-3</v>
      </c>
      <c r="DI68" s="20">
        <f t="shared" si="167"/>
        <v>-3.7194805194805478E-4</v>
      </c>
      <c r="DJ68" s="20">
        <f t="shared" si="168"/>
        <v>-1.6402721088435472E-3</v>
      </c>
      <c r="DK68" s="20">
        <f t="shared" si="169"/>
        <v>7.6471243042669956E-4</v>
      </c>
      <c r="DL68" s="20">
        <f t="shared" si="170"/>
        <v>-2.3081014223875058E-4</v>
      </c>
      <c r="DM68" s="20">
        <f t="shared" si="171"/>
        <v>1.5802844774273381E-3</v>
      </c>
      <c r="DN68" s="18"/>
      <c r="DO68" s="20">
        <f t="shared" si="130"/>
        <v>-1.9079214597220278</v>
      </c>
      <c r="DP68" s="20">
        <f t="shared" si="131"/>
        <v>-0.29295343676527091</v>
      </c>
      <c r="DQ68" s="20">
        <f t="shared" si="132"/>
        <v>-1.2917022253843653</v>
      </c>
      <c r="DR68" s="20">
        <f t="shared" si="133"/>
        <v>0.60228527619529781</v>
      </c>
      <c r="DS68" s="20">
        <f t="shared" si="134"/>
        <v>-0.18179147971962978</v>
      </c>
      <c r="DT68" s="20">
        <f t="shared" si="135"/>
        <v>1.2444775446344229</v>
      </c>
      <c r="DU68" s="18"/>
      <c r="DV68" s="18" t="str" cm="1">
        <f t="array" ref="DV68">_xlfn.IFS(DO68&gt;3,"Strong + Slope",DO68&gt;1.5,"Moderate + Slope",DO68&gt;0.5,"Sideway + Slope",DO68&gt;=-0.5,"Sideway Flat",DO68&gt;=-1.5,"Sideway - Slope",DO68&gt;=-3,"Moderate - Slope",TRUE,"Strong - Slope")</f>
        <v>Moderate - Slope</v>
      </c>
      <c r="DW68" s="18" t="str" cm="1">
        <f t="array" ref="DW68">_xlfn.IFS(DP68&gt;3,"Strong + Slope",DP68&gt;1.5,"Moderate + Slope",DP68&gt;0.5,"Sideway + Slope",DP68&gt;=-0.5,"Sideway Flat",DP68&gt;=-1.5,"Sideway - Slope",DP68&gt;=-3,"Moderate - Slope",TRUE,"Strong - Slope")</f>
        <v>Sideway Flat</v>
      </c>
      <c r="DX68" s="18" t="str" cm="1">
        <f t="array" ref="DX68">_xlfn.IFS(DQ68&gt;3,"Strong + Slope",DQ68&gt;1.5,"Moderate + Slope",DQ68&gt;0.5,"Sideway + Slope",DQ68&gt;=-0.5,"Sideway Flat",DQ68&gt;=-1.5,"Sideway - Slope",DQ68&gt;=-3,"Moderate - Slope",TRUE,"Strong - Slope")</f>
        <v>Sideway - Slope</v>
      </c>
      <c r="DY68" s="18" t="str" cm="1">
        <f t="array" ref="DY68">_xlfn.IFS(DR68&gt;3,"Strong + Slope",DR68&gt;1.5,"Moderate + Slope",DR68&gt;0.5,"Sideway + Slope",DR68&gt;=-0.5,"Sideway Flat",DR68&gt;=-1.5,"Sideway - Slope",DR68&gt;=-3,"Moderate - Slope",TRUE,"Strong - Slope")</f>
        <v>Sideway + Slope</v>
      </c>
      <c r="DZ68" s="18" t="str" cm="1">
        <f t="array" ref="DZ68">_xlfn.IFS(DS68&gt;3,"Strong + Slope",DS68&gt;1.5,"Moderate + Slope",DS68&gt;0.5,"Sideway + Slope",DS68&gt;=-0.5,"Sideway Flat",DS68&gt;=-1.5,"Sideway - Slope",DS68&gt;=-3,"Moderate - Slope",TRUE,"Strong - Slope")</f>
        <v>Sideway Flat</v>
      </c>
      <c r="EA68" s="18" t="str" cm="1">
        <f t="array" ref="EA68">_xlfn.IFS(DT68&gt;3,"Strong + Slope",DT68&gt;1.5,"Moderate + Slope",DT68&gt;0.5,"Sideway + Slope",DT68&gt;=-0.5,"Sideway Flat",DT68&gt;=-1.5,"Sideway - Slope",DT68&gt;=-3,"Moderate - Slope",TRUE,"Strong - Slope")</f>
        <v>Sideway + Slope</v>
      </c>
      <c r="EB68" s="20"/>
      <c r="EC68" s="20">
        <f t="shared" si="136"/>
        <v>3</v>
      </c>
      <c r="ED68" s="20">
        <f t="shared" si="137"/>
        <v>2</v>
      </c>
      <c r="EE68" s="20">
        <f t="shared" si="138"/>
        <v>1</v>
      </c>
      <c r="EF68" s="20">
        <f t="shared" si="139"/>
        <v>5</v>
      </c>
      <c r="EG68" s="20">
        <f t="shared" si="140"/>
        <v>6</v>
      </c>
      <c r="EH68" s="20">
        <f t="shared" si="141"/>
        <v>4</v>
      </c>
      <c r="EI68" s="20"/>
      <c r="EJ68" s="20" t="str">
        <f t="shared" si="142"/>
        <v>RES</v>
      </c>
      <c r="EK68" s="20" t="str">
        <f t="shared" si="143"/>
        <v>RES</v>
      </c>
      <c r="EL68" s="20" t="str">
        <f t="shared" si="144"/>
        <v>RES</v>
      </c>
      <c r="EM68" s="20" t="str">
        <f t="shared" si="145"/>
        <v>SUP</v>
      </c>
      <c r="EN68" s="20" t="str">
        <f t="shared" si="146"/>
        <v>SUP</v>
      </c>
      <c r="EO68" s="20" t="str">
        <f t="shared" si="147"/>
        <v>RES</v>
      </c>
      <c r="EP68" s="20"/>
      <c r="EQ68" s="23">
        <f t="shared" si="148"/>
        <v>3.5987463276433988E-4</v>
      </c>
      <c r="ER68" s="23">
        <f t="shared" si="149"/>
        <v>3.7296098304674034E-4</v>
      </c>
      <c r="ES68" s="23">
        <f t="shared" si="150"/>
        <v>2.205050022574069E-3</v>
      </c>
      <c r="ET68" s="23">
        <f t="shared" si="151"/>
        <v>-1.4591280564805883E-3</v>
      </c>
      <c r="EU68" s="23">
        <f t="shared" si="152"/>
        <v>-1.5899915593040352E-3</v>
      </c>
      <c r="EV68" s="23">
        <f t="shared" si="153"/>
        <v>2.4209748022329332E-4</v>
      </c>
      <c r="EW68" s="23"/>
      <c r="EX68" s="23">
        <f t="shared" si="154"/>
        <v>0.41896551724136166</v>
      </c>
      <c r="EY68" s="24">
        <f t="shared" si="54"/>
        <v>4</v>
      </c>
      <c r="EZ68" s="25">
        <f t="shared" si="55"/>
        <v>2</v>
      </c>
      <c r="FA68" s="23">
        <f t="shared" si="86"/>
        <v>2.205050022574069E-3</v>
      </c>
      <c r="FB68" s="23">
        <f t="shared" si="87"/>
        <v>3.7296098304674034E-4</v>
      </c>
      <c r="FC68" s="23">
        <f t="shared" si="88"/>
        <v>3.5987463276433988E-4</v>
      </c>
      <c r="FD68" s="23">
        <f t="shared" si="89"/>
        <v>2.4209748022329332E-4</v>
      </c>
      <c r="FE68" s="23">
        <f t="shared" si="90"/>
        <v>-1.4591280564805883E-3</v>
      </c>
      <c r="FF68" s="23">
        <f t="shared" si="91"/>
        <v>-1.5899915593040352E-3</v>
      </c>
      <c r="FG68" s="20"/>
      <c r="FH68" s="5" t="str">
        <f t="shared" si="155"/>
        <v>Flat Momentum</v>
      </c>
      <c r="FI68" s="5" t="str">
        <f t="shared" si="92"/>
        <v>-----</v>
      </c>
      <c r="FJ68" s="20"/>
      <c r="FK68" s="5" t="str">
        <f t="shared" si="93"/>
        <v>-----</v>
      </c>
      <c r="FL68" s="5" t="str">
        <f t="shared" si="94"/>
        <v>-----</v>
      </c>
      <c r="FM68" s="20"/>
      <c r="FN68" s="20"/>
      <c r="FO68" s="23" t="str">
        <f t="shared" si="174"/>
        <v>Bearish</v>
      </c>
      <c r="FP68" s="23"/>
      <c r="FQ68" s="20">
        <f t="shared" si="156"/>
        <v>-3.9257766494806374E-5</v>
      </c>
      <c r="FR68" s="20">
        <f t="shared" si="58"/>
        <v>1.1854639354520187</v>
      </c>
      <c r="FS68" s="20" t="str">
        <f t="shared" si="59"/>
        <v>Reverse to Bearish</v>
      </c>
      <c r="FT68" s="20" t="str">
        <f t="shared" si="157"/>
        <v>Bullish</v>
      </c>
      <c r="FU68" s="20" t="str">
        <f t="shared" si="172"/>
        <v>-----</v>
      </c>
      <c r="FV68" s="20" t="str">
        <f t="shared" si="173"/>
        <v>TEMA crossunder</v>
      </c>
      <c r="FW68" s="20"/>
      <c r="FX68" s="20" t="str">
        <f t="shared" si="116"/>
        <v>YES</v>
      </c>
      <c r="FY68" s="20" t="str">
        <f t="shared" si="117"/>
        <v>YES</v>
      </c>
      <c r="FZ68" s="20" t="str">
        <f t="shared" si="118"/>
        <v>YES</v>
      </c>
      <c r="GA68" s="20" t="str">
        <f t="shared" si="119"/>
        <v>YES</v>
      </c>
      <c r="GB68" s="20" t="str">
        <f t="shared" si="107"/>
        <v>-----</v>
      </c>
      <c r="GC68" s="20" t="str">
        <f t="shared" si="108"/>
        <v>-----</v>
      </c>
      <c r="GD68" s="20" t="str">
        <f t="shared" si="109"/>
        <v>-----</v>
      </c>
      <c r="GE68" s="16" t="str">
        <f t="shared" si="112"/>
        <v>YES</v>
      </c>
      <c r="GF68" s="20" t="str">
        <f t="shared" si="110"/>
        <v>Open Sell / Close Buy</v>
      </c>
      <c r="GG68" s="16" t="str">
        <f t="shared" si="120"/>
        <v>-----</v>
      </c>
      <c r="GH68" s="14"/>
      <c r="GI68" s="5" t="str">
        <f t="shared" si="158"/>
        <v>-----</v>
      </c>
      <c r="GJ68" s="5" t="str">
        <f t="shared" si="159"/>
        <v>-----</v>
      </c>
      <c r="GK68" s="5"/>
      <c r="GL68" s="5" t="str">
        <f t="shared" si="160"/>
        <v>-----</v>
      </c>
      <c r="GM68" s="5" t="str">
        <f t="shared" si="161"/>
        <v>-----</v>
      </c>
      <c r="GN68" s="5"/>
      <c r="GO68" s="12">
        <f t="shared" si="162"/>
        <v>4.9000000000006594E-2</v>
      </c>
      <c r="GP68" s="5">
        <f t="shared" si="97"/>
        <v>-0.61715063787717972</v>
      </c>
      <c r="GQ68" s="13" t="str">
        <f t="shared" si="98"/>
        <v>-----</v>
      </c>
      <c r="GR68" s="5"/>
      <c r="GS68">
        <f t="shared" si="99"/>
        <v>-0.60300893892458907</v>
      </c>
      <c r="GT68" s="5" t="str">
        <f t="shared" si="100"/>
        <v>-----</v>
      </c>
    </row>
    <row r="69" spans="1:202" x14ac:dyDescent="0.55000000000000004">
      <c r="A69" s="18">
        <v>65</v>
      </c>
      <c r="B69" s="18" t="s">
        <v>68</v>
      </c>
      <c r="C69" s="18" t="s">
        <v>4</v>
      </c>
      <c r="D69" s="18" t="s">
        <v>103</v>
      </c>
      <c r="E69" s="18">
        <v>152.83199999999999</v>
      </c>
      <c r="F69" s="18">
        <v>152.85599999999999</v>
      </c>
      <c r="G69" s="18">
        <v>152.816</v>
      </c>
      <c r="H69" s="18">
        <v>152.84399999999999</v>
      </c>
      <c r="I69" s="18">
        <v>180</v>
      </c>
      <c r="J69" s="18">
        <v>152.88300000000001</v>
      </c>
      <c r="K69" s="18">
        <v>152.887</v>
      </c>
      <c r="L69" s="18">
        <v>153.166</v>
      </c>
      <c r="M69" s="18">
        <v>152.60900000000001</v>
      </c>
      <c r="N69" s="18">
        <v>152.58799999999999</v>
      </c>
      <c r="O69" s="18">
        <v>152.869</v>
      </c>
      <c r="P69" s="18">
        <v>0</v>
      </c>
      <c r="Q69" s="18">
        <v>0</v>
      </c>
      <c r="R69" s="18">
        <v>0</v>
      </c>
      <c r="S69" s="18">
        <v>0</v>
      </c>
      <c r="T69" s="18">
        <v>0</v>
      </c>
      <c r="U69" s="18">
        <v>0.82011000000000001</v>
      </c>
      <c r="V69" s="18">
        <v>0</v>
      </c>
      <c r="W69" s="18">
        <v>153.12463</v>
      </c>
      <c r="X69" s="18">
        <v>153.04026999999999</v>
      </c>
      <c r="Y69" s="18">
        <v>152.95590999999999</v>
      </c>
      <c r="Z69" s="18">
        <v>152.87155000000001</v>
      </c>
      <c r="AA69" s="18">
        <v>152.78720000000001</v>
      </c>
      <c r="AB69" s="18">
        <v>152.73364000000001</v>
      </c>
      <c r="AC69" s="18">
        <v>152.64928</v>
      </c>
      <c r="AD69" s="18">
        <v>152.56492</v>
      </c>
      <c r="AE69" s="18">
        <v>152.48057</v>
      </c>
      <c r="AF69" s="18">
        <v>152.39621</v>
      </c>
      <c r="AG69" s="18">
        <v>152.84800000000001</v>
      </c>
      <c r="AH69" s="18">
        <v>152.834</v>
      </c>
      <c r="AI69" s="18">
        <v>152.83600000000001</v>
      </c>
      <c r="AJ69" s="18">
        <v>152.95099999999999</v>
      </c>
      <c r="AK69" s="18">
        <v>152.87100000000001</v>
      </c>
      <c r="AL69" s="18">
        <v>152.82499999999999</v>
      </c>
      <c r="AM69" s="19">
        <f t="shared" ref="AM69:AM103" si="179">F69-G69</f>
        <v>3.9999999999992042E-2</v>
      </c>
      <c r="AN69" s="19">
        <f t="shared" si="66"/>
        <v>2.5000000000005684E-2</v>
      </c>
      <c r="AO69" s="19">
        <f t="shared" si="163"/>
        <v>1.4999999999986358E-2</v>
      </c>
      <c r="AP69" s="19">
        <f t="shared" si="164"/>
        <v>3.9999999999992042E-2</v>
      </c>
      <c r="AQ69" s="18"/>
      <c r="AR69" s="20" t="str">
        <f t="shared" ref="AR69:AR103" si="180">IF(AND(P69=R69,P69&gt;0,R69&gt;0),"Important High","------")</f>
        <v>------</v>
      </c>
      <c r="AS69" s="20" t="str">
        <f t="shared" ref="AS69:AS103" si="181">IF(AND(Q69=S69,Q69&gt;0,S69&gt;0),"Important Low","------")</f>
        <v>------</v>
      </c>
      <c r="AT69" s="18" t="str">
        <f t="shared" ref="AT69:AT100" si="182">IF(OR(AR69="Important High",AS69="Important High"),IF(T69=1,"Important High with Rejection",""),IF(OR(AR69="Important Low",AS69="Important Low"),IF(T69=1,"Important Low with Rejection",""),""))</f>
        <v/>
      </c>
      <c r="AU69" s="18"/>
      <c r="AV69" s="21">
        <f t="shared" ref="AV69:AV103" si="183">J69*(1+$AV$2)</f>
        <v>152.90593245000002</v>
      </c>
      <c r="AW69" s="21">
        <f t="shared" ref="AW69:AW103" si="184">J69*(1-$AV$2)</f>
        <v>152.86006755000002</v>
      </c>
      <c r="AX69" s="21">
        <f t="shared" ref="AX69:AX103" si="185">K69*(1+$AV$2)</f>
        <v>152.90993305000001</v>
      </c>
      <c r="AY69" s="21">
        <f t="shared" ref="AY69:AY103" si="186">K69*(1-$AV$2)</f>
        <v>152.86406694999999</v>
      </c>
      <c r="AZ69" s="21">
        <f t="shared" ref="AZ69:AZ103" si="187">L69*(1+$AV$2)</f>
        <v>153.18897490000001</v>
      </c>
      <c r="BA69" s="21">
        <f t="shared" ref="BA69:BA103" si="188">L69*(1-$AV$2)</f>
        <v>153.14302509999999</v>
      </c>
      <c r="BB69" s="21">
        <f t="shared" ref="BB69:BB103" si="189">M69*(1+$AV$2)</f>
        <v>152.63189135000002</v>
      </c>
      <c r="BC69" s="21">
        <f t="shared" ref="BC69:BC103" si="190">M69*(1-$AV$2)</f>
        <v>152.58610865</v>
      </c>
      <c r="BD69" s="21">
        <f t="shared" ref="BD69:BD103" si="191">N69*(1+$AV$2)</f>
        <v>152.61088820000001</v>
      </c>
      <c r="BE69" s="21">
        <f t="shared" ref="BE69:BE103" si="192">N69*(1-$AV$2)</f>
        <v>152.56511179999998</v>
      </c>
      <c r="BF69" s="21">
        <f t="shared" ref="BF69:BF103" si="193">O69*(1+$AV$2)</f>
        <v>152.89193035000002</v>
      </c>
      <c r="BG69" s="21">
        <f t="shared" ref="BG69:BG103" si="194">O69*(1-$AV$2)</f>
        <v>152.84606965</v>
      </c>
      <c r="BH69" s="18"/>
      <c r="BI69" s="20" t="str">
        <f t="shared" si="69"/>
        <v>-----</v>
      </c>
      <c r="BJ69" s="20" t="str">
        <f t="shared" si="70"/>
        <v>-----</v>
      </c>
      <c r="BK69" s="20" t="str">
        <f t="shared" si="71"/>
        <v>-----</v>
      </c>
      <c r="BL69" s="20" t="str">
        <f t="shared" si="72"/>
        <v>-----</v>
      </c>
      <c r="BM69" s="20" t="str">
        <f t="shared" si="73"/>
        <v>-----</v>
      </c>
      <c r="BN69" s="20" t="str">
        <f t="shared" si="74"/>
        <v>-----</v>
      </c>
      <c r="BO69" s="20"/>
      <c r="BP69" s="20">
        <f t="shared" si="175"/>
        <v>1</v>
      </c>
      <c r="BQ69" s="20">
        <f t="shared" si="175"/>
        <v>1</v>
      </c>
      <c r="BR69" s="20">
        <f t="shared" si="175"/>
        <v>63</v>
      </c>
      <c r="BS69" s="20">
        <f t="shared" si="175"/>
        <v>65</v>
      </c>
      <c r="BT69" s="20">
        <f t="shared" si="175"/>
        <v>65</v>
      </c>
      <c r="BU69" s="20">
        <f t="shared" si="175"/>
        <v>1</v>
      </c>
      <c r="BV69" s="20">
        <f t="shared" si="176"/>
        <v>2</v>
      </c>
      <c r="BW69" s="20">
        <f t="shared" si="176"/>
        <v>2</v>
      </c>
      <c r="BX69" s="20">
        <f t="shared" si="176"/>
        <v>2</v>
      </c>
      <c r="BY69" s="20">
        <f t="shared" si="176"/>
        <v>0</v>
      </c>
      <c r="BZ69" s="20">
        <f t="shared" si="176"/>
        <v>0</v>
      </c>
      <c r="CA69" s="20">
        <f t="shared" si="176"/>
        <v>7</v>
      </c>
      <c r="CB69" s="20" t="str">
        <f t="shared" si="102"/>
        <v>-----</v>
      </c>
      <c r="CC69" s="20" t="str">
        <f t="shared" si="101"/>
        <v>-----</v>
      </c>
      <c r="CD69" s="20" t="str">
        <f t="shared" ref="CD69:CG103" si="195">IF(BK69="TOUCH",BX69,"-----")</f>
        <v>-----</v>
      </c>
      <c r="CE69" s="20" t="str">
        <f t="shared" si="195"/>
        <v>-----</v>
      </c>
      <c r="CF69" s="20" t="str">
        <f t="shared" si="195"/>
        <v>-----</v>
      </c>
      <c r="CG69" s="20" t="str">
        <f t="shared" si="195"/>
        <v>-----</v>
      </c>
      <c r="CH69" s="20"/>
      <c r="CI69" s="22" t="str">
        <f t="shared" ref="CI69:CI103" si="196">IF(CB69="-----","-----",((H69-J69)/J69))</f>
        <v>-----</v>
      </c>
      <c r="CJ69" s="22" t="str">
        <f t="shared" ref="CJ69:CJ103" si="197">IF(CC69="-----","-----",((J69-K69)/K69))</f>
        <v>-----</v>
      </c>
      <c r="CK69" s="22" t="str">
        <f t="shared" ref="CK69:CK103" si="198">IF(CD69="-----","-----",((K69-L69)/L69))</f>
        <v>-----</v>
      </c>
      <c r="CL69" s="22" t="str">
        <f t="shared" ref="CL69:CL103" si="199">IF(CE69="-----","-----",((L69-M69)/M69))</f>
        <v>-----</v>
      </c>
      <c r="CM69" s="22" t="str">
        <f t="shared" ref="CM69:CM103" si="200">IF(CF69="-----","-----",((M69-N69)/N69))</f>
        <v>-----</v>
      </c>
      <c r="CN69" s="22" t="str">
        <f t="shared" ref="CN69:CN103" si="201">IF(CG69="-----","-----",((N69-O69)/O69))</f>
        <v>-----</v>
      </c>
      <c r="CO69" s="20"/>
      <c r="CP69" s="20" t="str">
        <f t="shared" si="177"/>
        <v>-----</v>
      </c>
      <c r="CQ69" s="20" t="str">
        <f t="shared" si="177"/>
        <v>-----</v>
      </c>
      <c r="CR69" s="20" t="str">
        <f t="shared" si="177"/>
        <v>-----</v>
      </c>
      <c r="CS69" s="20" t="str">
        <f t="shared" si="177"/>
        <v>-----</v>
      </c>
      <c r="CT69" s="20" t="str">
        <f t="shared" si="177"/>
        <v>-----</v>
      </c>
      <c r="CU69" s="20" t="str">
        <f t="shared" si="177"/>
        <v>-----</v>
      </c>
      <c r="CV69" s="20"/>
      <c r="CW69" s="22" t="str">
        <f t="shared" si="178"/>
        <v/>
      </c>
      <c r="CX69" s="22" t="str">
        <f t="shared" si="178"/>
        <v/>
      </c>
      <c r="CY69" s="22" t="str">
        <f t="shared" si="178"/>
        <v/>
      </c>
      <c r="CZ69" s="22" t="str">
        <f t="shared" si="178"/>
        <v/>
      </c>
      <c r="DA69" s="22" t="str">
        <f t="shared" si="178"/>
        <v/>
      </c>
      <c r="DB69" s="22" t="str">
        <f t="shared" si="178"/>
        <v/>
      </c>
      <c r="DC69" s="23"/>
      <c r="DD69" s="20">
        <f t="shared" ref="DD69:DD103" si="202">COUNT(CI69:CN69)</f>
        <v>0</v>
      </c>
      <c r="DE69" s="22" t="str">
        <f t="shared" si="79"/>
        <v>-----</v>
      </c>
      <c r="DF69" s="20" t="str" cm="1">
        <f t="array" ref="DF69">_xlfn.IFS(DE69=CW69,CP69,DE69=CX69,CQ69,DE69=CY69,CR69,DE69=CZ69,CS69,DE69=DA69,CT69,DE69=DB69,CU69,TRUE,"----- ")</f>
        <v xml:space="preserve">----- </v>
      </c>
      <c r="DG69" s="20"/>
      <c r="DH69" s="20">
        <f t="shared" si="80"/>
        <v>-2.423265306122455E-3</v>
      </c>
      <c r="DI69" s="20">
        <f t="shared" si="167"/>
        <v>-3.7194805194805478E-4</v>
      </c>
      <c r="DJ69" s="20">
        <f t="shared" si="168"/>
        <v>-1.6402721088435472E-3</v>
      </c>
      <c r="DK69" s="20">
        <f t="shared" si="169"/>
        <v>7.6471243042669956E-4</v>
      </c>
      <c r="DL69" s="20">
        <f t="shared" si="170"/>
        <v>-2.3081014223875058E-4</v>
      </c>
      <c r="DM69" s="20">
        <f t="shared" si="171"/>
        <v>1.5802844774273381E-3</v>
      </c>
      <c r="DN69" s="18"/>
      <c r="DO69" s="20">
        <f t="shared" ref="DO69:DO103" si="203">DEGREES(ATAN(DH69/$AP$2))</f>
        <v>-1.9079214597220278</v>
      </c>
      <c r="DP69" s="20">
        <f t="shared" ref="DP69:DP103" si="204">DEGREES(ATAN(DI69/$AP$2))</f>
        <v>-0.29295343676527091</v>
      </c>
      <c r="DQ69" s="20">
        <f t="shared" ref="DQ69:DQ103" si="205">DEGREES(ATAN(DJ69/$AP$2))</f>
        <v>-1.2917022253843653</v>
      </c>
      <c r="DR69" s="20">
        <f t="shared" ref="DR69:DR103" si="206">DEGREES(ATAN(DK69/$AP$2))</f>
        <v>0.60228527619529781</v>
      </c>
      <c r="DS69" s="20">
        <f t="shared" ref="DS69:DS103" si="207">DEGREES(ATAN(DL69/$AP$2))</f>
        <v>-0.18179147971962978</v>
      </c>
      <c r="DT69" s="20">
        <f t="shared" ref="DT69:DT103" si="208">DEGREES(ATAN(DM69/$AP$2))</f>
        <v>1.2444775446344229</v>
      </c>
      <c r="DU69" s="18"/>
      <c r="DV69" s="18" t="str" cm="1">
        <f t="array" ref="DV69">_xlfn.IFS(DO69&gt;3,"Strong + Slope",DO69&gt;1.5,"Moderate + Slope",DO69&gt;0.5,"Sideway + Slope",DO69&gt;=-0.5,"Sideway Flat",DO69&gt;=-1.5,"Sideway - Slope",DO69&gt;=-3,"Moderate - Slope",TRUE,"Strong - Slope")</f>
        <v>Moderate - Slope</v>
      </c>
      <c r="DW69" s="18" t="str" cm="1">
        <f t="array" ref="DW69">_xlfn.IFS(DP69&gt;3,"Strong + Slope",DP69&gt;1.5,"Moderate + Slope",DP69&gt;0.5,"Sideway + Slope",DP69&gt;=-0.5,"Sideway Flat",DP69&gt;=-1.5,"Sideway - Slope",DP69&gt;=-3,"Moderate - Slope",TRUE,"Strong - Slope")</f>
        <v>Sideway Flat</v>
      </c>
      <c r="DX69" s="18" t="str" cm="1">
        <f t="array" ref="DX69">_xlfn.IFS(DQ69&gt;3,"Strong + Slope",DQ69&gt;1.5,"Moderate + Slope",DQ69&gt;0.5,"Sideway + Slope",DQ69&gt;=-0.5,"Sideway Flat",DQ69&gt;=-1.5,"Sideway - Slope",DQ69&gt;=-3,"Moderate - Slope",TRUE,"Strong - Slope")</f>
        <v>Sideway - Slope</v>
      </c>
      <c r="DY69" s="18" t="str" cm="1">
        <f t="array" ref="DY69">_xlfn.IFS(DR69&gt;3,"Strong + Slope",DR69&gt;1.5,"Moderate + Slope",DR69&gt;0.5,"Sideway + Slope",DR69&gt;=-0.5,"Sideway Flat",DR69&gt;=-1.5,"Sideway - Slope",DR69&gt;=-3,"Moderate - Slope",TRUE,"Strong - Slope")</f>
        <v>Sideway + Slope</v>
      </c>
      <c r="DZ69" s="18" t="str" cm="1">
        <f t="array" ref="DZ69">_xlfn.IFS(DS69&gt;3,"Strong + Slope",DS69&gt;1.5,"Moderate + Slope",DS69&gt;0.5,"Sideway + Slope",DS69&gt;=-0.5,"Sideway Flat",DS69&gt;=-1.5,"Sideway - Slope",DS69&gt;=-3,"Moderate - Slope",TRUE,"Strong - Slope")</f>
        <v>Sideway Flat</v>
      </c>
      <c r="EA69" s="18" t="str" cm="1">
        <f t="array" ref="EA69">_xlfn.IFS(DT69&gt;3,"Strong + Slope",DT69&gt;1.5,"Moderate + Slope",DT69&gt;0.5,"Sideway + Slope",DT69&gt;=-0.5,"Sideway Flat",DT69&gt;=-1.5,"Sideway - Slope",DT69&gt;=-3,"Moderate - Slope",TRUE,"Strong - Slope")</f>
        <v>Sideway + Slope</v>
      </c>
      <c r="EB69" s="20"/>
      <c r="EC69" s="20">
        <f t="shared" ref="EC69:EC103" si="209">RANK(J69,$J69:$O69,0)</f>
        <v>3</v>
      </c>
      <c r="ED69" s="20">
        <f t="shared" ref="ED69:ED103" si="210">RANK(K69,$J69:$O69,0)</f>
        <v>2</v>
      </c>
      <c r="EE69" s="20">
        <f t="shared" ref="EE69:EE103" si="211">RANK(L69,$J69:$O69,0)</f>
        <v>1</v>
      </c>
      <c r="EF69" s="20">
        <f t="shared" ref="EF69:EF103" si="212">RANK(M69,$J69:$O69,0)</f>
        <v>5</v>
      </c>
      <c r="EG69" s="20">
        <f t="shared" ref="EG69:EG103" si="213">RANK(N69,$J69:$O69,0)</f>
        <v>6</v>
      </c>
      <c r="EH69" s="20">
        <f t="shared" ref="EH69:EH103" si="214">RANK(O69,$J69:$O69,0)</f>
        <v>4</v>
      </c>
      <c r="EI69" s="20"/>
      <c r="EJ69" s="20" t="str">
        <f t="shared" ref="EJ69:EJ103" si="215">IF($H69&gt;J69,"SUP","RES")</f>
        <v>RES</v>
      </c>
      <c r="EK69" s="20" t="str">
        <f t="shared" ref="EK69:EK103" si="216">IF($H69&gt;K69,"SUP","RES")</f>
        <v>RES</v>
      </c>
      <c r="EL69" s="20" t="str">
        <f t="shared" ref="EL69:EL103" si="217">IF($H69&gt;L69,"SUP","RES")</f>
        <v>RES</v>
      </c>
      <c r="EM69" s="20" t="str">
        <f t="shared" ref="EM69:EM103" si="218">IF($H69&gt;M69,"SUP","RES")</f>
        <v>SUP</v>
      </c>
      <c r="EN69" s="20" t="str">
        <f t="shared" ref="EN69:EN103" si="219">IF($H69&gt;N69,"SUP","RES")</f>
        <v>SUP</v>
      </c>
      <c r="EO69" s="20" t="str">
        <f t="shared" ref="EO69:EO103" si="220">IF($H69&gt;O69,"SUP","RES")</f>
        <v>RES</v>
      </c>
      <c r="EP69" s="20"/>
      <c r="EQ69" s="23">
        <f t="shared" ref="EQ69:EQ103" si="221">(J69-$H69)/$H69</f>
        <v>2.5516212608944864E-4</v>
      </c>
      <c r="ER69" s="23">
        <f t="shared" ref="ER69:ER103" si="222">(K69-$H69)/$H69</f>
        <v>2.813326005600898E-4</v>
      </c>
      <c r="ES69" s="23">
        <f t="shared" ref="ES69:ES103" si="223">(L69-$H69)/$H69</f>
        <v>2.1067231948915413E-3</v>
      </c>
      <c r="ET69" s="23">
        <f t="shared" ref="ET69:ET103" si="224">(M69-$H69)/$H69</f>
        <v>-1.5375153751536548E-3</v>
      </c>
      <c r="EU69" s="23">
        <f t="shared" ref="EU69:EU103" si="225">(N69-$H69)/$H69</f>
        <v>-1.6749103661249393E-3</v>
      </c>
      <c r="EV69" s="23">
        <f t="shared" ref="EV69:EV103" si="226">(O69-$H69)/$H69</f>
        <v>1.6356546544192565E-4</v>
      </c>
      <c r="EW69" s="23"/>
      <c r="EX69" s="23">
        <f t="shared" ref="EX69:EX103" si="227">((H69-MIN(J69:O69))/(MAX(J69:O69)-MIN(J69:O69)))</f>
        <v>0.44290657439446179</v>
      </c>
      <c r="EY69" s="24">
        <f t="shared" ref="EY69:EY103" si="228">COUNTIF(EJ69:EO69,"RES")</f>
        <v>4</v>
      </c>
      <c r="EZ69" s="25">
        <f t="shared" ref="EZ69:EZ103" si="229">COUNTIF(EJ69:EO69,"SUP")</f>
        <v>2</v>
      </c>
      <c r="FA69" s="23">
        <f t="shared" si="86"/>
        <v>2.1067231948915413E-3</v>
      </c>
      <c r="FB69" s="23">
        <f t="shared" si="87"/>
        <v>2.813326005600898E-4</v>
      </c>
      <c r="FC69" s="23">
        <f t="shared" si="88"/>
        <v>2.5516212608944864E-4</v>
      </c>
      <c r="FD69" s="23">
        <f t="shared" si="89"/>
        <v>1.6356546544192565E-4</v>
      </c>
      <c r="FE69" s="23">
        <f t="shared" si="90"/>
        <v>-1.5375153751536548E-3</v>
      </c>
      <c r="FF69" s="23">
        <f t="shared" si="91"/>
        <v>-1.6749103661249393E-3</v>
      </c>
      <c r="FG69" s="20"/>
      <c r="FH69" s="5" t="str">
        <f t="shared" ref="FH69:FH103" si="230">IF(AG69&gt;W69,"Overbought",IF(AG69&gt;Y69,"Bullish Momentum",IF(AG69&gt;AA69,"Flat Momentum","-----")))</f>
        <v>Flat Momentum</v>
      </c>
      <c r="FI69" s="5" t="str">
        <f t="shared" si="92"/>
        <v>-----</v>
      </c>
      <c r="FJ69" s="20"/>
      <c r="FK69" s="5" t="str">
        <f t="shared" si="93"/>
        <v>-----</v>
      </c>
      <c r="FL69" s="5" t="str">
        <f t="shared" si="94"/>
        <v>-----</v>
      </c>
      <c r="FM69" s="20"/>
      <c r="FN69" s="20"/>
      <c r="FO69" s="23" t="str">
        <f t="shared" si="174"/>
        <v>Bearish</v>
      </c>
      <c r="FP69" s="23"/>
      <c r="FQ69" s="20">
        <f t="shared" ref="FQ69:FQ103" si="231">(AH69-AI69)/AI69</f>
        <v>-1.3085922164997446E-5</v>
      </c>
      <c r="FR69" s="20">
        <f t="shared" ref="FR69:FR103" si="232">STANDARDIZE(FQ69,AVERAGE($FQ$5:$FQ$103),_xlfn.STDEV.P($FQ$5:$FQ$103))</f>
        <v>1.2609449157729951</v>
      </c>
      <c r="FS69" s="20" t="str">
        <f t="shared" ref="FS69:FS103" si="233">IF(FR69&gt;PERCENTILE($FR$5:$FR$103,90%),"Reverse to Bearish",IF(FR69&gt;=PERCENTILE($FR$5:$FR$103,70%),"-----",IF(FR69&gt;=PERCENTILE($FR$5:$FR$103,30%),"-----",IF(FR69&gt;=PERCENTILE($FR$5:$FR$103,10%),"-----","Reverse to Bullish"))))</f>
        <v>Reverse to Bearish</v>
      </c>
      <c r="FT69" s="20" t="str">
        <f t="shared" ref="FT69:FT103" si="234">IF(AG69&gt;AH69,"Bullish","Bearish")</f>
        <v>Bullish</v>
      </c>
      <c r="FU69" s="20" t="str">
        <f t="shared" si="172"/>
        <v>-----</v>
      </c>
      <c r="FV69" s="20" t="str">
        <f t="shared" si="173"/>
        <v>-----</v>
      </c>
      <c r="FW69" s="20"/>
      <c r="FX69" s="20" t="str">
        <f t="shared" si="116"/>
        <v>YES</v>
      </c>
      <c r="FY69" s="20" t="str">
        <f t="shared" si="117"/>
        <v>YES</v>
      </c>
      <c r="FZ69" s="20" t="str">
        <f t="shared" si="118"/>
        <v>YES</v>
      </c>
      <c r="GA69" s="20" t="str">
        <f t="shared" si="119"/>
        <v>YES</v>
      </c>
      <c r="GB69" s="20" t="str">
        <f t="shared" si="107"/>
        <v>-----</v>
      </c>
      <c r="GC69" s="20" t="str">
        <f t="shared" si="108"/>
        <v>-----</v>
      </c>
      <c r="GD69" s="20" t="str">
        <f t="shared" si="109"/>
        <v>-----</v>
      </c>
      <c r="GE69" s="16" t="str">
        <f t="shared" si="112"/>
        <v>YES</v>
      </c>
      <c r="GF69" s="20" t="str">
        <f t="shared" si="110"/>
        <v>Open Sell / Close Buy</v>
      </c>
      <c r="GG69" s="16" t="str">
        <f t="shared" si="120"/>
        <v>-----</v>
      </c>
      <c r="GH69" s="14"/>
      <c r="GI69" s="5" t="str">
        <f t="shared" ref="GI69:GI103" si="235">IF(AND(H69&gt;AK69,H69&gt;E69),"Bullish Trigger","-----")</f>
        <v>-----</v>
      </c>
      <c r="GJ69" s="5" t="str">
        <f t="shared" ref="GJ69:GJ103" si="236">IF(AND(H69&lt;AL69,H69&lt;E69),"Bearish Trigger","-----")</f>
        <v>-----</v>
      </c>
      <c r="GK69" s="5"/>
      <c r="GL69" s="5" t="str">
        <f t="shared" ref="GL69:GL103" si="237">IF(G69&gt;AK69,"Bullish Spike","-----")</f>
        <v>-----</v>
      </c>
      <c r="GM69" s="5" t="str">
        <f t="shared" ref="GM69:GM103" si="238">IF(F69&lt;AL69,"Bearish Spike","-----")</f>
        <v>-----</v>
      </c>
      <c r="GN69" s="5"/>
      <c r="GO69" s="12">
        <f t="shared" ref="GO69:GO103" si="239">AK69-AL69</f>
        <v>4.6000000000020691E-2</v>
      </c>
      <c r="GP69" s="5">
        <f t="shared" si="97"/>
        <v>-0.68629199564733878</v>
      </c>
      <c r="GQ69" s="13" t="str">
        <f t="shared" si="98"/>
        <v>-----</v>
      </c>
      <c r="GR69" s="5"/>
      <c r="GS69">
        <f t="shared" si="99"/>
        <v>-0.69980585539880957</v>
      </c>
      <c r="GT69" s="5" t="str">
        <f t="shared" si="100"/>
        <v>-----</v>
      </c>
    </row>
    <row r="70" spans="1:202" x14ac:dyDescent="0.55000000000000004">
      <c r="A70" s="18">
        <v>66</v>
      </c>
      <c r="B70" s="18" t="s">
        <v>69</v>
      </c>
      <c r="C70" s="18" t="s">
        <v>4</v>
      </c>
      <c r="D70" s="18" t="s">
        <v>103</v>
      </c>
      <c r="E70" s="18">
        <v>152.84399999999999</v>
      </c>
      <c r="F70" s="18">
        <v>152.85300000000001</v>
      </c>
      <c r="G70" s="18">
        <v>152.798</v>
      </c>
      <c r="H70" s="18">
        <v>152.81</v>
      </c>
      <c r="I70" s="18">
        <v>146</v>
      </c>
      <c r="J70" s="18">
        <v>152.881</v>
      </c>
      <c r="K70" s="18">
        <v>152.887</v>
      </c>
      <c r="L70" s="18">
        <v>153.16399999999999</v>
      </c>
      <c r="M70" s="18">
        <v>152.61000000000001</v>
      </c>
      <c r="N70" s="18">
        <v>152.58799999999999</v>
      </c>
      <c r="O70" s="18">
        <v>152.87100000000001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0.29037000000000002</v>
      </c>
      <c r="V70" s="18">
        <v>3</v>
      </c>
      <c r="W70" s="18">
        <v>153.12642</v>
      </c>
      <c r="X70" s="18">
        <v>153.04203000000001</v>
      </c>
      <c r="Y70" s="18">
        <v>152.95764</v>
      </c>
      <c r="Z70" s="18">
        <v>152.87325000000001</v>
      </c>
      <c r="AA70" s="18">
        <v>152.78886</v>
      </c>
      <c r="AB70" s="18">
        <v>152.73670000000001</v>
      </c>
      <c r="AC70" s="18">
        <v>152.65231</v>
      </c>
      <c r="AD70" s="18">
        <v>152.56791999999999</v>
      </c>
      <c r="AE70" s="18">
        <v>152.48353</v>
      </c>
      <c r="AF70" s="18">
        <v>152.39914999999999</v>
      </c>
      <c r="AG70" s="18">
        <v>152.83699999999999</v>
      </c>
      <c r="AH70" s="18">
        <v>152.834</v>
      </c>
      <c r="AI70" s="18">
        <v>152.83500000000001</v>
      </c>
      <c r="AJ70" s="18">
        <v>152.94800000000001</v>
      </c>
      <c r="AK70" s="18">
        <v>152.86500000000001</v>
      </c>
      <c r="AL70" s="18">
        <v>152.81399999999999</v>
      </c>
      <c r="AM70" s="19">
        <f t="shared" si="179"/>
        <v>5.5000000000006821E-2</v>
      </c>
      <c r="AN70" s="19">
        <f t="shared" ref="AN70:AN103" si="240">ABS(F70-H69)</f>
        <v>9.0000000000145519E-3</v>
      </c>
      <c r="AO70" s="19">
        <f t="shared" ref="AO70:AO103" si="241">ABS(G70-H69)</f>
        <v>4.5999999999992269E-2</v>
      </c>
      <c r="AP70" s="19">
        <f t="shared" ref="AP70:AP101" si="242">MAX(AM70:AO70)</f>
        <v>5.5000000000006821E-2</v>
      </c>
      <c r="AQ70" s="18"/>
      <c r="AR70" s="20" t="str">
        <f t="shared" si="180"/>
        <v>------</v>
      </c>
      <c r="AS70" s="20" t="str">
        <f t="shared" si="181"/>
        <v>------</v>
      </c>
      <c r="AT70" s="18" t="str">
        <f t="shared" si="182"/>
        <v/>
      </c>
      <c r="AU70" s="18"/>
      <c r="AV70" s="21">
        <f t="shared" si="183"/>
        <v>152.90393215</v>
      </c>
      <c r="AW70" s="21">
        <f t="shared" si="184"/>
        <v>152.85806785</v>
      </c>
      <c r="AX70" s="21">
        <f t="shared" si="185"/>
        <v>152.90993305000001</v>
      </c>
      <c r="AY70" s="21">
        <f t="shared" si="186"/>
        <v>152.86406694999999</v>
      </c>
      <c r="AZ70" s="21">
        <f t="shared" si="187"/>
        <v>153.18697460000001</v>
      </c>
      <c r="BA70" s="21">
        <f t="shared" si="188"/>
        <v>153.14102539999999</v>
      </c>
      <c r="BB70" s="21">
        <f t="shared" si="189"/>
        <v>152.63289150000003</v>
      </c>
      <c r="BC70" s="21">
        <f t="shared" si="190"/>
        <v>152.58710850000003</v>
      </c>
      <c r="BD70" s="21">
        <f t="shared" si="191"/>
        <v>152.61088820000001</v>
      </c>
      <c r="BE70" s="21">
        <f t="shared" si="192"/>
        <v>152.56511179999998</v>
      </c>
      <c r="BF70" s="21">
        <f t="shared" si="193"/>
        <v>152.89393065000002</v>
      </c>
      <c r="BG70" s="21">
        <f t="shared" si="194"/>
        <v>152.84806935</v>
      </c>
      <c r="BH70" s="18"/>
      <c r="BI70" s="20" t="str">
        <f t="shared" ref="BI70:BI103" si="243">IF(AND(MAX($E70,$H70)&gt;=MIN(AV70,AW70),MAX(AV70,AW70)&gt;=MIN($E70,$H70)),"TOUCH","-----")</f>
        <v>-----</v>
      </c>
      <c r="BJ70" s="20" t="str">
        <f t="shared" ref="BJ70:BJ103" si="244">IF(AND(MAX($E70,$H70)&gt;=MIN(AX70,AY70),MAX(AX70,AY70)&gt;=MIN($E70,$H70)),"TOUCH","-----")</f>
        <v>-----</v>
      </c>
      <c r="BK70" s="20" t="str">
        <f t="shared" ref="BK70:BK103" si="245">IF(AND(MAX($E70,$H70)&gt;=MIN(AZ70,BA70),MAX(AZ70,BA70)&gt;=MIN($E70,$H70)),"TOUCH","-----")</f>
        <v>-----</v>
      </c>
      <c r="BL70" s="20" t="str">
        <f t="shared" ref="BL70:BL103" si="246">IF(AND(MAX($E70,$H70)&gt;=MIN(BB70,BC70),MAX(BB70,BC70)&gt;=MIN($E70,$H70)),"TOUCH","-----")</f>
        <v>-----</v>
      </c>
      <c r="BM70" s="20" t="str">
        <f t="shared" ref="BM70:BM103" si="247">IF(AND(MAX($E70,$H70)&gt;=MIN(BD70,BE70),MAX(BD70,BE70)&gt;=MIN($E70,$H70)),"TOUCH","-----")</f>
        <v>-----</v>
      </c>
      <c r="BN70" s="20" t="str">
        <f t="shared" ref="BN70:BN103" si="248">IF(AND(MAX($E70,$H70)&gt;=MIN(BF70,BG70),MAX(BF70,BG70)&gt;=MIN($E70,$H70)),"TOUCH","-----")</f>
        <v>-----</v>
      </c>
      <c r="BO70" s="20"/>
      <c r="BP70" s="20">
        <f t="shared" ref="BP70:BU85" si="249">IF(BI70="TOUCH",0,BP69+1)</f>
        <v>2</v>
      </c>
      <c r="BQ70" s="20">
        <f t="shared" si="249"/>
        <v>2</v>
      </c>
      <c r="BR70" s="20">
        <f t="shared" si="249"/>
        <v>64</v>
      </c>
      <c r="BS70" s="20">
        <f t="shared" si="249"/>
        <v>66</v>
      </c>
      <c r="BT70" s="20">
        <f t="shared" si="249"/>
        <v>66</v>
      </c>
      <c r="BU70" s="20">
        <f t="shared" si="249"/>
        <v>2</v>
      </c>
      <c r="BV70" s="20">
        <f t="shared" ref="BV70:CA85" si="250">IF(BI70="TOUCH",IF(BP69&gt;=3,1,BV69+1),BV69)</f>
        <v>2</v>
      </c>
      <c r="BW70" s="20">
        <f t="shared" si="250"/>
        <v>2</v>
      </c>
      <c r="BX70" s="20">
        <f t="shared" si="250"/>
        <v>2</v>
      </c>
      <c r="BY70" s="20">
        <f t="shared" si="250"/>
        <v>0</v>
      </c>
      <c r="BZ70" s="20">
        <f t="shared" si="250"/>
        <v>0</v>
      </c>
      <c r="CA70" s="20">
        <f t="shared" si="250"/>
        <v>7</v>
      </c>
      <c r="CB70" s="20" t="str">
        <f t="shared" si="102"/>
        <v>-----</v>
      </c>
      <c r="CC70" s="20" t="str">
        <f t="shared" si="102"/>
        <v>-----</v>
      </c>
      <c r="CD70" s="20" t="str">
        <f t="shared" si="102"/>
        <v>-----</v>
      </c>
      <c r="CE70" s="20" t="str">
        <f t="shared" si="102"/>
        <v>-----</v>
      </c>
      <c r="CF70" s="20" t="str">
        <f t="shared" si="102"/>
        <v>-----</v>
      </c>
      <c r="CG70" s="20" t="str">
        <f t="shared" si="195"/>
        <v>-----</v>
      </c>
      <c r="CH70" s="20"/>
      <c r="CI70" s="22" t="str">
        <f t="shared" si="196"/>
        <v>-----</v>
      </c>
      <c r="CJ70" s="22" t="str">
        <f t="shared" si="197"/>
        <v>-----</v>
      </c>
      <c r="CK70" s="22" t="str">
        <f t="shared" si="198"/>
        <v>-----</v>
      </c>
      <c r="CL70" s="22" t="str">
        <f t="shared" si="199"/>
        <v>-----</v>
      </c>
      <c r="CM70" s="22" t="str">
        <f t="shared" si="200"/>
        <v>-----</v>
      </c>
      <c r="CN70" s="22" t="str">
        <f t="shared" si="201"/>
        <v>-----</v>
      </c>
      <c r="CO70" s="20"/>
      <c r="CP70" s="20" t="str">
        <f t="shared" si="177"/>
        <v>-----</v>
      </c>
      <c r="CQ70" s="20" t="str">
        <f t="shared" si="177"/>
        <v>-----</v>
      </c>
      <c r="CR70" s="20" t="str">
        <f t="shared" si="177"/>
        <v>-----</v>
      </c>
      <c r="CS70" s="20" t="str">
        <f t="shared" si="177"/>
        <v>-----</v>
      </c>
      <c r="CT70" s="20" t="str">
        <f t="shared" si="177"/>
        <v>-----</v>
      </c>
      <c r="CU70" s="20" t="str">
        <f t="shared" si="177"/>
        <v>-----</v>
      </c>
      <c r="CV70" s="20"/>
      <c r="CW70" s="22" t="str">
        <f t="shared" si="178"/>
        <v/>
      </c>
      <c r="CX70" s="22" t="str">
        <f t="shared" si="178"/>
        <v/>
      </c>
      <c r="CY70" s="22" t="str">
        <f t="shared" si="178"/>
        <v/>
      </c>
      <c r="CZ70" s="22" t="str">
        <f t="shared" si="178"/>
        <v/>
      </c>
      <c r="DA70" s="22" t="str">
        <f t="shared" si="178"/>
        <v/>
      </c>
      <c r="DB70" s="22" t="str">
        <f t="shared" si="178"/>
        <v/>
      </c>
      <c r="DC70" s="23"/>
      <c r="DD70" s="20">
        <f t="shared" si="202"/>
        <v>0</v>
      </c>
      <c r="DE70" s="22" t="str">
        <f t="shared" ref="DE70:DE103" si="251">IF(DD70&gt;0,MIN(CW70:DB70),"-----")</f>
        <v>-----</v>
      </c>
      <c r="DF70" s="20" t="str" cm="1">
        <f t="array" ref="DF70">_xlfn.IFS(DE70=CW70,CP70,DE70=CX70,CQ70,DE70=CY70,CR70,DE70=CZ70,CS70,DE70=DA70,CT70,DE70=DB70,CU70,TRUE,"----- ")</f>
        <v xml:space="preserve">----- </v>
      </c>
      <c r="DG70" s="20"/>
      <c r="DH70" s="20">
        <f t="shared" ref="DH70:DH103" si="252">SLOPE($J$5:$J$103,$A$5:$A$103)</f>
        <v>-2.423265306122455E-3</v>
      </c>
      <c r="DI70" s="20">
        <f t="shared" ref="DI70:DI103" si="253">SLOPE(K$5:K$103,$A$5:$A$103)</f>
        <v>-3.7194805194805478E-4</v>
      </c>
      <c r="DJ70" s="20">
        <f t="shared" ref="DJ70:DJ103" si="254">SLOPE(L$5:L$103,$A$5:$A$103)</f>
        <v>-1.6402721088435472E-3</v>
      </c>
      <c r="DK70" s="20">
        <f t="shared" ref="DK70:DK103" si="255">SLOPE(M$5:M$103,$A$5:$A$103)</f>
        <v>7.6471243042669956E-4</v>
      </c>
      <c r="DL70" s="20">
        <f t="shared" ref="DL70:DL103" si="256">SLOPE(N$5:N$103,$A$5:$A$103)</f>
        <v>-2.3081014223875058E-4</v>
      </c>
      <c r="DM70" s="20">
        <f t="shared" ref="DM70:DM103" si="257">SLOPE(O$5:O$103,$A$5:$A$103)</f>
        <v>1.5802844774273381E-3</v>
      </c>
      <c r="DN70" s="18"/>
      <c r="DO70" s="20">
        <f t="shared" si="203"/>
        <v>-1.9079214597220278</v>
      </c>
      <c r="DP70" s="20">
        <f t="shared" si="204"/>
        <v>-0.29295343676527091</v>
      </c>
      <c r="DQ70" s="20">
        <f t="shared" si="205"/>
        <v>-1.2917022253843653</v>
      </c>
      <c r="DR70" s="20">
        <f t="shared" si="206"/>
        <v>0.60228527619529781</v>
      </c>
      <c r="DS70" s="20">
        <f t="shared" si="207"/>
        <v>-0.18179147971962978</v>
      </c>
      <c r="DT70" s="20">
        <f t="shared" si="208"/>
        <v>1.2444775446344229</v>
      </c>
      <c r="DU70" s="18"/>
      <c r="DV70" s="18" t="str" cm="1">
        <f t="array" ref="DV70">_xlfn.IFS(DO70&gt;3,"Strong + Slope",DO70&gt;1.5,"Moderate + Slope",DO70&gt;0.5,"Sideway + Slope",DO70&gt;=-0.5,"Sideway Flat",DO70&gt;=-1.5,"Sideway - Slope",DO70&gt;=-3,"Moderate - Slope",TRUE,"Strong - Slope")</f>
        <v>Moderate - Slope</v>
      </c>
      <c r="DW70" s="18" t="str" cm="1">
        <f t="array" ref="DW70">_xlfn.IFS(DP70&gt;3,"Strong + Slope",DP70&gt;1.5,"Moderate + Slope",DP70&gt;0.5,"Sideway + Slope",DP70&gt;=-0.5,"Sideway Flat",DP70&gt;=-1.5,"Sideway - Slope",DP70&gt;=-3,"Moderate - Slope",TRUE,"Strong - Slope")</f>
        <v>Sideway Flat</v>
      </c>
      <c r="DX70" s="18" t="str" cm="1">
        <f t="array" ref="DX70">_xlfn.IFS(DQ70&gt;3,"Strong + Slope",DQ70&gt;1.5,"Moderate + Slope",DQ70&gt;0.5,"Sideway + Slope",DQ70&gt;=-0.5,"Sideway Flat",DQ70&gt;=-1.5,"Sideway - Slope",DQ70&gt;=-3,"Moderate - Slope",TRUE,"Strong - Slope")</f>
        <v>Sideway - Slope</v>
      </c>
      <c r="DY70" s="18" t="str" cm="1">
        <f t="array" ref="DY70">_xlfn.IFS(DR70&gt;3,"Strong + Slope",DR70&gt;1.5,"Moderate + Slope",DR70&gt;0.5,"Sideway + Slope",DR70&gt;=-0.5,"Sideway Flat",DR70&gt;=-1.5,"Sideway - Slope",DR70&gt;=-3,"Moderate - Slope",TRUE,"Strong - Slope")</f>
        <v>Sideway + Slope</v>
      </c>
      <c r="DZ70" s="18" t="str" cm="1">
        <f t="array" ref="DZ70">_xlfn.IFS(DS70&gt;3,"Strong + Slope",DS70&gt;1.5,"Moderate + Slope",DS70&gt;0.5,"Sideway + Slope",DS70&gt;=-0.5,"Sideway Flat",DS70&gt;=-1.5,"Sideway - Slope",DS70&gt;=-3,"Moderate - Slope",TRUE,"Strong - Slope")</f>
        <v>Sideway Flat</v>
      </c>
      <c r="EA70" s="18" t="str" cm="1">
        <f t="array" ref="EA70">_xlfn.IFS(DT70&gt;3,"Strong + Slope",DT70&gt;1.5,"Moderate + Slope",DT70&gt;0.5,"Sideway + Slope",DT70&gt;=-0.5,"Sideway Flat",DT70&gt;=-1.5,"Sideway - Slope",DT70&gt;=-3,"Moderate - Slope",TRUE,"Strong - Slope")</f>
        <v>Sideway + Slope</v>
      </c>
      <c r="EB70" s="20"/>
      <c r="EC70" s="20">
        <f t="shared" si="209"/>
        <v>3</v>
      </c>
      <c r="ED70" s="20">
        <f t="shared" si="210"/>
        <v>2</v>
      </c>
      <c r="EE70" s="20">
        <f t="shared" si="211"/>
        <v>1</v>
      </c>
      <c r="EF70" s="20">
        <f t="shared" si="212"/>
        <v>5</v>
      </c>
      <c r="EG70" s="20">
        <f t="shared" si="213"/>
        <v>6</v>
      </c>
      <c r="EH70" s="20">
        <f t="shared" si="214"/>
        <v>4</v>
      </c>
      <c r="EI70" s="20"/>
      <c r="EJ70" s="20" t="str">
        <f t="shared" si="215"/>
        <v>RES</v>
      </c>
      <c r="EK70" s="20" t="str">
        <f t="shared" si="216"/>
        <v>RES</v>
      </c>
      <c r="EL70" s="20" t="str">
        <f t="shared" si="217"/>
        <v>RES</v>
      </c>
      <c r="EM70" s="20" t="str">
        <f t="shared" si="218"/>
        <v>SUP</v>
      </c>
      <c r="EN70" s="20" t="str">
        <f t="shared" si="219"/>
        <v>SUP</v>
      </c>
      <c r="EO70" s="20" t="str">
        <f t="shared" si="220"/>
        <v>RES</v>
      </c>
      <c r="EP70" s="20"/>
      <c r="EQ70" s="23">
        <f t="shared" si="221"/>
        <v>4.6462927818858684E-4</v>
      </c>
      <c r="ER70" s="23">
        <f t="shared" si="222"/>
        <v>5.0389372423269535E-4</v>
      </c>
      <c r="ES70" s="23">
        <f t="shared" si="223"/>
        <v>2.3166023166022185E-3</v>
      </c>
      <c r="ET70" s="23">
        <f t="shared" si="224"/>
        <v>-1.3088148681368276E-3</v>
      </c>
      <c r="EU70" s="23">
        <f t="shared" si="225"/>
        <v>-1.4527845036320162E-3</v>
      </c>
      <c r="EV70" s="23">
        <f t="shared" si="226"/>
        <v>3.9918853478180123E-4</v>
      </c>
      <c r="EW70" s="23"/>
      <c r="EX70" s="23">
        <f t="shared" si="227"/>
        <v>0.38541666666668567</v>
      </c>
      <c r="EY70" s="24">
        <f t="shared" si="228"/>
        <v>4</v>
      </c>
      <c r="EZ70" s="25">
        <f t="shared" si="229"/>
        <v>2</v>
      </c>
      <c r="FA70" s="23">
        <f t="shared" ref="FA70:FA103" si="258">LARGE($EQ70:$EV70,1)</f>
        <v>2.3166023166022185E-3</v>
      </c>
      <c r="FB70" s="23">
        <f t="shared" ref="FB70:FB103" si="259">LARGE($EQ70:$EV70,2)</f>
        <v>5.0389372423269535E-4</v>
      </c>
      <c r="FC70" s="23">
        <f t="shared" ref="FC70:FC103" si="260">LARGE($EQ70:$EV70,3)</f>
        <v>4.6462927818858684E-4</v>
      </c>
      <c r="FD70" s="23">
        <f t="shared" ref="FD70:FD103" si="261">LARGE($EQ70:$EV70,4)</f>
        <v>3.9918853478180123E-4</v>
      </c>
      <c r="FE70" s="23">
        <f t="shared" ref="FE70:FE103" si="262">LARGE($EQ70:$EV70,5)</f>
        <v>-1.3088148681368276E-3</v>
      </c>
      <c r="FF70" s="23">
        <f t="shared" ref="FF70:FF103" si="263">LARGE($EQ70:$EV70,6)</f>
        <v>-1.4527845036320162E-3</v>
      </c>
      <c r="FG70" s="20"/>
      <c r="FH70" s="5" t="str">
        <f t="shared" si="230"/>
        <v>Flat Momentum</v>
      </c>
      <c r="FI70" s="5" t="str">
        <f t="shared" ref="FI70:FI103" si="264">IF(AG70&lt;AF70,"Oversold",IF(AG70&lt;AD70,"Bearish Momentum",IF(AG70&lt;AB70,"Flat Momentum","-----")))</f>
        <v>-----</v>
      </c>
      <c r="FJ70" s="20"/>
      <c r="FK70" s="5" t="str">
        <f t="shared" ref="FK70:FK103" si="265">IF(AND(FH70="Overbought",V70=2),"Culminated Thrust","-----")</f>
        <v>-----</v>
      </c>
      <c r="FL70" s="5" t="str">
        <f t="shared" ref="FL70:FL103" si="266">IF(AND(FI70="Oversold",V70=5),"Culminated Thrust","-----")</f>
        <v>-----</v>
      </c>
      <c r="FM70" s="20"/>
      <c r="FN70" s="20"/>
      <c r="FO70" s="23" t="str">
        <f t="shared" si="174"/>
        <v>Bearish</v>
      </c>
      <c r="FP70" s="23"/>
      <c r="FQ70" s="20">
        <f t="shared" si="231"/>
        <v>-6.5430038931185578E-6</v>
      </c>
      <c r="FR70" s="20">
        <f t="shared" si="232"/>
        <v>1.2798150373852861</v>
      </c>
      <c r="FS70" s="20" t="str">
        <f t="shared" si="233"/>
        <v>Reverse to Bearish</v>
      </c>
      <c r="FT70" s="20" t="str">
        <f t="shared" si="234"/>
        <v>Bullish</v>
      </c>
      <c r="FU70" s="20" t="str">
        <f t="shared" ref="FU70:FU103" si="267">IF(AND(H70&gt;AG70,H69&lt;AG69),"TEMA crossover","-----")</f>
        <v>-----</v>
      </c>
      <c r="FV70" s="20" t="str">
        <f t="shared" ref="FV70:FV103" si="268">IF(AND(H70&lt;AG70,H69&gt;AG69),"TEMA crossunder","-----")</f>
        <v>-----</v>
      </c>
      <c r="FW70" s="20"/>
      <c r="FX70" s="20" t="str">
        <f t="shared" si="116"/>
        <v>YES</v>
      </c>
      <c r="FY70" s="20" t="str">
        <f t="shared" si="117"/>
        <v>YES</v>
      </c>
      <c r="FZ70" s="20" t="str">
        <f t="shared" si="118"/>
        <v>YES</v>
      </c>
      <c r="GA70" s="20" t="str">
        <f t="shared" si="119"/>
        <v>YES</v>
      </c>
      <c r="GB70" s="20" t="str">
        <f t="shared" si="107"/>
        <v>-----</v>
      </c>
      <c r="GC70" s="20" t="str">
        <f t="shared" si="108"/>
        <v>-----</v>
      </c>
      <c r="GD70" s="20" t="str">
        <f t="shared" si="109"/>
        <v>-----</v>
      </c>
      <c r="GE70" s="16" t="str">
        <f t="shared" si="112"/>
        <v>-----</v>
      </c>
      <c r="GF70" s="20" t="str">
        <f t="shared" si="110"/>
        <v>Open Sell / Close Buy</v>
      </c>
      <c r="GG70" s="16" t="str">
        <f t="shared" si="120"/>
        <v>-----</v>
      </c>
      <c r="GH70" s="14"/>
      <c r="GI70" s="5" t="str">
        <f t="shared" si="235"/>
        <v>-----</v>
      </c>
      <c r="GJ70" s="5" t="str">
        <f t="shared" si="236"/>
        <v>Bearish Trigger</v>
      </c>
      <c r="GK70" s="5"/>
      <c r="GL70" s="5" t="str">
        <f t="shared" si="237"/>
        <v>-----</v>
      </c>
      <c r="GM70" s="5" t="str">
        <f t="shared" si="238"/>
        <v>-----</v>
      </c>
      <c r="GN70" s="5"/>
      <c r="GO70" s="12">
        <f t="shared" si="239"/>
        <v>5.1000000000016144E-2</v>
      </c>
      <c r="GP70" s="5">
        <f t="shared" ref="GP70:GP103" si="269">STANDARDIZE(GO70,AVERAGE($GO$5:$GO$103),_xlfn.STDEV.P($GO$5:$GO$103))</f>
        <v>-0.57105639936330366</v>
      </c>
      <c r="GQ70" s="13" t="str">
        <f t="shared" ref="GQ70:GQ103" si="270">IF(GP70&gt;=PERCENTILE($GP$5:$GP$103,90%),"Price Distribution","-----")</f>
        <v>-----</v>
      </c>
      <c r="GR70" s="5"/>
      <c r="GS70">
        <f t="shared" ref="GS70:GS103" si="271">STANDARDIZE(I70,AVERAGE($I$5:$I$103),_xlfn.STDEV.P($I$5:$I$103))</f>
        <v>-0.91921219940704291</v>
      </c>
      <c r="GT70" s="5" t="str">
        <f t="shared" ref="GT70:GT103" si="272">IF(GS70&gt;=PERCENTILE($GS$5:$GS$103,90%),"High Volume","-----")</f>
        <v>-----</v>
      </c>
    </row>
    <row r="71" spans="1:202" x14ac:dyDescent="0.55000000000000004">
      <c r="A71">
        <v>67</v>
      </c>
      <c r="B71" t="s">
        <v>70</v>
      </c>
      <c r="C71" t="s">
        <v>4</v>
      </c>
      <c r="D71" t="s">
        <v>103</v>
      </c>
      <c r="E71">
        <v>152.81</v>
      </c>
      <c r="F71">
        <v>152.815</v>
      </c>
      <c r="G71">
        <v>152.80000000000001</v>
      </c>
      <c r="H71">
        <v>152.809</v>
      </c>
      <c r="I71">
        <v>149</v>
      </c>
      <c r="J71">
        <v>152.87799999999999</v>
      </c>
      <c r="K71">
        <v>152.887</v>
      </c>
      <c r="L71">
        <v>153.16300000000001</v>
      </c>
      <c r="M71">
        <v>152.61099999999999</v>
      </c>
      <c r="N71">
        <v>152.58799999999999</v>
      </c>
      <c r="O71">
        <v>152.87200000000001</v>
      </c>
      <c r="P71">
        <v>0</v>
      </c>
      <c r="Q71">
        <v>0</v>
      </c>
      <c r="R71">
        <v>0</v>
      </c>
      <c r="S71">
        <v>0</v>
      </c>
      <c r="T71">
        <v>0</v>
      </c>
      <c r="U71">
        <v>1.07802</v>
      </c>
      <c r="V71">
        <v>3</v>
      </c>
      <c r="W71">
        <v>153.12522999999999</v>
      </c>
      <c r="X71">
        <v>153.04128</v>
      </c>
      <c r="Y71">
        <v>152.95733999999999</v>
      </c>
      <c r="Z71">
        <v>152.87339</v>
      </c>
      <c r="AA71">
        <v>152.78944999999999</v>
      </c>
      <c r="AB71">
        <v>152.73938999999999</v>
      </c>
      <c r="AC71">
        <v>152.65545</v>
      </c>
      <c r="AD71">
        <v>152.57150999999999</v>
      </c>
      <c r="AE71">
        <v>152.48756</v>
      </c>
      <c r="AF71">
        <v>152.40361999999999</v>
      </c>
      <c r="AG71">
        <v>152.82300000000001</v>
      </c>
      <c r="AH71">
        <v>152.83199999999999</v>
      </c>
      <c r="AI71">
        <v>152.833</v>
      </c>
      <c r="AJ71">
        <v>152.94399999999999</v>
      </c>
      <c r="AK71">
        <v>152.84200000000001</v>
      </c>
      <c r="AL71">
        <v>152.80699999999999</v>
      </c>
      <c r="AM71" s="11">
        <f t="shared" si="179"/>
        <v>1.4999999999986358E-2</v>
      </c>
      <c r="AN71" s="11">
        <f t="shared" si="240"/>
        <v>4.9999999999954525E-3</v>
      </c>
      <c r="AO71" s="11">
        <f t="shared" si="241"/>
        <v>9.9999999999909051E-3</v>
      </c>
      <c r="AP71" s="11">
        <f t="shared" si="242"/>
        <v>1.4999999999986358E-2</v>
      </c>
      <c r="AR71" s="5" t="str">
        <f t="shared" si="180"/>
        <v>------</v>
      </c>
      <c r="AS71" s="5" t="str">
        <f t="shared" si="181"/>
        <v>------</v>
      </c>
      <c r="AT71" t="str">
        <f t="shared" si="182"/>
        <v/>
      </c>
      <c r="AV71" s="2">
        <f t="shared" si="183"/>
        <v>152.9009317</v>
      </c>
      <c r="AW71" s="2">
        <f t="shared" si="184"/>
        <v>152.8550683</v>
      </c>
      <c r="AX71" s="2">
        <f t="shared" si="185"/>
        <v>152.90993305000001</v>
      </c>
      <c r="AY71" s="2">
        <f t="shared" si="186"/>
        <v>152.86406694999999</v>
      </c>
      <c r="AZ71" s="2">
        <f t="shared" si="187"/>
        <v>153.18597445000003</v>
      </c>
      <c r="BA71" s="2">
        <f t="shared" si="188"/>
        <v>153.14002555000002</v>
      </c>
      <c r="BB71" s="2">
        <f t="shared" si="189"/>
        <v>152.63389165000001</v>
      </c>
      <c r="BC71" s="2">
        <f t="shared" si="190"/>
        <v>152.58810835</v>
      </c>
      <c r="BD71" s="2">
        <f t="shared" si="191"/>
        <v>152.61088820000001</v>
      </c>
      <c r="BE71" s="2">
        <f t="shared" si="192"/>
        <v>152.56511179999998</v>
      </c>
      <c r="BF71" s="2">
        <f t="shared" si="193"/>
        <v>152.89493080000003</v>
      </c>
      <c r="BG71" s="2">
        <f t="shared" si="194"/>
        <v>152.84906920000003</v>
      </c>
      <c r="BI71" s="5" t="str">
        <f t="shared" si="243"/>
        <v>-----</v>
      </c>
      <c r="BJ71" s="5" t="str">
        <f t="shared" si="244"/>
        <v>-----</v>
      </c>
      <c r="BK71" s="5" t="str">
        <f t="shared" si="245"/>
        <v>-----</v>
      </c>
      <c r="BL71" s="5" t="str">
        <f t="shared" si="246"/>
        <v>-----</v>
      </c>
      <c r="BM71" s="5" t="str">
        <f t="shared" si="247"/>
        <v>-----</v>
      </c>
      <c r="BN71" s="5" t="str">
        <f t="shared" si="248"/>
        <v>-----</v>
      </c>
      <c r="BO71" s="5"/>
      <c r="BP71" s="5">
        <f t="shared" si="249"/>
        <v>3</v>
      </c>
      <c r="BQ71" s="5">
        <f t="shared" si="249"/>
        <v>3</v>
      </c>
      <c r="BR71" s="5">
        <f t="shared" si="249"/>
        <v>65</v>
      </c>
      <c r="BS71" s="5">
        <f t="shared" si="249"/>
        <v>67</v>
      </c>
      <c r="BT71" s="5">
        <f t="shared" si="249"/>
        <v>67</v>
      </c>
      <c r="BU71" s="5">
        <f t="shared" si="249"/>
        <v>3</v>
      </c>
      <c r="BV71" s="5">
        <f t="shared" si="250"/>
        <v>2</v>
      </c>
      <c r="BW71" s="5">
        <f t="shared" si="250"/>
        <v>2</v>
      </c>
      <c r="BX71" s="5">
        <f t="shared" si="250"/>
        <v>2</v>
      </c>
      <c r="BY71" s="5">
        <f t="shared" si="250"/>
        <v>0</v>
      </c>
      <c r="BZ71" s="5">
        <f t="shared" si="250"/>
        <v>0</v>
      </c>
      <c r="CA71" s="5">
        <f t="shared" si="250"/>
        <v>7</v>
      </c>
      <c r="CB71" s="5" t="str">
        <f t="shared" si="102"/>
        <v>-----</v>
      </c>
      <c r="CC71" s="5" t="str">
        <f t="shared" si="102"/>
        <v>-----</v>
      </c>
      <c r="CD71" s="5" t="str">
        <f t="shared" si="102"/>
        <v>-----</v>
      </c>
      <c r="CE71" s="5" t="str">
        <f t="shared" si="102"/>
        <v>-----</v>
      </c>
      <c r="CF71" s="5" t="str">
        <f t="shared" si="102"/>
        <v>-----</v>
      </c>
      <c r="CG71" s="5" t="str">
        <f t="shared" si="195"/>
        <v>-----</v>
      </c>
      <c r="CH71" s="5"/>
      <c r="CI71" s="17" t="str">
        <f t="shared" si="196"/>
        <v>-----</v>
      </c>
      <c r="CJ71" s="17" t="str">
        <f t="shared" si="197"/>
        <v>-----</v>
      </c>
      <c r="CK71" s="17" t="str">
        <f t="shared" si="198"/>
        <v>-----</v>
      </c>
      <c r="CL71" s="17" t="str">
        <f t="shared" si="199"/>
        <v>-----</v>
      </c>
      <c r="CM71" s="17" t="str">
        <f t="shared" si="200"/>
        <v>-----</v>
      </c>
      <c r="CN71" s="17" t="str">
        <f t="shared" si="201"/>
        <v>-----</v>
      </c>
      <c r="CO71" s="5"/>
      <c r="CP71" s="5" t="str">
        <f t="shared" si="177"/>
        <v>-----</v>
      </c>
      <c r="CQ71" s="5" t="str">
        <f t="shared" si="177"/>
        <v>-----</v>
      </c>
      <c r="CR71" s="5" t="str">
        <f t="shared" si="177"/>
        <v>-----</v>
      </c>
      <c r="CS71" s="5" t="str">
        <f t="shared" si="177"/>
        <v>-----</v>
      </c>
      <c r="CT71" s="5" t="str">
        <f t="shared" si="177"/>
        <v>-----</v>
      </c>
      <c r="CU71" s="5" t="str">
        <f t="shared" si="177"/>
        <v>-----</v>
      </c>
      <c r="CV71" s="5"/>
      <c r="CW71" s="17" t="str">
        <f t="shared" si="178"/>
        <v/>
      </c>
      <c r="CX71" s="17" t="str">
        <f t="shared" si="178"/>
        <v/>
      </c>
      <c r="CY71" s="17" t="str">
        <f t="shared" si="178"/>
        <v/>
      </c>
      <c r="CZ71" s="17" t="str">
        <f t="shared" si="178"/>
        <v/>
      </c>
      <c r="DA71" s="17" t="str">
        <f t="shared" si="178"/>
        <v/>
      </c>
      <c r="DB71" s="17" t="str">
        <f t="shared" si="178"/>
        <v/>
      </c>
      <c r="DC71" s="8"/>
      <c r="DD71" s="5">
        <f t="shared" si="202"/>
        <v>0</v>
      </c>
      <c r="DE71" s="17" t="str">
        <f t="shared" si="251"/>
        <v>-----</v>
      </c>
      <c r="DF71" s="5" t="str" cm="1">
        <f t="array" ref="DF71">_xlfn.IFS(DE71=CW71,CP71,DE71=CX71,CQ71,DE71=CY71,CR71,DE71=CZ71,CS71,DE71=DA71,CT71,DE71=DB71,CU71,TRUE,"----- ")</f>
        <v xml:space="preserve">----- </v>
      </c>
      <c r="DG71" s="5"/>
      <c r="DH71" s="5">
        <f t="shared" si="252"/>
        <v>-2.423265306122455E-3</v>
      </c>
      <c r="DI71" s="5">
        <f t="shared" si="253"/>
        <v>-3.7194805194805478E-4</v>
      </c>
      <c r="DJ71" s="5">
        <f t="shared" si="254"/>
        <v>-1.6402721088435472E-3</v>
      </c>
      <c r="DK71" s="5">
        <f t="shared" si="255"/>
        <v>7.6471243042669956E-4</v>
      </c>
      <c r="DL71" s="5">
        <f t="shared" si="256"/>
        <v>-2.3081014223875058E-4</v>
      </c>
      <c r="DM71" s="5">
        <f t="shared" si="257"/>
        <v>1.5802844774273381E-3</v>
      </c>
      <c r="DO71" s="5">
        <f t="shared" si="203"/>
        <v>-1.9079214597220278</v>
      </c>
      <c r="DP71" s="5">
        <f t="shared" si="204"/>
        <v>-0.29295343676527091</v>
      </c>
      <c r="DQ71" s="5">
        <f t="shared" si="205"/>
        <v>-1.2917022253843653</v>
      </c>
      <c r="DR71" s="5">
        <f t="shared" si="206"/>
        <v>0.60228527619529781</v>
      </c>
      <c r="DS71" s="5">
        <f t="shared" si="207"/>
        <v>-0.18179147971962978</v>
      </c>
      <c r="DT71" s="5">
        <f t="shared" si="208"/>
        <v>1.2444775446344229</v>
      </c>
      <c r="DV71" t="str" cm="1">
        <f t="array" ref="DV71">_xlfn.IFS(DO71&gt;3,"Strong + Slope",DO71&gt;1.5,"Moderate + Slope",DO71&gt;0.5,"Sideway + Slope",DO71&gt;=-0.5,"Sideway Flat",DO71&gt;=-1.5,"Sideway - Slope",DO71&gt;=-3,"Moderate - Slope",TRUE,"Strong - Slope")</f>
        <v>Moderate - Slope</v>
      </c>
      <c r="DW71" t="str" cm="1">
        <f t="array" ref="DW71">_xlfn.IFS(DP71&gt;3,"Strong + Slope",DP71&gt;1.5,"Moderate + Slope",DP71&gt;0.5,"Sideway + Slope",DP71&gt;=-0.5,"Sideway Flat",DP71&gt;=-1.5,"Sideway - Slope",DP71&gt;=-3,"Moderate - Slope",TRUE,"Strong - Slope")</f>
        <v>Sideway Flat</v>
      </c>
      <c r="DX71" t="str" cm="1">
        <f t="array" ref="DX71">_xlfn.IFS(DQ71&gt;3,"Strong + Slope",DQ71&gt;1.5,"Moderate + Slope",DQ71&gt;0.5,"Sideway + Slope",DQ71&gt;=-0.5,"Sideway Flat",DQ71&gt;=-1.5,"Sideway - Slope",DQ71&gt;=-3,"Moderate - Slope",TRUE,"Strong - Slope")</f>
        <v>Sideway - Slope</v>
      </c>
      <c r="DY71" t="str" cm="1">
        <f t="array" ref="DY71">_xlfn.IFS(DR71&gt;3,"Strong + Slope",DR71&gt;1.5,"Moderate + Slope",DR71&gt;0.5,"Sideway + Slope",DR71&gt;=-0.5,"Sideway Flat",DR71&gt;=-1.5,"Sideway - Slope",DR71&gt;=-3,"Moderate - Slope",TRUE,"Strong - Slope")</f>
        <v>Sideway + Slope</v>
      </c>
      <c r="DZ71" t="str" cm="1">
        <f t="array" ref="DZ71">_xlfn.IFS(DS71&gt;3,"Strong + Slope",DS71&gt;1.5,"Moderate + Slope",DS71&gt;0.5,"Sideway + Slope",DS71&gt;=-0.5,"Sideway Flat",DS71&gt;=-1.5,"Sideway - Slope",DS71&gt;=-3,"Moderate - Slope",TRUE,"Strong - Slope")</f>
        <v>Sideway Flat</v>
      </c>
      <c r="EA71" t="str" cm="1">
        <f t="array" ref="EA71">_xlfn.IFS(DT71&gt;3,"Strong + Slope",DT71&gt;1.5,"Moderate + Slope",DT71&gt;0.5,"Sideway + Slope",DT71&gt;=-0.5,"Sideway Flat",DT71&gt;=-1.5,"Sideway - Slope",DT71&gt;=-3,"Moderate - Slope",TRUE,"Strong - Slope")</f>
        <v>Sideway + Slope</v>
      </c>
      <c r="EB71" s="5"/>
      <c r="EC71" s="5">
        <f t="shared" si="209"/>
        <v>3</v>
      </c>
      <c r="ED71" s="5">
        <f t="shared" si="210"/>
        <v>2</v>
      </c>
      <c r="EE71" s="5">
        <f t="shared" si="211"/>
        <v>1</v>
      </c>
      <c r="EF71" s="5">
        <f t="shared" si="212"/>
        <v>5</v>
      </c>
      <c r="EG71" s="5">
        <f t="shared" si="213"/>
        <v>6</v>
      </c>
      <c r="EH71" s="5">
        <f t="shared" si="214"/>
        <v>4</v>
      </c>
      <c r="EI71" s="5"/>
      <c r="EJ71" s="5" t="str">
        <f t="shared" si="215"/>
        <v>RES</v>
      </c>
      <c r="EK71" s="5" t="str">
        <f t="shared" si="216"/>
        <v>RES</v>
      </c>
      <c r="EL71" s="5" t="str">
        <f t="shared" si="217"/>
        <v>RES</v>
      </c>
      <c r="EM71" s="5" t="str">
        <f t="shared" si="218"/>
        <v>SUP</v>
      </c>
      <c r="EN71" s="5" t="str">
        <f t="shared" si="219"/>
        <v>SUP</v>
      </c>
      <c r="EO71" s="5" t="str">
        <f t="shared" si="220"/>
        <v>RES</v>
      </c>
      <c r="EP71" s="5"/>
      <c r="EQ71" s="8">
        <f t="shared" si="221"/>
        <v>4.5154408444521201E-4</v>
      </c>
      <c r="ER71" s="8">
        <f t="shared" si="222"/>
        <v>5.1044113893817091E-4</v>
      </c>
      <c r="ES71" s="8">
        <f t="shared" si="223"/>
        <v>2.3166174767193909E-3</v>
      </c>
      <c r="ET71" s="8">
        <f t="shared" si="224"/>
        <v>-1.2957351988430491E-3</v>
      </c>
      <c r="EU71" s="8">
        <f t="shared" si="225"/>
        <v>-1.4462498936581199E-3</v>
      </c>
      <c r="EV71" s="8">
        <f t="shared" si="226"/>
        <v>4.1227938145015411E-4</v>
      </c>
      <c r="EW71" s="8"/>
      <c r="EX71" s="8">
        <f t="shared" si="227"/>
        <v>0.38434782608695145</v>
      </c>
      <c r="EY71" s="9">
        <f t="shared" si="228"/>
        <v>4</v>
      </c>
      <c r="EZ71" s="10">
        <f t="shared" si="229"/>
        <v>2</v>
      </c>
      <c r="FA71" s="8">
        <f t="shared" si="258"/>
        <v>2.3166174767193909E-3</v>
      </c>
      <c r="FB71" s="8">
        <f t="shared" si="259"/>
        <v>5.1044113893817091E-4</v>
      </c>
      <c r="FC71" s="8">
        <f t="shared" si="260"/>
        <v>4.5154408444521201E-4</v>
      </c>
      <c r="FD71" s="8">
        <f t="shared" si="261"/>
        <v>4.1227938145015411E-4</v>
      </c>
      <c r="FE71" s="8">
        <f t="shared" si="262"/>
        <v>-1.2957351988430491E-3</v>
      </c>
      <c r="FF71" s="8">
        <f t="shared" si="263"/>
        <v>-1.4462498936581199E-3</v>
      </c>
      <c r="FG71" s="5"/>
      <c r="FH71" s="5" t="str">
        <f t="shared" si="230"/>
        <v>Flat Momentum</v>
      </c>
      <c r="FI71" s="5" t="str">
        <f t="shared" si="264"/>
        <v>-----</v>
      </c>
      <c r="FJ71" s="5"/>
      <c r="FK71" s="5" t="str">
        <f t="shared" si="265"/>
        <v>-----</v>
      </c>
      <c r="FL71" s="5" t="str">
        <f t="shared" si="266"/>
        <v>-----</v>
      </c>
      <c r="FM71" s="5"/>
      <c r="FN71" s="5"/>
      <c r="FO71" s="8" t="str">
        <f t="shared" si="174"/>
        <v>Bearish</v>
      </c>
      <c r="FP71" s="8"/>
      <c r="FQ71" s="14">
        <f t="shared" si="231"/>
        <v>-6.5430895160389107E-6</v>
      </c>
      <c r="FR71" s="14">
        <f t="shared" si="232"/>
        <v>1.2798147904442649</v>
      </c>
      <c r="FS71" s="14" t="str">
        <f t="shared" si="233"/>
        <v>Reverse to Bearish</v>
      </c>
      <c r="FT71" s="14" t="str">
        <f t="shared" si="234"/>
        <v>Bearish</v>
      </c>
      <c r="FU71" s="5" t="str">
        <f t="shared" si="267"/>
        <v>-----</v>
      </c>
      <c r="FV71" s="5" t="str">
        <f t="shared" si="268"/>
        <v>-----</v>
      </c>
      <c r="FW71" s="5"/>
      <c r="FX71" s="15" t="str">
        <f t="shared" si="116"/>
        <v>YES</v>
      </c>
      <c r="FY71" s="15" t="str">
        <f t="shared" si="117"/>
        <v>YES</v>
      </c>
      <c r="FZ71" s="15" t="str">
        <f t="shared" si="118"/>
        <v>-----</v>
      </c>
      <c r="GA71" s="15" t="str">
        <f t="shared" si="119"/>
        <v>YES</v>
      </c>
      <c r="GB71" s="16" t="str">
        <f t="shared" si="107"/>
        <v>-----</v>
      </c>
      <c r="GC71" s="16" t="str">
        <f t="shared" si="108"/>
        <v>-----</v>
      </c>
      <c r="GD71" s="16" t="str">
        <f t="shared" si="109"/>
        <v>-----</v>
      </c>
      <c r="GE71" s="16" t="str">
        <f t="shared" si="112"/>
        <v>-----</v>
      </c>
      <c r="GF71" s="15" t="str">
        <f t="shared" si="110"/>
        <v>-----</v>
      </c>
      <c r="GG71" s="16" t="str">
        <f t="shared" si="120"/>
        <v>-----</v>
      </c>
      <c r="GH71" s="14"/>
      <c r="GI71" s="5" t="str">
        <f t="shared" si="235"/>
        <v>-----</v>
      </c>
      <c r="GJ71" s="5" t="str">
        <f t="shared" si="236"/>
        <v>-----</v>
      </c>
      <c r="GK71" s="5"/>
      <c r="GL71" s="5" t="str">
        <f t="shared" si="237"/>
        <v>-----</v>
      </c>
      <c r="GM71" s="5" t="str">
        <f t="shared" si="238"/>
        <v>-----</v>
      </c>
      <c r="GN71" s="5"/>
      <c r="GO71" s="12">
        <f t="shared" si="239"/>
        <v>3.5000000000025011E-2</v>
      </c>
      <c r="GP71" s="5">
        <f t="shared" si="269"/>
        <v>-0.93981030747234717</v>
      </c>
      <c r="GQ71" s="13" t="str">
        <f t="shared" si="270"/>
        <v>-----</v>
      </c>
      <c r="GR71" s="5"/>
      <c r="GS71">
        <f t="shared" si="271"/>
        <v>-0.89985281611219881</v>
      </c>
      <c r="GT71" s="5" t="str">
        <f t="shared" si="272"/>
        <v>-----</v>
      </c>
    </row>
    <row r="72" spans="1:202" x14ac:dyDescent="0.55000000000000004">
      <c r="A72">
        <v>68</v>
      </c>
      <c r="B72" t="s">
        <v>71</v>
      </c>
      <c r="C72" t="s">
        <v>4</v>
      </c>
      <c r="D72" t="s">
        <v>103</v>
      </c>
      <c r="E72">
        <v>152.809</v>
      </c>
      <c r="F72">
        <v>152.82300000000001</v>
      </c>
      <c r="G72">
        <v>152.809</v>
      </c>
      <c r="H72">
        <v>152.81299999999999</v>
      </c>
      <c r="I72">
        <v>147</v>
      </c>
      <c r="J72">
        <v>152.876</v>
      </c>
      <c r="K72">
        <v>152.886</v>
      </c>
      <c r="L72">
        <v>153.161</v>
      </c>
      <c r="M72">
        <v>152.61099999999999</v>
      </c>
      <c r="N72">
        <v>152.58699999999999</v>
      </c>
      <c r="O72">
        <v>152.874</v>
      </c>
      <c r="P72">
        <v>0</v>
      </c>
      <c r="Q72">
        <v>0</v>
      </c>
      <c r="R72">
        <v>0</v>
      </c>
      <c r="S72">
        <v>0</v>
      </c>
      <c r="T72">
        <v>0</v>
      </c>
      <c r="U72">
        <v>1.00145</v>
      </c>
      <c r="V72">
        <v>0</v>
      </c>
      <c r="W72">
        <v>153.12163000000001</v>
      </c>
      <c r="X72">
        <v>153.0386</v>
      </c>
      <c r="Y72">
        <v>152.95555999999999</v>
      </c>
      <c r="Z72">
        <v>152.87253000000001</v>
      </c>
      <c r="AA72">
        <v>152.7895</v>
      </c>
      <c r="AB72">
        <v>152.74203</v>
      </c>
      <c r="AC72">
        <v>152.65899999999999</v>
      </c>
      <c r="AD72">
        <v>152.57597000000001</v>
      </c>
      <c r="AE72">
        <v>152.49294</v>
      </c>
      <c r="AF72">
        <v>152.40991</v>
      </c>
      <c r="AG72">
        <v>152.81800000000001</v>
      </c>
      <c r="AH72">
        <v>152.82900000000001</v>
      </c>
      <c r="AI72">
        <v>152.83099999999999</v>
      </c>
      <c r="AJ72">
        <v>152.94</v>
      </c>
      <c r="AK72">
        <v>152.83099999999999</v>
      </c>
      <c r="AL72">
        <v>152.80799999999999</v>
      </c>
      <c r="AM72" s="11">
        <f t="shared" si="179"/>
        <v>1.4000000000010004E-2</v>
      </c>
      <c r="AN72" s="11">
        <f t="shared" si="240"/>
        <v>1.4000000000010004E-2</v>
      </c>
      <c r="AO72" s="11">
        <f t="shared" si="241"/>
        <v>0</v>
      </c>
      <c r="AP72" s="11">
        <f t="shared" si="242"/>
        <v>1.4000000000010004E-2</v>
      </c>
      <c r="AR72" s="5" t="str">
        <f t="shared" si="180"/>
        <v>------</v>
      </c>
      <c r="AS72" s="5" t="str">
        <f t="shared" si="181"/>
        <v>------</v>
      </c>
      <c r="AT72" t="str">
        <f t="shared" si="182"/>
        <v/>
      </c>
      <c r="AV72" s="2">
        <f t="shared" si="183"/>
        <v>152.89893140000001</v>
      </c>
      <c r="AW72" s="2">
        <f t="shared" si="184"/>
        <v>152.8530686</v>
      </c>
      <c r="AX72" s="2">
        <f t="shared" si="185"/>
        <v>152.9089329</v>
      </c>
      <c r="AY72" s="2">
        <f t="shared" si="186"/>
        <v>152.86306709999999</v>
      </c>
      <c r="AZ72" s="2">
        <f t="shared" si="187"/>
        <v>153.18397415000001</v>
      </c>
      <c r="BA72" s="2">
        <f t="shared" si="188"/>
        <v>153.13802584999999</v>
      </c>
      <c r="BB72" s="2">
        <f t="shared" si="189"/>
        <v>152.63389165000001</v>
      </c>
      <c r="BC72" s="2">
        <f t="shared" si="190"/>
        <v>152.58810835</v>
      </c>
      <c r="BD72" s="2">
        <f t="shared" si="191"/>
        <v>152.60988805</v>
      </c>
      <c r="BE72" s="2">
        <f t="shared" si="192"/>
        <v>152.56411194999998</v>
      </c>
      <c r="BF72" s="2">
        <f t="shared" si="193"/>
        <v>152.89693110000002</v>
      </c>
      <c r="BG72" s="2">
        <f t="shared" si="194"/>
        <v>152.8510689</v>
      </c>
      <c r="BI72" s="5" t="str">
        <f t="shared" si="243"/>
        <v>-----</v>
      </c>
      <c r="BJ72" s="5" t="str">
        <f t="shared" si="244"/>
        <v>-----</v>
      </c>
      <c r="BK72" s="5" t="str">
        <f t="shared" si="245"/>
        <v>-----</v>
      </c>
      <c r="BL72" s="5" t="str">
        <f t="shared" si="246"/>
        <v>-----</v>
      </c>
      <c r="BM72" s="5" t="str">
        <f t="shared" si="247"/>
        <v>-----</v>
      </c>
      <c r="BN72" s="5" t="str">
        <f t="shared" si="248"/>
        <v>-----</v>
      </c>
      <c r="BO72" s="5"/>
      <c r="BP72" s="5">
        <f t="shared" si="249"/>
        <v>4</v>
      </c>
      <c r="BQ72" s="5">
        <f t="shared" si="249"/>
        <v>4</v>
      </c>
      <c r="BR72" s="5">
        <f t="shared" si="249"/>
        <v>66</v>
      </c>
      <c r="BS72" s="5">
        <f t="shared" si="249"/>
        <v>68</v>
      </c>
      <c r="BT72" s="5">
        <f t="shared" si="249"/>
        <v>68</v>
      </c>
      <c r="BU72" s="5">
        <f t="shared" si="249"/>
        <v>4</v>
      </c>
      <c r="BV72" s="5">
        <f t="shared" si="250"/>
        <v>2</v>
      </c>
      <c r="BW72" s="5">
        <f t="shared" si="250"/>
        <v>2</v>
      </c>
      <c r="BX72" s="5">
        <f t="shared" si="250"/>
        <v>2</v>
      </c>
      <c r="BY72" s="5">
        <f t="shared" si="250"/>
        <v>0</v>
      </c>
      <c r="BZ72" s="5">
        <f t="shared" si="250"/>
        <v>0</v>
      </c>
      <c r="CA72" s="5">
        <f t="shared" si="250"/>
        <v>7</v>
      </c>
      <c r="CB72" s="5" t="str">
        <f t="shared" ref="CB72:CF103" si="273">IF(BI72="TOUCH",BV72,"-----")</f>
        <v>-----</v>
      </c>
      <c r="CC72" s="5" t="str">
        <f t="shared" si="273"/>
        <v>-----</v>
      </c>
      <c r="CD72" s="5" t="str">
        <f t="shared" si="273"/>
        <v>-----</v>
      </c>
      <c r="CE72" s="5" t="str">
        <f t="shared" si="273"/>
        <v>-----</v>
      </c>
      <c r="CF72" s="5" t="str">
        <f t="shared" si="273"/>
        <v>-----</v>
      </c>
      <c r="CG72" s="5" t="str">
        <f t="shared" si="195"/>
        <v>-----</v>
      </c>
      <c r="CH72" s="5"/>
      <c r="CI72" s="17" t="str">
        <f t="shared" si="196"/>
        <v>-----</v>
      </c>
      <c r="CJ72" s="17" t="str">
        <f t="shared" si="197"/>
        <v>-----</v>
      </c>
      <c r="CK72" s="17" t="str">
        <f t="shared" si="198"/>
        <v>-----</v>
      </c>
      <c r="CL72" s="17" t="str">
        <f t="shared" si="199"/>
        <v>-----</v>
      </c>
      <c r="CM72" s="17" t="str">
        <f t="shared" si="200"/>
        <v>-----</v>
      </c>
      <c r="CN72" s="17" t="str">
        <f t="shared" si="201"/>
        <v>-----</v>
      </c>
      <c r="CO72" s="5"/>
      <c r="CP72" s="5" t="str">
        <f t="shared" si="177"/>
        <v>-----</v>
      </c>
      <c r="CQ72" s="5" t="str">
        <f t="shared" si="177"/>
        <v>-----</v>
      </c>
      <c r="CR72" s="5" t="str">
        <f t="shared" si="177"/>
        <v>-----</v>
      </c>
      <c r="CS72" s="5" t="str">
        <f t="shared" si="177"/>
        <v>-----</v>
      </c>
      <c r="CT72" s="5" t="str">
        <f t="shared" si="177"/>
        <v>-----</v>
      </c>
      <c r="CU72" s="5" t="str">
        <f t="shared" si="177"/>
        <v>-----</v>
      </c>
      <c r="CV72" s="5"/>
      <c r="CW72" s="17" t="str">
        <f t="shared" si="178"/>
        <v/>
      </c>
      <c r="CX72" s="17" t="str">
        <f t="shared" si="178"/>
        <v/>
      </c>
      <c r="CY72" s="17" t="str">
        <f t="shared" si="178"/>
        <v/>
      </c>
      <c r="CZ72" s="17" t="str">
        <f t="shared" si="178"/>
        <v/>
      </c>
      <c r="DA72" s="17" t="str">
        <f t="shared" si="178"/>
        <v/>
      </c>
      <c r="DB72" s="17" t="str">
        <f t="shared" si="178"/>
        <v/>
      </c>
      <c r="DC72" s="8"/>
      <c r="DD72" s="5">
        <f t="shared" si="202"/>
        <v>0</v>
      </c>
      <c r="DE72" s="17" t="str">
        <f t="shared" si="251"/>
        <v>-----</v>
      </c>
      <c r="DF72" s="5" t="str" cm="1">
        <f t="array" ref="DF72">_xlfn.IFS(DE72=CW72,CP72,DE72=CX72,CQ72,DE72=CY72,CR72,DE72=CZ72,CS72,DE72=DA72,CT72,DE72=DB72,CU72,TRUE,"----- ")</f>
        <v xml:space="preserve">----- </v>
      </c>
      <c r="DG72" s="5"/>
      <c r="DH72" s="5">
        <f t="shared" si="252"/>
        <v>-2.423265306122455E-3</v>
      </c>
      <c r="DI72" s="5">
        <f t="shared" si="253"/>
        <v>-3.7194805194805478E-4</v>
      </c>
      <c r="DJ72" s="5">
        <f t="shared" si="254"/>
        <v>-1.6402721088435472E-3</v>
      </c>
      <c r="DK72" s="5">
        <f t="shared" si="255"/>
        <v>7.6471243042669956E-4</v>
      </c>
      <c r="DL72" s="5">
        <f t="shared" si="256"/>
        <v>-2.3081014223875058E-4</v>
      </c>
      <c r="DM72" s="5">
        <f t="shared" si="257"/>
        <v>1.5802844774273381E-3</v>
      </c>
      <c r="DO72" s="5">
        <f t="shared" si="203"/>
        <v>-1.9079214597220278</v>
      </c>
      <c r="DP72" s="5">
        <f t="shared" si="204"/>
        <v>-0.29295343676527091</v>
      </c>
      <c r="DQ72" s="5">
        <f t="shared" si="205"/>
        <v>-1.2917022253843653</v>
      </c>
      <c r="DR72" s="5">
        <f t="shared" si="206"/>
        <v>0.60228527619529781</v>
      </c>
      <c r="DS72" s="5">
        <f t="shared" si="207"/>
        <v>-0.18179147971962978</v>
      </c>
      <c r="DT72" s="5">
        <f t="shared" si="208"/>
        <v>1.2444775446344229</v>
      </c>
      <c r="DV72" t="str" cm="1">
        <f t="array" ref="DV72">_xlfn.IFS(DO72&gt;3,"Strong + Slope",DO72&gt;1.5,"Moderate + Slope",DO72&gt;0.5,"Sideway + Slope",DO72&gt;=-0.5,"Sideway Flat",DO72&gt;=-1.5,"Sideway - Slope",DO72&gt;=-3,"Moderate - Slope",TRUE,"Strong - Slope")</f>
        <v>Moderate - Slope</v>
      </c>
      <c r="DW72" t="str" cm="1">
        <f t="array" ref="DW72">_xlfn.IFS(DP72&gt;3,"Strong + Slope",DP72&gt;1.5,"Moderate + Slope",DP72&gt;0.5,"Sideway + Slope",DP72&gt;=-0.5,"Sideway Flat",DP72&gt;=-1.5,"Sideway - Slope",DP72&gt;=-3,"Moderate - Slope",TRUE,"Strong - Slope")</f>
        <v>Sideway Flat</v>
      </c>
      <c r="DX72" t="str" cm="1">
        <f t="array" ref="DX72">_xlfn.IFS(DQ72&gt;3,"Strong + Slope",DQ72&gt;1.5,"Moderate + Slope",DQ72&gt;0.5,"Sideway + Slope",DQ72&gt;=-0.5,"Sideway Flat",DQ72&gt;=-1.5,"Sideway - Slope",DQ72&gt;=-3,"Moderate - Slope",TRUE,"Strong - Slope")</f>
        <v>Sideway - Slope</v>
      </c>
      <c r="DY72" t="str" cm="1">
        <f t="array" ref="DY72">_xlfn.IFS(DR72&gt;3,"Strong + Slope",DR72&gt;1.5,"Moderate + Slope",DR72&gt;0.5,"Sideway + Slope",DR72&gt;=-0.5,"Sideway Flat",DR72&gt;=-1.5,"Sideway - Slope",DR72&gt;=-3,"Moderate - Slope",TRUE,"Strong - Slope")</f>
        <v>Sideway + Slope</v>
      </c>
      <c r="DZ72" t="str" cm="1">
        <f t="array" ref="DZ72">_xlfn.IFS(DS72&gt;3,"Strong + Slope",DS72&gt;1.5,"Moderate + Slope",DS72&gt;0.5,"Sideway + Slope",DS72&gt;=-0.5,"Sideway Flat",DS72&gt;=-1.5,"Sideway - Slope",DS72&gt;=-3,"Moderate - Slope",TRUE,"Strong - Slope")</f>
        <v>Sideway Flat</v>
      </c>
      <c r="EA72" t="str" cm="1">
        <f t="array" ref="EA72">_xlfn.IFS(DT72&gt;3,"Strong + Slope",DT72&gt;1.5,"Moderate + Slope",DT72&gt;0.5,"Sideway + Slope",DT72&gt;=-0.5,"Sideway Flat",DT72&gt;=-1.5,"Sideway - Slope",DT72&gt;=-3,"Moderate - Slope",TRUE,"Strong - Slope")</f>
        <v>Sideway + Slope</v>
      </c>
      <c r="EB72" s="5"/>
      <c r="EC72" s="5">
        <f t="shared" si="209"/>
        <v>3</v>
      </c>
      <c r="ED72" s="5">
        <f t="shared" si="210"/>
        <v>2</v>
      </c>
      <c r="EE72" s="5">
        <f t="shared" si="211"/>
        <v>1</v>
      </c>
      <c r="EF72" s="5">
        <f t="shared" si="212"/>
        <v>5</v>
      </c>
      <c r="EG72" s="5">
        <f t="shared" si="213"/>
        <v>6</v>
      </c>
      <c r="EH72" s="5">
        <f t="shared" si="214"/>
        <v>4</v>
      </c>
      <c r="EI72" s="5"/>
      <c r="EJ72" s="5" t="str">
        <f t="shared" si="215"/>
        <v>RES</v>
      </c>
      <c r="EK72" s="5" t="str">
        <f t="shared" si="216"/>
        <v>RES</v>
      </c>
      <c r="EL72" s="5" t="str">
        <f t="shared" si="217"/>
        <v>RES</v>
      </c>
      <c r="EM72" s="5" t="str">
        <f t="shared" si="218"/>
        <v>SUP</v>
      </c>
      <c r="EN72" s="5" t="str">
        <f t="shared" si="219"/>
        <v>SUP</v>
      </c>
      <c r="EO72" s="5" t="str">
        <f t="shared" si="220"/>
        <v>RES</v>
      </c>
      <c r="EP72" s="5"/>
      <c r="EQ72" s="8">
        <f t="shared" si="221"/>
        <v>4.1226858971433452E-4</v>
      </c>
      <c r="ER72" s="8">
        <f t="shared" si="222"/>
        <v>4.7770804839907276E-4</v>
      </c>
      <c r="ES72" s="8">
        <f t="shared" si="223"/>
        <v>2.2772931622310486E-3</v>
      </c>
      <c r="ET72" s="8">
        <f t="shared" si="224"/>
        <v>-1.321877065432903E-3</v>
      </c>
      <c r="EU72" s="8">
        <f t="shared" si="225"/>
        <v>-1.4789317662764236E-3</v>
      </c>
      <c r="EV72" s="8">
        <f t="shared" si="226"/>
        <v>3.9918069797731251E-4</v>
      </c>
      <c r="EW72" s="8"/>
      <c r="EX72" s="8">
        <f t="shared" si="227"/>
        <v>0.39372822299650567</v>
      </c>
      <c r="EY72" s="9">
        <f t="shared" si="228"/>
        <v>4</v>
      </c>
      <c r="EZ72" s="10">
        <f t="shared" si="229"/>
        <v>2</v>
      </c>
      <c r="FA72" s="8">
        <f t="shared" si="258"/>
        <v>2.2772931622310486E-3</v>
      </c>
      <c r="FB72" s="8">
        <f t="shared" si="259"/>
        <v>4.7770804839907276E-4</v>
      </c>
      <c r="FC72" s="8">
        <f t="shared" si="260"/>
        <v>4.1226858971433452E-4</v>
      </c>
      <c r="FD72" s="8">
        <f t="shared" si="261"/>
        <v>3.9918069797731251E-4</v>
      </c>
      <c r="FE72" s="8">
        <f t="shared" si="262"/>
        <v>-1.321877065432903E-3</v>
      </c>
      <c r="FF72" s="8">
        <f t="shared" si="263"/>
        <v>-1.4789317662764236E-3</v>
      </c>
      <c r="FG72" s="5"/>
      <c r="FH72" s="5" t="str">
        <f t="shared" si="230"/>
        <v>Flat Momentum</v>
      </c>
      <c r="FI72" s="5" t="str">
        <f t="shared" si="264"/>
        <v>-----</v>
      </c>
      <c r="FJ72" s="5"/>
      <c r="FK72" s="5" t="str">
        <f t="shared" si="265"/>
        <v>-----</v>
      </c>
      <c r="FL72" s="5" t="str">
        <f t="shared" si="266"/>
        <v>-----</v>
      </c>
      <c r="FM72" s="5"/>
      <c r="FN72" s="5"/>
      <c r="FO72" s="8" t="str">
        <f t="shared" si="174"/>
        <v>Bearish</v>
      </c>
      <c r="FP72" s="8"/>
      <c r="FQ72" s="14">
        <f t="shared" si="231"/>
        <v>-1.3086350282214526E-5</v>
      </c>
      <c r="FR72" s="14">
        <f t="shared" si="232"/>
        <v>1.2609436810603463</v>
      </c>
      <c r="FS72" s="14" t="str">
        <f t="shared" si="233"/>
        <v>Reverse to Bearish</v>
      </c>
      <c r="FT72" s="14" t="str">
        <f t="shared" si="234"/>
        <v>Bearish</v>
      </c>
      <c r="FU72" s="5" t="str">
        <f t="shared" si="267"/>
        <v>-----</v>
      </c>
      <c r="FV72" s="5" t="str">
        <f t="shared" si="268"/>
        <v>-----</v>
      </c>
      <c r="FW72" s="5"/>
      <c r="FX72" s="15" t="str">
        <f t="shared" si="116"/>
        <v>YES</v>
      </c>
      <c r="FY72" s="15" t="str">
        <f t="shared" si="117"/>
        <v>YES</v>
      </c>
      <c r="FZ72" s="15" t="str">
        <f t="shared" si="118"/>
        <v>-----</v>
      </c>
      <c r="GA72" s="15" t="str">
        <f t="shared" si="119"/>
        <v>-----</v>
      </c>
      <c r="GB72" s="16" t="str">
        <f t="shared" si="107"/>
        <v>-----</v>
      </c>
      <c r="GC72" s="16" t="str">
        <f t="shared" si="108"/>
        <v>-----</v>
      </c>
      <c r="GD72" s="16" t="str">
        <f t="shared" si="109"/>
        <v>-----</v>
      </c>
      <c r="GE72" s="16" t="str">
        <f t="shared" si="112"/>
        <v>-----</v>
      </c>
      <c r="GF72" s="15" t="str">
        <f t="shared" si="110"/>
        <v>-----</v>
      </c>
      <c r="GG72" s="16" t="str">
        <f t="shared" si="120"/>
        <v>-----</v>
      </c>
      <c r="GH72" s="14"/>
      <c r="GI72" s="5" t="str">
        <f t="shared" si="235"/>
        <v>-----</v>
      </c>
      <c r="GJ72" s="5" t="str">
        <f t="shared" si="236"/>
        <v>-----</v>
      </c>
      <c r="GK72" s="5"/>
      <c r="GL72" s="5" t="str">
        <f t="shared" si="237"/>
        <v>-----</v>
      </c>
      <c r="GM72" s="5" t="str">
        <f t="shared" si="238"/>
        <v>-----</v>
      </c>
      <c r="GN72" s="5"/>
      <c r="GO72" s="12">
        <f t="shared" si="239"/>
        <v>2.2999999999996135E-2</v>
      </c>
      <c r="GP72" s="5">
        <f t="shared" si="269"/>
        <v>-1.2163757385549487</v>
      </c>
      <c r="GQ72" s="13" t="str">
        <f t="shared" si="270"/>
        <v>-----</v>
      </c>
      <c r="GR72" s="5"/>
      <c r="GS72">
        <f t="shared" si="271"/>
        <v>-0.91275907164209491</v>
      </c>
      <c r="GT72" s="5" t="str">
        <f t="shared" si="272"/>
        <v>-----</v>
      </c>
    </row>
    <row r="73" spans="1:202" x14ac:dyDescent="0.55000000000000004">
      <c r="A73">
        <v>69</v>
      </c>
      <c r="B73" t="s">
        <v>72</v>
      </c>
      <c r="C73" t="s">
        <v>4</v>
      </c>
      <c r="D73" t="s">
        <v>103</v>
      </c>
      <c r="E73">
        <v>152.81299999999999</v>
      </c>
      <c r="F73">
        <v>152.815</v>
      </c>
      <c r="G73">
        <v>152.76599999999999</v>
      </c>
      <c r="H73">
        <v>152.779</v>
      </c>
      <c r="I73">
        <v>167</v>
      </c>
      <c r="J73">
        <v>152.87299999999999</v>
      </c>
      <c r="K73">
        <v>152.886</v>
      </c>
      <c r="L73">
        <v>153.15899999999999</v>
      </c>
      <c r="M73">
        <v>152.61199999999999</v>
      </c>
      <c r="N73">
        <v>152.58699999999999</v>
      </c>
      <c r="O73">
        <v>152.876</v>
      </c>
      <c r="P73">
        <v>0</v>
      </c>
      <c r="Q73">
        <v>0</v>
      </c>
      <c r="R73">
        <v>0</v>
      </c>
      <c r="S73">
        <v>0</v>
      </c>
      <c r="T73">
        <v>0</v>
      </c>
      <c r="U73">
        <v>0.28240999999999999</v>
      </c>
      <c r="V73">
        <v>3</v>
      </c>
      <c r="W73">
        <v>153.12024</v>
      </c>
      <c r="X73">
        <v>153.03743</v>
      </c>
      <c r="Y73">
        <v>152.95463000000001</v>
      </c>
      <c r="Z73">
        <v>152.87182000000001</v>
      </c>
      <c r="AA73">
        <v>152.78900999999999</v>
      </c>
      <c r="AB73">
        <v>152.74350000000001</v>
      </c>
      <c r="AC73">
        <v>152.66068999999999</v>
      </c>
      <c r="AD73">
        <v>152.57787999999999</v>
      </c>
      <c r="AE73">
        <v>152.49507</v>
      </c>
      <c r="AF73">
        <v>152.41227000000001</v>
      </c>
      <c r="AG73">
        <v>152.80099999999999</v>
      </c>
      <c r="AH73">
        <v>152.82300000000001</v>
      </c>
      <c r="AI73">
        <v>152.828</v>
      </c>
      <c r="AJ73">
        <v>152.93600000000001</v>
      </c>
      <c r="AK73">
        <v>152.82</v>
      </c>
      <c r="AL73">
        <v>152.78700000000001</v>
      </c>
      <c r="AM73" s="11">
        <f t="shared" si="179"/>
        <v>4.9000000000006594E-2</v>
      </c>
      <c r="AN73" s="11">
        <f t="shared" si="240"/>
        <v>2.0000000000095497E-3</v>
      </c>
      <c r="AO73" s="11">
        <f t="shared" si="241"/>
        <v>4.6999999999997044E-2</v>
      </c>
      <c r="AP73" s="11">
        <f t="shared" si="242"/>
        <v>4.9000000000006594E-2</v>
      </c>
      <c r="AR73" s="5" t="str">
        <f t="shared" si="180"/>
        <v>------</v>
      </c>
      <c r="AS73" s="5" t="str">
        <f t="shared" si="181"/>
        <v>------</v>
      </c>
      <c r="AT73" t="str">
        <f t="shared" si="182"/>
        <v/>
      </c>
      <c r="AV73" s="2">
        <f t="shared" si="183"/>
        <v>152.89593095000001</v>
      </c>
      <c r="AW73" s="2">
        <f t="shared" si="184"/>
        <v>152.85006905</v>
      </c>
      <c r="AX73" s="2">
        <f t="shared" si="185"/>
        <v>152.9089329</v>
      </c>
      <c r="AY73" s="2">
        <f t="shared" si="186"/>
        <v>152.86306709999999</v>
      </c>
      <c r="AZ73" s="2">
        <f t="shared" si="187"/>
        <v>153.18197385000002</v>
      </c>
      <c r="BA73" s="2">
        <f t="shared" si="188"/>
        <v>153.13602614999999</v>
      </c>
      <c r="BB73" s="2">
        <f t="shared" si="189"/>
        <v>152.63489180000002</v>
      </c>
      <c r="BC73" s="2">
        <f t="shared" si="190"/>
        <v>152.5891082</v>
      </c>
      <c r="BD73" s="2">
        <f t="shared" si="191"/>
        <v>152.60988805</v>
      </c>
      <c r="BE73" s="2">
        <f t="shared" si="192"/>
        <v>152.56411194999998</v>
      </c>
      <c r="BF73" s="2">
        <f t="shared" si="193"/>
        <v>152.89893140000001</v>
      </c>
      <c r="BG73" s="2">
        <f t="shared" si="194"/>
        <v>152.8530686</v>
      </c>
      <c r="BI73" s="5" t="str">
        <f t="shared" si="243"/>
        <v>-----</v>
      </c>
      <c r="BJ73" s="5" t="str">
        <f t="shared" si="244"/>
        <v>-----</v>
      </c>
      <c r="BK73" s="5" t="str">
        <f t="shared" si="245"/>
        <v>-----</v>
      </c>
      <c r="BL73" s="5" t="str">
        <f t="shared" si="246"/>
        <v>-----</v>
      </c>
      <c r="BM73" s="5" t="str">
        <f t="shared" si="247"/>
        <v>-----</v>
      </c>
      <c r="BN73" s="5" t="str">
        <f t="shared" si="248"/>
        <v>-----</v>
      </c>
      <c r="BO73" s="5"/>
      <c r="BP73" s="5">
        <f t="shared" si="249"/>
        <v>5</v>
      </c>
      <c r="BQ73" s="5">
        <f t="shared" si="249"/>
        <v>5</v>
      </c>
      <c r="BR73" s="5">
        <f t="shared" si="249"/>
        <v>67</v>
      </c>
      <c r="BS73" s="5">
        <f t="shared" si="249"/>
        <v>69</v>
      </c>
      <c r="BT73" s="5">
        <f t="shared" si="249"/>
        <v>69</v>
      </c>
      <c r="BU73" s="5">
        <f t="shared" si="249"/>
        <v>5</v>
      </c>
      <c r="BV73" s="5">
        <f t="shared" si="250"/>
        <v>2</v>
      </c>
      <c r="BW73" s="5">
        <f t="shared" si="250"/>
        <v>2</v>
      </c>
      <c r="BX73" s="5">
        <f t="shared" si="250"/>
        <v>2</v>
      </c>
      <c r="BY73" s="5">
        <f t="shared" si="250"/>
        <v>0</v>
      </c>
      <c r="BZ73" s="5">
        <f t="shared" si="250"/>
        <v>0</v>
      </c>
      <c r="CA73" s="5">
        <f t="shared" si="250"/>
        <v>7</v>
      </c>
      <c r="CB73" s="5" t="str">
        <f t="shared" si="273"/>
        <v>-----</v>
      </c>
      <c r="CC73" s="5" t="str">
        <f t="shared" si="273"/>
        <v>-----</v>
      </c>
      <c r="CD73" s="5" t="str">
        <f t="shared" si="273"/>
        <v>-----</v>
      </c>
      <c r="CE73" s="5" t="str">
        <f t="shared" si="273"/>
        <v>-----</v>
      </c>
      <c r="CF73" s="5" t="str">
        <f t="shared" si="273"/>
        <v>-----</v>
      </c>
      <c r="CG73" s="5" t="str">
        <f t="shared" si="195"/>
        <v>-----</v>
      </c>
      <c r="CH73" s="5"/>
      <c r="CI73" s="17" t="str">
        <f t="shared" si="196"/>
        <v>-----</v>
      </c>
      <c r="CJ73" s="17" t="str">
        <f t="shared" si="197"/>
        <v>-----</v>
      </c>
      <c r="CK73" s="17" t="str">
        <f t="shared" si="198"/>
        <v>-----</v>
      </c>
      <c r="CL73" s="17" t="str">
        <f t="shared" si="199"/>
        <v>-----</v>
      </c>
      <c r="CM73" s="17" t="str">
        <f t="shared" si="200"/>
        <v>-----</v>
      </c>
      <c r="CN73" s="17" t="str">
        <f t="shared" si="201"/>
        <v>-----</v>
      </c>
      <c r="CO73" s="5"/>
      <c r="CP73" s="5" t="str">
        <f t="shared" si="177"/>
        <v>-----</v>
      </c>
      <c r="CQ73" s="5" t="str">
        <f t="shared" si="177"/>
        <v>-----</v>
      </c>
      <c r="CR73" s="5" t="str">
        <f t="shared" si="177"/>
        <v>-----</v>
      </c>
      <c r="CS73" s="5" t="str">
        <f t="shared" si="177"/>
        <v>-----</v>
      </c>
      <c r="CT73" s="5" t="str">
        <f t="shared" si="177"/>
        <v>-----</v>
      </c>
      <c r="CU73" s="5" t="str">
        <f t="shared" si="177"/>
        <v>-----</v>
      </c>
      <c r="CV73" s="5"/>
      <c r="CW73" s="17" t="str">
        <f t="shared" si="178"/>
        <v/>
      </c>
      <c r="CX73" s="17" t="str">
        <f t="shared" si="178"/>
        <v/>
      </c>
      <c r="CY73" s="17" t="str">
        <f t="shared" si="178"/>
        <v/>
      </c>
      <c r="CZ73" s="17" t="str">
        <f t="shared" si="178"/>
        <v/>
      </c>
      <c r="DA73" s="17" t="str">
        <f t="shared" si="178"/>
        <v/>
      </c>
      <c r="DB73" s="17" t="str">
        <f t="shared" si="178"/>
        <v/>
      </c>
      <c r="DC73" s="8"/>
      <c r="DD73" s="5">
        <f t="shared" si="202"/>
        <v>0</v>
      </c>
      <c r="DE73" s="17" t="str">
        <f t="shared" si="251"/>
        <v>-----</v>
      </c>
      <c r="DF73" s="5" t="str" cm="1">
        <f t="array" ref="DF73">_xlfn.IFS(DE73=CW73,CP73,DE73=CX73,CQ73,DE73=CY73,CR73,DE73=CZ73,CS73,DE73=DA73,CT73,DE73=DB73,CU73,TRUE,"----- ")</f>
        <v xml:space="preserve">----- </v>
      </c>
      <c r="DG73" s="5"/>
      <c r="DH73" s="5">
        <f t="shared" si="252"/>
        <v>-2.423265306122455E-3</v>
      </c>
      <c r="DI73" s="5">
        <f t="shared" si="253"/>
        <v>-3.7194805194805478E-4</v>
      </c>
      <c r="DJ73" s="5">
        <f t="shared" si="254"/>
        <v>-1.6402721088435472E-3</v>
      </c>
      <c r="DK73" s="5">
        <f t="shared" si="255"/>
        <v>7.6471243042669956E-4</v>
      </c>
      <c r="DL73" s="5">
        <f t="shared" si="256"/>
        <v>-2.3081014223875058E-4</v>
      </c>
      <c r="DM73" s="5">
        <f t="shared" si="257"/>
        <v>1.5802844774273381E-3</v>
      </c>
      <c r="DO73" s="5">
        <f t="shared" si="203"/>
        <v>-1.9079214597220278</v>
      </c>
      <c r="DP73" s="5">
        <f t="shared" si="204"/>
        <v>-0.29295343676527091</v>
      </c>
      <c r="DQ73" s="5">
        <f t="shared" si="205"/>
        <v>-1.2917022253843653</v>
      </c>
      <c r="DR73" s="5">
        <f t="shared" si="206"/>
        <v>0.60228527619529781</v>
      </c>
      <c r="DS73" s="5">
        <f t="shared" si="207"/>
        <v>-0.18179147971962978</v>
      </c>
      <c r="DT73" s="5">
        <f t="shared" si="208"/>
        <v>1.2444775446344229</v>
      </c>
      <c r="DV73" t="str" cm="1">
        <f t="array" ref="DV73">_xlfn.IFS(DO73&gt;3,"Strong + Slope",DO73&gt;1.5,"Moderate + Slope",DO73&gt;0.5,"Sideway + Slope",DO73&gt;=-0.5,"Sideway Flat",DO73&gt;=-1.5,"Sideway - Slope",DO73&gt;=-3,"Moderate - Slope",TRUE,"Strong - Slope")</f>
        <v>Moderate - Slope</v>
      </c>
      <c r="DW73" t="str" cm="1">
        <f t="array" ref="DW73">_xlfn.IFS(DP73&gt;3,"Strong + Slope",DP73&gt;1.5,"Moderate + Slope",DP73&gt;0.5,"Sideway + Slope",DP73&gt;=-0.5,"Sideway Flat",DP73&gt;=-1.5,"Sideway - Slope",DP73&gt;=-3,"Moderate - Slope",TRUE,"Strong - Slope")</f>
        <v>Sideway Flat</v>
      </c>
      <c r="DX73" t="str" cm="1">
        <f t="array" ref="DX73">_xlfn.IFS(DQ73&gt;3,"Strong + Slope",DQ73&gt;1.5,"Moderate + Slope",DQ73&gt;0.5,"Sideway + Slope",DQ73&gt;=-0.5,"Sideway Flat",DQ73&gt;=-1.5,"Sideway - Slope",DQ73&gt;=-3,"Moderate - Slope",TRUE,"Strong - Slope")</f>
        <v>Sideway - Slope</v>
      </c>
      <c r="DY73" t="str" cm="1">
        <f t="array" ref="DY73">_xlfn.IFS(DR73&gt;3,"Strong + Slope",DR73&gt;1.5,"Moderate + Slope",DR73&gt;0.5,"Sideway + Slope",DR73&gt;=-0.5,"Sideway Flat",DR73&gt;=-1.5,"Sideway - Slope",DR73&gt;=-3,"Moderate - Slope",TRUE,"Strong - Slope")</f>
        <v>Sideway + Slope</v>
      </c>
      <c r="DZ73" t="str" cm="1">
        <f t="array" ref="DZ73">_xlfn.IFS(DS73&gt;3,"Strong + Slope",DS73&gt;1.5,"Moderate + Slope",DS73&gt;0.5,"Sideway + Slope",DS73&gt;=-0.5,"Sideway Flat",DS73&gt;=-1.5,"Sideway - Slope",DS73&gt;=-3,"Moderate - Slope",TRUE,"Strong - Slope")</f>
        <v>Sideway Flat</v>
      </c>
      <c r="EA73" t="str" cm="1">
        <f t="array" ref="EA73">_xlfn.IFS(DT73&gt;3,"Strong + Slope",DT73&gt;1.5,"Moderate + Slope",DT73&gt;0.5,"Sideway + Slope",DT73&gt;=-0.5,"Sideway Flat",DT73&gt;=-1.5,"Sideway - Slope",DT73&gt;=-3,"Moderate - Slope",TRUE,"Strong - Slope")</f>
        <v>Sideway + Slope</v>
      </c>
      <c r="EB73" s="5"/>
      <c r="EC73" s="5">
        <f t="shared" si="209"/>
        <v>4</v>
      </c>
      <c r="ED73" s="5">
        <f t="shared" si="210"/>
        <v>2</v>
      </c>
      <c r="EE73" s="5">
        <f t="shared" si="211"/>
        <v>1</v>
      </c>
      <c r="EF73" s="5">
        <f t="shared" si="212"/>
        <v>5</v>
      </c>
      <c r="EG73" s="5">
        <f t="shared" si="213"/>
        <v>6</v>
      </c>
      <c r="EH73" s="5">
        <f t="shared" si="214"/>
        <v>3</v>
      </c>
      <c r="EI73" s="5"/>
      <c r="EJ73" s="5" t="str">
        <f t="shared" si="215"/>
        <v>RES</v>
      </c>
      <c r="EK73" s="5" t="str">
        <f t="shared" si="216"/>
        <v>RES</v>
      </c>
      <c r="EL73" s="5" t="str">
        <f t="shared" si="217"/>
        <v>RES</v>
      </c>
      <c r="EM73" s="5" t="str">
        <f t="shared" si="218"/>
        <v>SUP</v>
      </c>
      <c r="EN73" s="5" t="str">
        <f t="shared" si="219"/>
        <v>SUP</v>
      </c>
      <c r="EO73" s="5" t="str">
        <f t="shared" si="220"/>
        <v>RES</v>
      </c>
      <c r="EP73" s="5"/>
      <c r="EQ73" s="8">
        <f t="shared" si="221"/>
        <v>6.1526780513024759E-4</v>
      </c>
      <c r="ER73" s="8">
        <f t="shared" si="222"/>
        <v>7.0035803349936397E-4</v>
      </c>
      <c r="ES73" s="8">
        <f t="shared" si="223"/>
        <v>2.4872528292500637E-3</v>
      </c>
      <c r="ET73" s="8">
        <f t="shared" si="224"/>
        <v>-1.0930821644336041E-3</v>
      </c>
      <c r="EU73" s="8">
        <f t="shared" si="225"/>
        <v>-1.2567172189895685E-3</v>
      </c>
      <c r="EV73" s="8">
        <f t="shared" si="226"/>
        <v>6.349040116770526E-4</v>
      </c>
      <c r="EW73" s="8"/>
      <c r="EX73" s="8">
        <f t="shared" si="227"/>
        <v>0.33566433566434678</v>
      </c>
      <c r="EY73" s="9">
        <f t="shared" si="228"/>
        <v>4</v>
      </c>
      <c r="EZ73" s="10">
        <f t="shared" si="229"/>
        <v>2</v>
      </c>
      <c r="FA73" s="8">
        <f t="shared" si="258"/>
        <v>2.4872528292500637E-3</v>
      </c>
      <c r="FB73" s="8">
        <f t="shared" si="259"/>
        <v>7.0035803349936397E-4</v>
      </c>
      <c r="FC73" s="8">
        <f t="shared" si="260"/>
        <v>6.349040116770526E-4</v>
      </c>
      <c r="FD73" s="8">
        <f t="shared" si="261"/>
        <v>6.1526780513024759E-4</v>
      </c>
      <c r="FE73" s="8">
        <f t="shared" si="262"/>
        <v>-1.0930821644336041E-3</v>
      </c>
      <c r="FF73" s="8">
        <f t="shared" si="263"/>
        <v>-1.2567172189895685E-3</v>
      </c>
      <c r="FG73" s="5"/>
      <c r="FH73" s="5" t="str">
        <f t="shared" si="230"/>
        <v>Flat Momentum</v>
      </c>
      <c r="FI73" s="5" t="str">
        <f t="shared" si="264"/>
        <v>-----</v>
      </c>
      <c r="FJ73" s="5"/>
      <c r="FK73" s="5" t="str">
        <f t="shared" si="265"/>
        <v>-----</v>
      </c>
      <c r="FL73" s="5" t="str">
        <f t="shared" si="266"/>
        <v>-----</v>
      </c>
      <c r="FM73" s="5"/>
      <c r="FN73" s="5"/>
      <c r="FO73" s="8" t="str">
        <f t="shared" si="174"/>
        <v>Bearish</v>
      </c>
      <c r="FP73" s="8"/>
      <c r="FQ73" s="14">
        <f t="shared" si="231"/>
        <v>-3.2716517915535454E-5</v>
      </c>
      <c r="FR73" s="14">
        <f t="shared" si="232"/>
        <v>1.2043292415827069</v>
      </c>
      <c r="FS73" s="14" t="str">
        <f t="shared" si="233"/>
        <v>Reverse to Bearish</v>
      </c>
      <c r="FT73" s="14" t="str">
        <f t="shared" si="234"/>
        <v>Bearish</v>
      </c>
      <c r="FU73" s="5" t="str">
        <f t="shared" si="267"/>
        <v>-----</v>
      </c>
      <c r="FV73" s="5" t="str">
        <f t="shared" si="268"/>
        <v>-----</v>
      </c>
      <c r="FW73" s="5"/>
      <c r="FX73" s="15" t="str">
        <f t="shared" si="116"/>
        <v>YES</v>
      </c>
      <c r="FY73" s="15" t="str">
        <f t="shared" si="117"/>
        <v>YES</v>
      </c>
      <c r="FZ73" s="15" t="str">
        <f t="shared" si="118"/>
        <v>-----</v>
      </c>
      <c r="GA73" s="15" t="str">
        <f t="shared" si="119"/>
        <v>-----</v>
      </c>
      <c r="GB73" s="16" t="str">
        <f t="shared" ref="GB73:GB103" si="274">IF(FO73="Bullish","YES","-----")</f>
        <v>-----</v>
      </c>
      <c r="GC73" s="16" t="str">
        <f t="shared" ref="GC73:GC103" si="275">IF(FS73="Reverse to Bullish","YES","-----")</f>
        <v>-----</v>
      </c>
      <c r="GD73" s="16" t="str">
        <f t="shared" ref="GD73:GD103" si="276">IF(AND(FT73="Bearish",FT72="Bearish",FT71="Bearish",FT70="Bearish"),"YES","-----")</f>
        <v>-----</v>
      </c>
      <c r="GE73" s="16" t="str">
        <f t="shared" si="112"/>
        <v>-----</v>
      </c>
      <c r="GF73" s="15" t="str">
        <f t="shared" ref="GF73:GF103" si="277">IF(AND(FX73="YES",FY73="YES",FZ73="YES",GA73="YES"),"Open Sell / Close Buy","-----")</f>
        <v>-----</v>
      </c>
      <c r="GG73" s="16" t="str">
        <f t="shared" si="120"/>
        <v>-----</v>
      </c>
      <c r="GH73" s="14"/>
      <c r="GI73" s="5" t="str">
        <f t="shared" si="235"/>
        <v>-----</v>
      </c>
      <c r="GJ73" s="5" t="str">
        <f t="shared" si="236"/>
        <v>Bearish Trigger</v>
      </c>
      <c r="GK73" s="5"/>
      <c r="GL73" s="5" t="str">
        <f t="shared" si="237"/>
        <v>-----</v>
      </c>
      <c r="GM73" s="5" t="str">
        <f t="shared" si="238"/>
        <v>-----</v>
      </c>
      <c r="GN73" s="5"/>
      <c r="GO73" s="12">
        <f t="shared" si="239"/>
        <v>3.299999999998704E-2</v>
      </c>
      <c r="GP73" s="5">
        <f t="shared" si="269"/>
        <v>-0.98590454598687838</v>
      </c>
      <c r="GQ73" s="13" t="str">
        <f t="shared" si="270"/>
        <v>-----</v>
      </c>
      <c r="GR73" s="5"/>
      <c r="GS73">
        <f t="shared" si="271"/>
        <v>-0.78369651634313409</v>
      </c>
      <c r="GT73" s="5" t="str">
        <f t="shared" si="272"/>
        <v>-----</v>
      </c>
    </row>
    <row r="74" spans="1:202" x14ac:dyDescent="0.55000000000000004">
      <c r="A74">
        <v>70</v>
      </c>
      <c r="B74" t="s">
        <v>73</v>
      </c>
      <c r="C74" t="s">
        <v>4</v>
      </c>
      <c r="D74" t="s">
        <v>103</v>
      </c>
      <c r="E74">
        <v>152.779</v>
      </c>
      <c r="F74">
        <v>152.79</v>
      </c>
      <c r="G74">
        <v>152.76599999999999</v>
      </c>
      <c r="H74">
        <v>152.76900000000001</v>
      </c>
      <c r="I74">
        <v>153</v>
      </c>
      <c r="J74">
        <v>152.87100000000001</v>
      </c>
      <c r="K74">
        <v>152.88499999999999</v>
      </c>
      <c r="L74">
        <v>153.15799999999999</v>
      </c>
      <c r="M74">
        <v>152.613</v>
      </c>
      <c r="N74">
        <v>152.58699999999999</v>
      </c>
      <c r="O74">
        <v>152.87700000000001</v>
      </c>
      <c r="P74">
        <v>0</v>
      </c>
      <c r="Q74">
        <v>0</v>
      </c>
      <c r="R74">
        <v>0</v>
      </c>
      <c r="S74">
        <v>0</v>
      </c>
      <c r="T74">
        <v>0</v>
      </c>
      <c r="U74">
        <v>0.85394000000000003</v>
      </c>
      <c r="V74">
        <v>3</v>
      </c>
      <c r="W74">
        <v>153.11745999999999</v>
      </c>
      <c r="X74">
        <v>153.03497999999999</v>
      </c>
      <c r="Y74">
        <v>152.95249999999999</v>
      </c>
      <c r="Z74">
        <v>152.87001000000001</v>
      </c>
      <c r="AA74">
        <v>152.78753</v>
      </c>
      <c r="AB74">
        <v>152.74414999999999</v>
      </c>
      <c r="AC74">
        <v>152.66166999999999</v>
      </c>
      <c r="AD74">
        <v>152.57919000000001</v>
      </c>
      <c r="AE74">
        <v>152.49671000000001</v>
      </c>
      <c r="AF74">
        <v>152.41423</v>
      </c>
      <c r="AG74">
        <v>152.785</v>
      </c>
      <c r="AH74">
        <v>152.815</v>
      </c>
      <c r="AI74">
        <v>152.82400000000001</v>
      </c>
      <c r="AJ74">
        <v>152.93199999999999</v>
      </c>
      <c r="AK74">
        <v>152.80199999999999</v>
      </c>
      <c r="AL74">
        <v>152.773</v>
      </c>
      <c r="AM74" s="11">
        <f t="shared" si="179"/>
        <v>2.4000000000000909E-2</v>
      </c>
      <c r="AN74" s="11">
        <f t="shared" si="240"/>
        <v>1.099999999999568E-2</v>
      </c>
      <c r="AO74" s="11">
        <f t="shared" si="241"/>
        <v>1.300000000000523E-2</v>
      </c>
      <c r="AP74" s="11">
        <f t="shared" si="242"/>
        <v>2.4000000000000909E-2</v>
      </c>
      <c r="AR74" s="5" t="str">
        <f t="shared" si="180"/>
        <v>------</v>
      </c>
      <c r="AS74" s="5" t="str">
        <f t="shared" si="181"/>
        <v>------</v>
      </c>
      <c r="AT74" t="str">
        <f t="shared" si="182"/>
        <v/>
      </c>
      <c r="AV74" s="2">
        <f t="shared" si="183"/>
        <v>152.89393065000002</v>
      </c>
      <c r="AW74" s="2">
        <f t="shared" si="184"/>
        <v>152.84806935</v>
      </c>
      <c r="AX74" s="2">
        <f t="shared" si="185"/>
        <v>152.90793275000001</v>
      </c>
      <c r="AY74" s="2">
        <f t="shared" si="186"/>
        <v>152.86206725</v>
      </c>
      <c r="AZ74" s="2">
        <f t="shared" si="187"/>
        <v>153.18097370000001</v>
      </c>
      <c r="BA74" s="2">
        <f t="shared" si="188"/>
        <v>153.13502629999999</v>
      </c>
      <c r="BB74" s="2">
        <f t="shared" si="189"/>
        <v>152.63589195</v>
      </c>
      <c r="BC74" s="2">
        <f t="shared" si="190"/>
        <v>152.59010805</v>
      </c>
      <c r="BD74" s="2">
        <f t="shared" si="191"/>
        <v>152.60988805</v>
      </c>
      <c r="BE74" s="2">
        <f t="shared" si="192"/>
        <v>152.56411194999998</v>
      </c>
      <c r="BF74" s="2">
        <f t="shared" si="193"/>
        <v>152.89993155000002</v>
      </c>
      <c r="BG74" s="2">
        <f t="shared" si="194"/>
        <v>152.85406845</v>
      </c>
      <c r="BI74" s="5" t="str">
        <f t="shared" si="243"/>
        <v>-----</v>
      </c>
      <c r="BJ74" s="5" t="str">
        <f t="shared" si="244"/>
        <v>-----</v>
      </c>
      <c r="BK74" s="5" t="str">
        <f t="shared" si="245"/>
        <v>-----</v>
      </c>
      <c r="BL74" s="5" t="str">
        <f t="shared" si="246"/>
        <v>-----</v>
      </c>
      <c r="BM74" s="5" t="str">
        <f t="shared" si="247"/>
        <v>-----</v>
      </c>
      <c r="BN74" s="5" t="str">
        <f t="shared" si="248"/>
        <v>-----</v>
      </c>
      <c r="BO74" s="5"/>
      <c r="BP74" s="5">
        <f t="shared" si="249"/>
        <v>6</v>
      </c>
      <c r="BQ74" s="5">
        <f t="shared" si="249"/>
        <v>6</v>
      </c>
      <c r="BR74" s="5">
        <f t="shared" si="249"/>
        <v>68</v>
      </c>
      <c r="BS74" s="5">
        <f t="shared" si="249"/>
        <v>70</v>
      </c>
      <c r="BT74" s="5">
        <f t="shared" si="249"/>
        <v>70</v>
      </c>
      <c r="BU74" s="5">
        <f t="shared" si="249"/>
        <v>6</v>
      </c>
      <c r="BV74" s="5">
        <f t="shared" si="250"/>
        <v>2</v>
      </c>
      <c r="BW74" s="5">
        <f t="shared" si="250"/>
        <v>2</v>
      </c>
      <c r="BX74" s="5">
        <f t="shared" si="250"/>
        <v>2</v>
      </c>
      <c r="BY74" s="5">
        <f t="shared" si="250"/>
        <v>0</v>
      </c>
      <c r="BZ74" s="5">
        <f t="shared" si="250"/>
        <v>0</v>
      </c>
      <c r="CA74" s="5">
        <f t="shared" si="250"/>
        <v>7</v>
      </c>
      <c r="CB74" s="5" t="str">
        <f t="shared" si="273"/>
        <v>-----</v>
      </c>
      <c r="CC74" s="5" t="str">
        <f t="shared" si="273"/>
        <v>-----</v>
      </c>
      <c r="CD74" s="5" t="str">
        <f t="shared" si="273"/>
        <v>-----</v>
      </c>
      <c r="CE74" s="5" t="str">
        <f t="shared" si="273"/>
        <v>-----</v>
      </c>
      <c r="CF74" s="5" t="str">
        <f t="shared" si="273"/>
        <v>-----</v>
      </c>
      <c r="CG74" s="5" t="str">
        <f t="shared" si="195"/>
        <v>-----</v>
      </c>
      <c r="CH74" s="5"/>
      <c r="CI74" s="17" t="str">
        <f t="shared" si="196"/>
        <v>-----</v>
      </c>
      <c r="CJ74" s="17" t="str">
        <f t="shared" si="197"/>
        <v>-----</v>
      </c>
      <c r="CK74" s="17" t="str">
        <f t="shared" si="198"/>
        <v>-----</v>
      </c>
      <c r="CL74" s="17" t="str">
        <f t="shared" si="199"/>
        <v>-----</v>
      </c>
      <c r="CM74" s="17" t="str">
        <f t="shared" si="200"/>
        <v>-----</v>
      </c>
      <c r="CN74" s="17" t="str">
        <f t="shared" si="201"/>
        <v>-----</v>
      </c>
      <c r="CO74" s="5"/>
      <c r="CP74" s="5" t="str">
        <f t="shared" si="177"/>
        <v>-----</v>
      </c>
      <c r="CQ74" s="5" t="str">
        <f t="shared" si="177"/>
        <v>-----</v>
      </c>
      <c r="CR74" s="5" t="str">
        <f t="shared" si="177"/>
        <v>-----</v>
      </c>
      <c r="CS74" s="5" t="str">
        <f t="shared" si="177"/>
        <v>-----</v>
      </c>
      <c r="CT74" s="5" t="str">
        <f t="shared" si="177"/>
        <v>-----</v>
      </c>
      <c r="CU74" s="5" t="str">
        <f t="shared" si="177"/>
        <v>-----</v>
      </c>
      <c r="CV74" s="5"/>
      <c r="CW74" s="17" t="str">
        <f t="shared" si="178"/>
        <v/>
      </c>
      <c r="CX74" s="17" t="str">
        <f t="shared" si="178"/>
        <v/>
      </c>
      <c r="CY74" s="17" t="str">
        <f t="shared" si="178"/>
        <v/>
      </c>
      <c r="CZ74" s="17" t="str">
        <f t="shared" si="178"/>
        <v/>
      </c>
      <c r="DA74" s="17" t="str">
        <f t="shared" si="178"/>
        <v/>
      </c>
      <c r="DB74" s="17" t="str">
        <f t="shared" si="178"/>
        <v/>
      </c>
      <c r="DC74" s="8"/>
      <c r="DD74" s="5">
        <f t="shared" si="202"/>
        <v>0</v>
      </c>
      <c r="DE74" s="17" t="str">
        <f t="shared" si="251"/>
        <v>-----</v>
      </c>
      <c r="DF74" s="5" t="str" cm="1">
        <f t="array" ref="DF74">_xlfn.IFS(DE74=CW74,CP74,DE74=CX74,CQ74,DE74=CY74,CR74,DE74=CZ74,CS74,DE74=DA74,CT74,DE74=DB74,CU74,TRUE,"----- ")</f>
        <v xml:space="preserve">----- </v>
      </c>
      <c r="DG74" s="5"/>
      <c r="DH74" s="5">
        <f t="shared" si="252"/>
        <v>-2.423265306122455E-3</v>
      </c>
      <c r="DI74" s="5">
        <f t="shared" si="253"/>
        <v>-3.7194805194805478E-4</v>
      </c>
      <c r="DJ74" s="5">
        <f t="shared" si="254"/>
        <v>-1.6402721088435472E-3</v>
      </c>
      <c r="DK74" s="5">
        <f t="shared" si="255"/>
        <v>7.6471243042669956E-4</v>
      </c>
      <c r="DL74" s="5">
        <f t="shared" si="256"/>
        <v>-2.3081014223875058E-4</v>
      </c>
      <c r="DM74" s="5">
        <f t="shared" si="257"/>
        <v>1.5802844774273381E-3</v>
      </c>
      <c r="DO74" s="5">
        <f t="shared" si="203"/>
        <v>-1.9079214597220278</v>
      </c>
      <c r="DP74" s="5">
        <f t="shared" si="204"/>
        <v>-0.29295343676527091</v>
      </c>
      <c r="DQ74" s="5">
        <f t="shared" si="205"/>
        <v>-1.2917022253843653</v>
      </c>
      <c r="DR74" s="5">
        <f t="shared" si="206"/>
        <v>0.60228527619529781</v>
      </c>
      <c r="DS74" s="5">
        <f t="shared" si="207"/>
        <v>-0.18179147971962978</v>
      </c>
      <c r="DT74" s="5">
        <f t="shared" si="208"/>
        <v>1.2444775446344229</v>
      </c>
      <c r="DV74" t="str" cm="1">
        <f t="array" ref="DV74">_xlfn.IFS(DO74&gt;3,"Strong + Slope",DO74&gt;1.5,"Moderate + Slope",DO74&gt;0.5,"Sideway + Slope",DO74&gt;=-0.5,"Sideway Flat",DO74&gt;=-1.5,"Sideway - Slope",DO74&gt;=-3,"Moderate - Slope",TRUE,"Strong - Slope")</f>
        <v>Moderate - Slope</v>
      </c>
      <c r="DW74" t="str" cm="1">
        <f t="array" ref="DW74">_xlfn.IFS(DP74&gt;3,"Strong + Slope",DP74&gt;1.5,"Moderate + Slope",DP74&gt;0.5,"Sideway + Slope",DP74&gt;=-0.5,"Sideway Flat",DP74&gt;=-1.5,"Sideway - Slope",DP74&gt;=-3,"Moderate - Slope",TRUE,"Strong - Slope")</f>
        <v>Sideway Flat</v>
      </c>
      <c r="DX74" t="str" cm="1">
        <f t="array" ref="DX74">_xlfn.IFS(DQ74&gt;3,"Strong + Slope",DQ74&gt;1.5,"Moderate + Slope",DQ74&gt;0.5,"Sideway + Slope",DQ74&gt;=-0.5,"Sideway Flat",DQ74&gt;=-1.5,"Sideway - Slope",DQ74&gt;=-3,"Moderate - Slope",TRUE,"Strong - Slope")</f>
        <v>Sideway - Slope</v>
      </c>
      <c r="DY74" t="str" cm="1">
        <f t="array" ref="DY74">_xlfn.IFS(DR74&gt;3,"Strong + Slope",DR74&gt;1.5,"Moderate + Slope",DR74&gt;0.5,"Sideway + Slope",DR74&gt;=-0.5,"Sideway Flat",DR74&gt;=-1.5,"Sideway - Slope",DR74&gt;=-3,"Moderate - Slope",TRUE,"Strong - Slope")</f>
        <v>Sideway + Slope</v>
      </c>
      <c r="DZ74" t="str" cm="1">
        <f t="array" ref="DZ74">_xlfn.IFS(DS74&gt;3,"Strong + Slope",DS74&gt;1.5,"Moderate + Slope",DS74&gt;0.5,"Sideway + Slope",DS74&gt;=-0.5,"Sideway Flat",DS74&gt;=-1.5,"Sideway - Slope",DS74&gt;=-3,"Moderate - Slope",TRUE,"Strong - Slope")</f>
        <v>Sideway Flat</v>
      </c>
      <c r="EA74" t="str" cm="1">
        <f t="array" ref="EA74">_xlfn.IFS(DT74&gt;3,"Strong + Slope",DT74&gt;1.5,"Moderate + Slope",DT74&gt;0.5,"Sideway + Slope",DT74&gt;=-0.5,"Sideway Flat",DT74&gt;=-1.5,"Sideway - Slope",DT74&gt;=-3,"Moderate - Slope",TRUE,"Strong - Slope")</f>
        <v>Sideway + Slope</v>
      </c>
      <c r="EB74" s="5"/>
      <c r="EC74" s="5">
        <f t="shared" si="209"/>
        <v>4</v>
      </c>
      <c r="ED74" s="5">
        <f t="shared" si="210"/>
        <v>2</v>
      </c>
      <c r="EE74" s="5">
        <f t="shared" si="211"/>
        <v>1</v>
      </c>
      <c r="EF74" s="5">
        <f t="shared" si="212"/>
        <v>5</v>
      </c>
      <c r="EG74" s="5">
        <f t="shared" si="213"/>
        <v>6</v>
      </c>
      <c r="EH74" s="5">
        <f t="shared" si="214"/>
        <v>3</v>
      </c>
      <c r="EI74" s="5"/>
      <c r="EJ74" s="5" t="str">
        <f t="shared" si="215"/>
        <v>RES</v>
      </c>
      <c r="EK74" s="5" t="str">
        <f t="shared" si="216"/>
        <v>RES</v>
      </c>
      <c r="EL74" s="5" t="str">
        <f t="shared" si="217"/>
        <v>RES</v>
      </c>
      <c r="EM74" s="5" t="str">
        <f t="shared" si="218"/>
        <v>SUP</v>
      </c>
      <c r="EN74" s="5" t="str">
        <f t="shared" si="219"/>
        <v>SUP</v>
      </c>
      <c r="EO74" s="5" t="str">
        <f t="shared" si="220"/>
        <v>RES</v>
      </c>
      <c r="EP74" s="5"/>
      <c r="EQ74" s="8">
        <f t="shared" si="221"/>
        <v>6.6767472458420139E-4</v>
      </c>
      <c r="ER74" s="8">
        <f t="shared" si="222"/>
        <v>7.5931635344857553E-4</v>
      </c>
      <c r="ES74" s="8">
        <f t="shared" si="223"/>
        <v>2.5463281163061982E-3</v>
      </c>
      <c r="ET74" s="8">
        <f t="shared" si="224"/>
        <v>-1.0211495787758374E-3</v>
      </c>
      <c r="EU74" s="8">
        <f t="shared" si="225"/>
        <v>-1.191341175238539E-3</v>
      </c>
      <c r="EV74" s="8">
        <f t="shared" si="226"/>
        <v>7.0694970838327208E-4</v>
      </c>
      <c r="EW74" s="8"/>
      <c r="EX74" s="8">
        <f t="shared" si="227"/>
        <v>0.31873905429074784</v>
      </c>
      <c r="EY74" s="9">
        <f t="shared" si="228"/>
        <v>4</v>
      </c>
      <c r="EZ74" s="10">
        <f t="shared" si="229"/>
        <v>2</v>
      </c>
      <c r="FA74" s="8">
        <f t="shared" si="258"/>
        <v>2.5463281163061982E-3</v>
      </c>
      <c r="FB74" s="8">
        <f t="shared" si="259"/>
        <v>7.5931635344857553E-4</v>
      </c>
      <c r="FC74" s="8">
        <f t="shared" si="260"/>
        <v>7.0694970838327208E-4</v>
      </c>
      <c r="FD74" s="8">
        <f t="shared" si="261"/>
        <v>6.6767472458420139E-4</v>
      </c>
      <c r="FE74" s="8">
        <f t="shared" si="262"/>
        <v>-1.0211495787758374E-3</v>
      </c>
      <c r="FF74" s="8">
        <f t="shared" si="263"/>
        <v>-1.191341175238539E-3</v>
      </c>
      <c r="FG74" s="5"/>
      <c r="FH74" s="5" t="str">
        <f t="shared" si="230"/>
        <v>-----</v>
      </c>
      <c r="FI74" s="5" t="str">
        <f t="shared" si="264"/>
        <v>-----</v>
      </c>
      <c r="FJ74" s="5"/>
      <c r="FK74" s="5" t="str">
        <f t="shared" si="265"/>
        <v>-----</v>
      </c>
      <c r="FL74" s="5" t="str">
        <f t="shared" si="266"/>
        <v>-----</v>
      </c>
      <c r="FM74" s="5"/>
      <c r="FN74" s="5"/>
      <c r="FO74" s="8" t="str">
        <f t="shared" si="174"/>
        <v>Bearish</v>
      </c>
      <c r="FP74" s="8"/>
      <c r="FQ74" s="14">
        <f t="shared" si="231"/>
        <v>-5.889127362203941E-5</v>
      </c>
      <c r="FR74" s="14">
        <f t="shared" si="232"/>
        <v>1.1288398646976883</v>
      </c>
      <c r="FS74" s="14" t="str">
        <f t="shared" si="233"/>
        <v>-----</v>
      </c>
      <c r="FT74" s="14" t="str">
        <f t="shared" si="234"/>
        <v>Bearish</v>
      </c>
      <c r="FU74" s="5" t="str">
        <f t="shared" si="267"/>
        <v>-----</v>
      </c>
      <c r="FV74" s="5" t="str">
        <f t="shared" si="268"/>
        <v>-----</v>
      </c>
      <c r="FW74" s="5"/>
      <c r="FX74" s="15" t="str">
        <f t="shared" si="116"/>
        <v>YES</v>
      </c>
      <c r="FY74" s="15" t="str">
        <f t="shared" si="117"/>
        <v>-----</v>
      </c>
      <c r="FZ74" s="15" t="str">
        <f t="shared" si="118"/>
        <v>-----</v>
      </c>
      <c r="GA74" s="15" t="str">
        <f t="shared" si="119"/>
        <v>-----</v>
      </c>
      <c r="GB74" s="16" t="str">
        <f t="shared" si="274"/>
        <v>-----</v>
      </c>
      <c r="GC74" s="16" t="str">
        <f t="shared" si="275"/>
        <v>-----</v>
      </c>
      <c r="GD74" s="16" t="str">
        <f t="shared" si="276"/>
        <v>YES</v>
      </c>
      <c r="GE74" s="16" t="str">
        <f t="shared" ref="GE74:GE103" si="278">IF(OR(FU74="TEMA crossover",FU73="TEMA crossover",FU72="TEMA crossover",FU71="TEMA crossover"),"YES","-----")</f>
        <v>-----</v>
      </c>
      <c r="GF74" s="15" t="str">
        <f t="shared" si="277"/>
        <v>-----</v>
      </c>
      <c r="GG74" s="16" t="str">
        <f t="shared" si="120"/>
        <v>-----</v>
      </c>
      <c r="GH74" s="14"/>
      <c r="GI74" s="5" t="str">
        <f t="shared" si="235"/>
        <v>-----</v>
      </c>
      <c r="GJ74" s="5" t="str">
        <f t="shared" si="236"/>
        <v>Bearish Trigger</v>
      </c>
      <c r="GK74" s="5"/>
      <c r="GL74" s="5" t="str">
        <f t="shared" si="237"/>
        <v>-----</v>
      </c>
      <c r="GM74" s="5" t="str">
        <f t="shared" si="238"/>
        <v>-----</v>
      </c>
      <c r="GN74" s="5"/>
      <c r="GO74" s="12">
        <f t="shared" si="239"/>
        <v>2.8999999999996362E-2</v>
      </c>
      <c r="GP74" s="5">
        <f t="shared" si="269"/>
        <v>-1.0780930230139756</v>
      </c>
      <c r="GQ74" s="13" t="str">
        <f t="shared" si="270"/>
        <v>-----</v>
      </c>
      <c r="GR74" s="5"/>
      <c r="GS74">
        <f t="shared" si="271"/>
        <v>-0.8740403050524066</v>
      </c>
      <c r="GT74" s="5" t="str">
        <f t="shared" si="272"/>
        <v>-----</v>
      </c>
    </row>
    <row r="75" spans="1:202" x14ac:dyDescent="0.55000000000000004">
      <c r="A75">
        <v>71</v>
      </c>
      <c r="B75" t="s">
        <v>74</v>
      </c>
      <c r="C75" t="s">
        <v>4</v>
      </c>
      <c r="D75" t="s">
        <v>103</v>
      </c>
      <c r="E75">
        <v>152.768</v>
      </c>
      <c r="F75">
        <v>152.792</v>
      </c>
      <c r="G75">
        <v>152.74199999999999</v>
      </c>
      <c r="H75">
        <v>152.74299999999999</v>
      </c>
      <c r="I75">
        <v>144</v>
      </c>
      <c r="J75">
        <v>152.869</v>
      </c>
      <c r="K75">
        <v>152.88499999999999</v>
      </c>
      <c r="L75">
        <v>153.15600000000001</v>
      </c>
      <c r="M75">
        <v>152.614</v>
      </c>
      <c r="N75">
        <v>152.58699999999999</v>
      </c>
      <c r="O75">
        <v>152.87899999999999</v>
      </c>
      <c r="P75">
        <v>0</v>
      </c>
      <c r="Q75">
        <v>0</v>
      </c>
      <c r="R75">
        <v>0</v>
      </c>
      <c r="S75">
        <v>0</v>
      </c>
      <c r="T75">
        <v>0</v>
      </c>
      <c r="U75">
        <v>0.49231000000000003</v>
      </c>
      <c r="V75">
        <v>3</v>
      </c>
      <c r="W75">
        <v>153.11425</v>
      </c>
      <c r="X75">
        <v>153.03206</v>
      </c>
      <c r="Y75">
        <v>152.94987</v>
      </c>
      <c r="Z75">
        <v>152.86767</v>
      </c>
      <c r="AA75">
        <v>152.78548000000001</v>
      </c>
      <c r="AB75">
        <v>152.74363</v>
      </c>
      <c r="AC75">
        <v>152.66144</v>
      </c>
      <c r="AD75">
        <v>152.57925</v>
      </c>
      <c r="AE75">
        <v>152.49706</v>
      </c>
      <c r="AF75">
        <v>152.41486</v>
      </c>
      <c r="AG75">
        <v>152.767</v>
      </c>
      <c r="AH75">
        <v>152.804</v>
      </c>
      <c r="AI75">
        <v>152.81899999999999</v>
      </c>
      <c r="AJ75">
        <v>152.92699999999999</v>
      </c>
      <c r="AK75">
        <v>152.792</v>
      </c>
      <c r="AL75">
        <v>152.75399999999999</v>
      </c>
      <c r="AM75" s="11">
        <f t="shared" si="179"/>
        <v>5.0000000000011369E-2</v>
      </c>
      <c r="AN75" s="11">
        <f t="shared" si="240"/>
        <v>2.2999999999996135E-2</v>
      </c>
      <c r="AO75" s="11">
        <f t="shared" si="241"/>
        <v>2.7000000000015234E-2</v>
      </c>
      <c r="AP75" s="11">
        <f t="shared" si="242"/>
        <v>5.0000000000011369E-2</v>
      </c>
      <c r="AR75" s="5" t="str">
        <f t="shared" si="180"/>
        <v>------</v>
      </c>
      <c r="AS75" s="5" t="str">
        <f t="shared" si="181"/>
        <v>------</v>
      </c>
      <c r="AT75" t="str">
        <f t="shared" si="182"/>
        <v/>
      </c>
      <c r="AV75" s="2">
        <f t="shared" si="183"/>
        <v>152.89193035000002</v>
      </c>
      <c r="AW75" s="2">
        <f t="shared" si="184"/>
        <v>152.84606965</v>
      </c>
      <c r="AX75" s="2">
        <f t="shared" si="185"/>
        <v>152.90793275000001</v>
      </c>
      <c r="AY75" s="2">
        <f t="shared" si="186"/>
        <v>152.86206725</v>
      </c>
      <c r="AZ75" s="2">
        <f t="shared" si="187"/>
        <v>153.17897340000002</v>
      </c>
      <c r="BA75" s="2">
        <f t="shared" si="188"/>
        <v>153.13302660000002</v>
      </c>
      <c r="BB75" s="2">
        <f t="shared" si="189"/>
        <v>152.63689210000001</v>
      </c>
      <c r="BC75" s="2">
        <f t="shared" si="190"/>
        <v>152.5911079</v>
      </c>
      <c r="BD75" s="2">
        <f t="shared" si="191"/>
        <v>152.60988805</v>
      </c>
      <c r="BE75" s="2">
        <f t="shared" si="192"/>
        <v>152.56411194999998</v>
      </c>
      <c r="BF75" s="2">
        <f t="shared" si="193"/>
        <v>152.90193185000001</v>
      </c>
      <c r="BG75" s="2">
        <f t="shared" si="194"/>
        <v>152.85606815</v>
      </c>
      <c r="BI75" s="5" t="str">
        <f t="shared" si="243"/>
        <v>-----</v>
      </c>
      <c r="BJ75" s="5" t="str">
        <f t="shared" si="244"/>
        <v>-----</v>
      </c>
      <c r="BK75" s="5" t="str">
        <f t="shared" si="245"/>
        <v>-----</v>
      </c>
      <c r="BL75" s="5" t="str">
        <f t="shared" si="246"/>
        <v>-----</v>
      </c>
      <c r="BM75" s="5" t="str">
        <f t="shared" si="247"/>
        <v>-----</v>
      </c>
      <c r="BN75" s="5" t="str">
        <f t="shared" si="248"/>
        <v>-----</v>
      </c>
      <c r="BO75" s="5"/>
      <c r="BP75" s="5">
        <f t="shared" si="249"/>
        <v>7</v>
      </c>
      <c r="BQ75" s="5">
        <f t="shared" si="249"/>
        <v>7</v>
      </c>
      <c r="BR75" s="5">
        <f t="shared" si="249"/>
        <v>69</v>
      </c>
      <c r="BS75" s="5">
        <f t="shared" si="249"/>
        <v>71</v>
      </c>
      <c r="BT75" s="5">
        <f t="shared" si="249"/>
        <v>71</v>
      </c>
      <c r="BU75" s="5">
        <f t="shared" si="249"/>
        <v>7</v>
      </c>
      <c r="BV75" s="5">
        <f t="shared" si="250"/>
        <v>2</v>
      </c>
      <c r="BW75" s="5">
        <f t="shared" si="250"/>
        <v>2</v>
      </c>
      <c r="BX75" s="5">
        <f t="shared" si="250"/>
        <v>2</v>
      </c>
      <c r="BY75" s="5">
        <f t="shared" si="250"/>
        <v>0</v>
      </c>
      <c r="BZ75" s="5">
        <f t="shared" si="250"/>
        <v>0</v>
      </c>
      <c r="CA75" s="5">
        <f t="shared" si="250"/>
        <v>7</v>
      </c>
      <c r="CB75" s="5" t="str">
        <f t="shared" si="273"/>
        <v>-----</v>
      </c>
      <c r="CC75" s="5" t="str">
        <f t="shared" si="273"/>
        <v>-----</v>
      </c>
      <c r="CD75" s="5" t="str">
        <f t="shared" si="273"/>
        <v>-----</v>
      </c>
      <c r="CE75" s="5" t="str">
        <f t="shared" si="273"/>
        <v>-----</v>
      </c>
      <c r="CF75" s="5" t="str">
        <f t="shared" si="273"/>
        <v>-----</v>
      </c>
      <c r="CG75" s="5" t="str">
        <f t="shared" si="195"/>
        <v>-----</v>
      </c>
      <c r="CH75" s="5"/>
      <c r="CI75" s="17" t="str">
        <f t="shared" si="196"/>
        <v>-----</v>
      </c>
      <c r="CJ75" s="17" t="str">
        <f t="shared" si="197"/>
        <v>-----</v>
      </c>
      <c r="CK75" s="17" t="str">
        <f t="shared" si="198"/>
        <v>-----</v>
      </c>
      <c r="CL75" s="17" t="str">
        <f t="shared" si="199"/>
        <v>-----</v>
      </c>
      <c r="CM75" s="17" t="str">
        <f t="shared" si="200"/>
        <v>-----</v>
      </c>
      <c r="CN75" s="17" t="str">
        <f t="shared" si="201"/>
        <v>-----</v>
      </c>
      <c r="CO75" s="5"/>
      <c r="CP75" s="5" t="str">
        <f t="shared" si="177"/>
        <v>-----</v>
      </c>
      <c r="CQ75" s="5" t="str">
        <f t="shared" si="177"/>
        <v>-----</v>
      </c>
      <c r="CR75" s="5" t="str">
        <f t="shared" si="177"/>
        <v>-----</v>
      </c>
      <c r="CS75" s="5" t="str">
        <f t="shared" si="177"/>
        <v>-----</v>
      </c>
      <c r="CT75" s="5" t="str">
        <f t="shared" si="177"/>
        <v>-----</v>
      </c>
      <c r="CU75" s="5" t="str">
        <f t="shared" si="177"/>
        <v>-----</v>
      </c>
      <c r="CV75" s="5"/>
      <c r="CW75" s="17" t="str">
        <f t="shared" si="178"/>
        <v/>
      </c>
      <c r="CX75" s="17" t="str">
        <f t="shared" si="178"/>
        <v/>
      </c>
      <c r="CY75" s="17" t="str">
        <f t="shared" si="178"/>
        <v/>
      </c>
      <c r="CZ75" s="17" t="str">
        <f t="shared" si="178"/>
        <v/>
      </c>
      <c r="DA75" s="17" t="str">
        <f t="shared" si="178"/>
        <v/>
      </c>
      <c r="DB75" s="17" t="str">
        <f t="shared" si="178"/>
        <v/>
      </c>
      <c r="DC75" s="8"/>
      <c r="DD75" s="5">
        <f t="shared" si="202"/>
        <v>0</v>
      </c>
      <c r="DE75" s="17" t="str">
        <f t="shared" si="251"/>
        <v>-----</v>
      </c>
      <c r="DF75" s="5" t="str" cm="1">
        <f t="array" ref="DF75">_xlfn.IFS(DE75=CW75,CP75,DE75=CX75,CQ75,DE75=CY75,CR75,DE75=CZ75,CS75,DE75=DA75,CT75,DE75=DB75,CU75,TRUE,"----- ")</f>
        <v xml:space="preserve">----- </v>
      </c>
      <c r="DG75" s="5"/>
      <c r="DH75" s="5">
        <f t="shared" si="252"/>
        <v>-2.423265306122455E-3</v>
      </c>
      <c r="DI75" s="5">
        <f t="shared" si="253"/>
        <v>-3.7194805194805478E-4</v>
      </c>
      <c r="DJ75" s="5">
        <f t="shared" si="254"/>
        <v>-1.6402721088435472E-3</v>
      </c>
      <c r="DK75" s="5">
        <f t="shared" si="255"/>
        <v>7.6471243042669956E-4</v>
      </c>
      <c r="DL75" s="5">
        <f t="shared" si="256"/>
        <v>-2.3081014223875058E-4</v>
      </c>
      <c r="DM75" s="5">
        <f t="shared" si="257"/>
        <v>1.5802844774273381E-3</v>
      </c>
      <c r="DO75" s="5">
        <f t="shared" si="203"/>
        <v>-1.9079214597220278</v>
      </c>
      <c r="DP75" s="5">
        <f t="shared" si="204"/>
        <v>-0.29295343676527091</v>
      </c>
      <c r="DQ75" s="5">
        <f t="shared" si="205"/>
        <v>-1.2917022253843653</v>
      </c>
      <c r="DR75" s="5">
        <f t="shared" si="206"/>
        <v>0.60228527619529781</v>
      </c>
      <c r="DS75" s="5">
        <f t="shared" si="207"/>
        <v>-0.18179147971962978</v>
      </c>
      <c r="DT75" s="5">
        <f t="shared" si="208"/>
        <v>1.2444775446344229</v>
      </c>
      <c r="DV75" t="str" cm="1">
        <f t="array" ref="DV75">_xlfn.IFS(DO75&gt;3,"Strong + Slope",DO75&gt;1.5,"Moderate + Slope",DO75&gt;0.5,"Sideway + Slope",DO75&gt;=-0.5,"Sideway Flat",DO75&gt;=-1.5,"Sideway - Slope",DO75&gt;=-3,"Moderate - Slope",TRUE,"Strong - Slope")</f>
        <v>Moderate - Slope</v>
      </c>
      <c r="DW75" t="str" cm="1">
        <f t="array" ref="DW75">_xlfn.IFS(DP75&gt;3,"Strong + Slope",DP75&gt;1.5,"Moderate + Slope",DP75&gt;0.5,"Sideway + Slope",DP75&gt;=-0.5,"Sideway Flat",DP75&gt;=-1.5,"Sideway - Slope",DP75&gt;=-3,"Moderate - Slope",TRUE,"Strong - Slope")</f>
        <v>Sideway Flat</v>
      </c>
      <c r="DX75" t="str" cm="1">
        <f t="array" ref="DX75">_xlfn.IFS(DQ75&gt;3,"Strong + Slope",DQ75&gt;1.5,"Moderate + Slope",DQ75&gt;0.5,"Sideway + Slope",DQ75&gt;=-0.5,"Sideway Flat",DQ75&gt;=-1.5,"Sideway - Slope",DQ75&gt;=-3,"Moderate - Slope",TRUE,"Strong - Slope")</f>
        <v>Sideway - Slope</v>
      </c>
      <c r="DY75" t="str" cm="1">
        <f t="array" ref="DY75">_xlfn.IFS(DR75&gt;3,"Strong + Slope",DR75&gt;1.5,"Moderate + Slope",DR75&gt;0.5,"Sideway + Slope",DR75&gt;=-0.5,"Sideway Flat",DR75&gt;=-1.5,"Sideway - Slope",DR75&gt;=-3,"Moderate - Slope",TRUE,"Strong - Slope")</f>
        <v>Sideway + Slope</v>
      </c>
      <c r="DZ75" t="str" cm="1">
        <f t="array" ref="DZ75">_xlfn.IFS(DS75&gt;3,"Strong + Slope",DS75&gt;1.5,"Moderate + Slope",DS75&gt;0.5,"Sideway + Slope",DS75&gt;=-0.5,"Sideway Flat",DS75&gt;=-1.5,"Sideway - Slope",DS75&gt;=-3,"Moderate - Slope",TRUE,"Strong - Slope")</f>
        <v>Sideway Flat</v>
      </c>
      <c r="EA75" t="str" cm="1">
        <f t="array" ref="EA75">_xlfn.IFS(DT75&gt;3,"Strong + Slope",DT75&gt;1.5,"Moderate + Slope",DT75&gt;0.5,"Sideway + Slope",DT75&gt;=-0.5,"Sideway Flat",DT75&gt;=-1.5,"Sideway - Slope",DT75&gt;=-3,"Moderate - Slope",TRUE,"Strong - Slope")</f>
        <v>Sideway + Slope</v>
      </c>
      <c r="EB75" s="5"/>
      <c r="EC75" s="5">
        <f t="shared" si="209"/>
        <v>4</v>
      </c>
      <c r="ED75" s="5">
        <f t="shared" si="210"/>
        <v>2</v>
      </c>
      <c r="EE75" s="5">
        <f t="shared" si="211"/>
        <v>1</v>
      </c>
      <c r="EF75" s="5">
        <f t="shared" si="212"/>
        <v>5</v>
      </c>
      <c r="EG75" s="5">
        <f t="shared" si="213"/>
        <v>6</v>
      </c>
      <c r="EH75" s="5">
        <f t="shared" si="214"/>
        <v>3</v>
      </c>
      <c r="EI75" s="5"/>
      <c r="EJ75" s="5" t="str">
        <f t="shared" si="215"/>
        <v>RES</v>
      </c>
      <c r="EK75" s="5" t="str">
        <f t="shared" si="216"/>
        <v>RES</v>
      </c>
      <c r="EL75" s="5" t="str">
        <f t="shared" si="217"/>
        <v>RES</v>
      </c>
      <c r="EM75" s="5" t="str">
        <f t="shared" si="218"/>
        <v>SUP</v>
      </c>
      <c r="EN75" s="5" t="str">
        <f t="shared" si="219"/>
        <v>SUP</v>
      </c>
      <c r="EO75" s="5" t="str">
        <f t="shared" si="220"/>
        <v>RES</v>
      </c>
      <c r="EP75" s="5"/>
      <c r="EQ75" s="8">
        <f t="shared" si="221"/>
        <v>8.2491505339036674E-4</v>
      </c>
      <c r="ER75" s="8">
        <f t="shared" si="222"/>
        <v>9.2966617128114487E-4</v>
      </c>
      <c r="ES75" s="8">
        <f t="shared" si="223"/>
        <v>2.7038882305572818E-3</v>
      </c>
      <c r="ET75" s="8">
        <f t="shared" si="224"/>
        <v>-8.4455588799480614E-4</v>
      </c>
      <c r="EU75" s="8">
        <f t="shared" si="225"/>
        <v>-1.0213233994356922E-3</v>
      </c>
      <c r="EV75" s="8">
        <f t="shared" si="226"/>
        <v>8.903845020720798E-4</v>
      </c>
      <c r="EW75" s="8"/>
      <c r="EX75" s="8">
        <f t="shared" si="227"/>
        <v>0.27416520210896539</v>
      </c>
      <c r="EY75" s="9">
        <f t="shared" si="228"/>
        <v>4</v>
      </c>
      <c r="EZ75" s="10">
        <f t="shared" si="229"/>
        <v>2</v>
      </c>
      <c r="FA75" s="8">
        <f t="shared" si="258"/>
        <v>2.7038882305572818E-3</v>
      </c>
      <c r="FB75" s="8">
        <f t="shared" si="259"/>
        <v>9.2966617128114487E-4</v>
      </c>
      <c r="FC75" s="8">
        <f t="shared" si="260"/>
        <v>8.903845020720798E-4</v>
      </c>
      <c r="FD75" s="8">
        <f t="shared" si="261"/>
        <v>8.2491505339036674E-4</v>
      </c>
      <c r="FE75" s="8">
        <f t="shared" si="262"/>
        <v>-8.4455588799480614E-4</v>
      </c>
      <c r="FF75" s="8">
        <f t="shared" si="263"/>
        <v>-1.0213233994356922E-3</v>
      </c>
      <c r="FG75" s="5"/>
      <c r="FH75" s="5" t="str">
        <f t="shared" si="230"/>
        <v>-----</v>
      </c>
      <c r="FI75" s="5" t="str">
        <f t="shared" si="264"/>
        <v>-----</v>
      </c>
      <c r="FJ75" s="5"/>
      <c r="FK75" s="5" t="str">
        <f t="shared" si="265"/>
        <v>-----</v>
      </c>
      <c r="FL75" s="5" t="str">
        <f t="shared" si="266"/>
        <v>-----</v>
      </c>
      <c r="FM75" s="5"/>
      <c r="FN75" s="5"/>
      <c r="FO75" s="8" t="str">
        <f t="shared" si="174"/>
        <v>Bearish</v>
      </c>
      <c r="FP75" s="8"/>
      <c r="FQ75" s="14">
        <f t="shared" si="231"/>
        <v>-9.8155334087949523E-5</v>
      </c>
      <c r="FR75" s="14">
        <f t="shared" si="232"/>
        <v>1.015600242071115</v>
      </c>
      <c r="FS75" s="14" t="str">
        <f t="shared" si="233"/>
        <v>-----</v>
      </c>
      <c r="FT75" s="14" t="str">
        <f t="shared" si="234"/>
        <v>Bearish</v>
      </c>
      <c r="FU75" s="5" t="str">
        <f t="shared" si="267"/>
        <v>-----</v>
      </c>
      <c r="FV75" s="5" t="str">
        <f t="shared" si="268"/>
        <v>-----</v>
      </c>
      <c r="FW75" s="5"/>
      <c r="FX75" s="15" t="str">
        <f t="shared" si="116"/>
        <v>YES</v>
      </c>
      <c r="FY75" s="15" t="str">
        <f t="shared" si="117"/>
        <v>-----</v>
      </c>
      <c r="FZ75" s="15" t="str">
        <f t="shared" si="118"/>
        <v>-----</v>
      </c>
      <c r="GA75" s="15" t="str">
        <f t="shared" si="119"/>
        <v>-----</v>
      </c>
      <c r="GB75" s="16" t="str">
        <f t="shared" si="274"/>
        <v>-----</v>
      </c>
      <c r="GC75" s="16" t="str">
        <f t="shared" si="275"/>
        <v>-----</v>
      </c>
      <c r="GD75" s="16" t="str">
        <f t="shared" si="276"/>
        <v>YES</v>
      </c>
      <c r="GE75" s="16" t="str">
        <f t="shared" si="278"/>
        <v>-----</v>
      </c>
      <c r="GF75" s="15" t="str">
        <f t="shared" si="277"/>
        <v>-----</v>
      </c>
      <c r="GG75" s="16" t="str">
        <f t="shared" si="120"/>
        <v>-----</v>
      </c>
      <c r="GH75" s="14"/>
      <c r="GI75" s="5" t="str">
        <f t="shared" si="235"/>
        <v>-----</v>
      </c>
      <c r="GJ75" s="5" t="str">
        <f t="shared" si="236"/>
        <v>Bearish Trigger</v>
      </c>
      <c r="GK75" s="5"/>
      <c r="GL75" s="5" t="str">
        <f t="shared" si="237"/>
        <v>-----</v>
      </c>
      <c r="GM75" s="5" t="str">
        <f t="shared" si="238"/>
        <v>-----</v>
      </c>
      <c r="GN75" s="5"/>
      <c r="GO75" s="12">
        <f t="shared" si="239"/>
        <v>3.8000000000010914E-2</v>
      </c>
      <c r="GP75" s="5">
        <f t="shared" si="269"/>
        <v>-0.87066894970218811</v>
      </c>
      <c r="GQ75" s="13" t="str">
        <f t="shared" si="270"/>
        <v>-----</v>
      </c>
      <c r="GR75" s="5"/>
      <c r="GS75">
        <f t="shared" si="271"/>
        <v>-0.93211845493693901</v>
      </c>
      <c r="GT75" s="5" t="str">
        <f t="shared" si="272"/>
        <v>-----</v>
      </c>
    </row>
    <row r="76" spans="1:202" x14ac:dyDescent="0.55000000000000004">
      <c r="A76">
        <v>72</v>
      </c>
      <c r="B76" t="s">
        <v>75</v>
      </c>
      <c r="C76" t="s">
        <v>4</v>
      </c>
      <c r="D76" t="s">
        <v>103</v>
      </c>
      <c r="E76">
        <v>152.74299999999999</v>
      </c>
      <c r="F76">
        <v>152.76499999999999</v>
      </c>
      <c r="G76">
        <v>152.72999999999999</v>
      </c>
      <c r="H76">
        <v>152.75399999999999</v>
      </c>
      <c r="I76">
        <v>193</v>
      </c>
      <c r="J76">
        <v>152.86600000000001</v>
      </c>
      <c r="K76">
        <v>152.88499999999999</v>
      </c>
      <c r="L76">
        <v>153.154</v>
      </c>
      <c r="M76">
        <v>152.614</v>
      </c>
      <c r="N76">
        <v>152.58699999999999</v>
      </c>
      <c r="O76">
        <v>152.88</v>
      </c>
      <c r="P76">
        <v>0</v>
      </c>
      <c r="Q76">
        <v>0</v>
      </c>
      <c r="R76">
        <v>0</v>
      </c>
      <c r="S76">
        <v>0</v>
      </c>
      <c r="T76">
        <v>0</v>
      </c>
      <c r="U76">
        <v>0.82450000000000001</v>
      </c>
      <c r="V76">
        <v>0</v>
      </c>
      <c r="W76">
        <v>153.10749999999999</v>
      </c>
      <c r="X76">
        <v>153.02623</v>
      </c>
      <c r="Y76">
        <v>152.94496000000001</v>
      </c>
      <c r="Z76">
        <v>152.86367999999999</v>
      </c>
      <c r="AA76">
        <v>152.78241</v>
      </c>
      <c r="AB76">
        <v>152.74202</v>
      </c>
      <c r="AC76">
        <v>152.66074</v>
      </c>
      <c r="AD76">
        <v>152.57946999999999</v>
      </c>
      <c r="AE76">
        <v>152.4982</v>
      </c>
      <c r="AF76">
        <v>152.41693000000001</v>
      </c>
      <c r="AG76">
        <v>152.75200000000001</v>
      </c>
      <c r="AH76">
        <v>152.79300000000001</v>
      </c>
      <c r="AI76">
        <v>152.81399999999999</v>
      </c>
      <c r="AJ76">
        <v>152.923</v>
      </c>
      <c r="AK76">
        <v>152.773</v>
      </c>
      <c r="AL76">
        <v>152.73599999999999</v>
      </c>
      <c r="AM76" s="11">
        <f t="shared" si="179"/>
        <v>3.4999999999996589E-2</v>
      </c>
      <c r="AN76" s="11">
        <f t="shared" si="240"/>
        <v>2.199999999999136E-2</v>
      </c>
      <c r="AO76" s="11">
        <f t="shared" si="241"/>
        <v>1.300000000000523E-2</v>
      </c>
      <c r="AP76" s="11">
        <f t="shared" si="242"/>
        <v>3.4999999999996589E-2</v>
      </c>
      <c r="AR76" s="5" t="str">
        <f t="shared" si="180"/>
        <v>------</v>
      </c>
      <c r="AS76" s="5" t="str">
        <f t="shared" si="181"/>
        <v>------</v>
      </c>
      <c r="AT76" t="str">
        <f t="shared" si="182"/>
        <v/>
      </c>
      <c r="AV76" s="2">
        <f t="shared" si="183"/>
        <v>152.88892990000002</v>
      </c>
      <c r="AW76" s="2">
        <f t="shared" si="184"/>
        <v>152.84307010000001</v>
      </c>
      <c r="AX76" s="2">
        <f t="shared" si="185"/>
        <v>152.90793275000001</v>
      </c>
      <c r="AY76" s="2">
        <f t="shared" si="186"/>
        <v>152.86206725</v>
      </c>
      <c r="AZ76" s="2">
        <f t="shared" si="187"/>
        <v>153.1769731</v>
      </c>
      <c r="BA76" s="2">
        <f t="shared" si="188"/>
        <v>153.13102689999999</v>
      </c>
      <c r="BB76" s="2">
        <f t="shared" si="189"/>
        <v>152.63689210000001</v>
      </c>
      <c r="BC76" s="2">
        <f t="shared" si="190"/>
        <v>152.5911079</v>
      </c>
      <c r="BD76" s="2">
        <f t="shared" si="191"/>
        <v>152.60988805</v>
      </c>
      <c r="BE76" s="2">
        <f t="shared" si="192"/>
        <v>152.56411194999998</v>
      </c>
      <c r="BF76" s="2">
        <f t="shared" si="193"/>
        <v>152.90293200000002</v>
      </c>
      <c r="BG76" s="2">
        <f t="shared" si="194"/>
        <v>152.857068</v>
      </c>
      <c r="BI76" s="5" t="str">
        <f t="shared" si="243"/>
        <v>-----</v>
      </c>
      <c r="BJ76" s="5" t="str">
        <f t="shared" si="244"/>
        <v>-----</v>
      </c>
      <c r="BK76" s="5" t="str">
        <f t="shared" si="245"/>
        <v>-----</v>
      </c>
      <c r="BL76" s="5" t="str">
        <f t="shared" si="246"/>
        <v>-----</v>
      </c>
      <c r="BM76" s="5" t="str">
        <f t="shared" si="247"/>
        <v>-----</v>
      </c>
      <c r="BN76" s="5" t="str">
        <f t="shared" si="248"/>
        <v>-----</v>
      </c>
      <c r="BO76" s="5"/>
      <c r="BP76" s="5">
        <f t="shared" si="249"/>
        <v>8</v>
      </c>
      <c r="BQ76" s="5">
        <f t="shared" si="249"/>
        <v>8</v>
      </c>
      <c r="BR76" s="5">
        <f t="shared" si="249"/>
        <v>70</v>
      </c>
      <c r="BS76" s="5">
        <f t="shared" si="249"/>
        <v>72</v>
      </c>
      <c r="BT76" s="5">
        <f t="shared" si="249"/>
        <v>72</v>
      </c>
      <c r="BU76" s="5">
        <f t="shared" si="249"/>
        <v>8</v>
      </c>
      <c r="BV76" s="5">
        <f t="shared" si="250"/>
        <v>2</v>
      </c>
      <c r="BW76" s="5">
        <f t="shared" si="250"/>
        <v>2</v>
      </c>
      <c r="BX76" s="5">
        <f t="shared" si="250"/>
        <v>2</v>
      </c>
      <c r="BY76" s="5">
        <f t="shared" si="250"/>
        <v>0</v>
      </c>
      <c r="BZ76" s="5">
        <f t="shared" si="250"/>
        <v>0</v>
      </c>
      <c r="CA76" s="5">
        <f t="shared" si="250"/>
        <v>7</v>
      </c>
      <c r="CB76" s="5" t="str">
        <f t="shared" si="273"/>
        <v>-----</v>
      </c>
      <c r="CC76" s="5" t="str">
        <f t="shared" si="273"/>
        <v>-----</v>
      </c>
      <c r="CD76" s="5" t="str">
        <f t="shared" si="273"/>
        <v>-----</v>
      </c>
      <c r="CE76" s="5" t="str">
        <f t="shared" si="273"/>
        <v>-----</v>
      </c>
      <c r="CF76" s="5" t="str">
        <f t="shared" si="273"/>
        <v>-----</v>
      </c>
      <c r="CG76" s="5" t="str">
        <f t="shared" si="195"/>
        <v>-----</v>
      </c>
      <c r="CH76" s="5"/>
      <c r="CI76" s="17" t="str">
        <f t="shared" si="196"/>
        <v>-----</v>
      </c>
      <c r="CJ76" s="17" t="str">
        <f t="shared" si="197"/>
        <v>-----</v>
      </c>
      <c r="CK76" s="17" t="str">
        <f t="shared" si="198"/>
        <v>-----</v>
      </c>
      <c r="CL76" s="17" t="str">
        <f t="shared" si="199"/>
        <v>-----</v>
      </c>
      <c r="CM76" s="17" t="str">
        <f t="shared" si="200"/>
        <v>-----</v>
      </c>
      <c r="CN76" s="17" t="str">
        <f t="shared" si="201"/>
        <v>-----</v>
      </c>
      <c r="CO76" s="5"/>
      <c r="CP76" s="5" t="str">
        <f t="shared" si="177"/>
        <v>-----</v>
      </c>
      <c r="CQ76" s="5" t="str">
        <f t="shared" si="177"/>
        <v>-----</v>
      </c>
      <c r="CR76" s="5" t="str">
        <f t="shared" si="177"/>
        <v>-----</v>
      </c>
      <c r="CS76" s="5" t="str">
        <f t="shared" si="177"/>
        <v>-----</v>
      </c>
      <c r="CT76" s="5" t="str">
        <f t="shared" si="177"/>
        <v>-----</v>
      </c>
      <c r="CU76" s="5" t="str">
        <f t="shared" si="177"/>
        <v>-----</v>
      </c>
      <c r="CV76" s="5"/>
      <c r="CW76" s="17" t="str">
        <f t="shared" si="178"/>
        <v/>
      </c>
      <c r="CX76" s="17" t="str">
        <f t="shared" si="178"/>
        <v/>
      </c>
      <c r="CY76" s="17" t="str">
        <f t="shared" si="178"/>
        <v/>
      </c>
      <c r="CZ76" s="17" t="str">
        <f t="shared" si="178"/>
        <v/>
      </c>
      <c r="DA76" s="17" t="str">
        <f t="shared" si="178"/>
        <v/>
      </c>
      <c r="DB76" s="17" t="str">
        <f t="shared" si="178"/>
        <v/>
      </c>
      <c r="DC76" s="8"/>
      <c r="DD76" s="5">
        <f t="shared" si="202"/>
        <v>0</v>
      </c>
      <c r="DE76" s="17" t="str">
        <f t="shared" si="251"/>
        <v>-----</v>
      </c>
      <c r="DF76" s="5" t="str" cm="1">
        <f t="array" ref="DF76">_xlfn.IFS(DE76=CW76,CP76,DE76=CX76,CQ76,DE76=CY76,CR76,DE76=CZ76,CS76,DE76=DA76,CT76,DE76=DB76,CU76,TRUE,"----- ")</f>
        <v xml:space="preserve">----- </v>
      </c>
      <c r="DG76" s="5"/>
      <c r="DH76" s="5">
        <f t="shared" si="252"/>
        <v>-2.423265306122455E-3</v>
      </c>
      <c r="DI76" s="5">
        <f t="shared" si="253"/>
        <v>-3.7194805194805478E-4</v>
      </c>
      <c r="DJ76" s="5">
        <f t="shared" si="254"/>
        <v>-1.6402721088435472E-3</v>
      </c>
      <c r="DK76" s="5">
        <f t="shared" si="255"/>
        <v>7.6471243042669956E-4</v>
      </c>
      <c r="DL76" s="5">
        <f t="shared" si="256"/>
        <v>-2.3081014223875058E-4</v>
      </c>
      <c r="DM76" s="5">
        <f t="shared" si="257"/>
        <v>1.5802844774273381E-3</v>
      </c>
      <c r="DO76" s="5">
        <f t="shared" si="203"/>
        <v>-1.9079214597220278</v>
      </c>
      <c r="DP76" s="5">
        <f t="shared" si="204"/>
        <v>-0.29295343676527091</v>
      </c>
      <c r="DQ76" s="5">
        <f t="shared" si="205"/>
        <v>-1.2917022253843653</v>
      </c>
      <c r="DR76" s="5">
        <f t="shared" si="206"/>
        <v>0.60228527619529781</v>
      </c>
      <c r="DS76" s="5">
        <f t="shared" si="207"/>
        <v>-0.18179147971962978</v>
      </c>
      <c r="DT76" s="5">
        <f t="shared" si="208"/>
        <v>1.2444775446344229</v>
      </c>
      <c r="DV76" t="str" cm="1">
        <f t="array" ref="DV76">_xlfn.IFS(DO76&gt;3,"Strong + Slope",DO76&gt;1.5,"Moderate + Slope",DO76&gt;0.5,"Sideway + Slope",DO76&gt;=-0.5,"Sideway Flat",DO76&gt;=-1.5,"Sideway - Slope",DO76&gt;=-3,"Moderate - Slope",TRUE,"Strong - Slope")</f>
        <v>Moderate - Slope</v>
      </c>
      <c r="DW76" t="str" cm="1">
        <f t="array" ref="DW76">_xlfn.IFS(DP76&gt;3,"Strong + Slope",DP76&gt;1.5,"Moderate + Slope",DP76&gt;0.5,"Sideway + Slope",DP76&gt;=-0.5,"Sideway Flat",DP76&gt;=-1.5,"Sideway - Slope",DP76&gt;=-3,"Moderate - Slope",TRUE,"Strong - Slope")</f>
        <v>Sideway Flat</v>
      </c>
      <c r="DX76" t="str" cm="1">
        <f t="array" ref="DX76">_xlfn.IFS(DQ76&gt;3,"Strong + Slope",DQ76&gt;1.5,"Moderate + Slope",DQ76&gt;0.5,"Sideway + Slope",DQ76&gt;=-0.5,"Sideway Flat",DQ76&gt;=-1.5,"Sideway - Slope",DQ76&gt;=-3,"Moderate - Slope",TRUE,"Strong - Slope")</f>
        <v>Sideway - Slope</v>
      </c>
      <c r="DY76" t="str" cm="1">
        <f t="array" ref="DY76">_xlfn.IFS(DR76&gt;3,"Strong + Slope",DR76&gt;1.5,"Moderate + Slope",DR76&gt;0.5,"Sideway + Slope",DR76&gt;=-0.5,"Sideway Flat",DR76&gt;=-1.5,"Sideway - Slope",DR76&gt;=-3,"Moderate - Slope",TRUE,"Strong - Slope")</f>
        <v>Sideway + Slope</v>
      </c>
      <c r="DZ76" t="str" cm="1">
        <f t="array" ref="DZ76">_xlfn.IFS(DS76&gt;3,"Strong + Slope",DS76&gt;1.5,"Moderate + Slope",DS76&gt;0.5,"Sideway + Slope",DS76&gt;=-0.5,"Sideway Flat",DS76&gt;=-1.5,"Sideway - Slope",DS76&gt;=-3,"Moderate - Slope",TRUE,"Strong - Slope")</f>
        <v>Sideway Flat</v>
      </c>
      <c r="EA76" t="str" cm="1">
        <f t="array" ref="EA76">_xlfn.IFS(DT76&gt;3,"Strong + Slope",DT76&gt;1.5,"Moderate + Slope",DT76&gt;0.5,"Sideway + Slope",DT76&gt;=-0.5,"Sideway Flat",DT76&gt;=-1.5,"Sideway - Slope",DT76&gt;=-3,"Moderate - Slope",TRUE,"Strong - Slope")</f>
        <v>Sideway + Slope</v>
      </c>
      <c r="EB76" s="5"/>
      <c r="EC76" s="5">
        <f t="shared" si="209"/>
        <v>4</v>
      </c>
      <c r="ED76" s="5">
        <f t="shared" si="210"/>
        <v>2</v>
      </c>
      <c r="EE76" s="5">
        <f t="shared" si="211"/>
        <v>1</v>
      </c>
      <c r="EF76" s="5">
        <f t="shared" si="212"/>
        <v>5</v>
      </c>
      <c r="EG76" s="5">
        <f t="shared" si="213"/>
        <v>6</v>
      </c>
      <c r="EH76" s="5">
        <f t="shared" si="214"/>
        <v>3</v>
      </c>
      <c r="EI76" s="5"/>
      <c r="EJ76" s="5" t="str">
        <f t="shared" si="215"/>
        <v>RES</v>
      </c>
      <c r="EK76" s="5" t="str">
        <f t="shared" si="216"/>
        <v>RES</v>
      </c>
      <c r="EL76" s="5" t="str">
        <f t="shared" si="217"/>
        <v>RES</v>
      </c>
      <c r="EM76" s="5" t="str">
        <f t="shared" si="218"/>
        <v>SUP</v>
      </c>
      <c r="EN76" s="5" t="str">
        <f t="shared" si="219"/>
        <v>SUP</v>
      </c>
      <c r="EO76" s="5" t="str">
        <f t="shared" si="220"/>
        <v>RES</v>
      </c>
      <c r="EP76" s="5"/>
      <c r="EQ76" s="8">
        <f t="shared" si="221"/>
        <v>7.332050224545557E-4</v>
      </c>
      <c r="ER76" s="8">
        <f t="shared" si="222"/>
        <v>8.5758801733506313E-4</v>
      </c>
      <c r="ES76" s="8">
        <f t="shared" si="223"/>
        <v>2.6185893659086226E-3</v>
      </c>
      <c r="ET76" s="8">
        <f t="shared" si="224"/>
        <v>-9.1650627806791546E-4</v>
      </c>
      <c r="EU76" s="8">
        <f t="shared" si="225"/>
        <v>-1.0932610602668448E-3</v>
      </c>
      <c r="EV76" s="8">
        <f t="shared" si="226"/>
        <v>8.2485565026123558E-4</v>
      </c>
      <c r="EW76" s="8"/>
      <c r="EX76" s="8">
        <f t="shared" si="227"/>
        <v>0.29453262786596024</v>
      </c>
      <c r="EY76" s="9">
        <f t="shared" si="228"/>
        <v>4</v>
      </c>
      <c r="EZ76" s="10">
        <f t="shared" si="229"/>
        <v>2</v>
      </c>
      <c r="FA76" s="8">
        <f t="shared" si="258"/>
        <v>2.6185893659086226E-3</v>
      </c>
      <c r="FB76" s="8">
        <f t="shared" si="259"/>
        <v>8.5758801733506313E-4</v>
      </c>
      <c r="FC76" s="8">
        <f t="shared" si="260"/>
        <v>8.2485565026123558E-4</v>
      </c>
      <c r="FD76" s="8">
        <f t="shared" si="261"/>
        <v>7.332050224545557E-4</v>
      </c>
      <c r="FE76" s="8">
        <f t="shared" si="262"/>
        <v>-9.1650627806791546E-4</v>
      </c>
      <c r="FF76" s="8">
        <f t="shared" si="263"/>
        <v>-1.0932610602668448E-3</v>
      </c>
      <c r="FG76" s="5"/>
      <c r="FH76" s="5" t="str">
        <f t="shared" si="230"/>
        <v>-----</v>
      </c>
      <c r="FI76" s="5" t="str">
        <f t="shared" si="264"/>
        <v>-----</v>
      </c>
      <c r="FJ76" s="5"/>
      <c r="FK76" s="5" t="str">
        <f t="shared" si="265"/>
        <v>-----</v>
      </c>
      <c r="FL76" s="5" t="str">
        <f t="shared" si="266"/>
        <v>-----</v>
      </c>
      <c r="FM76" s="5"/>
      <c r="FN76" s="5"/>
      <c r="FO76" s="8" t="str">
        <f t="shared" si="174"/>
        <v>Bearish</v>
      </c>
      <c r="FP76" s="8"/>
      <c r="FQ76" s="14">
        <f t="shared" si="231"/>
        <v>-1.3742196395609424E-4</v>
      </c>
      <c r="FR76" s="14">
        <f t="shared" si="232"/>
        <v>0.90235320915289163</v>
      </c>
      <c r="FS76" s="14" t="str">
        <f t="shared" si="233"/>
        <v>-----</v>
      </c>
      <c r="FT76" s="14" t="str">
        <f t="shared" si="234"/>
        <v>Bearish</v>
      </c>
      <c r="FU76" s="5" t="str">
        <f t="shared" si="267"/>
        <v>TEMA crossover</v>
      </c>
      <c r="FV76" s="5" t="str">
        <f t="shared" si="268"/>
        <v>-----</v>
      </c>
      <c r="FW76" s="5"/>
      <c r="FX76" s="15" t="str">
        <f t="shared" si="116"/>
        <v>YES</v>
      </c>
      <c r="FY76" s="15" t="str">
        <f t="shared" si="117"/>
        <v>-----</v>
      </c>
      <c r="FZ76" s="15" t="str">
        <f t="shared" si="118"/>
        <v>-----</v>
      </c>
      <c r="GA76" s="15" t="str">
        <f t="shared" si="119"/>
        <v>-----</v>
      </c>
      <c r="GB76" s="16" t="str">
        <f t="shared" si="274"/>
        <v>-----</v>
      </c>
      <c r="GC76" s="16" t="str">
        <f t="shared" si="275"/>
        <v>-----</v>
      </c>
      <c r="GD76" s="16" t="str">
        <f t="shared" si="276"/>
        <v>YES</v>
      </c>
      <c r="GE76" s="16" t="str">
        <f t="shared" si="278"/>
        <v>YES</v>
      </c>
      <c r="GF76" s="15" t="str">
        <f t="shared" si="277"/>
        <v>-----</v>
      </c>
      <c r="GG76" s="16" t="str">
        <f t="shared" si="120"/>
        <v>-----</v>
      </c>
      <c r="GH76" s="14"/>
      <c r="GI76" s="5" t="str">
        <f t="shared" si="235"/>
        <v>-----</v>
      </c>
      <c r="GJ76" s="5" t="str">
        <f t="shared" si="236"/>
        <v>-----</v>
      </c>
      <c r="GK76" s="5"/>
      <c r="GL76" s="5" t="str">
        <f t="shared" si="237"/>
        <v>-----</v>
      </c>
      <c r="GM76" s="5" t="str">
        <f t="shared" si="238"/>
        <v>-----</v>
      </c>
      <c r="GN76" s="5"/>
      <c r="GO76" s="12">
        <f t="shared" si="239"/>
        <v>3.7000000000006139E-2</v>
      </c>
      <c r="GP76" s="5">
        <f t="shared" si="269"/>
        <v>-0.89371606895912614</v>
      </c>
      <c r="GQ76" s="13" t="str">
        <f t="shared" si="270"/>
        <v>-----</v>
      </c>
      <c r="GR76" s="5"/>
      <c r="GS76">
        <f t="shared" si="271"/>
        <v>-0.61591519445448506</v>
      </c>
      <c r="GT76" s="5" t="str">
        <f t="shared" si="272"/>
        <v>-----</v>
      </c>
    </row>
    <row r="77" spans="1:202" x14ac:dyDescent="0.55000000000000004">
      <c r="A77">
        <v>73</v>
      </c>
      <c r="B77" t="s">
        <v>76</v>
      </c>
      <c r="C77" t="s">
        <v>4</v>
      </c>
      <c r="D77" t="s">
        <v>103</v>
      </c>
      <c r="E77">
        <v>152.75399999999999</v>
      </c>
      <c r="F77">
        <v>152.762</v>
      </c>
      <c r="G77">
        <v>152.733</v>
      </c>
      <c r="H77">
        <v>152.73599999999999</v>
      </c>
      <c r="I77">
        <v>249</v>
      </c>
      <c r="J77">
        <v>152.864</v>
      </c>
      <c r="K77">
        <v>152.88399999999999</v>
      </c>
      <c r="L77">
        <v>153.15299999999999</v>
      </c>
      <c r="M77">
        <v>152.61500000000001</v>
      </c>
      <c r="N77">
        <v>152.58600000000001</v>
      </c>
      <c r="O77">
        <v>152.88200000000001</v>
      </c>
      <c r="P77">
        <v>0</v>
      </c>
      <c r="Q77">
        <v>0</v>
      </c>
      <c r="R77">
        <v>0</v>
      </c>
      <c r="S77">
        <v>0</v>
      </c>
      <c r="T77">
        <v>0</v>
      </c>
      <c r="U77">
        <v>0.65471999999999997</v>
      </c>
      <c r="V77">
        <v>3</v>
      </c>
      <c r="W77">
        <v>153.10274000000001</v>
      </c>
      <c r="X77">
        <v>153.02171999999999</v>
      </c>
      <c r="Y77">
        <v>152.94068999999999</v>
      </c>
      <c r="Z77">
        <v>152.85966999999999</v>
      </c>
      <c r="AA77">
        <v>152.77865</v>
      </c>
      <c r="AB77">
        <v>152.73976999999999</v>
      </c>
      <c r="AC77">
        <v>152.65875</v>
      </c>
      <c r="AD77">
        <v>152.57772</v>
      </c>
      <c r="AE77">
        <v>152.4967</v>
      </c>
      <c r="AF77">
        <v>152.41567000000001</v>
      </c>
      <c r="AG77">
        <v>152.74100000000001</v>
      </c>
      <c r="AH77">
        <v>152.78100000000001</v>
      </c>
      <c r="AI77">
        <v>152.809</v>
      </c>
      <c r="AJ77">
        <v>152.91800000000001</v>
      </c>
      <c r="AK77">
        <v>152.761</v>
      </c>
      <c r="AL77">
        <v>152.72800000000001</v>
      </c>
      <c r="AM77" s="11">
        <f t="shared" si="179"/>
        <v>2.8999999999996362E-2</v>
      </c>
      <c r="AN77" s="11">
        <f t="shared" si="240"/>
        <v>8.0000000000097771E-3</v>
      </c>
      <c r="AO77" s="11">
        <f t="shared" si="241"/>
        <v>2.0999999999986585E-2</v>
      </c>
      <c r="AP77" s="11">
        <f t="shared" si="242"/>
        <v>2.8999999999996362E-2</v>
      </c>
      <c r="AR77" s="5" t="str">
        <f t="shared" si="180"/>
        <v>------</v>
      </c>
      <c r="AS77" s="5" t="str">
        <f t="shared" si="181"/>
        <v>------</v>
      </c>
      <c r="AT77" t="str">
        <f t="shared" si="182"/>
        <v/>
      </c>
      <c r="AV77" s="2">
        <f t="shared" si="183"/>
        <v>152.88692960000003</v>
      </c>
      <c r="AW77" s="2">
        <f t="shared" si="184"/>
        <v>152.84107040000001</v>
      </c>
      <c r="AX77" s="2">
        <f t="shared" si="185"/>
        <v>152.9069326</v>
      </c>
      <c r="AY77" s="2">
        <f t="shared" si="186"/>
        <v>152.8610674</v>
      </c>
      <c r="AZ77" s="2">
        <f t="shared" si="187"/>
        <v>153.17597295000002</v>
      </c>
      <c r="BA77" s="2">
        <f t="shared" si="188"/>
        <v>153.13002705</v>
      </c>
      <c r="BB77" s="2">
        <f t="shared" si="189"/>
        <v>152.63789225000002</v>
      </c>
      <c r="BC77" s="2">
        <f t="shared" si="190"/>
        <v>152.59210775000003</v>
      </c>
      <c r="BD77" s="2">
        <f t="shared" si="191"/>
        <v>152.60888790000001</v>
      </c>
      <c r="BE77" s="2">
        <f t="shared" si="192"/>
        <v>152.56311210000001</v>
      </c>
      <c r="BF77" s="2">
        <f t="shared" si="193"/>
        <v>152.90493230000001</v>
      </c>
      <c r="BG77" s="2">
        <f t="shared" si="194"/>
        <v>152.8590677</v>
      </c>
      <c r="BI77" s="5" t="str">
        <f t="shared" si="243"/>
        <v>-----</v>
      </c>
      <c r="BJ77" s="5" t="str">
        <f t="shared" si="244"/>
        <v>-----</v>
      </c>
      <c r="BK77" s="5" t="str">
        <f t="shared" si="245"/>
        <v>-----</v>
      </c>
      <c r="BL77" s="5" t="str">
        <f t="shared" si="246"/>
        <v>-----</v>
      </c>
      <c r="BM77" s="5" t="str">
        <f t="shared" si="247"/>
        <v>-----</v>
      </c>
      <c r="BN77" s="5" t="str">
        <f t="shared" si="248"/>
        <v>-----</v>
      </c>
      <c r="BO77" s="5"/>
      <c r="BP77" s="5">
        <f t="shared" si="249"/>
        <v>9</v>
      </c>
      <c r="BQ77" s="5">
        <f t="shared" si="249"/>
        <v>9</v>
      </c>
      <c r="BR77" s="5">
        <f t="shared" si="249"/>
        <v>71</v>
      </c>
      <c r="BS77" s="5">
        <f t="shared" si="249"/>
        <v>73</v>
      </c>
      <c r="BT77" s="5">
        <f t="shared" si="249"/>
        <v>73</v>
      </c>
      <c r="BU77" s="5">
        <f t="shared" si="249"/>
        <v>9</v>
      </c>
      <c r="BV77" s="5">
        <f t="shared" si="250"/>
        <v>2</v>
      </c>
      <c r="BW77" s="5">
        <f t="shared" si="250"/>
        <v>2</v>
      </c>
      <c r="BX77" s="5">
        <f t="shared" si="250"/>
        <v>2</v>
      </c>
      <c r="BY77" s="5">
        <f t="shared" si="250"/>
        <v>0</v>
      </c>
      <c r="BZ77" s="5">
        <f t="shared" si="250"/>
        <v>0</v>
      </c>
      <c r="CA77" s="5">
        <f t="shared" si="250"/>
        <v>7</v>
      </c>
      <c r="CB77" s="5" t="str">
        <f t="shared" si="273"/>
        <v>-----</v>
      </c>
      <c r="CC77" s="5" t="str">
        <f t="shared" si="273"/>
        <v>-----</v>
      </c>
      <c r="CD77" s="5" t="str">
        <f t="shared" si="273"/>
        <v>-----</v>
      </c>
      <c r="CE77" s="5" t="str">
        <f t="shared" si="273"/>
        <v>-----</v>
      </c>
      <c r="CF77" s="5" t="str">
        <f t="shared" si="273"/>
        <v>-----</v>
      </c>
      <c r="CG77" s="5" t="str">
        <f t="shared" si="195"/>
        <v>-----</v>
      </c>
      <c r="CH77" s="5"/>
      <c r="CI77" s="17" t="str">
        <f t="shared" si="196"/>
        <v>-----</v>
      </c>
      <c r="CJ77" s="17" t="str">
        <f t="shared" si="197"/>
        <v>-----</v>
      </c>
      <c r="CK77" s="17" t="str">
        <f t="shared" si="198"/>
        <v>-----</v>
      </c>
      <c r="CL77" s="17" t="str">
        <f t="shared" si="199"/>
        <v>-----</v>
      </c>
      <c r="CM77" s="17" t="str">
        <f t="shared" si="200"/>
        <v>-----</v>
      </c>
      <c r="CN77" s="17" t="str">
        <f t="shared" si="201"/>
        <v>-----</v>
      </c>
      <c r="CO77" s="5"/>
      <c r="CP77" s="5" t="str">
        <f t="shared" si="177"/>
        <v>-----</v>
      </c>
      <c r="CQ77" s="5" t="str">
        <f t="shared" si="177"/>
        <v>-----</v>
      </c>
      <c r="CR77" s="5" t="str">
        <f t="shared" si="177"/>
        <v>-----</v>
      </c>
      <c r="CS77" s="5" t="str">
        <f t="shared" si="177"/>
        <v>-----</v>
      </c>
      <c r="CT77" s="5" t="str">
        <f t="shared" si="177"/>
        <v>-----</v>
      </c>
      <c r="CU77" s="5" t="str">
        <f t="shared" si="177"/>
        <v>-----</v>
      </c>
      <c r="CV77" s="5"/>
      <c r="CW77" s="17" t="str">
        <f t="shared" si="178"/>
        <v/>
      </c>
      <c r="CX77" s="17" t="str">
        <f t="shared" si="178"/>
        <v/>
      </c>
      <c r="CY77" s="17" t="str">
        <f t="shared" si="178"/>
        <v/>
      </c>
      <c r="CZ77" s="17" t="str">
        <f t="shared" si="178"/>
        <v/>
      </c>
      <c r="DA77" s="17" t="str">
        <f t="shared" si="178"/>
        <v/>
      </c>
      <c r="DB77" s="17" t="str">
        <f t="shared" si="178"/>
        <v/>
      </c>
      <c r="DC77" s="8"/>
      <c r="DD77" s="5">
        <f t="shared" si="202"/>
        <v>0</v>
      </c>
      <c r="DE77" s="17" t="str">
        <f t="shared" si="251"/>
        <v>-----</v>
      </c>
      <c r="DF77" s="5" t="str" cm="1">
        <f t="array" ref="DF77">_xlfn.IFS(DE77=CW77,CP77,DE77=CX77,CQ77,DE77=CY77,CR77,DE77=CZ77,CS77,DE77=DA77,CT77,DE77=DB77,CU77,TRUE,"----- ")</f>
        <v xml:space="preserve">----- </v>
      </c>
      <c r="DG77" s="5"/>
      <c r="DH77" s="5">
        <f t="shared" si="252"/>
        <v>-2.423265306122455E-3</v>
      </c>
      <c r="DI77" s="5">
        <f t="shared" si="253"/>
        <v>-3.7194805194805478E-4</v>
      </c>
      <c r="DJ77" s="5">
        <f t="shared" si="254"/>
        <v>-1.6402721088435472E-3</v>
      </c>
      <c r="DK77" s="5">
        <f t="shared" si="255"/>
        <v>7.6471243042669956E-4</v>
      </c>
      <c r="DL77" s="5">
        <f t="shared" si="256"/>
        <v>-2.3081014223875058E-4</v>
      </c>
      <c r="DM77" s="5">
        <f t="shared" si="257"/>
        <v>1.5802844774273381E-3</v>
      </c>
      <c r="DO77" s="5">
        <f t="shared" si="203"/>
        <v>-1.9079214597220278</v>
      </c>
      <c r="DP77" s="5">
        <f t="shared" si="204"/>
        <v>-0.29295343676527091</v>
      </c>
      <c r="DQ77" s="5">
        <f t="shared" si="205"/>
        <v>-1.2917022253843653</v>
      </c>
      <c r="DR77" s="5">
        <f t="shared" si="206"/>
        <v>0.60228527619529781</v>
      </c>
      <c r="DS77" s="5">
        <f t="shared" si="207"/>
        <v>-0.18179147971962978</v>
      </c>
      <c r="DT77" s="5">
        <f t="shared" si="208"/>
        <v>1.2444775446344229</v>
      </c>
      <c r="DV77" t="str" cm="1">
        <f t="array" ref="DV77">_xlfn.IFS(DO77&gt;3,"Strong + Slope",DO77&gt;1.5,"Moderate + Slope",DO77&gt;0.5,"Sideway + Slope",DO77&gt;=-0.5,"Sideway Flat",DO77&gt;=-1.5,"Sideway - Slope",DO77&gt;=-3,"Moderate - Slope",TRUE,"Strong - Slope")</f>
        <v>Moderate - Slope</v>
      </c>
      <c r="DW77" t="str" cm="1">
        <f t="array" ref="DW77">_xlfn.IFS(DP77&gt;3,"Strong + Slope",DP77&gt;1.5,"Moderate + Slope",DP77&gt;0.5,"Sideway + Slope",DP77&gt;=-0.5,"Sideway Flat",DP77&gt;=-1.5,"Sideway - Slope",DP77&gt;=-3,"Moderate - Slope",TRUE,"Strong - Slope")</f>
        <v>Sideway Flat</v>
      </c>
      <c r="DX77" t="str" cm="1">
        <f t="array" ref="DX77">_xlfn.IFS(DQ77&gt;3,"Strong + Slope",DQ77&gt;1.5,"Moderate + Slope",DQ77&gt;0.5,"Sideway + Slope",DQ77&gt;=-0.5,"Sideway Flat",DQ77&gt;=-1.5,"Sideway - Slope",DQ77&gt;=-3,"Moderate - Slope",TRUE,"Strong - Slope")</f>
        <v>Sideway - Slope</v>
      </c>
      <c r="DY77" t="str" cm="1">
        <f t="array" ref="DY77">_xlfn.IFS(DR77&gt;3,"Strong + Slope",DR77&gt;1.5,"Moderate + Slope",DR77&gt;0.5,"Sideway + Slope",DR77&gt;=-0.5,"Sideway Flat",DR77&gt;=-1.5,"Sideway - Slope",DR77&gt;=-3,"Moderate - Slope",TRUE,"Strong - Slope")</f>
        <v>Sideway + Slope</v>
      </c>
      <c r="DZ77" t="str" cm="1">
        <f t="array" ref="DZ77">_xlfn.IFS(DS77&gt;3,"Strong + Slope",DS77&gt;1.5,"Moderate + Slope",DS77&gt;0.5,"Sideway + Slope",DS77&gt;=-0.5,"Sideway Flat",DS77&gt;=-1.5,"Sideway - Slope",DS77&gt;=-3,"Moderate - Slope",TRUE,"Strong - Slope")</f>
        <v>Sideway Flat</v>
      </c>
      <c r="EA77" t="str" cm="1">
        <f t="array" ref="EA77">_xlfn.IFS(DT77&gt;3,"Strong + Slope",DT77&gt;1.5,"Moderate + Slope",DT77&gt;0.5,"Sideway + Slope",DT77&gt;=-0.5,"Sideway Flat",DT77&gt;=-1.5,"Sideway - Slope",DT77&gt;=-3,"Moderate - Slope",TRUE,"Strong - Slope")</f>
        <v>Sideway + Slope</v>
      </c>
      <c r="EB77" s="5"/>
      <c r="EC77" s="5">
        <f t="shared" si="209"/>
        <v>4</v>
      </c>
      <c r="ED77" s="5">
        <f t="shared" si="210"/>
        <v>2</v>
      </c>
      <c r="EE77" s="5">
        <f t="shared" si="211"/>
        <v>1</v>
      </c>
      <c r="EF77" s="5">
        <f t="shared" si="212"/>
        <v>5</v>
      </c>
      <c r="EG77" s="5">
        <f t="shared" si="213"/>
        <v>6</v>
      </c>
      <c r="EH77" s="5">
        <f t="shared" si="214"/>
        <v>3</v>
      </c>
      <c r="EI77" s="5"/>
      <c r="EJ77" s="5" t="str">
        <f t="shared" si="215"/>
        <v>RES</v>
      </c>
      <c r="EK77" s="5" t="str">
        <f t="shared" si="216"/>
        <v>RES</v>
      </c>
      <c r="EL77" s="5" t="str">
        <f t="shared" si="217"/>
        <v>RES</v>
      </c>
      <c r="EM77" s="5" t="str">
        <f t="shared" si="218"/>
        <v>SUP</v>
      </c>
      <c r="EN77" s="5" t="str">
        <f t="shared" si="219"/>
        <v>SUP</v>
      </c>
      <c r="EO77" s="5" t="str">
        <f t="shared" si="220"/>
        <v>RES</v>
      </c>
      <c r="EP77" s="5"/>
      <c r="EQ77" s="8">
        <f t="shared" si="221"/>
        <v>8.3804734967535049E-4</v>
      </c>
      <c r="ER77" s="8">
        <f t="shared" si="222"/>
        <v>9.6899224806199023E-4</v>
      </c>
      <c r="ES77" s="8">
        <f t="shared" si="223"/>
        <v>2.7302011313639326E-3</v>
      </c>
      <c r="ET77" s="8">
        <f t="shared" si="224"/>
        <v>-7.9221663523976605E-4</v>
      </c>
      <c r="EU77" s="8">
        <f t="shared" si="225"/>
        <v>-9.8208673790054261E-4</v>
      </c>
      <c r="EV77" s="8">
        <f t="shared" si="226"/>
        <v>9.5589775822343796E-4</v>
      </c>
      <c r="EW77" s="8"/>
      <c r="EX77" s="8">
        <f t="shared" si="227"/>
        <v>0.26455026455023434</v>
      </c>
      <c r="EY77" s="9">
        <f t="shared" si="228"/>
        <v>4</v>
      </c>
      <c r="EZ77" s="10">
        <f t="shared" si="229"/>
        <v>2</v>
      </c>
      <c r="FA77" s="8">
        <f t="shared" si="258"/>
        <v>2.7302011313639326E-3</v>
      </c>
      <c r="FB77" s="8">
        <f t="shared" si="259"/>
        <v>9.6899224806199023E-4</v>
      </c>
      <c r="FC77" s="8">
        <f t="shared" si="260"/>
        <v>9.5589775822343796E-4</v>
      </c>
      <c r="FD77" s="8">
        <f t="shared" si="261"/>
        <v>8.3804734967535049E-4</v>
      </c>
      <c r="FE77" s="8">
        <f t="shared" si="262"/>
        <v>-7.9221663523976605E-4</v>
      </c>
      <c r="FF77" s="8">
        <f t="shared" si="263"/>
        <v>-9.8208673790054261E-4</v>
      </c>
      <c r="FG77" s="5"/>
      <c r="FH77" s="5" t="str">
        <f t="shared" si="230"/>
        <v>-----</v>
      </c>
      <c r="FI77" s="5" t="str">
        <f t="shared" si="264"/>
        <v>-----</v>
      </c>
      <c r="FJ77" s="5"/>
      <c r="FK77" s="5" t="str">
        <f t="shared" si="265"/>
        <v>-----</v>
      </c>
      <c r="FL77" s="5" t="str">
        <f t="shared" si="266"/>
        <v>-----</v>
      </c>
      <c r="FM77" s="5"/>
      <c r="FN77" s="5"/>
      <c r="FO77" s="8" t="str">
        <f t="shared" si="174"/>
        <v>Bearish</v>
      </c>
      <c r="FP77" s="8"/>
      <c r="FQ77" s="14">
        <f t="shared" si="231"/>
        <v>-1.8323528064440961E-4</v>
      </c>
      <c r="FR77" s="14">
        <f t="shared" si="232"/>
        <v>0.7702251859302105</v>
      </c>
      <c r="FS77" s="14" t="str">
        <f t="shared" si="233"/>
        <v>-----</v>
      </c>
      <c r="FT77" s="14" t="str">
        <f t="shared" si="234"/>
        <v>Bearish</v>
      </c>
      <c r="FU77" s="5" t="str">
        <f t="shared" si="267"/>
        <v>-----</v>
      </c>
      <c r="FV77" s="5" t="str">
        <f t="shared" si="268"/>
        <v>TEMA crossunder</v>
      </c>
      <c r="FW77" s="5"/>
      <c r="FX77" s="15" t="str">
        <f t="shared" si="116"/>
        <v>YES</v>
      </c>
      <c r="FY77" s="15" t="str">
        <f t="shared" si="117"/>
        <v>-----</v>
      </c>
      <c r="FZ77" s="15" t="str">
        <f t="shared" si="118"/>
        <v>-----</v>
      </c>
      <c r="GA77" s="15" t="str">
        <f t="shared" si="119"/>
        <v>YES</v>
      </c>
      <c r="GB77" s="16" t="str">
        <f t="shared" si="274"/>
        <v>-----</v>
      </c>
      <c r="GC77" s="16" t="str">
        <f t="shared" si="275"/>
        <v>-----</v>
      </c>
      <c r="GD77" s="16" t="str">
        <f t="shared" si="276"/>
        <v>YES</v>
      </c>
      <c r="GE77" s="16" t="str">
        <f t="shared" si="278"/>
        <v>YES</v>
      </c>
      <c r="GF77" s="15" t="str">
        <f t="shared" si="277"/>
        <v>-----</v>
      </c>
      <c r="GG77" s="16" t="str">
        <f t="shared" si="120"/>
        <v>-----</v>
      </c>
      <c r="GH77" s="14"/>
      <c r="GI77" s="5" t="str">
        <f t="shared" si="235"/>
        <v>-----</v>
      </c>
      <c r="GJ77" s="5" t="str">
        <f t="shared" si="236"/>
        <v>-----</v>
      </c>
      <c r="GK77" s="5"/>
      <c r="GL77" s="5" t="str">
        <f t="shared" si="237"/>
        <v>-----</v>
      </c>
      <c r="GM77" s="5" t="str">
        <f t="shared" si="238"/>
        <v>-----</v>
      </c>
      <c r="GN77" s="5"/>
      <c r="GO77" s="12">
        <f t="shared" si="239"/>
        <v>3.299999999998704E-2</v>
      </c>
      <c r="GP77" s="5">
        <f t="shared" si="269"/>
        <v>-0.98590454598687838</v>
      </c>
      <c r="GQ77" s="13" t="str">
        <f t="shared" si="270"/>
        <v>-----</v>
      </c>
      <c r="GR77" s="5"/>
      <c r="GS77">
        <f t="shared" si="271"/>
        <v>-0.25454003961739496</v>
      </c>
      <c r="GT77" s="5" t="str">
        <f t="shared" si="272"/>
        <v>-----</v>
      </c>
    </row>
    <row r="78" spans="1:202" x14ac:dyDescent="0.55000000000000004">
      <c r="A78">
        <v>74</v>
      </c>
      <c r="B78" t="s">
        <v>77</v>
      </c>
      <c r="C78" t="s">
        <v>4</v>
      </c>
      <c r="D78" t="s">
        <v>103</v>
      </c>
      <c r="E78">
        <v>152.73599999999999</v>
      </c>
      <c r="F78">
        <v>152.76300000000001</v>
      </c>
      <c r="G78">
        <v>152.732</v>
      </c>
      <c r="H78">
        <v>152.76300000000001</v>
      </c>
      <c r="I78">
        <v>176</v>
      </c>
      <c r="J78">
        <v>152.86099999999999</v>
      </c>
      <c r="K78">
        <v>152.88399999999999</v>
      </c>
      <c r="L78">
        <v>153.15100000000001</v>
      </c>
      <c r="M78">
        <v>152.61600000000001</v>
      </c>
      <c r="N78">
        <v>152.58600000000001</v>
      </c>
      <c r="O78">
        <v>152.88300000000001</v>
      </c>
      <c r="P78">
        <v>0</v>
      </c>
      <c r="Q78">
        <v>0</v>
      </c>
      <c r="R78">
        <v>0</v>
      </c>
      <c r="S78">
        <v>0</v>
      </c>
      <c r="T78">
        <v>0</v>
      </c>
      <c r="U78">
        <v>0.43984000000000001</v>
      </c>
      <c r="V78">
        <v>0</v>
      </c>
      <c r="W78">
        <v>153.09701000000001</v>
      </c>
      <c r="X78">
        <v>153.01639</v>
      </c>
      <c r="Y78">
        <v>152.93576999999999</v>
      </c>
      <c r="Z78">
        <v>152.85514000000001</v>
      </c>
      <c r="AA78">
        <v>152.77452</v>
      </c>
      <c r="AB78">
        <v>152.73713000000001</v>
      </c>
      <c r="AC78">
        <v>152.65651</v>
      </c>
      <c r="AD78">
        <v>152.57588000000001</v>
      </c>
      <c r="AE78">
        <v>152.49526</v>
      </c>
      <c r="AF78">
        <v>152.41463999999999</v>
      </c>
      <c r="AG78">
        <v>152.739</v>
      </c>
      <c r="AH78">
        <v>152.77199999999999</v>
      </c>
      <c r="AI78">
        <v>152.80500000000001</v>
      </c>
      <c r="AJ78">
        <v>152.91300000000001</v>
      </c>
      <c r="AK78">
        <v>152.755</v>
      </c>
      <c r="AL78">
        <v>152.72300000000001</v>
      </c>
      <c r="AM78" s="11">
        <f t="shared" si="179"/>
        <v>3.1000000000005912E-2</v>
      </c>
      <c r="AN78" s="11">
        <f t="shared" si="240"/>
        <v>2.7000000000015234E-2</v>
      </c>
      <c r="AO78" s="11">
        <f t="shared" si="241"/>
        <v>3.9999999999906777E-3</v>
      </c>
      <c r="AP78" s="11">
        <f t="shared" si="242"/>
        <v>3.1000000000005912E-2</v>
      </c>
      <c r="AR78" s="5" t="str">
        <f t="shared" si="180"/>
        <v>------</v>
      </c>
      <c r="AS78" s="5" t="str">
        <f t="shared" si="181"/>
        <v>------</v>
      </c>
      <c r="AT78" t="str">
        <f t="shared" si="182"/>
        <v/>
      </c>
      <c r="AV78" s="2">
        <f t="shared" si="183"/>
        <v>152.88392915</v>
      </c>
      <c r="AW78" s="2">
        <f t="shared" si="184"/>
        <v>152.83807084999998</v>
      </c>
      <c r="AX78" s="2">
        <f t="shared" si="185"/>
        <v>152.9069326</v>
      </c>
      <c r="AY78" s="2">
        <f t="shared" si="186"/>
        <v>152.8610674</v>
      </c>
      <c r="AZ78" s="2">
        <f t="shared" si="187"/>
        <v>153.17397265000002</v>
      </c>
      <c r="BA78" s="2">
        <f t="shared" si="188"/>
        <v>153.12802735000002</v>
      </c>
      <c r="BB78" s="2">
        <f t="shared" si="189"/>
        <v>152.63889240000003</v>
      </c>
      <c r="BC78" s="2">
        <f t="shared" si="190"/>
        <v>152.59310760000002</v>
      </c>
      <c r="BD78" s="2">
        <f t="shared" si="191"/>
        <v>152.60888790000001</v>
      </c>
      <c r="BE78" s="2">
        <f t="shared" si="192"/>
        <v>152.56311210000001</v>
      </c>
      <c r="BF78" s="2">
        <f t="shared" si="193"/>
        <v>152.90593245000002</v>
      </c>
      <c r="BG78" s="2">
        <f t="shared" si="194"/>
        <v>152.86006755000002</v>
      </c>
      <c r="BI78" s="5" t="str">
        <f t="shared" si="243"/>
        <v>-----</v>
      </c>
      <c r="BJ78" s="5" t="str">
        <f t="shared" si="244"/>
        <v>-----</v>
      </c>
      <c r="BK78" s="5" t="str">
        <f t="shared" si="245"/>
        <v>-----</v>
      </c>
      <c r="BL78" s="5" t="str">
        <f t="shared" si="246"/>
        <v>-----</v>
      </c>
      <c r="BM78" s="5" t="str">
        <f t="shared" si="247"/>
        <v>-----</v>
      </c>
      <c r="BN78" s="5" t="str">
        <f t="shared" si="248"/>
        <v>-----</v>
      </c>
      <c r="BO78" s="5"/>
      <c r="BP78" s="5">
        <f t="shared" si="249"/>
        <v>10</v>
      </c>
      <c r="BQ78" s="5">
        <f t="shared" si="249"/>
        <v>10</v>
      </c>
      <c r="BR78" s="5">
        <f t="shared" si="249"/>
        <v>72</v>
      </c>
      <c r="BS78" s="5">
        <f t="shared" si="249"/>
        <v>74</v>
      </c>
      <c r="BT78" s="5">
        <f t="shared" si="249"/>
        <v>74</v>
      </c>
      <c r="BU78" s="5">
        <f t="shared" si="249"/>
        <v>10</v>
      </c>
      <c r="BV78" s="5">
        <f t="shared" si="250"/>
        <v>2</v>
      </c>
      <c r="BW78" s="5">
        <f t="shared" si="250"/>
        <v>2</v>
      </c>
      <c r="BX78" s="5">
        <f t="shared" si="250"/>
        <v>2</v>
      </c>
      <c r="BY78" s="5">
        <f t="shared" si="250"/>
        <v>0</v>
      </c>
      <c r="BZ78" s="5">
        <f t="shared" si="250"/>
        <v>0</v>
      </c>
      <c r="CA78" s="5">
        <f t="shared" si="250"/>
        <v>7</v>
      </c>
      <c r="CB78" s="5" t="str">
        <f t="shared" si="273"/>
        <v>-----</v>
      </c>
      <c r="CC78" s="5" t="str">
        <f t="shared" si="273"/>
        <v>-----</v>
      </c>
      <c r="CD78" s="5" t="str">
        <f t="shared" si="273"/>
        <v>-----</v>
      </c>
      <c r="CE78" s="5" t="str">
        <f t="shared" si="273"/>
        <v>-----</v>
      </c>
      <c r="CF78" s="5" t="str">
        <f t="shared" si="273"/>
        <v>-----</v>
      </c>
      <c r="CG78" s="5" t="str">
        <f t="shared" si="195"/>
        <v>-----</v>
      </c>
      <c r="CH78" s="5"/>
      <c r="CI78" s="17" t="str">
        <f t="shared" si="196"/>
        <v>-----</v>
      </c>
      <c r="CJ78" s="17" t="str">
        <f t="shared" si="197"/>
        <v>-----</v>
      </c>
      <c r="CK78" s="17" t="str">
        <f t="shared" si="198"/>
        <v>-----</v>
      </c>
      <c r="CL78" s="17" t="str">
        <f t="shared" si="199"/>
        <v>-----</v>
      </c>
      <c r="CM78" s="17" t="str">
        <f t="shared" si="200"/>
        <v>-----</v>
      </c>
      <c r="CN78" s="17" t="str">
        <f t="shared" si="201"/>
        <v>-----</v>
      </c>
      <c r="CO78" s="5"/>
      <c r="CP78" s="5" t="str">
        <f t="shared" si="177"/>
        <v>-----</v>
      </c>
      <c r="CQ78" s="5" t="str">
        <f t="shared" si="177"/>
        <v>-----</v>
      </c>
      <c r="CR78" s="5" t="str">
        <f t="shared" si="177"/>
        <v>-----</v>
      </c>
      <c r="CS78" s="5" t="str">
        <f t="shared" si="177"/>
        <v>-----</v>
      </c>
      <c r="CT78" s="5" t="str">
        <f t="shared" si="177"/>
        <v>-----</v>
      </c>
      <c r="CU78" s="5" t="str">
        <f t="shared" si="177"/>
        <v>-----</v>
      </c>
      <c r="CV78" s="5"/>
      <c r="CW78" s="17" t="str">
        <f t="shared" si="178"/>
        <v/>
      </c>
      <c r="CX78" s="17" t="str">
        <f t="shared" si="178"/>
        <v/>
      </c>
      <c r="CY78" s="17" t="str">
        <f t="shared" si="178"/>
        <v/>
      </c>
      <c r="CZ78" s="17" t="str">
        <f t="shared" si="178"/>
        <v/>
      </c>
      <c r="DA78" s="17" t="str">
        <f t="shared" si="178"/>
        <v/>
      </c>
      <c r="DB78" s="17" t="str">
        <f t="shared" si="178"/>
        <v/>
      </c>
      <c r="DC78" s="8"/>
      <c r="DD78" s="5">
        <f t="shared" si="202"/>
        <v>0</v>
      </c>
      <c r="DE78" s="17" t="str">
        <f t="shared" si="251"/>
        <v>-----</v>
      </c>
      <c r="DF78" s="5" t="str" cm="1">
        <f t="array" ref="DF78">_xlfn.IFS(DE78=CW78,CP78,DE78=CX78,CQ78,DE78=CY78,CR78,DE78=CZ78,CS78,DE78=DA78,CT78,DE78=DB78,CU78,TRUE,"----- ")</f>
        <v xml:space="preserve">----- </v>
      </c>
      <c r="DG78" s="5"/>
      <c r="DH78" s="5">
        <f t="shared" si="252"/>
        <v>-2.423265306122455E-3</v>
      </c>
      <c r="DI78" s="5">
        <f t="shared" si="253"/>
        <v>-3.7194805194805478E-4</v>
      </c>
      <c r="DJ78" s="5">
        <f t="shared" si="254"/>
        <v>-1.6402721088435472E-3</v>
      </c>
      <c r="DK78" s="5">
        <f t="shared" si="255"/>
        <v>7.6471243042669956E-4</v>
      </c>
      <c r="DL78" s="5">
        <f t="shared" si="256"/>
        <v>-2.3081014223875058E-4</v>
      </c>
      <c r="DM78" s="5">
        <f t="shared" si="257"/>
        <v>1.5802844774273381E-3</v>
      </c>
      <c r="DO78" s="5">
        <f t="shared" si="203"/>
        <v>-1.9079214597220278</v>
      </c>
      <c r="DP78" s="5">
        <f t="shared" si="204"/>
        <v>-0.29295343676527091</v>
      </c>
      <c r="DQ78" s="5">
        <f t="shared" si="205"/>
        <v>-1.2917022253843653</v>
      </c>
      <c r="DR78" s="5">
        <f t="shared" si="206"/>
        <v>0.60228527619529781</v>
      </c>
      <c r="DS78" s="5">
        <f t="shared" si="207"/>
        <v>-0.18179147971962978</v>
      </c>
      <c r="DT78" s="5">
        <f t="shared" si="208"/>
        <v>1.2444775446344229</v>
      </c>
      <c r="DV78" t="str" cm="1">
        <f t="array" ref="DV78">_xlfn.IFS(DO78&gt;3,"Strong + Slope",DO78&gt;1.5,"Moderate + Slope",DO78&gt;0.5,"Sideway + Slope",DO78&gt;=-0.5,"Sideway Flat",DO78&gt;=-1.5,"Sideway - Slope",DO78&gt;=-3,"Moderate - Slope",TRUE,"Strong - Slope")</f>
        <v>Moderate - Slope</v>
      </c>
      <c r="DW78" t="str" cm="1">
        <f t="array" ref="DW78">_xlfn.IFS(DP78&gt;3,"Strong + Slope",DP78&gt;1.5,"Moderate + Slope",DP78&gt;0.5,"Sideway + Slope",DP78&gt;=-0.5,"Sideway Flat",DP78&gt;=-1.5,"Sideway - Slope",DP78&gt;=-3,"Moderate - Slope",TRUE,"Strong - Slope")</f>
        <v>Sideway Flat</v>
      </c>
      <c r="DX78" t="str" cm="1">
        <f t="array" ref="DX78">_xlfn.IFS(DQ78&gt;3,"Strong + Slope",DQ78&gt;1.5,"Moderate + Slope",DQ78&gt;0.5,"Sideway + Slope",DQ78&gt;=-0.5,"Sideway Flat",DQ78&gt;=-1.5,"Sideway - Slope",DQ78&gt;=-3,"Moderate - Slope",TRUE,"Strong - Slope")</f>
        <v>Sideway - Slope</v>
      </c>
      <c r="DY78" t="str" cm="1">
        <f t="array" ref="DY78">_xlfn.IFS(DR78&gt;3,"Strong + Slope",DR78&gt;1.5,"Moderate + Slope",DR78&gt;0.5,"Sideway + Slope",DR78&gt;=-0.5,"Sideway Flat",DR78&gt;=-1.5,"Sideway - Slope",DR78&gt;=-3,"Moderate - Slope",TRUE,"Strong - Slope")</f>
        <v>Sideway + Slope</v>
      </c>
      <c r="DZ78" t="str" cm="1">
        <f t="array" ref="DZ78">_xlfn.IFS(DS78&gt;3,"Strong + Slope",DS78&gt;1.5,"Moderate + Slope",DS78&gt;0.5,"Sideway + Slope",DS78&gt;=-0.5,"Sideway Flat",DS78&gt;=-1.5,"Sideway - Slope",DS78&gt;=-3,"Moderate - Slope",TRUE,"Strong - Slope")</f>
        <v>Sideway Flat</v>
      </c>
      <c r="EA78" t="str" cm="1">
        <f t="array" ref="EA78">_xlfn.IFS(DT78&gt;3,"Strong + Slope",DT78&gt;1.5,"Moderate + Slope",DT78&gt;0.5,"Sideway + Slope",DT78&gt;=-0.5,"Sideway Flat",DT78&gt;=-1.5,"Sideway - Slope",DT78&gt;=-3,"Moderate - Slope",TRUE,"Strong - Slope")</f>
        <v>Sideway + Slope</v>
      </c>
      <c r="EB78" s="5"/>
      <c r="EC78" s="5">
        <f t="shared" si="209"/>
        <v>4</v>
      </c>
      <c r="ED78" s="5">
        <f t="shared" si="210"/>
        <v>2</v>
      </c>
      <c r="EE78" s="5">
        <f t="shared" si="211"/>
        <v>1</v>
      </c>
      <c r="EF78" s="5">
        <f t="shared" si="212"/>
        <v>5</v>
      </c>
      <c r="EG78" s="5">
        <f t="shared" si="213"/>
        <v>6</v>
      </c>
      <c r="EH78" s="5">
        <f t="shared" si="214"/>
        <v>3</v>
      </c>
      <c r="EI78" s="5"/>
      <c r="EJ78" s="5" t="str">
        <f t="shared" si="215"/>
        <v>RES</v>
      </c>
      <c r="EK78" s="5" t="str">
        <f t="shared" si="216"/>
        <v>RES</v>
      </c>
      <c r="EL78" s="5" t="str">
        <f t="shared" si="217"/>
        <v>RES</v>
      </c>
      <c r="EM78" s="5" t="str">
        <f t="shared" si="218"/>
        <v>SUP</v>
      </c>
      <c r="EN78" s="5" t="str">
        <f t="shared" si="219"/>
        <v>SUP</v>
      </c>
      <c r="EO78" s="5" t="str">
        <f t="shared" si="220"/>
        <v>RES</v>
      </c>
      <c r="EP78" s="5"/>
      <c r="EQ78" s="8">
        <f t="shared" si="221"/>
        <v>6.4151659760534137E-4</v>
      </c>
      <c r="ER78" s="8">
        <f t="shared" si="222"/>
        <v>7.9207661541067463E-4</v>
      </c>
      <c r="ES78" s="8">
        <f t="shared" si="223"/>
        <v>2.5398820394991273E-3</v>
      </c>
      <c r="ET78" s="8">
        <f t="shared" si="224"/>
        <v>-9.6227489640810502E-4</v>
      </c>
      <c r="EU78" s="8">
        <f t="shared" si="225"/>
        <v>-1.1586575283281456E-3</v>
      </c>
      <c r="EV78" s="8">
        <f t="shared" si="226"/>
        <v>7.8553052768016171E-4</v>
      </c>
      <c r="EW78" s="8"/>
      <c r="EX78" s="8">
        <f t="shared" si="227"/>
        <v>0.3132743362831738</v>
      </c>
      <c r="EY78" s="9">
        <f t="shared" si="228"/>
        <v>4</v>
      </c>
      <c r="EZ78" s="10">
        <f t="shared" si="229"/>
        <v>2</v>
      </c>
      <c r="FA78" s="8">
        <f t="shared" si="258"/>
        <v>2.5398820394991273E-3</v>
      </c>
      <c r="FB78" s="8">
        <f t="shared" si="259"/>
        <v>7.9207661541067463E-4</v>
      </c>
      <c r="FC78" s="8">
        <f t="shared" si="260"/>
        <v>7.8553052768016171E-4</v>
      </c>
      <c r="FD78" s="8">
        <f t="shared" si="261"/>
        <v>6.4151659760534137E-4</v>
      </c>
      <c r="FE78" s="8">
        <f t="shared" si="262"/>
        <v>-9.6227489640810502E-4</v>
      </c>
      <c r="FF78" s="8">
        <f t="shared" si="263"/>
        <v>-1.1586575283281456E-3</v>
      </c>
      <c r="FG78" s="5"/>
      <c r="FH78" s="5" t="str">
        <f t="shared" si="230"/>
        <v>-----</v>
      </c>
      <c r="FI78" s="5" t="str">
        <f t="shared" si="264"/>
        <v>-----</v>
      </c>
      <c r="FJ78" s="5"/>
      <c r="FK78" s="5" t="str">
        <f t="shared" si="265"/>
        <v>-----</v>
      </c>
      <c r="FL78" s="5" t="str">
        <f t="shared" si="266"/>
        <v>-----</v>
      </c>
      <c r="FM78" s="5"/>
      <c r="FN78" s="5"/>
      <c r="FO78" s="8" t="str">
        <f t="shared" si="174"/>
        <v>Bearish</v>
      </c>
      <c r="FP78" s="8"/>
      <c r="FQ78" s="14">
        <f t="shared" si="231"/>
        <v>-2.1596151958388444E-4</v>
      </c>
      <c r="FR78" s="14">
        <f t="shared" si="232"/>
        <v>0.67584098563307771</v>
      </c>
      <c r="FS78" s="14" t="str">
        <f t="shared" si="233"/>
        <v>-----</v>
      </c>
      <c r="FT78" s="14" t="str">
        <f t="shared" si="234"/>
        <v>Bearish</v>
      </c>
      <c r="FU78" s="5" t="str">
        <f t="shared" si="267"/>
        <v>TEMA crossover</v>
      </c>
      <c r="FV78" s="5" t="str">
        <f t="shared" si="268"/>
        <v>-----</v>
      </c>
      <c r="FW78" s="5"/>
      <c r="FX78" s="15" t="str">
        <f t="shared" si="116"/>
        <v>YES</v>
      </c>
      <c r="FY78" s="15" t="str">
        <f t="shared" si="117"/>
        <v>-----</v>
      </c>
      <c r="FZ78" s="15" t="str">
        <f t="shared" si="118"/>
        <v>-----</v>
      </c>
      <c r="GA78" s="15" t="str">
        <f t="shared" si="119"/>
        <v>YES</v>
      </c>
      <c r="GB78" s="16" t="str">
        <f t="shared" si="274"/>
        <v>-----</v>
      </c>
      <c r="GC78" s="16" t="str">
        <f t="shared" si="275"/>
        <v>-----</v>
      </c>
      <c r="GD78" s="16" t="str">
        <f t="shared" si="276"/>
        <v>YES</v>
      </c>
      <c r="GE78" s="16" t="str">
        <f t="shared" si="278"/>
        <v>YES</v>
      </c>
      <c r="GF78" s="15" t="str">
        <f t="shared" si="277"/>
        <v>-----</v>
      </c>
      <c r="GG78" s="16" t="str">
        <f t="shared" si="120"/>
        <v>-----</v>
      </c>
      <c r="GH78" s="14"/>
      <c r="GI78" s="5" t="str">
        <f t="shared" si="235"/>
        <v>Bullish Trigger</v>
      </c>
      <c r="GJ78" s="5" t="str">
        <f t="shared" si="236"/>
        <v>-----</v>
      </c>
      <c r="GK78" s="5"/>
      <c r="GL78" s="5" t="str">
        <f t="shared" si="237"/>
        <v>-----</v>
      </c>
      <c r="GM78" s="5" t="str">
        <f t="shared" si="238"/>
        <v>-----</v>
      </c>
      <c r="GN78" s="5"/>
      <c r="GO78" s="12">
        <f t="shared" si="239"/>
        <v>3.1999999999982265E-2</v>
      </c>
      <c r="GP78" s="5">
        <f t="shared" si="269"/>
        <v>-1.0089516652438164</v>
      </c>
      <c r="GQ78" s="13" t="str">
        <f t="shared" si="270"/>
        <v>-----</v>
      </c>
      <c r="GR78" s="5"/>
      <c r="GS78">
        <f t="shared" si="271"/>
        <v>-0.72561836645860178</v>
      </c>
      <c r="GT78" s="5" t="str">
        <f t="shared" si="272"/>
        <v>-----</v>
      </c>
    </row>
    <row r="79" spans="1:202" x14ac:dyDescent="0.55000000000000004">
      <c r="A79">
        <v>75</v>
      </c>
      <c r="B79" t="s">
        <v>78</v>
      </c>
      <c r="C79" t="s">
        <v>4</v>
      </c>
      <c r="D79" t="s">
        <v>103</v>
      </c>
      <c r="E79">
        <v>152.76300000000001</v>
      </c>
      <c r="F79">
        <v>152.78700000000001</v>
      </c>
      <c r="G79">
        <v>152.75700000000001</v>
      </c>
      <c r="H79">
        <v>152.77000000000001</v>
      </c>
      <c r="I79">
        <v>122</v>
      </c>
      <c r="J79">
        <v>152.85900000000001</v>
      </c>
      <c r="K79">
        <v>152.88399999999999</v>
      </c>
      <c r="L79">
        <v>153.15</v>
      </c>
      <c r="M79">
        <v>152.61699999999999</v>
      </c>
      <c r="N79">
        <v>152.58600000000001</v>
      </c>
      <c r="O79">
        <v>152.88499999999999</v>
      </c>
      <c r="P79">
        <v>0</v>
      </c>
      <c r="Q79">
        <v>0</v>
      </c>
      <c r="R79">
        <v>0</v>
      </c>
      <c r="S79">
        <v>0</v>
      </c>
      <c r="T79">
        <v>0</v>
      </c>
      <c r="U79">
        <v>0.91464000000000001</v>
      </c>
      <c r="V79">
        <v>0</v>
      </c>
      <c r="W79">
        <v>153.09223</v>
      </c>
      <c r="X79">
        <v>153.01188999999999</v>
      </c>
      <c r="Y79">
        <v>152.93154999999999</v>
      </c>
      <c r="Z79">
        <v>152.85121000000001</v>
      </c>
      <c r="AA79">
        <v>152.77087</v>
      </c>
      <c r="AB79">
        <v>152.73491999999999</v>
      </c>
      <c r="AC79">
        <v>152.65459000000001</v>
      </c>
      <c r="AD79">
        <v>152.57425000000001</v>
      </c>
      <c r="AE79">
        <v>152.49391</v>
      </c>
      <c r="AF79">
        <v>152.41356999999999</v>
      </c>
      <c r="AG79">
        <v>152.749</v>
      </c>
      <c r="AH79">
        <v>152.76599999999999</v>
      </c>
      <c r="AI79">
        <v>152.80199999999999</v>
      </c>
      <c r="AJ79">
        <v>152.90899999999999</v>
      </c>
      <c r="AK79">
        <v>152.76400000000001</v>
      </c>
      <c r="AL79">
        <v>152.733</v>
      </c>
      <c r="AM79" s="11">
        <f t="shared" si="179"/>
        <v>3.0000000000001137E-2</v>
      </c>
      <c r="AN79" s="11">
        <f t="shared" si="240"/>
        <v>2.4000000000000909E-2</v>
      </c>
      <c r="AO79" s="11">
        <f t="shared" si="241"/>
        <v>6.0000000000002274E-3</v>
      </c>
      <c r="AP79" s="11">
        <f t="shared" si="242"/>
        <v>3.0000000000001137E-2</v>
      </c>
      <c r="AR79" s="5" t="str">
        <f t="shared" si="180"/>
        <v>------</v>
      </c>
      <c r="AS79" s="5" t="str">
        <f t="shared" si="181"/>
        <v>------</v>
      </c>
      <c r="AT79" t="str">
        <f t="shared" si="182"/>
        <v/>
      </c>
      <c r="AV79" s="2">
        <f t="shared" si="183"/>
        <v>152.88192885000004</v>
      </c>
      <c r="AW79" s="2">
        <f t="shared" si="184"/>
        <v>152.83607115000001</v>
      </c>
      <c r="AX79" s="2">
        <f t="shared" si="185"/>
        <v>152.9069326</v>
      </c>
      <c r="AY79" s="2">
        <f t="shared" si="186"/>
        <v>152.8610674</v>
      </c>
      <c r="AZ79" s="2">
        <f t="shared" si="187"/>
        <v>153.17297250000001</v>
      </c>
      <c r="BA79" s="2">
        <f t="shared" si="188"/>
        <v>153.1270275</v>
      </c>
      <c r="BB79" s="2">
        <f t="shared" si="189"/>
        <v>152.63989255000001</v>
      </c>
      <c r="BC79" s="2">
        <f t="shared" si="190"/>
        <v>152.59410745</v>
      </c>
      <c r="BD79" s="2">
        <f t="shared" si="191"/>
        <v>152.60888790000001</v>
      </c>
      <c r="BE79" s="2">
        <f t="shared" si="192"/>
        <v>152.56311210000001</v>
      </c>
      <c r="BF79" s="2">
        <f t="shared" si="193"/>
        <v>152.90793275000001</v>
      </c>
      <c r="BG79" s="2">
        <f t="shared" si="194"/>
        <v>152.86206725</v>
      </c>
      <c r="BI79" s="5" t="str">
        <f t="shared" si="243"/>
        <v>-----</v>
      </c>
      <c r="BJ79" s="5" t="str">
        <f t="shared" si="244"/>
        <v>-----</v>
      </c>
      <c r="BK79" s="5" t="str">
        <f t="shared" si="245"/>
        <v>-----</v>
      </c>
      <c r="BL79" s="5" t="str">
        <f t="shared" si="246"/>
        <v>-----</v>
      </c>
      <c r="BM79" s="5" t="str">
        <f t="shared" si="247"/>
        <v>-----</v>
      </c>
      <c r="BN79" s="5" t="str">
        <f t="shared" si="248"/>
        <v>-----</v>
      </c>
      <c r="BO79" s="5"/>
      <c r="BP79" s="5">
        <f t="shared" si="249"/>
        <v>11</v>
      </c>
      <c r="BQ79" s="5">
        <f t="shared" si="249"/>
        <v>11</v>
      </c>
      <c r="BR79" s="5">
        <f t="shared" si="249"/>
        <v>73</v>
      </c>
      <c r="BS79" s="5">
        <f t="shared" si="249"/>
        <v>75</v>
      </c>
      <c r="BT79" s="5">
        <f t="shared" si="249"/>
        <v>75</v>
      </c>
      <c r="BU79" s="5">
        <f t="shared" si="249"/>
        <v>11</v>
      </c>
      <c r="BV79" s="5">
        <f t="shared" si="250"/>
        <v>2</v>
      </c>
      <c r="BW79" s="5">
        <f t="shared" si="250"/>
        <v>2</v>
      </c>
      <c r="BX79" s="5">
        <f t="shared" si="250"/>
        <v>2</v>
      </c>
      <c r="BY79" s="5">
        <f t="shared" si="250"/>
        <v>0</v>
      </c>
      <c r="BZ79" s="5">
        <f t="shared" si="250"/>
        <v>0</v>
      </c>
      <c r="CA79" s="5">
        <f t="shared" si="250"/>
        <v>7</v>
      </c>
      <c r="CB79" s="5" t="str">
        <f t="shared" si="273"/>
        <v>-----</v>
      </c>
      <c r="CC79" s="5" t="str">
        <f t="shared" si="273"/>
        <v>-----</v>
      </c>
      <c r="CD79" s="5" t="str">
        <f t="shared" si="273"/>
        <v>-----</v>
      </c>
      <c r="CE79" s="5" t="str">
        <f t="shared" si="273"/>
        <v>-----</v>
      </c>
      <c r="CF79" s="5" t="str">
        <f t="shared" si="273"/>
        <v>-----</v>
      </c>
      <c r="CG79" s="5" t="str">
        <f t="shared" si="195"/>
        <v>-----</v>
      </c>
      <c r="CH79" s="5"/>
      <c r="CI79" s="17" t="str">
        <f t="shared" si="196"/>
        <v>-----</v>
      </c>
      <c r="CJ79" s="17" t="str">
        <f t="shared" si="197"/>
        <v>-----</v>
      </c>
      <c r="CK79" s="17" t="str">
        <f t="shared" si="198"/>
        <v>-----</v>
      </c>
      <c r="CL79" s="17" t="str">
        <f t="shared" si="199"/>
        <v>-----</v>
      </c>
      <c r="CM79" s="17" t="str">
        <f t="shared" si="200"/>
        <v>-----</v>
      </c>
      <c r="CN79" s="17" t="str">
        <f t="shared" si="201"/>
        <v>-----</v>
      </c>
      <c r="CO79" s="5"/>
      <c r="CP79" s="5" t="str">
        <f t="shared" si="177"/>
        <v>-----</v>
      </c>
      <c r="CQ79" s="5" t="str">
        <f t="shared" si="177"/>
        <v>-----</v>
      </c>
      <c r="CR79" s="5" t="str">
        <f t="shared" si="177"/>
        <v>-----</v>
      </c>
      <c r="CS79" s="5" t="str">
        <f t="shared" si="177"/>
        <v>-----</v>
      </c>
      <c r="CT79" s="5" t="str">
        <f t="shared" si="177"/>
        <v>-----</v>
      </c>
      <c r="CU79" s="5" t="str">
        <f t="shared" si="177"/>
        <v>-----</v>
      </c>
      <c r="CV79" s="5"/>
      <c r="CW79" s="17" t="str">
        <f t="shared" si="178"/>
        <v/>
      </c>
      <c r="CX79" s="17" t="str">
        <f t="shared" si="178"/>
        <v/>
      </c>
      <c r="CY79" s="17" t="str">
        <f t="shared" si="178"/>
        <v/>
      </c>
      <c r="CZ79" s="17" t="str">
        <f t="shared" si="178"/>
        <v/>
      </c>
      <c r="DA79" s="17" t="str">
        <f t="shared" si="178"/>
        <v/>
      </c>
      <c r="DB79" s="17" t="str">
        <f t="shared" si="178"/>
        <v/>
      </c>
      <c r="DC79" s="8"/>
      <c r="DD79" s="5">
        <f t="shared" si="202"/>
        <v>0</v>
      </c>
      <c r="DE79" s="17" t="str">
        <f t="shared" si="251"/>
        <v>-----</v>
      </c>
      <c r="DF79" s="5" t="str" cm="1">
        <f t="array" ref="DF79">_xlfn.IFS(DE79=CW79,CP79,DE79=CX79,CQ79,DE79=CY79,CR79,DE79=CZ79,CS79,DE79=DA79,CT79,DE79=DB79,CU79,TRUE,"----- ")</f>
        <v xml:space="preserve">----- </v>
      </c>
      <c r="DG79" s="5"/>
      <c r="DH79" s="5">
        <f t="shared" si="252"/>
        <v>-2.423265306122455E-3</v>
      </c>
      <c r="DI79" s="5">
        <f t="shared" si="253"/>
        <v>-3.7194805194805478E-4</v>
      </c>
      <c r="DJ79" s="5">
        <f t="shared" si="254"/>
        <v>-1.6402721088435472E-3</v>
      </c>
      <c r="DK79" s="5">
        <f t="shared" si="255"/>
        <v>7.6471243042669956E-4</v>
      </c>
      <c r="DL79" s="5">
        <f t="shared" si="256"/>
        <v>-2.3081014223875058E-4</v>
      </c>
      <c r="DM79" s="5">
        <f t="shared" si="257"/>
        <v>1.5802844774273381E-3</v>
      </c>
      <c r="DO79" s="5">
        <f t="shared" si="203"/>
        <v>-1.9079214597220278</v>
      </c>
      <c r="DP79" s="5">
        <f t="shared" si="204"/>
        <v>-0.29295343676527091</v>
      </c>
      <c r="DQ79" s="5">
        <f t="shared" si="205"/>
        <v>-1.2917022253843653</v>
      </c>
      <c r="DR79" s="5">
        <f t="shared" si="206"/>
        <v>0.60228527619529781</v>
      </c>
      <c r="DS79" s="5">
        <f t="shared" si="207"/>
        <v>-0.18179147971962978</v>
      </c>
      <c r="DT79" s="5">
        <f t="shared" si="208"/>
        <v>1.2444775446344229</v>
      </c>
      <c r="DV79" t="str" cm="1">
        <f t="array" ref="DV79">_xlfn.IFS(DO79&gt;3,"Strong + Slope",DO79&gt;1.5,"Moderate + Slope",DO79&gt;0.5,"Sideway + Slope",DO79&gt;=-0.5,"Sideway Flat",DO79&gt;=-1.5,"Sideway - Slope",DO79&gt;=-3,"Moderate - Slope",TRUE,"Strong - Slope")</f>
        <v>Moderate - Slope</v>
      </c>
      <c r="DW79" t="str" cm="1">
        <f t="array" ref="DW79">_xlfn.IFS(DP79&gt;3,"Strong + Slope",DP79&gt;1.5,"Moderate + Slope",DP79&gt;0.5,"Sideway + Slope",DP79&gt;=-0.5,"Sideway Flat",DP79&gt;=-1.5,"Sideway - Slope",DP79&gt;=-3,"Moderate - Slope",TRUE,"Strong - Slope")</f>
        <v>Sideway Flat</v>
      </c>
      <c r="DX79" t="str" cm="1">
        <f t="array" ref="DX79">_xlfn.IFS(DQ79&gt;3,"Strong + Slope",DQ79&gt;1.5,"Moderate + Slope",DQ79&gt;0.5,"Sideway + Slope",DQ79&gt;=-0.5,"Sideway Flat",DQ79&gt;=-1.5,"Sideway - Slope",DQ79&gt;=-3,"Moderate - Slope",TRUE,"Strong - Slope")</f>
        <v>Sideway - Slope</v>
      </c>
      <c r="DY79" t="str" cm="1">
        <f t="array" ref="DY79">_xlfn.IFS(DR79&gt;3,"Strong + Slope",DR79&gt;1.5,"Moderate + Slope",DR79&gt;0.5,"Sideway + Slope",DR79&gt;=-0.5,"Sideway Flat",DR79&gt;=-1.5,"Sideway - Slope",DR79&gt;=-3,"Moderate - Slope",TRUE,"Strong - Slope")</f>
        <v>Sideway + Slope</v>
      </c>
      <c r="DZ79" t="str" cm="1">
        <f t="array" ref="DZ79">_xlfn.IFS(DS79&gt;3,"Strong + Slope",DS79&gt;1.5,"Moderate + Slope",DS79&gt;0.5,"Sideway + Slope",DS79&gt;=-0.5,"Sideway Flat",DS79&gt;=-1.5,"Sideway - Slope",DS79&gt;=-3,"Moderate - Slope",TRUE,"Strong - Slope")</f>
        <v>Sideway Flat</v>
      </c>
      <c r="EA79" t="str" cm="1">
        <f t="array" ref="EA79">_xlfn.IFS(DT79&gt;3,"Strong + Slope",DT79&gt;1.5,"Moderate + Slope",DT79&gt;0.5,"Sideway + Slope",DT79&gt;=-0.5,"Sideway Flat",DT79&gt;=-1.5,"Sideway - Slope",DT79&gt;=-3,"Moderate - Slope",TRUE,"Strong - Slope")</f>
        <v>Sideway + Slope</v>
      </c>
      <c r="EB79" s="5"/>
      <c r="EC79" s="5">
        <f t="shared" si="209"/>
        <v>4</v>
      </c>
      <c r="ED79" s="5">
        <f t="shared" si="210"/>
        <v>3</v>
      </c>
      <c r="EE79" s="5">
        <f t="shared" si="211"/>
        <v>1</v>
      </c>
      <c r="EF79" s="5">
        <f t="shared" si="212"/>
        <v>5</v>
      </c>
      <c r="EG79" s="5">
        <f t="shared" si="213"/>
        <v>6</v>
      </c>
      <c r="EH79" s="5">
        <f t="shared" si="214"/>
        <v>2</v>
      </c>
      <c r="EI79" s="5"/>
      <c r="EJ79" s="5" t="str">
        <f t="shared" si="215"/>
        <v>RES</v>
      </c>
      <c r="EK79" s="5" t="str">
        <f t="shared" si="216"/>
        <v>RES</v>
      </c>
      <c r="EL79" s="5" t="str">
        <f t="shared" si="217"/>
        <v>RES</v>
      </c>
      <c r="EM79" s="5" t="str">
        <f t="shared" si="218"/>
        <v>SUP</v>
      </c>
      <c r="EN79" s="5" t="str">
        <f t="shared" si="219"/>
        <v>SUP</v>
      </c>
      <c r="EO79" s="5" t="str">
        <f t="shared" si="220"/>
        <v>RES</v>
      </c>
      <c r="EP79" s="5"/>
      <c r="EQ79" s="8">
        <f t="shared" si="221"/>
        <v>5.8257511291483037E-4</v>
      </c>
      <c r="ER79" s="8">
        <f t="shared" si="222"/>
        <v>7.4621980755368127E-4</v>
      </c>
      <c r="ES79" s="8">
        <f t="shared" si="223"/>
        <v>2.4873993585127672E-3</v>
      </c>
      <c r="ET79" s="8">
        <f t="shared" si="224"/>
        <v>-1.0015055311908096E-3</v>
      </c>
      <c r="EU79" s="8">
        <f t="shared" si="225"/>
        <v>-1.2044249525430221E-3</v>
      </c>
      <c r="EV79" s="8">
        <f t="shared" si="226"/>
        <v>7.5276559533927253E-4</v>
      </c>
      <c r="EW79" s="8"/>
      <c r="EX79" s="8">
        <f t="shared" si="227"/>
        <v>0.32624113475177269</v>
      </c>
      <c r="EY79" s="9">
        <f t="shared" si="228"/>
        <v>4</v>
      </c>
      <c r="EZ79" s="10">
        <f t="shared" si="229"/>
        <v>2</v>
      </c>
      <c r="FA79" s="8">
        <f t="shared" si="258"/>
        <v>2.4873993585127672E-3</v>
      </c>
      <c r="FB79" s="8">
        <f t="shared" si="259"/>
        <v>7.5276559533927253E-4</v>
      </c>
      <c r="FC79" s="8">
        <f t="shared" si="260"/>
        <v>7.4621980755368127E-4</v>
      </c>
      <c r="FD79" s="8">
        <f t="shared" si="261"/>
        <v>5.8257511291483037E-4</v>
      </c>
      <c r="FE79" s="8">
        <f t="shared" si="262"/>
        <v>-1.0015055311908096E-3</v>
      </c>
      <c r="FF79" s="8">
        <f t="shared" si="263"/>
        <v>-1.2044249525430221E-3</v>
      </c>
      <c r="FG79" s="5"/>
      <c r="FH79" s="5" t="str">
        <f t="shared" si="230"/>
        <v>-----</v>
      </c>
      <c r="FI79" s="5" t="str">
        <f t="shared" si="264"/>
        <v>-----</v>
      </c>
      <c r="FJ79" s="5"/>
      <c r="FK79" s="5" t="str">
        <f t="shared" si="265"/>
        <v>-----</v>
      </c>
      <c r="FL79" s="5" t="str">
        <f t="shared" si="266"/>
        <v>-----</v>
      </c>
      <c r="FM79" s="5"/>
      <c r="FN79" s="5"/>
      <c r="FO79" s="8" t="str">
        <f t="shared" si="174"/>
        <v>Bearish</v>
      </c>
      <c r="FP79" s="8"/>
      <c r="FQ79" s="14">
        <f t="shared" si="231"/>
        <v>-2.3559901048416491E-4</v>
      </c>
      <c r="FR79" s="14">
        <f t="shared" si="232"/>
        <v>0.6192054254670265</v>
      </c>
      <c r="FS79" s="14" t="str">
        <f t="shared" si="233"/>
        <v>-----</v>
      </c>
      <c r="FT79" s="14" t="str">
        <f t="shared" si="234"/>
        <v>Bearish</v>
      </c>
      <c r="FU79" s="5" t="str">
        <f t="shared" si="267"/>
        <v>-----</v>
      </c>
      <c r="FV79" s="5" t="str">
        <f t="shared" si="268"/>
        <v>-----</v>
      </c>
      <c r="FW79" s="5"/>
      <c r="FX79" s="15" t="str">
        <f t="shared" si="116"/>
        <v>YES</v>
      </c>
      <c r="FY79" s="15" t="str">
        <f t="shared" si="117"/>
        <v>-----</v>
      </c>
      <c r="FZ79" s="15" t="str">
        <f t="shared" si="118"/>
        <v>-----</v>
      </c>
      <c r="GA79" s="15" t="str">
        <f t="shared" si="119"/>
        <v>YES</v>
      </c>
      <c r="GB79" s="16" t="str">
        <f t="shared" si="274"/>
        <v>-----</v>
      </c>
      <c r="GC79" s="16" t="str">
        <f t="shared" si="275"/>
        <v>-----</v>
      </c>
      <c r="GD79" s="16" t="str">
        <f t="shared" si="276"/>
        <v>YES</v>
      </c>
      <c r="GE79" s="16" t="str">
        <f t="shared" si="278"/>
        <v>YES</v>
      </c>
      <c r="GF79" s="15" t="str">
        <f t="shared" si="277"/>
        <v>-----</v>
      </c>
      <c r="GG79" s="16" t="str">
        <f t="shared" si="120"/>
        <v>-----</v>
      </c>
      <c r="GH79" s="14"/>
      <c r="GI79" s="5" t="str">
        <f t="shared" si="235"/>
        <v>Bullish Trigger</v>
      </c>
      <c r="GJ79" s="5" t="str">
        <f t="shared" si="236"/>
        <v>-----</v>
      </c>
      <c r="GK79" s="5"/>
      <c r="GL79" s="5" t="str">
        <f t="shared" si="237"/>
        <v>-----</v>
      </c>
      <c r="GM79" s="5" t="str">
        <f t="shared" si="238"/>
        <v>-----</v>
      </c>
      <c r="GN79" s="5"/>
      <c r="GO79" s="12">
        <f t="shared" si="239"/>
        <v>3.1000000000005912E-2</v>
      </c>
      <c r="GP79" s="5">
        <f t="shared" si="269"/>
        <v>-1.0319987845000993</v>
      </c>
      <c r="GQ79" s="13" t="str">
        <f t="shared" si="270"/>
        <v>-----</v>
      </c>
      <c r="GR79" s="5"/>
      <c r="GS79">
        <f t="shared" si="271"/>
        <v>-1.0740872657657958</v>
      </c>
      <c r="GT79" s="5" t="str">
        <f t="shared" si="272"/>
        <v>-----</v>
      </c>
    </row>
    <row r="80" spans="1:202" x14ac:dyDescent="0.55000000000000004">
      <c r="A80">
        <v>76</v>
      </c>
      <c r="B80" t="s">
        <v>79</v>
      </c>
      <c r="C80" t="s">
        <v>4</v>
      </c>
      <c r="D80" t="s">
        <v>103</v>
      </c>
      <c r="E80">
        <v>152.77000000000001</v>
      </c>
      <c r="F80">
        <v>152.78100000000001</v>
      </c>
      <c r="G80">
        <v>152.74700000000001</v>
      </c>
      <c r="H80">
        <v>152.77699999999999</v>
      </c>
      <c r="I80">
        <v>234</v>
      </c>
      <c r="J80">
        <v>152.85599999999999</v>
      </c>
      <c r="K80">
        <v>152.88300000000001</v>
      </c>
      <c r="L80">
        <v>153.148</v>
      </c>
      <c r="M80">
        <v>152.61699999999999</v>
      </c>
      <c r="N80">
        <v>152.58600000000001</v>
      </c>
      <c r="O80">
        <v>152.887</v>
      </c>
      <c r="P80">
        <v>0</v>
      </c>
      <c r="Q80">
        <v>0</v>
      </c>
      <c r="R80">
        <v>0</v>
      </c>
      <c r="S80">
        <v>0</v>
      </c>
      <c r="T80">
        <v>0</v>
      </c>
      <c r="U80">
        <v>0.91039000000000003</v>
      </c>
      <c r="V80">
        <v>0</v>
      </c>
      <c r="W80">
        <v>153.08771999999999</v>
      </c>
      <c r="X80">
        <v>153.00765999999999</v>
      </c>
      <c r="Y80">
        <v>152.92760999999999</v>
      </c>
      <c r="Z80">
        <v>152.84755000000001</v>
      </c>
      <c r="AA80">
        <v>152.76750000000001</v>
      </c>
      <c r="AB80">
        <v>152.73283000000001</v>
      </c>
      <c r="AC80">
        <v>152.65278000000001</v>
      </c>
      <c r="AD80">
        <v>152.57272</v>
      </c>
      <c r="AE80">
        <v>152.49267</v>
      </c>
      <c r="AF80">
        <v>152.41261</v>
      </c>
      <c r="AG80">
        <v>152.75399999999999</v>
      </c>
      <c r="AH80">
        <v>152.76300000000001</v>
      </c>
      <c r="AI80">
        <v>152.80000000000001</v>
      </c>
      <c r="AJ80">
        <v>152.905</v>
      </c>
      <c r="AK80">
        <v>152.768</v>
      </c>
      <c r="AL80">
        <v>152.73599999999999</v>
      </c>
      <c r="AM80" s="11">
        <f t="shared" si="179"/>
        <v>3.3999999999991815E-2</v>
      </c>
      <c r="AN80" s="11">
        <f t="shared" si="240"/>
        <v>1.099999999999568E-2</v>
      </c>
      <c r="AO80" s="11">
        <f t="shared" si="241"/>
        <v>2.2999999999996135E-2</v>
      </c>
      <c r="AP80" s="11">
        <f t="shared" si="242"/>
        <v>3.3999999999991815E-2</v>
      </c>
      <c r="AR80" s="5" t="str">
        <f t="shared" si="180"/>
        <v>------</v>
      </c>
      <c r="AS80" s="5" t="str">
        <f t="shared" si="181"/>
        <v>------</v>
      </c>
      <c r="AT80" t="str">
        <f t="shared" si="182"/>
        <v/>
      </c>
      <c r="AV80" s="2">
        <f t="shared" si="183"/>
        <v>152.87892840000001</v>
      </c>
      <c r="AW80" s="2">
        <f t="shared" si="184"/>
        <v>152.83307160000001</v>
      </c>
      <c r="AX80" s="2">
        <f t="shared" si="185"/>
        <v>152.90593245000002</v>
      </c>
      <c r="AY80" s="2">
        <f t="shared" si="186"/>
        <v>152.86006755000002</v>
      </c>
      <c r="AZ80" s="2">
        <f t="shared" si="187"/>
        <v>153.17097220000002</v>
      </c>
      <c r="BA80" s="2">
        <f t="shared" si="188"/>
        <v>153.1250278</v>
      </c>
      <c r="BB80" s="2">
        <f t="shared" si="189"/>
        <v>152.63989255000001</v>
      </c>
      <c r="BC80" s="2">
        <f t="shared" si="190"/>
        <v>152.59410745</v>
      </c>
      <c r="BD80" s="2">
        <f t="shared" si="191"/>
        <v>152.60888790000001</v>
      </c>
      <c r="BE80" s="2">
        <f t="shared" si="192"/>
        <v>152.56311210000001</v>
      </c>
      <c r="BF80" s="2">
        <f t="shared" si="193"/>
        <v>152.90993305000001</v>
      </c>
      <c r="BG80" s="2">
        <f t="shared" si="194"/>
        <v>152.86406694999999</v>
      </c>
      <c r="BI80" s="5" t="str">
        <f t="shared" si="243"/>
        <v>-----</v>
      </c>
      <c r="BJ80" s="5" t="str">
        <f t="shared" si="244"/>
        <v>-----</v>
      </c>
      <c r="BK80" s="5" t="str">
        <f t="shared" si="245"/>
        <v>-----</v>
      </c>
      <c r="BL80" s="5" t="str">
        <f t="shared" si="246"/>
        <v>-----</v>
      </c>
      <c r="BM80" s="5" t="str">
        <f t="shared" si="247"/>
        <v>-----</v>
      </c>
      <c r="BN80" s="5" t="str">
        <f t="shared" si="248"/>
        <v>-----</v>
      </c>
      <c r="BO80" s="5"/>
      <c r="BP80" s="5">
        <f t="shared" si="249"/>
        <v>12</v>
      </c>
      <c r="BQ80" s="5">
        <f t="shared" si="249"/>
        <v>12</v>
      </c>
      <c r="BR80" s="5">
        <f t="shared" si="249"/>
        <v>74</v>
      </c>
      <c r="BS80" s="5">
        <f t="shared" si="249"/>
        <v>76</v>
      </c>
      <c r="BT80" s="5">
        <f t="shared" si="249"/>
        <v>76</v>
      </c>
      <c r="BU80" s="5">
        <f t="shared" si="249"/>
        <v>12</v>
      </c>
      <c r="BV80" s="5">
        <f t="shared" si="250"/>
        <v>2</v>
      </c>
      <c r="BW80" s="5">
        <f t="shared" si="250"/>
        <v>2</v>
      </c>
      <c r="BX80" s="5">
        <f t="shared" si="250"/>
        <v>2</v>
      </c>
      <c r="BY80" s="5">
        <f t="shared" si="250"/>
        <v>0</v>
      </c>
      <c r="BZ80" s="5">
        <f t="shared" si="250"/>
        <v>0</v>
      </c>
      <c r="CA80" s="5">
        <f t="shared" si="250"/>
        <v>7</v>
      </c>
      <c r="CB80" s="5" t="str">
        <f t="shared" si="273"/>
        <v>-----</v>
      </c>
      <c r="CC80" s="5" t="str">
        <f t="shared" si="273"/>
        <v>-----</v>
      </c>
      <c r="CD80" s="5" t="str">
        <f t="shared" si="273"/>
        <v>-----</v>
      </c>
      <c r="CE80" s="5" t="str">
        <f t="shared" si="273"/>
        <v>-----</v>
      </c>
      <c r="CF80" s="5" t="str">
        <f t="shared" si="273"/>
        <v>-----</v>
      </c>
      <c r="CG80" s="5" t="str">
        <f t="shared" si="195"/>
        <v>-----</v>
      </c>
      <c r="CH80" s="5"/>
      <c r="CI80" s="17" t="str">
        <f t="shared" si="196"/>
        <v>-----</v>
      </c>
      <c r="CJ80" s="17" t="str">
        <f t="shared" si="197"/>
        <v>-----</v>
      </c>
      <c r="CK80" s="17" t="str">
        <f t="shared" si="198"/>
        <v>-----</v>
      </c>
      <c r="CL80" s="17" t="str">
        <f t="shared" si="199"/>
        <v>-----</v>
      </c>
      <c r="CM80" s="17" t="str">
        <f t="shared" si="200"/>
        <v>-----</v>
      </c>
      <c r="CN80" s="17" t="str">
        <f t="shared" si="201"/>
        <v>-----</v>
      </c>
      <c r="CO80" s="5"/>
      <c r="CP80" s="5" t="str">
        <f t="shared" si="177"/>
        <v>-----</v>
      </c>
      <c r="CQ80" s="5" t="str">
        <f t="shared" si="177"/>
        <v>-----</v>
      </c>
      <c r="CR80" s="5" t="str">
        <f t="shared" si="177"/>
        <v>-----</v>
      </c>
      <c r="CS80" s="5" t="str">
        <f t="shared" si="177"/>
        <v>-----</v>
      </c>
      <c r="CT80" s="5" t="str">
        <f t="shared" si="177"/>
        <v>-----</v>
      </c>
      <c r="CU80" s="5" t="str">
        <f t="shared" si="177"/>
        <v>-----</v>
      </c>
      <c r="CV80" s="5"/>
      <c r="CW80" s="17" t="str">
        <f t="shared" si="178"/>
        <v/>
      </c>
      <c r="CX80" s="17" t="str">
        <f t="shared" si="178"/>
        <v/>
      </c>
      <c r="CY80" s="17" t="str">
        <f t="shared" si="178"/>
        <v/>
      </c>
      <c r="CZ80" s="17" t="str">
        <f t="shared" si="178"/>
        <v/>
      </c>
      <c r="DA80" s="17" t="str">
        <f t="shared" si="178"/>
        <v/>
      </c>
      <c r="DB80" s="17" t="str">
        <f t="shared" si="178"/>
        <v/>
      </c>
      <c r="DC80" s="8"/>
      <c r="DD80" s="5">
        <f t="shared" si="202"/>
        <v>0</v>
      </c>
      <c r="DE80" s="17" t="str">
        <f t="shared" si="251"/>
        <v>-----</v>
      </c>
      <c r="DF80" s="5" t="str" cm="1">
        <f t="array" ref="DF80">_xlfn.IFS(DE80=CW80,CP80,DE80=CX80,CQ80,DE80=CY80,CR80,DE80=CZ80,CS80,DE80=DA80,CT80,DE80=DB80,CU80,TRUE,"----- ")</f>
        <v xml:space="preserve">----- </v>
      </c>
      <c r="DG80" s="5"/>
      <c r="DH80" s="5">
        <f t="shared" si="252"/>
        <v>-2.423265306122455E-3</v>
      </c>
      <c r="DI80" s="5">
        <f t="shared" si="253"/>
        <v>-3.7194805194805478E-4</v>
      </c>
      <c r="DJ80" s="5">
        <f t="shared" si="254"/>
        <v>-1.6402721088435472E-3</v>
      </c>
      <c r="DK80" s="5">
        <f t="shared" si="255"/>
        <v>7.6471243042669956E-4</v>
      </c>
      <c r="DL80" s="5">
        <f t="shared" si="256"/>
        <v>-2.3081014223875058E-4</v>
      </c>
      <c r="DM80" s="5">
        <f t="shared" si="257"/>
        <v>1.5802844774273381E-3</v>
      </c>
      <c r="DO80" s="5">
        <f t="shared" si="203"/>
        <v>-1.9079214597220278</v>
      </c>
      <c r="DP80" s="5">
        <f t="shared" si="204"/>
        <v>-0.29295343676527091</v>
      </c>
      <c r="DQ80" s="5">
        <f t="shared" si="205"/>
        <v>-1.2917022253843653</v>
      </c>
      <c r="DR80" s="5">
        <f t="shared" si="206"/>
        <v>0.60228527619529781</v>
      </c>
      <c r="DS80" s="5">
        <f t="shared" si="207"/>
        <v>-0.18179147971962978</v>
      </c>
      <c r="DT80" s="5">
        <f t="shared" si="208"/>
        <v>1.2444775446344229</v>
      </c>
      <c r="DV80" t="str" cm="1">
        <f t="array" ref="DV80">_xlfn.IFS(DO80&gt;3,"Strong + Slope",DO80&gt;1.5,"Moderate + Slope",DO80&gt;0.5,"Sideway + Slope",DO80&gt;=-0.5,"Sideway Flat",DO80&gt;=-1.5,"Sideway - Slope",DO80&gt;=-3,"Moderate - Slope",TRUE,"Strong - Slope")</f>
        <v>Moderate - Slope</v>
      </c>
      <c r="DW80" t="str" cm="1">
        <f t="array" ref="DW80">_xlfn.IFS(DP80&gt;3,"Strong + Slope",DP80&gt;1.5,"Moderate + Slope",DP80&gt;0.5,"Sideway + Slope",DP80&gt;=-0.5,"Sideway Flat",DP80&gt;=-1.5,"Sideway - Slope",DP80&gt;=-3,"Moderate - Slope",TRUE,"Strong - Slope")</f>
        <v>Sideway Flat</v>
      </c>
      <c r="DX80" t="str" cm="1">
        <f t="array" ref="DX80">_xlfn.IFS(DQ80&gt;3,"Strong + Slope",DQ80&gt;1.5,"Moderate + Slope",DQ80&gt;0.5,"Sideway + Slope",DQ80&gt;=-0.5,"Sideway Flat",DQ80&gt;=-1.5,"Sideway - Slope",DQ80&gt;=-3,"Moderate - Slope",TRUE,"Strong - Slope")</f>
        <v>Sideway - Slope</v>
      </c>
      <c r="DY80" t="str" cm="1">
        <f t="array" ref="DY80">_xlfn.IFS(DR80&gt;3,"Strong + Slope",DR80&gt;1.5,"Moderate + Slope",DR80&gt;0.5,"Sideway + Slope",DR80&gt;=-0.5,"Sideway Flat",DR80&gt;=-1.5,"Sideway - Slope",DR80&gt;=-3,"Moderate - Slope",TRUE,"Strong - Slope")</f>
        <v>Sideway + Slope</v>
      </c>
      <c r="DZ80" t="str" cm="1">
        <f t="array" ref="DZ80">_xlfn.IFS(DS80&gt;3,"Strong + Slope",DS80&gt;1.5,"Moderate + Slope",DS80&gt;0.5,"Sideway + Slope",DS80&gt;=-0.5,"Sideway Flat",DS80&gt;=-1.5,"Sideway - Slope",DS80&gt;=-3,"Moderate - Slope",TRUE,"Strong - Slope")</f>
        <v>Sideway Flat</v>
      </c>
      <c r="EA80" t="str" cm="1">
        <f t="array" ref="EA80">_xlfn.IFS(DT80&gt;3,"Strong + Slope",DT80&gt;1.5,"Moderate + Slope",DT80&gt;0.5,"Sideway + Slope",DT80&gt;=-0.5,"Sideway Flat",DT80&gt;=-1.5,"Sideway - Slope",DT80&gt;=-3,"Moderate - Slope",TRUE,"Strong - Slope")</f>
        <v>Sideway + Slope</v>
      </c>
      <c r="EB80" s="5"/>
      <c r="EC80" s="5">
        <f t="shared" si="209"/>
        <v>4</v>
      </c>
      <c r="ED80" s="5">
        <f t="shared" si="210"/>
        <v>3</v>
      </c>
      <c r="EE80" s="5">
        <f t="shared" si="211"/>
        <v>1</v>
      </c>
      <c r="EF80" s="5">
        <f t="shared" si="212"/>
        <v>5</v>
      </c>
      <c r="EG80" s="5">
        <f t="shared" si="213"/>
        <v>6</v>
      </c>
      <c r="EH80" s="5">
        <f t="shared" si="214"/>
        <v>2</v>
      </c>
      <c r="EI80" s="5"/>
      <c r="EJ80" s="5" t="str">
        <f t="shared" si="215"/>
        <v>RES</v>
      </c>
      <c r="EK80" s="5" t="str">
        <f t="shared" si="216"/>
        <v>RES</v>
      </c>
      <c r="EL80" s="5" t="str">
        <f t="shared" si="217"/>
        <v>RES</v>
      </c>
      <c r="EM80" s="5" t="str">
        <f t="shared" si="218"/>
        <v>SUP</v>
      </c>
      <c r="EN80" s="5" t="str">
        <f t="shared" si="219"/>
        <v>SUP</v>
      </c>
      <c r="EO80" s="5" t="str">
        <f t="shared" si="220"/>
        <v>RES</v>
      </c>
      <c r="EP80" s="5"/>
      <c r="EQ80" s="8">
        <f t="shared" si="221"/>
        <v>5.1709354156717136E-4</v>
      </c>
      <c r="ER80" s="8">
        <f t="shared" si="222"/>
        <v>6.9382171400160346E-4</v>
      </c>
      <c r="ES80" s="8">
        <f t="shared" si="223"/>
        <v>2.4283759990051472E-3</v>
      </c>
      <c r="ET80" s="8">
        <f t="shared" si="224"/>
        <v>-1.0472780588700957E-3</v>
      </c>
      <c r="EU80" s="8">
        <f t="shared" si="225"/>
        <v>-1.2501881827760336E-3</v>
      </c>
      <c r="EV80" s="8">
        <f t="shared" si="226"/>
        <v>7.2000366547329538E-4</v>
      </c>
      <c r="EW80" s="8"/>
      <c r="EX80" s="8">
        <f t="shared" si="227"/>
        <v>0.33985765124551554</v>
      </c>
      <c r="EY80" s="9">
        <f t="shared" si="228"/>
        <v>4</v>
      </c>
      <c r="EZ80" s="10">
        <f t="shared" si="229"/>
        <v>2</v>
      </c>
      <c r="FA80" s="8">
        <f t="shared" si="258"/>
        <v>2.4283759990051472E-3</v>
      </c>
      <c r="FB80" s="8">
        <f t="shared" si="259"/>
        <v>7.2000366547329538E-4</v>
      </c>
      <c r="FC80" s="8">
        <f t="shared" si="260"/>
        <v>6.9382171400160346E-4</v>
      </c>
      <c r="FD80" s="8">
        <f t="shared" si="261"/>
        <v>5.1709354156717136E-4</v>
      </c>
      <c r="FE80" s="8">
        <f t="shared" si="262"/>
        <v>-1.0472780588700957E-3</v>
      </c>
      <c r="FF80" s="8">
        <f t="shared" si="263"/>
        <v>-1.2501881827760336E-3</v>
      </c>
      <c r="FG80" s="5"/>
      <c r="FH80" s="5" t="str">
        <f t="shared" si="230"/>
        <v>-----</v>
      </c>
      <c r="FI80" s="5" t="str">
        <f t="shared" si="264"/>
        <v>-----</v>
      </c>
      <c r="FJ80" s="5"/>
      <c r="FK80" s="5" t="str">
        <f t="shared" si="265"/>
        <v>-----</v>
      </c>
      <c r="FL80" s="5" t="str">
        <f t="shared" si="266"/>
        <v>-----</v>
      </c>
      <c r="FM80" s="5"/>
      <c r="FN80" s="5"/>
      <c r="FO80" s="8" t="str">
        <f t="shared" ref="FO80:FO103" si="279">IF(AND(AI80&gt;AJ80,AI79&gt;AJ79,AI78&gt;AJ78,AI77&gt;AJ77,AI76&gt;AJ76,AI75&gt;AJ75,AI74&gt;AJ74,AI73&gt;AJ73,AI72&gt;AJ72,AI71&gt;AJ71,AI70&gt;AJ70,AI69&gt;AJ69),"Bullish",IF(AND(AI80&lt;AJ80,AI79&lt;AJ79,AI78&lt;AJ78,AI77&lt;AJ77,AI76&lt;AJ76,AI75&lt;AJ75,AI74&lt;AJ74,AI73&lt;AJ73,AI72&lt;AJ72,AI71&lt;AJ71,AI70&lt;AJ70,AI69&lt;AJ69),"Bearish","-----"))</f>
        <v>Bearish</v>
      </c>
      <c r="FP80" s="8"/>
      <c r="FQ80" s="14">
        <f t="shared" si="231"/>
        <v>-2.421465968586789E-4</v>
      </c>
      <c r="FR80" s="14">
        <f t="shared" si="232"/>
        <v>0.60032184080036688</v>
      </c>
      <c r="FS80" s="14" t="str">
        <f t="shared" si="233"/>
        <v>-----</v>
      </c>
      <c r="FT80" s="14" t="str">
        <f t="shared" si="234"/>
        <v>Bearish</v>
      </c>
      <c r="FU80" s="5" t="str">
        <f t="shared" si="267"/>
        <v>-----</v>
      </c>
      <c r="FV80" s="5" t="str">
        <f t="shared" si="268"/>
        <v>-----</v>
      </c>
      <c r="FW80" s="5"/>
      <c r="FX80" s="15" t="str">
        <f t="shared" si="116"/>
        <v>YES</v>
      </c>
      <c r="FY80" s="15" t="str">
        <f t="shared" si="117"/>
        <v>-----</v>
      </c>
      <c r="FZ80" s="15" t="str">
        <f t="shared" si="118"/>
        <v>-----</v>
      </c>
      <c r="GA80" s="15" t="str">
        <f t="shared" si="119"/>
        <v>YES</v>
      </c>
      <c r="GB80" s="16" t="str">
        <f t="shared" si="274"/>
        <v>-----</v>
      </c>
      <c r="GC80" s="16" t="str">
        <f t="shared" si="275"/>
        <v>-----</v>
      </c>
      <c r="GD80" s="16" t="str">
        <f t="shared" si="276"/>
        <v>YES</v>
      </c>
      <c r="GE80" s="16" t="str">
        <f t="shared" si="278"/>
        <v>YES</v>
      </c>
      <c r="GF80" s="15" t="str">
        <f t="shared" si="277"/>
        <v>-----</v>
      </c>
      <c r="GG80" s="16" t="str">
        <f t="shared" si="120"/>
        <v>-----</v>
      </c>
      <c r="GH80" s="14"/>
      <c r="GI80" s="5" t="str">
        <f t="shared" si="235"/>
        <v>Bullish Trigger</v>
      </c>
      <c r="GJ80" s="5" t="str">
        <f t="shared" si="236"/>
        <v>-----</v>
      </c>
      <c r="GK80" s="5"/>
      <c r="GL80" s="5" t="str">
        <f t="shared" si="237"/>
        <v>-----</v>
      </c>
      <c r="GM80" s="5" t="str">
        <f t="shared" si="238"/>
        <v>-----</v>
      </c>
      <c r="GN80" s="5"/>
      <c r="GO80" s="12">
        <f t="shared" si="239"/>
        <v>3.2000000000010687E-2</v>
      </c>
      <c r="GP80" s="5">
        <f t="shared" si="269"/>
        <v>-1.0089516652431614</v>
      </c>
      <c r="GQ80" s="13" t="str">
        <f t="shared" si="270"/>
        <v>-----</v>
      </c>
      <c r="GR80" s="5"/>
      <c r="GS80">
        <f t="shared" si="271"/>
        <v>-0.35133695609161553</v>
      </c>
      <c r="GT80" s="5" t="str">
        <f t="shared" si="272"/>
        <v>-----</v>
      </c>
    </row>
    <row r="81" spans="1:202" x14ac:dyDescent="0.55000000000000004">
      <c r="A81">
        <v>77</v>
      </c>
      <c r="B81" t="s">
        <v>80</v>
      </c>
      <c r="C81" t="s">
        <v>4</v>
      </c>
      <c r="D81" t="s">
        <v>103</v>
      </c>
      <c r="E81">
        <v>152.77699999999999</v>
      </c>
      <c r="F81">
        <v>152.83600000000001</v>
      </c>
      <c r="G81">
        <v>152.77699999999999</v>
      </c>
      <c r="H81">
        <v>152.80099999999999</v>
      </c>
      <c r="I81">
        <v>175</v>
      </c>
      <c r="J81">
        <v>152.85400000000001</v>
      </c>
      <c r="K81">
        <v>152.88300000000001</v>
      </c>
      <c r="L81">
        <v>153.14599999999999</v>
      </c>
      <c r="M81">
        <v>152.61799999999999</v>
      </c>
      <c r="N81">
        <v>152.58500000000001</v>
      </c>
      <c r="O81">
        <v>152.88800000000001</v>
      </c>
      <c r="P81">
        <v>0</v>
      </c>
      <c r="Q81">
        <v>0</v>
      </c>
      <c r="R81">
        <v>0</v>
      </c>
      <c r="S81">
        <v>0</v>
      </c>
      <c r="T81">
        <v>0</v>
      </c>
      <c r="U81">
        <v>0.49973000000000001</v>
      </c>
      <c r="V81">
        <v>0</v>
      </c>
      <c r="W81">
        <v>153.08519999999999</v>
      </c>
      <c r="X81">
        <v>153.00534999999999</v>
      </c>
      <c r="Y81">
        <v>152.92551</v>
      </c>
      <c r="Z81">
        <v>152.84566000000001</v>
      </c>
      <c r="AA81">
        <v>152.76581999999999</v>
      </c>
      <c r="AB81">
        <v>152.73165</v>
      </c>
      <c r="AC81">
        <v>152.65181000000001</v>
      </c>
      <c r="AD81">
        <v>152.57195999999999</v>
      </c>
      <c r="AE81">
        <v>152.49212</v>
      </c>
      <c r="AF81">
        <v>152.41227000000001</v>
      </c>
      <c r="AG81">
        <v>152.77600000000001</v>
      </c>
      <c r="AH81">
        <v>152.76499999999999</v>
      </c>
      <c r="AI81">
        <v>152.80000000000001</v>
      </c>
      <c r="AJ81">
        <v>152.90199999999999</v>
      </c>
      <c r="AK81">
        <v>152.798</v>
      </c>
      <c r="AL81">
        <v>152.75299999999999</v>
      </c>
      <c r="AM81" s="11">
        <f t="shared" si="179"/>
        <v>5.9000000000025921E-2</v>
      </c>
      <c r="AN81" s="11">
        <f t="shared" si="240"/>
        <v>5.9000000000025921E-2</v>
      </c>
      <c r="AO81" s="11">
        <f t="shared" si="241"/>
        <v>0</v>
      </c>
      <c r="AP81" s="11">
        <f t="shared" si="242"/>
        <v>5.9000000000025921E-2</v>
      </c>
      <c r="AR81" s="5" t="str">
        <f t="shared" si="180"/>
        <v>------</v>
      </c>
      <c r="AS81" s="5" t="str">
        <f t="shared" si="181"/>
        <v>------</v>
      </c>
      <c r="AT81" t="str">
        <f t="shared" si="182"/>
        <v/>
      </c>
      <c r="AV81" s="2">
        <f t="shared" si="183"/>
        <v>152.87692810000001</v>
      </c>
      <c r="AW81" s="2">
        <f t="shared" si="184"/>
        <v>152.83107190000001</v>
      </c>
      <c r="AX81" s="2">
        <f t="shared" si="185"/>
        <v>152.90593245000002</v>
      </c>
      <c r="AY81" s="2">
        <f t="shared" si="186"/>
        <v>152.86006755000002</v>
      </c>
      <c r="AZ81" s="2">
        <f t="shared" si="187"/>
        <v>153.1689719</v>
      </c>
      <c r="BA81" s="2">
        <f t="shared" si="188"/>
        <v>153.1230281</v>
      </c>
      <c r="BB81" s="2">
        <f t="shared" si="189"/>
        <v>152.64089270000002</v>
      </c>
      <c r="BC81" s="2">
        <f t="shared" si="190"/>
        <v>152.5951073</v>
      </c>
      <c r="BD81" s="2">
        <f t="shared" si="191"/>
        <v>152.60788775000003</v>
      </c>
      <c r="BE81" s="2">
        <f t="shared" si="192"/>
        <v>152.56211225000001</v>
      </c>
      <c r="BF81" s="2">
        <f t="shared" si="193"/>
        <v>152.91093320000002</v>
      </c>
      <c r="BG81" s="2">
        <f t="shared" si="194"/>
        <v>152.86506679999999</v>
      </c>
      <c r="BI81" s="5" t="str">
        <f t="shared" si="243"/>
        <v>-----</v>
      </c>
      <c r="BJ81" s="5" t="str">
        <f t="shared" si="244"/>
        <v>-----</v>
      </c>
      <c r="BK81" s="5" t="str">
        <f t="shared" si="245"/>
        <v>-----</v>
      </c>
      <c r="BL81" s="5" t="str">
        <f t="shared" si="246"/>
        <v>-----</v>
      </c>
      <c r="BM81" s="5" t="str">
        <f t="shared" si="247"/>
        <v>-----</v>
      </c>
      <c r="BN81" s="5" t="str">
        <f t="shared" si="248"/>
        <v>-----</v>
      </c>
      <c r="BO81" s="5"/>
      <c r="BP81" s="5">
        <f t="shared" si="249"/>
        <v>13</v>
      </c>
      <c r="BQ81" s="5">
        <f t="shared" si="249"/>
        <v>13</v>
      </c>
      <c r="BR81" s="5">
        <f t="shared" si="249"/>
        <v>75</v>
      </c>
      <c r="BS81" s="5">
        <f t="shared" si="249"/>
        <v>77</v>
      </c>
      <c r="BT81" s="5">
        <f t="shared" si="249"/>
        <v>77</v>
      </c>
      <c r="BU81" s="5">
        <f t="shared" si="249"/>
        <v>13</v>
      </c>
      <c r="BV81" s="5">
        <f t="shared" si="250"/>
        <v>2</v>
      </c>
      <c r="BW81" s="5">
        <f t="shared" si="250"/>
        <v>2</v>
      </c>
      <c r="BX81" s="5">
        <f t="shared" si="250"/>
        <v>2</v>
      </c>
      <c r="BY81" s="5">
        <f t="shared" si="250"/>
        <v>0</v>
      </c>
      <c r="BZ81" s="5">
        <f t="shared" si="250"/>
        <v>0</v>
      </c>
      <c r="CA81" s="5">
        <f t="shared" si="250"/>
        <v>7</v>
      </c>
      <c r="CB81" s="5" t="str">
        <f t="shared" si="273"/>
        <v>-----</v>
      </c>
      <c r="CC81" s="5" t="str">
        <f t="shared" si="273"/>
        <v>-----</v>
      </c>
      <c r="CD81" s="5" t="str">
        <f t="shared" si="273"/>
        <v>-----</v>
      </c>
      <c r="CE81" s="5" t="str">
        <f t="shared" si="273"/>
        <v>-----</v>
      </c>
      <c r="CF81" s="5" t="str">
        <f t="shared" si="273"/>
        <v>-----</v>
      </c>
      <c r="CG81" s="5" t="str">
        <f t="shared" si="195"/>
        <v>-----</v>
      </c>
      <c r="CH81" s="5"/>
      <c r="CI81" s="17" t="str">
        <f t="shared" si="196"/>
        <v>-----</v>
      </c>
      <c r="CJ81" s="17" t="str">
        <f t="shared" si="197"/>
        <v>-----</v>
      </c>
      <c r="CK81" s="17" t="str">
        <f t="shared" si="198"/>
        <v>-----</v>
      </c>
      <c r="CL81" s="17" t="str">
        <f t="shared" si="199"/>
        <v>-----</v>
      </c>
      <c r="CM81" s="17" t="str">
        <f t="shared" si="200"/>
        <v>-----</v>
      </c>
      <c r="CN81" s="17" t="str">
        <f t="shared" si="201"/>
        <v>-----</v>
      </c>
      <c r="CO81" s="5"/>
      <c r="CP81" s="5" t="str">
        <f t="shared" si="177"/>
        <v>-----</v>
      </c>
      <c r="CQ81" s="5" t="str">
        <f t="shared" si="177"/>
        <v>-----</v>
      </c>
      <c r="CR81" s="5" t="str">
        <f t="shared" si="177"/>
        <v>-----</v>
      </c>
      <c r="CS81" s="5" t="str">
        <f t="shared" si="177"/>
        <v>-----</v>
      </c>
      <c r="CT81" s="5" t="str">
        <f t="shared" si="177"/>
        <v>-----</v>
      </c>
      <c r="CU81" s="5" t="str">
        <f t="shared" si="177"/>
        <v>-----</v>
      </c>
      <c r="CV81" s="5"/>
      <c r="CW81" s="17" t="str">
        <f t="shared" si="178"/>
        <v/>
      </c>
      <c r="CX81" s="17" t="str">
        <f t="shared" si="178"/>
        <v/>
      </c>
      <c r="CY81" s="17" t="str">
        <f t="shared" si="178"/>
        <v/>
      </c>
      <c r="CZ81" s="17" t="str">
        <f t="shared" si="178"/>
        <v/>
      </c>
      <c r="DA81" s="17" t="str">
        <f t="shared" si="178"/>
        <v/>
      </c>
      <c r="DB81" s="17" t="str">
        <f t="shared" si="178"/>
        <v/>
      </c>
      <c r="DC81" s="8"/>
      <c r="DD81" s="5">
        <f t="shared" si="202"/>
        <v>0</v>
      </c>
      <c r="DE81" s="17" t="str">
        <f t="shared" si="251"/>
        <v>-----</v>
      </c>
      <c r="DF81" s="5" t="str" cm="1">
        <f t="array" ref="DF81">_xlfn.IFS(DE81=CW81,CP81,DE81=CX81,CQ81,DE81=CY81,CR81,DE81=CZ81,CS81,DE81=DA81,CT81,DE81=DB81,CU81,TRUE,"----- ")</f>
        <v xml:space="preserve">----- </v>
      </c>
      <c r="DG81" s="5"/>
      <c r="DH81" s="5">
        <f t="shared" si="252"/>
        <v>-2.423265306122455E-3</v>
      </c>
      <c r="DI81" s="5">
        <f t="shared" si="253"/>
        <v>-3.7194805194805478E-4</v>
      </c>
      <c r="DJ81" s="5">
        <f t="shared" si="254"/>
        <v>-1.6402721088435472E-3</v>
      </c>
      <c r="DK81" s="5">
        <f t="shared" si="255"/>
        <v>7.6471243042669956E-4</v>
      </c>
      <c r="DL81" s="5">
        <f t="shared" si="256"/>
        <v>-2.3081014223875058E-4</v>
      </c>
      <c r="DM81" s="5">
        <f t="shared" si="257"/>
        <v>1.5802844774273381E-3</v>
      </c>
      <c r="DO81" s="5">
        <f t="shared" si="203"/>
        <v>-1.9079214597220278</v>
      </c>
      <c r="DP81" s="5">
        <f t="shared" si="204"/>
        <v>-0.29295343676527091</v>
      </c>
      <c r="DQ81" s="5">
        <f t="shared" si="205"/>
        <v>-1.2917022253843653</v>
      </c>
      <c r="DR81" s="5">
        <f t="shared" si="206"/>
        <v>0.60228527619529781</v>
      </c>
      <c r="DS81" s="5">
        <f t="shared" si="207"/>
        <v>-0.18179147971962978</v>
      </c>
      <c r="DT81" s="5">
        <f t="shared" si="208"/>
        <v>1.2444775446344229</v>
      </c>
      <c r="DV81" t="str" cm="1">
        <f t="array" ref="DV81">_xlfn.IFS(DO81&gt;3,"Strong + Slope",DO81&gt;1.5,"Moderate + Slope",DO81&gt;0.5,"Sideway + Slope",DO81&gt;=-0.5,"Sideway Flat",DO81&gt;=-1.5,"Sideway - Slope",DO81&gt;=-3,"Moderate - Slope",TRUE,"Strong - Slope")</f>
        <v>Moderate - Slope</v>
      </c>
      <c r="DW81" t="str" cm="1">
        <f t="array" ref="DW81">_xlfn.IFS(DP81&gt;3,"Strong + Slope",DP81&gt;1.5,"Moderate + Slope",DP81&gt;0.5,"Sideway + Slope",DP81&gt;=-0.5,"Sideway Flat",DP81&gt;=-1.5,"Sideway - Slope",DP81&gt;=-3,"Moderate - Slope",TRUE,"Strong - Slope")</f>
        <v>Sideway Flat</v>
      </c>
      <c r="DX81" t="str" cm="1">
        <f t="array" ref="DX81">_xlfn.IFS(DQ81&gt;3,"Strong + Slope",DQ81&gt;1.5,"Moderate + Slope",DQ81&gt;0.5,"Sideway + Slope",DQ81&gt;=-0.5,"Sideway Flat",DQ81&gt;=-1.5,"Sideway - Slope",DQ81&gt;=-3,"Moderate - Slope",TRUE,"Strong - Slope")</f>
        <v>Sideway - Slope</v>
      </c>
      <c r="DY81" t="str" cm="1">
        <f t="array" ref="DY81">_xlfn.IFS(DR81&gt;3,"Strong + Slope",DR81&gt;1.5,"Moderate + Slope",DR81&gt;0.5,"Sideway + Slope",DR81&gt;=-0.5,"Sideway Flat",DR81&gt;=-1.5,"Sideway - Slope",DR81&gt;=-3,"Moderate - Slope",TRUE,"Strong - Slope")</f>
        <v>Sideway + Slope</v>
      </c>
      <c r="DZ81" t="str" cm="1">
        <f t="array" ref="DZ81">_xlfn.IFS(DS81&gt;3,"Strong + Slope",DS81&gt;1.5,"Moderate + Slope",DS81&gt;0.5,"Sideway + Slope",DS81&gt;=-0.5,"Sideway Flat",DS81&gt;=-1.5,"Sideway - Slope",DS81&gt;=-3,"Moderate - Slope",TRUE,"Strong - Slope")</f>
        <v>Sideway Flat</v>
      </c>
      <c r="EA81" t="str" cm="1">
        <f t="array" ref="EA81">_xlfn.IFS(DT81&gt;3,"Strong + Slope",DT81&gt;1.5,"Moderate + Slope",DT81&gt;0.5,"Sideway + Slope",DT81&gt;=-0.5,"Sideway Flat",DT81&gt;=-1.5,"Sideway - Slope",DT81&gt;=-3,"Moderate - Slope",TRUE,"Strong - Slope")</f>
        <v>Sideway + Slope</v>
      </c>
      <c r="EB81" s="5"/>
      <c r="EC81" s="5">
        <f t="shared" si="209"/>
        <v>4</v>
      </c>
      <c r="ED81" s="5">
        <f t="shared" si="210"/>
        <v>3</v>
      </c>
      <c r="EE81" s="5">
        <f t="shared" si="211"/>
        <v>1</v>
      </c>
      <c r="EF81" s="5">
        <f t="shared" si="212"/>
        <v>5</v>
      </c>
      <c r="EG81" s="5">
        <f t="shared" si="213"/>
        <v>6</v>
      </c>
      <c r="EH81" s="5">
        <f t="shared" si="214"/>
        <v>2</v>
      </c>
      <c r="EI81" s="5"/>
      <c r="EJ81" s="5" t="str">
        <f t="shared" si="215"/>
        <v>RES</v>
      </c>
      <c r="EK81" s="5" t="str">
        <f t="shared" si="216"/>
        <v>RES</v>
      </c>
      <c r="EL81" s="5" t="str">
        <f t="shared" si="217"/>
        <v>RES</v>
      </c>
      <c r="EM81" s="5" t="str">
        <f t="shared" si="218"/>
        <v>SUP</v>
      </c>
      <c r="EN81" s="5" t="str">
        <f t="shared" si="219"/>
        <v>SUP</v>
      </c>
      <c r="EO81" s="5" t="str">
        <f t="shared" si="220"/>
        <v>RES</v>
      </c>
      <c r="EP81" s="5"/>
      <c r="EQ81" s="8">
        <f t="shared" si="221"/>
        <v>3.4685636874121046E-4</v>
      </c>
      <c r="ER81" s="8">
        <f t="shared" si="222"/>
        <v>5.3664570258062485E-4</v>
      </c>
      <c r="ES81" s="8">
        <f t="shared" si="223"/>
        <v>2.2578386267105509E-3</v>
      </c>
      <c r="ET81" s="8">
        <f t="shared" si="224"/>
        <v>-1.1976361411246833E-3</v>
      </c>
      <c r="EU81" s="8">
        <f t="shared" si="225"/>
        <v>-1.4136033141143041E-3</v>
      </c>
      <c r="EV81" s="8">
        <f t="shared" si="226"/>
        <v>5.6936800151842926E-4</v>
      </c>
      <c r="EW81" s="8"/>
      <c r="EX81" s="8">
        <f t="shared" si="227"/>
        <v>0.38502673796789305</v>
      </c>
      <c r="EY81" s="9">
        <f t="shared" si="228"/>
        <v>4</v>
      </c>
      <c r="EZ81" s="10">
        <f t="shared" si="229"/>
        <v>2</v>
      </c>
      <c r="FA81" s="8">
        <f t="shared" si="258"/>
        <v>2.2578386267105509E-3</v>
      </c>
      <c r="FB81" s="8">
        <f t="shared" si="259"/>
        <v>5.6936800151842926E-4</v>
      </c>
      <c r="FC81" s="8">
        <f t="shared" si="260"/>
        <v>5.3664570258062485E-4</v>
      </c>
      <c r="FD81" s="8">
        <f t="shared" si="261"/>
        <v>3.4685636874121046E-4</v>
      </c>
      <c r="FE81" s="8">
        <f t="shared" si="262"/>
        <v>-1.1976361411246833E-3</v>
      </c>
      <c r="FF81" s="8">
        <f t="shared" si="263"/>
        <v>-1.4136033141143041E-3</v>
      </c>
      <c r="FG81" s="5"/>
      <c r="FH81" s="5" t="str">
        <f t="shared" si="230"/>
        <v>Flat Momentum</v>
      </c>
      <c r="FI81" s="5" t="str">
        <f t="shared" si="264"/>
        <v>-----</v>
      </c>
      <c r="FJ81" s="5"/>
      <c r="FK81" s="5" t="str">
        <f t="shared" si="265"/>
        <v>-----</v>
      </c>
      <c r="FL81" s="5" t="str">
        <f t="shared" si="266"/>
        <v>-----</v>
      </c>
      <c r="FM81" s="5"/>
      <c r="FN81" s="5"/>
      <c r="FO81" s="8" t="str">
        <f t="shared" si="279"/>
        <v>Bearish</v>
      </c>
      <c r="FP81" s="8"/>
      <c r="FQ81" s="14">
        <f t="shared" si="231"/>
        <v>-2.2905759162320031E-4</v>
      </c>
      <c r="FR81" s="14">
        <f t="shared" si="232"/>
        <v>0.63807122269910621</v>
      </c>
      <c r="FS81" s="14" t="str">
        <f t="shared" si="233"/>
        <v>-----</v>
      </c>
      <c r="FT81" s="14" t="str">
        <f t="shared" si="234"/>
        <v>Bullish</v>
      </c>
      <c r="FU81" s="5" t="str">
        <f t="shared" si="267"/>
        <v>-----</v>
      </c>
      <c r="FV81" s="5" t="str">
        <f t="shared" si="268"/>
        <v>-----</v>
      </c>
      <c r="FW81" s="5"/>
      <c r="FX81" s="15" t="str">
        <f t="shared" si="116"/>
        <v>YES</v>
      </c>
      <c r="FY81" s="15" t="str">
        <f t="shared" si="117"/>
        <v>-----</v>
      </c>
      <c r="FZ81" s="15" t="str">
        <f t="shared" si="118"/>
        <v>-----</v>
      </c>
      <c r="GA81" s="15" t="str">
        <f t="shared" si="119"/>
        <v>-----</v>
      </c>
      <c r="GB81" s="16" t="str">
        <f t="shared" si="274"/>
        <v>-----</v>
      </c>
      <c r="GC81" s="16" t="str">
        <f t="shared" si="275"/>
        <v>-----</v>
      </c>
      <c r="GD81" s="16" t="str">
        <f t="shared" si="276"/>
        <v>-----</v>
      </c>
      <c r="GE81" s="16" t="str">
        <f t="shared" si="278"/>
        <v>YES</v>
      </c>
      <c r="GF81" s="15" t="str">
        <f t="shared" si="277"/>
        <v>-----</v>
      </c>
      <c r="GG81" s="16" t="str">
        <f t="shared" si="120"/>
        <v>-----</v>
      </c>
      <c r="GH81" s="14"/>
      <c r="GI81" s="5" t="str">
        <f t="shared" si="235"/>
        <v>Bullish Trigger</v>
      </c>
      <c r="GJ81" s="5" t="str">
        <f t="shared" si="236"/>
        <v>-----</v>
      </c>
      <c r="GK81" s="5"/>
      <c r="GL81" s="5" t="str">
        <f t="shared" si="237"/>
        <v>-----</v>
      </c>
      <c r="GM81" s="5" t="str">
        <f t="shared" si="238"/>
        <v>-----</v>
      </c>
      <c r="GN81" s="5"/>
      <c r="GO81" s="12">
        <f t="shared" si="239"/>
        <v>4.5000000000015916E-2</v>
      </c>
      <c r="GP81" s="5">
        <f t="shared" si="269"/>
        <v>-0.70933911490427681</v>
      </c>
      <c r="GQ81" s="13" t="str">
        <f t="shared" si="270"/>
        <v>-----</v>
      </c>
      <c r="GR81" s="5"/>
      <c r="GS81">
        <f t="shared" si="271"/>
        <v>-0.73207149422354978</v>
      </c>
      <c r="GT81" s="5" t="str">
        <f t="shared" si="272"/>
        <v>-----</v>
      </c>
    </row>
    <row r="82" spans="1:202" x14ac:dyDescent="0.55000000000000004">
      <c r="A82">
        <v>78</v>
      </c>
      <c r="B82" t="s">
        <v>81</v>
      </c>
      <c r="C82" t="s">
        <v>4</v>
      </c>
      <c r="D82" t="s">
        <v>103</v>
      </c>
      <c r="E82">
        <v>152.80099999999999</v>
      </c>
      <c r="F82">
        <v>152.815</v>
      </c>
      <c r="G82">
        <v>152.80099999999999</v>
      </c>
      <c r="H82">
        <v>152.81200000000001</v>
      </c>
      <c r="I82">
        <v>121</v>
      </c>
      <c r="J82">
        <v>152.852</v>
      </c>
      <c r="K82">
        <v>152.88200000000001</v>
      </c>
      <c r="L82">
        <v>153.14500000000001</v>
      </c>
      <c r="M82">
        <v>152.619</v>
      </c>
      <c r="N82">
        <v>152.58500000000001</v>
      </c>
      <c r="O82">
        <v>152.88999999999999</v>
      </c>
      <c r="P82">
        <v>0</v>
      </c>
      <c r="Q82">
        <v>0</v>
      </c>
      <c r="R82">
        <v>0</v>
      </c>
      <c r="S82">
        <v>0</v>
      </c>
      <c r="T82">
        <v>0</v>
      </c>
      <c r="U82">
        <v>0.80798999999999999</v>
      </c>
      <c r="V82">
        <v>0</v>
      </c>
      <c r="W82">
        <v>153.08250000000001</v>
      </c>
      <c r="X82">
        <v>153.00308000000001</v>
      </c>
      <c r="Y82">
        <v>152.92366999999999</v>
      </c>
      <c r="Z82">
        <v>152.84425999999999</v>
      </c>
      <c r="AA82">
        <v>152.76483999999999</v>
      </c>
      <c r="AB82">
        <v>152.73176000000001</v>
      </c>
      <c r="AC82">
        <v>152.65235000000001</v>
      </c>
      <c r="AD82">
        <v>152.57293999999999</v>
      </c>
      <c r="AE82">
        <v>152.49351999999999</v>
      </c>
      <c r="AF82">
        <v>152.41410999999999</v>
      </c>
      <c r="AG82">
        <v>152.79300000000001</v>
      </c>
      <c r="AH82">
        <v>152.77000000000001</v>
      </c>
      <c r="AI82">
        <v>152.80099999999999</v>
      </c>
      <c r="AJ82">
        <v>152.899</v>
      </c>
      <c r="AK82">
        <v>152.80699999999999</v>
      </c>
      <c r="AL82">
        <v>152.77600000000001</v>
      </c>
      <c r="AM82" s="11">
        <f t="shared" si="179"/>
        <v>1.4000000000010004E-2</v>
      </c>
      <c r="AN82" s="11">
        <f t="shared" si="240"/>
        <v>1.4000000000010004E-2</v>
      </c>
      <c r="AO82" s="11">
        <f t="shared" si="241"/>
        <v>0</v>
      </c>
      <c r="AP82" s="11">
        <f t="shared" si="242"/>
        <v>1.4000000000010004E-2</v>
      </c>
      <c r="AR82" s="5" t="str">
        <f t="shared" si="180"/>
        <v>------</v>
      </c>
      <c r="AS82" s="5" t="str">
        <f t="shared" si="181"/>
        <v>------</v>
      </c>
      <c r="AT82" t="str">
        <f t="shared" si="182"/>
        <v/>
      </c>
      <c r="AV82" s="2">
        <f t="shared" si="183"/>
        <v>152.87492780000002</v>
      </c>
      <c r="AW82" s="2">
        <f t="shared" si="184"/>
        <v>152.82907220000001</v>
      </c>
      <c r="AX82" s="2">
        <f t="shared" si="185"/>
        <v>152.90493230000001</v>
      </c>
      <c r="AY82" s="2">
        <f t="shared" si="186"/>
        <v>152.8590677</v>
      </c>
      <c r="AZ82" s="2">
        <f t="shared" si="187"/>
        <v>153.16797175000002</v>
      </c>
      <c r="BA82" s="2">
        <f t="shared" si="188"/>
        <v>153.12202825</v>
      </c>
      <c r="BB82" s="2">
        <f t="shared" si="189"/>
        <v>152.64189285</v>
      </c>
      <c r="BC82" s="2">
        <f t="shared" si="190"/>
        <v>152.59610714999999</v>
      </c>
      <c r="BD82" s="2">
        <f t="shared" si="191"/>
        <v>152.60788775000003</v>
      </c>
      <c r="BE82" s="2">
        <f t="shared" si="192"/>
        <v>152.56211225000001</v>
      </c>
      <c r="BF82" s="2">
        <f t="shared" si="193"/>
        <v>152.91293350000001</v>
      </c>
      <c r="BG82" s="2">
        <f t="shared" si="194"/>
        <v>152.86706649999999</v>
      </c>
      <c r="BI82" s="5" t="str">
        <f t="shared" si="243"/>
        <v>-----</v>
      </c>
      <c r="BJ82" s="5" t="str">
        <f t="shared" si="244"/>
        <v>-----</v>
      </c>
      <c r="BK82" s="5" t="str">
        <f t="shared" si="245"/>
        <v>-----</v>
      </c>
      <c r="BL82" s="5" t="str">
        <f t="shared" si="246"/>
        <v>-----</v>
      </c>
      <c r="BM82" s="5" t="str">
        <f t="shared" si="247"/>
        <v>-----</v>
      </c>
      <c r="BN82" s="5" t="str">
        <f t="shared" si="248"/>
        <v>-----</v>
      </c>
      <c r="BO82" s="5"/>
      <c r="BP82" s="5">
        <f t="shared" si="249"/>
        <v>14</v>
      </c>
      <c r="BQ82" s="5">
        <f t="shared" si="249"/>
        <v>14</v>
      </c>
      <c r="BR82" s="5">
        <f t="shared" si="249"/>
        <v>76</v>
      </c>
      <c r="BS82" s="5">
        <f t="shared" si="249"/>
        <v>78</v>
      </c>
      <c r="BT82" s="5">
        <f t="shared" si="249"/>
        <v>78</v>
      </c>
      <c r="BU82" s="5">
        <f t="shared" si="249"/>
        <v>14</v>
      </c>
      <c r="BV82" s="5">
        <f t="shared" si="250"/>
        <v>2</v>
      </c>
      <c r="BW82" s="5">
        <f t="shared" si="250"/>
        <v>2</v>
      </c>
      <c r="BX82" s="5">
        <f t="shared" si="250"/>
        <v>2</v>
      </c>
      <c r="BY82" s="5">
        <f t="shared" si="250"/>
        <v>0</v>
      </c>
      <c r="BZ82" s="5">
        <f t="shared" si="250"/>
        <v>0</v>
      </c>
      <c r="CA82" s="5">
        <f t="shared" si="250"/>
        <v>7</v>
      </c>
      <c r="CB82" s="5" t="str">
        <f t="shared" si="273"/>
        <v>-----</v>
      </c>
      <c r="CC82" s="5" t="str">
        <f t="shared" si="273"/>
        <v>-----</v>
      </c>
      <c r="CD82" s="5" t="str">
        <f t="shared" si="273"/>
        <v>-----</v>
      </c>
      <c r="CE82" s="5" t="str">
        <f t="shared" si="273"/>
        <v>-----</v>
      </c>
      <c r="CF82" s="5" t="str">
        <f t="shared" si="273"/>
        <v>-----</v>
      </c>
      <c r="CG82" s="5" t="str">
        <f t="shared" si="195"/>
        <v>-----</v>
      </c>
      <c r="CH82" s="5"/>
      <c r="CI82" s="17" t="str">
        <f t="shared" si="196"/>
        <v>-----</v>
      </c>
      <c r="CJ82" s="17" t="str">
        <f t="shared" si="197"/>
        <v>-----</v>
      </c>
      <c r="CK82" s="17" t="str">
        <f t="shared" si="198"/>
        <v>-----</v>
      </c>
      <c r="CL82" s="17" t="str">
        <f t="shared" si="199"/>
        <v>-----</v>
      </c>
      <c r="CM82" s="17" t="str">
        <f t="shared" si="200"/>
        <v>-----</v>
      </c>
      <c r="CN82" s="17" t="str">
        <f t="shared" si="201"/>
        <v>-----</v>
      </c>
      <c r="CO82" s="5"/>
      <c r="CP82" s="5" t="str">
        <f t="shared" si="177"/>
        <v>-----</v>
      </c>
      <c r="CQ82" s="5" t="str">
        <f t="shared" si="177"/>
        <v>-----</v>
      </c>
      <c r="CR82" s="5" t="str">
        <f t="shared" si="177"/>
        <v>-----</v>
      </c>
      <c r="CS82" s="5" t="str">
        <f t="shared" si="177"/>
        <v>-----</v>
      </c>
      <c r="CT82" s="5" t="str">
        <f t="shared" si="177"/>
        <v>-----</v>
      </c>
      <c r="CU82" s="5" t="str">
        <f t="shared" si="177"/>
        <v>-----</v>
      </c>
      <c r="CV82" s="5"/>
      <c r="CW82" s="17" t="str">
        <f t="shared" si="178"/>
        <v/>
      </c>
      <c r="CX82" s="17" t="str">
        <f t="shared" si="178"/>
        <v/>
      </c>
      <c r="CY82" s="17" t="str">
        <f t="shared" si="178"/>
        <v/>
      </c>
      <c r="CZ82" s="17" t="str">
        <f t="shared" si="178"/>
        <v/>
      </c>
      <c r="DA82" s="17" t="str">
        <f t="shared" si="178"/>
        <v/>
      </c>
      <c r="DB82" s="17" t="str">
        <f t="shared" si="178"/>
        <v/>
      </c>
      <c r="DC82" s="8"/>
      <c r="DD82" s="5">
        <f t="shared" si="202"/>
        <v>0</v>
      </c>
      <c r="DE82" s="17" t="str">
        <f t="shared" si="251"/>
        <v>-----</v>
      </c>
      <c r="DF82" s="5" t="str" cm="1">
        <f t="array" ref="DF82">_xlfn.IFS(DE82=CW82,CP82,DE82=CX82,CQ82,DE82=CY82,CR82,DE82=CZ82,CS82,DE82=DA82,CT82,DE82=DB82,CU82,TRUE,"----- ")</f>
        <v xml:space="preserve">----- </v>
      </c>
      <c r="DG82" s="5"/>
      <c r="DH82" s="5">
        <f t="shared" si="252"/>
        <v>-2.423265306122455E-3</v>
      </c>
      <c r="DI82" s="5">
        <f t="shared" si="253"/>
        <v>-3.7194805194805478E-4</v>
      </c>
      <c r="DJ82" s="5">
        <f t="shared" si="254"/>
        <v>-1.6402721088435472E-3</v>
      </c>
      <c r="DK82" s="5">
        <f t="shared" si="255"/>
        <v>7.6471243042669956E-4</v>
      </c>
      <c r="DL82" s="5">
        <f t="shared" si="256"/>
        <v>-2.3081014223875058E-4</v>
      </c>
      <c r="DM82" s="5">
        <f t="shared" si="257"/>
        <v>1.5802844774273381E-3</v>
      </c>
      <c r="DO82" s="5">
        <f t="shared" si="203"/>
        <v>-1.9079214597220278</v>
      </c>
      <c r="DP82" s="5">
        <f t="shared" si="204"/>
        <v>-0.29295343676527091</v>
      </c>
      <c r="DQ82" s="5">
        <f t="shared" si="205"/>
        <v>-1.2917022253843653</v>
      </c>
      <c r="DR82" s="5">
        <f t="shared" si="206"/>
        <v>0.60228527619529781</v>
      </c>
      <c r="DS82" s="5">
        <f t="shared" si="207"/>
        <v>-0.18179147971962978</v>
      </c>
      <c r="DT82" s="5">
        <f t="shared" si="208"/>
        <v>1.2444775446344229</v>
      </c>
      <c r="DV82" t="str" cm="1">
        <f t="array" ref="DV82">_xlfn.IFS(DO82&gt;3,"Strong + Slope",DO82&gt;1.5,"Moderate + Slope",DO82&gt;0.5,"Sideway + Slope",DO82&gt;=-0.5,"Sideway Flat",DO82&gt;=-1.5,"Sideway - Slope",DO82&gt;=-3,"Moderate - Slope",TRUE,"Strong - Slope")</f>
        <v>Moderate - Slope</v>
      </c>
      <c r="DW82" t="str" cm="1">
        <f t="array" ref="DW82">_xlfn.IFS(DP82&gt;3,"Strong + Slope",DP82&gt;1.5,"Moderate + Slope",DP82&gt;0.5,"Sideway + Slope",DP82&gt;=-0.5,"Sideway Flat",DP82&gt;=-1.5,"Sideway - Slope",DP82&gt;=-3,"Moderate - Slope",TRUE,"Strong - Slope")</f>
        <v>Sideway Flat</v>
      </c>
      <c r="DX82" t="str" cm="1">
        <f t="array" ref="DX82">_xlfn.IFS(DQ82&gt;3,"Strong + Slope",DQ82&gt;1.5,"Moderate + Slope",DQ82&gt;0.5,"Sideway + Slope",DQ82&gt;=-0.5,"Sideway Flat",DQ82&gt;=-1.5,"Sideway - Slope",DQ82&gt;=-3,"Moderate - Slope",TRUE,"Strong - Slope")</f>
        <v>Sideway - Slope</v>
      </c>
      <c r="DY82" t="str" cm="1">
        <f t="array" ref="DY82">_xlfn.IFS(DR82&gt;3,"Strong + Slope",DR82&gt;1.5,"Moderate + Slope",DR82&gt;0.5,"Sideway + Slope",DR82&gt;=-0.5,"Sideway Flat",DR82&gt;=-1.5,"Sideway - Slope",DR82&gt;=-3,"Moderate - Slope",TRUE,"Strong - Slope")</f>
        <v>Sideway + Slope</v>
      </c>
      <c r="DZ82" t="str" cm="1">
        <f t="array" ref="DZ82">_xlfn.IFS(DS82&gt;3,"Strong + Slope",DS82&gt;1.5,"Moderate + Slope",DS82&gt;0.5,"Sideway + Slope",DS82&gt;=-0.5,"Sideway Flat",DS82&gt;=-1.5,"Sideway - Slope",DS82&gt;=-3,"Moderate - Slope",TRUE,"Strong - Slope")</f>
        <v>Sideway Flat</v>
      </c>
      <c r="EA82" t="str" cm="1">
        <f t="array" ref="EA82">_xlfn.IFS(DT82&gt;3,"Strong + Slope",DT82&gt;1.5,"Moderate + Slope",DT82&gt;0.5,"Sideway + Slope",DT82&gt;=-0.5,"Sideway Flat",DT82&gt;=-1.5,"Sideway - Slope",DT82&gt;=-3,"Moderate - Slope",TRUE,"Strong - Slope")</f>
        <v>Sideway + Slope</v>
      </c>
      <c r="EB82" s="5"/>
      <c r="EC82" s="5">
        <f t="shared" si="209"/>
        <v>4</v>
      </c>
      <c r="ED82" s="5">
        <f t="shared" si="210"/>
        <v>3</v>
      </c>
      <c r="EE82" s="5">
        <f t="shared" si="211"/>
        <v>1</v>
      </c>
      <c r="EF82" s="5">
        <f t="shared" si="212"/>
        <v>5</v>
      </c>
      <c r="EG82" s="5">
        <f t="shared" si="213"/>
        <v>6</v>
      </c>
      <c r="EH82" s="5">
        <f t="shared" si="214"/>
        <v>2</v>
      </c>
      <c r="EI82" s="5"/>
      <c r="EJ82" s="5" t="str">
        <f t="shared" si="215"/>
        <v>RES</v>
      </c>
      <c r="EK82" s="5" t="str">
        <f t="shared" si="216"/>
        <v>RES</v>
      </c>
      <c r="EL82" s="5" t="str">
        <f t="shared" si="217"/>
        <v>RES</v>
      </c>
      <c r="EM82" s="5" t="str">
        <f t="shared" si="218"/>
        <v>SUP</v>
      </c>
      <c r="EN82" s="5" t="str">
        <f t="shared" si="219"/>
        <v>SUP</v>
      </c>
      <c r="EO82" s="5" t="str">
        <f t="shared" si="220"/>
        <v>RES</v>
      </c>
      <c r="EP82" s="5"/>
      <c r="EQ82" s="8">
        <f t="shared" si="221"/>
        <v>2.6175954767944951E-4</v>
      </c>
      <c r="ER82" s="8">
        <f t="shared" si="222"/>
        <v>4.5807920843908312E-4</v>
      </c>
      <c r="ES82" s="8">
        <f t="shared" si="223"/>
        <v>2.1791482344318404E-3</v>
      </c>
      <c r="ET82" s="8">
        <f t="shared" si="224"/>
        <v>-1.262989817553674E-3</v>
      </c>
      <c r="EU82" s="8">
        <f t="shared" si="225"/>
        <v>-1.4854854330811969E-3</v>
      </c>
      <c r="EV82" s="8">
        <f t="shared" si="226"/>
        <v>5.1043111797486143E-4</v>
      </c>
      <c r="EW82" s="8"/>
      <c r="EX82" s="8">
        <f t="shared" si="227"/>
        <v>0.40535714285714813</v>
      </c>
      <c r="EY82" s="9">
        <f t="shared" si="228"/>
        <v>4</v>
      </c>
      <c r="EZ82" s="10">
        <f t="shared" si="229"/>
        <v>2</v>
      </c>
      <c r="FA82" s="8">
        <f t="shared" si="258"/>
        <v>2.1791482344318404E-3</v>
      </c>
      <c r="FB82" s="8">
        <f t="shared" si="259"/>
        <v>5.1043111797486143E-4</v>
      </c>
      <c r="FC82" s="8">
        <f t="shared" si="260"/>
        <v>4.5807920843908312E-4</v>
      </c>
      <c r="FD82" s="8">
        <f t="shared" si="261"/>
        <v>2.6175954767944951E-4</v>
      </c>
      <c r="FE82" s="8">
        <f t="shared" si="262"/>
        <v>-1.262989817553674E-3</v>
      </c>
      <c r="FF82" s="8">
        <f t="shared" si="263"/>
        <v>-1.4854854330811969E-3</v>
      </c>
      <c r="FG82" s="5"/>
      <c r="FH82" s="5" t="str">
        <f t="shared" si="230"/>
        <v>Flat Momentum</v>
      </c>
      <c r="FI82" s="5" t="str">
        <f t="shared" si="264"/>
        <v>-----</v>
      </c>
      <c r="FJ82" s="5"/>
      <c r="FK82" s="5" t="str">
        <f t="shared" si="265"/>
        <v>-----</v>
      </c>
      <c r="FL82" s="5" t="str">
        <f t="shared" si="266"/>
        <v>-----</v>
      </c>
      <c r="FM82" s="5"/>
      <c r="FN82" s="5"/>
      <c r="FO82" s="8" t="str">
        <f t="shared" si="279"/>
        <v>Bearish</v>
      </c>
      <c r="FP82" s="8"/>
      <c r="FQ82" s="14">
        <f t="shared" si="231"/>
        <v>-2.0287825341442459E-4</v>
      </c>
      <c r="FR82" s="14">
        <f t="shared" si="232"/>
        <v>0.71357381576252776</v>
      </c>
      <c r="FS82" s="14" t="str">
        <f t="shared" si="233"/>
        <v>-----</v>
      </c>
      <c r="FT82" s="14" t="str">
        <f t="shared" si="234"/>
        <v>Bullish</v>
      </c>
      <c r="FU82" s="5" t="str">
        <f t="shared" si="267"/>
        <v>-----</v>
      </c>
      <c r="FV82" s="5" t="str">
        <f t="shared" si="268"/>
        <v>-----</v>
      </c>
      <c r="FW82" s="5"/>
      <c r="FX82" s="15" t="str">
        <f t="shared" si="116"/>
        <v>YES</v>
      </c>
      <c r="FY82" s="15" t="str">
        <f t="shared" si="117"/>
        <v>-----</v>
      </c>
      <c r="FZ82" s="15" t="str">
        <f t="shared" si="118"/>
        <v>-----</v>
      </c>
      <c r="GA82" s="15" t="str">
        <f t="shared" si="119"/>
        <v>-----</v>
      </c>
      <c r="GB82" s="16" t="str">
        <f t="shared" si="274"/>
        <v>-----</v>
      </c>
      <c r="GC82" s="16" t="str">
        <f t="shared" si="275"/>
        <v>-----</v>
      </c>
      <c r="GD82" s="16" t="str">
        <f t="shared" si="276"/>
        <v>-----</v>
      </c>
      <c r="GE82" s="16" t="str">
        <f t="shared" si="278"/>
        <v>-----</v>
      </c>
      <c r="GF82" s="15" t="str">
        <f t="shared" si="277"/>
        <v>-----</v>
      </c>
      <c r="GG82" s="16" t="str">
        <f t="shared" si="120"/>
        <v>-----</v>
      </c>
      <c r="GH82" s="14"/>
      <c r="GI82" s="5" t="str">
        <f t="shared" si="235"/>
        <v>Bullish Trigger</v>
      </c>
      <c r="GJ82" s="5" t="str">
        <f t="shared" si="236"/>
        <v>-----</v>
      </c>
      <c r="GK82" s="5"/>
      <c r="GL82" s="5" t="str">
        <f t="shared" si="237"/>
        <v>-----</v>
      </c>
      <c r="GM82" s="5" t="str">
        <f t="shared" si="238"/>
        <v>-----</v>
      </c>
      <c r="GN82" s="5"/>
      <c r="GO82" s="12">
        <f t="shared" si="239"/>
        <v>3.099999999997749E-2</v>
      </c>
      <c r="GP82" s="5">
        <f t="shared" si="269"/>
        <v>-1.0319987845007546</v>
      </c>
      <c r="GQ82" s="13" t="str">
        <f t="shared" si="270"/>
        <v>-----</v>
      </c>
      <c r="GR82" s="5"/>
      <c r="GS82">
        <f t="shared" si="271"/>
        <v>-1.0805403935307438</v>
      </c>
      <c r="GT82" s="5" t="str">
        <f t="shared" si="272"/>
        <v>-----</v>
      </c>
    </row>
    <row r="83" spans="1:202" x14ac:dyDescent="0.55000000000000004">
      <c r="A83">
        <v>79</v>
      </c>
      <c r="B83" t="s">
        <v>82</v>
      </c>
      <c r="C83" t="s">
        <v>4</v>
      </c>
      <c r="D83" t="s">
        <v>103</v>
      </c>
      <c r="E83">
        <v>152.81200000000001</v>
      </c>
      <c r="F83">
        <v>152.81899999999999</v>
      </c>
      <c r="G83">
        <v>152.786</v>
      </c>
      <c r="H83">
        <v>152.786</v>
      </c>
      <c r="I83">
        <v>167</v>
      </c>
      <c r="J83">
        <v>152.84899999999999</v>
      </c>
      <c r="K83">
        <v>152.88200000000001</v>
      </c>
      <c r="L83">
        <v>153.143</v>
      </c>
      <c r="M83">
        <v>152.62</v>
      </c>
      <c r="N83">
        <v>152.58500000000001</v>
      </c>
      <c r="O83">
        <v>152.89099999999999</v>
      </c>
      <c r="P83">
        <v>0</v>
      </c>
      <c r="Q83">
        <v>0</v>
      </c>
      <c r="R83">
        <v>0</v>
      </c>
      <c r="S83">
        <v>0</v>
      </c>
      <c r="T83">
        <v>0</v>
      </c>
      <c r="U83">
        <v>0.44795000000000001</v>
      </c>
      <c r="V83">
        <v>3</v>
      </c>
      <c r="W83">
        <v>153.08105</v>
      </c>
      <c r="X83">
        <v>153.00192000000001</v>
      </c>
      <c r="Y83">
        <v>152.92277999999999</v>
      </c>
      <c r="Z83">
        <v>152.84363999999999</v>
      </c>
      <c r="AA83">
        <v>152.76451</v>
      </c>
      <c r="AB83">
        <v>152.73240999999999</v>
      </c>
      <c r="AC83">
        <v>152.65328</v>
      </c>
      <c r="AD83">
        <v>152.57414</v>
      </c>
      <c r="AE83">
        <v>152.495</v>
      </c>
      <c r="AF83">
        <v>152.41587000000001</v>
      </c>
      <c r="AG83">
        <v>152.797</v>
      </c>
      <c r="AH83">
        <v>152.77500000000001</v>
      </c>
      <c r="AI83">
        <v>152.80099999999999</v>
      </c>
      <c r="AJ83">
        <v>152.89599999999999</v>
      </c>
      <c r="AK83">
        <v>152.815</v>
      </c>
      <c r="AL83">
        <v>152.78299999999999</v>
      </c>
      <c r="AM83" s="11">
        <f t="shared" si="179"/>
        <v>3.299999999998704E-2</v>
      </c>
      <c r="AN83" s="11">
        <f t="shared" si="240"/>
        <v>6.9999999999765805E-3</v>
      </c>
      <c r="AO83" s="11">
        <f t="shared" si="241"/>
        <v>2.6000000000010459E-2</v>
      </c>
      <c r="AP83" s="11">
        <f t="shared" si="242"/>
        <v>3.299999999998704E-2</v>
      </c>
      <c r="AR83" s="5" t="str">
        <f t="shared" si="180"/>
        <v>------</v>
      </c>
      <c r="AS83" s="5" t="str">
        <f t="shared" si="181"/>
        <v>------</v>
      </c>
      <c r="AT83" t="str">
        <f t="shared" si="182"/>
        <v/>
      </c>
      <c r="AV83" s="2">
        <f t="shared" si="183"/>
        <v>152.87192734999999</v>
      </c>
      <c r="AW83" s="2">
        <f t="shared" si="184"/>
        <v>152.82607264999999</v>
      </c>
      <c r="AX83" s="2">
        <f t="shared" si="185"/>
        <v>152.90493230000001</v>
      </c>
      <c r="AY83" s="2">
        <f t="shared" si="186"/>
        <v>152.8590677</v>
      </c>
      <c r="AZ83" s="2">
        <f t="shared" si="187"/>
        <v>153.16597145000003</v>
      </c>
      <c r="BA83" s="2">
        <f t="shared" si="188"/>
        <v>153.12002855</v>
      </c>
      <c r="BB83" s="2">
        <f t="shared" si="189"/>
        <v>152.64289300000002</v>
      </c>
      <c r="BC83" s="2">
        <f t="shared" si="190"/>
        <v>152.59710699999999</v>
      </c>
      <c r="BD83" s="2">
        <f t="shared" si="191"/>
        <v>152.60788775000003</v>
      </c>
      <c r="BE83" s="2">
        <f t="shared" si="192"/>
        <v>152.56211225000001</v>
      </c>
      <c r="BF83" s="2">
        <f t="shared" si="193"/>
        <v>152.91393365000002</v>
      </c>
      <c r="BG83" s="2">
        <f t="shared" si="194"/>
        <v>152.86806634999999</v>
      </c>
      <c r="BI83" s="5" t="str">
        <f t="shared" si="243"/>
        <v>-----</v>
      </c>
      <c r="BJ83" s="5" t="str">
        <f t="shared" si="244"/>
        <v>-----</v>
      </c>
      <c r="BK83" s="5" t="str">
        <f t="shared" si="245"/>
        <v>-----</v>
      </c>
      <c r="BL83" s="5" t="str">
        <f t="shared" si="246"/>
        <v>-----</v>
      </c>
      <c r="BM83" s="5" t="str">
        <f t="shared" si="247"/>
        <v>-----</v>
      </c>
      <c r="BN83" s="5" t="str">
        <f t="shared" si="248"/>
        <v>-----</v>
      </c>
      <c r="BO83" s="5"/>
      <c r="BP83" s="5">
        <f t="shared" si="249"/>
        <v>15</v>
      </c>
      <c r="BQ83" s="5">
        <f t="shared" si="249"/>
        <v>15</v>
      </c>
      <c r="BR83" s="5">
        <f t="shared" si="249"/>
        <v>77</v>
      </c>
      <c r="BS83" s="5">
        <f t="shared" si="249"/>
        <v>79</v>
      </c>
      <c r="BT83" s="5">
        <f t="shared" si="249"/>
        <v>79</v>
      </c>
      <c r="BU83" s="5">
        <f t="shared" si="249"/>
        <v>15</v>
      </c>
      <c r="BV83" s="5">
        <f t="shared" si="250"/>
        <v>2</v>
      </c>
      <c r="BW83" s="5">
        <f t="shared" si="250"/>
        <v>2</v>
      </c>
      <c r="BX83" s="5">
        <f t="shared" si="250"/>
        <v>2</v>
      </c>
      <c r="BY83" s="5">
        <f t="shared" si="250"/>
        <v>0</v>
      </c>
      <c r="BZ83" s="5">
        <f t="shared" si="250"/>
        <v>0</v>
      </c>
      <c r="CA83" s="5">
        <f t="shared" si="250"/>
        <v>7</v>
      </c>
      <c r="CB83" s="5" t="str">
        <f t="shared" si="273"/>
        <v>-----</v>
      </c>
      <c r="CC83" s="5" t="str">
        <f t="shared" si="273"/>
        <v>-----</v>
      </c>
      <c r="CD83" s="5" t="str">
        <f t="shared" si="273"/>
        <v>-----</v>
      </c>
      <c r="CE83" s="5" t="str">
        <f t="shared" si="273"/>
        <v>-----</v>
      </c>
      <c r="CF83" s="5" t="str">
        <f t="shared" si="273"/>
        <v>-----</v>
      </c>
      <c r="CG83" s="5" t="str">
        <f t="shared" si="195"/>
        <v>-----</v>
      </c>
      <c r="CH83" s="5"/>
      <c r="CI83" s="17" t="str">
        <f t="shared" si="196"/>
        <v>-----</v>
      </c>
      <c r="CJ83" s="17" t="str">
        <f t="shared" si="197"/>
        <v>-----</v>
      </c>
      <c r="CK83" s="17" t="str">
        <f t="shared" si="198"/>
        <v>-----</v>
      </c>
      <c r="CL83" s="17" t="str">
        <f t="shared" si="199"/>
        <v>-----</v>
      </c>
      <c r="CM83" s="17" t="str">
        <f t="shared" si="200"/>
        <v>-----</v>
      </c>
      <c r="CN83" s="17" t="str">
        <f t="shared" si="201"/>
        <v>-----</v>
      </c>
      <c r="CO83" s="5"/>
      <c r="CP83" s="5" t="str">
        <f t="shared" si="177"/>
        <v>-----</v>
      </c>
      <c r="CQ83" s="5" t="str">
        <f t="shared" si="177"/>
        <v>-----</v>
      </c>
      <c r="CR83" s="5" t="str">
        <f t="shared" si="177"/>
        <v>-----</v>
      </c>
      <c r="CS83" s="5" t="str">
        <f t="shared" si="177"/>
        <v>-----</v>
      </c>
      <c r="CT83" s="5" t="str">
        <f t="shared" si="177"/>
        <v>-----</v>
      </c>
      <c r="CU83" s="5" t="str">
        <f t="shared" si="177"/>
        <v>-----</v>
      </c>
      <c r="CV83" s="5"/>
      <c r="CW83" s="17" t="str">
        <f t="shared" si="178"/>
        <v/>
      </c>
      <c r="CX83" s="17" t="str">
        <f t="shared" si="178"/>
        <v/>
      </c>
      <c r="CY83" s="17" t="str">
        <f t="shared" si="178"/>
        <v/>
      </c>
      <c r="CZ83" s="17" t="str">
        <f t="shared" si="178"/>
        <v/>
      </c>
      <c r="DA83" s="17" t="str">
        <f t="shared" si="178"/>
        <v/>
      </c>
      <c r="DB83" s="17" t="str">
        <f t="shared" si="178"/>
        <v/>
      </c>
      <c r="DC83" s="8"/>
      <c r="DD83" s="5">
        <f t="shared" si="202"/>
        <v>0</v>
      </c>
      <c r="DE83" s="17" t="str">
        <f t="shared" si="251"/>
        <v>-----</v>
      </c>
      <c r="DF83" s="5" t="str" cm="1">
        <f t="array" ref="DF83">_xlfn.IFS(DE83=CW83,CP83,DE83=CX83,CQ83,DE83=CY83,CR83,DE83=CZ83,CS83,DE83=DA83,CT83,DE83=DB83,CU83,TRUE,"----- ")</f>
        <v xml:space="preserve">----- </v>
      </c>
      <c r="DG83" s="5"/>
      <c r="DH83" s="5">
        <f t="shared" si="252"/>
        <v>-2.423265306122455E-3</v>
      </c>
      <c r="DI83" s="5">
        <f t="shared" si="253"/>
        <v>-3.7194805194805478E-4</v>
      </c>
      <c r="DJ83" s="5">
        <f t="shared" si="254"/>
        <v>-1.6402721088435472E-3</v>
      </c>
      <c r="DK83" s="5">
        <f t="shared" si="255"/>
        <v>7.6471243042669956E-4</v>
      </c>
      <c r="DL83" s="5">
        <f t="shared" si="256"/>
        <v>-2.3081014223875058E-4</v>
      </c>
      <c r="DM83" s="5">
        <f t="shared" si="257"/>
        <v>1.5802844774273381E-3</v>
      </c>
      <c r="DO83" s="5">
        <f t="shared" si="203"/>
        <v>-1.9079214597220278</v>
      </c>
      <c r="DP83" s="5">
        <f t="shared" si="204"/>
        <v>-0.29295343676527091</v>
      </c>
      <c r="DQ83" s="5">
        <f t="shared" si="205"/>
        <v>-1.2917022253843653</v>
      </c>
      <c r="DR83" s="5">
        <f t="shared" si="206"/>
        <v>0.60228527619529781</v>
      </c>
      <c r="DS83" s="5">
        <f t="shared" si="207"/>
        <v>-0.18179147971962978</v>
      </c>
      <c r="DT83" s="5">
        <f t="shared" si="208"/>
        <v>1.2444775446344229</v>
      </c>
      <c r="DV83" t="str" cm="1">
        <f t="array" ref="DV83">_xlfn.IFS(DO83&gt;3,"Strong + Slope",DO83&gt;1.5,"Moderate + Slope",DO83&gt;0.5,"Sideway + Slope",DO83&gt;=-0.5,"Sideway Flat",DO83&gt;=-1.5,"Sideway - Slope",DO83&gt;=-3,"Moderate - Slope",TRUE,"Strong - Slope")</f>
        <v>Moderate - Slope</v>
      </c>
      <c r="DW83" t="str" cm="1">
        <f t="array" ref="DW83">_xlfn.IFS(DP83&gt;3,"Strong + Slope",DP83&gt;1.5,"Moderate + Slope",DP83&gt;0.5,"Sideway + Slope",DP83&gt;=-0.5,"Sideway Flat",DP83&gt;=-1.5,"Sideway - Slope",DP83&gt;=-3,"Moderate - Slope",TRUE,"Strong - Slope")</f>
        <v>Sideway Flat</v>
      </c>
      <c r="DX83" t="str" cm="1">
        <f t="array" ref="DX83">_xlfn.IFS(DQ83&gt;3,"Strong + Slope",DQ83&gt;1.5,"Moderate + Slope",DQ83&gt;0.5,"Sideway + Slope",DQ83&gt;=-0.5,"Sideway Flat",DQ83&gt;=-1.5,"Sideway - Slope",DQ83&gt;=-3,"Moderate - Slope",TRUE,"Strong - Slope")</f>
        <v>Sideway - Slope</v>
      </c>
      <c r="DY83" t="str" cm="1">
        <f t="array" ref="DY83">_xlfn.IFS(DR83&gt;3,"Strong + Slope",DR83&gt;1.5,"Moderate + Slope",DR83&gt;0.5,"Sideway + Slope",DR83&gt;=-0.5,"Sideway Flat",DR83&gt;=-1.5,"Sideway - Slope",DR83&gt;=-3,"Moderate - Slope",TRUE,"Strong - Slope")</f>
        <v>Sideway + Slope</v>
      </c>
      <c r="DZ83" t="str" cm="1">
        <f t="array" ref="DZ83">_xlfn.IFS(DS83&gt;3,"Strong + Slope",DS83&gt;1.5,"Moderate + Slope",DS83&gt;0.5,"Sideway + Slope",DS83&gt;=-0.5,"Sideway Flat",DS83&gt;=-1.5,"Sideway - Slope",DS83&gt;=-3,"Moderate - Slope",TRUE,"Strong - Slope")</f>
        <v>Sideway Flat</v>
      </c>
      <c r="EA83" t="str" cm="1">
        <f t="array" ref="EA83">_xlfn.IFS(DT83&gt;3,"Strong + Slope",DT83&gt;1.5,"Moderate + Slope",DT83&gt;0.5,"Sideway + Slope",DT83&gt;=-0.5,"Sideway Flat",DT83&gt;=-1.5,"Sideway - Slope",DT83&gt;=-3,"Moderate - Slope",TRUE,"Strong - Slope")</f>
        <v>Sideway + Slope</v>
      </c>
      <c r="EB83" s="5"/>
      <c r="EC83" s="5">
        <f t="shared" si="209"/>
        <v>4</v>
      </c>
      <c r="ED83" s="5">
        <f t="shared" si="210"/>
        <v>3</v>
      </c>
      <c r="EE83" s="5">
        <f t="shared" si="211"/>
        <v>1</v>
      </c>
      <c r="EF83" s="5">
        <f t="shared" si="212"/>
        <v>5</v>
      </c>
      <c r="EG83" s="5">
        <f t="shared" si="213"/>
        <v>6</v>
      </c>
      <c r="EH83" s="5">
        <f t="shared" si="214"/>
        <v>2</v>
      </c>
      <c r="EI83" s="5"/>
      <c r="EJ83" s="5" t="str">
        <f t="shared" si="215"/>
        <v>RES</v>
      </c>
      <c r="EK83" s="5" t="str">
        <f t="shared" si="216"/>
        <v>RES</v>
      </c>
      <c r="EL83" s="5" t="str">
        <f t="shared" si="217"/>
        <v>RES</v>
      </c>
      <c r="EM83" s="5" t="str">
        <f t="shared" si="218"/>
        <v>SUP</v>
      </c>
      <c r="EN83" s="5" t="str">
        <f t="shared" si="219"/>
        <v>SUP</v>
      </c>
      <c r="EO83" s="5" t="str">
        <f t="shared" si="220"/>
        <v>RES</v>
      </c>
      <c r="EP83" s="5"/>
      <c r="EQ83" s="8">
        <f t="shared" si="221"/>
        <v>4.1234144489670632E-4</v>
      </c>
      <c r="ER83" s="8">
        <f t="shared" si="222"/>
        <v>6.2832982079512279E-4</v>
      </c>
      <c r="ES83" s="8">
        <f t="shared" si="223"/>
        <v>2.33660152108177E-3</v>
      </c>
      <c r="ET83" s="8">
        <f t="shared" si="224"/>
        <v>-1.0864869817915047E-3</v>
      </c>
      <c r="EU83" s="8">
        <f t="shared" si="225"/>
        <v>-1.3155655622896954E-3</v>
      </c>
      <c r="EV83" s="8">
        <f t="shared" si="226"/>
        <v>6.8723574149457257E-4</v>
      </c>
      <c r="EW83" s="8"/>
      <c r="EX83" s="8">
        <f t="shared" si="227"/>
        <v>0.36021505376343377</v>
      </c>
      <c r="EY83" s="9">
        <f t="shared" si="228"/>
        <v>4</v>
      </c>
      <c r="EZ83" s="10">
        <f t="shared" si="229"/>
        <v>2</v>
      </c>
      <c r="FA83" s="8">
        <f t="shared" si="258"/>
        <v>2.33660152108177E-3</v>
      </c>
      <c r="FB83" s="8">
        <f t="shared" si="259"/>
        <v>6.8723574149457257E-4</v>
      </c>
      <c r="FC83" s="8">
        <f t="shared" si="260"/>
        <v>6.2832982079512279E-4</v>
      </c>
      <c r="FD83" s="8">
        <f t="shared" si="261"/>
        <v>4.1234144489670632E-4</v>
      </c>
      <c r="FE83" s="8">
        <f t="shared" si="262"/>
        <v>-1.0864869817915047E-3</v>
      </c>
      <c r="FF83" s="8">
        <f t="shared" si="263"/>
        <v>-1.3155655622896954E-3</v>
      </c>
      <c r="FG83" s="5"/>
      <c r="FH83" s="5" t="str">
        <f t="shared" si="230"/>
        <v>Flat Momentum</v>
      </c>
      <c r="FI83" s="5" t="str">
        <f t="shared" si="264"/>
        <v>-----</v>
      </c>
      <c r="FJ83" s="5"/>
      <c r="FK83" s="5" t="str">
        <f t="shared" si="265"/>
        <v>-----</v>
      </c>
      <c r="FL83" s="5" t="str">
        <f t="shared" si="266"/>
        <v>-----</v>
      </c>
      <c r="FM83" s="5"/>
      <c r="FN83" s="5"/>
      <c r="FO83" s="8" t="str">
        <f t="shared" si="279"/>
        <v>Bearish</v>
      </c>
      <c r="FP83" s="8"/>
      <c r="FQ83" s="14">
        <f t="shared" si="231"/>
        <v>-1.7015595447662018E-4</v>
      </c>
      <c r="FR83" s="14">
        <f t="shared" si="232"/>
        <v>0.80794665288690137</v>
      </c>
      <c r="FS83" s="14" t="str">
        <f t="shared" si="233"/>
        <v>-----</v>
      </c>
      <c r="FT83" s="14" t="str">
        <f t="shared" si="234"/>
        <v>Bullish</v>
      </c>
      <c r="FU83" s="5" t="str">
        <f t="shared" si="267"/>
        <v>-----</v>
      </c>
      <c r="FV83" s="5" t="str">
        <f t="shared" si="268"/>
        <v>TEMA crossunder</v>
      </c>
      <c r="FW83" s="5"/>
      <c r="FX83" s="15" t="str">
        <f t="shared" si="116"/>
        <v>YES</v>
      </c>
      <c r="FY83" s="15" t="str">
        <f t="shared" si="117"/>
        <v>-----</v>
      </c>
      <c r="FZ83" s="15" t="str">
        <f t="shared" si="118"/>
        <v>-----</v>
      </c>
      <c r="GA83" s="15" t="str">
        <f t="shared" si="119"/>
        <v>YES</v>
      </c>
      <c r="GB83" s="16" t="str">
        <f t="shared" si="274"/>
        <v>-----</v>
      </c>
      <c r="GC83" s="16" t="str">
        <f t="shared" si="275"/>
        <v>-----</v>
      </c>
      <c r="GD83" s="16" t="str">
        <f t="shared" si="276"/>
        <v>-----</v>
      </c>
      <c r="GE83" s="16" t="str">
        <f t="shared" si="278"/>
        <v>-----</v>
      </c>
      <c r="GF83" s="15" t="str">
        <f t="shared" si="277"/>
        <v>-----</v>
      </c>
      <c r="GG83" s="16" t="str">
        <f t="shared" si="120"/>
        <v>-----</v>
      </c>
      <c r="GH83" s="14"/>
      <c r="GI83" s="5" t="str">
        <f t="shared" si="235"/>
        <v>-----</v>
      </c>
      <c r="GJ83" s="5" t="str">
        <f t="shared" si="236"/>
        <v>-----</v>
      </c>
      <c r="GK83" s="5"/>
      <c r="GL83" s="5" t="str">
        <f t="shared" si="237"/>
        <v>-----</v>
      </c>
      <c r="GM83" s="5" t="str">
        <f t="shared" si="238"/>
        <v>-----</v>
      </c>
      <c r="GN83" s="5"/>
      <c r="GO83" s="12">
        <f t="shared" si="239"/>
        <v>3.2000000000010687E-2</v>
      </c>
      <c r="GP83" s="5">
        <f t="shared" si="269"/>
        <v>-1.0089516652431614</v>
      </c>
      <c r="GQ83" s="13" t="str">
        <f t="shared" si="270"/>
        <v>-----</v>
      </c>
      <c r="GR83" s="5"/>
      <c r="GS83">
        <f t="shared" si="271"/>
        <v>-0.78369651634313409</v>
      </c>
      <c r="GT83" s="5" t="str">
        <f t="shared" si="272"/>
        <v>-----</v>
      </c>
    </row>
    <row r="84" spans="1:202" x14ac:dyDescent="0.55000000000000004">
      <c r="A84">
        <v>80</v>
      </c>
      <c r="B84" t="s">
        <v>83</v>
      </c>
      <c r="C84" t="s">
        <v>4</v>
      </c>
      <c r="D84" t="s">
        <v>103</v>
      </c>
      <c r="E84">
        <v>152.786</v>
      </c>
      <c r="F84">
        <v>152.816</v>
      </c>
      <c r="G84">
        <v>152.786</v>
      </c>
      <c r="H84">
        <v>152.81399999999999</v>
      </c>
      <c r="I84">
        <v>158</v>
      </c>
      <c r="J84">
        <v>152.84700000000001</v>
      </c>
      <c r="K84">
        <v>152.88200000000001</v>
      </c>
      <c r="L84">
        <v>153.14099999999999</v>
      </c>
      <c r="M84">
        <v>152.62100000000001</v>
      </c>
      <c r="N84">
        <v>152.58500000000001</v>
      </c>
      <c r="O84">
        <v>152.893</v>
      </c>
      <c r="P84">
        <v>0</v>
      </c>
      <c r="Q84">
        <v>0</v>
      </c>
      <c r="R84">
        <v>0</v>
      </c>
      <c r="S84">
        <v>0</v>
      </c>
      <c r="T84">
        <v>0</v>
      </c>
      <c r="U84">
        <v>0.39807999999999999</v>
      </c>
      <c r="V84">
        <v>0</v>
      </c>
      <c r="W84">
        <v>153.08064999999999</v>
      </c>
      <c r="X84">
        <v>153.00163000000001</v>
      </c>
      <c r="Y84">
        <v>152.92260999999999</v>
      </c>
      <c r="Z84">
        <v>152.84359000000001</v>
      </c>
      <c r="AA84">
        <v>152.76458</v>
      </c>
      <c r="AB84">
        <v>152.73344</v>
      </c>
      <c r="AC84">
        <v>152.65441999999999</v>
      </c>
      <c r="AD84">
        <v>152.5754</v>
      </c>
      <c r="AE84">
        <v>152.49637999999999</v>
      </c>
      <c r="AF84">
        <v>152.41736</v>
      </c>
      <c r="AG84">
        <v>152.804</v>
      </c>
      <c r="AH84">
        <v>152.78</v>
      </c>
      <c r="AI84">
        <v>152.80099999999999</v>
      </c>
      <c r="AJ84">
        <v>152.89400000000001</v>
      </c>
      <c r="AK84">
        <v>152.81800000000001</v>
      </c>
      <c r="AL84">
        <v>152.78800000000001</v>
      </c>
      <c r="AM84" s="11">
        <f t="shared" si="179"/>
        <v>3.0000000000001137E-2</v>
      </c>
      <c r="AN84" s="11">
        <f t="shared" si="240"/>
        <v>3.0000000000001137E-2</v>
      </c>
      <c r="AO84" s="11">
        <f t="shared" si="241"/>
        <v>0</v>
      </c>
      <c r="AP84" s="11">
        <f t="shared" si="242"/>
        <v>3.0000000000001137E-2</v>
      </c>
      <c r="AR84" s="5" t="str">
        <f t="shared" si="180"/>
        <v>------</v>
      </c>
      <c r="AS84" s="5" t="str">
        <f t="shared" si="181"/>
        <v>------</v>
      </c>
      <c r="AT84" t="str">
        <f t="shared" si="182"/>
        <v/>
      </c>
      <c r="AV84" s="2">
        <f t="shared" si="183"/>
        <v>152.86992705000003</v>
      </c>
      <c r="AW84" s="2">
        <f t="shared" si="184"/>
        <v>152.82407295000002</v>
      </c>
      <c r="AX84" s="2">
        <f t="shared" si="185"/>
        <v>152.90493230000001</v>
      </c>
      <c r="AY84" s="2">
        <f t="shared" si="186"/>
        <v>152.8590677</v>
      </c>
      <c r="AZ84" s="2">
        <f t="shared" si="187"/>
        <v>153.16397115000001</v>
      </c>
      <c r="BA84" s="2">
        <f t="shared" si="188"/>
        <v>153.11802885</v>
      </c>
      <c r="BB84" s="2">
        <f t="shared" si="189"/>
        <v>152.64389315000003</v>
      </c>
      <c r="BC84" s="2">
        <f t="shared" si="190"/>
        <v>152.59810685000002</v>
      </c>
      <c r="BD84" s="2">
        <f t="shared" si="191"/>
        <v>152.60788775000003</v>
      </c>
      <c r="BE84" s="2">
        <f t="shared" si="192"/>
        <v>152.56211225000001</v>
      </c>
      <c r="BF84" s="2">
        <f t="shared" si="193"/>
        <v>152.91593395000001</v>
      </c>
      <c r="BG84" s="2">
        <f t="shared" si="194"/>
        <v>152.87006604999999</v>
      </c>
      <c r="BI84" s="5" t="str">
        <f t="shared" si="243"/>
        <v>-----</v>
      </c>
      <c r="BJ84" s="5" t="str">
        <f t="shared" si="244"/>
        <v>-----</v>
      </c>
      <c r="BK84" s="5" t="str">
        <f t="shared" si="245"/>
        <v>-----</v>
      </c>
      <c r="BL84" s="5" t="str">
        <f t="shared" si="246"/>
        <v>-----</v>
      </c>
      <c r="BM84" s="5" t="str">
        <f t="shared" si="247"/>
        <v>-----</v>
      </c>
      <c r="BN84" s="5" t="str">
        <f t="shared" si="248"/>
        <v>-----</v>
      </c>
      <c r="BO84" s="5"/>
      <c r="BP84" s="5">
        <f t="shared" si="249"/>
        <v>16</v>
      </c>
      <c r="BQ84" s="5">
        <f t="shared" si="249"/>
        <v>16</v>
      </c>
      <c r="BR84" s="5">
        <f t="shared" si="249"/>
        <v>78</v>
      </c>
      <c r="BS84" s="5">
        <f t="shared" si="249"/>
        <v>80</v>
      </c>
      <c r="BT84" s="5">
        <f t="shared" si="249"/>
        <v>80</v>
      </c>
      <c r="BU84" s="5">
        <f t="shared" si="249"/>
        <v>16</v>
      </c>
      <c r="BV84" s="5">
        <f t="shared" si="250"/>
        <v>2</v>
      </c>
      <c r="BW84" s="5">
        <f t="shared" si="250"/>
        <v>2</v>
      </c>
      <c r="BX84" s="5">
        <f t="shared" si="250"/>
        <v>2</v>
      </c>
      <c r="BY84" s="5">
        <f t="shared" si="250"/>
        <v>0</v>
      </c>
      <c r="BZ84" s="5">
        <f t="shared" si="250"/>
        <v>0</v>
      </c>
      <c r="CA84" s="5">
        <f t="shared" si="250"/>
        <v>7</v>
      </c>
      <c r="CB84" s="5" t="str">
        <f t="shared" si="273"/>
        <v>-----</v>
      </c>
      <c r="CC84" s="5" t="str">
        <f t="shared" si="273"/>
        <v>-----</v>
      </c>
      <c r="CD84" s="5" t="str">
        <f t="shared" si="273"/>
        <v>-----</v>
      </c>
      <c r="CE84" s="5" t="str">
        <f t="shared" si="273"/>
        <v>-----</v>
      </c>
      <c r="CF84" s="5" t="str">
        <f t="shared" si="273"/>
        <v>-----</v>
      </c>
      <c r="CG84" s="5" t="str">
        <f t="shared" si="195"/>
        <v>-----</v>
      </c>
      <c r="CH84" s="5"/>
      <c r="CI84" s="17" t="str">
        <f t="shared" si="196"/>
        <v>-----</v>
      </c>
      <c r="CJ84" s="17" t="str">
        <f t="shared" si="197"/>
        <v>-----</v>
      </c>
      <c r="CK84" s="17" t="str">
        <f t="shared" si="198"/>
        <v>-----</v>
      </c>
      <c r="CL84" s="17" t="str">
        <f t="shared" si="199"/>
        <v>-----</v>
      </c>
      <c r="CM84" s="17" t="str">
        <f t="shared" si="200"/>
        <v>-----</v>
      </c>
      <c r="CN84" s="17" t="str">
        <f t="shared" si="201"/>
        <v>-----</v>
      </c>
      <c r="CO84" s="5"/>
      <c r="CP84" s="5" t="str">
        <f t="shared" si="177"/>
        <v>-----</v>
      </c>
      <c r="CQ84" s="5" t="str">
        <f t="shared" si="177"/>
        <v>-----</v>
      </c>
      <c r="CR84" s="5" t="str">
        <f t="shared" si="177"/>
        <v>-----</v>
      </c>
      <c r="CS84" s="5" t="str">
        <f t="shared" si="177"/>
        <v>-----</v>
      </c>
      <c r="CT84" s="5" t="str">
        <f t="shared" si="177"/>
        <v>-----</v>
      </c>
      <c r="CU84" s="5" t="str">
        <f t="shared" si="177"/>
        <v>-----</v>
      </c>
      <c r="CV84" s="5"/>
      <c r="CW84" s="17" t="str">
        <f t="shared" si="178"/>
        <v/>
      </c>
      <c r="CX84" s="17" t="str">
        <f t="shared" si="178"/>
        <v/>
      </c>
      <c r="CY84" s="17" t="str">
        <f t="shared" si="178"/>
        <v/>
      </c>
      <c r="CZ84" s="17" t="str">
        <f t="shared" si="178"/>
        <v/>
      </c>
      <c r="DA84" s="17" t="str">
        <f t="shared" si="178"/>
        <v/>
      </c>
      <c r="DB84" s="17" t="str">
        <f t="shared" si="178"/>
        <v/>
      </c>
      <c r="DC84" s="8"/>
      <c r="DD84" s="5">
        <f t="shared" si="202"/>
        <v>0</v>
      </c>
      <c r="DE84" s="17" t="str">
        <f t="shared" si="251"/>
        <v>-----</v>
      </c>
      <c r="DF84" s="5" t="str" cm="1">
        <f t="array" ref="DF84">_xlfn.IFS(DE84=CW84,CP84,DE84=CX84,CQ84,DE84=CY84,CR84,DE84=CZ84,CS84,DE84=DA84,CT84,DE84=DB84,CU84,TRUE,"----- ")</f>
        <v xml:space="preserve">----- </v>
      </c>
      <c r="DG84" s="5"/>
      <c r="DH84" s="5">
        <f t="shared" si="252"/>
        <v>-2.423265306122455E-3</v>
      </c>
      <c r="DI84" s="5">
        <f t="shared" si="253"/>
        <v>-3.7194805194805478E-4</v>
      </c>
      <c r="DJ84" s="5">
        <f t="shared" si="254"/>
        <v>-1.6402721088435472E-3</v>
      </c>
      <c r="DK84" s="5">
        <f t="shared" si="255"/>
        <v>7.6471243042669956E-4</v>
      </c>
      <c r="DL84" s="5">
        <f t="shared" si="256"/>
        <v>-2.3081014223875058E-4</v>
      </c>
      <c r="DM84" s="5">
        <f t="shared" si="257"/>
        <v>1.5802844774273381E-3</v>
      </c>
      <c r="DO84" s="5">
        <f t="shared" si="203"/>
        <v>-1.9079214597220278</v>
      </c>
      <c r="DP84" s="5">
        <f t="shared" si="204"/>
        <v>-0.29295343676527091</v>
      </c>
      <c r="DQ84" s="5">
        <f t="shared" si="205"/>
        <v>-1.2917022253843653</v>
      </c>
      <c r="DR84" s="5">
        <f t="shared" si="206"/>
        <v>0.60228527619529781</v>
      </c>
      <c r="DS84" s="5">
        <f t="shared" si="207"/>
        <v>-0.18179147971962978</v>
      </c>
      <c r="DT84" s="5">
        <f t="shared" si="208"/>
        <v>1.2444775446344229</v>
      </c>
      <c r="DV84" t="str" cm="1">
        <f t="array" ref="DV84">_xlfn.IFS(DO84&gt;3,"Strong + Slope",DO84&gt;1.5,"Moderate + Slope",DO84&gt;0.5,"Sideway + Slope",DO84&gt;=-0.5,"Sideway Flat",DO84&gt;=-1.5,"Sideway - Slope",DO84&gt;=-3,"Moderate - Slope",TRUE,"Strong - Slope")</f>
        <v>Moderate - Slope</v>
      </c>
      <c r="DW84" t="str" cm="1">
        <f t="array" ref="DW84">_xlfn.IFS(DP84&gt;3,"Strong + Slope",DP84&gt;1.5,"Moderate + Slope",DP84&gt;0.5,"Sideway + Slope",DP84&gt;=-0.5,"Sideway Flat",DP84&gt;=-1.5,"Sideway - Slope",DP84&gt;=-3,"Moderate - Slope",TRUE,"Strong - Slope")</f>
        <v>Sideway Flat</v>
      </c>
      <c r="DX84" t="str" cm="1">
        <f t="array" ref="DX84">_xlfn.IFS(DQ84&gt;3,"Strong + Slope",DQ84&gt;1.5,"Moderate + Slope",DQ84&gt;0.5,"Sideway + Slope",DQ84&gt;=-0.5,"Sideway Flat",DQ84&gt;=-1.5,"Sideway - Slope",DQ84&gt;=-3,"Moderate - Slope",TRUE,"Strong - Slope")</f>
        <v>Sideway - Slope</v>
      </c>
      <c r="DY84" t="str" cm="1">
        <f t="array" ref="DY84">_xlfn.IFS(DR84&gt;3,"Strong + Slope",DR84&gt;1.5,"Moderate + Slope",DR84&gt;0.5,"Sideway + Slope",DR84&gt;=-0.5,"Sideway Flat",DR84&gt;=-1.5,"Sideway - Slope",DR84&gt;=-3,"Moderate - Slope",TRUE,"Strong - Slope")</f>
        <v>Sideway + Slope</v>
      </c>
      <c r="DZ84" t="str" cm="1">
        <f t="array" ref="DZ84">_xlfn.IFS(DS84&gt;3,"Strong + Slope",DS84&gt;1.5,"Moderate + Slope",DS84&gt;0.5,"Sideway + Slope",DS84&gt;=-0.5,"Sideway Flat",DS84&gt;=-1.5,"Sideway - Slope",DS84&gt;=-3,"Moderate - Slope",TRUE,"Strong - Slope")</f>
        <v>Sideway Flat</v>
      </c>
      <c r="EA84" t="str" cm="1">
        <f t="array" ref="EA84">_xlfn.IFS(DT84&gt;3,"Strong + Slope",DT84&gt;1.5,"Moderate + Slope",DT84&gt;0.5,"Sideway + Slope",DT84&gt;=-0.5,"Sideway Flat",DT84&gt;=-1.5,"Sideway - Slope",DT84&gt;=-3,"Moderate - Slope",TRUE,"Strong - Slope")</f>
        <v>Sideway + Slope</v>
      </c>
      <c r="EB84" s="5"/>
      <c r="EC84" s="5">
        <f t="shared" si="209"/>
        <v>4</v>
      </c>
      <c r="ED84" s="5">
        <f t="shared" si="210"/>
        <v>3</v>
      </c>
      <c r="EE84" s="5">
        <f t="shared" si="211"/>
        <v>1</v>
      </c>
      <c r="EF84" s="5">
        <f t="shared" si="212"/>
        <v>5</v>
      </c>
      <c r="EG84" s="5">
        <f t="shared" si="213"/>
        <v>6</v>
      </c>
      <c r="EH84" s="5">
        <f t="shared" si="214"/>
        <v>2</v>
      </c>
      <c r="EI84" s="5"/>
      <c r="EJ84" s="5" t="str">
        <f t="shared" si="215"/>
        <v>RES</v>
      </c>
      <c r="EK84" s="5" t="str">
        <f t="shared" si="216"/>
        <v>RES</v>
      </c>
      <c r="EL84" s="5" t="str">
        <f t="shared" si="217"/>
        <v>RES</v>
      </c>
      <c r="EM84" s="5" t="str">
        <f t="shared" si="218"/>
        <v>SUP</v>
      </c>
      <c r="EN84" s="5" t="str">
        <f t="shared" si="219"/>
        <v>SUP</v>
      </c>
      <c r="EO84" s="5" t="str">
        <f t="shared" si="220"/>
        <v>RES</v>
      </c>
      <c r="EP84" s="5"/>
      <c r="EQ84" s="8">
        <f t="shared" si="221"/>
        <v>2.1594880050267295E-4</v>
      </c>
      <c r="ER84" s="8">
        <f t="shared" si="222"/>
        <v>4.4498540709628735E-4</v>
      </c>
      <c r="ES84" s="8">
        <f t="shared" si="223"/>
        <v>2.1398562958891082E-3</v>
      </c>
      <c r="ET84" s="8">
        <f t="shared" si="224"/>
        <v>-1.262973287787661E-3</v>
      </c>
      <c r="EU84" s="8">
        <f t="shared" si="225"/>
        <v>-1.4985537974268391E-3</v>
      </c>
      <c r="EV84" s="8">
        <f t="shared" si="226"/>
        <v>5.1696834059711629E-4</v>
      </c>
      <c r="EW84" s="8"/>
      <c r="EX84" s="8">
        <f t="shared" si="227"/>
        <v>0.41187050359710775</v>
      </c>
      <c r="EY84" s="9">
        <f t="shared" si="228"/>
        <v>4</v>
      </c>
      <c r="EZ84" s="10">
        <f t="shared" si="229"/>
        <v>2</v>
      </c>
      <c r="FA84" s="8">
        <f t="shared" si="258"/>
        <v>2.1398562958891082E-3</v>
      </c>
      <c r="FB84" s="8">
        <f t="shared" si="259"/>
        <v>5.1696834059711629E-4</v>
      </c>
      <c r="FC84" s="8">
        <f t="shared" si="260"/>
        <v>4.4498540709628735E-4</v>
      </c>
      <c r="FD84" s="8">
        <f t="shared" si="261"/>
        <v>2.1594880050267295E-4</v>
      </c>
      <c r="FE84" s="8">
        <f t="shared" si="262"/>
        <v>-1.262973287787661E-3</v>
      </c>
      <c r="FF84" s="8">
        <f t="shared" si="263"/>
        <v>-1.4985537974268391E-3</v>
      </c>
      <c r="FG84" s="5"/>
      <c r="FH84" s="5" t="str">
        <f t="shared" si="230"/>
        <v>Flat Momentum</v>
      </c>
      <c r="FI84" s="5" t="str">
        <f t="shared" si="264"/>
        <v>-----</v>
      </c>
      <c r="FJ84" s="5"/>
      <c r="FK84" s="5" t="str">
        <f t="shared" si="265"/>
        <v>-----</v>
      </c>
      <c r="FL84" s="5" t="str">
        <f t="shared" si="266"/>
        <v>-----</v>
      </c>
      <c r="FM84" s="5"/>
      <c r="FN84" s="5"/>
      <c r="FO84" s="8" t="str">
        <f t="shared" si="279"/>
        <v>Bearish</v>
      </c>
      <c r="FP84" s="8"/>
      <c r="FQ84" s="14">
        <f t="shared" si="231"/>
        <v>-1.3743365553881576E-4</v>
      </c>
      <c r="FR84" s="14">
        <f t="shared" si="232"/>
        <v>0.90231949001127498</v>
      </c>
      <c r="FS84" s="14" t="str">
        <f t="shared" si="233"/>
        <v>-----</v>
      </c>
      <c r="FT84" s="14" t="str">
        <f t="shared" si="234"/>
        <v>Bullish</v>
      </c>
      <c r="FU84" s="5" t="str">
        <f t="shared" si="267"/>
        <v>TEMA crossover</v>
      </c>
      <c r="FV84" s="5" t="str">
        <f t="shared" si="268"/>
        <v>-----</v>
      </c>
      <c r="FW84" s="5"/>
      <c r="FX84" s="15" t="str">
        <f t="shared" si="116"/>
        <v>YES</v>
      </c>
      <c r="FY84" s="15" t="str">
        <f t="shared" si="117"/>
        <v>-----</v>
      </c>
      <c r="FZ84" s="15" t="str">
        <f t="shared" si="118"/>
        <v>YES</v>
      </c>
      <c r="GA84" s="15" t="str">
        <f t="shared" si="119"/>
        <v>YES</v>
      </c>
      <c r="GB84" s="16" t="str">
        <f t="shared" si="274"/>
        <v>-----</v>
      </c>
      <c r="GC84" s="16" t="str">
        <f t="shared" si="275"/>
        <v>-----</v>
      </c>
      <c r="GD84" s="16" t="str">
        <f t="shared" si="276"/>
        <v>-----</v>
      </c>
      <c r="GE84" s="16" t="str">
        <f t="shared" si="278"/>
        <v>YES</v>
      </c>
      <c r="GF84" s="15" t="str">
        <f t="shared" si="277"/>
        <v>-----</v>
      </c>
      <c r="GG84" s="16" t="str">
        <f t="shared" si="120"/>
        <v>-----</v>
      </c>
      <c r="GH84" s="14"/>
      <c r="GI84" s="5" t="str">
        <f t="shared" si="235"/>
        <v>-----</v>
      </c>
      <c r="GJ84" s="5" t="str">
        <f t="shared" si="236"/>
        <v>-----</v>
      </c>
      <c r="GK84" s="5"/>
      <c r="GL84" s="5" t="str">
        <f t="shared" si="237"/>
        <v>-----</v>
      </c>
      <c r="GM84" s="5" t="str">
        <f t="shared" si="238"/>
        <v>-----</v>
      </c>
      <c r="GN84" s="5"/>
      <c r="GO84" s="12">
        <f t="shared" si="239"/>
        <v>3.0000000000001137E-2</v>
      </c>
      <c r="GP84" s="5">
        <f t="shared" si="269"/>
        <v>-1.0550459037570374</v>
      </c>
      <c r="GQ84" s="13" t="str">
        <f t="shared" si="270"/>
        <v>-----</v>
      </c>
      <c r="GR84" s="5"/>
      <c r="GS84">
        <f t="shared" si="271"/>
        <v>-0.8417746662276665</v>
      </c>
      <c r="GT84" s="5" t="str">
        <f t="shared" si="272"/>
        <v>-----</v>
      </c>
    </row>
    <row r="85" spans="1:202" x14ac:dyDescent="0.55000000000000004">
      <c r="A85">
        <v>81</v>
      </c>
      <c r="B85" t="s">
        <v>84</v>
      </c>
      <c r="C85" t="s">
        <v>4</v>
      </c>
      <c r="D85" t="s">
        <v>103</v>
      </c>
      <c r="E85">
        <v>152.81299999999999</v>
      </c>
      <c r="F85">
        <v>152.81800000000001</v>
      </c>
      <c r="G85">
        <v>152.78700000000001</v>
      </c>
      <c r="H85">
        <v>152.78700000000001</v>
      </c>
      <c r="I85">
        <v>148</v>
      </c>
      <c r="J85">
        <v>152.84399999999999</v>
      </c>
      <c r="K85">
        <v>152.881</v>
      </c>
      <c r="L85">
        <v>153.13999999999999</v>
      </c>
      <c r="M85">
        <v>152.62100000000001</v>
      </c>
      <c r="N85">
        <v>152.584</v>
      </c>
      <c r="O85">
        <v>152.89400000000001</v>
      </c>
      <c r="P85">
        <v>0</v>
      </c>
      <c r="Q85">
        <v>0</v>
      </c>
      <c r="R85">
        <v>0</v>
      </c>
      <c r="S85">
        <v>0</v>
      </c>
      <c r="T85">
        <v>0</v>
      </c>
      <c r="U85">
        <v>0.44428000000000001</v>
      </c>
      <c r="V85">
        <v>3</v>
      </c>
      <c r="W85">
        <v>153.07875000000001</v>
      </c>
      <c r="X85">
        <v>153.00031000000001</v>
      </c>
      <c r="Y85">
        <v>152.92187000000001</v>
      </c>
      <c r="Z85">
        <v>152.84343999999999</v>
      </c>
      <c r="AA85">
        <v>152.76499999999999</v>
      </c>
      <c r="AB85">
        <v>152.73475999999999</v>
      </c>
      <c r="AC85">
        <v>152.65631999999999</v>
      </c>
      <c r="AD85">
        <v>152.57787999999999</v>
      </c>
      <c r="AE85">
        <v>152.49943999999999</v>
      </c>
      <c r="AF85">
        <v>152.42099999999999</v>
      </c>
      <c r="AG85">
        <v>152.804</v>
      </c>
      <c r="AH85">
        <v>152.78399999999999</v>
      </c>
      <c r="AI85">
        <v>152.80099999999999</v>
      </c>
      <c r="AJ85">
        <v>152.89099999999999</v>
      </c>
      <c r="AK85">
        <v>152.821</v>
      </c>
      <c r="AL85">
        <v>152.79</v>
      </c>
      <c r="AM85" s="11">
        <f t="shared" si="179"/>
        <v>3.1000000000005912E-2</v>
      </c>
      <c r="AN85" s="11">
        <f t="shared" si="240"/>
        <v>4.0000000000190994E-3</v>
      </c>
      <c r="AO85" s="11">
        <f t="shared" si="241"/>
        <v>2.6999999999986812E-2</v>
      </c>
      <c r="AP85" s="11">
        <f t="shared" si="242"/>
        <v>3.1000000000005912E-2</v>
      </c>
      <c r="AR85" s="5" t="str">
        <f t="shared" si="180"/>
        <v>------</v>
      </c>
      <c r="AS85" s="5" t="str">
        <f t="shared" si="181"/>
        <v>------</v>
      </c>
      <c r="AT85" t="str">
        <f t="shared" si="182"/>
        <v/>
      </c>
      <c r="AV85" s="2">
        <f t="shared" si="183"/>
        <v>152.8669266</v>
      </c>
      <c r="AW85" s="2">
        <f t="shared" si="184"/>
        <v>152.82107339999999</v>
      </c>
      <c r="AX85" s="2">
        <f t="shared" si="185"/>
        <v>152.90393215</v>
      </c>
      <c r="AY85" s="2">
        <f t="shared" si="186"/>
        <v>152.85806785</v>
      </c>
      <c r="AZ85" s="2">
        <f t="shared" si="187"/>
        <v>153.162971</v>
      </c>
      <c r="BA85" s="2">
        <f t="shared" si="188"/>
        <v>153.117029</v>
      </c>
      <c r="BB85" s="2">
        <f t="shared" si="189"/>
        <v>152.64389315000003</v>
      </c>
      <c r="BC85" s="2">
        <f t="shared" si="190"/>
        <v>152.59810685000002</v>
      </c>
      <c r="BD85" s="2">
        <f t="shared" si="191"/>
        <v>152.60688760000002</v>
      </c>
      <c r="BE85" s="2">
        <f t="shared" si="192"/>
        <v>152.56111240000001</v>
      </c>
      <c r="BF85" s="2">
        <f t="shared" si="193"/>
        <v>152.91693410000002</v>
      </c>
      <c r="BG85" s="2">
        <f t="shared" si="194"/>
        <v>152.87106590000002</v>
      </c>
      <c r="BI85" s="5" t="str">
        <f t="shared" si="243"/>
        <v>-----</v>
      </c>
      <c r="BJ85" s="5" t="str">
        <f t="shared" si="244"/>
        <v>-----</v>
      </c>
      <c r="BK85" s="5" t="str">
        <f t="shared" si="245"/>
        <v>-----</v>
      </c>
      <c r="BL85" s="5" t="str">
        <f t="shared" si="246"/>
        <v>-----</v>
      </c>
      <c r="BM85" s="5" t="str">
        <f t="shared" si="247"/>
        <v>-----</v>
      </c>
      <c r="BN85" s="5" t="str">
        <f t="shared" si="248"/>
        <v>-----</v>
      </c>
      <c r="BO85" s="5"/>
      <c r="BP85" s="5">
        <f t="shared" si="249"/>
        <v>17</v>
      </c>
      <c r="BQ85" s="5">
        <f t="shared" si="249"/>
        <v>17</v>
      </c>
      <c r="BR85" s="5">
        <f t="shared" si="249"/>
        <v>79</v>
      </c>
      <c r="BS85" s="5">
        <f t="shared" si="249"/>
        <v>81</v>
      </c>
      <c r="BT85" s="5">
        <f t="shared" si="249"/>
        <v>81</v>
      </c>
      <c r="BU85" s="5">
        <f t="shared" si="249"/>
        <v>17</v>
      </c>
      <c r="BV85" s="5">
        <f t="shared" si="250"/>
        <v>2</v>
      </c>
      <c r="BW85" s="5">
        <f t="shared" si="250"/>
        <v>2</v>
      </c>
      <c r="BX85" s="5">
        <f t="shared" si="250"/>
        <v>2</v>
      </c>
      <c r="BY85" s="5">
        <f t="shared" si="250"/>
        <v>0</v>
      </c>
      <c r="BZ85" s="5">
        <f t="shared" si="250"/>
        <v>0</v>
      </c>
      <c r="CA85" s="5">
        <f t="shared" si="250"/>
        <v>7</v>
      </c>
      <c r="CB85" s="5" t="str">
        <f t="shared" si="273"/>
        <v>-----</v>
      </c>
      <c r="CC85" s="5" t="str">
        <f t="shared" si="273"/>
        <v>-----</v>
      </c>
      <c r="CD85" s="5" t="str">
        <f t="shared" si="273"/>
        <v>-----</v>
      </c>
      <c r="CE85" s="5" t="str">
        <f t="shared" si="273"/>
        <v>-----</v>
      </c>
      <c r="CF85" s="5" t="str">
        <f t="shared" si="273"/>
        <v>-----</v>
      </c>
      <c r="CG85" s="5" t="str">
        <f t="shared" si="195"/>
        <v>-----</v>
      </c>
      <c r="CH85" s="5"/>
      <c r="CI85" s="17" t="str">
        <f t="shared" si="196"/>
        <v>-----</v>
      </c>
      <c r="CJ85" s="17" t="str">
        <f t="shared" si="197"/>
        <v>-----</v>
      </c>
      <c r="CK85" s="17" t="str">
        <f t="shared" si="198"/>
        <v>-----</v>
      </c>
      <c r="CL85" s="17" t="str">
        <f t="shared" si="199"/>
        <v>-----</v>
      </c>
      <c r="CM85" s="17" t="str">
        <f t="shared" si="200"/>
        <v>-----</v>
      </c>
      <c r="CN85" s="17" t="str">
        <f t="shared" si="201"/>
        <v>-----</v>
      </c>
      <c r="CO85" s="5"/>
      <c r="CP85" s="5" t="str">
        <f t="shared" si="177"/>
        <v>-----</v>
      </c>
      <c r="CQ85" s="5" t="str">
        <f t="shared" si="177"/>
        <v>-----</v>
      </c>
      <c r="CR85" s="5" t="str">
        <f t="shared" si="177"/>
        <v>-----</v>
      </c>
      <c r="CS85" s="5" t="str">
        <f t="shared" si="177"/>
        <v>-----</v>
      </c>
      <c r="CT85" s="5" t="str">
        <f t="shared" si="177"/>
        <v>-----</v>
      </c>
      <c r="CU85" s="5" t="str">
        <f t="shared" si="177"/>
        <v>-----</v>
      </c>
      <c r="CV85" s="5"/>
      <c r="CW85" s="17" t="str">
        <f t="shared" si="178"/>
        <v/>
      </c>
      <c r="CX85" s="17" t="str">
        <f t="shared" si="178"/>
        <v/>
      </c>
      <c r="CY85" s="17" t="str">
        <f t="shared" si="178"/>
        <v/>
      </c>
      <c r="CZ85" s="17" t="str">
        <f t="shared" si="178"/>
        <v/>
      </c>
      <c r="DA85" s="17" t="str">
        <f t="shared" si="178"/>
        <v/>
      </c>
      <c r="DB85" s="17" t="str">
        <f t="shared" si="178"/>
        <v/>
      </c>
      <c r="DC85" s="8"/>
      <c r="DD85" s="5">
        <f t="shared" si="202"/>
        <v>0</v>
      </c>
      <c r="DE85" s="17" t="str">
        <f t="shared" si="251"/>
        <v>-----</v>
      </c>
      <c r="DF85" s="5" t="str" cm="1">
        <f t="array" ref="DF85">_xlfn.IFS(DE85=CW85,CP85,DE85=CX85,CQ85,DE85=CY85,CR85,DE85=CZ85,CS85,DE85=DA85,CT85,DE85=DB85,CU85,TRUE,"----- ")</f>
        <v xml:space="preserve">----- </v>
      </c>
      <c r="DG85" s="5"/>
      <c r="DH85" s="5">
        <f t="shared" si="252"/>
        <v>-2.423265306122455E-3</v>
      </c>
      <c r="DI85" s="5">
        <f t="shared" si="253"/>
        <v>-3.7194805194805478E-4</v>
      </c>
      <c r="DJ85" s="5">
        <f t="shared" si="254"/>
        <v>-1.6402721088435472E-3</v>
      </c>
      <c r="DK85" s="5">
        <f t="shared" si="255"/>
        <v>7.6471243042669956E-4</v>
      </c>
      <c r="DL85" s="5">
        <f t="shared" si="256"/>
        <v>-2.3081014223875058E-4</v>
      </c>
      <c r="DM85" s="5">
        <f t="shared" si="257"/>
        <v>1.5802844774273381E-3</v>
      </c>
      <c r="DO85" s="5">
        <f t="shared" si="203"/>
        <v>-1.9079214597220278</v>
      </c>
      <c r="DP85" s="5">
        <f t="shared" si="204"/>
        <v>-0.29295343676527091</v>
      </c>
      <c r="DQ85" s="5">
        <f t="shared" si="205"/>
        <v>-1.2917022253843653</v>
      </c>
      <c r="DR85" s="5">
        <f t="shared" si="206"/>
        <v>0.60228527619529781</v>
      </c>
      <c r="DS85" s="5">
        <f t="shared" si="207"/>
        <v>-0.18179147971962978</v>
      </c>
      <c r="DT85" s="5">
        <f t="shared" si="208"/>
        <v>1.2444775446344229</v>
      </c>
      <c r="DV85" t="str" cm="1">
        <f t="array" ref="DV85">_xlfn.IFS(DO85&gt;3,"Strong + Slope",DO85&gt;1.5,"Moderate + Slope",DO85&gt;0.5,"Sideway + Slope",DO85&gt;=-0.5,"Sideway Flat",DO85&gt;=-1.5,"Sideway - Slope",DO85&gt;=-3,"Moderate - Slope",TRUE,"Strong - Slope")</f>
        <v>Moderate - Slope</v>
      </c>
      <c r="DW85" t="str" cm="1">
        <f t="array" ref="DW85">_xlfn.IFS(DP85&gt;3,"Strong + Slope",DP85&gt;1.5,"Moderate + Slope",DP85&gt;0.5,"Sideway + Slope",DP85&gt;=-0.5,"Sideway Flat",DP85&gt;=-1.5,"Sideway - Slope",DP85&gt;=-3,"Moderate - Slope",TRUE,"Strong - Slope")</f>
        <v>Sideway Flat</v>
      </c>
      <c r="DX85" t="str" cm="1">
        <f t="array" ref="DX85">_xlfn.IFS(DQ85&gt;3,"Strong + Slope",DQ85&gt;1.5,"Moderate + Slope",DQ85&gt;0.5,"Sideway + Slope",DQ85&gt;=-0.5,"Sideway Flat",DQ85&gt;=-1.5,"Sideway - Slope",DQ85&gt;=-3,"Moderate - Slope",TRUE,"Strong - Slope")</f>
        <v>Sideway - Slope</v>
      </c>
      <c r="DY85" t="str" cm="1">
        <f t="array" ref="DY85">_xlfn.IFS(DR85&gt;3,"Strong + Slope",DR85&gt;1.5,"Moderate + Slope",DR85&gt;0.5,"Sideway + Slope",DR85&gt;=-0.5,"Sideway Flat",DR85&gt;=-1.5,"Sideway - Slope",DR85&gt;=-3,"Moderate - Slope",TRUE,"Strong - Slope")</f>
        <v>Sideway + Slope</v>
      </c>
      <c r="DZ85" t="str" cm="1">
        <f t="array" ref="DZ85">_xlfn.IFS(DS85&gt;3,"Strong + Slope",DS85&gt;1.5,"Moderate + Slope",DS85&gt;0.5,"Sideway + Slope",DS85&gt;=-0.5,"Sideway Flat",DS85&gt;=-1.5,"Sideway - Slope",DS85&gt;=-3,"Moderate - Slope",TRUE,"Strong - Slope")</f>
        <v>Sideway Flat</v>
      </c>
      <c r="EA85" t="str" cm="1">
        <f t="array" ref="EA85">_xlfn.IFS(DT85&gt;3,"Strong + Slope",DT85&gt;1.5,"Moderate + Slope",DT85&gt;0.5,"Sideway + Slope",DT85&gt;=-0.5,"Sideway Flat",DT85&gt;=-1.5,"Sideway - Slope",DT85&gt;=-3,"Moderate - Slope",TRUE,"Strong - Slope")</f>
        <v>Sideway + Slope</v>
      </c>
      <c r="EB85" s="5"/>
      <c r="EC85" s="5">
        <f t="shared" si="209"/>
        <v>4</v>
      </c>
      <c r="ED85" s="5">
        <f t="shared" si="210"/>
        <v>3</v>
      </c>
      <c r="EE85" s="5">
        <f t="shared" si="211"/>
        <v>1</v>
      </c>
      <c r="EF85" s="5">
        <f t="shared" si="212"/>
        <v>5</v>
      </c>
      <c r="EG85" s="5">
        <f t="shared" si="213"/>
        <v>6</v>
      </c>
      <c r="EH85" s="5">
        <f t="shared" si="214"/>
        <v>2</v>
      </c>
      <c r="EI85" s="5"/>
      <c r="EJ85" s="5" t="str">
        <f t="shared" si="215"/>
        <v>RES</v>
      </c>
      <c r="EK85" s="5" t="str">
        <f t="shared" si="216"/>
        <v>RES</v>
      </c>
      <c r="EL85" s="5" t="str">
        <f t="shared" si="217"/>
        <v>RES</v>
      </c>
      <c r="EM85" s="5" t="str">
        <f t="shared" si="218"/>
        <v>SUP</v>
      </c>
      <c r="EN85" s="5" t="str">
        <f t="shared" si="219"/>
        <v>SUP</v>
      </c>
      <c r="EO85" s="5" t="str">
        <f t="shared" si="220"/>
        <v>RES</v>
      </c>
      <c r="EP85" s="5"/>
      <c r="EQ85" s="8">
        <f t="shared" si="221"/>
        <v>3.7306838932623813E-4</v>
      </c>
      <c r="ER85" s="8">
        <f t="shared" si="222"/>
        <v>6.152355894152911E-4</v>
      </c>
      <c r="ES85" s="8">
        <f t="shared" si="223"/>
        <v>2.3104059900382898E-3</v>
      </c>
      <c r="ET85" s="8">
        <f t="shared" si="224"/>
        <v>-1.0864798706696041E-3</v>
      </c>
      <c r="EU85" s="8">
        <f t="shared" si="225"/>
        <v>-1.328647070758657E-3</v>
      </c>
      <c r="EV85" s="8">
        <f t="shared" si="226"/>
        <v>7.0032136241957304E-4</v>
      </c>
      <c r="EW85" s="8"/>
      <c r="EX85" s="8">
        <f t="shared" si="227"/>
        <v>0.36510791366908113</v>
      </c>
      <c r="EY85" s="9">
        <f t="shared" si="228"/>
        <v>4</v>
      </c>
      <c r="EZ85" s="10">
        <f t="shared" si="229"/>
        <v>2</v>
      </c>
      <c r="FA85" s="8">
        <f t="shared" si="258"/>
        <v>2.3104059900382898E-3</v>
      </c>
      <c r="FB85" s="8">
        <f t="shared" si="259"/>
        <v>7.0032136241957304E-4</v>
      </c>
      <c r="FC85" s="8">
        <f t="shared" si="260"/>
        <v>6.152355894152911E-4</v>
      </c>
      <c r="FD85" s="8">
        <f t="shared" si="261"/>
        <v>3.7306838932623813E-4</v>
      </c>
      <c r="FE85" s="8">
        <f t="shared" si="262"/>
        <v>-1.0864798706696041E-3</v>
      </c>
      <c r="FF85" s="8">
        <f t="shared" si="263"/>
        <v>-1.328647070758657E-3</v>
      </c>
      <c r="FG85" s="5"/>
      <c r="FH85" s="5" t="str">
        <f t="shared" si="230"/>
        <v>Flat Momentum</v>
      </c>
      <c r="FI85" s="5" t="str">
        <f t="shared" si="264"/>
        <v>-----</v>
      </c>
      <c r="FJ85" s="5"/>
      <c r="FK85" s="5" t="str">
        <f t="shared" si="265"/>
        <v>-----</v>
      </c>
      <c r="FL85" s="5" t="str">
        <f t="shared" si="266"/>
        <v>-----</v>
      </c>
      <c r="FM85" s="5"/>
      <c r="FN85" s="5"/>
      <c r="FO85" s="8" t="str">
        <f t="shared" si="279"/>
        <v>Bearish</v>
      </c>
      <c r="FP85" s="8"/>
      <c r="FQ85" s="14">
        <f t="shared" si="231"/>
        <v>-1.1125581638860943E-4</v>
      </c>
      <c r="FR85" s="14">
        <f t="shared" si="232"/>
        <v>0.97781775971066653</v>
      </c>
      <c r="FS85" s="14" t="str">
        <f t="shared" si="233"/>
        <v>-----</v>
      </c>
      <c r="FT85" s="14" t="str">
        <f t="shared" si="234"/>
        <v>Bullish</v>
      </c>
      <c r="FU85" s="5" t="str">
        <f t="shared" si="267"/>
        <v>-----</v>
      </c>
      <c r="FV85" s="5" t="str">
        <f t="shared" si="268"/>
        <v>TEMA crossunder</v>
      </c>
      <c r="FW85" s="5"/>
      <c r="FX85" s="15" t="str">
        <f t="shared" si="116"/>
        <v>YES</v>
      </c>
      <c r="FY85" s="15" t="str">
        <f t="shared" si="117"/>
        <v>-----</v>
      </c>
      <c r="FZ85" s="15" t="str">
        <f t="shared" si="118"/>
        <v>YES</v>
      </c>
      <c r="GA85" s="15" t="str">
        <f t="shared" si="119"/>
        <v>YES</v>
      </c>
      <c r="GB85" s="16" t="str">
        <f t="shared" si="274"/>
        <v>-----</v>
      </c>
      <c r="GC85" s="16" t="str">
        <f t="shared" si="275"/>
        <v>-----</v>
      </c>
      <c r="GD85" s="16" t="str">
        <f t="shared" si="276"/>
        <v>-----</v>
      </c>
      <c r="GE85" s="16" t="str">
        <f t="shared" si="278"/>
        <v>YES</v>
      </c>
      <c r="GF85" s="15" t="str">
        <f t="shared" si="277"/>
        <v>-----</v>
      </c>
      <c r="GG85" s="16" t="str">
        <f t="shared" si="120"/>
        <v>-----</v>
      </c>
      <c r="GH85" s="14"/>
      <c r="GI85" s="5" t="str">
        <f t="shared" si="235"/>
        <v>-----</v>
      </c>
      <c r="GJ85" s="5" t="str">
        <f t="shared" si="236"/>
        <v>Bearish Trigger</v>
      </c>
      <c r="GK85" s="5"/>
      <c r="GL85" s="5" t="str">
        <f t="shared" si="237"/>
        <v>-----</v>
      </c>
      <c r="GM85" s="5" t="str">
        <f t="shared" si="238"/>
        <v>-----</v>
      </c>
      <c r="GN85" s="5"/>
      <c r="GO85" s="12">
        <f t="shared" si="239"/>
        <v>3.1000000000005912E-2</v>
      </c>
      <c r="GP85" s="5">
        <f t="shared" si="269"/>
        <v>-1.0319987845000993</v>
      </c>
      <c r="GQ85" s="13" t="str">
        <f t="shared" si="270"/>
        <v>-----</v>
      </c>
      <c r="GR85" s="5"/>
      <c r="GS85">
        <f t="shared" si="271"/>
        <v>-0.9063059438771468</v>
      </c>
      <c r="GT85" s="5" t="str">
        <f t="shared" si="272"/>
        <v>-----</v>
      </c>
    </row>
    <row r="86" spans="1:202" x14ac:dyDescent="0.55000000000000004">
      <c r="A86">
        <v>82</v>
      </c>
      <c r="B86" t="s">
        <v>85</v>
      </c>
      <c r="C86" t="s">
        <v>4</v>
      </c>
      <c r="D86" t="s">
        <v>103</v>
      </c>
      <c r="E86">
        <v>152.78700000000001</v>
      </c>
      <c r="F86">
        <v>152.79</v>
      </c>
      <c r="G86">
        <v>152.71899999999999</v>
      </c>
      <c r="H86">
        <v>152.72999999999999</v>
      </c>
      <c r="I86">
        <v>209</v>
      </c>
      <c r="J86">
        <v>152.84200000000001</v>
      </c>
      <c r="K86">
        <v>152.881</v>
      </c>
      <c r="L86">
        <v>153.13800000000001</v>
      </c>
      <c r="M86">
        <v>152.62200000000001</v>
      </c>
      <c r="N86">
        <v>152.584</v>
      </c>
      <c r="O86">
        <v>152.89599999999999</v>
      </c>
      <c r="P86">
        <v>0</v>
      </c>
      <c r="Q86">
        <v>0</v>
      </c>
      <c r="R86">
        <v>0</v>
      </c>
      <c r="S86">
        <v>0</v>
      </c>
      <c r="T86">
        <v>0</v>
      </c>
      <c r="U86">
        <v>0.30474000000000001</v>
      </c>
      <c r="V86">
        <v>3</v>
      </c>
      <c r="W86">
        <v>153.07911999999999</v>
      </c>
      <c r="X86">
        <v>153.00058000000001</v>
      </c>
      <c r="Y86">
        <v>152.92204000000001</v>
      </c>
      <c r="Z86">
        <v>152.84351000000001</v>
      </c>
      <c r="AA86">
        <v>152.76497000000001</v>
      </c>
      <c r="AB86">
        <v>152.73453000000001</v>
      </c>
      <c r="AC86">
        <v>152.65599</v>
      </c>
      <c r="AD86">
        <v>152.57746</v>
      </c>
      <c r="AE86">
        <v>152.49892</v>
      </c>
      <c r="AF86">
        <v>152.42037999999999</v>
      </c>
      <c r="AG86">
        <v>152.779</v>
      </c>
      <c r="AH86">
        <v>152.78200000000001</v>
      </c>
      <c r="AI86">
        <v>152.797</v>
      </c>
      <c r="AJ86">
        <v>152.88800000000001</v>
      </c>
      <c r="AK86">
        <v>152.809</v>
      </c>
      <c r="AL86">
        <v>152.75899999999999</v>
      </c>
      <c r="AM86" s="11">
        <f t="shared" si="179"/>
        <v>7.0999999999997954E-2</v>
      </c>
      <c r="AN86" s="11">
        <f t="shared" si="240"/>
        <v>2.9999999999859028E-3</v>
      </c>
      <c r="AO86" s="11">
        <f t="shared" si="241"/>
        <v>6.8000000000012051E-2</v>
      </c>
      <c r="AP86" s="11">
        <f t="shared" si="242"/>
        <v>7.0999999999997954E-2</v>
      </c>
      <c r="AR86" s="5" t="str">
        <f t="shared" si="180"/>
        <v>------</v>
      </c>
      <c r="AS86" s="5" t="str">
        <f t="shared" si="181"/>
        <v>------</v>
      </c>
      <c r="AT86" t="str">
        <f t="shared" si="182"/>
        <v/>
      </c>
      <c r="AV86" s="2">
        <f t="shared" si="183"/>
        <v>152.86492630000004</v>
      </c>
      <c r="AW86" s="2">
        <f t="shared" si="184"/>
        <v>152.81907370000002</v>
      </c>
      <c r="AX86" s="2">
        <f t="shared" si="185"/>
        <v>152.90393215</v>
      </c>
      <c r="AY86" s="2">
        <f t="shared" si="186"/>
        <v>152.85806785</v>
      </c>
      <c r="AZ86" s="2">
        <f t="shared" si="187"/>
        <v>153.16097070000001</v>
      </c>
      <c r="BA86" s="2">
        <f t="shared" si="188"/>
        <v>153.1150293</v>
      </c>
      <c r="BB86" s="2">
        <f t="shared" si="189"/>
        <v>152.64489330000004</v>
      </c>
      <c r="BC86" s="2">
        <f t="shared" si="190"/>
        <v>152.59910670000002</v>
      </c>
      <c r="BD86" s="2">
        <f t="shared" si="191"/>
        <v>152.60688760000002</v>
      </c>
      <c r="BE86" s="2">
        <f t="shared" si="192"/>
        <v>152.56111240000001</v>
      </c>
      <c r="BF86" s="2">
        <f t="shared" si="193"/>
        <v>152.91893440000001</v>
      </c>
      <c r="BG86" s="2">
        <f t="shared" si="194"/>
        <v>152.87306559999999</v>
      </c>
      <c r="BI86" s="5" t="str">
        <f t="shared" si="243"/>
        <v>-----</v>
      </c>
      <c r="BJ86" s="5" t="str">
        <f t="shared" si="244"/>
        <v>-----</v>
      </c>
      <c r="BK86" s="5" t="str">
        <f t="shared" si="245"/>
        <v>-----</v>
      </c>
      <c r="BL86" s="5" t="str">
        <f t="shared" si="246"/>
        <v>-----</v>
      </c>
      <c r="BM86" s="5" t="str">
        <f t="shared" si="247"/>
        <v>-----</v>
      </c>
      <c r="BN86" s="5" t="str">
        <f t="shared" si="248"/>
        <v>-----</v>
      </c>
      <c r="BO86" s="5"/>
      <c r="BP86" s="5">
        <f t="shared" ref="BP86:BU101" si="280">IF(BI86="TOUCH",0,BP85+1)</f>
        <v>18</v>
      </c>
      <c r="BQ86" s="5">
        <f t="shared" si="280"/>
        <v>18</v>
      </c>
      <c r="BR86" s="5">
        <f t="shared" si="280"/>
        <v>80</v>
      </c>
      <c r="BS86" s="5">
        <f t="shared" si="280"/>
        <v>82</v>
      </c>
      <c r="BT86" s="5">
        <f t="shared" si="280"/>
        <v>82</v>
      </c>
      <c r="BU86" s="5">
        <f t="shared" si="280"/>
        <v>18</v>
      </c>
      <c r="BV86" s="5">
        <f t="shared" ref="BV86:CA101" si="281">IF(BI86="TOUCH",IF(BP85&gt;=3,1,BV85+1),BV85)</f>
        <v>2</v>
      </c>
      <c r="BW86" s="5">
        <f t="shared" si="281"/>
        <v>2</v>
      </c>
      <c r="BX86" s="5">
        <f t="shared" si="281"/>
        <v>2</v>
      </c>
      <c r="BY86" s="5">
        <f t="shared" si="281"/>
        <v>0</v>
      </c>
      <c r="BZ86" s="5">
        <f t="shared" si="281"/>
        <v>0</v>
      </c>
      <c r="CA86" s="5">
        <f t="shared" si="281"/>
        <v>7</v>
      </c>
      <c r="CB86" s="5" t="str">
        <f t="shared" si="273"/>
        <v>-----</v>
      </c>
      <c r="CC86" s="5" t="str">
        <f t="shared" si="273"/>
        <v>-----</v>
      </c>
      <c r="CD86" s="5" t="str">
        <f t="shared" si="273"/>
        <v>-----</v>
      </c>
      <c r="CE86" s="5" t="str">
        <f t="shared" si="273"/>
        <v>-----</v>
      </c>
      <c r="CF86" s="5" t="str">
        <f t="shared" si="273"/>
        <v>-----</v>
      </c>
      <c r="CG86" s="5" t="str">
        <f t="shared" si="195"/>
        <v>-----</v>
      </c>
      <c r="CH86" s="5"/>
      <c r="CI86" s="17" t="str">
        <f t="shared" si="196"/>
        <v>-----</v>
      </c>
      <c r="CJ86" s="17" t="str">
        <f t="shared" si="197"/>
        <v>-----</v>
      </c>
      <c r="CK86" s="17" t="str">
        <f t="shared" si="198"/>
        <v>-----</v>
      </c>
      <c r="CL86" s="17" t="str">
        <f t="shared" si="199"/>
        <v>-----</v>
      </c>
      <c r="CM86" s="17" t="str">
        <f t="shared" si="200"/>
        <v>-----</v>
      </c>
      <c r="CN86" s="17" t="str">
        <f t="shared" si="201"/>
        <v>-----</v>
      </c>
      <c r="CO86" s="5"/>
      <c r="CP86" s="5" t="str">
        <f t="shared" si="177"/>
        <v>-----</v>
      </c>
      <c r="CQ86" s="5" t="str">
        <f t="shared" si="177"/>
        <v>-----</v>
      </c>
      <c r="CR86" s="5" t="str">
        <f t="shared" si="177"/>
        <v>-----</v>
      </c>
      <c r="CS86" s="5" t="str">
        <f t="shared" si="177"/>
        <v>-----</v>
      </c>
      <c r="CT86" s="5" t="str">
        <f t="shared" si="177"/>
        <v>-----</v>
      </c>
      <c r="CU86" s="5" t="str">
        <f t="shared" si="177"/>
        <v>-----</v>
      </c>
      <c r="CV86" s="5"/>
      <c r="CW86" s="17" t="str">
        <f t="shared" si="178"/>
        <v/>
      </c>
      <c r="CX86" s="17" t="str">
        <f t="shared" si="178"/>
        <v/>
      </c>
      <c r="CY86" s="17" t="str">
        <f t="shared" si="178"/>
        <v/>
      </c>
      <c r="CZ86" s="17" t="str">
        <f t="shared" si="178"/>
        <v/>
      </c>
      <c r="DA86" s="17" t="str">
        <f t="shared" si="178"/>
        <v/>
      </c>
      <c r="DB86" s="17" t="str">
        <f t="shared" si="178"/>
        <v/>
      </c>
      <c r="DC86" s="8"/>
      <c r="DD86" s="5">
        <f t="shared" si="202"/>
        <v>0</v>
      </c>
      <c r="DE86" s="17" t="str">
        <f t="shared" si="251"/>
        <v>-----</v>
      </c>
      <c r="DF86" s="5" t="str" cm="1">
        <f t="array" ref="DF86">_xlfn.IFS(DE86=CW86,CP86,DE86=CX86,CQ86,DE86=CY86,CR86,DE86=CZ86,CS86,DE86=DA86,CT86,DE86=DB86,CU86,TRUE,"----- ")</f>
        <v xml:space="preserve">----- </v>
      </c>
      <c r="DG86" s="5"/>
      <c r="DH86" s="5">
        <f t="shared" si="252"/>
        <v>-2.423265306122455E-3</v>
      </c>
      <c r="DI86" s="5">
        <f t="shared" si="253"/>
        <v>-3.7194805194805478E-4</v>
      </c>
      <c r="DJ86" s="5">
        <f t="shared" si="254"/>
        <v>-1.6402721088435472E-3</v>
      </c>
      <c r="DK86" s="5">
        <f t="shared" si="255"/>
        <v>7.6471243042669956E-4</v>
      </c>
      <c r="DL86" s="5">
        <f t="shared" si="256"/>
        <v>-2.3081014223875058E-4</v>
      </c>
      <c r="DM86" s="5">
        <f t="shared" si="257"/>
        <v>1.5802844774273381E-3</v>
      </c>
      <c r="DO86" s="5">
        <f t="shared" si="203"/>
        <v>-1.9079214597220278</v>
      </c>
      <c r="DP86" s="5">
        <f t="shared" si="204"/>
        <v>-0.29295343676527091</v>
      </c>
      <c r="DQ86" s="5">
        <f t="shared" si="205"/>
        <v>-1.2917022253843653</v>
      </c>
      <c r="DR86" s="5">
        <f t="shared" si="206"/>
        <v>0.60228527619529781</v>
      </c>
      <c r="DS86" s="5">
        <f t="shared" si="207"/>
        <v>-0.18179147971962978</v>
      </c>
      <c r="DT86" s="5">
        <f t="shared" si="208"/>
        <v>1.2444775446344229</v>
      </c>
      <c r="DV86" t="str" cm="1">
        <f t="array" ref="DV86">_xlfn.IFS(DO86&gt;3,"Strong + Slope",DO86&gt;1.5,"Moderate + Slope",DO86&gt;0.5,"Sideway + Slope",DO86&gt;=-0.5,"Sideway Flat",DO86&gt;=-1.5,"Sideway - Slope",DO86&gt;=-3,"Moderate - Slope",TRUE,"Strong - Slope")</f>
        <v>Moderate - Slope</v>
      </c>
      <c r="DW86" t="str" cm="1">
        <f t="array" ref="DW86">_xlfn.IFS(DP86&gt;3,"Strong + Slope",DP86&gt;1.5,"Moderate + Slope",DP86&gt;0.5,"Sideway + Slope",DP86&gt;=-0.5,"Sideway Flat",DP86&gt;=-1.5,"Sideway - Slope",DP86&gt;=-3,"Moderate - Slope",TRUE,"Strong - Slope")</f>
        <v>Sideway Flat</v>
      </c>
      <c r="DX86" t="str" cm="1">
        <f t="array" ref="DX86">_xlfn.IFS(DQ86&gt;3,"Strong + Slope",DQ86&gt;1.5,"Moderate + Slope",DQ86&gt;0.5,"Sideway + Slope",DQ86&gt;=-0.5,"Sideway Flat",DQ86&gt;=-1.5,"Sideway - Slope",DQ86&gt;=-3,"Moderate - Slope",TRUE,"Strong - Slope")</f>
        <v>Sideway - Slope</v>
      </c>
      <c r="DY86" t="str" cm="1">
        <f t="array" ref="DY86">_xlfn.IFS(DR86&gt;3,"Strong + Slope",DR86&gt;1.5,"Moderate + Slope",DR86&gt;0.5,"Sideway + Slope",DR86&gt;=-0.5,"Sideway Flat",DR86&gt;=-1.5,"Sideway - Slope",DR86&gt;=-3,"Moderate - Slope",TRUE,"Strong - Slope")</f>
        <v>Sideway + Slope</v>
      </c>
      <c r="DZ86" t="str" cm="1">
        <f t="array" ref="DZ86">_xlfn.IFS(DS86&gt;3,"Strong + Slope",DS86&gt;1.5,"Moderate + Slope",DS86&gt;0.5,"Sideway + Slope",DS86&gt;=-0.5,"Sideway Flat",DS86&gt;=-1.5,"Sideway - Slope",DS86&gt;=-3,"Moderate - Slope",TRUE,"Strong - Slope")</f>
        <v>Sideway Flat</v>
      </c>
      <c r="EA86" t="str" cm="1">
        <f t="array" ref="EA86">_xlfn.IFS(DT86&gt;3,"Strong + Slope",DT86&gt;1.5,"Moderate + Slope",DT86&gt;0.5,"Sideway + Slope",DT86&gt;=-0.5,"Sideway Flat",DT86&gt;=-1.5,"Sideway - Slope",DT86&gt;=-3,"Moderate - Slope",TRUE,"Strong - Slope")</f>
        <v>Sideway + Slope</v>
      </c>
      <c r="EB86" s="5"/>
      <c r="EC86" s="5">
        <f t="shared" si="209"/>
        <v>4</v>
      </c>
      <c r="ED86" s="5">
        <f t="shared" si="210"/>
        <v>3</v>
      </c>
      <c r="EE86" s="5">
        <f t="shared" si="211"/>
        <v>1</v>
      </c>
      <c r="EF86" s="5">
        <f t="shared" si="212"/>
        <v>5</v>
      </c>
      <c r="EG86" s="5">
        <f t="shared" si="213"/>
        <v>6</v>
      </c>
      <c r="EH86" s="5">
        <f t="shared" si="214"/>
        <v>2</v>
      </c>
      <c r="EI86" s="5"/>
      <c r="EJ86" s="5" t="str">
        <f t="shared" si="215"/>
        <v>RES</v>
      </c>
      <c r="EK86" s="5" t="str">
        <f t="shared" si="216"/>
        <v>RES</v>
      </c>
      <c r="EL86" s="5" t="str">
        <f t="shared" si="217"/>
        <v>RES</v>
      </c>
      <c r="EM86" s="5" t="str">
        <f t="shared" si="218"/>
        <v>SUP</v>
      </c>
      <c r="EN86" s="5" t="str">
        <f t="shared" si="219"/>
        <v>SUP</v>
      </c>
      <c r="EO86" s="5" t="str">
        <f t="shared" si="220"/>
        <v>RES</v>
      </c>
      <c r="EP86" s="5"/>
      <c r="EQ86" s="8">
        <f t="shared" si="221"/>
        <v>7.3332023832922938E-4</v>
      </c>
      <c r="ER86" s="8">
        <f t="shared" si="222"/>
        <v>9.8867282131873558E-4</v>
      </c>
      <c r="ES86" s="8">
        <f t="shared" si="223"/>
        <v>2.6713808681988836E-3</v>
      </c>
      <c r="ET86" s="8">
        <f t="shared" si="224"/>
        <v>-7.0713022981716545E-4</v>
      </c>
      <c r="EU86" s="8">
        <f t="shared" si="225"/>
        <v>-9.559353106788882E-4</v>
      </c>
      <c r="EV86" s="8">
        <f t="shared" si="226"/>
        <v>1.0868853532377191E-3</v>
      </c>
      <c r="EW86" s="8"/>
      <c r="EX86" s="8">
        <f t="shared" si="227"/>
        <v>0.26353790613715894</v>
      </c>
      <c r="EY86" s="9">
        <f t="shared" si="228"/>
        <v>4</v>
      </c>
      <c r="EZ86" s="10">
        <f t="shared" si="229"/>
        <v>2</v>
      </c>
      <c r="FA86" s="8">
        <f t="shared" si="258"/>
        <v>2.6713808681988836E-3</v>
      </c>
      <c r="FB86" s="8">
        <f t="shared" si="259"/>
        <v>1.0868853532377191E-3</v>
      </c>
      <c r="FC86" s="8">
        <f t="shared" si="260"/>
        <v>9.8867282131873558E-4</v>
      </c>
      <c r="FD86" s="8">
        <f t="shared" si="261"/>
        <v>7.3332023832922938E-4</v>
      </c>
      <c r="FE86" s="8">
        <f t="shared" si="262"/>
        <v>-7.0713022981716545E-4</v>
      </c>
      <c r="FF86" s="8">
        <f t="shared" si="263"/>
        <v>-9.559353106788882E-4</v>
      </c>
      <c r="FG86" s="5"/>
      <c r="FH86" s="5" t="str">
        <f t="shared" si="230"/>
        <v>Flat Momentum</v>
      </c>
      <c r="FI86" s="5" t="str">
        <f t="shared" si="264"/>
        <v>-----</v>
      </c>
      <c r="FJ86" s="5"/>
      <c r="FK86" s="5" t="str">
        <f t="shared" si="265"/>
        <v>-----</v>
      </c>
      <c r="FL86" s="5" t="str">
        <f t="shared" si="266"/>
        <v>-----</v>
      </c>
      <c r="FM86" s="5"/>
      <c r="FN86" s="5"/>
      <c r="FO86" s="8" t="str">
        <f t="shared" si="279"/>
        <v>Bearish</v>
      </c>
      <c r="FP86" s="8"/>
      <c r="FQ86" s="14">
        <f t="shared" si="231"/>
        <v>-9.8169466677921406E-5</v>
      </c>
      <c r="FR86" s="14">
        <f t="shared" si="232"/>
        <v>1.015559482935759</v>
      </c>
      <c r="FS86" s="14" t="str">
        <f t="shared" si="233"/>
        <v>-----</v>
      </c>
      <c r="FT86" s="14" t="str">
        <f t="shared" si="234"/>
        <v>Bearish</v>
      </c>
      <c r="FU86" s="5" t="str">
        <f t="shared" si="267"/>
        <v>-----</v>
      </c>
      <c r="FV86" s="5" t="str">
        <f t="shared" si="268"/>
        <v>-----</v>
      </c>
      <c r="FW86" s="5"/>
      <c r="FX86" s="15" t="str">
        <f t="shared" si="116"/>
        <v>YES</v>
      </c>
      <c r="FY86" s="15" t="str">
        <f t="shared" si="117"/>
        <v>-----</v>
      </c>
      <c r="FZ86" s="15" t="str">
        <f t="shared" si="118"/>
        <v>-----</v>
      </c>
      <c r="GA86" s="15" t="str">
        <f t="shared" si="119"/>
        <v>YES</v>
      </c>
      <c r="GB86" s="16" t="str">
        <f t="shared" si="274"/>
        <v>-----</v>
      </c>
      <c r="GC86" s="16" t="str">
        <f t="shared" si="275"/>
        <v>-----</v>
      </c>
      <c r="GD86" s="16" t="str">
        <f t="shared" si="276"/>
        <v>-----</v>
      </c>
      <c r="GE86" s="16" t="str">
        <f t="shared" si="278"/>
        <v>YES</v>
      </c>
      <c r="GF86" s="15" t="str">
        <f t="shared" si="277"/>
        <v>-----</v>
      </c>
      <c r="GG86" s="16" t="str">
        <f t="shared" si="120"/>
        <v>-----</v>
      </c>
      <c r="GH86" s="14"/>
      <c r="GI86" s="5" t="str">
        <f t="shared" si="235"/>
        <v>-----</v>
      </c>
      <c r="GJ86" s="5" t="str">
        <f t="shared" si="236"/>
        <v>Bearish Trigger</v>
      </c>
      <c r="GK86" s="5"/>
      <c r="GL86" s="5" t="str">
        <f t="shared" si="237"/>
        <v>-----</v>
      </c>
      <c r="GM86" s="5" t="str">
        <f t="shared" si="238"/>
        <v>-----</v>
      </c>
      <c r="GN86" s="5"/>
      <c r="GO86" s="12">
        <f t="shared" si="239"/>
        <v>5.0000000000011369E-2</v>
      </c>
      <c r="GP86" s="5">
        <f t="shared" si="269"/>
        <v>-0.59410351862024169</v>
      </c>
      <c r="GQ86" s="13" t="str">
        <f t="shared" si="270"/>
        <v>-----</v>
      </c>
      <c r="GR86" s="5"/>
      <c r="GS86">
        <f t="shared" si="271"/>
        <v>-0.51266515021531645</v>
      </c>
      <c r="GT86" s="5" t="str">
        <f t="shared" si="272"/>
        <v>-----</v>
      </c>
    </row>
    <row r="87" spans="1:202" x14ac:dyDescent="0.55000000000000004">
      <c r="A87">
        <v>83</v>
      </c>
      <c r="B87" t="s">
        <v>86</v>
      </c>
      <c r="C87" t="s">
        <v>4</v>
      </c>
      <c r="D87" t="s">
        <v>103</v>
      </c>
      <c r="E87">
        <v>152.72999999999999</v>
      </c>
      <c r="F87">
        <v>152.73699999999999</v>
      </c>
      <c r="G87">
        <v>152.702</v>
      </c>
      <c r="H87">
        <v>152.72800000000001</v>
      </c>
      <c r="I87">
        <v>166</v>
      </c>
      <c r="J87">
        <v>152.84</v>
      </c>
      <c r="K87">
        <v>152.881</v>
      </c>
      <c r="L87">
        <v>153.136</v>
      </c>
      <c r="M87">
        <v>152.62299999999999</v>
      </c>
      <c r="N87">
        <v>152.584</v>
      </c>
      <c r="O87">
        <v>152.898</v>
      </c>
      <c r="P87">
        <v>0</v>
      </c>
      <c r="Q87">
        <v>0</v>
      </c>
      <c r="R87">
        <v>0</v>
      </c>
      <c r="S87">
        <v>0</v>
      </c>
      <c r="T87">
        <v>0</v>
      </c>
      <c r="U87">
        <v>1.0188900000000001</v>
      </c>
      <c r="V87">
        <v>3</v>
      </c>
      <c r="W87">
        <v>153.07606000000001</v>
      </c>
      <c r="X87">
        <v>152.99787000000001</v>
      </c>
      <c r="Y87">
        <v>152.91968</v>
      </c>
      <c r="Z87">
        <v>152.84148999999999</v>
      </c>
      <c r="AA87">
        <v>152.76329999999999</v>
      </c>
      <c r="AB87">
        <v>152.73282</v>
      </c>
      <c r="AC87">
        <v>152.65463</v>
      </c>
      <c r="AD87">
        <v>152.57643999999999</v>
      </c>
      <c r="AE87">
        <v>152.49825000000001</v>
      </c>
      <c r="AF87">
        <v>152.42005</v>
      </c>
      <c r="AG87">
        <v>152.751</v>
      </c>
      <c r="AH87">
        <v>152.773</v>
      </c>
      <c r="AI87">
        <v>152.791</v>
      </c>
      <c r="AJ87">
        <v>152.88399999999999</v>
      </c>
      <c r="AK87">
        <v>152.77500000000001</v>
      </c>
      <c r="AL87">
        <v>152.72999999999999</v>
      </c>
      <c r="AM87" s="11">
        <f t="shared" si="179"/>
        <v>3.4999999999996589E-2</v>
      </c>
      <c r="AN87" s="11">
        <f t="shared" si="240"/>
        <v>7.0000000000050022E-3</v>
      </c>
      <c r="AO87" s="11">
        <f t="shared" si="241"/>
        <v>2.7999999999991587E-2</v>
      </c>
      <c r="AP87" s="11">
        <f t="shared" si="242"/>
        <v>3.4999999999996589E-2</v>
      </c>
      <c r="AR87" s="5" t="str">
        <f t="shared" si="180"/>
        <v>------</v>
      </c>
      <c r="AS87" s="5" t="str">
        <f t="shared" si="181"/>
        <v>------</v>
      </c>
      <c r="AT87" t="str">
        <f t="shared" si="182"/>
        <v/>
      </c>
      <c r="AV87" s="2">
        <f t="shared" si="183"/>
        <v>152.86292600000002</v>
      </c>
      <c r="AW87" s="2">
        <f t="shared" si="184"/>
        <v>152.81707400000002</v>
      </c>
      <c r="AX87" s="2">
        <f t="shared" si="185"/>
        <v>152.90393215</v>
      </c>
      <c r="AY87" s="2">
        <f t="shared" si="186"/>
        <v>152.85806785</v>
      </c>
      <c r="AZ87" s="2">
        <f t="shared" si="187"/>
        <v>153.15897040000002</v>
      </c>
      <c r="BA87" s="2">
        <f t="shared" si="188"/>
        <v>153.1130296</v>
      </c>
      <c r="BB87" s="2">
        <f t="shared" si="189"/>
        <v>152.64589345000002</v>
      </c>
      <c r="BC87" s="2">
        <f t="shared" si="190"/>
        <v>152.60010654999999</v>
      </c>
      <c r="BD87" s="2">
        <f t="shared" si="191"/>
        <v>152.60688760000002</v>
      </c>
      <c r="BE87" s="2">
        <f t="shared" si="192"/>
        <v>152.56111240000001</v>
      </c>
      <c r="BF87" s="2">
        <f t="shared" si="193"/>
        <v>152.9209347</v>
      </c>
      <c r="BG87" s="2">
        <f t="shared" si="194"/>
        <v>152.87506529999999</v>
      </c>
      <c r="BI87" s="5" t="str">
        <f t="shared" si="243"/>
        <v>-----</v>
      </c>
      <c r="BJ87" s="5" t="str">
        <f t="shared" si="244"/>
        <v>-----</v>
      </c>
      <c r="BK87" s="5" t="str">
        <f t="shared" si="245"/>
        <v>-----</v>
      </c>
      <c r="BL87" s="5" t="str">
        <f t="shared" si="246"/>
        <v>-----</v>
      </c>
      <c r="BM87" s="5" t="str">
        <f t="shared" si="247"/>
        <v>-----</v>
      </c>
      <c r="BN87" s="5" t="str">
        <f t="shared" si="248"/>
        <v>-----</v>
      </c>
      <c r="BO87" s="5"/>
      <c r="BP87" s="5">
        <f t="shared" si="280"/>
        <v>19</v>
      </c>
      <c r="BQ87" s="5">
        <f t="shared" si="280"/>
        <v>19</v>
      </c>
      <c r="BR87" s="5">
        <f t="shared" si="280"/>
        <v>81</v>
      </c>
      <c r="BS87" s="5">
        <f t="shared" si="280"/>
        <v>83</v>
      </c>
      <c r="BT87" s="5">
        <f t="shared" si="280"/>
        <v>83</v>
      </c>
      <c r="BU87" s="5">
        <f t="shared" si="280"/>
        <v>19</v>
      </c>
      <c r="BV87" s="5">
        <f t="shared" si="281"/>
        <v>2</v>
      </c>
      <c r="BW87" s="5">
        <f t="shared" si="281"/>
        <v>2</v>
      </c>
      <c r="BX87" s="5">
        <f t="shared" si="281"/>
        <v>2</v>
      </c>
      <c r="BY87" s="5">
        <f t="shared" si="281"/>
        <v>0</v>
      </c>
      <c r="BZ87" s="5">
        <f t="shared" si="281"/>
        <v>0</v>
      </c>
      <c r="CA87" s="5">
        <f t="shared" si="281"/>
        <v>7</v>
      </c>
      <c r="CB87" s="5" t="str">
        <f t="shared" si="273"/>
        <v>-----</v>
      </c>
      <c r="CC87" s="5" t="str">
        <f t="shared" si="273"/>
        <v>-----</v>
      </c>
      <c r="CD87" s="5" t="str">
        <f t="shared" si="273"/>
        <v>-----</v>
      </c>
      <c r="CE87" s="5" t="str">
        <f t="shared" si="273"/>
        <v>-----</v>
      </c>
      <c r="CF87" s="5" t="str">
        <f t="shared" si="273"/>
        <v>-----</v>
      </c>
      <c r="CG87" s="5" t="str">
        <f t="shared" si="195"/>
        <v>-----</v>
      </c>
      <c r="CH87" s="5"/>
      <c r="CI87" s="17" t="str">
        <f t="shared" si="196"/>
        <v>-----</v>
      </c>
      <c r="CJ87" s="17" t="str">
        <f t="shared" si="197"/>
        <v>-----</v>
      </c>
      <c r="CK87" s="17" t="str">
        <f t="shared" si="198"/>
        <v>-----</v>
      </c>
      <c r="CL87" s="17" t="str">
        <f t="shared" si="199"/>
        <v>-----</v>
      </c>
      <c r="CM87" s="17" t="str">
        <f t="shared" si="200"/>
        <v>-----</v>
      </c>
      <c r="CN87" s="17" t="str">
        <f t="shared" si="201"/>
        <v>-----</v>
      </c>
      <c r="CO87" s="5"/>
      <c r="CP87" s="5" t="str">
        <f t="shared" si="177"/>
        <v>-----</v>
      </c>
      <c r="CQ87" s="5" t="str">
        <f t="shared" si="177"/>
        <v>-----</v>
      </c>
      <c r="CR87" s="5" t="str">
        <f t="shared" si="177"/>
        <v>-----</v>
      </c>
      <c r="CS87" s="5" t="str">
        <f t="shared" si="177"/>
        <v>-----</v>
      </c>
      <c r="CT87" s="5" t="str">
        <f t="shared" si="177"/>
        <v>-----</v>
      </c>
      <c r="CU87" s="5" t="str">
        <f t="shared" si="177"/>
        <v>-----</v>
      </c>
      <c r="CV87" s="5"/>
      <c r="CW87" s="17" t="str">
        <f t="shared" si="178"/>
        <v/>
      </c>
      <c r="CX87" s="17" t="str">
        <f t="shared" si="178"/>
        <v/>
      </c>
      <c r="CY87" s="17" t="str">
        <f t="shared" si="178"/>
        <v/>
      </c>
      <c r="CZ87" s="17" t="str">
        <f t="shared" si="178"/>
        <v/>
      </c>
      <c r="DA87" s="17" t="str">
        <f t="shared" si="178"/>
        <v/>
      </c>
      <c r="DB87" s="17" t="str">
        <f t="shared" si="178"/>
        <v/>
      </c>
      <c r="DC87" s="8"/>
      <c r="DD87" s="5">
        <f t="shared" si="202"/>
        <v>0</v>
      </c>
      <c r="DE87" s="17" t="str">
        <f t="shared" si="251"/>
        <v>-----</v>
      </c>
      <c r="DF87" s="5" t="str" cm="1">
        <f t="array" ref="DF87">_xlfn.IFS(DE87=CW87,CP87,DE87=CX87,CQ87,DE87=CY87,CR87,DE87=CZ87,CS87,DE87=DA87,CT87,DE87=DB87,CU87,TRUE,"----- ")</f>
        <v xml:space="preserve">----- </v>
      </c>
      <c r="DG87" s="5"/>
      <c r="DH87" s="5">
        <f t="shared" si="252"/>
        <v>-2.423265306122455E-3</v>
      </c>
      <c r="DI87" s="5">
        <f t="shared" si="253"/>
        <v>-3.7194805194805478E-4</v>
      </c>
      <c r="DJ87" s="5">
        <f t="shared" si="254"/>
        <v>-1.6402721088435472E-3</v>
      </c>
      <c r="DK87" s="5">
        <f t="shared" si="255"/>
        <v>7.6471243042669956E-4</v>
      </c>
      <c r="DL87" s="5">
        <f t="shared" si="256"/>
        <v>-2.3081014223875058E-4</v>
      </c>
      <c r="DM87" s="5">
        <f t="shared" si="257"/>
        <v>1.5802844774273381E-3</v>
      </c>
      <c r="DO87" s="5">
        <f t="shared" si="203"/>
        <v>-1.9079214597220278</v>
      </c>
      <c r="DP87" s="5">
        <f t="shared" si="204"/>
        <v>-0.29295343676527091</v>
      </c>
      <c r="DQ87" s="5">
        <f t="shared" si="205"/>
        <v>-1.2917022253843653</v>
      </c>
      <c r="DR87" s="5">
        <f t="shared" si="206"/>
        <v>0.60228527619529781</v>
      </c>
      <c r="DS87" s="5">
        <f t="shared" si="207"/>
        <v>-0.18179147971962978</v>
      </c>
      <c r="DT87" s="5">
        <f t="shared" si="208"/>
        <v>1.2444775446344229</v>
      </c>
      <c r="DV87" t="str" cm="1">
        <f t="array" ref="DV87">_xlfn.IFS(DO87&gt;3,"Strong + Slope",DO87&gt;1.5,"Moderate + Slope",DO87&gt;0.5,"Sideway + Slope",DO87&gt;=-0.5,"Sideway Flat",DO87&gt;=-1.5,"Sideway - Slope",DO87&gt;=-3,"Moderate - Slope",TRUE,"Strong - Slope")</f>
        <v>Moderate - Slope</v>
      </c>
      <c r="DW87" t="str" cm="1">
        <f t="array" ref="DW87">_xlfn.IFS(DP87&gt;3,"Strong + Slope",DP87&gt;1.5,"Moderate + Slope",DP87&gt;0.5,"Sideway + Slope",DP87&gt;=-0.5,"Sideway Flat",DP87&gt;=-1.5,"Sideway - Slope",DP87&gt;=-3,"Moderate - Slope",TRUE,"Strong - Slope")</f>
        <v>Sideway Flat</v>
      </c>
      <c r="DX87" t="str" cm="1">
        <f t="array" ref="DX87">_xlfn.IFS(DQ87&gt;3,"Strong + Slope",DQ87&gt;1.5,"Moderate + Slope",DQ87&gt;0.5,"Sideway + Slope",DQ87&gt;=-0.5,"Sideway Flat",DQ87&gt;=-1.5,"Sideway - Slope",DQ87&gt;=-3,"Moderate - Slope",TRUE,"Strong - Slope")</f>
        <v>Sideway - Slope</v>
      </c>
      <c r="DY87" t="str" cm="1">
        <f t="array" ref="DY87">_xlfn.IFS(DR87&gt;3,"Strong + Slope",DR87&gt;1.5,"Moderate + Slope",DR87&gt;0.5,"Sideway + Slope",DR87&gt;=-0.5,"Sideway Flat",DR87&gt;=-1.5,"Sideway - Slope",DR87&gt;=-3,"Moderate - Slope",TRUE,"Strong - Slope")</f>
        <v>Sideway + Slope</v>
      </c>
      <c r="DZ87" t="str" cm="1">
        <f t="array" ref="DZ87">_xlfn.IFS(DS87&gt;3,"Strong + Slope",DS87&gt;1.5,"Moderate + Slope",DS87&gt;0.5,"Sideway + Slope",DS87&gt;=-0.5,"Sideway Flat",DS87&gt;=-1.5,"Sideway - Slope",DS87&gt;=-3,"Moderate - Slope",TRUE,"Strong - Slope")</f>
        <v>Sideway Flat</v>
      </c>
      <c r="EA87" t="str" cm="1">
        <f t="array" ref="EA87">_xlfn.IFS(DT87&gt;3,"Strong + Slope",DT87&gt;1.5,"Moderate + Slope",DT87&gt;0.5,"Sideway + Slope",DT87&gt;=-0.5,"Sideway Flat",DT87&gt;=-1.5,"Sideway - Slope",DT87&gt;=-3,"Moderate - Slope",TRUE,"Strong - Slope")</f>
        <v>Sideway + Slope</v>
      </c>
      <c r="EB87" s="5"/>
      <c r="EC87" s="5">
        <f t="shared" si="209"/>
        <v>4</v>
      </c>
      <c r="ED87" s="5">
        <f t="shared" si="210"/>
        <v>3</v>
      </c>
      <c r="EE87" s="5">
        <f t="shared" si="211"/>
        <v>1</v>
      </c>
      <c r="EF87" s="5">
        <f t="shared" si="212"/>
        <v>5</v>
      </c>
      <c r="EG87" s="5">
        <f t="shared" si="213"/>
        <v>6</v>
      </c>
      <c r="EH87" s="5">
        <f t="shared" si="214"/>
        <v>2</v>
      </c>
      <c r="EI87" s="5"/>
      <c r="EJ87" s="5" t="str">
        <f t="shared" si="215"/>
        <v>RES</v>
      </c>
      <c r="EK87" s="5" t="str">
        <f t="shared" si="216"/>
        <v>RES</v>
      </c>
      <c r="EL87" s="5" t="str">
        <f t="shared" si="217"/>
        <v>RES</v>
      </c>
      <c r="EM87" s="5" t="str">
        <f t="shared" si="218"/>
        <v>SUP</v>
      </c>
      <c r="EN87" s="5" t="str">
        <f t="shared" si="219"/>
        <v>SUP</v>
      </c>
      <c r="EO87" s="5" t="str">
        <f t="shared" si="220"/>
        <v>RES</v>
      </c>
      <c r="EP87" s="5"/>
      <c r="EQ87" s="8">
        <f t="shared" si="221"/>
        <v>7.3332984128643582E-4</v>
      </c>
      <c r="ER87" s="8">
        <f t="shared" si="222"/>
        <v>1.001780943900212E-3</v>
      </c>
      <c r="ES87" s="8">
        <f t="shared" si="223"/>
        <v>2.6714158504006274E-3</v>
      </c>
      <c r="ET87" s="8">
        <f t="shared" si="224"/>
        <v>-6.8749672620618471E-4</v>
      </c>
      <c r="EU87" s="8">
        <f t="shared" si="225"/>
        <v>-9.4285265308264004E-4</v>
      </c>
      <c r="EV87" s="8">
        <f t="shared" si="226"/>
        <v>1.1130899376668815E-3</v>
      </c>
      <c r="EW87" s="8"/>
      <c r="EX87" s="8">
        <f t="shared" si="227"/>
        <v>0.26086956521740473</v>
      </c>
      <c r="EY87" s="9">
        <f t="shared" si="228"/>
        <v>4</v>
      </c>
      <c r="EZ87" s="10">
        <f t="shared" si="229"/>
        <v>2</v>
      </c>
      <c r="FA87" s="8">
        <f t="shared" si="258"/>
        <v>2.6714158504006274E-3</v>
      </c>
      <c r="FB87" s="8">
        <f t="shared" si="259"/>
        <v>1.1130899376668815E-3</v>
      </c>
      <c r="FC87" s="8">
        <f t="shared" si="260"/>
        <v>1.001780943900212E-3</v>
      </c>
      <c r="FD87" s="8">
        <f t="shared" si="261"/>
        <v>7.3332984128643582E-4</v>
      </c>
      <c r="FE87" s="8">
        <f t="shared" si="262"/>
        <v>-6.8749672620618471E-4</v>
      </c>
      <c r="FF87" s="8">
        <f t="shared" si="263"/>
        <v>-9.4285265308264004E-4</v>
      </c>
      <c r="FG87" s="5"/>
      <c r="FH87" s="5" t="str">
        <f t="shared" si="230"/>
        <v>-----</v>
      </c>
      <c r="FI87" s="5" t="str">
        <f t="shared" si="264"/>
        <v>-----</v>
      </c>
      <c r="FJ87" s="5"/>
      <c r="FK87" s="5" t="str">
        <f t="shared" si="265"/>
        <v>-----</v>
      </c>
      <c r="FL87" s="5" t="str">
        <f t="shared" si="266"/>
        <v>-----</v>
      </c>
      <c r="FM87" s="5"/>
      <c r="FN87" s="5"/>
      <c r="FO87" s="8" t="str">
        <f t="shared" si="279"/>
        <v>Bearish</v>
      </c>
      <c r="FP87" s="8"/>
      <c r="FQ87" s="14">
        <f t="shared" si="231"/>
        <v>-1.1780798607248256E-4</v>
      </c>
      <c r="FR87" s="14">
        <f t="shared" si="232"/>
        <v>0.95892095653792142</v>
      </c>
      <c r="FS87" s="14" t="str">
        <f t="shared" si="233"/>
        <v>-----</v>
      </c>
      <c r="FT87" s="14" t="str">
        <f t="shared" si="234"/>
        <v>Bearish</v>
      </c>
      <c r="FU87" s="5" t="str">
        <f t="shared" si="267"/>
        <v>-----</v>
      </c>
      <c r="FV87" s="5" t="str">
        <f t="shared" si="268"/>
        <v>-----</v>
      </c>
      <c r="FW87" s="5"/>
      <c r="FX87" s="15" t="str">
        <f t="shared" si="116"/>
        <v>YES</v>
      </c>
      <c r="FY87" s="15" t="str">
        <f t="shared" si="117"/>
        <v>-----</v>
      </c>
      <c r="FZ87" s="15" t="str">
        <f t="shared" si="118"/>
        <v>-----</v>
      </c>
      <c r="GA87" s="15" t="str">
        <f t="shared" si="119"/>
        <v>YES</v>
      </c>
      <c r="GB87" s="16" t="str">
        <f t="shared" si="274"/>
        <v>-----</v>
      </c>
      <c r="GC87" s="16" t="str">
        <f t="shared" si="275"/>
        <v>-----</v>
      </c>
      <c r="GD87" s="16" t="str">
        <f t="shared" si="276"/>
        <v>-----</v>
      </c>
      <c r="GE87" s="16" t="str">
        <f t="shared" si="278"/>
        <v>YES</v>
      </c>
      <c r="GF87" s="15" t="str">
        <f t="shared" si="277"/>
        <v>-----</v>
      </c>
      <c r="GG87" s="16" t="str">
        <f t="shared" si="120"/>
        <v>-----</v>
      </c>
      <c r="GH87" s="14"/>
      <c r="GI87" s="5" t="str">
        <f t="shared" si="235"/>
        <v>-----</v>
      </c>
      <c r="GJ87" s="5" t="str">
        <f t="shared" si="236"/>
        <v>Bearish Trigger</v>
      </c>
      <c r="GK87" s="5"/>
      <c r="GL87" s="5" t="str">
        <f t="shared" si="237"/>
        <v>-----</v>
      </c>
      <c r="GM87" s="5" t="str">
        <f t="shared" si="238"/>
        <v>-----</v>
      </c>
      <c r="GN87" s="5"/>
      <c r="GO87" s="12">
        <f t="shared" si="239"/>
        <v>4.5000000000015916E-2</v>
      </c>
      <c r="GP87" s="5">
        <f t="shared" si="269"/>
        <v>-0.70933911490427681</v>
      </c>
      <c r="GQ87" s="13" t="str">
        <f t="shared" si="270"/>
        <v>-----</v>
      </c>
      <c r="GR87" s="5"/>
      <c r="GS87">
        <f t="shared" si="271"/>
        <v>-0.79014964410808219</v>
      </c>
      <c r="GT87" s="5" t="str">
        <f t="shared" si="272"/>
        <v>-----</v>
      </c>
    </row>
    <row r="88" spans="1:202" x14ac:dyDescent="0.55000000000000004">
      <c r="A88">
        <v>84</v>
      </c>
      <c r="B88" t="s">
        <v>87</v>
      </c>
      <c r="C88" t="s">
        <v>4</v>
      </c>
      <c r="D88" t="s">
        <v>103</v>
      </c>
      <c r="E88">
        <v>152.72800000000001</v>
      </c>
      <c r="F88">
        <v>152.75299999999999</v>
      </c>
      <c r="G88">
        <v>152.71700000000001</v>
      </c>
      <c r="H88">
        <v>152.72900000000001</v>
      </c>
      <c r="I88">
        <v>181</v>
      </c>
      <c r="J88">
        <v>152.83699999999999</v>
      </c>
      <c r="K88">
        <v>152.88</v>
      </c>
      <c r="L88">
        <v>153.13499999999999</v>
      </c>
      <c r="M88">
        <v>152.624</v>
      </c>
      <c r="N88">
        <v>152.584</v>
      </c>
      <c r="O88">
        <v>152.899</v>
      </c>
      <c r="P88">
        <v>0</v>
      </c>
      <c r="Q88">
        <v>0</v>
      </c>
      <c r="R88">
        <v>0</v>
      </c>
      <c r="S88">
        <v>0</v>
      </c>
      <c r="T88">
        <v>0</v>
      </c>
      <c r="U88">
        <v>1.03921</v>
      </c>
      <c r="V88">
        <v>0</v>
      </c>
      <c r="W88">
        <v>153.07112000000001</v>
      </c>
      <c r="X88">
        <v>152.99357000000001</v>
      </c>
      <c r="Y88">
        <v>152.91603000000001</v>
      </c>
      <c r="Z88">
        <v>152.83849000000001</v>
      </c>
      <c r="AA88">
        <v>152.76094000000001</v>
      </c>
      <c r="AB88">
        <v>152.73051000000001</v>
      </c>
      <c r="AC88">
        <v>152.65297000000001</v>
      </c>
      <c r="AD88">
        <v>152.57542000000001</v>
      </c>
      <c r="AE88">
        <v>152.49788000000001</v>
      </c>
      <c r="AF88">
        <v>152.42034000000001</v>
      </c>
      <c r="AG88">
        <v>152.738</v>
      </c>
      <c r="AH88">
        <v>152.76400000000001</v>
      </c>
      <c r="AI88">
        <v>152.78700000000001</v>
      </c>
      <c r="AJ88">
        <v>152.87899999999999</v>
      </c>
      <c r="AK88">
        <v>152.761</v>
      </c>
      <c r="AL88">
        <v>152.71899999999999</v>
      </c>
      <c r="AM88" s="11">
        <f t="shared" si="179"/>
        <v>3.5999999999972943E-2</v>
      </c>
      <c r="AN88" s="11">
        <f t="shared" si="240"/>
        <v>2.4999999999977263E-2</v>
      </c>
      <c r="AO88" s="11">
        <f t="shared" si="241"/>
        <v>1.099999999999568E-2</v>
      </c>
      <c r="AP88" s="11">
        <f t="shared" si="242"/>
        <v>3.5999999999972943E-2</v>
      </c>
      <c r="AR88" s="5" t="str">
        <f t="shared" si="180"/>
        <v>------</v>
      </c>
      <c r="AS88" s="5" t="str">
        <f t="shared" si="181"/>
        <v>------</v>
      </c>
      <c r="AT88" t="str">
        <f t="shared" si="182"/>
        <v/>
      </c>
      <c r="AV88" s="2">
        <f t="shared" si="183"/>
        <v>152.85992555000001</v>
      </c>
      <c r="AW88" s="2">
        <f t="shared" si="184"/>
        <v>152.81407444999999</v>
      </c>
      <c r="AX88" s="2">
        <f t="shared" si="185"/>
        <v>152.90293200000002</v>
      </c>
      <c r="AY88" s="2">
        <f t="shared" si="186"/>
        <v>152.857068</v>
      </c>
      <c r="AZ88" s="2">
        <f t="shared" si="187"/>
        <v>153.15797025000001</v>
      </c>
      <c r="BA88" s="2">
        <f t="shared" si="188"/>
        <v>153.11202975</v>
      </c>
      <c r="BB88" s="2">
        <f t="shared" si="189"/>
        <v>152.6468936</v>
      </c>
      <c r="BC88" s="2">
        <f t="shared" si="190"/>
        <v>152.60110639999999</v>
      </c>
      <c r="BD88" s="2">
        <f t="shared" si="191"/>
        <v>152.60688760000002</v>
      </c>
      <c r="BE88" s="2">
        <f t="shared" si="192"/>
        <v>152.56111240000001</v>
      </c>
      <c r="BF88" s="2">
        <f t="shared" si="193"/>
        <v>152.92193485000001</v>
      </c>
      <c r="BG88" s="2">
        <f t="shared" si="194"/>
        <v>152.87606515000002</v>
      </c>
      <c r="BI88" s="5" t="str">
        <f t="shared" si="243"/>
        <v>-----</v>
      </c>
      <c r="BJ88" s="5" t="str">
        <f t="shared" si="244"/>
        <v>-----</v>
      </c>
      <c r="BK88" s="5" t="str">
        <f t="shared" si="245"/>
        <v>-----</v>
      </c>
      <c r="BL88" s="5" t="str">
        <f t="shared" si="246"/>
        <v>-----</v>
      </c>
      <c r="BM88" s="5" t="str">
        <f t="shared" si="247"/>
        <v>-----</v>
      </c>
      <c r="BN88" s="5" t="str">
        <f t="shared" si="248"/>
        <v>-----</v>
      </c>
      <c r="BO88" s="5"/>
      <c r="BP88" s="5">
        <f t="shared" si="280"/>
        <v>20</v>
      </c>
      <c r="BQ88" s="5">
        <f t="shared" si="280"/>
        <v>20</v>
      </c>
      <c r="BR88" s="5">
        <f t="shared" si="280"/>
        <v>82</v>
      </c>
      <c r="BS88" s="5">
        <f t="shared" si="280"/>
        <v>84</v>
      </c>
      <c r="BT88" s="5">
        <f t="shared" si="280"/>
        <v>84</v>
      </c>
      <c r="BU88" s="5">
        <f t="shared" si="280"/>
        <v>20</v>
      </c>
      <c r="BV88" s="5">
        <f t="shared" si="281"/>
        <v>2</v>
      </c>
      <c r="BW88" s="5">
        <f t="shared" si="281"/>
        <v>2</v>
      </c>
      <c r="BX88" s="5">
        <f t="shared" si="281"/>
        <v>2</v>
      </c>
      <c r="BY88" s="5">
        <f t="shared" si="281"/>
        <v>0</v>
      </c>
      <c r="BZ88" s="5">
        <f t="shared" si="281"/>
        <v>0</v>
      </c>
      <c r="CA88" s="5">
        <f t="shared" si="281"/>
        <v>7</v>
      </c>
      <c r="CB88" s="5" t="str">
        <f t="shared" si="273"/>
        <v>-----</v>
      </c>
      <c r="CC88" s="5" t="str">
        <f t="shared" si="273"/>
        <v>-----</v>
      </c>
      <c r="CD88" s="5" t="str">
        <f t="shared" si="273"/>
        <v>-----</v>
      </c>
      <c r="CE88" s="5" t="str">
        <f t="shared" si="273"/>
        <v>-----</v>
      </c>
      <c r="CF88" s="5" t="str">
        <f t="shared" si="273"/>
        <v>-----</v>
      </c>
      <c r="CG88" s="5" t="str">
        <f t="shared" si="195"/>
        <v>-----</v>
      </c>
      <c r="CH88" s="5"/>
      <c r="CI88" s="17" t="str">
        <f t="shared" si="196"/>
        <v>-----</v>
      </c>
      <c r="CJ88" s="17" t="str">
        <f t="shared" si="197"/>
        <v>-----</v>
      </c>
      <c r="CK88" s="17" t="str">
        <f t="shared" si="198"/>
        <v>-----</v>
      </c>
      <c r="CL88" s="17" t="str">
        <f t="shared" si="199"/>
        <v>-----</v>
      </c>
      <c r="CM88" s="17" t="str">
        <f t="shared" si="200"/>
        <v>-----</v>
      </c>
      <c r="CN88" s="17" t="str">
        <f t="shared" si="201"/>
        <v>-----</v>
      </c>
      <c r="CO88" s="5"/>
      <c r="CP88" s="5" t="str">
        <f t="shared" si="177"/>
        <v>-----</v>
      </c>
      <c r="CQ88" s="5" t="str">
        <f t="shared" si="177"/>
        <v>-----</v>
      </c>
      <c r="CR88" s="5" t="str">
        <f t="shared" si="177"/>
        <v>-----</v>
      </c>
      <c r="CS88" s="5" t="str">
        <f t="shared" si="177"/>
        <v>-----</v>
      </c>
      <c r="CT88" s="5" t="str">
        <f t="shared" si="177"/>
        <v>-----</v>
      </c>
      <c r="CU88" s="5" t="str">
        <f t="shared" si="177"/>
        <v>-----</v>
      </c>
      <c r="CV88" s="5"/>
      <c r="CW88" s="17" t="str">
        <f t="shared" si="178"/>
        <v/>
      </c>
      <c r="CX88" s="17" t="str">
        <f t="shared" si="178"/>
        <v/>
      </c>
      <c r="CY88" s="17" t="str">
        <f t="shared" si="178"/>
        <v/>
      </c>
      <c r="CZ88" s="17" t="str">
        <f t="shared" si="178"/>
        <v/>
      </c>
      <c r="DA88" s="17" t="str">
        <f t="shared" si="178"/>
        <v/>
      </c>
      <c r="DB88" s="17" t="str">
        <f t="shared" si="178"/>
        <v/>
      </c>
      <c r="DC88" s="8"/>
      <c r="DD88" s="5">
        <f t="shared" si="202"/>
        <v>0</v>
      </c>
      <c r="DE88" s="17" t="str">
        <f t="shared" si="251"/>
        <v>-----</v>
      </c>
      <c r="DF88" s="5" t="str" cm="1">
        <f t="array" ref="DF88">_xlfn.IFS(DE88=CW88,CP88,DE88=CX88,CQ88,DE88=CY88,CR88,DE88=CZ88,CS88,DE88=DA88,CT88,DE88=DB88,CU88,TRUE,"----- ")</f>
        <v xml:space="preserve">----- </v>
      </c>
      <c r="DG88" s="5"/>
      <c r="DH88" s="5">
        <f t="shared" si="252"/>
        <v>-2.423265306122455E-3</v>
      </c>
      <c r="DI88" s="5">
        <f t="shared" si="253"/>
        <v>-3.7194805194805478E-4</v>
      </c>
      <c r="DJ88" s="5">
        <f t="shared" si="254"/>
        <v>-1.6402721088435472E-3</v>
      </c>
      <c r="DK88" s="5">
        <f t="shared" si="255"/>
        <v>7.6471243042669956E-4</v>
      </c>
      <c r="DL88" s="5">
        <f t="shared" si="256"/>
        <v>-2.3081014223875058E-4</v>
      </c>
      <c r="DM88" s="5">
        <f t="shared" si="257"/>
        <v>1.5802844774273381E-3</v>
      </c>
      <c r="DO88" s="5">
        <f t="shared" si="203"/>
        <v>-1.9079214597220278</v>
      </c>
      <c r="DP88" s="5">
        <f t="shared" si="204"/>
        <v>-0.29295343676527091</v>
      </c>
      <c r="DQ88" s="5">
        <f t="shared" si="205"/>
        <v>-1.2917022253843653</v>
      </c>
      <c r="DR88" s="5">
        <f t="shared" si="206"/>
        <v>0.60228527619529781</v>
      </c>
      <c r="DS88" s="5">
        <f t="shared" si="207"/>
        <v>-0.18179147971962978</v>
      </c>
      <c r="DT88" s="5">
        <f t="shared" si="208"/>
        <v>1.2444775446344229</v>
      </c>
      <c r="DV88" t="str" cm="1">
        <f t="array" ref="DV88">_xlfn.IFS(DO88&gt;3,"Strong + Slope",DO88&gt;1.5,"Moderate + Slope",DO88&gt;0.5,"Sideway + Slope",DO88&gt;=-0.5,"Sideway Flat",DO88&gt;=-1.5,"Sideway - Slope",DO88&gt;=-3,"Moderate - Slope",TRUE,"Strong - Slope")</f>
        <v>Moderate - Slope</v>
      </c>
      <c r="DW88" t="str" cm="1">
        <f t="array" ref="DW88">_xlfn.IFS(DP88&gt;3,"Strong + Slope",DP88&gt;1.5,"Moderate + Slope",DP88&gt;0.5,"Sideway + Slope",DP88&gt;=-0.5,"Sideway Flat",DP88&gt;=-1.5,"Sideway - Slope",DP88&gt;=-3,"Moderate - Slope",TRUE,"Strong - Slope")</f>
        <v>Sideway Flat</v>
      </c>
      <c r="DX88" t="str" cm="1">
        <f t="array" ref="DX88">_xlfn.IFS(DQ88&gt;3,"Strong + Slope",DQ88&gt;1.5,"Moderate + Slope",DQ88&gt;0.5,"Sideway + Slope",DQ88&gt;=-0.5,"Sideway Flat",DQ88&gt;=-1.5,"Sideway - Slope",DQ88&gt;=-3,"Moderate - Slope",TRUE,"Strong - Slope")</f>
        <v>Sideway - Slope</v>
      </c>
      <c r="DY88" t="str" cm="1">
        <f t="array" ref="DY88">_xlfn.IFS(DR88&gt;3,"Strong + Slope",DR88&gt;1.5,"Moderate + Slope",DR88&gt;0.5,"Sideway + Slope",DR88&gt;=-0.5,"Sideway Flat",DR88&gt;=-1.5,"Sideway - Slope",DR88&gt;=-3,"Moderate - Slope",TRUE,"Strong - Slope")</f>
        <v>Sideway + Slope</v>
      </c>
      <c r="DZ88" t="str" cm="1">
        <f t="array" ref="DZ88">_xlfn.IFS(DS88&gt;3,"Strong + Slope",DS88&gt;1.5,"Moderate + Slope",DS88&gt;0.5,"Sideway + Slope",DS88&gt;=-0.5,"Sideway Flat",DS88&gt;=-1.5,"Sideway - Slope",DS88&gt;=-3,"Moderate - Slope",TRUE,"Strong - Slope")</f>
        <v>Sideway Flat</v>
      </c>
      <c r="EA88" t="str" cm="1">
        <f t="array" ref="EA88">_xlfn.IFS(DT88&gt;3,"Strong + Slope",DT88&gt;1.5,"Moderate + Slope",DT88&gt;0.5,"Sideway + Slope",DT88&gt;=-0.5,"Sideway Flat",DT88&gt;=-1.5,"Sideway - Slope",DT88&gt;=-3,"Moderate - Slope",TRUE,"Strong - Slope")</f>
        <v>Sideway + Slope</v>
      </c>
      <c r="EB88" s="5"/>
      <c r="EC88" s="5">
        <f t="shared" si="209"/>
        <v>4</v>
      </c>
      <c r="ED88" s="5">
        <f t="shared" si="210"/>
        <v>3</v>
      </c>
      <c r="EE88" s="5">
        <f t="shared" si="211"/>
        <v>1</v>
      </c>
      <c r="EF88" s="5">
        <f t="shared" si="212"/>
        <v>5</v>
      </c>
      <c r="EG88" s="5">
        <f t="shared" si="213"/>
        <v>6</v>
      </c>
      <c r="EH88" s="5">
        <f t="shared" si="214"/>
        <v>2</v>
      </c>
      <c r="EI88" s="5"/>
      <c r="EJ88" s="5" t="str">
        <f t="shared" si="215"/>
        <v>RES</v>
      </c>
      <c r="EK88" s="5" t="str">
        <f t="shared" si="216"/>
        <v>RES</v>
      </c>
      <c r="EL88" s="5" t="str">
        <f t="shared" si="217"/>
        <v>RES</v>
      </c>
      <c r="EM88" s="5" t="str">
        <f t="shared" si="218"/>
        <v>SUP</v>
      </c>
      <c r="EN88" s="5" t="str">
        <f t="shared" si="219"/>
        <v>SUP</v>
      </c>
      <c r="EO88" s="5" t="str">
        <f t="shared" si="220"/>
        <v>RES</v>
      </c>
      <c r="EP88" s="5"/>
      <c r="EQ88" s="8">
        <f t="shared" si="221"/>
        <v>7.0713485978416454E-4</v>
      </c>
      <c r="ER88" s="8">
        <f t="shared" si="222"/>
        <v>9.8867929469833508E-4</v>
      </c>
      <c r="ES88" s="8">
        <f t="shared" si="223"/>
        <v>2.6583032691890698E-3</v>
      </c>
      <c r="ET88" s="8">
        <f t="shared" si="224"/>
        <v>-6.8749222479043393E-4</v>
      </c>
      <c r="EU88" s="8">
        <f t="shared" si="225"/>
        <v>-9.4939402471050176E-4</v>
      </c>
      <c r="EV88" s="8">
        <f t="shared" si="226"/>
        <v>1.1130826496604277E-3</v>
      </c>
      <c r="EW88" s="8"/>
      <c r="EX88" s="8">
        <f t="shared" si="227"/>
        <v>0.26315789473686652</v>
      </c>
      <c r="EY88" s="9">
        <f t="shared" si="228"/>
        <v>4</v>
      </c>
      <c r="EZ88" s="10">
        <f t="shared" si="229"/>
        <v>2</v>
      </c>
      <c r="FA88" s="8">
        <f t="shared" si="258"/>
        <v>2.6583032691890698E-3</v>
      </c>
      <c r="FB88" s="8">
        <f t="shared" si="259"/>
        <v>1.1130826496604277E-3</v>
      </c>
      <c r="FC88" s="8">
        <f t="shared" si="260"/>
        <v>9.8867929469833508E-4</v>
      </c>
      <c r="FD88" s="8">
        <f t="shared" si="261"/>
        <v>7.0713485978416454E-4</v>
      </c>
      <c r="FE88" s="8">
        <f t="shared" si="262"/>
        <v>-6.8749222479043393E-4</v>
      </c>
      <c r="FF88" s="8">
        <f t="shared" si="263"/>
        <v>-9.4939402471050176E-4</v>
      </c>
      <c r="FG88" s="5"/>
      <c r="FH88" s="5" t="str">
        <f t="shared" si="230"/>
        <v>-----</v>
      </c>
      <c r="FI88" s="5" t="str">
        <f t="shared" si="264"/>
        <v>-----</v>
      </c>
      <c r="FJ88" s="5"/>
      <c r="FK88" s="5" t="str">
        <f t="shared" si="265"/>
        <v>-----</v>
      </c>
      <c r="FL88" s="5" t="str">
        <f t="shared" si="266"/>
        <v>-----</v>
      </c>
      <c r="FM88" s="5"/>
      <c r="FN88" s="5"/>
      <c r="FO88" s="8" t="str">
        <f t="shared" si="279"/>
        <v>Bearish</v>
      </c>
      <c r="FP88" s="8"/>
      <c r="FQ88" s="14">
        <f t="shared" si="231"/>
        <v>-1.5053636762287455E-4</v>
      </c>
      <c r="FR88" s="14">
        <f t="shared" si="232"/>
        <v>0.86453057683782264</v>
      </c>
      <c r="FS88" s="14" t="str">
        <f t="shared" si="233"/>
        <v>-----</v>
      </c>
      <c r="FT88" s="14" t="str">
        <f t="shared" si="234"/>
        <v>Bearish</v>
      </c>
      <c r="FU88" s="5" t="str">
        <f t="shared" si="267"/>
        <v>-----</v>
      </c>
      <c r="FV88" s="5" t="str">
        <f t="shared" si="268"/>
        <v>-----</v>
      </c>
      <c r="FW88" s="5"/>
      <c r="FX88" s="15" t="str">
        <f t="shared" si="116"/>
        <v>YES</v>
      </c>
      <c r="FY88" s="15" t="str">
        <f t="shared" si="117"/>
        <v>-----</v>
      </c>
      <c r="FZ88" s="15" t="str">
        <f t="shared" si="118"/>
        <v>-----</v>
      </c>
      <c r="GA88" s="15" t="str">
        <f t="shared" si="119"/>
        <v>YES</v>
      </c>
      <c r="GB88" s="16" t="str">
        <f t="shared" si="274"/>
        <v>-----</v>
      </c>
      <c r="GC88" s="16" t="str">
        <f t="shared" si="275"/>
        <v>-----</v>
      </c>
      <c r="GD88" s="16" t="str">
        <f t="shared" si="276"/>
        <v>-----</v>
      </c>
      <c r="GE88" s="16" t="str">
        <f t="shared" si="278"/>
        <v>-----</v>
      </c>
      <c r="GF88" s="15" t="str">
        <f t="shared" si="277"/>
        <v>-----</v>
      </c>
      <c r="GG88" s="16" t="str">
        <f t="shared" si="120"/>
        <v>-----</v>
      </c>
      <c r="GH88" s="14"/>
      <c r="GI88" s="5" t="str">
        <f t="shared" si="235"/>
        <v>-----</v>
      </c>
      <c r="GJ88" s="5" t="str">
        <f t="shared" si="236"/>
        <v>-----</v>
      </c>
      <c r="GK88" s="5"/>
      <c r="GL88" s="5" t="str">
        <f t="shared" si="237"/>
        <v>-----</v>
      </c>
      <c r="GM88" s="5" t="str">
        <f t="shared" si="238"/>
        <v>-----</v>
      </c>
      <c r="GN88" s="5"/>
      <c r="GO88" s="12">
        <f t="shared" si="239"/>
        <v>4.2000000000001592E-2</v>
      </c>
      <c r="GP88" s="5">
        <f t="shared" si="269"/>
        <v>-0.77848047267509102</v>
      </c>
      <c r="GQ88" s="13" t="str">
        <f t="shared" si="270"/>
        <v>-----</v>
      </c>
      <c r="GR88" s="5"/>
      <c r="GS88">
        <f t="shared" si="271"/>
        <v>-0.69335272763386158</v>
      </c>
      <c r="GT88" s="5" t="str">
        <f t="shared" si="272"/>
        <v>-----</v>
      </c>
    </row>
    <row r="89" spans="1:202" x14ac:dyDescent="0.55000000000000004">
      <c r="A89">
        <v>85</v>
      </c>
      <c r="B89" t="s">
        <v>88</v>
      </c>
      <c r="C89" t="s">
        <v>4</v>
      </c>
      <c r="D89" t="s">
        <v>103</v>
      </c>
      <c r="E89">
        <v>152.72900000000001</v>
      </c>
      <c r="F89">
        <v>152.749</v>
      </c>
      <c r="G89">
        <v>152.726</v>
      </c>
      <c r="H89">
        <v>152.74600000000001</v>
      </c>
      <c r="I89">
        <v>278</v>
      </c>
      <c r="J89">
        <v>152.83500000000001</v>
      </c>
      <c r="K89">
        <v>152.88</v>
      </c>
      <c r="L89">
        <v>153.13300000000001</v>
      </c>
      <c r="M89">
        <v>152.624</v>
      </c>
      <c r="N89">
        <v>152.584</v>
      </c>
      <c r="O89">
        <v>152.90100000000001</v>
      </c>
      <c r="P89">
        <v>0</v>
      </c>
      <c r="Q89">
        <v>0</v>
      </c>
      <c r="R89">
        <v>0</v>
      </c>
      <c r="S89">
        <v>0</v>
      </c>
      <c r="T89">
        <v>0</v>
      </c>
      <c r="U89">
        <v>0.65542</v>
      </c>
      <c r="V89">
        <v>0</v>
      </c>
      <c r="W89">
        <v>153.06584000000001</v>
      </c>
      <c r="X89">
        <v>152.9889</v>
      </c>
      <c r="Y89">
        <v>152.91195999999999</v>
      </c>
      <c r="Z89">
        <v>152.83501999999999</v>
      </c>
      <c r="AA89">
        <v>152.75808000000001</v>
      </c>
      <c r="AB89">
        <v>152.72807</v>
      </c>
      <c r="AC89">
        <v>152.65112999999999</v>
      </c>
      <c r="AD89">
        <v>152.57418999999999</v>
      </c>
      <c r="AE89">
        <v>152.49726000000001</v>
      </c>
      <c r="AF89">
        <v>152.42032</v>
      </c>
      <c r="AG89">
        <v>152.73500000000001</v>
      </c>
      <c r="AH89">
        <v>152.75700000000001</v>
      </c>
      <c r="AI89">
        <v>152.78299999999999</v>
      </c>
      <c r="AJ89">
        <v>152.875</v>
      </c>
      <c r="AK89">
        <v>152.751</v>
      </c>
      <c r="AL89">
        <v>152.71799999999999</v>
      </c>
      <c r="AM89" s="11">
        <f t="shared" si="179"/>
        <v>2.2999999999996135E-2</v>
      </c>
      <c r="AN89" s="11">
        <f t="shared" si="240"/>
        <v>1.999999999998181E-2</v>
      </c>
      <c r="AO89" s="11">
        <f t="shared" si="241"/>
        <v>3.0000000000143245E-3</v>
      </c>
      <c r="AP89" s="11">
        <f t="shared" si="242"/>
        <v>2.2999999999996135E-2</v>
      </c>
      <c r="AR89" s="5" t="str">
        <f t="shared" si="180"/>
        <v>------</v>
      </c>
      <c r="AS89" s="5" t="str">
        <f t="shared" si="181"/>
        <v>------</v>
      </c>
      <c r="AT89" t="str">
        <f t="shared" si="182"/>
        <v/>
      </c>
      <c r="AV89" s="2">
        <f t="shared" si="183"/>
        <v>152.85792525000002</v>
      </c>
      <c r="AW89" s="2">
        <f t="shared" si="184"/>
        <v>152.81207475000002</v>
      </c>
      <c r="AX89" s="2">
        <f t="shared" si="185"/>
        <v>152.90293200000002</v>
      </c>
      <c r="AY89" s="2">
        <f t="shared" si="186"/>
        <v>152.857068</v>
      </c>
      <c r="AZ89" s="2">
        <f t="shared" si="187"/>
        <v>153.15596995000001</v>
      </c>
      <c r="BA89" s="2">
        <f t="shared" si="188"/>
        <v>153.11003005000001</v>
      </c>
      <c r="BB89" s="2">
        <f t="shared" si="189"/>
        <v>152.6468936</v>
      </c>
      <c r="BC89" s="2">
        <f t="shared" si="190"/>
        <v>152.60110639999999</v>
      </c>
      <c r="BD89" s="2">
        <f t="shared" si="191"/>
        <v>152.60688760000002</v>
      </c>
      <c r="BE89" s="2">
        <f t="shared" si="192"/>
        <v>152.56111240000001</v>
      </c>
      <c r="BF89" s="2">
        <f t="shared" si="193"/>
        <v>152.92393515000003</v>
      </c>
      <c r="BG89" s="2">
        <f t="shared" si="194"/>
        <v>152.87806485000002</v>
      </c>
      <c r="BI89" s="5" t="str">
        <f t="shared" si="243"/>
        <v>-----</v>
      </c>
      <c r="BJ89" s="5" t="str">
        <f t="shared" si="244"/>
        <v>-----</v>
      </c>
      <c r="BK89" s="5" t="str">
        <f t="shared" si="245"/>
        <v>-----</v>
      </c>
      <c r="BL89" s="5" t="str">
        <f t="shared" si="246"/>
        <v>-----</v>
      </c>
      <c r="BM89" s="5" t="str">
        <f t="shared" si="247"/>
        <v>-----</v>
      </c>
      <c r="BN89" s="5" t="str">
        <f t="shared" si="248"/>
        <v>-----</v>
      </c>
      <c r="BO89" s="5"/>
      <c r="BP89" s="5">
        <f t="shared" si="280"/>
        <v>21</v>
      </c>
      <c r="BQ89" s="5">
        <f t="shared" si="280"/>
        <v>21</v>
      </c>
      <c r="BR89" s="5">
        <f t="shared" si="280"/>
        <v>83</v>
      </c>
      <c r="BS89" s="5">
        <f t="shared" si="280"/>
        <v>85</v>
      </c>
      <c r="BT89" s="5">
        <f t="shared" si="280"/>
        <v>85</v>
      </c>
      <c r="BU89" s="5">
        <f t="shared" si="280"/>
        <v>21</v>
      </c>
      <c r="BV89" s="5">
        <f t="shared" si="281"/>
        <v>2</v>
      </c>
      <c r="BW89" s="5">
        <f t="shared" si="281"/>
        <v>2</v>
      </c>
      <c r="BX89" s="5">
        <f t="shared" si="281"/>
        <v>2</v>
      </c>
      <c r="BY89" s="5">
        <f t="shared" si="281"/>
        <v>0</v>
      </c>
      <c r="BZ89" s="5">
        <f t="shared" si="281"/>
        <v>0</v>
      </c>
      <c r="CA89" s="5">
        <f t="shared" si="281"/>
        <v>7</v>
      </c>
      <c r="CB89" s="5" t="str">
        <f t="shared" si="273"/>
        <v>-----</v>
      </c>
      <c r="CC89" s="5" t="str">
        <f t="shared" si="273"/>
        <v>-----</v>
      </c>
      <c r="CD89" s="5" t="str">
        <f t="shared" si="273"/>
        <v>-----</v>
      </c>
      <c r="CE89" s="5" t="str">
        <f t="shared" si="273"/>
        <v>-----</v>
      </c>
      <c r="CF89" s="5" t="str">
        <f t="shared" si="273"/>
        <v>-----</v>
      </c>
      <c r="CG89" s="5" t="str">
        <f t="shared" si="195"/>
        <v>-----</v>
      </c>
      <c r="CH89" s="5"/>
      <c r="CI89" s="17" t="str">
        <f t="shared" si="196"/>
        <v>-----</v>
      </c>
      <c r="CJ89" s="17" t="str">
        <f t="shared" si="197"/>
        <v>-----</v>
      </c>
      <c r="CK89" s="17" t="str">
        <f t="shared" si="198"/>
        <v>-----</v>
      </c>
      <c r="CL89" s="17" t="str">
        <f t="shared" si="199"/>
        <v>-----</v>
      </c>
      <c r="CM89" s="17" t="str">
        <f t="shared" si="200"/>
        <v>-----</v>
      </c>
      <c r="CN89" s="17" t="str">
        <f t="shared" si="201"/>
        <v>-----</v>
      </c>
      <c r="CO89" s="5"/>
      <c r="CP89" s="5" t="str">
        <f t="shared" si="177"/>
        <v>-----</v>
      </c>
      <c r="CQ89" s="5" t="str">
        <f t="shared" si="177"/>
        <v>-----</v>
      </c>
      <c r="CR89" s="5" t="str">
        <f t="shared" si="177"/>
        <v>-----</v>
      </c>
      <c r="CS89" s="5" t="str">
        <f t="shared" si="177"/>
        <v>-----</v>
      </c>
      <c r="CT89" s="5" t="str">
        <f t="shared" si="177"/>
        <v>-----</v>
      </c>
      <c r="CU89" s="5" t="str">
        <f t="shared" si="177"/>
        <v>-----</v>
      </c>
      <c r="CV89" s="5"/>
      <c r="CW89" s="17" t="str">
        <f t="shared" si="178"/>
        <v/>
      </c>
      <c r="CX89" s="17" t="str">
        <f t="shared" si="178"/>
        <v/>
      </c>
      <c r="CY89" s="17" t="str">
        <f t="shared" si="178"/>
        <v/>
      </c>
      <c r="CZ89" s="17" t="str">
        <f t="shared" si="178"/>
        <v/>
      </c>
      <c r="DA89" s="17" t="str">
        <f t="shared" si="178"/>
        <v/>
      </c>
      <c r="DB89" s="17" t="str">
        <f t="shared" si="178"/>
        <v/>
      </c>
      <c r="DC89" s="8"/>
      <c r="DD89" s="5">
        <f t="shared" si="202"/>
        <v>0</v>
      </c>
      <c r="DE89" s="17" t="str">
        <f t="shared" si="251"/>
        <v>-----</v>
      </c>
      <c r="DF89" s="5" t="str" cm="1">
        <f t="array" ref="DF89">_xlfn.IFS(DE89=CW89,CP89,DE89=CX89,CQ89,DE89=CY89,CR89,DE89=CZ89,CS89,DE89=DA89,CT89,DE89=DB89,CU89,TRUE,"----- ")</f>
        <v xml:space="preserve">----- </v>
      </c>
      <c r="DG89" s="5"/>
      <c r="DH89" s="5">
        <f t="shared" si="252"/>
        <v>-2.423265306122455E-3</v>
      </c>
      <c r="DI89" s="5">
        <f t="shared" si="253"/>
        <v>-3.7194805194805478E-4</v>
      </c>
      <c r="DJ89" s="5">
        <f t="shared" si="254"/>
        <v>-1.6402721088435472E-3</v>
      </c>
      <c r="DK89" s="5">
        <f t="shared" si="255"/>
        <v>7.6471243042669956E-4</v>
      </c>
      <c r="DL89" s="5">
        <f t="shared" si="256"/>
        <v>-2.3081014223875058E-4</v>
      </c>
      <c r="DM89" s="5">
        <f t="shared" si="257"/>
        <v>1.5802844774273381E-3</v>
      </c>
      <c r="DO89" s="5">
        <f t="shared" si="203"/>
        <v>-1.9079214597220278</v>
      </c>
      <c r="DP89" s="5">
        <f t="shared" si="204"/>
        <v>-0.29295343676527091</v>
      </c>
      <c r="DQ89" s="5">
        <f t="shared" si="205"/>
        <v>-1.2917022253843653</v>
      </c>
      <c r="DR89" s="5">
        <f t="shared" si="206"/>
        <v>0.60228527619529781</v>
      </c>
      <c r="DS89" s="5">
        <f t="shared" si="207"/>
        <v>-0.18179147971962978</v>
      </c>
      <c r="DT89" s="5">
        <f t="shared" si="208"/>
        <v>1.2444775446344229</v>
      </c>
      <c r="DV89" t="str" cm="1">
        <f t="array" ref="DV89">_xlfn.IFS(DO89&gt;3,"Strong + Slope",DO89&gt;1.5,"Moderate + Slope",DO89&gt;0.5,"Sideway + Slope",DO89&gt;=-0.5,"Sideway Flat",DO89&gt;=-1.5,"Sideway - Slope",DO89&gt;=-3,"Moderate - Slope",TRUE,"Strong - Slope")</f>
        <v>Moderate - Slope</v>
      </c>
      <c r="DW89" t="str" cm="1">
        <f t="array" ref="DW89">_xlfn.IFS(DP89&gt;3,"Strong + Slope",DP89&gt;1.5,"Moderate + Slope",DP89&gt;0.5,"Sideway + Slope",DP89&gt;=-0.5,"Sideway Flat",DP89&gt;=-1.5,"Sideway - Slope",DP89&gt;=-3,"Moderate - Slope",TRUE,"Strong - Slope")</f>
        <v>Sideway Flat</v>
      </c>
      <c r="DX89" t="str" cm="1">
        <f t="array" ref="DX89">_xlfn.IFS(DQ89&gt;3,"Strong + Slope",DQ89&gt;1.5,"Moderate + Slope",DQ89&gt;0.5,"Sideway + Slope",DQ89&gt;=-0.5,"Sideway Flat",DQ89&gt;=-1.5,"Sideway - Slope",DQ89&gt;=-3,"Moderate - Slope",TRUE,"Strong - Slope")</f>
        <v>Sideway - Slope</v>
      </c>
      <c r="DY89" t="str" cm="1">
        <f t="array" ref="DY89">_xlfn.IFS(DR89&gt;3,"Strong + Slope",DR89&gt;1.5,"Moderate + Slope",DR89&gt;0.5,"Sideway + Slope",DR89&gt;=-0.5,"Sideway Flat",DR89&gt;=-1.5,"Sideway - Slope",DR89&gt;=-3,"Moderate - Slope",TRUE,"Strong - Slope")</f>
        <v>Sideway + Slope</v>
      </c>
      <c r="DZ89" t="str" cm="1">
        <f t="array" ref="DZ89">_xlfn.IFS(DS89&gt;3,"Strong + Slope",DS89&gt;1.5,"Moderate + Slope",DS89&gt;0.5,"Sideway + Slope",DS89&gt;=-0.5,"Sideway Flat",DS89&gt;=-1.5,"Sideway - Slope",DS89&gt;=-3,"Moderate - Slope",TRUE,"Strong - Slope")</f>
        <v>Sideway Flat</v>
      </c>
      <c r="EA89" t="str" cm="1">
        <f t="array" ref="EA89">_xlfn.IFS(DT89&gt;3,"Strong + Slope",DT89&gt;1.5,"Moderate + Slope",DT89&gt;0.5,"Sideway + Slope",DT89&gt;=-0.5,"Sideway Flat",DT89&gt;=-1.5,"Sideway - Slope",DT89&gt;=-3,"Moderate - Slope",TRUE,"Strong - Slope")</f>
        <v>Sideway + Slope</v>
      </c>
      <c r="EB89" s="5"/>
      <c r="EC89" s="5">
        <f t="shared" si="209"/>
        <v>4</v>
      </c>
      <c r="ED89" s="5">
        <f t="shared" si="210"/>
        <v>3</v>
      </c>
      <c r="EE89" s="5">
        <f t="shared" si="211"/>
        <v>1</v>
      </c>
      <c r="EF89" s="5">
        <f t="shared" si="212"/>
        <v>5</v>
      </c>
      <c r="EG89" s="5">
        <f t="shared" si="213"/>
        <v>6</v>
      </c>
      <c r="EH89" s="5">
        <f t="shared" si="214"/>
        <v>2</v>
      </c>
      <c r="EI89" s="5"/>
      <c r="EJ89" s="5" t="str">
        <f t="shared" si="215"/>
        <v>RES</v>
      </c>
      <c r="EK89" s="5" t="str">
        <f t="shared" si="216"/>
        <v>RES</v>
      </c>
      <c r="EL89" s="5" t="str">
        <f t="shared" si="217"/>
        <v>RES</v>
      </c>
      <c r="EM89" s="5" t="str">
        <f t="shared" si="218"/>
        <v>SUP</v>
      </c>
      <c r="EN89" s="5" t="str">
        <f t="shared" si="219"/>
        <v>SUP</v>
      </c>
      <c r="EO89" s="5" t="str">
        <f t="shared" si="220"/>
        <v>RES</v>
      </c>
      <c r="EP89" s="5"/>
      <c r="EQ89" s="8">
        <f t="shared" si="221"/>
        <v>5.8266664920848094E-4</v>
      </c>
      <c r="ER89" s="8">
        <f t="shared" si="222"/>
        <v>8.7727338195426479E-4</v>
      </c>
      <c r="ES89" s="8">
        <f t="shared" si="223"/>
        <v>2.5336179016144478E-3</v>
      </c>
      <c r="ET89" s="8">
        <f t="shared" si="224"/>
        <v>-7.9871158655555035E-4</v>
      </c>
      <c r="EU89" s="8">
        <f t="shared" si="225"/>
        <v>-1.0605842378851565E-3</v>
      </c>
      <c r="EV89" s="8">
        <f t="shared" si="226"/>
        <v>1.0147565239024337E-3</v>
      </c>
      <c r="EW89" s="8"/>
      <c r="EX89" s="8">
        <f t="shared" si="227"/>
        <v>0.29508196721312241</v>
      </c>
      <c r="EY89" s="9">
        <f t="shared" si="228"/>
        <v>4</v>
      </c>
      <c r="EZ89" s="10">
        <f t="shared" si="229"/>
        <v>2</v>
      </c>
      <c r="FA89" s="8">
        <f t="shared" si="258"/>
        <v>2.5336179016144478E-3</v>
      </c>
      <c r="FB89" s="8">
        <f t="shared" si="259"/>
        <v>1.0147565239024337E-3</v>
      </c>
      <c r="FC89" s="8">
        <f t="shared" si="260"/>
        <v>8.7727338195426479E-4</v>
      </c>
      <c r="FD89" s="8">
        <f t="shared" si="261"/>
        <v>5.8266664920848094E-4</v>
      </c>
      <c r="FE89" s="8">
        <f t="shared" si="262"/>
        <v>-7.9871158655555035E-4</v>
      </c>
      <c r="FF89" s="8">
        <f t="shared" si="263"/>
        <v>-1.0605842378851565E-3</v>
      </c>
      <c r="FG89" s="5"/>
      <c r="FH89" s="5" t="str">
        <f t="shared" si="230"/>
        <v>-----</v>
      </c>
      <c r="FI89" s="5" t="str">
        <f t="shared" si="264"/>
        <v>-----</v>
      </c>
      <c r="FJ89" s="5"/>
      <c r="FK89" s="5" t="str">
        <f t="shared" si="265"/>
        <v>-----</v>
      </c>
      <c r="FL89" s="5" t="str">
        <f t="shared" si="266"/>
        <v>-----</v>
      </c>
      <c r="FM89" s="5"/>
      <c r="FN89" s="5"/>
      <c r="FO89" s="8" t="str">
        <f t="shared" si="279"/>
        <v>Bearish</v>
      </c>
      <c r="FP89" s="8"/>
      <c r="FQ89" s="14">
        <f t="shared" si="231"/>
        <v>-1.7017600125656676E-4</v>
      </c>
      <c r="FR89" s="14">
        <f t="shared" si="232"/>
        <v>0.80788883691552482</v>
      </c>
      <c r="FS89" s="14" t="str">
        <f t="shared" si="233"/>
        <v>-----</v>
      </c>
      <c r="FT89" s="14" t="str">
        <f t="shared" si="234"/>
        <v>Bearish</v>
      </c>
      <c r="FU89" s="5" t="str">
        <f t="shared" si="267"/>
        <v>TEMA crossover</v>
      </c>
      <c r="FV89" s="5" t="str">
        <f t="shared" si="268"/>
        <v>-----</v>
      </c>
      <c r="FW89" s="5"/>
      <c r="FX89" s="15" t="str">
        <f t="shared" si="116"/>
        <v>YES</v>
      </c>
      <c r="FY89" s="15" t="str">
        <f t="shared" si="117"/>
        <v>-----</v>
      </c>
      <c r="FZ89" s="15" t="str">
        <f t="shared" si="118"/>
        <v>-----</v>
      </c>
      <c r="GA89" s="15" t="str">
        <f t="shared" si="119"/>
        <v>-----</v>
      </c>
      <c r="GB89" s="16" t="str">
        <f t="shared" si="274"/>
        <v>-----</v>
      </c>
      <c r="GC89" s="16" t="str">
        <f t="shared" si="275"/>
        <v>-----</v>
      </c>
      <c r="GD89" s="16" t="str">
        <f t="shared" si="276"/>
        <v>YES</v>
      </c>
      <c r="GE89" s="16" t="str">
        <f t="shared" si="278"/>
        <v>YES</v>
      </c>
      <c r="GF89" s="15" t="str">
        <f t="shared" si="277"/>
        <v>-----</v>
      </c>
      <c r="GG89" s="16" t="str">
        <f t="shared" si="120"/>
        <v>-----</v>
      </c>
      <c r="GH89" s="14"/>
      <c r="GI89" s="5" t="str">
        <f t="shared" si="235"/>
        <v>-----</v>
      </c>
      <c r="GJ89" s="5" t="str">
        <f t="shared" si="236"/>
        <v>-----</v>
      </c>
      <c r="GK89" s="5"/>
      <c r="GL89" s="5" t="str">
        <f t="shared" si="237"/>
        <v>-----</v>
      </c>
      <c r="GM89" s="5" t="str">
        <f t="shared" si="238"/>
        <v>-----</v>
      </c>
      <c r="GN89" s="5"/>
      <c r="GO89" s="12">
        <f t="shared" si="239"/>
        <v>3.3000000000015461E-2</v>
      </c>
      <c r="GP89" s="5">
        <f t="shared" si="269"/>
        <v>-0.98590454598622335</v>
      </c>
      <c r="GQ89" s="13" t="str">
        <f t="shared" si="270"/>
        <v>-----</v>
      </c>
      <c r="GR89" s="5"/>
      <c r="GS89">
        <f t="shared" si="271"/>
        <v>-6.7399334433901822E-2</v>
      </c>
      <c r="GT89" s="5" t="str">
        <f t="shared" si="272"/>
        <v>-----</v>
      </c>
    </row>
    <row r="90" spans="1:202" x14ac:dyDescent="0.55000000000000004">
      <c r="A90">
        <v>86</v>
      </c>
      <c r="B90" t="s">
        <v>89</v>
      </c>
      <c r="C90" t="s">
        <v>4</v>
      </c>
      <c r="D90" t="s">
        <v>103</v>
      </c>
      <c r="E90">
        <v>152.74600000000001</v>
      </c>
      <c r="F90">
        <v>152.79</v>
      </c>
      <c r="G90">
        <v>152.74100000000001</v>
      </c>
      <c r="H90">
        <v>152.74199999999999</v>
      </c>
      <c r="I90">
        <v>167</v>
      </c>
      <c r="J90">
        <v>152.83199999999999</v>
      </c>
      <c r="K90">
        <v>152.87899999999999</v>
      </c>
      <c r="L90">
        <v>153.13200000000001</v>
      </c>
      <c r="M90">
        <v>152.625</v>
      </c>
      <c r="N90">
        <v>152.583</v>
      </c>
      <c r="O90">
        <v>152.90199999999999</v>
      </c>
      <c r="P90">
        <v>0</v>
      </c>
      <c r="Q90">
        <v>0</v>
      </c>
      <c r="R90">
        <v>0</v>
      </c>
      <c r="S90">
        <v>0</v>
      </c>
      <c r="T90">
        <v>1</v>
      </c>
      <c r="U90">
        <v>0.96518999999999999</v>
      </c>
      <c r="V90">
        <v>3</v>
      </c>
      <c r="W90">
        <v>153.06236999999999</v>
      </c>
      <c r="X90">
        <v>152.98578000000001</v>
      </c>
      <c r="Y90">
        <v>152.90917999999999</v>
      </c>
      <c r="Z90">
        <v>152.83259000000001</v>
      </c>
      <c r="AA90">
        <v>152.756</v>
      </c>
      <c r="AB90">
        <v>152.726</v>
      </c>
      <c r="AC90">
        <v>152.64940000000001</v>
      </c>
      <c r="AD90">
        <v>152.57281</v>
      </c>
      <c r="AE90">
        <v>152.49621999999999</v>
      </c>
      <c r="AF90">
        <v>152.41963000000001</v>
      </c>
      <c r="AG90">
        <v>152.74199999999999</v>
      </c>
      <c r="AH90">
        <v>152.75299999999999</v>
      </c>
      <c r="AI90">
        <v>152.78100000000001</v>
      </c>
      <c r="AJ90">
        <v>152.87200000000001</v>
      </c>
      <c r="AK90">
        <v>152.76499999999999</v>
      </c>
      <c r="AL90">
        <v>152.72499999999999</v>
      </c>
      <c r="AM90" s="11">
        <f t="shared" si="179"/>
        <v>4.8999999999978172E-2</v>
      </c>
      <c r="AN90" s="11">
        <f t="shared" si="240"/>
        <v>4.399999999998272E-2</v>
      </c>
      <c r="AO90" s="11">
        <f t="shared" si="241"/>
        <v>4.9999999999954525E-3</v>
      </c>
      <c r="AP90" s="11">
        <f t="shared" si="242"/>
        <v>4.8999999999978172E-2</v>
      </c>
      <c r="AR90" s="5" t="str">
        <f t="shared" si="180"/>
        <v>------</v>
      </c>
      <c r="AS90" s="5" t="str">
        <f t="shared" si="181"/>
        <v>------</v>
      </c>
      <c r="AT90" t="str">
        <f t="shared" si="182"/>
        <v/>
      </c>
      <c r="AV90" s="2">
        <f t="shared" si="183"/>
        <v>152.85492480000002</v>
      </c>
      <c r="AW90" s="2">
        <f t="shared" si="184"/>
        <v>152.8090752</v>
      </c>
      <c r="AX90" s="2">
        <f t="shared" si="185"/>
        <v>152.90193185000001</v>
      </c>
      <c r="AY90" s="2">
        <f t="shared" si="186"/>
        <v>152.85606815</v>
      </c>
      <c r="AZ90" s="2">
        <f t="shared" si="187"/>
        <v>153.15496980000003</v>
      </c>
      <c r="BA90" s="2">
        <f t="shared" si="188"/>
        <v>153.10903020000001</v>
      </c>
      <c r="BB90" s="2">
        <f t="shared" si="189"/>
        <v>152.64789375000001</v>
      </c>
      <c r="BC90" s="2">
        <f t="shared" si="190"/>
        <v>152.60210624999999</v>
      </c>
      <c r="BD90" s="2">
        <f t="shared" si="191"/>
        <v>152.60588745000001</v>
      </c>
      <c r="BE90" s="2">
        <f t="shared" si="192"/>
        <v>152.56011255000001</v>
      </c>
      <c r="BF90" s="2">
        <f t="shared" si="193"/>
        <v>152.92493529999999</v>
      </c>
      <c r="BG90" s="2">
        <f t="shared" si="194"/>
        <v>152.87906469999999</v>
      </c>
      <c r="BI90" s="5" t="str">
        <f t="shared" si="243"/>
        <v>-----</v>
      </c>
      <c r="BJ90" s="5" t="str">
        <f t="shared" si="244"/>
        <v>-----</v>
      </c>
      <c r="BK90" s="5" t="str">
        <f t="shared" si="245"/>
        <v>-----</v>
      </c>
      <c r="BL90" s="5" t="str">
        <f t="shared" si="246"/>
        <v>-----</v>
      </c>
      <c r="BM90" s="5" t="str">
        <f t="shared" si="247"/>
        <v>-----</v>
      </c>
      <c r="BN90" s="5" t="str">
        <f t="shared" si="248"/>
        <v>-----</v>
      </c>
      <c r="BO90" s="5"/>
      <c r="BP90" s="5">
        <f t="shared" si="280"/>
        <v>22</v>
      </c>
      <c r="BQ90" s="5">
        <f t="shared" si="280"/>
        <v>22</v>
      </c>
      <c r="BR90" s="5">
        <f t="shared" si="280"/>
        <v>84</v>
      </c>
      <c r="BS90" s="5">
        <f t="shared" si="280"/>
        <v>86</v>
      </c>
      <c r="BT90" s="5">
        <f t="shared" si="280"/>
        <v>86</v>
      </c>
      <c r="BU90" s="5">
        <f t="shared" si="280"/>
        <v>22</v>
      </c>
      <c r="BV90" s="5">
        <f t="shared" si="281"/>
        <v>2</v>
      </c>
      <c r="BW90" s="5">
        <f t="shared" si="281"/>
        <v>2</v>
      </c>
      <c r="BX90" s="5">
        <f t="shared" si="281"/>
        <v>2</v>
      </c>
      <c r="BY90" s="5">
        <f t="shared" si="281"/>
        <v>0</v>
      </c>
      <c r="BZ90" s="5">
        <f t="shared" si="281"/>
        <v>0</v>
      </c>
      <c r="CA90" s="5">
        <f t="shared" si="281"/>
        <v>7</v>
      </c>
      <c r="CB90" s="5" t="str">
        <f t="shared" si="273"/>
        <v>-----</v>
      </c>
      <c r="CC90" s="5" t="str">
        <f t="shared" si="273"/>
        <v>-----</v>
      </c>
      <c r="CD90" s="5" t="str">
        <f t="shared" si="273"/>
        <v>-----</v>
      </c>
      <c r="CE90" s="5" t="str">
        <f t="shared" si="273"/>
        <v>-----</v>
      </c>
      <c r="CF90" s="5" t="str">
        <f t="shared" si="273"/>
        <v>-----</v>
      </c>
      <c r="CG90" s="5" t="str">
        <f t="shared" si="195"/>
        <v>-----</v>
      </c>
      <c r="CH90" s="5"/>
      <c r="CI90" s="17" t="str">
        <f t="shared" si="196"/>
        <v>-----</v>
      </c>
      <c r="CJ90" s="17" t="str">
        <f t="shared" si="197"/>
        <v>-----</v>
      </c>
      <c r="CK90" s="17" t="str">
        <f t="shared" si="198"/>
        <v>-----</v>
      </c>
      <c r="CL90" s="17" t="str">
        <f t="shared" si="199"/>
        <v>-----</v>
      </c>
      <c r="CM90" s="17" t="str">
        <f t="shared" si="200"/>
        <v>-----</v>
      </c>
      <c r="CN90" s="17" t="str">
        <f t="shared" si="201"/>
        <v>-----</v>
      </c>
      <c r="CO90" s="5"/>
      <c r="CP90" s="5" t="str">
        <f t="shared" si="177"/>
        <v>-----</v>
      </c>
      <c r="CQ90" s="5" t="str">
        <f t="shared" si="177"/>
        <v>-----</v>
      </c>
      <c r="CR90" s="5" t="str">
        <f t="shared" si="177"/>
        <v>-----</v>
      </c>
      <c r="CS90" s="5" t="str">
        <f t="shared" si="177"/>
        <v>-----</v>
      </c>
      <c r="CT90" s="5" t="str">
        <f t="shared" si="177"/>
        <v>-----</v>
      </c>
      <c r="CU90" s="5" t="str">
        <f t="shared" si="177"/>
        <v>-----</v>
      </c>
      <c r="CV90" s="5"/>
      <c r="CW90" s="17" t="str">
        <f t="shared" si="178"/>
        <v/>
      </c>
      <c r="CX90" s="17" t="str">
        <f t="shared" si="178"/>
        <v/>
      </c>
      <c r="CY90" s="17" t="str">
        <f t="shared" si="178"/>
        <v/>
      </c>
      <c r="CZ90" s="17" t="str">
        <f t="shared" si="178"/>
        <v/>
      </c>
      <c r="DA90" s="17" t="str">
        <f t="shared" si="178"/>
        <v/>
      </c>
      <c r="DB90" s="17" t="str">
        <f t="shared" si="178"/>
        <v/>
      </c>
      <c r="DC90" s="8"/>
      <c r="DD90" s="5">
        <f t="shared" si="202"/>
        <v>0</v>
      </c>
      <c r="DE90" s="17" t="str">
        <f t="shared" si="251"/>
        <v>-----</v>
      </c>
      <c r="DF90" s="5" t="str" cm="1">
        <f t="array" ref="DF90">_xlfn.IFS(DE90=CW90,CP90,DE90=CX90,CQ90,DE90=CY90,CR90,DE90=CZ90,CS90,DE90=DA90,CT90,DE90=DB90,CU90,TRUE,"----- ")</f>
        <v xml:space="preserve">----- </v>
      </c>
      <c r="DG90" s="5"/>
      <c r="DH90" s="5">
        <f t="shared" si="252"/>
        <v>-2.423265306122455E-3</v>
      </c>
      <c r="DI90" s="5">
        <f t="shared" si="253"/>
        <v>-3.7194805194805478E-4</v>
      </c>
      <c r="DJ90" s="5">
        <f t="shared" si="254"/>
        <v>-1.6402721088435472E-3</v>
      </c>
      <c r="DK90" s="5">
        <f t="shared" si="255"/>
        <v>7.6471243042669956E-4</v>
      </c>
      <c r="DL90" s="5">
        <f t="shared" si="256"/>
        <v>-2.3081014223875058E-4</v>
      </c>
      <c r="DM90" s="5">
        <f t="shared" si="257"/>
        <v>1.5802844774273381E-3</v>
      </c>
      <c r="DO90" s="5">
        <f t="shared" si="203"/>
        <v>-1.9079214597220278</v>
      </c>
      <c r="DP90" s="5">
        <f t="shared" si="204"/>
        <v>-0.29295343676527091</v>
      </c>
      <c r="DQ90" s="5">
        <f t="shared" si="205"/>
        <v>-1.2917022253843653</v>
      </c>
      <c r="DR90" s="5">
        <f t="shared" si="206"/>
        <v>0.60228527619529781</v>
      </c>
      <c r="DS90" s="5">
        <f t="shared" si="207"/>
        <v>-0.18179147971962978</v>
      </c>
      <c r="DT90" s="5">
        <f t="shared" si="208"/>
        <v>1.2444775446344229</v>
      </c>
      <c r="DV90" t="str" cm="1">
        <f t="array" ref="DV90">_xlfn.IFS(DO90&gt;3,"Strong + Slope",DO90&gt;1.5,"Moderate + Slope",DO90&gt;0.5,"Sideway + Slope",DO90&gt;=-0.5,"Sideway Flat",DO90&gt;=-1.5,"Sideway - Slope",DO90&gt;=-3,"Moderate - Slope",TRUE,"Strong - Slope")</f>
        <v>Moderate - Slope</v>
      </c>
      <c r="DW90" t="str" cm="1">
        <f t="array" ref="DW90">_xlfn.IFS(DP90&gt;3,"Strong + Slope",DP90&gt;1.5,"Moderate + Slope",DP90&gt;0.5,"Sideway + Slope",DP90&gt;=-0.5,"Sideway Flat",DP90&gt;=-1.5,"Sideway - Slope",DP90&gt;=-3,"Moderate - Slope",TRUE,"Strong - Slope")</f>
        <v>Sideway Flat</v>
      </c>
      <c r="DX90" t="str" cm="1">
        <f t="array" ref="DX90">_xlfn.IFS(DQ90&gt;3,"Strong + Slope",DQ90&gt;1.5,"Moderate + Slope",DQ90&gt;0.5,"Sideway + Slope",DQ90&gt;=-0.5,"Sideway Flat",DQ90&gt;=-1.5,"Sideway - Slope",DQ90&gt;=-3,"Moderate - Slope",TRUE,"Strong - Slope")</f>
        <v>Sideway - Slope</v>
      </c>
      <c r="DY90" t="str" cm="1">
        <f t="array" ref="DY90">_xlfn.IFS(DR90&gt;3,"Strong + Slope",DR90&gt;1.5,"Moderate + Slope",DR90&gt;0.5,"Sideway + Slope",DR90&gt;=-0.5,"Sideway Flat",DR90&gt;=-1.5,"Sideway - Slope",DR90&gt;=-3,"Moderate - Slope",TRUE,"Strong - Slope")</f>
        <v>Sideway + Slope</v>
      </c>
      <c r="DZ90" t="str" cm="1">
        <f t="array" ref="DZ90">_xlfn.IFS(DS90&gt;3,"Strong + Slope",DS90&gt;1.5,"Moderate + Slope",DS90&gt;0.5,"Sideway + Slope",DS90&gt;=-0.5,"Sideway Flat",DS90&gt;=-1.5,"Sideway - Slope",DS90&gt;=-3,"Moderate - Slope",TRUE,"Strong - Slope")</f>
        <v>Sideway Flat</v>
      </c>
      <c r="EA90" t="str" cm="1">
        <f t="array" ref="EA90">_xlfn.IFS(DT90&gt;3,"Strong + Slope",DT90&gt;1.5,"Moderate + Slope",DT90&gt;0.5,"Sideway + Slope",DT90&gt;=-0.5,"Sideway Flat",DT90&gt;=-1.5,"Sideway - Slope",DT90&gt;=-3,"Moderate - Slope",TRUE,"Strong - Slope")</f>
        <v>Sideway + Slope</v>
      </c>
      <c r="EB90" s="5"/>
      <c r="EC90" s="5">
        <f t="shared" si="209"/>
        <v>4</v>
      </c>
      <c r="ED90" s="5">
        <f t="shared" si="210"/>
        <v>3</v>
      </c>
      <c r="EE90" s="5">
        <f t="shared" si="211"/>
        <v>1</v>
      </c>
      <c r="EF90" s="5">
        <f t="shared" si="212"/>
        <v>5</v>
      </c>
      <c r="EG90" s="5">
        <f t="shared" si="213"/>
        <v>6</v>
      </c>
      <c r="EH90" s="5">
        <f t="shared" si="214"/>
        <v>2</v>
      </c>
      <c r="EI90" s="5"/>
      <c r="EJ90" s="5" t="str">
        <f t="shared" si="215"/>
        <v>RES</v>
      </c>
      <c r="EK90" s="5" t="str">
        <f t="shared" si="216"/>
        <v>RES</v>
      </c>
      <c r="EL90" s="5" t="str">
        <f t="shared" si="217"/>
        <v>RES</v>
      </c>
      <c r="EM90" s="5" t="str">
        <f t="shared" si="218"/>
        <v>SUP</v>
      </c>
      <c r="EN90" s="5" t="str">
        <f t="shared" si="219"/>
        <v>SUP</v>
      </c>
      <c r="EO90" s="5" t="str">
        <f t="shared" si="220"/>
        <v>RES</v>
      </c>
      <c r="EP90" s="5"/>
      <c r="EQ90" s="8">
        <f t="shared" si="221"/>
        <v>5.8922889578507168E-4</v>
      </c>
      <c r="ER90" s="8">
        <f t="shared" si="222"/>
        <v>8.9693731913946702E-4</v>
      </c>
      <c r="ES90" s="8">
        <f t="shared" si="223"/>
        <v>2.5533252150686438E-3</v>
      </c>
      <c r="ET90" s="8">
        <f t="shared" si="224"/>
        <v>-7.6599756452050015E-4</v>
      </c>
      <c r="EU90" s="8">
        <f t="shared" si="225"/>
        <v>-1.0409710492202003E-3</v>
      </c>
      <c r="EV90" s="8">
        <f t="shared" si="226"/>
        <v>1.0475180369511766E-3</v>
      </c>
      <c r="EW90" s="8"/>
      <c r="EX90" s="8">
        <f t="shared" si="227"/>
        <v>0.28961748633877943</v>
      </c>
      <c r="EY90" s="9">
        <f t="shared" si="228"/>
        <v>4</v>
      </c>
      <c r="EZ90" s="10">
        <f t="shared" si="229"/>
        <v>2</v>
      </c>
      <c r="FA90" s="8">
        <f t="shared" si="258"/>
        <v>2.5533252150686438E-3</v>
      </c>
      <c r="FB90" s="8">
        <f t="shared" si="259"/>
        <v>1.0475180369511766E-3</v>
      </c>
      <c r="FC90" s="8">
        <f t="shared" si="260"/>
        <v>8.9693731913946702E-4</v>
      </c>
      <c r="FD90" s="8">
        <f t="shared" si="261"/>
        <v>5.8922889578507168E-4</v>
      </c>
      <c r="FE90" s="8">
        <f t="shared" si="262"/>
        <v>-7.6599756452050015E-4</v>
      </c>
      <c r="FF90" s="8">
        <f t="shared" si="263"/>
        <v>-1.0409710492202003E-3</v>
      </c>
      <c r="FG90" s="5"/>
      <c r="FH90" s="5" t="str">
        <f t="shared" si="230"/>
        <v>-----</v>
      </c>
      <c r="FI90" s="5" t="str">
        <f t="shared" si="264"/>
        <v>-----</v>
      </c>
      <c r="FJ90" s="5"/>
      <c r="FK90" s="5" t="str">
        <f t="shared" si="265"/>
        <v>-----</v>
      </c>
      <c r="FL90" s="5" t="str">
        <f t="shared" si="266"/>
        <v>-----</v>
      </c>
      <c r="FM90" s="5"/>
      <c r="FN90" s="5"/>
      <c r="FO90" s="8" t="str">
        <f t="shared" si="279"/>
        <v>Bearish</v>
      </c>
      <c r="FP90" s="8"/>
      <c r="FQ90" s="14">
        <f t="shared" si="231"/>
        <v>-1.8326886196595133E-4</v>
      </c>
      <c r="FR90" s="14">
        <f t="shared" si="232"/>
        <v>0.77012833562655991</v>
      </c>
      <c r="FS90" s="14" t="str">
        <f t="shared" si="233"/>
        <v>-----</v>
      </c>
      <c r="FT90" s="14" t="str">
        <f t="shared" si="234"/>
        <v>Bearish</v>
      </c>
      <c r="FU90" s="5" t="str">
        <f t="shared" si="267"/>
        <v>-----</v>
      </c>
      <c r="FV90" s="5" t="str">
        <f t="shared" si="268"/>
        <v>-----</v>
      </c>
      <c r="FW90" s="5"/>
      <c r="FX90" s="15" t="str">
        <f t="shared" si="116"/>
        <v>YES</v>
      </c>
      <c r="FY90" s="15" t="str">
        <f t="shared" si="117"/>
        <v>-----</v>
      </c>
      <c r="FZ90" s="15" t="str">
        <f t="shared" si="118"/>
        <v>-----</v>
      </c>
      <c r="GA90" s="15" t="str">
        <f t="shared" si="119"/>
        <v>-----</v>
      </c>
      <c r="GB90" s="16" t="str">
        <f t="shared" si="274"/>
        <v>-----</v>
      </c>
      <c r="GC90" s="16" t="str">
        <f t="shared" si="275"/>
        <v>-----</v>
      </c>
      <c r="GD90" s="16" t="str">
        <f t="shared" si="276"/>
        <v>YES</v>
      </c>
      <c r="GE90" s="16" t="str">
        <f t="shared" si="278"/>
        <v>YES</v>
      </c>
      <c r="GF90" s="15" t="str">
        <f t="shared" si="277"/>
        <v>-----</v>
      </c>
      <c r="GG90" s="16" t="str">
        <f t="shared" si="120"/>
        <v>-----</v>
      </c>
      <c r="GH90" s="14"/>
      <c r="GI90" s="5" t="str">
        <f t="shared" si="235"/>
        <v>-----</v>
      </c>
      <c r="GJ90" s="5" t="str">
        <f t="shared" si="236"/>
        <v>-----</v>
      </c>
      <c r="GK90" s="5"/>
      <c r="GL90" s="5" t="str">
        <f t="shared" si="237"/>
        <v>-----</v>
      </c>
      <c r="GM90" s="5" t="str">
        <f t="shared" si="238"/>
        <v>-----</v>
      </c>
      <c r="GN90" s="5"/>
      <c r="GO90" s="12">
        <f t="shared" si="239"/>
        <v>3.9999999999992042E-2</v>
      </c>
      <c r="GP90" s="5">
        <f t="shared" si="269"/>
        <v>-0.82457471118896708</v>
      </c>
      <c r="GQ90" s="13" t="str">
        <f t="shared" si="270"/>
        <v>-----</v>
      </c>
      <c r="GR90" s="5"/>
      <c r="GS90">
        <f t="shared" si="271"/>
        <v>-0.78369651634313409</v>
      </c>
      <c r="GT90" s="5" t="str">
        <f t="shared" si="272"/>
        <v>-----</v>
      </c>
    </row>
    <row r="91" spans="1:202" x14ac:dyDescent="0.55000000000000004">
      <c r="A91">
        <v>87</v>
      </c>
      <c r="B91" t="s">
        <v>90</v>
      </c>
      <c r="C91" t="s">
        <v>4</v>
      </c>
      <c r="D91" t="s">
        <v>103</v>
      </c>
      <c r="E91">
        <v>152.74199999999999</v>
      </c>
      <c r="F91">
        <v>152.75299999999999</v>
      </c>
      <c r="G91">
        <v>152.70599999999999</v>
      </c>
      <c r="H91">
        <v>152.70599999999999</v>
      </c>
      <c r="I91">
        <v>216</v>
      </c>
      <c r="J91">
        <v>152.83000000000001</v>
      </c>
      <c r="K91">
        <v>152.87899999999999</v>
      </c>
      <c r="L91">
        <v>153.13</v>
      </c>
      <c r="M91">
        <v>152.626</v>
      </c>
      <c r="N91">
        <v>152.583</v>
      </c>
      <c r="O91">
        <v>152.904</v>
      </c>
      <c r="P91">
        <v>0</v>
      </c>
      <c r="Q91">
        <v>0</v>
      </c>
      <c r="R91">
        <v>0</v>
      </c>
      <c r="S91">
        <v>0</v>
      </c>
      <c r="T91">
        <v>0</v>
      </c>
      <c r="U91">
        <v>0.19186</v>
      </c>
      <c r="V91">
        <v>3</v>
      </c>
      <c r="W91">
        <v>153.05986999999999</v>
      </c>
      <c r="X91">
        <v>152.98329000000001</v>
      </c>
      <c r="Y91">
        <v>152.90672000000001</v>
      </c>
      <c r="Z91">
        <v>152.83015</v>
      </c>
      <c r="AA91">
        <v>152.75357</v>
      </c>
      <c r="AB91">
        <v>152.72334000000001</v>
      </c>
      <c r="AC91">
        <v>152.64677</v>
      </c>
      <c r="AD91">
        <v>152.57019</v>
      </c>
      <c r="AE91">
        <v>152.49361999999999</v>
      </c>
      <c r="AF91">
        <v>152.41704999999999</v>
      </c>
      <c r="AG91">
        <v>152.72900000000001</v>
      </c>
      <c r="AH91">
        <v>152.74600000000001</v>
      </c>
      <c r="AI91">
        <v>152.77699999999999</v>
      </c>
      <c r="AJ91">
        <v>152.86799999999999</v>
      </c>
      <c r="AK91">
        <v>152.75700000000001</v>
      </c>
      <c r="AL91">
        <v>152.71299999999999</v>
      </c>
      <c r="AM91" s="11">
        <f t="shared" si="179"/>
        <v>4.6999999999997044E-2</v>
      </c>
      <c r="AN91" s="11">
        <f t="shared" si="240"/>
        <v>1.099999999999568E-2</v>
      </c>
      <c r="AO91" s="11">
        <f t="shared" si="241"/>
        <v>3.6000000000001364E-2</v>
      </c>
      <c r="AP91" s="11">
        <f t="shared" si="242"/>
        <v>4.6999999999997044E-2</v>
      </c>
      <c r="AR91" s="5" t="str">
        <f t="shared" si="180"/>
        <v>------</v>
      </c>
      <c r="AS91" s="5" t="str">
        <f t="shared" si="181"/>
        <v>------</v>
      </c>
      <c r="AT91" t="str">
        <f t="shared" si="182"/>
        <v/>
      </c>
      <c r="AV91" s="2">
        <f t="shared" si="183"/>
        <v>152.85292450000003</v>
      </c>
      <c r="AW91" s="2">
        <f t="shared" si="184"/>
        <v>152.80707550000002</v>
      </c>
      <c r="AX91" s="2">
        <f t="shared" si="185"/>
        <v>152.90193185000001</v>
      </c>
      <c r="AY91" s="2">
        <f t="shared" si="186"/>
        <v>152.85606815</v>
      </c>
      <c r="AZ91" s="2">
        <f t="shared" si="187"/>
        <v>153.15296950000001</v>
      </c>
      <c r="BA91" s="2">
        <f t="shared" si="188"/>
        <v>153.10703050000001</v>
      </c>
      <c r="BB91" s="2">
        <f t="shared" si="189"/>
        <v>152.64889390000002</v>
      </c>
      <c r="BC91" s="2">
        <f t="shared" si="190"/>
        <v>152.60310610000002</v>
      </c>
      <c r="BD91" s="2">
        <f t="shared" si="191"/>
        <v>152.60588745000001</v>
      </c>
      <c r="BE91" s="2">
        <f t="shared" si="192"/>
        <v>152.56011255000001</v>
      </c>
      <c r="BF91" s="2">
        <f t="shared" si="193"/>
        <v>152.92693560000001</v>
      </c>
      <c r="BG91" s="2">
        <f t="shared" si="194"/>
        <v>152.88106439999999</v>
      </c>
      <c r="BI91" s="5" t="str">
        <f t="shared" si="243"/>
        <v>-----</v>
      </c>
      <c r="BJ91" s="5" t="str">
        <f t="shared" si="244"/>
        <v>-----</v>
      </c>
      <c r="BK91" s="5" t="str">
        <f t="shared" si="245"/>
        <v>-----</v>
      </c>
      <c r="BL91" s="5" t="str">
        <f t="shared" si="246"/>
        <v>-----</v>
      </c>
      <c r="BM91" s="5" t="str">
        <f t="shared" si="247"/>
        <v>-----</v>
      </c>
      <c r="BN91" s="5" t="str">
        <f t="shared" si="248"/>
        <v>-----</v>
      </c>
      <c r="BO91" s="5"/>
      <c r="BP91" s="5">
        <f t="shared" si="280"/>
        <v>23</v>
      </c>
      <c r="BQ91" s="5">
        <f t="shared" si="280"/>
        <v>23</v>
      </c>
      <c r="BR91" s="5">
        <f t="shared" si="280"/>
        <v>85</v>
      </c>
      <c r="BS91" s="5">
        <f t="shared" si="280"/>
        <v>87</v>
      </c>
      <c r="BT91" s="5">
        <f t="shared" si="280"/>
        <v>87</v>
      </c>
      <c r="BU91" s="5">
        <f t="shared" si="280"/>
        <v>23</v>
      </c>
      <c r="BV91" s="5">
        <f t="shared" si="281"/>
        <v>2</v>
      </c>
      <c r="BW91" s="5">
        <f t="shared" si="281"/>
        <v>2</v>
      </c>
      <c r="BX91" s="5">
        <f t="shared" si="281"/>
        <v>2</v>
      </c>
      <c r="BY91" s="5">
        <f t="shared" si="281"/>
        <v>0</v>
      </c>
      <c r="BZ91" s="5">
        <f t="shared" si="281"/>
        <v>0</v>
      </c>
      <c r="CA91" s="5">
        <f t="shared" si="281"/>
        <v>7</v>
      </c>
      <c r="CB91" s="5" t="str">
        <f t="shared" si="273"/>
        <v>-----</v>
      </c>
      <c r="CC91" s="5" t="str">
        <f t="shared" si="273"/>
        <v>-----</v>
      </c>
      <c r="CD91" s="5" t="str">
        <f t="shared" si="273"/>
        <v>-----</v>
      </c>
      <c r="CE91" s="5" t="str">
        <f t="shared" si="273"/>
        <v>-----</v>
      </c>
      <c r="CF91" s="5" t="str">
        <f t="shared" si="273"/>
        <v>-----</v>
      </c>
      <c r="CG91" s="5" t="str">
        <f t="shared" si="195"/>
        <v>-----</v>
      </c>
      <c r="CH91" s="5"/>
      <c r="CI91" s="17" t="str">
        <f t="shared" si="196"/>
        <v>-----</v>
      </c>
      <c r="CJ91" s="17" t="str">
        <f t="shared" si="197"/>
        <v>-----</v>
      </c>
      <c r="CK91" s="17" t="str">
        <f t="shared" si="198"/>
        <v>-----</v>
      </c>
      <c r="CL91" s="17" t="str">
        <f t="shared" si="199"/>
        <v>-----</v>
      </c>
      <c r="CM91" s="17" t="str">
        <f t="shared" si="200"/>
        <v>-----</v>
      </c>
      <c r="CN91" s="17" t="str">
        <f t="shared" si="201"/>
        <v>-----</v>
      </c>
      <c r="CO91" s="5"/>
      <c r="CP91" s="5" t="str">
        <f t="shared" si="177"/>
        <v>-----</v>
      </c>
      <c r="CQ91" s="5" t="str">
        <f t="shared" si="177"/>
        <v>-----</v>
      </c>
      <c r="CR91" s="5" t="str">
        <f t="shared" si="177"/>
        <v>-----</v>
      </c>
      <c r="CS91" s="5" t="str">
        <f t="shared" si="177"/>
        <v>-----</v>
      </c>
      <c r="CT91" s="5" t="str">
        <f t="shared" si="177"/>
        <v>-----</v>
      </c>
      <c r="CU91" s="5" t="str">
        <f t="shared" si="177"/>
        <v>-----</v>
      </c>
      <c r="CV91" s="5"/>
      <c r="CW91" s="17" t="str">
        <f t="shared" si="178"/>
        <v/>
      </c>
      <c r="CX91" s="17" t="str">
        <f t="shared" si="178"/>
        <v/>
      </c>
      <c r="CY91" s="17" t="str">
        <f t="shared" si="178"/>
        <v/>
      </c>
      <c r="CZ91" s="17" t="str">
        <f t="shared" si="178"/>
        <v/>
      </c>
      <c r="DA91" s="17" t="str">
        <f t="shared" si="178"/>
        <v/>
      </c>
      <c r="DB91" s="17" t="str">
        <f t="shared" si="178"/>
        <v/>
      </c>
      <c r="DC91" s="8"/>
      <c r="DD91" s="5">
        <f t="shared" si="202"/>
        <v>0</v>
      </c>
      <c r="DE91" s="17" t="str">
        <f t="shared" si="251"/>
        <v>-----</v>
      </c>
      <c r="DF91" s="5" t="str" cm="1">
        <f t="array" ref="DF91">_xlfn.IFS(DE91=CW91,CP91,DE91=CX91,CQ91,DE91=CY91,CR91,DE91=CZ91,CS91,DE91=DA91,CT91,DE91=DB91,CU91,TRUE,"----- ")</f>
        <v xml:space="preserve">----- </v>
      </c>
      <c r="DG91" s="5"/>
      <c r="DH91" s="5">
        <f t="shared" si="252"/>
        <v>-2.423265306122455E-3</v>
      </c>
      <c r="DI91" s="5">
        <f t="shared" si="253"/>
        <v>-3.7194805194805478E-4</v>
      </c>
      <c r="DJ91" s="5">
        <f t="shared" si="254"/>
        <v>-1.6402721088435472E-3</v>
      </c>
      <c r="DK91" s="5">
        <f t="shared" si="255"/>
        <v>7.6471243042669956E-4</v>
      </c>
      <c r="DL91" s="5">
        <f t="shared" si="256"/>
        <v>-2.3081014223875058E-4</v>
      </c>
      <c r="DM91" s="5">
        <f t="shared" si="257"/>
        <v>1.5802844774273381E-3</v>
      </c>
      <c r="DO91" s="5">
        <f t="shared" si="203"/>
        <v>-1.9079214597220278</v>
      </c>
      <c r="DP91" s="5">
        <f t="shared" si="204"/>
        <v>-0.29295343676527091</v>
      </c>
      <c r="DQ91" s="5">
        <f t="shared" si="205"/>
        <v>-1.2917022253843653</v>
      </c>
      <c r="DR91" s="5">
        <f t="shared" si="206"/>
        <v>0.60228527619529781</v>
      </c>
      <c r="DS91" s="5">
        <f t="shared" si="207"/>
        <v>-0.18179147971962978</v>
      </c>
      <c r="DT91" s="5">
        <f t="shared" si="208"/>
        <v>1.2444775446344229</v>
      </c>
      <c r="DV91" t="str" cm="1">
        <f t="array" ref="DV91">_xlfn.IFS(DO91&gt;3,"Strong + Slope",DO91&gt;1.5,"Moderate + Slope",DO91&gt;0.5,"Sideway + Slope",DO91&gt;=-0.5,"Sideway Flat",DO91&gt;=-1.5,"Sideway - Slope",DO91&gt;=-3,"Moderate - Slope",TRUE,"Strong - Slope")</f>
        <v>Moderate - Slope</v>
      </c>
      <c r="DW91" t="str" cm="1">
        <f t="array" ref="DW91">_xlfn.IFS(DP91&gt;3,"Strong + Slope",DP91&gt;1.5,"Moderate + Slope",DP91&gt;0.5,"Sideway + Slope",DP91&gt;=-0.5,"Sideway Flat",DP91&gt;=-1.5,"Sideway - Slope",DP91&gt;=-3,"Moderate - Slope",TRUE,"Strong - Slope")</f>
        <v>Sideway Flat</v>
      </c>
      <c r="DX91" t="str" cm="1">
        <f t="array" ref="DX91">_xlfn.IFS(DQ91&gt;3,"Strong + Slope",DQ91&gt;1.5,"Moderate + Slope",DQ91&gt;0.5,"Sideway + Slope",DQ91&gt;=-0.5,"Sideway Flat",DQ91&gt;=-1.5,"Sideway - Slope",DQ91&gt;=-3,"Moderate - Slope",TRUE,"Strong - Slope")</f>
        <v>Sideway - Slope</v>
      </c>
      <c r="DY91" t="str" cm="1">
        <f t="array" ref="DY91">_xlfn.IFS(DR91&gt;3,"Strong + Slope",DR91&gt;1.5,"Moderate + Slope",DR91&gt;0.5,"Sideway + Slope",DR91&gt;=-0.5,"Sideway Flat",DR91&gt;=-1.5,"Sideway - Slope",DR91&gt;=-3,"Moderate - Slope",TRUE,"Strong - Slope")</f>
        <v>Sideway + Slope</v>
      </c>
      <c r="DZ91" t="str" cm="1">
        <f t="array" ref="DZ91">_xlfn.IFS(DS91&gt;3,"Strong + Slope",DS91&gt;1.5,"Moderate + Slope",DS91&gt;0.5,"Sideway + Slope",DS91&gt;=-0.5,"Sideway Flat",DS91&gt;=-1.5,"Sideway - Slope",DS91&gt;=-3,"Moderate - Slope",TRUE,"Strong - Slope")</f>
        <v>Sideway Flat</v>
      </c>
      <c r="EA91" t="str" cm="1">
        <f t="array" ref="EA91">_xlfn.IFS(DT91&gt;3,"Strong + Slope",DT91&gt;1.5,"Moderate + Slope",DT91&gt;0.5,"Sideway + Slope",DT91&gt;=-0.5,"Sideway Flat",DT91&gt;=-1.5,"Sideway - Slope",DT91&gt;=-3,"Moderate - Slope",TRUE,"Strong - Slope")</f>
        <v>Sideway + Slope</v>
      </c>
      <c r="EB91" s="5"/>
      <c r="EC91" s="5">
        <f t="shared" si="209"/>
        <v>4</v>
      </c>
      <c r="ED91" s="5">
        <f t="shared" si="210"/>
        <v>3</v>
      </c>
      <c r="EE91" s="5">
        <f t="shared" si="211"/>
        <v>1</v>
      </c>
      <c r="EF91" s="5">
        <f t="shared" si="212"/>
        <v>5</v>
      </c>
      <c r="EG91" s="5">
        <f t="shared" si="213"/>
        <v>6</v>
      </c>
      <c r="EH91" s="5">
        <f t="shared" si="214"/>
        <v>2</v>
      </c>
      <c r="EI91" s="5"/>
      <c r="EJ91" s="5" t="str">
        <f t="shared" si="215"/>
        <v>RES</v>
      </c>
      <c r="EK91" s="5" t="str">
        <f t="shared" si="216"/>
        <v>RES</v>
      </c>
      <c r="EL91" s="5" t="str">
        <f t="shared" si="217"/>
        <v>RES</v>
      </c>
      <c r="EM91" s="5" t="str">
        <f t="shared" si="218"/>
        <v>SUP</v>
      </c>
      <c r="EN91" s="5" t="str">
        <f t="shared" si="219"/>
        <v>SUP</v>
      </c>
      <c r="EO91" s="5" t="str">
        <f t="shared" si="220"/>
        <v>RES</v>
      </c>
      <c r="EP91" s="5"/>
      <c r="EQ91" s="8">
        <f t="shared" si="221"/>
        <v>8.1201786439317157E-4</v>
      </c>
      <c r="ER91" s="8">
        <f t="shared" si="222"/>
        <v>1.1328958914515594E-3</v>
      </c>
      <c r="ES91" s="8">
        <f t="shared" si="223"/>
        <v>2.7765772137310035E-3</v>
      </c>
      <c r="ET91" s="8">
        <f t="shared" si="224"/>
        <v>-5.2388249315668078E-4</v>
      </c>
      <c r="EU91" s="8">
        <f t="shared" si="225"/>
        <v>-8.0546933322849434E-4</v>
      </c>
      <c r="EV91" s="8">
        <f t="shared" si="226"/>
        <v>1.2966091705630919E-3</v>
      </c>
      <c r="EW91" s="8"/>
      <c r="EX91" s="8">
        <f t="shared" si="227"/>
        <v>0.22486288848261629</v>
      </c>
      <c r="EY91" s="9">
        <f t="shared" si="228"/>
        <v>4</v>
      </c>
      <c r="EZ91" s="10">
        <f t="shared" si="229"/>
        <v>2</v>
      </c>
      <c r="FA91" s="8">
        <f t="shared" si="258"/>
        <v>2.7765772137310035E-3</v>
      </c>
      <c r="FB91" s="8">
        <f t="shared" si="259"/>
        <v>1.2966091705630919E-3</v>
      </c>
      <c r="FC91" s="8">
        <f t="shared" si="260"/>
        <v>1.1328958914515594E-3</v>
      </c>
      <c r="FD91" s="8">
        <f t="shared" si="261"/>
        <v>8.1201786439317157E-4</v>
      </c>
      <c r="FE91" s="8">
        <f t="shared" si="262"/>
        <v>-5.2388249315668078E-4</v>
      </c>
      <c r="FF91" s="8">
        <f t="shared" si="263"/>
        <v>-8.0546933322849434E-4</v>
      </c>
      <c r="FG91" s="5"/>
      <c r="FH91" s="5" t="str">
        <f t="shared" si="230"/>
        <v>-----</v>
      </c>
      <c r="FI91" s="5" t="str">
        <f t="shared" si="264"/>
        <v>-----</v>
      </c>
      <c r="FJ91" s="5"/>
      <c r="FK91" s="5" t="str">
        <f t="shared" si="265"/>
        <v>-----</v>
      </c>
      <c r="FL91" s="5" t="str">
        <f t="shared" si="266"/>
        <v>-----</v>
      </c>
      <c r="FM91" s="5"/>
      <c r="FN91" s="5"/>
      <c r="FO91" s="8" t="str">
        <f t="shared" si="279"/>
        <v>Bearish</v>
      </c>
      <c r="FP91" s="8"/>
      <c r="FQ91" s="14">
        <f t="shared" si="231"/>
        <v>-2.0291012390593802E-4</v>
      </c>
      <c r="FR91" s="14">
        <f t="shared" si="232"/>
        <v>0.71348189958297137</v>
      </c>
      <c r="FS91" s="14" t="str">
        <f t="shared" si="233"/>
        <v>-----</v>
      </c>
      <c r="FT91" s="14" t="str">
        <f t="shared" si="234"/>
        <v>Bearish</v>
      </c>
      <c r="FU91" s="5" t="str">
        <f t="shared" si="267"/>
        <v>-----</v>
      </c>
      <c r="FV91" s="5" t="str">
        <f t="shared" si="268"/>
        <v>-----</v>
      </c>
      <c r="FW91" s="5"/>
      <c r="FX91" s="15" t="str">
        <f t="shared" si="116"/>
        <v>YES</v>
      </c>
      <c r="FY91" s="15" t="str">
        <f t="shared" si="117"/>
        <v>-----</v>
      </c>
      <c r="FZ91" s="15" t="str">
        <f t="shared" si="118"/>
        <v>-----</v>
      </c>
      <c r="GA91" s="15" t="str">
        <f t="shared" si="119"/>
        <v>-----</v>
      </c>
      <c r="GB91" s="16" t="str">
        <f t="shared" si="274"/>
        <v>-----</v>
      </c>
      <c r="GC91" s="16" t="str">
        <f t="shared" si="275"/>
        <v>-----</v>
      </c>
      <c r="GD91" s="16" t="str">
        <f t="shared" si="276"/>
        <v>YES</v>
      </c>
      <c r="GE91" s="16" t="str">
        <f t="shared" si="278"/>
        <v>YES</v>
      </c>
      <c r="GF91" s="15" t="str">
        <f t="shared" si="277"/>
        <v>-----</v>
      </c>
      <c r="GG91" s="16" t="str">
        <f t="shared" si="120"/>
        <v>-----</v>
      </c>
      <c r="GH91" s="14"/>
      <c r="GI91" s="5" t="str">
        <f t="shared" si="235"/>
        <v>-----</v>
      </c>
      <c r="GJ91" s="5" t="str">
        <f t="shared" si="236"/>
        <v>Bearish Trigger</v>
      </c>
      <c r="GK91" s="5"/>
      <c r="GL91" s="5" t="str">
        <f t="shared" si="237"/>
        <v>-----</v>
      </c>
      <c r="GM91" s="5" t="str">
        <f t="shared" si="238"/>
        <v>-----</v>
      </c>
      <c r="GN91" s="5"/>
      <c r="GO91" s="12">
        <f t="shared" si="239"/>
        <v>4.4000000000011141E-2</v>
      </c>
      <c r="GP91" s="5">
        <f t="shared" si="269"/>
        <v>-0.73238623416121484</v>
      </c>
      <c r="GQ91" s="13" t="str">
        <f t="shared" si="270"/>
        <v>-----</v>
      </c>
      <c r="GR91" s="5"/>
      <c r="GS91">
        <f t="shared" si="271"/>
        <v>-0.46749325586068019</v>
      </c>
      <c r="GT91" s="5" t="str">
        <f t="shared" si="272"/>
        <v>-----</v>
      </c>
    </row>
    <row r="92" spans="1:202" x14ac:dyDescent="0.55000000000000004">
      <c r="A92">
        <v>88</v>
      </c>
      <c r="B92" t="s">
        <v>91</v>
      </c>
      <c r="C92" t="s">
        <v>4</v>
      </c>
      <c r="D92" t="s">
        <v>103</v>
      </c>
      <c r="E92">
        <v>152.71199999999999</v>
      </c>
      <c r="F92">
        <v>152.773</v>
      </c>
      <c r="G92">
        <v>152.66499999999999</v>
      </c>
      <c r="H92">
        <v>152.75700000000001</v>
      </c>
      <c r="I92">
        <v>271</v>
      </c>
      <c r="J92">
        <v>152.827</v>
      </c>
      <c r="K92">
        <v>152.87899999999999</v>
      </c>
      <c r="L92">
        <v>153.12799999999999</v>
      </c>
      <c r="M92">
        <v>152.62700000000001</v>
      </c>
      <c r="N92">
        <v>152.583</v>
      </c>
      <c r="O92">
        <v>152.90600000000001</v>
      </c>
      <c r="P92">
        <v>0</v>
      </c>
      <c r="Q92">
        <v>0</v>
      </c>
      <c r="R92">
        <v>0</v>
      </c>
      <c r="S92">
        <v>0</v>
      </c>
      <c r="T92">
        <v>0</v>
      </c>
      <c r="U92">
        <v>2.613E-2</v>
      </c>
      <c r="V92">
        <v>0</v>
      </c>
      <c r="W92">
        <v>153.05916999999999</v>
      </c>
      <c r="X92">
        <v>152.98224999999999</v>
      </c>
      <c r="Y92">
        <v>152.90532999999999</v>
      </c>
      <c r="Z92">
        <v>152.82840999999999</v>
      </c>
      <c r="AA92">
        <v>152.75148999999999</v>
      </c>
      <c r="AB92">
        <v>152.71931000000001</v>
      </c>
      <c r="AC92">
        <v>152.64239000000001</v>
      </c>
      <c r="AD92">
        <v>152.56547</v>
      </c>
      <c r="AE92">
        <v>152.48855</v>
      </c>
      <c r="AF92">
        <v>152.41163</v>
      </c>
      <c r="AG92">
        <v>152.727</v>
      </c>
      <c r="AH92">
        <v>152.74100000000001</v>
      </c>
      <c r="AI92">
        <v>152.774</v>
      </c>
      <c r="AJ92">
        <v>152.864</v>
      </c>
      <c r="AK92">
        <v>152.762</v>
      </c>
      <c r="AL92">
        <v>152.68600000000001</v>
      </c>
      <c r="AM92" s="11">
        <f t="shared" si="179"/>
        <v>0.10800000000000409</v>
      </c>
      <c r="AN92" s="11">
        <f t="shared" si="240"/>
        <v>6.7000000000007276E-2</v>
      </c>
      <c r="AO92" s="11">
        <f t="shared" si="241"/>
        <v>4.0999999999996817E-2</v>
      </c>
      <c r="AP92" s="11">
        <f t="shared" si="242"/>
        <v>0.10800000000000409</v>
      </c>
      <c r="AR92" s="5" t="str">
        <f t="shared" si="180"/>
        <v>------</v>
      </c>
      <c r="AS92" s="5" t="str">
        <f t="shared" si="181"/>
        <v>------</v>
      </c>
      <c r="AT92" t="str">
        <f t="shared" si="182"/>
        <v/>
      </c>
      <c r="AV92" s="2">
        <f t="shared" si="183"/>
        <v>152.84992405</v>
      </c>
      <c r="AW92" s="2">
        <f t="shared" si="184"/>
        <v>152.80407595</v>
      </c>
      <c r="AX92" s="2">
        <f t="shared" si="185"/>
        <v>152.90193185000001</v>
      </c>
      <c r="AY92" s="2">
        <f t="shared" si="186"/>
        <v>152.85606815</v>
      </c>
      <c r="AZ92" s="2">
        <f t="shared" si="187"/>
        <v>153.15096919999999</v>
      </c>
      <c r="BA92" s="2">
        <f t="shared" si="188"/>
        <v>153.10503079999998</v>
      </c>
      <c r="BB92" s="2">
        <f t="shared" si="189"/>
        <v>152.64989405000003</v>
      </c>
      <c r="BC92" s="2">
        <f t="shared" si="190"/>
        <v>152.60410595000002</v>
      </c>
      <c r="BD92" s="2">
        <f t="shared" si="191"/>
        <v>152.60588745000001</v>
      </c>
      <c r="BE92" s="2">
        <f t="shared" si="192"/>
        <v>152.56011255000001</v>
      </c>
      <c r="BF92" s="2">
        <f t="shared" si="193"/>
        <v>152.92893590000003</v>
      </c>
      <c r="BG92" s="2">
        <f t="shared" si="194"/>
        <v>152.88306410000001</v>
      </c>
      <c r="BI92" s="5" t="str">
        <f t="shared" si="243"/>
        <v>-----</v>
      </c>
      <c r="BJ92" s="5" t="str">
        <f t="shared" si="244"/>
        <v>-----</v>
      </c>
      <c r="BK92" s="5" t="str">
        <f t="shared" si="245"/>
        <v>-----</v>
      </c>
      <c r="BL92" s="5" t="str">
        <f t="shared" si="246"/>
        <v>-----</v>
      </c>
      <c r="BM92" s="5" t="str">
        <f t="shared" si="247"/>
        <v>-----</v>
      </c>
      <c r="BN92" s="5" t="str">
        <f t="shared" si="248"/>
        <v>-----</v>
      </c>
      <c r="BO92" s="5"/>
      <c r="BP92" s="5">
        <f t="shared" si="280"/>
        <v>24</v>
      </c>
      <c r="BQ92" s="5">
        <f t="shared" si="280"/>
        <v>24</v>
      </c>
      <c r="BR92" s="5">
        <f t="shared" si="280"/>
        <v>86</v>
      </c>
      <c r="BS92" s="5">
        <f t="shared" si="280"/>
        <v>88</v>
      </c>
      <c r="BT92" s="5">
        <f t="shared" si="280"/>
        <v>88</v>
      </c>
      <c r="BU92" s="5">
        <f t="shared" si="280"/>
        <v>24</v>
      </c>
      <c r="BV92" s="5">
        <f t="shared" si="281"/>
        <v>2</v>
      </c>
      <c r="BW92" s="5">
        <f t="shared" si="281"/>
        <v>2</v>
      </c>
      <c r="BX92" s="5">
        <f t="shared" si="281"/>
        <v>2</v>
      </c>
      <c r="BY92" s="5">
        <f t="shared" si="281"/>
        <v>0</v>
      </c>
      <c r="BZ92" s="5">
        <f t="shared" si="281"/>
        <v>0</v>
      </c>
      <c r="CA92" s="5">
        <f t="shared" si="281"/>
        <v>7</v>
      </c>
      <c r="CB92" s="5" t="str">
        <f t="shared" si="273"/>
        <v>-----</v>
      </c>
      <c r="CC92" s="5" t="str">
        <f t="shared" si="273"/>
        <v>-----</v>
      </c>
      <c r="CD92" s="5" t="str">
        <f t="shared" si="273"/>
        <v>-----</v>
      </c>
      <c r="CE92" s="5" t="str">
        <f t="shared" si="273"/>
        <v>-----</v>
      </c>
      <c r="CF92" s="5" t="str">
        <f t="shared" si="273"/>
        <v>-----</v>
      </c>
      <c r="CG92" s="5" t="str">
        <f t="shared" si="195"/>
        <v>-----</v>
      </c>
      <c r="CH92" s="5"/>
      <c r="CI92" s="17" t="str">
        <f t="shared" si="196"/>
        <v>-----</v>
      </c>
      <c r="CJ92" s="17" t="str">
        <f t="shared" si="197"/>
        <v>-----</v>
      </c>
      <c r="CK92" s="17" t="str">
        <f t="shared" si="198"/>
        <v>-----</v>
      </c>
      <c r="CL92" s="17" t="str">
        <f t="shared" si="199"/>
        <v>-----</v>
      </c>
      <c r="CM92" s="17" t="str">
        <f t="shared" si="200"/>
        <v>-----</v>
      </c>
      <c r="CN92" s="17" t="str">
        <f t="shared" si="201"/>
        <v>-----</v>
      </c>
      <c r="CO92" s="5"/>
      <c r="CP92" s="5" t="str">
        <f t="shared" si="177"/>
        <v>-----</v>
      </c>
      <c r="CQ92" s="5" t="str">
        <f t="shared" si="177"/>
        <v>-----</v>
      </c>
      <c r="CR92" s="5" t="str">
        <f t="shared" si="177"/>
        <v>-----</v>
      </c>
      <c r="CS92" s="5" t="str">
        <f t="shared" si="177"/>
        <v>-----</v>
      </c>
      <c r="CT92" s="5" t="str">
        <f t="shared" si="177"/>
        <v>-----</v>
      </c>
      <c r="CU92" s="5" t="str">
        <f t="shared" si="177"/>
        <v>-----</v>
      </c>
      <c r="CV92" s="5"/>
      <c r="CW92" s="17" t="str">
        <f t="shared" si="178"/>
        <v/>
      </c>
      <c r="CX92" s="17" t="str">
        <f t="shared" si="178"/>
        <v/>
      </c>
      <c r="CY92" s="17" t="str">
        <f t="shared" si="178"/>
        <v/>
      </c>
      <c r="CZ92" s="17" t="str">
        <f t="shared" si="178"/>
        <v/>
      </c>
      <c r="DA92" s="17" t="str">
        <f t="shared" si="178"/>
        <v/>
      </c>
      <c r="DB92" s="17" t="str">
        <f t="shared" si="178"/>
        <v/>
      </c>
      <c r="DC92" s="8"/>
      <c r="DD92" s="5">
        <f t="shared" si="202"/>
        <v>0</v>
      </c>
      <c r="DE92" s="17" t="str">
        <f t="shared" si="251"/>
        <v>-----</v>
      </c>
      <c r="DF92" s="5" t="str" cm="1">
        <f t="array" ref="DF92">_xlfn.IFS(DE92=CW92,CP92,DE92=CX92,CQ92,DE92=CY92,CR92,DE92=CZ92,CS92,DE92=DA92,CT92,DE92=DB92,CU92,TRUE,"----- ")</f>
        <v xml:space="preserve">----- </v>
      </c>
      <c r="DG92" s="5"/>
      <c r="DH92" s="5">
        <f t="shared" si="252"/>
        <v>-2.423265306122455E-3</v>
      </c>
      <c r="DI92" s="5">
        <f t="shared" si="253"/>
        <v>-3.7194805194805478E-4</v>
      </c>
      <c r="DJ92" s="5">
        <f t="shared" si="254"/>
        <v>-1.6402721088435472E-3</v>
      </c>
      <c r="DK92" s="5">
        <f t="shared" si="255"/>
        <v>7.6471243042669956E-4</v>
      </c>
      <c r="DL92" s="5">
        <f t="shared" si="256"/>
        <v>-2.3081014223875058E-4</v>
      </c>
      <c r="DM92" s="5">
        <f t="shared" si="257"/>
        <v>1.5802844774273381E-3</v>
      </c>
      <c r="DO92" s="5">
        <f t="shared" si="203"/>
        <v>-1.9079214597220278</v>
      </c>
      <c r="DP92" s="5">
        <f t="shared" si="204"/>
        <v>-0.29295343676527091</v>
      </c>
      <c r="DQ92" s="5">
        <f t="shared" si="205"/>
        <v>-1.2917022253843653</v>
      </c>
      <c r="DR92" s="5">
        <f t="shared" si="206"/>
        <v>0.60228527619529781</v>
      </c>
      <c r="DS92" s="5">
        <f t="shared" si="207"/>
        <v>-0.18179147971962978</v>
      </c>
      <c r="DT92" s="5">
        <f t="shared" si="208"/>
        <v>1.2444775446344229</v>
      </c>
      <c r="DV92" t="str" cm="1">
        <f t="array" ref="DV92">_xlfn.IFS(DO92&gt;3,"Strong + Slope",DO92&gt;1.5,"Moderate + Slope",DO92&gt;0.5,"Sideway + Slope",DO92&gt;=-0.5,"Sideway Flat",DO92&gt;=-1.5,"Sideway - Slope",DO92&gt;=-3,"Moderate - Slope",TRUE,"Strong - Slope")</f>
        <v>Moderate - Slope</v>
      </c>
      <c r="DW92" t="str" cm="1">
        <f t="array" ref="DW92">_xlfn.IFS(DP92&gt;3,"Strong + Slope",DP92&gt;1.5,"Moderate + Slope",DP92&gt;0.5,"Sideway + Slope",DP92&gt;=-0.5,"Sideway Flat",DP92&gt;=-1.5,"Sideway - Slope",DP92&gt;=-3,"Moderate - Slope",TRUE,"Strong - Slope")</f>
        <v>Sideway Flat</v>
      </c>
      <c r="DX92" t="str" cm="1">
        <f t="array" ref="DX92">_xlfn.IFS(DQ92&gt;3,"Strong + Slope",DQ92&gt;1.5,"Moderate + Slope",DQ92&gt;0.5,"Sideway + Slope",DQ92&gt;=-0.5,"Sideway Flat",DQ92&gt;=-1.5,"Sideway - Slope",DQ92&gt;=-3,"Moderate - Slope",TRUE,"Strong - Slope")</f>
        <v>Sideway - Slope</v>
      </c>
      <c r="DY92" t="str" cm="1">
        <f t="array" ref="DY92">_xlfn.IFS(DR92&gt;3,"Strong + Slope",DR92&gt;1.5,"Moderate + Slope",DR92&gt;0.5,"Sideway + Slope",DR92&gt;=-0.5,"Sideway Flat",DR92&gt;=-1.5,"Sideway - Slope",DR92&gt;=-3,"Moderate - Slope",TRUE,"Strong - Slope")</f>
        <v>Sideway + Slope</v>
      </c>
      <c r="DZ92" t="str" cm="1">
        <f t="array" ref="DZ92">_xlfn.IFS(DS92&gt;3,"Strong + Slope",DS92&gt;1.5,"Moderate + Slope",DS92&gt;0.5,"Sideway + Slope",DS92&gt;=-0.5,"Sideway Flat",DS92&gt;=-1.5,"Sideway - Slope",DS92&gt;=-3,"Moderate - Slope",TRUE,"Strong - Slope")</f>
        <v>Sideway Flat</v>
      </c>
      <c r="EA92" t="str" cm="1">
        <f t="array" ref="EA92">_xlfn.IFS(DT92&gt;3,"Strong + Slope",DT92&gt;1.5,"Moderate + Slope",DT92&gt;0.5,"Sideway + Slope",DT92&gt;=-0.5,"Sideway Flat",DT92&gt;=-1.5,"Sideway - Slope",DT92&gt;=-3,"Moderate - Slope",TRUE,"Strong - Slope")</f>
        <v>Sideway + Slope</v>
      </c>
      <c r="EB92" s="5"/>
      <c r="EC92" s="5">
        <f t="shared" si="209"/>
        <v>4</v>
      </c>
      <c r="ED92" s="5">
        <f t="shared" si="210"/>
        <v>3</v>
      </c>
      <c r="EE92" s="5">
        <f t="shared" si="211"/>
        <v>1</v>
      </c>
      <c r="EF92" s="5">
        <f t="shared" si="212"/>
        <v>5</v>
      </c>
      <c r="EG92" s="5">
        <f t="shared" si="213"/>
        <v>6</v>
      </c>
      <c r="EH92" s="5">
        <f t="shared" si="214"/>
        <v>2</v>
      </c>
      <c r="EI92" s="5"/>
      <c r="EJ92" s="5" t="str">
        <f t="shared" si="215"/>
        <v>RES</v>
      </c>
      <c r="EK92" s="5" t="str">
        <f t="shared" si="216"/>
        <v>RES</v>
      </c>
      <c r="EL92" s="5" t="str">
        <f t="shared" si="217"/>
        <v>RES</v>
      </c>
      <c r="EM92" s="5" t="str">
        <f t="shared" si="218"/>
        <v>SUP</v>
      </c>
      <c r="EN92" s="5" t="str">
        <f t="shared" si="219"/>
        <v>SUP</v>
      </c>
      <c r="EO92" s="5" t="str">
        <f t="shared" si="220"/>
        <v>RES</v>
      </c>
      <c r="EP92" s="5"/>
      <c r="EQ92" s="8">
        <f t="shared" si="221"/>
        <v>4.5824413938472984E-4</v>
      </c>
      <c r="ER92" s="8">
        <f t="shared" si="222"/>
        <v>7.9865407149908463E-4</v>
      </c>
      <c r="ES92" s="8">
        <f t="shared" si="223"/>
        <v>2.4286939387391797E-3</v>
      </c>
      <c r="ET92" s="8">
        <f t="shared" si="224"/>
        <v>-8.5102483028597997E-4</v>
      </c>
      <c r="EU92" s="8">
        <f t="shared" si="225"/>
        <v>-1.1390640036136254E-3</v>
      </c>
      <c r="EV92" s="8">
        <f t="shared" si="226"/>
        <v>9.7540538240474019E-4</v>
      </c>
      <c r="EW92" s="8"/>
      <c r="EX92" s="8">
        <f t="shared" si="227"/>
        <v>0.31926605504589101</v>
      </c>
      <c r="EY92" s="9">
        <f t="shared" si="228"/>
        <v>4</v>
      </c>
      <c r="EZ92" s="10">
        <f t="shared" si="229"/>
        <v>2</v>
      </c>
      <c r="FA92" s="8">
        <f t="shared" si="258"/>
        <v>2.4286939387391797E-3</v>
      </c>
      <c r="FB92" s="8">
        <f t="shared" si="259"/>
        <v>9.7540538240474019E-4</v>
      </c>
      <c r="FC92" s="8">
        <f t="shared" si="260"/>
        <v>7.9865407149908463E-4</v>
      </c>
      <c r="FD92" s="8">
        <f t="shared" si="261"/>
        <v>4.5824413938472984E-4</v>
      </c>
      <c r="FE92" s="8">
        <f t="shared" si="262"/>
        <v>-8.5102483028597997E-4</v>
      </c>
      <c r="FF92" s="8">
        <f t="shared" si="263"/>
        <v>-1.1390640036136254E-3</v>
      </c>
      <c r="FG92" s="5"/>
      <c r="FH92" s="5" t="str">
        <f t="shared" si="230"/>
        <v>-----</v>
      </c>
      <c r="FI92" s="5" t="str">
        <f t="shared" si="264"/>
        <v>-----</v>
      </c>
      <c r="FJ92" s="5"/>
      <c r="FK92" s="5" t="str">
        <f t="shared" si="265"/>
        <v>-----</v>
      </c>
      <c r="FL92" s="5" t="str">
        <f t="shared" si="266"/>
        <v>-----</v>
      </c>
      <c r="FM92" s="5"/>
      <c r="FN92" s="5"/>
      <c r="FO92" s="8" t="str">
        <f t="shared" si="279"/>
        <v>Bearish</v>
      </c>
      <c r="FP92" s="8"/>
      <c r="FQ92" s="14">
        <f t="shared" si="231"/>
        <v>-2.1600534122289813E-4</v>
      </c>
      <c r="FR92" s="14">
        <f t="shared" si="232"/>
        <v>0.6757146017133836</v>
      </c>
      <c r="FS92" s="14" t="str">
        <f t="shared" si="233"/>
        <v>-----</v>
      </c>
      <c r="FT92" s="14" t="str">
        <f t="shared" si="234"/>
        <v>Bearish</v>
      </c>
      <c r="FU92" s="5" t="str">
        <f t="shared" si="267"/>
        <v>TEMA crossover</v>
      </c>
      <c r="FV92" s="5" t="str">
        <f t="shared" si="268"/>
        <v>-----</v>
      </c>
      <c r="FW92" s="5"/>
      <c r="FX92" s="15" t="str">
        <f t="shared" si="116"/>
        <v>YES</v>
      </c>
      <c r="FY92" s="15" t="str">
        <f t="shared" si="117"/>
        <v>-----</v>
      </c>
      <c r="FZ92" s="15" t="str">
        <f t="shared" si="118"/>
        <v>-----</v>
      </c>
      <c r="GA92" s="15" t="str">
        <f t="shared" si="119"/>
        <v>-----</v>
      </c>
      <c r="GB92" s="16" t="str">
        <f t="shared" si="274"/>
        <v>-----</v>
      </c>
      <c r="GC92" s="16" t="str">
        <f t="shared" si="275"/>
        <v>-----</v>
      </c>
      <c r="GD92" s="16" t="str">
        <f t="shared" si="276"/>
        <v>YES</v>
      </c>
      <c r="GE92" s="16" t="str">
        <f t="shared" si="278"/>
        <v>YES</v>
      </c>
      <c r="GF92" s="15" t="str">
        <f t="shared" si="277"/>
        <v>-----</v>
      </c>
      <c r="GG92" s="16" t="str">
        <f t="shared" si="120"/>
        <v>-----</v>
      </c>
      <c r="GH92" s="14"/>
      <c r="GI92" s="5" t="str">
        <f t="shared" si="235"/>
        <v>-----</v>
      </c>
      <c r="GJ92" s="5" t="str">
        <f t="shared" si="236"/>
        <v>-----</v>
      </c>
      <c r="GK92" s="5"/>
      <c r="GL92" s="5" t="str">
        <f t="shared" si="237"/>
        <v>-----</v>
      </c>
      <c r="GM92" s="5" t="str">
        <f t="shared" si="238"/>
        <v>-----</v>
      </c>
      <c r="GN92" s="5"/>
      <c r="GO92" s="12">
        <f t="shared" si="239"/>
        <v>7.5999999999993406E-2</v>
      </c>
      <c r="GP92" s="5">
        <f t="shared" si="269"/>
        <v>5.1215820568723163E-3</v>
      </c>
      <c r="GQ92" s="13" t="str">
        <f t="shared" si="270"/>
        <v>-----</v>
      </c>
      <c r="GR92" s="5"/>
      <c r="GS92">
        <f t="shared" si="271"/>
        <v>-0.11257122878853809</v>
      </c>
      <c r="GT92" s="5" t="str">
        <f t="shared" si="272"/>
        <v>-----</v>
      </c>
    </row>
    <row r="93" spans="1:202" x14ac:dyDescent="0.55000000000000004">
      <c r="A93">
        <v>89</v>
      </c>
      <c r="B93" t="s">
        <v>92</v>
      </c>
      <c r="C93" t="s">
        <v>4</v>
      </c>
      <c r="D93" t="s">
        <v>103</v>
      </c>
      <c r="E93">
        <v>152.75800000000001</v>
      </c>
      <c r="F93">
        <v>152.762</v>
      </c>
      <c r="G93">
        <v>152.63999999999999</v>
      </c>
      <c r="H93">
        <v>152.649</v>
      </c>
      <c r="I93">
        <v>251</v>
      </c>
      <c r="J93">
        <v>152.82499999999999</v>
      </c>
      <c r="K93">
        <v>152.87799999999999</v>
      </c>
      <c r="L93">
        <v>153.12700000000001</v>
      </c>
      <c r="M93">
        <v>152.62700000000001</v>
      </c>
      <c r="N93">
        <v>152.583</v>
      </c>
      <c r="O93">
        <v>152.90700000000001</v>
      </c>
      <c r="P93">
        <v>0</v>
      </c>
      <c r="Q93">
        <v>0</v>
      </c>
      <c r="R93">
        <v>0</v>
      </c>
      <c r="S93">
        <v>0</v>
      </c>
      <c r="T93">
        <v>0</v>
      </c>
      <c r="U93">
        <v>1.5643499999999999</v>
      </c>
      <c r="V93">
        <v>4</v>
      </c>
      <c r="W93">
        <v>153.05904000000001</v>
      </c>
      <c r="X93">
        <v>152.98164</v>
      </c>
      <c r="Y93">
        <v>152.90423999999999</v>
      </c>
      <c r="Z93">
        <v>152.82684</v>
      </c>
      <c r="AA93">
        <v>152.74942999999999</v>
      </c>
      <c r="AB93">
        <v>152.71377000000001</v>
      </c>
      <c r="AC93">
        <v>152.63637</v>
      </c>
      <c r="AD93">
        <v>152.55896999999999</v>
      </c>
      <c r="AE93">
        <v>152.48157</v>
      </c>
      <c r="AF93">
        <v>152.40416999999999</v>
      </c>
      <c r="AG93">
        <v>152.703</v>
      </c>
      <c r="AH93">
        <v>152.73099999999999</v>
      </c>
      <c r="AI93">
        <v>152.767</v>
      </c>
      <c r="AJ93">
        <v>152.86000000000001</v>
      </c>
      <c r="AK93">
        <v>152.761</v>
      </c>
      <c r="AL93">
        <v>152.65799999999999</v>
      </c>
      <c r="AM93" s="11">
        <f t="shared" si="179"/>
        <v>0.1220000000000141</v>
      </c>
      <c r="AN93" s="11">
        <f t="shared" si="240"/>
        <v>4.9999999999954525E-3</v>
      </c>
      <c r="AO93" s="11">
        <f t="shared" si="241"/>
        <v>0.11700000000001864</v>
      </c>
      <c r="AP93" s="11">
        <f t="shared" si="242"/>
        <v>0.1220000000000141</v>
      </c>
      <c r="AR93" s="5" t="str">
        <f t="shared" si="180"/>
        <v>------</v>
      </c>
      <c r="AS93" s="5" t="str">
        <f t="shared" si="181"/>
        <v>------</v>
      </c>
      <c r="AT93" t="str">
        <f t="shared" si="182"/>
        <v/>
      </c>
      <c r="AV93" s="2">
        <f t="shared" si="183"/>
        <v>152.84792375000001</v>
      </c>
      <c r="AW93" s="2">
        <f t="shared" si="184"/>
        <v>152.80207625</v>
      </c>
      <c r="AX93" s="2">
        <f t="shared" si="185"/>
        <v>152.9009317</v>
      </c>
      <c r="AY93" s="2">
        <f t="shared" si="186"/>
        <v>152.8550683</v>
      </c>
      <c r="AZ93" s="2">
        <f t="shared" si="187"/>
        <v>153.14996905000001</v>
      </c>
      <c r="BA93" s="2">
        <f t="shared" si="188"/>
        <v>153.10403095000001</v>
      </c>
      <c r="BB93" s="2">
        <f t="shared" si="189"/>
        <v>152.64989405000003</v>
      </c>
      <c r="BC93" s="2">
        <f t="shared" si="190"/>
        <v>152.60410595000002</v>
      </c>
      <c r="BD93" s="2">
        <f t="shared" si="191"/>
        <v>152.60588745000001</v>
      </c>
      <c r="BE93" s="2">
        <f t="shared" si="192"/>
        <v>152.56011255000001</v>
      </c>
      <c r="BF93" s="2">
        <f t="shared" si="193"/>
        <v>152.92993605000004</v>
      </c>
      <c r="BG93" s="2">
        <f t="shared" si="194"/>
        <v>152.88406395000001</v>
      </c>
      <c r="BI93" s="5" t="str">
        <f t="shared" si="243"/>
        <v>-----</v>
      </c>
      <c r="BJ93" s="5" t="str">
        <f t="shared" si="244"/>
        <v>-----</v>
      </c>
      <c r="BK93" s="5" t="str">
        <f t="shared" si="245"/>
        <v>-----</v>
      </c>
      <c r="BL93" s="5" t="str">
        <f t="shared" si="246"/>
        <v>TOUCH</v>
      </c>
      <c r="BM93" s="5" t="str">
        <f t="shared" si="247"/>
        <v>-----</v>
      </c>
      <c r="BN93" s="5" t="str">
        <f t="shared" si="248"/>
        <v>-----</v>
      </c>
      <c r="BO93" s="5"/>
      <c r="BP93" s="5">
        <f t="shared" si="280"/>
        <v>25</v>
      </c>
      <c r="BQ93" s="5">
        <f t="shared" si="280"/>
        <v>25</v>
      </c>
      <c r="BR93" s="5">
        <f t="shared" si="280"/>
        <v>87</v>
      </c>
      <c r="BS93" s="5">
        <f t="shared" si="280"/>
        <v>0</v>
      </c>
      <c r="BT93" s="5">
        <f t="shared" si="280"/>
        <v>89</v>
      </c>
      <c r="BU93" s="5">
        <f t="shared" si="280"/>
        <v>25</v>
      </c>
      <c r="BV93" s="5">
        <f t="shared" si="281"/>
        <v>2</v>
      </c>
      <c r="BW93" s="5">
        <f t="shared" si="281"/>
        <v>2</v>
      </c>
      <c r="BX93" s="5">
        <f t="shared" si="281"/>
        <v>2</v>
      </c>
      <c r="BY93" s="5">
        <f t="shared" si="281"/>
        <v>1</v>
      </c>
      <c r="BZ93" s="5">
        <f t="shared" si="281"/>
        <v>0</v>
      </c>
      <c r="CA93" s="5">
        <f t="shared" si="281"/>
        <v>7</v>
      </c>
      <c r="CB93" s="5" t="str">
        <f t="shared" si="273"/>
        <v>-----</v>
      </c>
      <c r="CC93" s="5" t="str">
        <f t="shared" si="273"/>
        <v>-----</v>
      </c>
      <c r="CD93" s="5" t="str">
        <f t="shared" si="273"/>
        <v>-----</v>
      </c>
      <c r="CE93" s="5">
        <f t="shared" si="273"/>
        <v>1</v>
      </c>
      <c r="CF93" s="5" t="str">
        <f t="shared" si="273"/>
        <v>-----</v>
      </c>
      <c r="CG93" s="5" t="str">
        <f t="shared" si="195"/>
        <v>-----</v>
      </c>
      <c r="CH93" s="5"/>
      <c r="CI93" s="17" t="str">
        <f t="shared" si="196"/>
        <v>-----</v>
      </c>
      <c r="CJ93" s="17" t="str">
        <f t="shared" si="197"/>
        <v>-----</v>
      </c>
      <c r="CK93" s="17" t="str">
        <f t="shared" si="198"/>
        <v>-----</v>
      </c>
      <c r="CL93" s="17">
        <f t="shared" si="199"/>
        <v>3.2759603477759505E-3</v>
      </c>
      <c r="CM93" s="17" t="str">
        <f t="shared" si="200"/>
        <v>-----</v>
      </c>
      <c r="CN93" s="17" t="str">
        <f t="shared" si="201"/>
        <v>-----</v>
      </c>
      <c r="CO93" s="5"/>
      <c r="CP93" s="5" t="str">
        <f t="shared" si="177"/>
        <v>-----</v>
      </c>
      <c r="CQ93" s="5" t="str">
        <f t="shared" si="177"/>
        <v>-----</v>
      </c>
      <c r="CR93" s="5" t="str">
        <f t="shared" si="177"/>
        <v>-----</v>
      </c>
      <c r="CS93" s="5" t="str">
        <f t="shared" si="177"/>
        <v>Support</v>
      </c>
      <c r="CT93" s="5" t="str">
        <f t="shared" si="177"/>
        <v>-----</v>
      </c>
      <c r="CU93" s="5" t="str">
        <f t="shared" si="177"/>
        <v>-----</v>
      </c>
      <c r="CV93" s="5"/>
      <c r="CW93" s="17" t="str">
        <f t="shared" si="178"/>
        <v/>
      </c>
      <c r="CX93" s="17" t="str">
        <f t="shared" si="178"/>
        <v/>
      </c>
      <c r="CY93" s="17" t="str">
        <f t="shared" si="178"/>
        <v/>
      </c>
      <c r="CZ93" s="17">
        <f t="shared" si="178"/>
        <v>3.2759603477759505E-3</v>
      </c>
      <c r="DA93" s="17" t="str">
        <f t="shared" si="178"/>
        <v/>
      </c>
      <c r="DB93" s="17" t="str">
        <f t="shared" si="178"/>
        <v/>
      </c>
      <c r="DC93" s="8"/>
      <c r="DD93" s="5">
        <f t="shared" si="202"/>
        <v>1</v>
      </c>
      <c r="DE93" s="17">
        <f t="shared" si="251"/>
        <v>3.2759603477759505E-3</v>
      </c>
      <c r="DF93" s="5" t="str" cm="1">
        <f t="array" ref="DF93">_xlfn.IFS(DE93=CW93,CP93,DE93=CX93,CQ93,DE93=CY93,CR93,DE93=CZ93,CS93,DE93=DA93,CT93,DE93=DB93,CU93,TRUE,"----- ")</f>
        <v>Support</v>
      </c>
      <c r="DG93" s="5"/>
      <c r="DH93" s="5">
        <f t="shared" si="252"/>
        <v>-2.423265306122455E-3</v>
      </c>
      <c r="DI93" s="5">
        <f t="shared" si="253"/>
        <v>-3.7194805194805478E-4</v>
      </c>
      <c r="DJ93" s="5">
        <f t="shared" si="254"/>
        <v>-1.6402721088435472E-3</v>
      </c>
      <c r="DK93" s="5">
        <f t="shared" si="255"/>
        <v>7.6471243042669956E-4</v>
      </c>
      <c r="DL93" s="5">
        <f t="shared" si="256"/>
        <v>-2.3081014223875058E-4</v>
      </c>
      <c r="DM93" s="5">
        <f t="shared" si="257"/>
        <v>1.5802844774273381E-3</v>
      </c>
      <c r="DO93" s="5">
        <f t="shared" si="203"/>
        <v>-1.9079214597220278</v>
      </c>
      <c r="DP93" s="5">
        <f t="shared" si="204"/>
        <v>-0.29295343676527091</v>
      </c>
      <c r="DQ93" s="5">
        <f t="shared" si="205"/>
        <v>-1.2917022253843653</v>
      </c>
      <c r="DR93" s="5">
        <f t="shared" si="206"/>
        <v>0.60228527619529781</v>
      </c>
      <c r="DS93" s="5">
        <f t="shared" si="207"/>
        <v>-0.18179147971962978</v>
      </c>
      <c r="DT93" s="5">
        <f t="shared" si="208"/>
        <v>1.2444775446344229</v>
      </c>
      <c r="DV93" t="str" cm="1">
        <f t="array" ref="DV93">_xlfn.IFS(DO93&gt;3,"Strong + Slope",DO93&gt;1.5,"Moderate + Slope",DO93&gt;0.5,"Sideway + Slope",DO93&gt;=-0.5,"Sideway Flat",DO93&gt;=-1.5,"Sideway - Slope",DO93&gt;=-3,"Moderate - Slope",TRUE,"Strong - Slope")</f>
        <v>Moderate - Slope</v>
      </c>
      <c r="DW93" t="str" cm="1">
        <f t="array" ref="DW93">_xlfn.IFS(DP93&gt;3,"Strong + Slope",DP93&gt;1.5,"Moderate + Slope",DP93&gt;0.5,"Sideway + Slope",DP93&gt;=-0.5,"Sideway Flat",DP93&gt;=-1.5,"Sideway - Slope",DP93&gt;=-3,"Moderate - Slope",TRUE,"Strong - Slope")</f>
        <v>Sideway Flat</v>
      </c>
      <c r="DX93" t="str" cm="1">
        <f t="array" ref="DX93">_xlfn.IFS(DQ93&gt;3,"Strong + Slope",DQ93&gt;1.5,"Moderate + Slope",DQ93&gt;0.5,"Sideway + Slope",DQ93&gt;=-0.5,"Sideway Flat",DQ93&gt;=-1.5,"Sideway - Slope",DQ93&gt;=-3,"Moderate - Slope",TRUE,"Strong - Slope")</f>
        <v>Sideway - Slope</v>
      </c>
      <c r="DY93" t="str" cm="1">
        <f t="array" ref="DY93">_xlfn.IFS(DR93&gt;3,"Strong + Slope",DR93&gt;1.5,"Moderate + Slope",DR93&gt;0.5,"Sideway + Slope",DR93&gt;=-0.5,"Sideway Flat",DR93&gt;=-1.5,"Sideway - Slope",DR93&gt;=-3,"Moderate - Slope",TRUE,"Strong - Slope")</f>
        <v>Sideway + Slope</v>
      </c>
      <c r="DZ93" t="str" cm="1">
        <f t="array" ref="DZ93">_xlfn.IFS(DS93&gt;3,"Strong + Slope",DS93&gt;1.5,"Moderate + Slope",DS93&gt;0.5,"Sideway + Slope",DS93&gt;=-0.5,"Sideway Flat",DS93&gt;=-1.5,"Sideway - Slope",DS93&gt;=-3,"Moderate - Slope",TRUE,"Strong - Slope")</f>
        <v>Sideway Flat</v>
      </c>
      <c r="EA93" t="str" cm="1">
        <f t="array" ref="EA93">_xlfn.IFS(DT93&gt;3,"Strong + Slope",DT93&gt;1.5,"Moderate + Slope",DT93&gt;0.5,"Sideway + Slope",DT93&gt;=-0.5,"Sideway Flat",DT93&gt;=-1.5,"Sideway - Slope",DT93&gt;=-3,"Moderate - Slope",TRUE,"Strong - Slope")</f>
        <v>Sideway + Slope</v>
      </c>
      <c r="EB93" s="5"/>
      <c r="EC93" s="5">
        <f t="shared" si="209"/>
        <v>4</v>
      </c>
      <c r="ED93" s="5">
        <f t="shared" si="210"/>
        <v>3</v>
      </c>
      <c r="EE93" s="5">
        <f t="shared" si="211"/>
        <v>1</v>
      </c>
      <c r="EF93" s="5">
        <f t="shared" si="212"/>
        <v>5</v>
      </c>
      <c r="EG93" s="5">
        <f t="shared" si="213"/>
        <v>6</v>
      </c>
      <c r="EH93" s="5">
        <f t="shared" si="214"/>
        <v>2</v>
      </c>
      <c r="EI93" s="5"/>
      <c r="EJ93" s="5" t="str">
        <f t="shared" si="215"/>
        <v>RES</v>
      </c>
      <c r="EK93" s="5" t="str">
        <f t="shared" si="216"/>
        <v>RES</v>
      </c>
      <c r="EL93" s="5" t="str">
        <f t="shared" si="217"/>
        <v>RES</v>
      </c>
      <c r="EM93" s="5" t="str">
        <f t="shared" si="218"/>
        <v>SUP</v>
      </c>
      <c r="EN93" s="5" t="str">
        <f t="shared" si="219"/>
        <v>SUP</v>
      </c>
      <c r="EO93" s="5" t="str">
        <f t="shared" si="220"/>
        <v>RES</v>
      </c>
      <c r="EP93" s="5"/>
      <c r="EQ93" s="8">
        <f t="shared" si="221"/>
        <v>1.1529718504542299E-3</v>
      </c>
      <c r="ER93" s="8">
        <f t="shared" si="222"/>
        <v>1.5001736008751121E-3</v>
      </c>
      <c r="ES93" s="8">
        <f t="shared" si="223"/>
        <v>3.1313667302111945E-3</v>
      </c>
      <c r="ET93" s="8">
        <f t="shared" si="224"/>
        <v>-1.4412148130673217E-4</v>
      </c>
      <c r="EU93" s="8">
        <f t="shared" si="225"/>
        <v>-4.3236444392038274E-4</v>
      </c>
      <c r="EV93" s="8">
        <f t="shared" si="226"/>
        <v>1.6901519171433142E-3</v>
      </c>
      <c r="EW93" s="8"/>
      <c r="EX93" s="8">
        <f t="shared" si="227"/>
        <v>0.12132352941176681</v>
      </c>
      <c r="EY93" s="9">
        <f t="shared" si="228"/>
        <v>4</v>
      </c>
      <c r="EZ93" s="10">
        <f t="shared" si="229"/>
        <v>2</v>
      </c>
      <c r="FA93" s="8">
        <f t="shared" si="258"/>
        <v>3.1313667302111945E-3</v>
      </c>
      <c r="FB93" s="8">
        <f t="shared" si="259"/>
        <v>1.6901519171433142E-3</v>
      </c>
      <c r="FC93" s="8">
        <f t="shared" si="260"/>
        <v>1.5001736008751121E-3</v>
      </c>
      <c r="FD93" s="8">
        <f t="shared" si="261"/>
        <v>1.1529718504542299E-3</v>
      </c>
      <c r="FE93" s="8">
        <f t="shared" si="262"/>
        <v>-1.4412148130673217E-4</v>
      </c>
      <c r="FF93" s="8">
        <f t="shared" si="263"/>
        <v>-4.3236444392038274E-4</v>
      </c>
      <c r="FG93" s="5"/>
      <c r="FH93" s="5" t="str">
        <f t="shared" si="230"/>
        <v>-----</v>
      </c>
      <c r="FI93" s="5" t="str">
        <f t="shared" si="264"/>
        <v>Flat Momentum</v>
      </c>
      <c r="FJ93" s="5"/>
      <c r="FK93" s="5" t="str">
        <f t="shared" si="265"/>
        <v>-----</v>
      </c>
      <c r="FL93" s="5" t="str">
        <f t="shared" si="266"/>
        <v>-----</v>
      </c>
      <c r="FM93" s="5"/>
      <c r="FN93" s="5"/>
      <c r="FO93" s="8" t="str">
        <f t="shared" si="279"/>
        <v>Bearish</v>
      </c>
      <c r="FP93" s="8"/>
      <c r="FQ93" s="14">
        <f t="shared" si="231"/>
        <v>-2.3565298788351781E-4</v>
      </c>
      <c r="FR93" s="14">
        <f t="shared" si="232"/>
        <v>0.61904975179852262</v>
      </c>
      <c r="FS93" s="14" t="str">
        <f t="shared" si="233"/>
        <v>-----</v>
      </c>
      <c r="FT93" s="14" t="str">
        <f t="shared" si="234"/>
        <v>Bearish</v>
      </c>
      <c r="FU93" s="5" t="str">
        <f t="shared" si="267"/>
        <v>-----</v>
      </c>
      <c r="FV93" s="5" t="str">
        <f t="shared" si="268"/>
        <v>TEMA crossunder</v>
      </c>
      <c r="FW93" s="5"/>
      <c r="FX93" s="15" t="str">
        <f t="shared" si="116"/>
        <v>YES</v>
      </c>
      <c r="FY93" s="15" t="str">
        <f t="shared" si="117"/>
        <v>-----</v>
      </c>
      <c r="FZ93" s="15" t="str">
        <f t="shared" si="118"/>
        <v>-----</v>
      </c>
      <c r="GA93" s="15" t="str">
        <f t="shared" si="119"/>
        <v>YES</v>
      </c>
      <c r="GB93" s="16" t="str">
        <f t="shared" si="274"/>
        <v>-----</v>
      </c>
      <c r="GC93" s="16" t="str">
        <f t="shared" si="275"/>
        <v>-----</v>
      </c>
      <c r="GD93" s="16" t="str">
        <f t="shared" si="276"/>
        <v>YES</v>
      </c>
      <c r="GE93" s="16" t="str">
        <f t="shared" si="278"/>
        <v>YES</v>
      </c>
      <c r="GF93" s="15" t="str">
        <f t="shared" si="277"/>
        <v>-----</v>
      </c>
      <c r="GG93" s="16" t="str">
        <f t="shared" si="120"/>
        <v>-----</v>
      </c>
      <c r="GH93" s="14"/>
      <c r="GI93" s="5" t="str">
        <f t="shared" si="235"/>
        <v>-----</v>
      </c>
      <c r="GJ93" s="5" t="str">
        <f t="shared" si="236"/>
        <v>Bearish Trigger</v>
      </c>
      <c r="GK93" s="5"/>
      <c r="GL93" s="5" t="str">
        <f t="shared" si="237"/>
        <v>-----</v>
      </c>
      <c r="GM93" s="5" t="str">
        <f t="shared" si="238"/>
        <v>-----</v>
      </c>
      <c r="GN93" s="5"/>
      <c r="GO93" s="12">
        <f t="shared" si="239"/>
        <v>0.10300000000000864</v>
      </c>
      <c r="GP93" s="5">
        <f t="shared" si="269"/>
        <v>0.62739380199157935</v>
      </c>
      <c r="GQ93" s="13" t="str">
        <f t="shared" si="270"/>
        <v>-----</v>
      </c>
      <c r="GR93" s="5"/>
      <c r="GS93">
        <f t="shared" si="271"/>
        <v>-0.24163378408749886</v>
      </c>
      <c r="GT93" s="5" t="str">
        <f t="shared" si="272"/>
        <v>-----</v>
      </c>
    </row>
    <row r="94" spans="1:202" x14ac:dyDescent="0.55000000000000004">
      <c r="A94">
        <v>90</v>
      </c>
      <c r="B94" t="s">
        <v>93</v>
      </c>
      <c r="C94" t="s">
        <v>4</v>
      </c>
      <c r="D94" t="s">
        <v>103</v>
      </c>
      <c r="E94">
        <v>152.649</v>
      </c>
      <c r="F94">
        <v>152.66</v>
      </c>
      <c r="G94">
        <v>152.626</v>
      </c>
      <c r="H94">
        <v>152.648</v>
      </c>
      <c r="I94">
        <v>88</v>
      </c>
      <c r="J94">
        <v>152.82300000000001</v>
      </c>
      <c r="K94">
        <v>152.87799999999999</v>
      </c>
      <c r="L94">
        <v>153.125</v>
      </c>
      <c r="M94">
        <v>152.62799999999999</v>
      </c>
      <c r="N94">
        <v>152.58199999999999</v>
      </c>
      <c r="O94">
        <v>152.90899999999999</v>
      </c>
      <c r="P94">
        <v>0</v>
      </c>
      <c r="Q94">
        <v>0</v>
      </c>
      <c r="R94">
        <v>0</v>
      </c>
      <c r="S94">
        <v>152.626</v>
      </c>
      <c r="T94">
        <v>0</v>
      </c>
      <c r="U94">
        <v>1.0392300000000001</v>
      </c>
      <c r="V94">
        <v>3</v>
      </c>
      <c r="W94">
        <v>153.05215999999999</v>
      </c>
      <c r="X94">
        <v>152.97533999999999</v>
      </c>
      <c r="Y94">
        <v>152.89850999999999</v>
      </c>
      <c r="Z94">
        <v>152.82167999999999</v>
      </c>
      <c r="AA94">
        <v>152.74485000000001</v>
      </c>
      <c r="AB94">
        <v>152.70696000000001</v>
      </c>
      <c r="AC94">
        <v>152.63014000000001</v>
      </c>
      <c r="AD94">
        <v>152.55331000000001</v>
      </c>
      <c r="AE94">
        <v>152.47648000000001</v>
      </c>
      <c r="AF94">
        <v>152.39965000000001</v>
      </c>
      <c r="AG94">
        <v>152.66900000000001</v>
      </c>
      <c r="AH94">
        <v>152.71600000000001</v>
      </c>
      <c r="AI94">
        <v>152.75800000000001</v>
      </c>
      <c r="AJ94">
        <v>152.85400000000001</v>
      </c>
      <c r="AK94">
        <v>152.71</v>
      </c>
      <c r="AL94">
        <v>152.63399999999999</v>
      </c>
      <c r="AM94" s="11">
        <f t="shared" si="179"/>
        <v>3.3999999999991815E-2</v>
      </c>
      <c r="AN94" s="11">
        <f t="shared" si="240"/>
        <v>1.099999999999568E-2</v>
      </c>
      <c r="AO94" s="11">
        <f t="shared" si="241"/>
        <v>2.2999999999996135E-2</v>
      </c>
      <c r="AP94" s="11">
        <f t="shared" si="242"/>
        <v>3.3999999999991815E-2</v>
      </c>
      <c r="AR94" s="5" t="str">
        <f t="shared" si="180"/>
        <v>------</v>
      </c>
      <c r="AS94" s="5" t="str">
        <f t="shared" si="181"/>
        <v>------</v>
      </c>
      <c r="AT94" t="str">
        <f t="shared" si="182"/>
        <v/>
      </c>
      <c r="AV94" s="2">
        <f t="shared" si="183"/>
        <v>152.84592345000002</v>
      </c>
      <c r="AW94" s="2">
        <f t="shared" si="184"/>
        <v>152.80007655</v>
      </c>
      <c r="AX94" s="2">
        <f t="shared" si="185"/>
        <v>152.9009317</v>
      </c>
      <c r="AY94" s="2">
        <f t="shared" si="186"/>
        <v>152.8550683</v>
      </c>
      <c r="AZ94" s="2">
        <f t="shared" si="187"/>
        <v>153.14796875000002</v>
      </c>
      <c r="BA94" s="2">
        <f t="shared" si="188"/>
        <v>153.10203125000001</v>
      </c>
      <c r="BB94" s="2">
        <f t="shared" si="189"/>
        <v>152.65089420000001</v>
      </c>
      <c r="BC94" s="2">
        <f t="shared" si="190"/>
        <v>152.60510579999999</v>
      </c>
      <c r="BD94" s="2">
        <f t="shared" si="191"/>
        <v>152.6048873</v>
      </c>
      <c r="BE94" s="2">
        <f t="shared" si="192"/>
        <v>152.55911269999999</v>
      </c>
      <c r="BF94" s="2">
        <f t="shared" si="193"/>
        <v>152.93193635</v>
      </c>
      <c r="BG94" s="2">
        <f t="shared" si="194"/>
        <v>152.88606364999998</v>
      </c>
      <c r="BI94" s="5" t="str">
        <f t="shared" si="243"/>
        <v>-----</v>
      </c>
      <c r="BJ94" s="5" t="str">
        <f t="shared" si="244"/>
        <v>-----</v>
      </c>
      <c r="BK94" s="5" t="str">
        <f t="shared" si="245"/>
        <v>-----</v>
      </c>
      <c r="BL94" s="5" t="str">
        <f t="shared" si="246"/>
        <v>TOUCH</v>
      </c>
      <c r="BM94" s="5" t="str">
        <f t="shared" si="247"/>
        <v>-----</v>
      </c>
      <c r="BN94" s="5" t="str">
        <f t="shared" si="248"/>
        <v>-----</v>
      </c>
      <c r="BO94" s="5"/>
      <c r="BP94" s="5">
        <f t="shared" si="280"/>
        <v>26</v>
      </c>
      <c r="BQ94" s="5">
        <f t="shared" si="280"/>
        <v>26</v>
      </c>
      <c r="BR94" s="5">
        <f t="shared" si="280"/>
        <v>88</v>
      </c>
      <c r="BS94" s="5">
        <f t="shared" si="280"/>
        <v>0</v>
      </c>
      <c r="BT94" s="5">
        <f t="shared" si="280"/>
        <v>90</v>
      </c>
      <c r="BU94" s="5">
        <f t="shared" si="280"/>
        <v>26</v>
      </c>
      <c r="BV94" s="5">
        <f t="shared" si="281"/>
        <v>2</v>
      </c>
      <c r="BW94" s="5">
        <f t="shared" si="281"/>
        <v>2</v>
      </c>
      <c r="BX94" s="5">
        <f t="shared" si="281"/>
        <v>2</v>
      </c>
      <c r="BY94" s="5">
        <f t="shared" si="281"/>
        <v>2</v>
      </c>
      <c r="BZ94" s="5">
        <f t="shared" si="281"/>
        <v>0</v>
      </c>
      <c r="CA94" s="5">
        <f t="shared" si="281"/>
        <v>7</v>
      </c>
      <c r="CB94" s="5" t="str">
        <f t="shared" si="273"/>
        <v>-----</v>
      </c>
      <c r="CC94" s="5" t="str">
        <f t="shared" si="273"/>
        <v>-----</v>
      </c>
      <c r="CD94" s="5" t="str">
        <f t="shared" si="273"/>
        <v>-----</v>
      </c>
      <c r="CE94" s="5">
        <f t="shared" si="273"/>
        <v>2</v>
      </c>
      <c r="CF94" s="5" t="str">
        <f t="shared" si="273"/>
        <v>-----</v>
      </c>
      <c r="CG94" s="5" t="str">
        <f t="shared" si="195"/>
        <v>-----</v>
      </c>
      <c r="CH94" s="5"/>
      <c r="CI94" s="17" t="str">
        <f t="shared" si="196"/>
        <v>-----</v>
      </c>
      <c r="CJ94" s="17" t="str">
        <f t="shared" si="197"/>
        <v>-----</v>
      </c>
      <c r="CK94" s="17" t="str">
        <f t="shared" si="198"/>
        <v>-----</v>
      </c>
      <c r="CL94" s="17">
        <f t="shared" si="199"/>
        <v>3.2562832507797663E-3</v>
      </c>
      <c r="CM94" s="17" t="str">
        <f t="shared" si="200"/>
        <v>-----</v>
      </c>
      <c r="CN94" s="17" t="str">
        <f t="shared" si="201"/>
        <v>-----</v>
      </c>
      <c r="CO94" s="5"/>
      <c r="CP94" s="5" t="str">
        <f t="shared" si="177"/>
        <v>-----</v>
      </c>
      <c r="CQ94" s="5" t="str">
        <f t="shared" si="177"/>
        <v>-----</v>
      </c>
      <c r="CR94" s="5" t="str">
        <f t="shared" si="177"/>
        <v>-----</v>
      </c>
      <c r="CS94" s="5" t="str">
        <f t="shared" si="177"/>
        <v>Support</v>
      </c>
      <c r="CT94" s="5" t="str">
        <f t="shared" si="177"/>
        <v>-----</v>
      </c>
      <c r="CU94" s="5" t="str">
        <f t="shared" si="177"/>
        <v>-----</v>
      </c>
      <c r="CV94" s="5"/>
      <c r="CW94" s="17" t="str">
        <f t="shared" si="178"/>
        <v/>
      </c>
      <c r="CX94" s="17" t="str">
        <f t="shared" si="178"/>
        <v/>
      </c>
      <c r="CY94" s="17" t="str">
        <f t="shared" si="178"/>
        <v/>
      </c>
      <c r="CZ94" s="17">
        <f t="shared" si="178"/>
        <v>3.2562832507797663E-3</v>
      </c>
      <c r="DA94" s="17" t="str">
        <f t="shared" si="178"/>
        <v/>
      </c>
      <c r="DB94" s="17" t="str">
        <f t="shared" si="178"/>
        <v/>
      </c>
      <c r="DC94" s="8"/>
      <c r="DD94" s="5">
        <f t="shared" si="202"/>
        <v>1</v>
      </c>
      <c r="DE94" s="17">
        <f t="shared" si="251"/>
        <v>3.2562832507797663E-3</v>
      </c>
      <c r="DF94" s="5" t="str" cm="1">
        <f t="array" ref="DF94">_xlfn.IFS(DE94=CW94,CP94,DE94=CX94,CQ94,DE94=CY94,CR94,DE94=CZ94,CS94,DE94=DA94,CT94,DE94=DB94,CU94,TRUE,"----- ")</f>
        <v>Support</v>
      </c>
      <c r="DG94" s="5"/>
      <c r="DH94" s="5">
        <f t="shared" si="252"/>
        <v>-2.423265306122455E-3</v>
      </c>
      <c r="DI94" s="5">
        <f t="shared" si="253"/>
        <v>-3.7194805194805478E-4</v>
      </c>
      <c r="DJ94" s="5">
        <f t="shared" si="254"/>
        <v>-1.6402721088435472E-3</v>
      </c>
      <c r="DK94" s="5">
        <f t="shared" si="255"/>
        <v>7.6471243042669956E-4</v>
      </c>
      <c r="DL94" s="5">
        <f t="shared" si="256"/>
        <v>-2.3081014223875058E-4</v>
      </c>
      <c r="DM94" s="5">
        <f t="shared" si="257"/>
        <v>1.5802844774273381E-3</v>
      </c>
      <c r="DO94" s="5">
        <f t="shared" si="203"/>
        <v>-1.9079214597220278</v>
      </c>
      <c r="DP94" s="5">
        <f t="shared" si="204"/>
        <v>-0.29295343676527091</v>
      </c>
      <c r="DQ94" s="5">
        <f t="shared" si="205"/>
        <v>-1.2917022253843653</v>
      </c>
      <c r="DR94" s="5">
        <f t="shared" si="206"/>
        <v>0.60228527619529781</v>
      </c>
      <c r="DS94" s="5">
        <f t="shared" si="207"/>
        <v>-0.18179147971962978</v>
      </c>
      <c r="DT94" s="5">
        <f t="shared" si="208"/>
        <v>1.2444775446344229</v>
      </c>
      <c r="DV94" t="str" cm="1">
        <f t="array" ref="DV94">_xlfn.IFS(DO94&gt;3,"Strong + Slope",DO94&gt;1.5,"Moderate + Slope",DO94&gt;0.5,"Sideway + Slope",DO94&gt;=-0.5,"Sideway Flat",DO94&gt;=-1.5,"Sideway - Slope",DO94&gt;=-3,"Moderate - Slope",TRUE,"Strong - Slope")</f>
        <v>Moderate - Slope</v>
      </c>
      <c r="DW94" t="str" cm="1">
        <f t="array" ref="DW94">_xlfn.IFS(DP94&gt;3,"Strong + Slope",DP94&gt;1.5,"Moderate + Slope",DP94&gt;0.5,"Sideway + Slope",DP94&gt;=-0.5,"Sideway Flat",DP94&gt;=-1.5,"Sideway - Slope",DP94&gt;=-3,"Moderate - Slope",TRUE,"Strong - Slope")</f>
        <v>Sideway Flat</v>
      </c>
      <c r="DX94" t="str" cm="1">
        <f t="array" ref="DX94">_xlfn.IFS(DQ94&gt;3,"Strong + Slope",DQ94&gt;1.5,"Moderate + Slope",DQ94&gt;0.5,"Sideway + Slope",DQ94&gt;=-0.5,"Sideway Flat",DQ94&gt;=-1.5,"Sideway - Slope",DQ94&gt;=-3,"Moderate - Slope",TRUE,"Strong - Slope")</f>
        <v>Sideway - Slope</v>
      </c>
      <c r="DY94" t="str" cm="1">
        <f t="array" ref="DY94">_xlfn.IFS(DR94&gt;3,"Strong + Slope",DR94&gt;1.5,"Moderate + Slope",DR94&gt;0.5,"Sideway + Slope",DR94&gt;=-0.5,"Sideway Flat",DR94&gt;=-1.5,"Sideway - Slope",DR94&gt;=-3,"Moderate - Slope",TRUE,"Strong - Slope")</f>
        <v>Sideway + Slope</v>
      </c>
      <c r="DZ94" t="str" cm="1">
        <f t="array" ref="DZ94">_xlfn.IFS(DS94&gt;3,"Strong + Slope",DS94&gt;1.5,"Moderate + Slope",DS94&gt;0.5,"Sideway + Slope",DS94&gt;=-0.5,"Sideway Flat",DS94&gt;=-1.5,"Sideway - Slope",DS94&gt;=-3,"Moderate - Slope",TRUE,"Strong - Slope")</f>
        <v>Sideway Flat</v>
      </c>
      <c r="EA94" t="str" cm="1">
        <f t="array" ref="EA94">_xlfn.IFS(DT94&gt;3,"Strong + Slope",DT94&gt;1.5,"Moderate + Slope",DT94&gt;0.5,"Sideway + Slope",DT94&gt;=-0.5,"Sideway Flat",DT94&gt;=-1.5,"Sideway - Slope",DT94&gt;=-3,"Moderate - Slope",TRUE,"Strong - Slope")</f>
        <v>Sideway + Slope</v>
      </c>
      <c r="EB94" s="5"/>
      <c r="EC94" s="5">
        <f t="shared" si="209"/>
        <v>4</v>
      </c>
      <c r="ED94" s="5">
        <f t="shared" si="210"/>
        <v>3</v>
      </c>
      <c r="EE94" s="5">
        <f t="shared" si="211"/>
        <v>1</v>
      </c>
      <c r="EF94" s="5">
        <f t="shared" si="212"/>
        <v>5</v>
      </c>
      <c r="EG94" s="5">
        <f t="shared" si="213"/>
        <v>6</v>
      </c>
      <c r="EH94" s="5">
        <f t="shared" si="214"/>
        <v>2</v>
      </c>
      <c r="EI94" s="5"/>
      <c r="EJ94" s="5" t="str">
        <f t="shared" si="215"/>
        <v>RES</v>
      </c>
      <c r="EK94" s="5" t="str">
        <f t="shared" si="216"/>
        <v>RES</v>
      </c>
      <c r="EL94" s="5" t="str">
        <f t="shared" si="217"/>
        <v>RES</v>
      </c>
      <c r="EM94" s="5" t="str">
        <f t="shared" si="218"/>
        <v>SUP</v>
      </c>
      <c r="EN94" s="5" t="str">
        <f t="shared" si="219"/>
        <v>SUP</v>
      </c>
      <c r="EO94" s="5" t="str">
        <f t="shared" si="220"/>
        <v>RES</v>
      </c>
      <c r="EP94" s="5"/>
      <c r="EQ94" s="8">
        <f t="shared" si="221"/>
        <v>1.1464283842566648E-3</v>
      </c>
      <c r="ER94" s="8">
        <f t="shared" si="222"/>
        <v>1.5067344478800232E-3</v>
      </c>
      <c r="ES94" s="8">
        <f t="shared" si="223"/>
        <v>3.1248362245165601E-3</v>
      </c>
      <c r="ET94" s="8">
        <f t="shared" si="224"/>
        <v>-1.3102038677224878E-4</v>
      </c>
      <c r="EU94" s="8">
        <f t="shared" si="225"/>
        <v>-4.3236727634821619E-4</v>
      </c>
      <c r="EV94" s="8">
        <f t="shared" si="226"/>
        <v>1.7098160473769436E-3</v>
      </c>
      <c r="EW94" s="8"/>
      <c r="EX94" s="8">
        <f t="shared" si="227"/>
        <v>0.12154696132597004</v>
      </c>
      <c r="EY94" s="9">
        <f t="shared" si="228"/>
        <v>4</v>
      </c>
      <c r="EZ94" s="10">
        <f t="shared" si="229"/>
        <v>2</v>
      </c>
      <c r="FA94" s="8">
        <f t="shared" si="258"/>
        <v>3.1248362245165601E-3</v>
      </c>
      <c r="FB94" s="8">
        <f t="shared" si="259"/>
        <v>1.7098160473769436E-3</v>
      </c>
      <c r="FC94" s="8">
        <f t="shared" si="260"/>
        <v>1.5067344478800232E-3</v>
      </c>
      <c r="FD94" s="8">
        <f t="shared" si="261"/>
        <v>1.1464283842566648E-3</v>
      </c>
      <c r="FE94" s="8">
        <f t="shared" si="262"/>
        <v>-1.3102038677224878E-4</v>
      </c>
      <c r="FF94" s="8">
        <f t="shared" si="263"/>
        <v>-4.3236727634821619E-4</v>
      </c>
      <c r="FG94" s="5"/>
      <c r="FH94" s="5" t="str">
        <f t="shared" si="230"/>
        <v>-----</v>
      </c>
      <c r="FI94" s="5" t="str">
        <f t="shared" si="264"/>
        <v>Flat Momentum</v>
      </c>
      <c r="FJ94" s="5"/>
      <c r="FK94" s="5" t="str">
        <f t="shared" si="265"/>
        <v>-----</v>
      </c>
      <c r="FL94" s="5" t="str">
        <f t="shared" si="266"/>
        <v>-----</v>
      </c>
      <c r="FM94" s="5"/>
      <c r="FN94" s="5"/>
      <c r="FO94" s="8" t="str">
        <f t="shared" si="279"/>
        <v>Bearish</v>
      </c>
      <c r="FP94" s="8"/>
      <c r="FQ94" s="14">
        <f t="shared" si="231"/>
        <v>-2.7494468374816107E-4</v>
      </c>
      <c r="FR94" s="14">
        <f t="shared" si="232"/>
        <v>0.50573042722348704</v>
      </c>
      <c r="FS94" s="14" t="str">
        <f t="shared" si="233"/>
        <v>-----</v>
      </c>
      <c r="FT94" s="14" t="str">
        <f t="shared" si="234"/>
        <v>Bearish</v>
      </c>
      <c r="FU94" s="5" t="str">
        <f t="shared" si="267"/>
        <v>-----</v>
      </c>
      <c r="FV94" s="5" t="str">
        <f t="shared" si="268"/>
        <v>-----</v>
      </c>
      <c r="FW94" s="5"/>
      <c r="FX94" s="15" t="str">
        <f t="shared" si="116"/>
        <v>YES</v>
      </c>
      <c r="FY94" s="15" t="str">
        <f t="shared" si="117"/>
        <v>-----</v>
      </c>
      <c r="FZ94" s="15" t="str">
        <f t="shared" si="118"/>
        <v>-----</v>
      </c>
      <c r="GA94" s="15" t="str">
        <f t="shared" si="119"/>
        <v>YES</v>
      </c>
      <c r="GB94" s="16" t="str">
        <f t="shared" si="274"/>
        <v>-----</v>
      </c>
      <c r="GC94" s="16" t="str">
        <f t="shared" si="275"/>
        <v>-----</v>
      </c>
      <c r="GD94" s="16" t="str">
        <f t="shared" si="276"/>
        <v>YES</v>
      </c>
      <c r="GE94" s="16" t="str">
        <f t="shared" si="278"/>
        <v>YES</v>
      </c>
      <c r="GF94" s="15" t="str">
        <f t="shared" si="277"/>
        <v>-----</v>
      </c>
      <c r="GG94" s="16" t="str">
        <f t="shared" si="120"/>
        <v>-----</v>
      </c>
      <c r="GH94" s="14"/>
      <c r="GI94" s="5" t="str">
        <f t="shared" si="235"/>
        <v>-----</v>
      </c>
      <c r="GJ94" s="5" t="str">
        <f t="shared" si="236"/>
        <v>-----</v>
      </c>
      <c r="GK94" s="5"/>
      <c r="GL94" s="5" t="str">
        <f t="shared" si="237"/>
        <v>-----</v>
      </c>
      <c r="GM94" s="5" t="str">
        <f t="shared" si="238"/>
        <v>-----</v>
      </c>
      <c r="GN94" s="5"/>
      <c r="GO94" s="12">
        <f t="shared" si="239"/>
        <v>7.6000000000021828E-2</v>
      </c>
      <c r="GP94" s="5">
        <f t="shared" si="269"/>
        <v>5.1215820575273548E-3</v>
      </c>
      <c r="GQ94" s="13" t="str">
        <f t="shared" si="270"/>
        <v>-----</v>
      </c>
      <c r="GR94" s="5"/>
      <c r="GS94">
        <f t="shared" si="271"/>
        <v>-1.2934936097740291</v>
      </c>
      <c r="GT94" s="5" t="str">
        <f t="shared" si="272"/>
        <v>-----</v>
      </c>
    </row>
    <row r="95" spans="1:202" x14ac:dyDescent="0.55000000000000004">
      <c r="A95">
        <v>91</v>
      </c>
      <c r="B95" t="s">
        <v>94</v>
      </c>
      <c r="C95" t="s">
        <v>4</v>
      </c>
      <c r="D95" t="s">
        <v>103</v>
      </c>
      <c r="E95">
        <v>152.648</v>
      </c>
      <c r="F95">
        <v>152.69200000000001</v>
      </c>
      <c r="G95">
        <v>152.648</v>
      </c>
      <c r="H95">
        <v>152.67599999999999</v>
      </c>
      <c r="I95">
        <v>117</v>
      </c>
      <c r="J95">
        <v>152.82</v>
      </c>
      <c r="K95">
        <v>152.87799999999999</v>
      </c>
      <c r="L95">
        <v>153.12299999999999</v>
      </c>
      <c r="M95">
        <v>152.62899999999999</v>
      </c>
      <c r="N95">
        <v>152.58199999999999</v>
      </c>
      <c r="O95">
        <v>152.91</v>
      </c>
      <c r="P95">
        <v>0</v>
      </c>
      <c r="Q95">
        <v>0</v>
      </c>
      <c r="R95">
        <v>0</v>
      </c>
      <c r="S95">
        <v>0</v>
      </c>
      <c r="T95">
        <v>0</v>
      </c>
      <c r="U95">
        <v>0.38621</v>
      </c>
      <c r="V95">
        <v>0</v>
      </c>
      <c r="W95">
        <v>153.04503</v>
      </c>
      <c r="X95">
        <v>152.96862999999999</v>
      </c>
      <c r="Y95">
        <v>152.89223999999999</v>
      </c>
      <c r="Z95">
        <v>152.81584000000001</v>
      </c>
      <c r="AA95">
        <v>152.73945000000001</v>
      </c>
      <c r="AB95">
        <v>152.69998000000001</v>
      </c>
      <c r="AC95">
        <v>152.62359000000001</v>
      </c>
      <c r="AD95">
        <v>152.54719</v>
      </c>
      <c r="AE95">
        <v>152.4708</v>
      </c>
      <c r="AF95">
        <v>152.39439999999999</v>
      </c>
      <c r="AG95">
        <v>152.66200000000001</v>
      </c>
      <c r="AH95">
        <v>152.702</v>
      </c>
      <c r="AI95">
        <v>152.75200000000001</v>
      </c>
      <c r="AJ95">
        <v>152.84899999999999</v>
      </c>
      <c r="AK95">
        <v>152.69399999999999</v>
      </c>
      <c r="AL95">
        <v>152.631</v>
      </c>
      <c r="AM95" s="11">
        <f t="shared" si="179"/>
        <v>4.4000000000011141E-2</v>
      </c>
      <c r="AN95" s="11">
        <f t="shared" si="240"/>
        <v>4.4000000000011141E-2</v>
      </c>
      <c r="AO95" s="11">
        <f t="shared" si="241"/>
        <v>0</v>
      </c>
      <c r="AP95" s="11">
        <f t="shared" si="242"/>
        <v>4.4000000000011141E-2</v>
      </c>
      <c r="AR95" s="5" t="str">
        <f t="shared" si="180"/>
        <v>------</v>
      </c>
      <c r="AS95" s="5" t="str">
        <f t="shared" si="181"/>
        <v>------</v>
      </c>
      <c r="AT95" t="str">
        <f t="shared" si="182"/>
        <v/>
      </c>
      <c r="AV95" s="2">
        <f t="shared" si="183"/>
        <v>152.84292300000001</v>
      </c>
      <c r="AW95" s="2">
        <f t="shared" si="184"/>
        <v>152.797077</v>
      </c>
      <c r="AX95" s="2">
        <f t="shared" si="185"/>
        <v>152.9009317</v>
      </c>
      <c r="AY95" s="2">
        <f t="shared" si="186"/>
        <v>152.8550683</v>
      </c>
      <c r="AZ95" s="2">
        <f t="shared" si="187"/>
        <v>153.14596845</v>
      </c>
      <c r="BA95" s="2">
        <f t="shared" si="188"/>
        <v>153.10003154999998</v>
      </c>
      <c r="BB95" s="2">
        <f t="shared" si="189"/>
        <v>152.65189434999999</v>
      </c>
      <c r="BC95" s="2">
        <f t="shared" si="190"/>
        <v>152.60610564999999</v>
      </c>
      <c r="BD95" s="2">
        <f t="shared" si="191"/>
        <v>152.6048873</v>
      </c>
      <c r="BE95" s="2">
        <f t="shared" si="192"/>
        <v>152.55911269999999</v>
      </c>
      <c r="BF95" s="2">
        <f t="shared" si="193"/>
        <v>152.93293650000001</v>
      </c>
      <c r="BG95" s="2">
        <f t="shared" si="194"/>
        <v>152.88706350000001</v>
      </c>
      <c r="BI95" s="5" t="str">
        <f t="shared" si="243"/>
        <v>-----</v>
      </c>
      <c r="BJ95" s="5" t="str">
        <f t="shared" si="244"/>
        <v>-----</v>
      </c>
      <c r="BK95" s="5" t="str">
        <f t="shared" si="245"/>
        <v>-----</v>
      </c>
      <c r="BL95" s="5" t="str">
        <f t="shared" si="246"/>
        <v>TOUCH</v>
      </c>
      <c r="BM95" s="5" t="str">
        <f t="shared" si="247"/>
        <v>-----</v>
      </c>
      <c r="BN95" s="5" t="str">
        <f t="shared" si="248"/>
        <v>-----</v>
      </c>
      <c r="BO95" s="5"/>
      <c r="BP95" s="5">
        <f t="shared" si="280"/>
        <v>27</v>
      </c>
      <c r="BQ95" s="5">
        <f t="shared" si="280"/>
        <v>27</v>
      </c>
      <c r="BR95" s="5">
        <f t="shared" si="280"/>
        <v>89</v>
      </c>
      <c r="BS95" s="5">
        <f t="shared" si="280"/>
        <v>0</v>
      </c>
      <c r="BT95" s="5">
        <f t="shared" si="280"/>
        <v>91</v>
      </c>
      <c r="BU95" s="5">
        <f t="shared" si="280"/>
        <v>27</v>
      </c>
      <c r="BV95" s="5">
        <f t="shared" si="281"/>
        <v>2</v>
      </c>
      <c r="BW95" s="5">
        <f t="shared" si="281"/>
        <v>2</v>
      </c>
      <c r="BX95" s="5">
        <f t="shared" si="281"/>
        <v>2</v>
      </c>
      <c r="BY95" s="5">
        <f t="shared" si="281"/>
        <v>3</v>
      </c>
      <c r="BZ95" s="5">
        <f t="shared" si="281"/>
        <v>0</v>
      </c>
      <c r="CA95" s="5">
        <f t="shared" si="281"/>
        <v>7</v>
      </c>
      <c r="CB95" s="5" t="str">
        <f t="shared" si="273"/>
        <v>-----</v>
      </c>
      <c r="CC95" s="5" t="str">
        <f t="shared" si="273"/>
        <v>-----</v>
      </c>
      <c r="CD95" s="5" t="str">
        <f t="shared" si="273"/>
        <v>-----</v>
      </c>
      <c r="CE95" s="5">
        <f t="shared" si="273"/>
        <v>3</v>
      </c>
      <c r="CF95" s="5" t="str">
        <f t="shared" si="273"/>
        <v>-----</v>
      </c>
      <c r="CG95" s="5" t="str">
        <f t="shared" si="195"/>
        <v>-----</v>
      </c>
      <c r="CH95" s="5"/>
      <c r="CI95" s="17" t="str">
        <f t="shared" si="196"/>
        <v>-----</v>
      </c>
      <c r="CJ95" s="17" t="str">
        <f t="shared" si="197"/>
        <v>-----</v>
      </c>
      <c r="CK95" s="17" t="str">
        <f t="shared" si="198"/>
        <v>-----</v>
      </c>
      <c r="CL95" s="17">
        <f t="shared" si="199"/>
        <v>3.2366064116255743E-3</v>
      </c>
      <c r="CM95" s="17" t="str">
        <f t="shared" si="200"/>
        <v>-----</v>
      </c>
      <c r="CN95" s="17" t="str">
        <f t="shared" si="201"/>
        <v>-----</v>
      </c>
      <c r="CO95" s="5"/>
      <c r="CP95" s="5" t="str">
        <f t="shared" si="177"/>
        <v>-----</v>
      </c>
      <c r="CQ95" s="5" t="str">
        <f t="shared" si="177"/>
        <v>-----</v>
      </c>
      <c r="CR95" s="5" t="str">
        <f t="shared" si="177"/>
        <v>-----</v>
      </c>
      <c r="CS95" s="5" t="str">
        <f t="shared" si="177"/>
        <v>Support</v>
      </c>
      <c r="CT95" s="5" t="str">
        <f t="shared" si="177"/>
        <v>-----</v>
      </c>
      <c r="CU95" s="5" t="str">
        <f t="shared" si="177"/>
        <v>-----</v>
      </c>
      <c r="CV95" s="5"/>
      <c r="CW95" s="17" t="str">
        <f t="shared" si="178"/>
        <v/>
      </c>
      <c r="CX95" s="17" t="str">
        <f t="shared" si="178"/>
        <v/>
      </c>
      <c r="CY95" s="17" t="str">
        <f t="shared" si="178"/>
        <v/>
      </c>
      <c r="CZ95" s="17">
        <f t="shared" si="178"/>
        <v>3.2366064116255743E-3</v>
      </c>
      <c r="DA95" s="17" t="str">
        <f t="shared" si="178"/>
        <v/>
      </c>
      <c r="DB95" s="17" t="str">
        <f t="shared" si="178"/>
        <v/>
      </c>
      <c r="DC95" s="8"/>
      <c r="DD95" s="5">
        <f t="shared" si="202"/>
        <v>1</v>
      </c>
      <c r="DE95" s="17">
        <f t="shared" si="251"/>
        <v>3.2366064116255743E-3</v>
      </c>
      <c r="DF95" s="5" t="str" cm="1">
        <f t="array" ref="DF95">_xlfn.IFS(DE95=CW95,CP95,DE95=CX95,CQ95,DE95=CY95,CR95,DE95=CZ95,CS95,DE95=DA95,CT95,DE95=DB95,CU95,TRUE,"----- ")</f>
        <v>Support</v>
      </c>
      <c r="DG95" s="5"/>
      <c r="DH95" s="5">
        <f t="shared" si="252"/>
        <v>-2.423265306122455E-3</v>
      </c>
      <c r="DI95" s="5">
        <f t="shared" si="253"/>
        <v>-3.7194805194805478E-4</v>
      </c>
      <c r="DJ95" s="5">
        <f t="shared" si="254"/>
        <v>-1.6402721088435472E-3</v>
      </c>
      <c r="DK95" s="5">
        <f t="shared" si="255"/>
        <v>7.6471243042669956E-4</v>
      </c>
      <c r="DL95" s="5">
        <f t="shared" si="256"/>
        <v>-2.3081014223875058E-4</v>
      </c>
      <c r="DM95" s="5">
        <f t="shared" si="257"/>
        <v>1.5802844774273381E-3</v>
      </c>
      <c r="DO95" s="5">
        <f t="shared" si="203"/>
        <v>-1.9079214597220278</v>
      </c>
      <c r="DP95" s="5">
        <f t="shared" si="204"/>
        <v>-0.29295343676527091</v>
      </c>
      <c r="DQ95" s="5">
        <f t="shared" si="205"/>
        <v>-1.2917022253843653</v>
      </c>
      <c r="DR95" s="5">
        <f t="shared" si="206"/>
        <v>0.60228527619529781</v>
      </c>
      <c r="DS95" s="5">
        <f t="shared" si="207"/>
        <v>-0.18179147971962978</v>
      </c>
      <c r="DT95" s="5">
        <f t="shared" si="208"/>
        <v>1.2444775446344229</v>
      </c>
      <c r="DV95" t="str" cm="1">
        <f t="array" ref="DV95">_xlfn.IFS(DO95&gt;3,"Strong + Slope",DO95&gt;1.5,"Moderate + Slope",DO95&gt;0.5,"Sideway + Slope",DO95&gt;=-0.5,"Sideway Flat",DO95&gt;=-1.5,"Sideway - Slope",DO95&gt;=-3,"Moderate - Slope",TRUE,"Strong - Slope")</f>
        <v>Moderate - Slope</v>
      </c>
      <c r="DW95" t="str" cm="1">
        <f t="array" ref="DW95">_xlfn.IFS(DP95&gt;3,"Strong + Slope",DP95&gt;1.5,"Moderate + Slope",DP95&gt;0.5,"Sideway + Slope",DP95&gt;=-0.5,"Sideway Flat",DP95&gt;=-1.5,"Sideway - Slope",DP95&gt;=-3,"Moderate - Slope",TRUE,"Strong - Slope")</f>
        <v>Sideway Flat</v>
      </c>
      <c r="DX95" t="str" cm="1">
        <f t="array" ref="DX95">_xlfn.IFS(DQ95&gt;3,"Strong + Slope",DQ95&gt;1.5,"Moderate + Slope",DQ95&gt;0.5,"Sideway + Slope",DQ95&gt;=-0.5,"Sideway Flat",DQ95&gt;=-1.5,"Sideway - Slope",DQ95&gt;=-3,"Moderate - Slope",TRUE,"Strong - Slope")</f>
        <v>Sideway - Slope</v>
      </c>
      <c r="DY95" t="str" cm="1">
        <f t="array" ref="DY95">_xlfn.IFS(DR95&gt;3,"Strong + Slope",DR95&gt;1.5,"Moderate + Slope",DR95&gt;0.5,"Sideway + Slope",DR95&gt;=-0.5,"Sideway Flat",DR95&gt;=-1.5,"Sideway - Slope",DR95&gt;=-3,"Moderate - Slope",TRUE,"Strong - Slope")</f>
        <v>Sideway + Slope</v>
      </c>
      <c r="DZ95" t="str" cm="1">
        <f t="array" ref="DZ95">_xlfn.IFS(DS95&gt;3,"Strong + Slope",DS95&gt;1.5,"Moderate + Slope",DS95&gt;0.5,"Sideway + Slope",DS95&gt;=-0.5,"Sideway Flat",DS95&gt;=-1.5,"Sideway - Slope",DS95&gt;=-3,"Moderate - Slope",TRUE,"Strong - Slope")</f>
        <v>Sideway Flat</v>
      </c>
      <c r="EA95" t="str" cm="1">
        <f t="array" ref="EA95">_xlfn.IFS(DT95&gt;3,"Strong + Slope",DT95&gt;1.5,"Moderate + Slope",DT95&gt;0.5,"Sideway + Slope",DT95&gt;=-0.5,"Sideway Flat",DT95&gt;=-1.5,"Sideway - Slope",DT95&gt;=-3,"Moderate - Slope",TRUE,"Strong - Slope")</f>
        <v>Sideway + Slope</v>
      </c>
      <c r="EB95" s="5"/>
      <c r="EC95" s="5">
        <f t="shared" si="209"/>
        <v>4</v>
      </c>
      <c r="ED95" s="5">
        <f t="shared" si="210"/>
        <v>3</v>
      </c>
      <c r="EE95" s="5">
        <f t="shared" si="211"/>
        <v>1</v>
      </c>
      <c r="EF95" s="5">
        <f t="shared" si="212"/>
        <v>5</v>
      </c>
      <c r="EG95" s="5">
        <f t="shared" si="213"/>
        <v>6</v>
      </c>
      <c r="EH95" s="5">
        <f t="shared" si="214"/>
        <v>2</v>
      </c>
      <c r="EI95" s="5"/>
      <c r="EJ95" s="5" t="str">
        <f t="shared" si="215"/>
        <v>RES</v>
      </c>
      <c r="EK95" s="5" t="str">
        <f t="shared" si="216"/>
        <v>RES</v>
      </c>
      <c r="EL95" s="5" t="str">
        <f t="shared" si="217"/>
        <v>RES</v>
      </c>
      <c r="EM95" s="5" t="str">
        <f t="shared" si="218"/>
        <v>SUP</v>
      </c>
      <c r="EN95" s="5" t="str">
        <f t="shared" si="219"/>
        <v>SUP</v>
      </c>
      <c r="EO95" s="5" t="str">
        <f t="shared" si="220"/>
        <v>RES</v>
      </c>
      <c r="EP95" s="5"/>
      <c r="EQ95" s="8">
        <f t="shared" si="221"/>
        <v>9.4317377976895823E-4</v>
      </c>
      <c r="ER95" s="8">
        <f t="shared" si="222"/>
        <v>1.3230632188425044E-3</v>
      </c>
      <c r="ES95" s="8">
        <f t="shared" si="223"/>
        <v>2.9277686080327148E-3</v>
      </c>
      <c r="ET95" s="8">
        <f t="shared" si="224"/>
        <v>-3.0784144200789285E-4</v>
      </c>
      <c r="EU95" s="8">
        <f t="shared" si="225"/>
        <v>-6.156828840157857E-4</v>
      </c>
      <c r="EV95" s="8">
        <f t="shared" si="226"/>
        <v>1.5326573921245572E-3</v>
      </c>
      <c r="EW95" s="8"/>
      <c r="EX95" s="8">
        <f t="shared" si="227"/>
        <v>0.17375231053603446</v>
      </c>
      <c r="EY95" s="9">
        <f t="shared" si="228"/>
        <v>4</v>
      </c>
      <c r="EZ95" s="10">
        <f t="shared" si="229"/>
        <v>2</v>
      </c>
      <c r="FA95" s="8">
        <f t="shared" si="258"/>
        <v>2.9277686080327148E-3</v>
      </c>
      <c r="FB95" s="8">
        <f t="shared" si="259"/>
        <v>1.5326573921245572E-3</v>
      </c>
      <c r="FC95" s="8">
        <f t="shared" si="260"/>
        <v>1.3230632188425044E-3</v>
      </c>
      <c r="FD95" s="8">
        <f t="shared" si="261"/>
        <v>9.4317377976895823E-4</v>
      </c>
      <c r="FE95" s="8">
        <f t="shared" si="262"/>
        <v>-3.0784144200789285E-4</v>
      </c>
      <c r="FF95" s="8">
        <f t="shared" si="263"/>
        <v>-6.156828840157857E-4</v>
      </c>
      <c r="FG95" s="5"/>
      <c r="FH95" s="5" t="str">
        <f t="shared" si="230"/>
        <v>-----</v>
      </c>
      <c r="FI95" s="5" t="str">
        <f t="shared" si="264"/>
        <v>Flat Momentum</v>
      </c>
      <c r="FJ95" s="5"/>
      <c r="FK95" s="5" t="str">
        <f t="shared" si="265"/>
        <v>-----</v>
      </c>
      <c r="FL95" s="5" t="str">
        <f t="shared" si="266"/>
        <v>-----</v>
      </c>
      <c r="FM95" s="5"/>
      <c r="FN95" s="5"/>
      <c r="FO95" s="8" t="str">
        <f t="shared" si="279"/>
        <v>Bearish</v>
      </c>
      <c r="FP95" s="8"/>
      <c r="FQ95" s="14">
        <f t="shared" si="231"/>
        <v>-3.2732795642617684E-4</v>
      </c>
      <c r="FR95" s="14">
        <f t="shared" si="232"/>
        <v>0.35465430418334559</v>
      </c>
      <c r="FS95" s="14" t="str">
        <f t="shared" si="233"/>
        <v>-----</v>
      </c>
      <c r="FT95" s="14" t="str">
        <f t="shared" si="234"/>
        <v>Bearish</v>
      </c>
      <c r="FU95" s="5" t="str">
        <f t="shared" si="267"/>
        <v>TEMA crossover</v>
      </c>
      <c r="FV95" s="5" t="str">
        <f t="shared" si="268"/>
        <v>-----</v>
      </c>
      <c r="FW95" s="5"/>
      <c r="FX95" s="15" t="str">
        <f t="shared" si="116"/>
        <v>YES</v>
      </c>
      <c r="FY95" s="15" t="str">
        <f t="shared" si="117"/>
        <v>-----</v>
      </c>
      <c r="FZ95" s="15" t="str">
        <f t="shared" si="118"/>
        <v>-----</v>
      </c>
      <c r="GA95" s="15" t="str">
        <f t="shared" si="119"/>
        <v>YES</v>
      </c>
      <c r="GB95" s="16" t="str">
        <f t="shared" si="274"/>
        <v>-----</v>
      </c>
      <c r="GC95" s="16" t="str">
        <f t="shared" si="275"/>
        <v>-----</v>
      </c>
      <c r="GD95" s="16" t="str">
        <f t="shared" si="276"/>
        <v>YES</v>
      </c>
      <c r="GE95" s="16" t="str">
        <f t="shared" si="278"/>
        <v>YES</v>
      </c>
      <c r="GF95" s="15" t="str">
        <f t="shared" si="277"/>
        <v>-----</v>
      </c>
      <c r="GG95" s="16" t="str">
        <f t="shared" si="120"/>
        <v>-----</v>
      </c>
      <c r="GH95" s="14"/>
      <c r="GI95" s="5" t="str">
        <f t="shared" si="235"/>
        <v>-----</v>
      </c>
      <c r="GJ95" s="5" t="str">
        <f t="shared" si="236"/>
        <v>-----</v>
      </c>
      <c r="GK95" s="5"/>
      <c r="GL95" s="5" t="str">
        <f t="shared" si="237"/>
        <v>-----</v>
      </c>
      <c r="GM95" s="5" t="str">
        <f t="shared" si="238"/>
        <v>-----</v>
      </c>
      <c r="GN95" s="5"/>
      <c r="GO95" s="12">
        <f t="shared" si="239"/>
        <v>6.2999999999988177E-2</v>
      </c>
      <c r="GP95" s="5">
        <f t="shared" si="269"/>
        <v>-0.29449096828201221</v>
      </c>
      <c r="GQ95" s="13" t="str">
        <f t="shared" si="270"/>
        <v>-----</v>
      </c>
      <c r="GR95" s="5"/>
      <c r="GS95">
        <f t="shared" si="271"/>
        <v>-1.106352904590536</v>
      </c>
      <c r="GT95" s="5" t="str">
        <f t="shared" si="272"/>
        <v>-----</v>
      </c>
    </row>
    <row r="96" spans="1:202" x14ac:dyDescent="0.55000000000000004">
      <c r="A96">
        <v>92</v>
      </c>
      <c r="B96" t="s">
        <v>95</v>
      </c>
      <c r="C96" t="s">
        <v>4</v>
      </c>
      <c r="D96" t="s">
        <v>103</v>
      </c>
      <c r="E96">
        <v>152.67599999999999</v>
      </c>
      <c r="F96">
        <v>152.67599999999999</v>
      </c>
      <c r="G96">
        <v>152.636</v>
      </c>
      <c r="H96">
        <v>152.642</v>
      </c>
      <c r="I96">
        <v>109</v>
      </c>
      <c r="J96">
        <v>152.81800000000001</v>
      </c>
      <c r="K96">
        <v>152.87700000000001</v>
      </c>
      <c r="L96">
        <v>153.12200000000001</v>
      </c>
      <c r="M96">
        <v>152.63</v>
      </c>
      <c r="N96">
        <v>152.58199999999999</v>
      </c>
      <c r="O96">
        <v>152.91200000000001</v>
      </c>
      <c r="P96">
        <v>0</v>
      </c>
      <c r="Q96">
        <v>0</v>
      </c>
      <c r="R96">
        <v>0</v>
      </c>
      <c r="S96">
        <v>0</v>
      </c>
      <c r="T96">
        <v>0</v>
      </c>
      <c r="U96">
        <v>0.23882999999999999</v>
      </c>
      <c r="V96">
        <v>3</v>
      </c>
      <c r="W96">
        <v>153.03807</v>
      </c>
      <c r="X96">
        <v>152.96185</v>
      </c>
      <c r="Y96">
        <v>152.88562999999999</v>
      </c>
      <c r="Z96">
        <v>152.80941000000001</v>
      </c>
      <c r="AA96">
        <v>152.73318</v>
      </c>
      <c r="AB96">
        <v>152.69273999999999</v>
      </c>
      <c r="AC96">
        <v>152.61652000000001</v>
      </c>
      <c r="AD96">
        <v>152.54029</v>
      </c>
      <c r="AE96">
        <v>152.46406999999999</v>
      </c>
      <c r="AF96">
        <v>152.38784999999999</v>
      </c>
      <c r="AG96">
        <v>152.649</v>
      </c>
      <c r="AH96">
        <v>152.68799999999999</v>
      </c>
      <c r="AI96">
        <v>152.744</v>
      </c>
      <c r="AJ96">
        <v>152.84399999999999</v>
      </c>
      <c r="AK96">
        <v>152.678</v>
      </c>
      <c r="AL96">
        <v>152.625</v>
      </c>
      <c r="AM96" s="11">
        <f t="shared" si="179"/>
        <v>3.9999999999992042E-2</v>
      </c>
      <c r="AN96" s="11">
        <f t="shared" si="240"/>
        <v>0</v>
      </c>
      <c r="AO96" s="11">
        <f t="shared" si="241"/>
        <v>3.9999999999992042E-2</v>
      </c>
      <c r="AP96" s="11">
        <f t="shared" si="242"/>
        <v>3.9999999999992042E-2</v>
      </c>
      <c r="AR96" s="5" t="str">
        <f t="shared" si="180"/>
        <v>------</v>
      </c>
      <c r="AS96" s="5" t="str">
        <f t="shared" si="181"/>
        <v>------</v>
      </c>
      <c r="AT96" t="str">
        <f t="shared" si="182"/>
        <v/>
      </c>
      <c r="AV96" s="2">
        <f t="shared" si="183"/>
        <v>152.84092270000002</v>
      </c>
      <c r="AW96" s="2">
        <f t="shared" si="184"/>
        <v>152.7950773</v>
      </c>
      <c r="AX96" s="2">
        <f t="shared" si="185"/>
        <v>152.89993155000002</v>
      </c>
      <c r="AY96" s="2">
        <f t="shared" si="186"/>
        <v>152.85406845</v>
      </c>
      <c r="AZ96" s="2">
        <f t="shared" si="187"/>
        <v>153.14496830000002</v>
      </c>
      <c r="BA96" s="2">
        <f t="shared" si="188"/>
        <v>153.09903170000001</v>
      </c>
      <c r="BB96" s="2">
        <f t="shared" si="189"/>
        <v>152.6528945</v>
      </c>
      <c r="BC96" s="2">
        <f t="shared" si="190"/>
        <v>152.60710549999999</v>
      </c>
      <c r="BD96" s="2">
        <f t="shared" si="191"/>
        <v>152.6048873</v>
      </c>
      <c r="BE96" s="2">
        <f t="shared" si="192"/>
        <v>152.55911269999999</v>
      </c>
      <c r="BF96" s="2">
        <f t="shared" si="193"/>
        <v>152.93493680000003</v>
      </c>
      <c r="BG96" s="2">
        <f t="shared" si="194"/>
        <v>152.88906320000001</v>
      </c>
      <c r="BI96" s="5" t="str">
        <f t="shared" si="243"/>
        <v>-----</v>
      </c>
      <c r="BJ96" s="5" t="str">
        <f t="shared" si="244"/>
        <v>-----</v>
      </c>
      <c r="BK96" s="5" t="str">
        <f t="shared" si="245"/>
        <v>-----</v>
      </c>
      <c r="BL96" s="5" t="str">
        <f t="shared" si="246"/>
        <v>TOUCH</v>
      </c>
      <c r="BM96" s="5" t="str">
        <f t="shared" si="247"/>
        <v>-----</v>
      </c>
      <c r="BN96" s="5" t="str">
        <f t="shared" si="248"/>
        <v>-----</v>
      </c>
      <c r="BO96" s="5"/>
      <c r="BP96" s="5">
        <f t="shared" si="280"/>
        <v>28</v>
      </c>
      <c r="BQ96" s="5">
        <f t="shared" si="280"/>
        <v>28</v>
      </c>
      <c r="BR96" s="5">
        <f t="shared" si="280"/>
        <v>90</v>
      </c>
      <c r="BS96" s="5">
        <f t="shared" si="280"/>
        <v>0</v>
      </c>
      <c r="BT96" s="5">
        <f t="shared" si="280"/>
        <v>92</v>
      </c>
      <c r="BU96" s="5">
        <f t="shared" si="280"/>
        <v>28</v>
      </c>
      <c r="BV96" s="5">
        <f t="shared" si="281"/>
        <v>2</v>
      </c>
      <c r="BW96" s="5">
        <f t="shared" si="281"/>
        <v>2</v>
      </c>
      <c r="BX96" s="5">
        <f t="shared" si="281"/>
        <v>2</v>
      </c>
      <c r="BY96" s="5">
        <f t="shared" si="281"/>
        <v>4</v>
      </c>
      <c r="BZ96" s="5">
        <f t="shared" si="281"/>
        <v>0</v>
      </c>
      <c r="CA96" s="5">
        <f t="shared" si="281"/>
        <v>7</v>
      </c>
      <c r="CB96" s="5" t="str">
        <f t="shared" si="273"/>
        <v>-----</v>
      </c>
      <c r="CC96" s="5" t="str">
        <f t="shared" si="273"/>
        <v>-----</v>
      </c>
      <c r="CD96" s="5" t="str">
        <f t="shared" si="273"/>
        <v>-----</v>
      </c>
      <c r="CE96" s="5">
        <f t="shared" si="273"/>
        <v>4</v>
      </c>
      <c r="CF96" s="5" t="str">
        <f t="shared" si="273"/>
        <v>-----</v>
      </c>
      <c r="CG96" s="5" t="str">
        <f t="shared" si="195"/>
        <v>-----</v>
      </c>
      <c r="CH96" s="5"/>
      <c r="CI96" s="17" t="str">
        <f t="shared" si="196"/>
        <v>-----</v>
      </c>
      <c r="CJ96" s="17" t="str">
        <f t="shared" si="197"/>
        <v>-----</v>
      </c>
      <c r="CK96" s="17" t="str">
        <f t="shared" si="198"/>
        <v>-----</v>
      </c>
      <c r="CL96" s="17">
        <f t="shared" si="199"/>
        <v>3.2234816222238005E-3</v>
      </c>
      <c r="CM96" s="17" t="str">
        <f t="shared" si="200"/>
        <v>-----</v>
      </c>
      <c r="CN96" s="17" t="str">
        <f t="shared" si="201"/>
        <v>-----</v>
      </c>
      <c r="CO96" s="5"/>
      <c r="CP96" s="5" t="str">
        <f t="shared" si="177"/>
        <v>-----</v>
      </c>
      <c r="CQ96" s="5" t="str">
        <f t="shared" si="177"/>
        <v>-----</v>
      </c>
      <c r="CR96" s="5" t="str">
        <f t="shared" si="177"/>
        <v>-----</v>
      </c>
      <c r="CS96" s="5" t="str">
        <f t="shared" si="177"/>
        <v>Support</v>
      </c>
      <c r="CT96" s="5" t="str">
        <f t="shared" si="177"/>
        <v>-----</v>
      </c>
      <c r="CU96" s="5" t="str">
        <f t="shared" si="177"/>
        <v>-----</v>
      </c>
      <c r="CV96" s="5"/>
      <c r="CW96" s="17" t="str">
        <f t="shared" si="178"/>
        <v/>
      </c>
      <c r="CX96" s="17" t="str">
        <f t="shared" si="178"/>
        <v/>
      </c>
      <c r="CY96" s="17" t="str">
        <f t="shared" si="178"/>
        <v/>
      </c>
      <c r="CZ96" s="17">
        <f t="shared" si="178"/>
        <v>3.2234816222238005E-3</v>
      </c>
      <c r="DA96" s="17" t="str">
        <f t="shared" si="178"/>
        <v/>
      </c>
      <c r="DB96" s="17" t="str">
        <f t="shared" si="178"/>
        <v/>
      </c>
      <c r="DC96" s="8"/>
      <c r="DD96" s="5">
        <f t="shared" si="202"/>
        <v>1</v>
      </c>
      <c r="DE96" s="17">
        <f t="shared" si="251"/>
        <v>3.2234816222238005E-3</v>
      </c>
      <c r="DF96" s="5" t="str" cm="1">
        <f t="array" ref="DF96">_xlfn.IFS(DE96=CW96,CP96,DE96=CX96,CQ96,DE96=CY96,CR96,DE96=CZ96,CS96,DE96=DA96,CT96,DE96=DB96,CU96,TRUE,"----- ")</f>
        <v>Support</v>
      </c>
      <c r="DG96" s="5"/>
      <c r="DH96" s="5">
        <f t="shared" si="252"/>
        <v>-2.423265306122455E-3</v>
      </c>
      <c r="DI96" s="5">
        <f t="shared" si="253"/>
        <v>-3.7194805194805478E-4</v>
      </c>
      <c r="DJ96" s="5">
        <f t="shared" si="254"/>
        <v>-1.6402721088435472E-3</v>
      </c>
      <c r="DK96" s="5">
        <f t="shared" si="255"/>
        <v>7.6471243042669956E-4</v>
      </c>
      <c r="DL96" s="5">
        <f t="shared" si="256"/>
        <v>-2.3081014223875058E-4</v>
      </c>
      <c r="DM96" s="5">
        <f t="shared" si="257"/>
        <v>1.5802844774273381E-3</v>
      </c>
      <c r="DO96" s="5">
        <f t="shared" si="203"/>
        <v>-1.9079214597220278</v>
      </c>
      <c r="DP96" s="5">
        <f t="shared" si="204"/>
        <v>-0.29295343676527091</v>
      </c>
      <c r="DQ96" s="5">
        <f t="shared" si="205"/>
        <v>-1.2917022253843653</v>
      </c>
      <c r="DR96" s="5">
        <f t="shared" si="206"/>
        <v>0.60228527619529781</v>
      </c>
      <c r="DS96" s="5">
        <f t="shared" si="207"/>
        <v>-0.18179147971962978</v>
      </c>
      <c r="DT96" s="5">
        <f t="shared" si="208"/>
        <v>1.2444775446344229</v>
      </c>
      <c r="DV96" t="str" cm="1">
        <f t="array" ref="DV96">_xlfn.IFS(DO96&gt;3,"Strong + Slope",DO96&gt;1.5,"Moderate + Slope",DO96&gt;0.5,"Sideway + Slope",DO96&gt;=-0.5,"Sideway Flat",DO96&gt;=-1.5,"Sideway - Slope",DO96&gt;=-3,"Moderate - Slope",TRUE,"Strong - Slope")</f>
        <v>Moderate - Slope</v>
      </c>
      <c r="DW96" t="str" cm="1">
        <f t="array" ref="DW96">_xlfn.IFS(DP96&gt;3,"Strong + Slope",DP96&gt;1.5,"Moderate + Slope",DP96&gt;0.5,"Sideway + Slope",DP96&gt;=-0.5,"Sideway Flat",DP96&gt;=-1.5,"Sideway - Slope",DP96&gt;=-3,"Moderate - Slope",TRUE,"Strong - Slope")</f>
        <v>Sideway Flat</v>
      </c>
      <c r="DX96" t="str" cm="1">
        <f t="array" ref="DX96">_xlfn.IFS(DQ96&gt;3,"Strong + Slope",DQ96&gt;1.5,"Moderate + Slope",DQ96&gt;0.5,"Sideway + Slope",DQ96&gt;=-0.5,"Sideway Flat",DQ96&gt;=-1.5,"Sideway - Slope",DQ96&gt;=-3,"Moderate - Slope",TRUE,"Strong - Slope")</f>
        <v>Sideway - Slope</v>
      </c>
      <c r="DY96" t="str" cm="1">
        <f t="array" ref="DY96">_xlfn.IFS(DR96&gt;3,"Strong + Slope",DR96&gt;1.5,"Moderate + Slope",DR96&gt;0.5,"Sideway + Slope",DR96&gt;=-0.5,"Sideway Flat",DR96&gt;=-1.5,"Sideway - Slope",DR96&gt;=-3,"Moderate - Slope",TRUE,"Strong - Slope")</f>
        <v>Sideway + Slope</v>
      </c>
      <c r="DZ96" t="str" cm="1">
        <f t="array" ref="DZ96">_xlfn.IFS(DS96&gt;3,"Strong + Slope",DS96&gt;1.5,"Moderate + Slope",DS96&gt;0.5,"Sideway + Slope",DS96&gt;=-0.5,"Sideway Flat",DS96&gt;=-1.5,"Sideway - Slope",DS96&gt;=-3,"Moderate - Slope",TRUE,"Strong - Slope")</f>
        <v>Sideway Flat</v>
      </c>
      <c r="EA96" t="str" cm="1">
        <f t="array" ref="EA96">_xlfn.IFS(DT96&gt;3,"Strong + Slope",DT96&gt;1.5,"Moderate + Slope",DT96&gt;0.5,"Sideway + Slope",DT96&gt;=-0.5,"Sideway Flat",DT96&gt;=-1.5,"Sideway - Slope",DT96&gt;=-3,"Moderate - Slope",TRUE,"Strong - Slope")</f>
        <v>Sideway + Slope</v>
      </c>
      <c r="EB96" s="5"/>
      <c r="EC96" s="5">
        <f t="shared" si="209"/>
        <v>4</v>
      </c>
      <c r="ED96" s="5">
        <f t="shared" si="210"/>
        <v>3</v>
      </c>
      <c r="EE96" s="5">
        <f t="shared" si="211"/>
        <v>1</v>
      </c>
      <c r="EF96" s="5">
        <f t="shared" si="212"/>
        <v>5</v>
      </c>
      <c r="EG96" s="5">
        <f t="shared" si="213"/>
        <v>6</v>
      </c>
      <c r="EH96" s="5">
        <f t="shared" si="214"/>
        <v>2</v>
      </c>
      <c r="EI96" s="5"/>
      <c r="EJ96" s="5" t="str">
        <f t="shared" si="215"/>
        <v>RES</v>
      </c>
      <c r="EK96" s="5" t="str">
        <f t="shared" si="216"/>
        <v>RES</v>
      </c>
      <c r="EL96" s="5" t="str">
        <f t="shared" si="217"/>
        <v>RES</v>
      </c>
      <c r="EM96" s="5" t="str">
        <f t="shared" si="218"/>
        <v>SUP</v>
      </c>
      <c r="EN96" s="5" t="str">
        <f t="shared" si="219"/>
        <v>SUP</v>
      </c>
      <c r="EO96" s="5" t="str">
        <f t="shared" si="220"/>
        <v>RES</v>
      </c>
      <c r="EP96" s="5"/>
      <c r="EQ96" s="8">
        <f t="shared" si="221"/>
        <v>1.1530247245189146E-3</v>
      </c>
      <c r="ER96" s="8">
        <f t="shared" si="222"/>
        <v>1.5395500583064534E-3</v>
      </c>
      <c r="ES96" s="8">
        <f t="shared" si="223"/>
        <v>3.1446128850514156E-3</v>
      </c>
      <c r="ET96" s="8">
        <f t="shared" si="224"/>
        <v>-7.8615322126285395E-5</v>
      </c>
      <c r="EU96" s="8">
        <f t="shared" si="225"/>
        <v>-3.9307661063142695E-4</v>
      </c>
      <c r="EV96" s="8">
        <f t="shared" si="226"/>
        <v>1.7688447478414213E-3</v>
      </c>
      <c r="EW96" s="8"/>
      <c r="EX96" s="8">
        <f t="shared" si="227"/>
        <v>0.1111111111111111</v>
      </c>
      <c r="EY96" s="9">
        <f t="shared" si="228"/>
        <v>4</v>
      </c>
      <c r="EZ96" s="10">
        <f t="shared" si="229"/>
        <v>2</v>
      </c>
      <c r="FA96" s="8">
        <f t="shared" si="258"/>
        <v>3.1446128850514156E-3</v>
      </c>
      <c r="FB96" s="8">
        <f t="shared" si="259"/>
        <v>1.7688447478414213E-3</v>
      </c>
      <c r="FC96" s="8">
        <f t="shared" si="260"/>
        <v>1.5395500583064534E-3</v>
      </c>
      <c r="FD96" s="8">
        <f t="shared" si="261"/>
        <v>1.1530247245189146E-3</v>
      </c>
      <c r="FE96" s="8">
        <f t="shared" si="262"/>
        <v>-7.8615322126285395E-5</v>
      </c>
      <c r="FF96" s="8">
        <f t="shared" si="263"/>
        <v>-3.9307661063142695E-4</v>
      </c>
      <c r="FG96" s="5"/>
      <c r="FH96" s="5" t="str">
        <f t="shared" si="230"/>
        <v>-----</v>
      </c>
      <c r="FI96" s="5" t="str">
        <f t="shared" si="264"/>
        <v>Flat Momentum</v>
      </c>
      <c r="FJ96" s="5"/>
      <c r="FK96" s="5" t="str">
        <f t="shared" si="265"/>
        <v>-----</v>
      </c>
      <c r="FL96" s="5" t="str">
        <f t="shared" si="266"/>
        <v>-----</v>
      </c>
      <c r="FM96" s="5"/>
      <c r="FN96" s="5"/>
      <c r="FO96" s="8" t="str">
        <f t="shared" si="279"/>
        <v>Bearish</v>
      </c>
      <c r="FP96" s="8"/>
      <c r="FQ96" s="14">
        <f t="shared" si="231"/>
        <v>-3.666265123344393E-4</v>
      </c>
      <c r="FR96" s="14">
        <f t="shared" si="232"/>
        <v>0.24131519488045908</v>
      </c>
      <c r="FS96" s="14" t="str">
        <f t="shared" si="233"/>
        <v>-----</v>
      </c>
      <c r="FT96" s="14" t="str">
        <f t="shared" si="234"/>
        <v>Bearish</v>
      </c>
      <c r="FU96" s="5" t="str">
        <f t="shared" si="267"/>
        <v>-----</v>
      </c>
      <c r="FV96" s="5" t="str">
        <f t="shared" si="268"/>
        <v>TEMA crossunder</v>
      </c>
      <c r="FW96" s="5"/>
      <c r="FX96" s="15" t="str">
        <f t="shared" si="116"/>
        <v>YES</v>
      </c>
      <c r="FY96" s="15" t="str">
        <f t="shared" si="117"/>
        <v>-----</v>
      </c>
      <c r="FZ96" s="15" t="str">
        <f t="shared" si="118"/>
        <v>-----</v>
      </c>
      <c r="GA96" s="15" t="str">
        <f t="shared" si="119"/>
        <v>YES</v>
      </c>
      <c r="GB96" s="16" t="str">
        <f t="shared" si="274"/>
        <v>-----</v>
      </c>
      <c r="GC96" s="16" t="str">
        <f t="shared" si="275"/>
        <v>-----</v>
      </c>
      <c r="GD96" s="16" t="str">
        <f t="shared" si="276"/>
        <v>YES</v>
      </c>
      <c r="GE96" s="16" t="str">
        <f t="shared" si="278"/>
        <v>YES</v>
      </c>
      <c r="GF96" s="15" t="str">
        <f t="shared" si="277"/>
        <v>-----</v>
      </c>
      <c r="GG96" s="16" t="str">
        <f t="shared" si="120"/>
        <v>-----</v>
      </c>
      <c r="GH96" s="14"/>
      <c r="GI96" s="5" t="str">
        <f t="shared" si="235"/>
        <v>-----</v>
      </c>
      <c r="GJ96" s="5" t="str">
        <f t="shared" si="236"/>
        <v>-----</v>
      </c>
      <c r="GK96" s="5"/>
      <c r="GL96" s="5" t="str">
        <f t="shared" si="237"/>
        <v>-----</v>
      </c>
      <c r="GM96" s="5" t="str">
        <f t="shared" si="238"/>
        <v>-----</v>
      </c>
      <c r="GN96" s="5"/>
      <c r="GO96" s="12">
        <f t="shared" si="239"/>
        <v>5.2999999999997272E-2</v>
      </c>
      <c r="GP96" s="5">
        <f t="shared" si="269"/>
        <v>-0.52496216085008252</v>
      </c>
      <c r="GQ96" s="13" t="str">
        <f t="shared" si="270"/>
        <v>-----</v>
      </c>
      <c r="GR96" s="5"/>
      <c r="GS96">
        <f t="shared" si="271"/>
        <v>-1.1579779267101205</v>
      </c>
      <c r="GT96" s="5" t="str">
        <f t="shared" si="272"/>
        <v>-----</v>
      </c>
    </row>
    <row r="97" spans="1:202" x14ac:dyDescent="0.55000000000000004">
      <c r="A97">
        <v>93</v>
      </c>
      <c r="B97" t="s">
        <v>96</v>
      </c>
      <c r="C97" t="s">
        <v>4</v>
      </c>
      <c r="D97" t="s">
        <v>103</v>
      </c>
      <c r="E97">
        <v>152.642</v>
      </c>
      <c r="F97">
        <v>152.66200000000001</v>
      </c>
      <c r="G97">
        <v>152.636</v>
      </c>
      <c r="H97">
        <v>152.64500000000001</v>
      </c>
      <c r="I97">
        <v>111</v>
      </c>
      <c r="J97">
        <v>152.815</v>
      </c>
      <c r="K97">
        <v>152.87700000000001</v>
      </c>
      <c r="L97">
        <v>153.12</v>
      </c>
      <c r="M97">
        <v>152.63</v>
      </c>
      <c r="N97">
        <v>152.58199999999999</v>
      </c>
      <c r="O97">
        <v>152.91300000000001</v>
      </c>
      <c r="P97">
        <v>0</v>
      </c>
      <c r="Q97">
        <v>0</v>
      </c>
      <c r="R97">
        <v>0</v>
      </c>
      <c r="S97">
        <v>0</v>
      </c>
      <c r="T97">
        <v>0</v>
      </c>
      <c r="U97">
        <v>0.98263</v>
      </c>
      <c r="V97">
        <v>0</v>
      </c>
      <c r="W97">
        <v>153.03098</v>
      </c>
      <c r="X97">
        <v>152.95477</v>
      </c>
      <c r="Y97">
        <v>152.87854999999999</v>
      </c>
      <c r="Z97">
        <v>152.80233999999999</v>
      </c>
      <c r="AA97">
        <v>152.72612000000001</v>
      </c>
      <c r="AB97">
        <v>152.68548000000001</v>
      </c>
      <c r="AC97">
        <v>152.60926000000001</v>
      </c>
      <c r="AD97">
        <v>152.53304</v>
      </c>
      <c r="AE97">
        <v>152.45683</v>
      </c>
      <c r="AF97">
        <v>152.38060999999999</v>
      </c>
      <c r="AG97">
        <v>152.63999999999999</v>
      </c>
      <c r="AH97">
        <v>152.67599999999999</v>
      </c>
      <c r="AI97">
        <v>152.73699999999999</v>
      </c>
      <c r="AJ97">
        <v>152.83799999999999</v>
      </c>
      <c r="AK97">
        <v>152.66200000000001</v>
      </c>
      <c r="AL97">
        <v>152.62299999999999</v>
      </c>
      <c r="AM97" s="11">
        <f t="shared" si="179"/>
        <v>2.6000000000010459E-2</v>
      </c>
      <c r="AN97" s="11">
        <f t="shared" si="240"/>
        <v>2.0000000000010232E-2</v>
      </c>
      <c r="AO97" s="11">
        <f t="shared" si="241"/>
        <v>6.0000000000002274E-3</v>
      </c>
      <c r="AP97" s="11">
        <f t="shared" si="242"/>
        <v>2.6000000000010459E-2</v>
      </c>
      <c r="AR97" s="5" t="str">
        <f t="shared" si="180"/>
        <v>------</v>
      </c>
      <c r="AS97" s="5" t="str">
        <f t="shared" si="181"/>
        <v>------</v>
      </c>
      <c r="AT97" t="str">
        <f t="shared" si="182"/>
        <v/>
      </c>
      <c r="AV97" s="2">
        <f t="shared" si="183"/>
        <v>152.83792225000002</v>
      </c>
      <c r="AW97" s="2">
        <f t="shared" si="184"/>
        <v>152.79207775</v>
      </c>
      <c r="AX97" s="2">
        <f t="shared" si="185"/>
        <v>152.89993155000002</v>
      </c>
      <c r="AY97" s="2">
        <f t="shared" si="186"/>
        <v>152.85406845</v>
      </c>
      <c r="AZ97" s="2">
        <f t="shared" si="187"/>
        <v>153.14296800000002</v>
      </c>
      <c r="BA97" s="2">
        <f t="shared" si="188"/>
        <v>153.09703200000001</v>
      </c>
      <c r="BB97" s="2">
        <f t="shared" si="189"/>
        <v>152.6528945</v>
      </c>
      <c r="BC97" s="2">
        <f t="shared" si="190"/>
        <v>152.60710549999999</v>
      </c>
      <c r="BD97" s="2">
        <f t="shared" si="191"/>
        <v>152.6048873</v>
      </c>
      <c r="BE97" s="2">
        <f t="shared" si="192"/>
        <v>152.55911269999999</v>
      </c>
      <c r="BF97" s="2">
        <f t="shared" si="193"/>
        <v>152.93593695000001</v>
      </c>
      <c r="BG97" s="2">
        <f t="shared" si="194"/>
        <v>152.89006305000001</v>
      </c>
      <c r="BI97" s="5" t="str">
        <f t="shared" si="243"/>
        <v>-----</v>
      </c>
      <c r="BJ97" s="5" t="str">
        <f t="shared" si="244"/>
        <v>-----</v>
      </c>
      <c r="BK97" s="5" t="str">
        <f t="shared" si="245"/>
        <v>-----</v>
      </c>
      <c r="BL97" s="5" t="str">
        <f t="shared" si="246"/>
        <v>TOUCH</v>
      </c>
      <c r="BM97" s="5" t="str">
        <f t="shared" si="247"/>
        <v>-----</v>
      </c>
      <c r="BN97" s="5" t="str">
        <f t="shared" si="248"/>
        <v>-----</v>
      </c>
      <c r="BO97" s="5"/>
      <c r="BP97" s="5">
        <f t="shared" si="280"/>
        <v>29</v>
      </c>
      <c r="BQ97" s="5">
        <f t="shared" si="280"/>
        <v>29</v>
      </c>
      <c r="BR97" s="5">
        <f t="shared" si="280"/>
        <v>91</v>
      </c>
      <c r="BS97" s="5">
        <f t="shared" si="280"/>
        <v>0</v>
      </c>
      <c r="BT97" s="5">
        <f t="shared" si="280"/>
        <v>93</v>
      </c>
      <c r="BU97" s="5">
        <f t="shared" si="280"/>
        <v>29</v>
      </c>
      <c r="BV97" s="5">
        <f t="shared" si="281"/>
        <v>2</v>
      </c>
      <c r="BW97" s="5">
        <f t="shared" si="281"/>
        <v>2</v>
      </c>
      <c r="BX97" s="5">
        <f t="shared" si="281"/>
        <v>2</v>
      </c>
      <c r="BY97" s="5">
        <f t="shared" si="281"/>
        <v>5</v>
      </c>
      <c r="BZ97" s="5">
        <f t="shared" si="281"/>
        <v>0</v>
      </c>
      <c r="CA97" s="5">
        <f t="shared" si="281"/>
        <v>7</v>
      </c>
      <c r="CB97" s="5" t="str">
        <f t="shared" si="273"/>
        <v>-----</v>
      </c>
      <c r="CC97" s="5" t="str">
        <f t="shared" si="273"/>
        <v>-----</v>
      </c>
      <c r="CD97" s="5" t="str">
        <f t="shared" si="273"/>
        <v>-----</v>
      </c>
      <c r="CE97" s="5">
        <f t="shared" si="273"/>
        <v>5</v>
      </c>
      <c r="CF97" s="5" t="str">
        <f t="shared" si="273"/>
        <v>-----</v>
      </c>
      <c r="CG97" s="5" t="str">
        <f t="shared" si="195"/>
        <v>-----</v>
      </c>
      <c r="CH97" s="5"/>
      <c r="CI97" s="17" t="str">
        <f t="shared" si="196"/>
        <v>-----</v>
      </c>
      <c r="CJ97" s="17" t="str">
        <f t="shared" si="197"/>
        <v>-----</v>
      </c>
      <c r="CK97" s="17" t="str">
        <f t="shared" si="198"/>
        <v>-----</v>
      </c>
      <c r="CL97" s="17">
        <f t="shared" si="199"/>
        <v>3.2103780383935603E-3</v>
      </c>
      <c r="CM97" s="17" t="str">
        <f t="shared" si="200"/>
        <v>-----</v>
      </c>
      <c r="CN97" s="17" t="str">
        <f t="shared" si="201"/>
        <v>-----</v>
      </c>
      <c r="CO97" s="5"/>
      <c r="CP97" s="5" t="str">
        <f t="shared" si="177"/>
        <v>-----</v>
      </c>
      <c r="CQ97" s="5" t="str">
        <f t="shared" si="177"/>
        <v>-----</v>
      </c>
      <c r="CR97" s="5" t="str">
        <f t="shared" si="177"/>
        <v>-----</v>
      </c>
      <c r="CS97" s="5" t="str">
        <f t="shared" si="177"/>
        <v>Support</v>
      </c>
      <c r="CT97" s="5" t="str">
        <f t="shared" si="177"/>
        <v>-----</v>
      </c>
      <c r="CU97" s="5" t="str">
        <f t="shared" si="177"/>
        <v>-----</v>
      </c>
      <c r="CV97" s="5"/>
      <c r="CW97" s="17" t="str">
        <f t="shared" si="178"/>
        <v/>
      </c>
      <c r="CX97" s="17" t="str">
        <f t="shared" si="178"/>
        <v/>
      </c>
      <c r="CY97" s="17" t="str">
        <f t="shared" si="178"/>
        <v/>
      </c>
      <c r="CZ97" s="17">
        <f t="shared" si="178"/>
        <v>3.2103780383935603E-3</v>
      </c>
      <c r="DA97" s="17" t="str">
        <f t="shared" si="178"/>
        <v/>
      </c>
      <c r="DB97" s="17" t="str">
        <f t="shared" si="178"/>
        <v/>
      </c>
      <c r="DC97" s="8"/>
      <c r="DD97" s="5">
        <f t="shared" si="202"/>
        <v>1</v>
      </c>
      <c r="DE97" s="17">
        <f t="shared" si="251"/>
        <v>3.2103780383935603E-3</v>
      </c>
      <c r="DF97" s="5" t="str" cm="1">
        <f t="array" ref="DF97">_xlfn.IFS(DE97=CW97,CP97,DE97=CX97,CQ97,DE97=CY97,CR97,DE97=CZ97,CS97,DE97=DA97,CT97,DE97=DB97,CU97,TRUE,"----- ")</f>
        <v>Support</v>
      </c>
      <c r="DG97" s="5"/>
      <c r="DH97" s="5">
        <f t="shared" si="252"/>
        <v>-2.423265306122455E-3</v>
      </c>
      <c r="DI97" s="5">
        <f t="shared" si="253"/>
        <v>-3.7194805194805478E-4</v>
      </c>
      <c r="DJ97" s="5">
        <f t="shared" si="254"/>
        <v>-1.6402721088435472E-3</v>
      </c>
      <c r="DK97" s="5">
        <f t="shared" si="255"/>
        <v>7.6471243042669956E-4</v>
      </c>
      <c r="DL97" s="5">
        <f t="shared" si="256"/>
        <v>-2.3081014223875058E-4</v>
      </c>
      <c r="DM97" s="5">
        <f t="shared" si="257"/>
        <v>1.5802844774273381E-3</v>
      </c>
      <c r="DO97" s="5">
        <f t="shared" si="203"/>
        <v>-1.9079214597220278</v>
      </c>
      <c r="DP97" s="5">
        <f t="shared" si="204"/>
        <v>-0.29295343676527091</v>
      </c>
      <c r="DQ97" s="5">
        <f t="shared" si="205"/>
        <v>-1.2917022253843653</v>
      </c>
      <c r="DR97" s="5">
        <f t="shared" si="206"/>
        <v>0.60228527619529781</v>
      </c>
      <c r="DS97" s="5">
        <f t="shared" si="207"/>
        <v>-0.18179147971962978</v>
      </c>
      <c r="DT97" s="5">
        <f t="shared" si="208"/>
        <v>1.2444775446344229</v>
      </c>
      <c r="DV97" t="str" cm="1">
        <f t="array" ref="DV97">_xlfn.IFS(DO97&gt;3,"Strong + Slope",DO97&gt;1.5,"Moderate + Slope",DO97&gt;0.5,"Sideway + Slope",DO97&gt;=-0.5,"Sideway Flat",DO97&gt;=-1.5,"Sideway - Slope",DO97&gt;=-3,"Moderate - Slope",TRUE,"Strong - Slope")</f>
        <v>Moderate - Slope</v>
      </c>
      <c r="DW97" t="str" cm="1">
        <f t="array" ref="DW97">_xlfn.IFS(DP97&gt;3,"Strong + Slope",DP97&gt;1.5,"Moderate + Slope",DP97&gt;0.5,"Sideway + Slope",DP97&gt;=-0.5,"Sideway Flat",DP97&gt;=-1.5,"Sideway - Slope",DP97&gt;=-3,"Moderate - Slope",TRUE,"Strong - Slope")</f>
        <v>Sideway Flat</v>
      </c>
      <c r="DX97" t="str" cm="1">
        <f t="array" ref="DX97">_xlfn.IFS(DQ97&gt;3,"Strong + Slope",DQ97&gt;1.5,"Moderate + Slope",DQ97&gt;0.5,"Sideway + Slope",DQ97&gt;=-0.5,"Sideway Flat",DQ97&gt;=-1.5,"Sideway - Slope",DQ97&gt;=-3,"Moderate - Slope",TRUE,"Strong - Slope")</f>
        <v>Sideway - Slope</v>
      </c>
      <c r="DY97" t="str" cm="1">
        <f t="array" ref="DY97">_xlfn.IFS(DR97&gt;3,"Strong + Slope",DR97&gt;1.5,"Moderate + Slope",DR97&gt;0.5,"Sideway + Slope",DR97&gt;=-0.5,"Sideway Flat",DR97&gt;=-1.5,"Sideway - Slope",DR97&gt;=-3,"Moderate - Slope",TRUE,"Strong - Slope")</f>
        <v>Sideway + Slope</v>
      </c>
      <c r="DZ97" t="str" cm="1">
        <f t="array" ref="DZ97">_xlfn.IFS(DS97&gt;3,"Strong + Slope",DS97&gt;1.5,"Moderate + Slope",DS97&gt;0.5,"Sideway + Slope",DS97&gt;=-0.5,"Sideway Flat",DS97&gt;=-1.5,"Sideway - Slope",DS97&gt;=-3,"Moderate - Slope",TRUE,"Strong - Slope")</f>
        <v>Sideway Flat</v>
      </c>
      <c r="EA97" t="str" cm="1">
        <f t="array" ref="EA97">_xlfn.IFS(DT97&gt;3,"Strong + Slope",DT97&gt;1.5,"Moderate + Slope",DT97&gt;0.5,"Sideway + Slope",DT97&gt;=-0.5,"Sideway Flat",DT97&gt;=-1.5,"Sideway - Slope",DT97&gt;=-3,"Moderate - Slope",TRUE,"Strong - Slope")</f>
        <v>Sideway + Slope</v>
      </c>
      <c r="EB97" s="5"/>
      <c r="EC97" s="5">
        <f t="shared" si="209"/>
        <v>4</v>
      </c>
      <c r="ED97" s="5">
        <f t="shared" si="210"/>
        <v>3</v>
      </c>
      <c r="EE97" s="5">
        <f t="shared" si="211"/>
        <v>1</v>
      </c>
      <c r="EF97" s="5">
        <f t="shared" si="212"/>
        <v>5</v>
      </c>
      <c r="EG97" s="5">
        <f t="shared" si="213"/>
        <v>6</v>
      </c>
      <c r="EH97" s="5">
        <f t="shared" si="214"/>
        <v>2</v>
      </c>
      <c r="EI97" s="5"/>
      <c r="EJ97" s="5" t="str">
        <f t="shared" si="215"/>
        <v>RES</v>
      </c>
      <c r="EK97" s="5" t="str">
        <f t="shared" si="216"/>
        <v>RES</v>
      </c>
      <c r="EL97" s="5" t="str">
        <f t="shared" si="217"/>
        <v>RES</v>
      </c>
      <c r="EM97" s="5" t="str">
        <f t="shared" si="218"/>
        <v>SUP</v>
      </c>
      <c r="EN97" s="5" t="str">
        <f t="shared" si="219"/>
        <v>SUP</v>
      </c>
      <c r="EO97" s="5" t="str">
        <f t="shared" si="220"/>
        <v>RES</v>
      </c>
      <c r="EP97" s="5"/>
      <c r="EQ97" s="8">
        <f t="shared" si="221"/>
        <v>1.1136951750793506E-3</v>
      </c>
      <c r="ER97" s="8">
        <f t="shared" si="222"/>
        <v>1.5198663565789859E-3</v>
      </c>
      <c r="ES97" s="8">
        <f t="shared" si="223"/>
        <v>3.1117953421336713E-3</v>
      </c>
      <c r="ET97" s="8">
        <f t="shared" si="224"/>
        <v>-9.8267221330634985E-5</v>
      </c>
      <c r="EU97" s="8">
        <f t="shared" si="225"/>
        <v>-4.1272232958836904E-4</v>
      </c>
      <c r="EV97" s="8">
        <f t="shared" si="226"/>
        <v>1.7557076877722864E-3</v>
      </c>
      <c r="EW97" s="8"/>
      <c r="EX97" s="8">
        <f t="shared" si="227"/>
        <v>0.11710037174724038</v>
      </c>
      <c r="EY97" s="9">
        <f t="shared" si="228"/>
        <v>4</v>
      </c>
      <c r="EZ97" s="10">
        <f t="shared" si="229"/>
        <v>2</v>
      </c>
      <c r="FA97" s="8">
        <f t="shared" si="258"/>
        <v>3.1117953421336713E-3</v>
      </c>
      <c r="FB97" s="8">
        <f t="shared" si="259"/>
        <v>1.7557076877722864E-3</v>
      </c>
      <c r="FC97" s="8">
        <f t="shared" si="260"/>
        <v>1.5198663565789859E-3</v>
      </c>
      <c r="FD97" s="8">
        <f t="shared" si="261"/>
        <v>1.1136951750793506E-3</v>
      </c>
      <c r="FE97" s="8">
        <f t="shared" si="262"/>
        <v>-9.8267221330634985E-5</v>
      </c>
      <c r="FF97" s="8">
        <f t="shared" si="263"/>
        <v>-4.1272232958836904E-4</v>
      </c>
      <c r="FG97" s="5"/>
      <c r="FH97" s="5" t="str">
        <f t="shared" si="230"/>
        <v>-----</v>
      </c>
      <c r="FI97" s="5" t="str">
        <f t="shared" si="264"/>
        <v>Flat Momentum</v>
      </c>
      <c r="FJ97" s="5"/>
      <c r="FK97" s="5" t="str">
        <f t="shared" si="265"/>
        <v>-----</v>
      </c>
      <c r="FL97" s="5" t="str">
        <f t="shared" si="266"/>
        <v>-----</v>
      </c>
      <c r="FM97" s="5"/>
      <c r="FN97" s="5"/>
      <c r="FO97" s="8" t="str">
        <f t="shared" si="279"/>
        <v>Bearish</v>
      </c>
      <c r="FP97" s="8"/>
      <c r="FQ97" s="14">
        <f t="shared" si="231"/>
        <v>-3.9937932524540255E-4</v>
      </c>
      <c r="FR97" s="14">
        <f t="shared" si="232"/>
        <v>0.1468543538470567</v>
      </c>
      <c r="FS97" s="14" t="str">
        <f t="shared" si="233"/>
        <v>-----</v>
      </c>
      <c r="FT97" s="14" t="str">
        <f t="shared" si="234"/>
        <v>Bearish</v>
      </c>
      <c r="FU97" s="5" t="str">
        <f t="shared" si="267"/>
        <v>TEMA crossover</v>
      </c>
      <c r="FV97" s="5" t="str">
        <f t="shared" si="268"/>
        <v>-----</v>
      </c>
      <c r="FW97" s="5"/>
      <c r="FX97" s="15" t="str">
        <f t="shared" si="116"/>
        <v>YES</v>
      </c>
      <c r="FY97" s="15" t="str">
        <f t="shared" si="117"/>
        <v>-----</v>
      </c>
      <c r="FZ97" s="15" t="str">
        <f t="shared" si="118"/>
        <v>-----</v>
      </c>
      <c r="GA97" s="15" t="str">
        <f t="shared" si="119"/>
        <v>YES</v>
      </c>
      <c r="GB97" s="16" t="str">
        <f t="shared" si="274"/>
        <v>-----</v>
      </c>
      <c r="GC97" s="16" t="str">
        <f t="shared" si="275"/>
        <v>-----</v>
      </c>
      <c r="GD97" s="16" t="str">
        <f t="shared" si="276"/>
        <v>YES</v>
      </c>
      <c r="GE97" s="16" t="str">
        <f t="shared" si="278"/>
        <v>YES</v>
      </c>
      <c r="GF97" s="15" t="str">
        <f t="shared" si="277"/>
        <v>-----</v>
      </c>
      <c r="GG97" s="16" t="str">
        <f t="shared" si="120"/>
        <v>-----</v>
      </c>
      <c r="GH97" s="14"/>
      <c r="GI97" s="5" t="str">
        <f t="shared" si="235"/>
        <v>-----</v>
      </c>
      <c r="GJ97" s="5" t="str">
        <f t="shared" si="236"/>
        <v>-----</v>
      </c>
      <c r="GK97" s="5"/>
      <c r="GL97" s="5" t="str">
        <f t="shared" si="237"/>
        <v>-----</v>
      </c>
      <c r="GM97" s="5" t="str">
        <f t="shared" si="238"/>
        <v>-----</v>
      </c>
      <c r="GN97" s="5"/>
      <c r="GO97" s="12">
        <f t="shared" si="239"/>
        <v>3.9000000000015689E-2</v>
      </c>
      <c r="GP97" s="5">
        <f t="shared" si="269"/>
        <v>-0.84762183044525008</v>
      </c>
      <c r="GQ97" s="13" t="str">
        <f t="shared" si="270"/>
        <v>-----</v>
      </c>
      <c r="GR97" s="5"/>
      <c r="GS97">
        <f t="shared" si="271"/>
        <v>-1.1450716711802242</v>
      </c>
      <c r="GT97" s="5" t="str">
        <f t="shared" si="272"/>
        <v>-----</v>
      </c>
    </row>
    <row r="98" spans="1:202" x14ac:dyDescent="0.55000000000000004">
      <c r="A98">
        <v>94</v>
      </c>
      <c r="B98" t="s">
        <v>97</v>
      </c>
      <c r="C98" t="s">
        <v>4</v>
      </c>
      <c r="D98" t="s">
        <v>103</v>
      </c>
      <c r="E98">
        <v>152.64500000000001</v>
      </c>
      <c r="F98">
        <v>152.655</v>
      </c>
      <c r="G98">
        <v>152.63200000000001</v>
      </c>
      <c r="H98">
        <v>152.65</v>
      </c>
      <c r="I98">
        <v>123</v>
      </c>
      <c r="J98">
        <v>152.81299999999999</v>
      </c>
      <c r="K98">
        <v>152.876</v>
      </c>
      <c r="L98">
        <v>153.11799999999999</v>
      </c>
      <c r="M98">
        <v>152.631</v>
      </c>
      <c r="N98">
        <v>152.58099999999999</v>
      </c>
      <c r="O98">
        <v>152.91499999999999</v>
      </c>
      <c r="P98">
        <v>0</v>
      </c>
      <c r="Q98">
        <v>0</v>
      </c>
      <c r="R98">
        <v>0</v>
      </c>
      <c r="S98">
        <v>0</v>
      </c>
      <c r="T98">
        <v>0</v>
      </c>
      <c r="U98">
        <v>0.93033999999999994</v>
      </c>
      <c r="V98">
        <v>0</v>
      </c>
      <c r="W98">
        <v>153.02072999999999</v>
      </c>
      <c r="X98">
        <v>152.94515999999999</v>
      </c>
      <c r="Y98">
        <v>152.86959999999999</v>
      </c>
      <c r="Z98">
        <v>152.79404</v>
      </c>
      <c r="AA98">
        <v>152.71848</v>
      </c>
      <c r="AB98">
        <v>152.67825999999999</v>
      </c>
      <c r="AC98">
        <v>152.6027</v>
      </c>
      <c r="AD98">
        <v>152.52714</v>
      </c>
      <c r="AE98">
        <v>152.45158000000001</v>
      </c>
      <c r="AF98">
        <v>152.37602000000001</v>
      </c>
      <c r="AG98">
        <v>152.636</v>
      </c>
      <c r="AH98">
        <v>152.66499999999999</v>
      </c>
      <c r="AI98">
        <v>152.72999999999999</v>
      </c>
      <c r="AJ98">
        <v>152.833</v>
      </c>
      <c r="AK98">
        <v>152.65</v>
      </c>
      <c r="AL98">
        <v>152.62100000000001</v>
      </c>
      <c r="AM98" s="11">
        <f t="shared" si="179"/>
        <v>2.2999999999996135E-2</v>
      </c>
      <c r="AN98" s="11">
        <f t="shared" si="240"/>
        <v>9.9999999999909051E-3</v>
      </c>
      <c r="AO98" s="11">
        <f t="shared" si="241"/>
        <v>1.300000000000523E-2</v>
      </c>
      <c r="AP98" s="11">
        <f t="shared" si="242"/>
        <v>2.2999999999996135E-2</v>
      </c>
      <c r="AR98" s="5" t="str">
        <f t="shared" si="180"/>
        <v>------</v>
      </c>
      <c r="AS98" s="5" t="str">
        <f t="shared" si="181"/>
        <v>------</v>
      </c>
      <c r="AT98" t="str">
        <f t="shared" si="182"/>
        <v/>
      </c>
      <c r="AV98" s="2">
        <f t="shared" si="183"/>
        <v>152.83592195</v>
      </c>
      <c r="AW98" s="2">
        <f t="shared" si="184"/>
        <v>152.79007804999998</v>
      </c>
      <c r="AX98" s="2">
        <f t="shared" si="185"/>
        <v>152.89893140000001</v>
      </c>
      <c r="AY98" s="2">
        <f t="shared" si="186"/>
        <v>152.8530686</v>
      </c>
      <c r="AZ98" s="2">
        <f t="shared" si="187"/>
        <v>153.1409677</v>
      </c>
      <c r="BA98" s="2">
        <f t="shared" si="188"/>
        <v>153.09503229999999</v>
      </c>
      <c r="BB98" s="2">
        <f t="shared" si="189"/>
        <v>152.65389465000001</v>
      </c>
      <c r="BC98" s="2">
        <f t="shared" si="190"/>
        <v>152.60810535000002</v>
      </c>
      <c r="BD98" s="2">
        <f t="shared" si="191"/>
        <v>152.60388714999999</v>
      </c>
      <c r="BE98" s="2">
        <f t="shared" si="192"/>
        <v>152.55811284999999</v>
      </c>
      <c r="BF98" s="2">
        <f t="shared" si="193"/>
        <v>152.93793725</v>
      </c>
      <c r="BG98" s="2">
        <f t="shared" si="194"/>
        <v>152.89206275000001</v>
      </c>
      <c r="BI98" s="5" t="str">
        <f t="shared" si="243"/>
        <v>-----</v>
      </c>
      <c r="BJ98" s="5" t="str">
        <f t="shared" si="244"/>
        <v>-----</v>
      </c>
      <c r="BK98" s="5" t="str">
        <f t="shared" si="245"/>
        <v>-----</v>
      </c>
      <c r="BL98" s="5" t="str">
        <f t="shared" si="246"/>
        <v>TOUCH</v>
      </c>
      <c r="BM98" s="5" t="str">
        <f t="shared" si="247"/>
        <v>-----</v>
      </c>
      <c r="BN98" s="5" t="str">
        <f t="shared" si="248"/>
        <v>-----</v>
      </c>
      <c r="BO98" s="5"/>
      <c r="BP98" s="5">
        <f t="shared" si="280"/>
        <v>30</v>
      </c>
      <c r="BQ98" s="5">
        <f t="shared" si="280"/>
        <v>30</v>
      </c>
      <c r="BR98" s="5">
        <f t="shared" si="280"/>
        <v>92</v>
      </c>
      <c r="BS98" s="5">
        <f t="shared" si="280"/>
        <v>0</v>
      </c>
      <c r="BT98" s="5">
        <f t="shared" si="280"/>
        <v>94</v>
      </c>
      <c r="BU98" s="5">
        <f t="shared" si="280"/>
        <v>30</v>
      </c>
      <c r="BV98" s="5">
        <f t="shared" si="281"/>
        <v>2</v>
      </c>
      <c r="BW98" s="5">
        <f t="shared" si="281"/>
        <v>2</v>
      </c>
      <c r="BX98" s="5">
        <f t="shared" si="281"/>
        <v>2</v>
      </c>
      <c r="BY98" s="5">
        <f t="shared" si="281"/>
        <v>6</v>
      </c>
      <c r="BZ98" s="5">
        <f t="shared" si="281"/>
        <v>0</v>
      </c>
      <c r="CA98" s="5">
        <f t="shared" si="281"/>
        <v>7</v>
      </c>
      <c r="CB98" s="5" t="str">
        <f t="shared" si="273"/>
        <v>-----</v>
      </c>
      <c r="CC98" s="5" t="str">
        <f t="shared" si="273"/>
        <v>-----</v>
      </c>
      <c r="CD98" s="5" t="str">
        <f t="shared" si="273"/>
        <v>-----</v>
      </c>
      <c r="CE98" s="5">
        <f t="shared" si="273"/>
        <v>6</v>
      </c>
      <c r="CF98" s="5" t="str">
        <f t="shared" si="273"/>
        <v>-----</v>
      </c>
      <c r="CG98" s="5" t="str">
        <f t="shared" si="195"/>
        <v>-----</v>
      </c>
      <c r="CH98" s="5"/>
      <c r="CI98" s="17" t="str">
        <f t="shared" si="196"/>
        <v>-----</v>
      </c>
      <c r="CJ98" s="17" t="str">
        <f t="shared" si="197"/>
        <v>-----</v>
      </c>
      <c r="CK98" s="17" t="str">
        <f t="shared" si="198"/>
        <v>-----</v>
      </c>
      <c r="CL98" s="17">
        <f t="shared" si="199"/>
        <v>3.1907017578342196E-3</v>
      </c>
      <c r="CM98" s="17" t="str">
        <f t="shared" si="200"/>
        <v>-----</v>
      </c>
      <c r="CN98" s="17" t="str">
        <f t="shared" si="201"/>
        <v>-----</v>
      </c>
      <c r="CO98" s="5"/>
      <c r="CP98" s="5" t="str">
        <f t="shared" si="177"/>
        <v>-----</v>
      </c>
      <c r="CQ98" s="5" t="str">
        <f t="shared" si="177"/>
        <v>-----</v>
      </c>
      <c r="CR98" s="5" t="str">
        <f t="shared" si="177"/>
        <v>-----</v>
      </c>
      <c r="CS98" s="5" t="str">
        <f t="shared" si="177"/>
        <v>Support</v>
      </c>
      <c r="CT98" s="5" t="str">
        <f t="shared" si="177"/>
        <v>-----</v>
      </c>
      <c r="CU98" s="5" t="str">
        <f t="shared" si="177"/>
        <v>-----</v>
      </c>
      <c r="CV98" s="5"/>
      <c r="CW98" s="17" t="str">
        <f t="shared" si="178"/>
        <v/>
      </c>
      <c r="CX98" s="17" t="str">
        <f t="shared" si="178"/>
        <v/>
      </c>
      <c r="CY98" s="17" t="str">
        <f t="shared" si="178"/>
        <v/>
      </c>
      <c r="CZ98" s="17">
        <f t="shared" si="178"/>
        <v>3.1907017578342196E-3</v>
      </c>
      <c r="DA98" s="17" t="str">
        <f t="shared" si="178"/>
        <v/>
      </c>
      <c r="DB98" s="17" t="str">
        <f t="shared" si="178"/>
        <v/>
      </c>
      <c r="DC98" s="8"/>
      <c r="DD98" s="5">
        <f t="shared" si="202"/>
        <v>1</v>
      </c>
      <c r="DE98" s="17">
        <f t="shared" si="251"/>
        <v>3.1907017578342196E-3</v>
      </c>
      <c r="DF98" s="5" t="str" cm="1">
        <f t="array" ref="DF98">_xlfn.IFS(DE98=CW98,CP98,DE98=CX98,CQ98,DE98=CY98,CR98,DE98=CZ98,CS98,DE98=DA98,CT98,DE98=DB98,CU98,TRUE,"----- ")</f>
        <v>Support</v>
      </c>
      <c r="DG98" s="5"/>
      <c r="DH98" s="5">
        <f t="shared" si="252"/>
        <v>-2.423265306122455E-3</v>
      </c>
      <c r="DI98" s="5">
        <f t="shared" si="253"/>
        <v>-3.7194805194805478E-4</v>
      </c>
      <c r="DJ98" s="5">
        <f t="shared" si="254"/>
        <v>-1.6402721088435472E-3</v>
      </c>
      <c r="DK98" s="5">
        <f t="shared" si="255"/>
        <v>7.6471243042669956E-4</v>
      </c>
      <c r="DL98" s="5">
        <f t="shared" si="256"/>
        <v>-2.3081014223875058E-4</v>
      </c>
      <c r="DM98" s="5">
        <f t="shared" si="257"/>
        <v>1.5802844774273381E-3</v>
      </c>
      <c r="DO98" s="5">
        <f t="shared" si="203"/>
        <v>-1.9079214597220278</v>
      </c>
      <c r="DP98" s="5">
        <f t="shared" si="204"/>
        <v>-0.29295343676527091</v>
      </c>
      <c r="DQ98" s="5">
        <f t="shared" si="205"/>
        <v>-1.2917022253843653</v>
      </c>
      <c r="DR98" s="5">
        <f t="shared" si="206"/>
        <v>0.60228527619529781</v>
      </c>
      <c r="DS98" s="5">
        <f t="shared" si="207"/>
        <v>-0.18179147971962978</v>
      </c>
      <c r="DT98" s="5">
        <f t="shared" si="208"/>
        <v>1.2444775446344229</v>
      </c>
      <c r="DV98" t="str" cm="1">
        <f t="array" ref="DV98">_xlfn.IFS(DO98&gt;3,"Strong + Slope",DO98&gt;1.5,"Moderate + Slope",DO98&gt;0.5,"Sideway + Slope",DO98&gt;=-0.5,"Sideway Flat",DO98&gt;=-1.5,"Sideway - Slope",DO98&gt;=-3,"Moderate - Slope",TRUE,"Strong - Slope")</f>
        <v>Moderate - Slope</v>
      </c>
      <c r="DW98" t="str" cm="1">
        <f t="array" ref="DW98">_xlfn.IFS(DP98&gt;3,"Strong + Slope",DP98&gt;1.5,"Moderate + Slope",DP98&gt;0.5,"Sideway + Slope",DP98&gt;=-0.5,"Sideway Flat",DP98&gt;=-1.5,"Sideway - Slope",DP98&gt;=-3,"Moderate - Slope",TRUE,"Strong - Slope")</f>
        <v>Sideway Flat</v>
      </c>
      <c r="DX98" t="str" cm="1">
        <f t="array" ref="DX98">_xlfn.IFS(DQ98&gt;3,"Strong + Slope",DQ98&gt;1.5,"Moderate + Slope",DQ98&gt;0.5,"Sideway + Slope",DQ98&gt;=-0.5,"Sideway Flat",DQ98&gt;=-1.5,"Sideway - Slope",DQ98&gt;=-3,"Moderate - Slope",TRUE,"Strong - Slope")</f>
        <v>Sideway - Slope</v>
      </c>
      <c r="DY98" t="str" cm="1">
        <f t="array" ref="DY98">_xlfn.IFS(DR98&gt;3,"Strong + Slope",DR98&gt;1.5,"Moderate + Slope",DR98&gt;0.5,"Sideway + Slope",DR98&gt;=-0.5,"Sideway Flat",DR98&gt;=-1.5,"Sideway - Slope",DR98&gt;=-3,"Moderate - Slope",TRUE,"Strong - Slope")</f>
        <v>Sideway + Slope</v>
      </c>
      <c r="DZ98" t="str" cm="1">
        <f t="array" ref="DZ98">_xlfn.IFS(DS98&gt;3,"Strong + Slope",DS98&gt;1.5,"Moderate + Slope",DS98&gt;0.5,"Sideway + Slope",DS98&gt;=-0.5,"Sideway Flat",DS98&gt;=-1.5,"Sideway - Slope",DS98&gt;=-3,"Moderate - Slope",TRUE,"Strong - Slope")</f>
        <v>Sideway Flat</v>
      </c>
      <c r="EA98" t="str" cm="1">
        <f t="array" ref="EA98">_xlfn.IFS(DT98&gt;3,"Strong + Slope",DT98&gt;1.5,"Moderate + Slope",DT98&gt;0.5,"Sideway + Slope",DT98&gt;=-0.5,"Sideway Flat",DT98&gt;=-1.5,"Sideway - Slope",DT98&gt;=-3,"Moderate - Slope",TRUE,"Strong - Slope")</f>
        <v>Sideway + Slope</v>
      </c>
      <c r="EB98" s="5"/>
      <c r="EC98" s="5">
        <f t="shared" si="209"/>
        <v>4</v>
      </c>
      <c r="ED98" s="5">
        <f t="shared" si="210"/>
        <v>3</v>
      </c>
      <c r="EE98" s="5">
        <f t="shared" si="211"/>
        <v>1</v>
      </c>
      <c r="EF98" s="5">
        <f t="shared" si="212"/>
        <v>5</v>
      </c>
      <c r="EG98" s="5">
        <f t="shared" si="213"/>
        <v>6</v>
      </c>
      <c r="EH98" s="5">
        <f t="shared" si="214"/>
        <v>2</v>
      </c>
      <c r="EI98" s="5"/>
      <c r="EJ98" s="5" t="str">
        <f t="shared" si="215"/>
        <v>RES</v>
      </c>
      <c r="EK98" s="5" t="str">
        <f t="shared" si="216"/>
        <v>RES</v>
      </c>
      <c r="EL98" s="5" t="str">
        <f t="shared" si="217"/>
        <v>RES</v>
      </c>
      <c r="EM98" s="5" t="str">
        <f t="shared" si="218"/>
        <v>SUP</v>
      </c>
      <c r="EN98" s="5" t="str">
        <f t="shared" si="219"/>
        <v>SUP</v>
      </c>
      <c r="EO98" s="5" t="str">
        <f t="shared" si="220"/>
        <v>RES</v>
      </c>
      <c r="EP98" s="5"/>
      <c r="EQ98" s="8">
        <f t="shared" si="221"/>
        <v>1.067802161807943E-3</v>
      </c>
      <c r="ER98" s="8">
        <f t="shared" si="222"/>
        <v>1.48051097281362E-3</v>
      </c>
      <c r="ES98" s="8">
        <f t="shared" si="223"/>
        <v>3.0658368817555802E-3</v>
      </c>
      <c r="ET98" s="8">
        <f t="shared" si="224"/>
        <v>-1.2446773665250873E-4</v>
      </c>
      <c r="EU98" s="8">
        <f t="shared" si="225"/>
        <v>-4.5201441205382784E-4</v>
      </c>
      <c r="EV98" s="8">
        <f t="shared" si="226"/>
        <v>1.7359973796265073E-3</v>
      </c>
      <c r="EW98" s="8"/>
      <c r="EX98" s="8">
        <f t="shared" si="227"/>
        <v>0.12849162011176171</v>
      </c>
      <c r="EY98" s="9">
        <f t="shared" si="228"/>
        <v>4</v>
      </c>
      <c r="EZ98" s="10">
        <f t="shared" si="229"/>
        <v>2</v>
      </c>
      <c r="FA98" s="8">
        <f t="shared" si="258"/>
        <v>3.0658368817555802E-3</v>
      </c>
      <c r="FB98" s="8">
        <f t="shared" si="259"/>
        <v>1.7359973796265073E-3</v>
      </c>
      <c r="FC98" s="8">
        <f t="shared" si="260"/>
        <v>1.48051097281362E-3</v>
      </c>
      <c r="FD98" s="8">
        <f t="shared" si="261"/>
        <v>1.067802161807943E-3</v>
      </c>
      <c r="FE98" s="8">
        <f t="shared" si="262"/>
        <v>-1.2446773665250873E-4</v>
      </c>
      <c r="FF98" s="8">
        <f t="shared" si="263"/>
        <v>-4.5201441205382784E-4</v>
      </c>
      <c r="FG98" s="5"/>
      <c r="FH98" s="5" t="str">
        <f t="shared" si="230"/>
        <v>-----</v>
      </c>
      <c r="FI98" s="5" t="str">
        <f t="shared" si="264"/>
        <v>Flat Momentum</v>
      </c>
      <c r="FJ98" s="5"/>
      <c r="FK98" s="5" t="str">
        <f t="shared" si="265"/>
        <v>-----</v>
      </c>
      <c r="FL98" s="5" t="str">
        <f t="shared" si="266"/>
        <v>-----</v>
      </c>
      <c r="FM98" s="5"/>
      <c r="FN98" s="5"/>
      <c r="FO98" s="8" t="str">
        <f t="shared" si="279"/>
        <v>Bearish</v>
      </c>
      <c r="FP98" s="8"/>
      <c r="FQ98" s="14">
        <f t="shared" si="231"/>
        <v>-4.2558763831596758E-4</v>
      </c>
      <c r="FR98" s="14">
        <f t="shared" si="232"/>
        <v>7.1268195753025801E-2</v>
      </c>
      <c r="FS98" s="14" t="str">
        <f t="shared" si="233"/>
        <v>-----</v>
      </c>
      <c r="FT98" s="14" t="str">
        <f t="shared" si="234"/>
        <v>Bearish</v>
      </c>
      <c r="FU98" s="5" t="str">
        <f t="shared" si="267"/>
        <v>-----</v>
      </c>
      <c r="FV98" s="5" t="str">
        <f t="shared" si="268"/>
        <v>-----</v>
      </c>
      <c r="FW98" s="5"/>
      <c r="FX98" s="15" t="str">
        <f t="shared" si="116"/>
        <v>YES</v>
      </c>
      <c r="FY98" s="15" t="str">
        <f t="shared" si="117"/>
        <v>-----</v>
      </c>
      <c r="FZ98" s="15" t="str">
        <f t="shared" si="118"/>
        <v>-----</v>
      </c>
      <c r="GA98" s="15" t="str">
        <f t="shared" si="119"/>
        <v>YES</v>
      </c>
      <c r="GB98" s="16" t="str">
        <f t="shared" si="274"/>
        <v>-----</v>
      </c>
      <c r="GC98" s="16" t="str">
        <f t="shared" si="275"/>
        <v>-----</v>
      </c>
      <c r="GD98" s="16" t="str">
        <f t="shared" si="276"/>
        <v>YES</v>
      </c>
      <c r="GE98" s="16" t="str">
        <f t="shared" si="278"/>
        <v>YES</v>
      </c>
      <c r="GF98" s="15" t="str">
        <f t="shared" si="277"/>
        <v>-----</v>
      </c>
      <c r="GG98" s="16" t="str">
        <f t="shared" si="120"/>
        <v>-----</v>
      </c>
      <c r="GH98" s="14"/>
      <c r="GI98" s="5" t="str">
        <f t="shared" si="235"/>
        <v>-----</v>
      </c>
      <c r="GJ98" s="5" t="str">
        <f t="shared" si="236"/>
        <v>-----</v>
      </c>
      <c r="GK98" s="5"/>
      <c r="GL98" s="5" t="str">
        <f t="shared" si="237"/>
        <v>-----</v>
      </c>
      <c r="GM98" s="5" t="str">
        <f t="shared" si="238"/>
        <v>-----</v>
      </c>
      <c r="GN98" s="5"/>
      <c r="GO98" s="12">
        <f t="shared" si="239"/>
        <v>2.8999999999996362E-2</v>
      </c>
      <c r="GP98" s="5">
        <f t="shared" si="269"/>
        <v>-1.0780930230139756</v>
      </c>
      <c r="GQ98" s="13" t="str">
        <f t="shared" si="270"/>
        <v>-----</v>
      </c>
      <c r="GR98" s="5"/>
      <c r="GS98">
        <f t="shared" si="271"/>
        <v>-1.0676341380008478</v>
      </c>
      <c r="GT98" s="5" t="str">
        <f t="shared" si="272"/>
        <v>-----</v>
      </c>
    </row>
    <row r="99" spans="1:202" x14ac:dyDescent="0.55000000000000004">
      <c r="A99">
        <v>95</v>
      </c>
      <c r="B99" t="s">
        <v>98</v>
      </c>
      <c r="C99" t="s">
        <v>4</v>
      </c>
      <c r="D99" t="s">
        <v>103</v>
      </c>
      <c r="E99">
        <v>152.65199999999999</v>
      </c>
      <c r="F99">
        <v>152.702</v>
      </c>
      <c r="G99">
        <v>152.65199999999999</v>
      </c>
      <c r="H99">
        <v>152.69999999999999</v>
      </c>
      <c r="I99">
        <v>116</v>
      </c>
      <c r="J99">
        <v>152.81</v>
      </c>
      <c r="K99">
        <v>152.876</v>
      </c>
      <c r="L99">
        <v>153.11699999999999</v>
      </c>
      <c r="M99">
        <v>152.63200000000001</v>
      </c>
      <c r="N99">
        <v>152.58099999999999</v>
      </c>
      <c r="O99">
        <v>152.917</v>
      </c>
      <c r="P99">
        <v>0</v>
      </c>
      <c r="Q99">
        <v>0</v>
      </c>
      <c r="R99">
        <v>0</v>
      </c>
      <c r="S99">
        <v>0</v>
      </c>
      <c r="T99">
        <v>0</v>
      </c>
      <c r="U99">
        <v>0.10882</v>
      </c>
      <c r="V99">
        <v>0</v>
      </c>
      <c r="W99">
        <v>153.0093</v>
      </c>
      <c r="X99">
        <v>152.93493000000001</v>
      </c>
      <c r="Y99">
        <v>152.86055999999999</v>
      </c>
      <c r="Z99">
        <v>152.78619</v>
      </c>
      <c r="AA99">
        <v>152.71181999999999</v>
      </c>
      <c r="AB99">
        <v>152.67176000000001</v>
      </c>
      <c r="AC99">
        <v>152.59738999999999</v>
      </c>
      <c r="AD99">
        <v>152.52302</v>
      </c>
      <c r="AE99">
        <v>152.44864999999999</v>
      </c>
      <c r="AF99">
        <v>152.37428</v>
      </c>
      <c r="AG99">
        <v>152.65299999999999</v>
      </c>
      <c r="AH99">
        <v>152.66</v>
      </c>
      <c r="AI99">
        <v>152.727</v>
      </c>
      <c r="AJ99">
        <v>152.828</v>
      </c>
      <c r="AK99">
        <v>152.667</v>
      </c>
      <c r="AL99">
        <v>152.631</v>
      </c>
      <c r="AM99" s="11">
        <f t="shared" si="179"/>
        <v>5.0000000000011369E-2</v>
      </c>
      <c r="AN99" s="11">
        <f t="shared" si="240"/>
        <v>5.1999999999992497E-2</v>
      </c>
      <c r="AO99" s="11">
        <f t="shared" si="241"/>
        <v>1.999999999981128E-3</v>
      </c>
      <c r="AP99" s="11">
        <f t="shared" si="242"/>
        <v>5.1999999999992497E-2</v>
      </c>
      <c r="AR99" s="5" t="str">
        <f t="shared" si="180"/>
        <v>------</v>
      </c>
      <c r="AS99" s="5" t="str">
        <f t="shared" si="181"/>
        <v>------</v>
      </c>
      <c r="AT99" t="str">
        <f t="shared" si="182"/>
        <v/>
      </c>
      <c r="AV99" s="2">
        <f t="shared" si="183"/>
        <v>152.83292150000003</v>
      </c>
      <c r="AW99" s="2">
        <f t="shared" si="184"/>
        <v>152.78707850000001</v>
      </c>
      <c r="AX99" s="2">
        <f t="shared" si="185"/>
        <v>152.89893140000001</v>
      </c>
      <c r="AY99" s="2">
        <f t="shared" si="186"/>
        <v>152.8530686</v>
      </c>
      <c r="AZ99" s="2">
        <f t="shared" si="187"/>
        <v>153.13996754999999</v>
      </c>
      <c r="BA99" s="2">
        <f t="shared" si="188"/>
        <v>153.09403244999999</v>
      </c>
      <c r="BB99" s="2">
        <f t="shared" si="189"/>
        <v>152.65489480000002</v>
      </c>
      <c r="BC99" s="2">
        <f t="shared" si="190"/>
        <v>152.60910520000002</v>
      </c>
      <c r="BD99" s="2">
        <f t="shared" si="191"/>
        <v>152.60388714999999</v>
      </c>
      <c r="BE99" s="2">
        <f t="shared" si="192"/>
        <v>152.55811284999999</v>
      </c>
      <c r="BF99" s="2">
        <f t="shared" si="193"/>
        <v>152.93993755000002</v>
      </c>
      <c r="BG99" s="2">
        <f t="shared" si="194"/>
        <v>152.89406245000001</v>
      </c>
      <c r="BI99" s="5" t="str">
        <f t="shared" si="243"/>
        <v>-----</v>
      </c>
      <c r="BJ99" s="5" t="str">
        <f t="shared" si="244"/>
        <v>-----</v>
      </c>
      <c r="BK99" s="5" t="str">
        <f t="shared" si="245"/>
        <v>-----</v>
      </c>
      <c r="BL99" s="5" t="str">
        <f t="shared" si="246"/>
        <v>TOUCH</v>
      </c>
      <c r="BM99" s="5" t="str">
        <f t="shared" si="247"/>
        <v>-----</v>
      </c>
      <c r="BN99" s="5" t="str">
        <f t="shared" si="248"/>
        <v>-----</v>
      </c>
      <c r="BO99" s="5"/>
      <c r="BP99" s="5">
        <f t="shared" si="280"/>
        <v>31</v>
      </c>
      <c r="BQ99" s="5">
        <f t="shared" si="280"/>
        <v>31</v>
      </c>
      <c r="BR99" s="5">
        <f t="shared" si="280"/>
        <v>93</v>
      </c>
      <c r="BS99" s="5">
        <f t="shared" si="280"/>
        <v>0</v>
      </c>
      <c r="BT99" s="5">
        <f t="shared" si="280"/>
        <v>95</v>
      </c>
      <c r="BU99" s="5">
        <f t="shared" si="280"/>
        <v>31</v>
      </c>
      <c r="BV99" s="5">
        <f t="shared" si="281"/>
        <v>2</v>
      </c>
      <c r="BW99" s="5">
        <f t="shared" si="281"/>
        <v>2</v>
      </c>
      <c r="BX99" s="5">
        <f t="shared" si="281"/>
        <v>2</v>
      </c>
      <c r="BY99" s="5">
        <f t="shared" si="281"/>
        <v>7</v>
      </c>
      <c r="BZ99" s="5">
        <f t="shared" si="281"/>
        <v>0</v>
      </c>
      <c r="CA99" s="5">
        <f t="shared" si="281"/>
        <v>7</v>
      </c>
      <c r="CB99" s="5" t="str">
        <f t="shared" si="273"/>
        <v>-----</v>
      </c>
      <c r="CC99" s="5" t="str">
        <f t="shared" si="273"/>
        <v>-----</v>
      </c>
      <c r="CD99" s="5" t="str">
        <f t="shared" si="273"/>
        <v>-----</v>
      </c>
      <c r="CE99" s="5">
        <f t="shared" si="273"/>
        <v>7</v>
      </c>
      <c r="CF99" s="5" t="str">
        <f t="shared" si="273"/>
        <v>-----</v>
      </c>
      <c r="CG99" s="5" t="str">
        <f t="shared" si="195"/>
        <v>-----</v>
      </c>
      <c r="CH99" s="5"/>
      <c r="CI99" s="17" t="str">
        <f t="shared" si="196"/>
        <v>-----</v>
      </c>
      <c r="CJ99" s="17" t="str">
        <f t="shared" si="197"/>
        <v>-----</v>
      </c>
      <c r="CK99" s="17" t="str">
        <f t="shared" si="198"/>
        <v>-----</v>
      </c>
      <c r="CL99" s="17">
        <f t="shared" si="199"/>
        <v>3.1775774411655828E-3</v>
      </c>
      <c r="CM99" s="17" t="str">
        <f t="shared" si="200"/>
        <v>-----</v>
      </c>
      <c r="CN99" s="17" t="str">
        <f t="shared" si="201"/>
        <v>-----</v>
      </c>
      <c r="CO99" s="5"/>
      <c r="CP99" s="5" t="str">
        <f t="shared" si="177"/>
        <v>-----</v>
      </c>
      <c r="CQ99" s="5" t="str">
        <f t="shared" si="177"/>
        <v>-----</v>
      </c>
      <c r="CR99" s="5" t="str">
        <f t="shared" si="177"/>
        <v>-----</v>
      </c>
      <c r="CS99" s="5" t="str">
        <f t="shared" si="177"/>
        <v>Support</v>
      </c>
      <c r="CT99" s="5" t="str">
        <f t="shared" si="177"/>
        <v>-----</v>
      </c>
      <c r="CU99" s="5" t="str">
        <f t="shared" si="177"/>
        <v>-----</v>
      </c>
      <c r="CV99" s="5"/>
      <c r="CW99" s="17" t="str">
        <f t="shared" si="178"/>
        <v/>
      </c>
      <c r="CX99" s="17" t="str">
        <f t="shared" si="178"/>
        <v/>
      </c>
      <c r="CY99" s="17" t="str">
        <f t="shared" si="178"/>
        <v/>
      </c>
      <c r="CZ99" s="17">
        <f t="shared" si="178"/>
        <v>3.1775774411655828E-3</v>
      </c>
      <c r="DA99" s="17" t="str">
        <f t="shared" si="178"/>
        <v/>
      </c>
      <c r="DB99" s="17" t="str">
        <f t="shared" si="178"/>
        <v/>
      </c>
      <c r="DC99" s="8"/>
      <c r="DD99" s="5">
        <f t="shared" si="202"/>
        <v>1</v>
      </c>
      <c r="DE99" s="17">
        <f t="shared" si="251"/>
        <v>3.1775774411655828E-3</v>
      </c>
      <c r="DF99" s="5" t="str" cm="1">
        <f t="array" ref="DF99">_xlfn.IFS(DE99=CW99,CP99,DE99=CX99,CQ99,DE99=CY99,CR99,DE99=CZ99,CS99,DE99=DA99,CT99,DE99=DB99,CU99,TRUE,"----- ")</f>
        <v>Support</v>
      </c>
      <c r="DG99" s="5"/>
      <c r="DH99" s="5">
        <f t="shared" si="252"/>
        <v>-2.423265306122455E-3</v>
      </c>
      <c r="DI99" s="5">
        <f t="shared" si="253"/>
        <v>-3.7194805194805478E-4</v>
      </c>
      <c r="DJ99" s="5">
        <f t="shared" si="254"/>
        <v>-1.6402721088435472E-3</v>
      </c>
      <c r="DK99" s="5">
        <f t="shared" si="255"/>
        <v>7.6471243042669956E-4</v>
      </c>
      <c r="DL99" s="5">
        <f t="shared" si="256"/>
        <v>-2.3081014223875058E-4</v>
      </c>
      <c r="DM99" s="5">
        <f t="shared" si="257"/>
        <v>1.5802844774273381E-3</v>
      </c>
      <c r="DO99" s="5">
        <f t="shared" si="203"/>
        <v>-1.9079214597220278</v>
      </c>
      <c r="DP99" s="5">
        <f t="shared" si="204"/>
        <v>-0.29295343676527091</v>
      </c>
      <c r="DQ99" s="5">
        <f t="shared" si="205"/>
        <v>-1.2917022253843653</v>
      </c>
      <c r="DR99" s="5">
        <f t="shared" si="206"/>
        <v>0.60228527619529781</v>
      </c>
      <c r="DS99" s="5">
        <f t="shared" si="207"/>
        <v>-0.18179147971962978</v>
      </c>
      <c r="DT99" s="5">
        <f t="shared" si="208"/>
        <v>1.2444775446344229</v>
      </c>
      <c r="DV99" t="str" cm="1">
        <f t="array" ref="DV99">_xlfn.IFS(DO99&gt;3,"Strong + Slope",DO99&gt;1.5,"Moderate + Slope",DO99&gt;0.5,"Sideway + Slope",DO99&gt;=-0.5,"Sideway Flat",DO99&gt;=-1.5,"Sideway - Slope",DO99&gt;=-3,"Moderate - Slope",TRUE,"Strong - Slope")</f>
        <v>Moderate - Slope</v>
      </c>
      <c r="DW99" t="str" cm="1">
        <f t="array" ref="DW99">_xlfn.IFS(DP99&gt;3,"Strong + Slope",DP99&gt;1.5,"Moderate + Slope",DP99&gt;0.5,"Sideway + Slope",DP99&gt;=-0.5,"Sideway Flat",DP99&gt;=-1.5,"Sideway - Slope",DP99&gt;=-3,"Moderate - Slope",TRUE,"Strong - Slope")</f>
        <v>Sideway Flat</v>
      </c>
      <c r="DX99" t="str" cm="1">
        <f t="array" ref="DX99">_xlfn.IFS(DQ99&gt;3,"Strong + Slope",DQ99&gt;1.5,"Moderate + Slope",DQ99&gt;0.5,"Sideway + Slope",DQ99&gt;=-0.5,"Sideway Flat",DQ99&gt;=-1.5,"Sideway - Slope",DQ99&gt;=-3,"Moderate - Slope",TRUE,"Strong - Slope")</f>
        <v>Sideway - Slope</v>
      </c>
      <c r="DY99" t="str" cm="1">
        <f t="array" ref="DY99">_xlfn.IFS(DR99&gt;3,"Strong + Slope",DR99&gt;1.5,"Moderate + Slope",DR99&gt;0.5,"Sideway + Slope",DR99&gt;=-0.5,"Sideway Flat",DR99&gt;=-1.5,"Sideway - Slope",DR99&gt;=-3,"Moderate - Slope",TRUE,"Strong - Slope")</f>
        <v>Sideway + Slope</v>
      </c>
      <c r="DZ99" t="str" cm="1">
        <f t="array" ref="DZ99">_xlfn.IFS(DS99&gt;3,"Strong + Slope",DS99&gt;1.5,"Moderate + Slope",DS99&gt;0.5,"Sideway + Slope",DS99&gt;=-0.5,"Sideway Flat",DS99&gt;=-1.5,"Sideway - Slope",DS99&gt;=-3,"Moderate - Slope",TRUE,"Strong - Slope")</f>
        <v>Sideway Flat</v>
      </c>
      <c r="EA99" t="str" cm="1">
        <f t="array" ref="EA99">_xlfn.IFS(DT99&gt;3,"Strong + Slope",DT99&gt;1.5,"Moderate + Slope",DT99&gt;0.5,"Sideway + Slope",DT99&gt;=-0.5,"Sideway Flat",DT99&gt;=-1.5,"Sideway - Slope",DT99&gt;=-3,"Moderate - Slope",TRUE,"Strong - Slope")</f>
        <v>Sideway + Slope</v>
      </c>
      <c r="EB99" s="5"/>
      <c r="EC99" s="5">
        <f t="shared" si="209"/>
        <v>4</v>
      </c>
      <c r="ED99" s="5">
        <f t="shared" si="210"/>
        <v>3</v>
      </c>
      <c r="EE99" s="5">
        <f t="shared" si="211"/>
        <v>1</v>
      </c>
      <c r="EF99" s="5">
        <f t="shared" si="212"/>
        <v>5</v>
      </c>
      <c r="EG99" s="5">
        <f t="shared" si="213"/>
        <v>6</v>
      </c>
      <c r="EH99" s="5">
        <f t="shared" si="214"/>
        <v>2</v>
      </c>
      <c r="EI99" s="5"/>
      <c r="EJ99" s="5" t="str">
        <f t="shared" si="215"/>
        <v>RES</v>
      </c>
      <c r="EK99" s="5" t="str">
        <f t="shared" si="216"/>
        <v>RES</v>
      </c>
      <c r="EL99" s="5" t="str">
        <f t="shared" si="217"/>
        <v>RES</v>
      </c>
      <c r="EM99" s="5" t="str">
        <f t="shared" si="218"/>
        <v>SUP</v>
      </c>
      <c r="EN99" s="5" t="str">
        <f t="shared" si="219"/>
        <v>SUP</v>
      </c>
      <c r="EO99" s="5" t="str">
        <f t="shared" si="220"/>
        <v>RES</v>
      </c>
      <c r="EP99" s="5"/>
      <c r="EQ99" s="8">
        <f t="shared" si="221"/>
        <v>7.203667321546408E-4</v>
      </c>
      <c r="ER99" s="8">
        <f t="shared" si="222"/>
        <v>1.1525867714473881E-3</v>
      </c>
      <c r="ES99" s="8">
        <f t="shared" si="223"/>
        <v>2.7308447937131738E-3</v>
      </c>
      <c r="ET99" s="8">
        <f t="shared" si="224"/>
        <v>-4.4531761624088827E-4</v>
      </c>
      <c r="EU99" s="8">
        <f t="shared" si="225"/>
        <v>-7.793058284217406E-4</v>
      </c>
      <c r="EV99" s="8">
        <f t="shared" si="226"/>
        <v>1.421087098886791E-3</v>
      </c>
      <c r="EW99" s="8"/>
      <c r="EX99" s="8">
        <f t="shared" si="227"/>
        <v>0.22201492537313333</v>
      </c>
      <c r="EY99" s="9">
        <f t="shared" si="228"/>
        <v>4</v>
      </c>
      <c r="EZ99" s="10">
        <f t="shared" si="229"/>
        <v>2</v>
      </c>
      <c r="FA99" s="8">
        <f t="shared" si="258"/>
        <v>2.7308447937131738E-3</v>
      </c>
      <c r="FB99" s="8">
        <f t="shared" si="259"/>
        <v>1.421087098886791E-3</v>
      </c>
      <c r="FC99" s="8">
        <f t="shared" si="260"/>
        <v>1.1525867714473881E-3</v>
      </c>
      <c r="FD99" s="8">
        <f t="shared" si="261"/>
        <v>7.203667321546408E-4</v>
      </c>
      <c r="FE99" s="8">
        <f t="shared" si="262"/>
        <v>-4.4531761624088827E-4</v>
      </c>
      <c r="FF99" s="8">
        <f t="shared" si="263"/>
        <v>-7.793058284217406E-4</v>
      </c>
      <c r="FG99" s="5"/>
      <c r="FH99" s="5" t="str">
        <f t="shared" si="230"/>
        <v>-----</v>
      </c>
      <c r="FI99" s="5" t="str">
        <f t="shared" si="264"/>
        <v>Flat Momentum</v>
      </c>
      <c r="FJ99" s="5"/>
      <c r="FK99" s="5" t="str">
        <f t="shared" si="265"/>
        <v>-----</v>
      </c>
      <c r="FL99" s="5" t="str">
        <f t="shared" si="266"/>
        <v>-----</v>
      </c>
      <c r="FM99" s="5"/>
      <c r="FN99" s="5"/>
      <c r="FO99" s="8" t="str">
        <f t="shared" si="279"/>
        <v>Bearish</v>
      </c>
      <c r="FP99" s="8"/>
      <c r="FQ99" s="14">
        <f t="shared" si="231"/>
        <v>-4.3869125956777304E-4</v>
      </c>
      <c r="FR99" s="14">
        <f t="shared" si="232"/>
        <v>3.3476660491808863E-2</v>
      </c>
      <c r="FS99" s="14" t="str">
        <f t="shared" si="233"/>
        <v>-----</v>
      </c>
      <c r="FT99" s="14" t="str">
        <f t="shared" si="234"/>
        <v>Bearish</v>
      </c>
      <c r="FU99" s="5" t="str">
        <f t="shared" si="267"/>
        <v>-----</v>
      </c>
      <c r="FV99" s="5" t="str">
        <f t="shared" si="268"/>
        <v>-----</v>
      </c>
      <c r="FW99" s="5"/>
      <c r="FX99" s="15" t="str">
        <f t="shared" si="116"/>
        <v>YES</v>
      </c>
      <c r="FY99" s="15" t="str">
        <f t="shared" si="117"/>
        <v>-----</v>
      </c>
      <c r="FZ99" s="15" t="str">
        <f t="shared" si="118"/>
        <v>-----</v>
      </c>
      <c r="GA99" s="15" t="str">
        <f t="shared" si="119"/>
        <v>YES</v>
      </c>
      <c r="GB99" s="16" t="str">
        <f t="shared" si="274"/>
        <v>-----</v>
      </c>
      <c r="GC99" s="16" t="str">
        <f t="shared" si="275"/>
        <v>-----</v>
      </c>
      <c r="GD99" s="16" t="str">
        <f t="shared" si="276"/>
        <v>YES</v>
      </c>
      <c r="GE99" s="16" t="str">
        <f t="shared" si="278"/>
        <v>YES</v>
      </c>
      <c r="GF99" s="15" t="str">
        <f t="shared" si="277"/>
        <v>-----</v>
      </c>
      <c r="GG99" s="16" t="str">
        <f t="shared" si="120"/>
        <v>-----</v>
      </c>
      <c r="GH99" s="14"/>
      <c r="GI99" s="5" t="str">
        <f t="shared" si="235"/>
        <v>Bullish Trigger</v>
      </c>
      <c r="GJ99" s="5" t="str">
        <f t="shared" si="236"/>
        <v>-----</v>
      </c>
      <c r="GK99" s="5"/>
      <c r="GL99" s="5" t="str">
        <f t="shared" si="237"/>
        <v>-----</v>
      </c>
      <c r="GM99" s="5" t="str">
        <f t="shared" si="238"/>
        <v>-----</v>
      </c>
      <c r="GN99" s="5"/>
      <c r="GO99" s="12">
        <f t="shared" si="239"/>
        <v>3.6000000000001364E-2</v>
      </c>
      <c r="GP99" s="5">
        <f t="shared" si="269"/>
        <v>-0.91676318821606417</v>
      </c>
      <c r="GQ99" s="13" t="str">
        <f t="shared" si="270"/>
        <v>-----</v>
      </c>
      <c r="GR99" s="5"/>
      <c r="GS99">
        <f t="shared" si="271"/>
        <v>-1.112806032355484</v>
      </c>
      <c r="GT99" s="5" t="str">
        <f t="shared" si="272"/>
        <v>-----</v>
      </c>
    </row>
    <row r="100" spans="1:202" x14ac:dyDescent="0.55000000000000004">
      <c r="A100">
        <v>96</v>
      </c>
      <c r="B100" t="s">
        <v>99</v>
      </c>
      <c r="C100" t="s">
        <v>4</v>
      </c>
      <c r="D100" t="s">
        <v>103</v>
      </c>
      <c r="E100">
        <v>152.69999999999999</v>
      </c>
      <c r="F100">
        <v>152.726</v>
      </c>
      <c r="G100">
        <v>152.68799999999999</v>
      </c>
      <c r="H100">
        <v>152.72200000000001</v>
      </c>
      <c r="I100">
        <v>96</v>
      </c>
      <c r="J100">
        <v>152.80799999999999</v>
      </c>
      <c r="K100">
        <v>152.876</v>
      </c>
      <c r="L100">
        <v>153.11500000000001</v>
      </c>
      <c r="M100">
        <v>152.63300000000001</v>
      </c>
      <c r="N100">
        <v>152.58099999999999</v>
      </c>
      <c r="O100">
        <v>152.91800000000001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0.51820999999999995</v>
      </c>
      <c r="V100">
        <v>0</v>
      </c>
      <c r="W100">
        <v>153.00206</v>
      </c>
      <c r="X100">
        <v>152.9282</v>
      </c>
      <c r="Y100">
        <v>152.85434000000001</v>
      </c>
      <c r="Z100">
        <v>152.78047000000001</v>
      </c>
      <c r="AA100">
        <v>152.70661000000001</v>
      </c>
      <c r="AB100">
        <v>152.66683</v>
      </c>
      <c r="AC100">
        <v>152.59297000000001</v>
      </c>
      <c r="AD100">
        <v>152.51910000000001</v>
      </c>
      <c r="AE100">
        <v>152.44524000000001</v>
      </c>
      <c r="AF100">
        <v>152.37137999999999</v>
      </c>
      <c r="AG100">
        <v>152.678</v>
      </c>
      <c r="AH100">
        <v>152.661</v>
      </c>
      <c r="AI100">
        <v>152.726</v>
      </c>
      <c r="AJ100">
        <v>152.82499999999999</v>
      </c>
      <c r="AK100">
        <v>152.691</v>
      </c>
      <c r="AL100">
        <v>152.65600000000001</v>
      </c>
      <c r="AM100" s="11">
        <f t="shared" si="179"/>
        <v>3.8000000000010914E-2</v>
      </c>
      <c r="AN100" s="11">
        <f t="shared" si="240"/>
        <v>2.6000000000010459E-2</v>
      </c>
      <c r="AO100" s="11">
        <f t="shared" si="241"/>
        <v>1.2000000000000455E-2</v>
      </c>
      <c r="AP100" s="11">
        <f t="shared" si="242"/>
        <v>3.8000000000010914E-2</v>
      </c>
      <c r="AR100" s="5" t="str">
        <f t="shared" si="180"/>
        <v>------</v>
      </c>
      <c r="AS100" s="5" t="str">
        <f t="shared" si="181"/>
        <v>------</v>
      </c>
      <c r="AT100" t="str">
        <f t="shared" si="182"/>
        <v/>
      </c>
      <c r="AV100" s="2">
        <f t="shared" si="183"/>
        <v>152.83092120000001</v>
      </c>
      <c r="AW100" s="2">
        <f t="shared" si="184"/>
        <v>152.78507880000001</v>
      </c>
      <c r="AX100" s="2">
        <f t="shared" si="185"/>
        <v>152.89893140000001</v>
      </c>
      <c r="AY100" s="2">
        <f t="shared" si="186"/>
        <v>152.8530686</v>
      </c>
      <c r="AZ100" s="2">
        <f t="shared" si="187"/>
        <v>153.13796725000003</v>
      </c>
      <c r="BA100" s="2">
        <f t="shared" si="188"/>
        <v>153.09203275000002</v>
      </c>
      <c r="BB100" s="2">
        <f t="shared" si="189"/>
        <v>152.65589495000003</v>
      </c>
      <c r="BC100" s="2">
        <f t="shared" si="190"/>
        <v>152.61010505000002</v>
      </c>
      <c r="BD100" s="2">
        <f t="shared" si="191"/>
        <v>152.60388714999999</v>
      </c>
      <c r="BE100" s="2">
        <f t="shared" si="192"/>
        <v>152.55811284999999</v>
      </c>
      <c r="BF100" s="2">
        <f t="shared" si="193"/>
        <v>152.94093770000003</v>
      </c>
      <c r="BG100" s="2">
        <f t="shared" si="194"/>
        <v>152.89506230000001</v>
      </c>
      <c r="BI100" s="5" t="str">
        <f t="shared" si="243"/>
        <v>-----</v>
      </c>
      <c r="BJ100" s="5" t="str">
        <f t="shared" si="244"/>
        <v>-----</v>
      </c>
      <c r="BK100" s="5" t="str">
        <f t="shared" si="245"/>
        <v>-----</v>
      </c>
      <c r="BL100" s="5" t="str">
        <f t="shared" si="246"/>
        <v>-----</v>
      </c>
      <c r="BM100" s="5" t="str">
        <f t="shared" si="247"/>
        <v>-----</v>
      </c>
      <c r="BN100" s="5" t="str">
        <f t="shared" si="248"/>
        <v>-----</v>
      </c>
      <c r="BO100" s="5"/>
      <c r="BP100" s="5">
        <f t="shared" si="280"/>
        <v>32</v>
      </c>
      <c r="BQ100" s="5">
        <f t="shared" si="280"/>
        <v>32</v>
      </c>
      <c r="BR100" s="5">
        <f t="shared" si="280"/>
        <v>94</v>
      </c>
      <c r="BS100" s="5">
        <f t="shared" si="280"/>
        <v>1</v>
      </c>
      <c r="BT100" s="5">
        <f t="shared" si="280"/>
        <v>96</v>
      </c>
      <c r="BU100" s="5">
        <f t="shared" si="280"/>
        <v>32</v>
      </c>
      <c r="BV100" s="5">
        <f t="shared" si="281"/>
        <v>2</v>
      </c>
      <c r="BW100" s="5">
        <f t="shared" si="281"/>
        <v>2</v>
      </c>
      <c r="BX100" s="5">
        <f t="shared" si="281"/>
        <v>2</v>
      </c>
      <c r="BY100" s="5">
        <f t="shared" si="281"/>
        <v>7</v>
      </c>
      <c r="BZ100" s="5">
        <f t="shared" si="281"/>
        <v>0</v>
      </c>
      <c r="CA100" s="5">
        <f t="shared" si="281"/>
        <v>7</v>
      </c>
      <c r="CB100" s="5" t="str">
        <f t="shared" si="273"/>
        <v>-----</v>
      </c>
      <c r="CC100" s="5" t="str">
        <f t="shared" si="273"/>
        <v>-----</v>
      </c>
      <c r="CD100" s="5" t="str">
        <f t="shared" si="273"/>
        <v>-----</v>
      </c>
      <c r="CE100" s="5" t="str">
        <f t="shared" si="273"/>
        <v>-----</v>
      </c>
      <c r="CF100" s="5" t="str">
        <f t="shared" si="273"/>
        <v>-----</v>
      </c>
      <c r="CG100" s="5" t="str">
        <f t="shared" si="195"/>
        <v>-----</v>
      </c>
      <c r="CH100" s="5"/>
      <c r="CI100" s="17" t="str">
        <f t="shared" si="196"/>
        <v>-----</v>
      </c>
      <c r="CJ100" s="17" t="str">
        <f t="shared" si="197"/>
        <v>-----</v>
      </c>
      <c r="CK100" s="17" t="str">
        <f t="shared" si="198"/>
        <v>-----</v>
      </c>
      <c r="CL100" s="17" t="str">
        <f t="shared" si="199"/>
        <v>-----</v>
      </c>
      <c r="CM100" s="17" t="str">
        <f t="shared" si="200"/>
        <v>-----</v>
      </c>
      <c r="CN100" s="17" t="str">
        <f t="shared" si="201"/>
        <v>-----</v>
      </c>
      <c r="CO100" s="5"/>
      <c r="CP100" s="5" t="str">
        <f t="shared" si="177"/>
        <v>-----</v>
      </c>
      <c r="CQ100" s="5" t="str">
        <f t="shared" si="177"/>
        <v>-----</v>
      </c>
      <c r="CR100" s="5" t="str">
        <f t="shared" si="177"/>
        <v>-----</v>
      </c>
      <c r="CS100" s="5" t="str">
        <f t="shared" si="177"/>
        <v>-----</v>
      </c>
      <c r="CT100" s="5" t="str">
        <f t="shared" si="177"/>
        <v>-----</v>
      </c>
      <c r="CU100" s="5" t="str">
        <f t="shared" si="177"/>
        <v>-----</v>
      </c>
      <c r="CV100" s="5"/>
      <c r="CW100" s="17" t="str">
        <f t="shared" si="178"/>
        <v/>
      </c>
      <c r="CX100" s="17" t="str">
        <f t="shared" si="178"/>
        <v/>
      </c>
      <c r="CY100" s="17" t="str">
        <f t="shared" si="178"/>
        <v/>
      </c>
      <c r="CZ100" s="17" t="str">
        <f t="shared" si="178"/>
        <v/>
      </c>
      <c r="DA100" s="17" t="str">
        <f t="shared" si="178"/>
        <v/>
      </c>
      <c r="DB100" s="17" t="str">
        <f t="shared" si="178"/>
        <v/>
      </c>
      <c r="DC100" s="8"/>
      <c r="DD100" s="5">
        <f t="shared" si="202"/>
        <v>0</v>
      </c>
      <c r="DE100" s="17" t="str">
        <f t="shared" si="251"/>
        <v>-----</v>
      </c>
      <c r="DF100" s="5" t="str" cm="1">
        <f t="array" ref="DF100">_xlfn.IFS(DE100=CW100,CP100,DE100=CX100,CQ100,DE100=CY100,CR100,DE100=CZ100,CS100,DE100=DA100,CT100,DE100=DB100,CU100,TRUE,"----- ")</f>
        <v xml:space="preserve">----- </v>
      </c>
      <c r="DG100" s="5"/>
      <c r="DH100" s="5">
        <f t="shared" si="252"/>
        <v>-2.423265306122455E-3</v>
      </c>
      <c r="DI100" s="5">
        <f t="shared" si="253"/>
        <v>-3.7194805194805478E-4</v>
      </c>
      <c r="DJ100" s="5">
        <f t="shared" si="254"/>
        <v>-1.6402721088435472E-3</v>
      </c>
      <c r="DK100" s="5">
        <f t="shared" si="255"/>
        <v>7.6471243042669956E-4</v>
      </c>
      <c r="DL100" s="5">
        <f t="shared" si="256"/>
        <v>-2.3081014223875058E-4</v>
      </c>
      <c r="DM100" s="5">
        <f t="shared" si="257"/>
        <v>1.5802844774273381E-3</v>
      </c>
      <c r="DO100" s="5">
        <f t="shared" si="203"/>
        <v>-1.9079214597220278</v>
      </c>
      <c r="DP100" s="5">
        <f t="shared" si="204"/>
        <v>-0.29295343676527091</v>
      </c>
      <c r="DQ100" s="5">
        <f t="shared" si="205"/>
        <v>-1.2917022253843653</v>
      </c>
      <c r="DR100" s="5">
        <f t="shared" si="206"/>
        <v>0.60228527619529781</v>
      </c>
      <c r="DS100" s="5">
        <f t="shared" si="207"/>
        <v>-0.18179147971962978</v>
      </c>
      <c r="DT100" s="5">
        <f t="shared" si="208"/>
        <v>1.2444775446344229</v>
      </c>
      <c r="DV100" t="str" cm="1">
        <f t="array" ref="DV100">_xlfn.IFS(DO100&gt;3,"Strong + Slope",DO100&gt;1.5,"Moderate + Slope",DO100&gt;0.5,"Sideway + Slope",DO100&gt;=-0.5,"Sideway Flat",DO100&gt;=-1.5,"Sideway - Slope",DO100&gt;=-3,"Moderate - Slope",TRUE,"Strong - Slope")</f>
        <v>Moderate - Slope</v>
      </c>
      <c r="DW100" t="str" cm="1">
        <f t="array" ref="DW100">_xlfn.IFS(DP100&gt;3,"Strong + Slope",DP100&gt;1.5,"Moderate + Slope",DP100&gt;0.5,"Sideway + Slope",DP100&gt;=-0.5,"Sideway Flat",DP100&gt;=-1.5,"Sideway - Slope",DP100&gt;=-3,"Moderate - Slope",TRUE,"Strong - Slope")</f>
        <v>Sideway Flat</v>
      </c>
      <c r="DX100" t="str" cm="1">
        <f t="array" ref="DX100">_xlfn.IFS(DQ100&gt;3,"Strong + Slope",DQ100&gt;1.5,"Moderate + Slope",DQ100&gt;0.5,"Sideway + Slope",DQ100&gt;=-0.5,"Sideway Flat",DQ100&gt;=-1.5,"Sideway - Slope",DQ100&gt;=-3,"Moderate - Slope",TRUE,"Strong - Slope")</f>
        <v>Sideway - Slope</v>
      </c>
      <c r="DY100" t="str" cm="1">
        <f t="array" ref="DY100">_xlfn.IFS(DR100&gt;3,"Strong + Slope",DR100&gt;1.5,"Moderate + Slope",DR100&gt;0.5,"Sideway + Slope",DR100&gt;=-0.5,"Sideway Flat",DR100&gt;=-1.5,"Sideway - Slope",DR100&gt;=-3,"Moderate - Slope",TRUE,"Strong - Slope")</f>
        <v>Sideway + Slope</v>
      </c>
      <c r="DZ100" t="str" cm="1">
        <f t="array" ref="DZ100">_xlfn.IFS(DS100&gt;3,"Strong + Slope",DS100&gt;1.5,"Moderate + Slope",DS100&gt;0.5,"Sideway + Slope",DS100&gt;=-0.5,"Sideway Flat",DS100&gt;=-1.5,"Sideway - Slope",DS100&gt;=-3,"Moderate - Slope",TRUE,"Strong - Slope")</f>
        <v>Sideway Flat</v>
      </c>
      <c r="EA100" t="str" cm="1">
        <f t="array" ref="EA100">_xlfn.IFS(DT100&gt;3,"Strong + Slope",DT100&gt;1.5,"Moderate + Slope",DT100&gt;0.5,"Sideway + Slope",DT100&gt;=-0.5,"Sideway Flat",DT100&gt;=-1.5,"Sideway - Slope",DT100&gt;=-3,"Moderate - Slope",TRUE,"Strong - Slope")</f>
        <v>Sideway + Slope</v>
      </c>
      <c r="EB100" s="5"/>
      <c r="EC100" s="5">
        <f t="shared" si="209"/>
        <v>4</v>
      </c>
      <c r="ED100" s="5">
        <f t="shared" si="210"/>
        <v>3</v>
      </c>
      <c r="EE100" s="5">
        <f t="shared" si="211"/>
        <v>1</v>
      </c>
      <c r="EF100" s="5">
        <f t="shared" si="212"/>
        <v>5</v>
      </c>
      <c r="EG100" s="5">
        <f t="shared" si="213"/>
        <v>6</v>
      </c>
      <c r="EH100" s="5">
        <f t="shared" si="214"/>
        <v>2</v>
      </c>
      <c r="EI100" s="5"/>
      <c r="EJ100" s="5" t="str">
        <f t="shared" si="215"/>
        <v>RES</v>
      </c>
      <c r="EK100" s="5" t="str">
        <f t="shared" si="216"/>
        <v>RES</v>
      </c>
      <c r="EL100" s="5" t="str">
        <f t="shared" si="217"/>
        <v>RES</v>
      </c>
      <c r="EM100" s="5" t="str">
        <f t="shared" si="218"/>
        <v>SUP</v>
      </c>
      <c r="EN100" s="5" t="str">
        <f t="shared" si="219"/>
        <v>SUP</v>
      </c>
      <c r="EO100" s="5" t="str">
        <f t="shared" si="220"/>
        <v>RES</v>
      </c>
      <c r="EP100" s="5"/>
      <c r="EQ100" s="8">
        <f t="shared" si="221"/>
        <v>5.6311467895905183E-4</v>
      </c>
      <c r="ER100" s="8">
        <f t="shared" si="222"/>
        <v>1.0083681460431133E-3</v>
      </c>
      <c r="ES100" s="8">
        <f t="shared" si="223"/>
        <v>2.5733031259412569E-3</v>
      </c>
      <c r="ET100" s="8">
        <f t="shared" si="224"/>
        <v>-5.8275821427167425E-4</v>
      </c>
      <c r="EU100" s="8">
        <f t="shared" si="225"/>
        <v>-9.2324615968897435E-4</v>
      </c>
      <c r="EV100" s="8">
        <f t="shared" si="226"/>
        <v>1.2833776404185249E-3</v>
      </c>
      <c r="EW100" s="8"/>
      <c r="EX100" s="8">
        <f t="shared" si="227"/>
        <v>0.26404494382025134</v>
      </c>
      <c r="EY100" s="9">
        <f t="shared" si="228"/>
        <v>4</v>
      </c>
      <c r="EZ100" s="10">
        <f t="shared" si="229"/>
        <v>2</v>
      </c>
      <c r="FA100" s="8">
        <f t="shared" si="258"/>
        <v>2.5733031259412569E-3</v>
      </c>
      <c r="FB100" s="8">
        <f t="shared" si="259"/>
        <v>1.2833776404185249E-3</v>
      </c>
      <c r="FC100" s="8">
        <f t="shared" si="260"/>
        <v>1.0083681460431133E-3</v>
      </c>
      <c r="FD100" s="8">
        <f t="shared" si="261"/>
        <v>5.6311467895905183E-4</v>
      </c>
      <c r="FE100" s="8">
        <f t="shared" si="262"/>
        <v>-5.8275821427167425E-4</v>
      </c>
      <c r="FF100" s="8">
        <f t="shared" si="263"/>
        <v>-9.2324615968897435E-4</v>
      </c>
      <c r="FG100" s="5"/>
      <c r="FH100" s="5" t="str">
        <f t="shared" si="230"/>
        <v>-----</v>
      </c>
      <c r="FI100" s="5" t="str">
        <f t="shared" si="264"/>
        <v>-----</v>
      </c>
      <c r="FJ100" s="5"/>
      <c r="FK100" s="5" t="str">
        <f t="shared" si="265"/>
        <v>-----</v>
      </c>
      <c r="FL100" s="5" t="str">
        <f t="shared" si="266"/>
        <v>-----</v>
      </c>
      <c r="FM100" s="5"/>
      <c r="FN100" s="5"/>
      <c r="FO100" s="8" t="str">
        <f t="shared" si="279"/>
        <v>Bearish</v>
      </c>
      <c r="FP100" s="8"/>
      <c r="FQ100" s="14">
        <f t="shared" si="231"/>
        <v>-4.2559878475176283E-4</v>
      </c>
      <c r="FR100" s="14">
        <f t="shared" si="232"/>
        <v>7.123604884391585E-2</v>
      </c>
      <c r="FS100" s="14" t="str">
        <f t="shared" si="233"/>
        <v>-----</v>
      </c>
      <c r="FT100" s="14" t="str">
        <f t="shared" si="234"/>
        <v>Bullish</v>
      </c>
      <c r="FU100" s="5" t="str">
        <f t="shared" si="267"/>
        <v>-----</v>
      </c>
      <c r="FV100" s="5" t="str">
        <f t="shared" si="268"/>
        <v>-----</v>
      </c>
      <c r="FW100" s="5"/>
      <c r="FX100" s="15" t="str">
        <f t="shared" ref="FX100:FX103" si="282">IF(FO100="Bearish","YES","-----")</f>
        <v>YES</v>
      </c>
      <c r="FY100" s="15" t="str">
        <f t="shared" ref="FY100:FY103" si="283">IF(FS100="Reverse to Bearish","YES","-----")</f>
        <v>-----</v>
      </c>
      <c r="FZ100" s="15" t="str">
        <f t="shared" ref="FZ100:FZ103" si="284">IF(AND(FT100="Bullish",FT99="Bullish",FT98="Bullish",FT97="Bullish"),"YES","-----")</f>
        <v>-----</v>
      </c>
      <c r="GA100" s="15" t="str">
        <f t="shared" ref="GA100:GA103" si="285">IF(OR(FV100="TEMA crossunder",FV99="TEMA crossunder",FV98="TEMA crossunder",FV97="TEMA crossunder"),"YES","-----")</f>
        <v>-----</v>
      </c>
      <c r="GB100" s="16" t="str">
        <f t="shared" si="274"/>
        <v>-----</v>
      </c>
      <c r="GC100" s="16" t="str">
        <f t="shared" si="275"/>
        <v>-----</v>
      </c>
      <c r="GD100" s="16" t="str">
        <f t="shared" si="276"/>
        <v>-----</v>
      </c>
      <c r="GE100" s="16" t="str">
        <f t="shared" si="278"/>
        <v>YES</v>
      </c>
      <c r="GF100" s="15" t="str">
        <f t="shared" si="277"/>
        <v>-----</v>
      </c>
      <c r="GG100" s="16" t="str">
        <f t="shared" ref="GG100:GG103" si="286">IF(AND(GB100="YES",GC100="YES",GD100="YES",GE100="YES"),"Open Buy / Close Sell","-----")</f>
        <v>-----</v>
      </c>
      <c r="GH100" s="14"/>
      <c r="GI100" s="5" t="str">
        <f t="shared" si="235"/>
        <v>Bullish Trigger</v>
      </c>
      <c r="GJ100" s="5" t="str">
        <f t="shared" si="236"/>
        <v>-----</v>
      </c>
      <c r="GK100" s="5"/>
      <c r="GL100" s="5" t="str">
        <f t="shared" si="237"/>
        <v>-----</v>
      </c>
      <c r="GM100" s="5" t="str">
        <f t="shared" si="238"/>
        <v>-----</v>
      </c>
      <c r="GN100" s="5"/>
      <c r="GO100" s="12">
        <f t="shared" si="239"/>
        <v>3.4999999999996589E-2</v>
      </c>
      <c r="GP100" s="5">
        <f t="shared" si="269"/>
        <v>-0.93981030747300232</v>
      </c>
      <c r="GQ100" s="13" t="str">
        <f t="shared" si="270"/>
        <v>-----</v>
      </c>
      <c r="GR100" s="5"/>
      <c r="GS100">
        <f t="shared" si="271"/>
        <v>-1.2418685876544449</v>
      </c>
      <c r="GT100" s="5" t="str">
        <f t="shared" si="272"/>
        <v>-----</v>
      </c>
    </row>
    <row r="101" spans="1:202" x14ac:dyDescent="0.55000000000000004">
      <c r="A101">
        <v>97</v>
      </c>
      <c r="B101" t="s">
        <v>100</v>
      </c>
      <c r="C101" t="s">
        <v>4</v>
      </c>
      <c r="D101" t="s">
        <v>103</v>
      </c>
      <c r="E101">
        <v>152.72200000000001</v>
      </c>
      <c r="F101">
        <v>152.72200000000001</v>
      </c>
      <c r="G101">
        <v>152.69200000000001</v>
      </c>
      <c r="H101">
        <v>152.69200000000001</v>
      </c>
      <c r="I101">
        <v>50</v>
      </c>
      <c r="J101">
        <v>152.80600000000001</v>
      </c>
      <c r="K101">
        <v>152.875</v>
      </c>
      <c r="L101">
        <v>153.113</v>
      </c>
      <c r="M101">
        <v>152.63399999999999</v>
      </c>
      <c r="N101">
        <v>152.58099999999999</v>
      </c>
      <c r="O101">
        <v>152.91999999999999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0.32292999999999999</v>
      </c>
      <c r="V101">
        <v>3</v>
      </c>
      <c r="W101">
        <v>152.99537000000001</v>
      </c>
      <c r="X101">
        <v>152.92214000000001</v>
      </c>
      <c r="Y101">
        <v>152.84890999999999</v>
      </c>
      <c r="Z101">
        <v>152.77566999999999</v>
      </c>
      <c r="AA101">
        <v>152.70244</v>
      </c>
      <c r="AB101">
        <v>152.66322</v>
      </c>
      <c r="AC101">
        <v>152.58998</v>
      </c>
      <c r="AD101">
        <v>152.51675</v>
      </c>
      <c r="AE101">
        <v>152.44351</v>
      </c>
      <c r="AF101">
        <v>152.37028000000001</v>
      </c>
      <c r="AG101">
        <v>152.69</v>
      </c>
      <c r="AH101">
        <v>152.66499999999999</v>
      </c>
      <c r="AI101">
        <v>152.72399999999999</v>
      </c>
      <c r="AJ101">
        <v>152.821</v>
      </c>
      <c r="AK101">
        <v>152.70500000000001</v>
      </c>
      <c r="AL101">
        <v>152.67400000000001</v>
      </c>
      <c r="AM101" s="11">
        <f t="shared" si="179"/>
        <v>3.0000000000001137E-2</v>
      </c>
      <c r="AN101" s="11">
        <f t="shared" si="240"/>
        <v>0</v>
      </c>
      <c r="AO101" s="11">
        <f t="shared" si="241"/>
        <v>3.0000000000001137E-2</v>
      </c>
      <c r="AP101" s="11">
        <f t="shared" si="242"/>
        <v>3.0000000000001137E-2</v>
      </c>
      <c r="AR101" s="5" t="str">
        <f t="shared" si="180"/>
        <v>------</v>
      </c>
      <c r="AS101" s="5" t="str">
        <f t="shared" si="181"/>
        <v>------</v>
      </c>
      <c r="AT101" t="str">
        <f t="shared" ref="AT101:AT103" si="287">IF(OR(AR101="Important High",AS101="Important High"),IF(T101=1,"Important High with Rejection",""),IF(OR(AR101="Important Low",AS101="Important Low"),IF(T101=1,"Important Low with Rejection",""),""))</f>
        <v/>
      </c>
      <c r="AV101" s="2">
        <f t="shared" si="183"/>
        <v>152.82892090000001</v>
      </c>
      <c r="AW101" s="2">
        <f t="shared" si="184"/>
        <v>152.78307910000001</v>
      </c>
      <c r="AX101" s="2">
        <f t="shared" si="185"/>
        <v>152.89793125000003</v>
      </c>
      <c r="AY101" s="2">
        <f t="shared" si="186"/>
        <v>152.85206875</v>
      </c>
      <c r="AZ101" s="2">
        <f t="shared" si="187"/>
        <v>153.13596695000001</v>
      </c>
      <c r="BA101" s="2">
        <f t="shared" si="188"/>
        <v>153.09003304999999</v>
      </c>
      <c r="BB101" s="2">
        <f t="shared" si="189"/>
        <v>152.65689510000001</v>
      </c>
      <c r="BC101" s="2">
        <f t="shared" si="190"/>
        <v>152.61110489999999</v>
      </c>
      <c r="BD101" s="2">
        <f t="shared" si="191"/>
        <v>152.60388714999999</v>
      </c>
      <c r="BE101" s="2">
        <f t="shared" si="192"/>
        <v>152.55811284999999</v>
      </c>
      <c r="BF101" s="2">
        <f t="shared" si="193"/>
        <v>152.942938</v>
      </c>
      <c r="BG101" s="2">
        <f t="shared" si="194"/>
        <v>152.89706199999998</v>
      </c>
      <c r="BI101" s="5" t="str">
        <f t="shared" si="243"/>
        <v>-----</v>
      </c>
      <c r="BJ101" s="5" t="str">
        <f t="shared" si="244"/>
        <v>-----</v>
      </c>
      <c r="BK101" s="5" t="str">
        <f t="shared" si="245"/>
        <v>-----</v>
      </c>
      <c r="BL101" s="5" t="str">
        <f t="shared" si="246"/>
        <v>-----</v>
      </c>
      <c r="BM101" s="5" t="str">
        <f t="shared" si="247"/>
        <v>-----</v>
      </c>
      <c r="BN101" s="5" t="str">
        <f t="shared" si="248"/>
        <v>-----</v>
      </c>
      <c r="BO101" s="5"/>
      <c r="BP101" s="5">
        <f t="shared" si="280"/>
        <v>33</v>
      </c>
      <c r="BQ101" s="5">
        <f t="shared" si="280"/>
        <v>33</v>
      </c>
      <c r="BR101" s="5">
        <f t="shared" si="280"/>
        <v>95</v>
      </c>
      <c r="BS101" s="5">
        <f t="shared" si="280"/>
        <v>2</v>
      </c>
      <c r="BT101" s="5">
        <f t="shared" si="280"/>
        <v>97</v>
      </c>
      <c r="BU101" s="5">
        <f t="shared" si="280"/>
        <v>33</v>
      </c>
      <c r="BV101" s="5">
        <f t="shared" si="281"/>
        <v>2</v>
      </c>
      <c r="BW101" s="5">
        <f t="shared" si="281"/>
        <v>2</v>
      </c>
      <c r="BX101" s="5">
        <f t="shared" si="281"/>
        <v>2</v>
      </c>
      <c r="BY101" s="5">
        <f t="shared" si="281"/>
        <v>7</v>
      </c>
      <c r="BZ101" s="5">
        <f t="shared" si="281"/>
        <v>0</v>
      </c>
      <c r="CA101" s="5">
        <f t="shared" si="281"/>
        <v>7</v>
      </c>
      <c r="CB101" s="5" t="str">
        <f t="shared" si="273"/>
        <v>-----</v>
      </c>
      <c r="CC101" s="5" t="str">
        <f t="shared" si="273"/>
        <v>-----</v>
      </c>
      <c r="CD101" s="5" t="str">
        <f t="shared" si="273"/>
        <v>-----</v>
      </c>
      <c r="CE101" s="5" t="str">
        <f t="shared" si="273"/>
        <v>-----</v>
      </c>
      <c r="CF101" s="5" t="str">
        <f t="shared" si="273"/>
        <v>-----</v>
      </c>
      <c r="CG101" s="5" t="str">
        <f t="shared" si="195"/>
        <v>-----</v>
      </c>
      <c r="CH101" s="5"/>
      <c r="CI101" s="17" t="str">
        <f t="shared" si="196"/>
        <v>-----</v>
      </c>
      <c r="CJ101" s="17" t="str">
        <f t="shared" si="197"/>
        <v>-----</v>
      </c>
      <c r="CK101" s="17" t="str">
        <f t="shared" si="198"/>
        <v>-----</v>
      </c>
      <c r="CL101" s="17" t="str">
        <f t="shared" si="199"/>
        <v>-----</v>
      </c>
      <c r="CM101" s="17" t="str">
        <f t="shared" si="200"/>
        <v>-----</v>
      </c>
      <c r="CN101" s="17" t="str">
        <f t="shared" si="201"/>
        <v>-----</v>
      </c>
      <c r="CO101" s="5"/>
      <c r="CP101" s="5" t="str">
        <f t="shared" si="177"/>
        <v>-----</v>
      </c>
      <c r="CQ101" s="5" t="str">
        <f t="shared" si="177"/>
        <v>-----</v>
      </c>
      <c r="CR101" s="5" t="str">
        <f t="shared" si="177"/>
        <v>-----</v>
      </c>
      <c r="CS101" s="5" t="str">
        <f t="shared" si="177"/>
        <v>-----</v>
      </c>
      <c r="CT101" s="5" t="str">
        <f t="shared" si="177"/>
        <v>-----</v>
      </c>
      <c r="CU101" s="5" t="str">
        <f t="shared" si="177"/>
        <v>-----</v>
      </c>
      <c r="CV101" s="5"/>
      <c r="CW101" s="17" t="str">
        <f t="shared" si="178"/>
        <v/>
      </c>
      <c r="CX101" s="17" t="str">
        <f t="shared" si="178"/>
        <v/>
      </c>
      <c r="CY101" s="17" t="str">
        <f t="shared" si="178"/>
        <v/>
      </c>
      <c r="CZ101" s="17" t="str">
        <f t="shared" si="178"/>
        <v/>
      </c>
      <c r="DA101" s="17" t="str">
        <f t="shared" si="178"/>
        <v/>
      </c>
      <c r="DB101" s="17" t="str">
        <f t="shared" si="178"/>
        <v/>
      </c>
      <c r="DC101" s="8"/>
      <c r="DD101" s="5">
        <f t="shared" si="202"/>
        <v>0</v>
      </c>
      <c r="DE101" s="17" t="str">
        <f t="shared" si="251"/>
        <v>-----</v>
      </c>
      <c r="DF101" s="5" t="str" cm="1">
        <f t="array" ref="DF101">_xlfn.IFS(DE101=CW101,CP101,DE101=CX101,CQ101,DE101=CY101,CR101,DE101=CZ101,CS101,DE101=DA101,CT101,DE101=DB101,CU101,TRUE,"----- ")</f>
        <v xml:space="preserve">----- </v>
      </c>
      <c r="DG101" s="5"/>
      <c r="DH101" s="5">
        <f t="shared" si="252"/>
        <v>-2.423265306122455E-3</v>
      </c>
      <c r="DI101" s="5">
        <f t="shared" si="253"/>
        <v>-3.7194805194805478E-4</v>
      </c>
      <c r="DJ101" s="5">
        <f t="shared" si="254"/>
        <v>-1.6402721088435472E-3</v>
      </c>
      <c r="DK101" s="5">
        <f t="shared" si="255"/>
        <v>7.6471243042669956E-4</v>
      </c>
      <c r="DL101" s="5">
        <f t="shared" si="256"/>
        <v>-2.3081014223875058E-4</v>
      </c>
      <c r="DM101" s="5">
        <f t="shared" si="257"/>
        <v>1.5802844774273381E-3</v>
      </c>
      <c r="DO101" s="5">
        <f t="shared" si="203"/>
        <v>-1.9079214597220278</v>
      </c>
      <c r="DP101" s="5">
        <f t="shared" si="204"/>
        <v>-0.29295343676527091</v>
      </c>
      <c r="DQ101" s="5">
        <f t="shared" si="205"/>
        <v>-1.2917022253843653</v>
      </c>
      <c r="DR101" s="5">
        <f t="shared" si="206"/>
        <v>0.60228527619529781</v>
      </c>
      <c r="DS101" s="5">
        <f t="shared" si="207"/>
        <v>-0.18179147971962978</v>
      </c>
      <c r="DT101" s="5">
        <f t="shared" si="208"/>
        <v>1.2444775446344229</v>
      </c>
      <c r="DV101" t="str" cm="1">
        <f t="array" ref="DV101">_xlfn.IFS(DO101&gt;3,"Strong + Slope",DO101&gt;1.5,"Moderate + Slope",DO101&gt;0.5,"Sideway + Slope",DO101&gt;=-0.5,"Sideway Flat",DO101&gt;=-1.5,"Sideway - Slope",DO101&gt;=-3,"Moderate - Slope",TRUE,"Strong - Slope")</f>
        <v>Moderate - Slope</v>
      </c>
      <c r="DW101" t="str" cm="1">
        <f t="array" ref="DW101">_xlfn.IFS(DP101&gt;3,"Strong + Slope",DP101&gt;1.5,"Moderate + Slope",DP101&gt;0.5,"Sideway + Slope",DP101&gt;=-0.5,"Sideway Flat",DP101&gt;=-1.5,"Sideway - Slope",DP101&gt;=-3,"Moderate - Slope",TRUE,"Strong - Slope")</f>
        <v>Sideway Flat</v>
      </c>
      <c r="DX101" t="str" cm="1">
        <f t="array" ref="DX101">_xlfn.IFS(DQ101&gt;3,"Strong + Slope",DQ101&gt;1.5,"Moderate + Slope",DQ101&gt;0.5,"Sideway + Slope",DQ101&gt;=-0.5,"Sideway Flat",DQ101&gt;=-1.5,"Sideway - Slope",DQ101&gt;=-3,"Moderate - Slope",TRUE,"Strong - Slope")</f>
        <v>Sideway - Slope</v>
      </c>
      <c r="DY101" t="str" cm="1">
        <f t="array" ref="DY101">_xlfn.IFS(DR101&gt;3,"Strong + Slope",DR101&gt;1.5,"Moderate + Slope",DR101&gt;0.5,"Sideway + Slope",DR101&gt;=-0.5,"Sideway Flat",DR101&gt;=-1.5,"Sideway - Slope",DR101&gt;=-3,"Moderate - Slope",TRUE,"Strong - Slope")</f>
        <v>Sideway + Slope</v>
      </c>
      <c r="DZ101" t="str" cm="1">
        <f t="array" ref="DZ101">_xlfn.IFS(DS101&gt;3,"Strong + Slope",DS101&gt;1.5,"Moderate + Slope",DS101&gt;0.5,"Sideway + Slope",DS101&gt;=-0.5,"Sideway Flat",DS101&gt;=-1.5,"Sideway - Slope",DS101&gt;=-3,"Moderate - Slope",TRUE,"Strong - Slope")</f>
        <v>Sideway Flat</v>
      </c>
      <c r="EA101" t="str" cm="1">
        <f t="array" ref="EA101">_xlfn.IFS(DT101&gt;3,"Strong + Slope",DT101&gt;1.5,"Moderate + Slope",DT101&gt;0.5,"Sideway + Slope",DT101&gt;=-0.5,"Sideway Flat",DT101&gt;=-1.5,"Sideway - Slope",DT101&gt;=-3,"Moderate - Slope",TRUE,"Strong - Slope")</f>
        <v>Sideway + Slope</v>
      </c>
      <c r="EB101" s="5"/>
      <c r="EC101" s="5">
        <f t="shared" si="209"/>
        <v>4</v>
      </c>
      <c r="ED101" s="5">
        <f t="shared" si="210"/>
        <v>3</v>
      </c>
      <c r="EE101" s="5">
        <f t="shared" si="211"/>
        <v>1</v>
      </c>
      <c r="EF101" s="5">
        <f t="shared" si="212"/>
        <v>5</v>
      </c>
      <c r="EG101" s="5">
        <f t="shared" si="213"/>
        <v>6</v>
      </c>
      <c r="EH101" s="5">
        <f t="shared" si="214"/>
        <v>2</v>
      </c>
      <c r="EI101" s="5"/>
      <c r="EJ101" s="5" t="str">
        <f t="shared" si="215"/>
        <v>RES</v>
      </c>
      <c r="EK101" s="5" t="str">
        <f t="shared" si="216"/>
        <v>RES</v>
      </c>
      <c r="EL101" s="5" t="str">
        <f t="shared" si="217"/>
        <v>RES</v>
      </c>
      <c r="EM101" s="5" t="str">
        <f t="shared" si="218"/>
        <v>SUP</v>
      </c>
      <c r="EN101" s="5" t="str">
        <f t="shared" si="219"/>
        <v>SUP</v>
      </c>
      <c r="EO101" s="5" t="str">
        <f t="shared" si="220"/>
        <v>RES</v>
      </c>
      <c r="EP101" s="5"/>
      <c r="EQ101" s="8">
        <f t="shared" si="221"/>
        <v>7.4660100070733442E-4</v>
      </c>
      <c r="ER101" s="8">
        <f t="shared" si="222"/>
        <v>1.1984910800827333E-3</v>
      </c>
      <c r="ES101" s="8">
        <f t="shared" si="223"/>
        <v>2.7571843973488606E-3</v>
      </c>
      <c r="ET101" s="8">
        <f t="shared" si="224"/>
        <v>-3.7984963193894337E-4</v>
      </c>
      <c r="EU101" s="8">
        <f t="shared" si="225"/>
        <v>-7.2695360595197134E-4</v>
      </c>
      <c r="EV101" s="8">
        <f t="shared" si="226"/>
        <v>1.4932020014144828E-3</v>
      </c>
      <c r="EW101" s="8"/>
      <c r="EX101" s="8">
        <f t="shared" si="227"/>
        <v>0.20864661654138381</v>
      </c>
      <c r="EY101" s="9">
        <f t="shared" si="228"/>
        <v>4</v>
      </c>
      <c r="EZ101" s="10">
        <f t="shared" si="229"/>
        <v>2</v>
      </c>
      <c r="FA101" s="8">
        <f t="shared" si="258"/>
        <v>2.7571843973488606E-3</v>
      </c>
      <c r="FB101" s="8">
        <f t="shared" si="259"/>
        <v>1.4932020014144828E-3</v>
      </c>
      <c r="FC101" s="8">
        <f t="shared" si="260"/>
        <v>1.1984910800827333E-3</v>
      </c>
      <c r="FD101" s="8">
        <f t="shared" si="261"/>
        <v>7.4660100070733442E-4</v>
      </c>
      <c r="FE101" s="8">
        <f t="shared" si="262"/>
        <v>-3.7984963193894337E-4</v>
      </c>
      <c r="FF101" s="8">
        <f t="shared" si="263"/>
        <v>-7.2695360595197134E-4</v>
      </c>
      <c r="FG101" s="5"/>
      <c r="FH101" s="5" t="str">
        <f t="shared" si="230"/>
        <v>-----</v>
      </c>
      <c r="FI101" s="5" t="str">
        <f t="shared" si="264"/>
        <v>-----</v>
      </c>
      <c r="FJ101" s="5"/>
      <c r="FK101" s="5" t="str">
        <f t="shared" si="265"/>
        <v>-----</v>
      </c>
      <c r="FL101" s="5" t="str">
        <f t="shared" si="266"/>
        <v>-----</v>
      </c>
      <c r="FM101" s="5"/>
      <c r="FN101" s="5"/>
      <c r="FO101" s="8" t="str">
        <f t="shared" si="279"/>
        <v>Bearish</v>
      </c>
      <c r="FP101" s="8"/>
      <c r="FQ101" s="14">
        <f t="shared" si="231"/>
        <v>-3.863178020481228E-4</v>
      </c>
      <c r="FR101" s="14">
        <f t="shared" si="232"/>
        <v>0.18452447609720862</v>
      </c>
      <c r="FS101" s="14" t="str">
        <f t="shared" si="233"/>
        <v>-----</v>
      </c>
      <c r="FT101" s="14" t="str">
        <f t="shared" si="234"/>
        <v>Bullish</v>
      </c>
      <c r="FU101" s="5" t="str">
        <f t="shared" si="267"/>
        <v>-----</v>
      </c>
      <c r="FV101" s="5" t="str">
        <f t="shared" si="268"/>
        <v>-----</v>
      </c>
      <c r="FW101" s="5"/>
      <c r="FX101" s="15" t="str">
        <f t="shared" si="282"/>
        <v>YES</v>
      </c>
      <c r="FY101" s="15" t="str">
        <f t="shared" si="283"/>
        <v>-----</v>
      </c>
      <c r="FZ101" s="15" t="str">
        <f t="shared" si="284"/>
        <v>-----</v>
      </c>
      <c r="GA101" s="15" t="str">
        <f t="shared" si="285"/>
        <v>-----</v>
      </c>
      <c r="GB101" s="16" t="str">
        <f t="shared" si="274"/>
        <v>-----</v>
      </c>
      <c r="GC101" s="16" t="str">
        <f t="shared" si="275"/>
        <v>-----</v>
      </c>
      <c r="GD101" s="16" t="str">
        <f t="shared" si="276"/>
        <v>-----</v>
      </c>
      <c r="GE101" s="16" t="str">
        <f t="shared" si="278"/>
        <v>-----</v>
      </c>
      <c r="GF101" s="15" t="str">
        <f t="shared" si="277"/>
        <v>-----</v>
      </c>
      <c r="GG101" s="16" t="str">
        <f t="shared" si="286"/>
        <v>-----</v>
      </c>
      <c r="GH101" s="14"/>
      <c r="GI101" s="5" t="str">
        <f t="shared" si="235"/>
        <v>-----</v>
      </c>
      <c r="GJ101" s="5" t="str">
        <f t="shared" si="236"/>
        <v>-----</v>
      </c>
      <c r="GK101" s="5"/>
      <c r="GL101" s="5" t="str">
        <f t="shared" si="237"/>
        <v>-----</v>
      </c>
      <c r="GM101" s="5" t="str">
        <f t="shared" si="238"/>
        <v>-----</v>
      </c>
      <c r="GN101" s="5"/>
      <c r="GO101" s="12">
        <f t="shared" si="239"/>
        <v>3.1000000000005912E-2</v>
      </c>
      <c r="GP101" s="5">
        <f t="shared" si="269"/>
        <v>-1.0319987845000993</v>
      </c>
      <c r="GQ101" s="13" t="str">
        <f t="shared" si="270"/>
        <v>-----</v>
      </c>
      <c r="GR101" s="5"/>
      <c r="GS101">
        <f t="shared" si="271"/>
        <v>-1.5387124648420547</v>
      </c>
      <c r="GT101" s="5" t="str">
        <f t="shared" si="272"/>
        <v>-----</v>
      </c>
    </row>
    <row r="102" spans="1:202" x14ac:dyDescent="0.55000000000000004">
      <c r="A102">
        <v>98</v>
      </c>
      <c r="B102" t="s">
        <v>101</v>
      </c>
      <c r="C102" t="s">
        <v>4</v>
      </c>
      <c r="D102" t="s">
        <v>103</v>
      </c>
      <c r="E102">
        <v>152.69200000000001</v>
      </c>
      <c r="F102">
        <v>152.72999999999999</v>
      </c>
      <c r="G102">
        <v>152.69200000000001</v>
      </c>
      <c r="H102">
        <v>152.727</v>
      </c>
      <c r="I102">
        <v>60</v>
      </c>
      <c r="J102">
        <v>152.803</v>
      </c>
      <c r="K102">
        <v>152.875</v>
      </c>
      <c r="L102">
        <v>153.11199999999999</v>
      </c>
      <c r="M102">
        <v>152.63399999999999</v>
      </c>
      <c r="N102">
        <v>152.58099999999999</v>
      </c>
      <c r="O102">
        <v>152.92099999999999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0.20213</v>
      </c>
      <c r="V102">
        <v>0</v>
      </c>
      <c r="W102">
        <v>152.99091000000001</v>
      </c>
      <c r="X102">
        <v>152.91801000000001</v>
      </c>
      <c r="Y102">
        <v>152.8451</v>
      </c>
      <c r="Z102">
        <v>152.7722</v>
      </c>
      <c r="AA102">
        <v>152.69929999999999</v>
      </c>
      <c r="AB102">
        <v>152.66060999999999</v>
      </c>
      <c r="AC102">
        <v>152.58770999999999</v>
      </c>
      <c r="AD102">
        <v>152.51481000000001</v>
      </c>
      <c r="AE102">
        <v>152.44191000000001</v>
      </c>
      <c r="AF102">
        <v>152.36901</v>
      </c>
      <c r="AG102">
        <v>152.70500000000001</v>
      </c>
      <c r="AH102">
        <v>152.67099999999999</v>
      </c>
      <c r="AI102">
        <v>152.72300000000001</v>
      </c>
      <c r="AJ102">
        <v>152.81800000000001</v>
      </c>
      <c r="AK102">
        <v>152.71799999999999</v>
      </c>
      <c r="AL102">
        <v>152.68600000000001</v>
      </c>
      <c r="AM102" s="11">
        <f t="shared" si="179"/>
        <v>3.7999999999982492E-2</v>
      </c>
      <c r="AN102" s="11">
        <f t="shared" si="240"/>
        <v>3.7999999999982492E-2</v>
      </c>
      <c r="AO102" s="11">
        <f t="shared" si="241"/>
        <v>0</v>
      </c>
      <c r="AP102" s="11">
        <f t="shared" ref="AP102:AP103" si="288">MAX(AM102:AO102)</f>
        <v>3.7999999999982492E-2</v>
      </c>
      <c r="AR102" s="5" t="str">
        <f t="shared" si="180"/>
        <v>------</v>
      </c>
      <c r="AS102" s="5" t="str">
        <f t="shared" si="181"/>
        <v>------</v>
      </c>
      <c r="AT102" t="str">
        <f t="shared" si="287"/>
        <v/>
      </c>
      <c r="AV102" s="2">
        <f t="shared" si="183"/>
        <v>152.82592045000001</v>
      </c>
      <c r="AW102" s="2">
        <f t="shared" si="184"/>
        <v>152.78007955000001</v>
      </c>
      <c r="AX102" s="2">
        <f t="shared" si="185"/>
        <v>152.89793125000003</v>
      </c>
      <c r="AY102" s="2">
        <f t="shared" si="186"/>
        <v>152.85206875</v>
      </c>
      <c r="AZ102" s="2">
        <f t="shared" si="187"/>
        <v>153.1349668</v>
      </c>
      <c r="BA102" s="2">
        <f t="shared" si="188"/>
        <v>153.08903319999999</v>
      </c>
      <c r="BB102" s="2">
        <f t="shared" si="189"/>
        <v>152.65689510000001</v>
      </c>
      <c r="BC102" s="2">
        <f t="shared" si="190"/>
        <v>152.61110489999999</v>
      </c>
      <c r="BD102" s="2">
        <f t="shared" si="191"/>
        <v>152.60388714999999</v>
      </c>
      <c r="BE102" s="2">
        <f t="shared" si="192"/>
        <v>152.55811284999999</v>
      </c>
      <c r="BF102" s="2">
        <f t="shared" si="193"/>
        <v>152.94393815000001</v>
      </c>
      <c r="BG102" s="2">
        <f t="shared" si="194"/>
        <v>152.89806185</v>
      </c>
      <c r="BI102" s="5" t="str">
        <f t="shared" si="243"/>
        <v>-----</v>
      </c>
      <c r="BJ102" s="5" t="str">
        <f t="shared" si="244"/>
        <v>-----</v>
      </c>
      <c r="BK102" s="5" t="str">
        <f t="shared" si="245"/>
        <v>-----</v>
      </c>
      <c r="BL102" s="5" t="str">
        <f t="shared" si="246"/>
        <v>-----</v>
      </c>
      <c r="BM102" s="5" t="str">
        <f t="shared" si="247"/>
        <v>-----</v>
      </c>
      <c r="BN102" s="5" t="str">
        <f t="shared" si="248"/>
        <v>-----</v>
      </c>
      <c r="BO102" s="5"/>
      <c r="BP102" s="5">
        <f t="shared" ref="BP102:BU103" si="289">IF(BI102="TOUCH",0,BP101+1)</f>
        <v>34</v>
      </c>
      <c r="BQ102" s="5">
        <f t="shared" si="289"/>
        <v>34</v>
      </c>
      <c r="BR102" s="5">
        <f t="shared" si="289"/>
        <v>96</v>
      </c>
      <c r="BS102" s="5">
        <f t="shared" si="289"/>
        <v>3</v>
      </c>
      <c r="BT102" s="5">
        <f t="shared" si="289"/>
        <v>98</v>
      </c>
      <c r="BU102" s="5">
        <f t="shared" si="289"/>
        <v>34</v>
      </c>
      <c r="BV102" s="5">
        <f t="shared" ref="BV102:CA103" si="290">IF(BI102="TOUCH",IF(BP101&gt;=3,1,BV101+1),BV101)</f>
        <v>2</v>
      </c>
      <c r="BW102" s="5">
        <f t="shared" si="290"/>
        <v>2</v>
      </c>
      <c r="BX102" s="5">
        <f t="shared" si="290"/>
        <v>2</v>
      </c>
      <c r="BY102" s="5">
        <f t="shared" si="290"/>
        <v>7</v>
      </c>
      <c r="BZ102" s="5">
        <f t="shared" si="290"/>
        <v>0</v>
      </c>
      <c r="CA102" s="5">
        <f t="shared" si="290"/>
        <v>7</v>
      </c>
      <c r="CB102" s="5" t="str">
        <f t="shared" si="273"/>
        <v>-----</v>
      </c>
      <c r="CC102" s="5" t="str">
        <f t="shared" si="273"/>
        <v>-----</v>
      </c>
      <c r="CD102" s="5" t="str">
        <f t="shared" si="273"/>
        <v>-----</v>
      </c>
      <c r="CE102" s="5" t="str">
        <f t="shared" si="273"/>
        <v>-----</v>
      </c>
      <c r="CF102" s="5" t="str">
        <f t="shared" si="273"/>
        <v>-----</v>
      </c>
      <c r="CG102" s="5" t="str">
        <f t="shared" si="195"/>
        <v>-----</v>
      </c>
      <c r="CH102" s="5"/>
      <c r="CI102" s="17" t="str">
        <f t="shared" si="196"/>
        <v>-----</v>
      </c>
      <c r="CJ102" s="17" t="str">
        <f t="shared" si="197"/>
        <v>-----</v>
      </c>
      <c r="CK102" s="17" t="str">
        <f t="shared" si="198"/>
        <v>-----</v>
      </c>
      <c r="CL102" s="17" t="str">
        <f t="shared" si="199"/>
        <v>-----</v>
      </c>
      <c r="CM102" s="17" t="str">
        <f t="shared" si="200"/>
        <v>-----</v>
      </c>
      <c r="CN102" s="17" t="str">
        <f t="shared" si="201"/>
        <v>-----</v>
      </c>
      <c r="CO102" s="5"/>
      <c r="CP102" s="5" t="str">
        <f t="shared" si="177"/>
        <v>-----</v>
      </c>
      <c r="CQ102" s="5" t="str">
        <f t="shared" si="177"/>
        <v>-----</v>
      </c>
      <c r="CR102" s="5" t="str">
        <f t="shared" si="177"/>
        <v>-----</v>
      </c>
      <c r="CS102" s="5" t="str">
        <f t="shared" si="177"/>
        <v>-----</v>
      </c>
      <c r="CT102" s="5" t="str">
        <f t="shared" si="177"/>
        <v>-----</v>
      </c>
      <c r="CU102" s="5" t="str">
        <f t="shared" si="177"/>
        <v>-----</v>
      </c>
      <c r="CV102" s="5"/>
      <c r="CW102" s="17" t="str">
        <f t="shared" si="178"/>
        <v/>
      </c>
      <c r="CX102" s="17" t="str">
        <f t="shared" si="178"/>
        <v/>
      </c>
      <c r="CY102" s="17" t="str">
        <f t="shared" si="178"/>
        <v/>
      </c>
      <c r="CZ102" s="17" t="str">
        <f t="shared" si="178"/>
        <v/>
      </c>
      <c r="DA102" s="17" t="str">
        <f t="shared" si="178"/>
        <v/>
      </c>
      <c r="DB102" s="17" t="str">
        <f t="shared" si="178"/>
        <v/>
      </c>
      <c r="DC102" s="8"/>
      <c r="DD102" s="5">
        <f t="shared" si="202"/>
        <v>0</v>
      </c>
      <c r="DE102" s="17" t="str">
        <f t="shared" si="251"/>
        <v>-----</v>
      </c>
      <c r="DF102" s="5" t="str" cm="1">
        <f t="array" ref="DF102">_xlfn.IFS(DE102=CW102,CP102,DE102=CX102,CQ102,DE102=CY102,CR102,DE102=CZ102,CS102,DE102=DA102,CT102,DE102=DB102,CU102,TRUE,"----- ")</f>
        <v xml:space="preserve">----- </v>
      </c>
      <c r="DG102" s="5"/>
      <c r="DH102" s="5">
        <f t="shared" si="252"/>
        <v>-2.423265306122455E-3</v>
      </c>
      <c r="DI102" s="5">
        <f t="shared" si="253"/>
        <v>-3.7194805194805478E-4</v>
      </c>
      <c r="DJ102" s="5">
        <f t="shared" si="254"/>
        <v>-1.6402721088435472E-3</v>
      </c>
      <c r="DK102" s="5">
        <f t="shared" si="255"/>
        <v>7.6471243042669956E-4</v>
      </c>
      <c r="DL102" s="5">
        <f t="shared" si="256"/>
        <v>-2.3081014223875058E-4</v>
      </c>
      <c r="DM102" s="5">
        <f t="shared" si="257"/>
        <v>1.5802844774273381E-3</v>
      </c>
      <c r="DO102" s="5">
        <f t="shared" si="203"/>
        <v>-1.9079214597220278</v>
      </c>
      <c r="DP102" s="5">
        <f t="shared" si="204"/>
        <v>-0.29295343676527091</v>
      </c>
      <c r="DQ102" s="5">
        <f t="shared" si="205"/>
        <v>-1.2917022253843653</v>
      </c>
      <c r="DR102" s="5">
        <f t="shared" si="206"/>
        <v>0.60228527619529781</v>
      </c>
      <c r="DS102" s="5">
        <f t="shared" si="207"/>
        <v>-0.18179147971962978</v>
      </c>
      <c r="DT102" s="5">
        <f t="shared" si="208"/>
        <v>1.2444775446344229</v>
      </c>
      <c r="DV102" t="str" cm="1">
        <f t="array" ref="DV102">_xlfn.IFS(DO102&gt;3,"Strong + Slope",DO102&gt;1.5,"Moderate + Slope",DO102&gt;0.5,"Sideway + Slope",DO102&gt;=-0.5,"Sideway Flat",DO102&gt;=-1.5,"Sideway - Slope",DO102&gt;=-3,"Moderate - Slope",TRUE,"Strong - Slope")</f>
        <v>Moderate - Slope</v>
      </c>
      <c r="DW102" t="str" cm="1">
        <f t="array" ref="DW102">_xlfn.IFS(DP102&gt;3,"Strong + Slope",DP102&gt;1.5,"Moderate + Slope",DP102&gt;0.5,"Sideway + Slope",DP102&gt;=-0.5,"Sideway Flat",DP102&gt;=-1.5,"Sideway - Slope",DP102&gt;=-3,"Moderate - Slope",TRUE,"Strong - Slope")</f>
        <v>Sideway Flat</v>
      </c>
      <c r="DX102" t="str" cm="1">
        <f t="array" ref="DX102">_xlfn.IFS(DQ102&gt;3,"Strong + Slope",DQ102&gt;1.5,"Moderate + Slope",DQ102&gt;0.5,"Sideway + Slope",DQ102&gt;=-0.5,"Sideway Flat",DQ102&gt;=-1.5,"Sideway - Slope",DQ102&gt;=-3,"Moderate - Slope",TRUE,"Strong - Slope")</f>
        <v>Sideway - Slope</v>
      </c>
      <c r="DY102" t="str" cm="1">
        <f t="array" ref="DY102">_xlfn.IFS(DR102&gt;3,"Strong + Slope",DR102&gt;1.5,"Moderate + Slope",DR102&gt;0.5,"Sideway + Slope",DR102&gt;=-0.5,"Sideway Flat",DR102&gt;=-1.5,"Sideway - Slope",DR102&gt;=-3,"Moderate - Slope",TRUE,"Strong - Slope")</f>
        <v>Sideway + Slope</v>
      </c>
      <c r="DZ102" t="str" cm="1">
        <f t="array" ref="DZ102">_xlfn.IFS(DS102&gt;3,"Strong + Slope",DS102&gt;1.5,"Moderate + Slope",DS102&gt;0.5,"Sideway + Slope",DS102&gt;=-0.5,"Sideway Flat",DS102&gt;=-1.5,"Sideway - Slope",DS102&gt;=-3,"Moderate - Slope",TRUE,"Strong - Slope")</f>
        <v>Sideway Flat</v>
      </c>
      <c r="EA102" t="str" cm="1">
        <f t="array" ref="EA102">_xlfn.IFS(DT102&gt;3,"Strong + Slope",DT102&gt;1.5,"Moderate + Slope",DT102&gt;0.5,"Sideway + Slope",DT102&gt;=-0.5,"Sideway Flat",DT102&gt;=-1.5,"Sideway - Slope",DT102&gt;=-3,"Moderate - Slope",TRUE,"Strong - Slope")</f>
        <v>Sideway + Slope</v>
      </c>
      <c r="EB102" s="5"/>
      <c r="EC102" s="5">
        <f t="shared" si="209"/>
        <v>4</v>
      </c>
      <c r="ED102" s="5">
        <f t="shared" si="210"/>
        <v>3</v>
      </c>
      <c r="EE102" s="5">
        <f t="shared" si="211"/>
        <v>1</v>
      </c>
      <c r="EF102" s="5">
        <f t="shared" si="212"/>
        <v>5</v>
      </c>
      <c r="EG102" s="5">
        <f t="shared" si="213"/>
        <v>6</v>
      </c>
      <c r="EH102" s="5">
        <f t="shared" si="214"/>
        <v>2</v>
      </c>
      <c r="EI102" s="5"/>
      <c r="EJ102" s="5" t="str">
        <f t="shared" si="215"/>
        <v>RES</v>
      </c>
      <c r="EK102" s="5" t="str">
        <f t="shared" si="216"/>
        <v>RES</v>
      </c>
      <c r="EL102" s="5" t="str">
        <f t="shared" si="217"/>
        <v>RES</v>
      </c>
      <c r="EM102" s="5" t="str">
        <f t="shared" si="218"/>
        <v>SUP</v>
      </c>
      <c r="EN102" s="5" t="str">
        <f t="shared" si="219"/>
        <v>SUP</v>
      </c>
      <c r="EO102" s="5" t="str">
        <f t="shared" si="220"/>
        <v>RES</v>
      </c>
      <c r="EP102" s="5"/>
      <c r="EQ102" s="8">
        <f t="shared" si="221"/>
        <v>4.9761993622603337E-4</v>
      </c>
      <c r="ER102" s="8">
        <f t="shared" si="222"/>
        <v>9.6904934949286069E-4</v>
      </c>
      <c r="ES102" s="8">
        <f t="shared" si="223"/>
        <v>2.5208378348294072E-3</v>
      </c>
      <c r="ET102" s="8">
        <f t="shared" si="224"/>
        <v>-6.089296588030783E-4</v>
      </c>
      <c r="EU102" s="8">
        <f t="shared" si="225"/>
        <v>-9.5595408801335069E-4</v>
      </c>
      <c r="EV102" s="8">
        <f t="shared" si="226"/>
        <v>1.2702403635243826E-3</v>
      </c>
      <c r="EW102" s="8"/>
      <c r="EX102" s="8">
        <f t="shared" si="227"/>
        <v>0.27495291902074082</v>
      </c>
      <c r="EY102" s="9">
        <f t="shared" si="228"/>
        <v>4</v>
      </c>
      <c r="EZ102" s="10">
        <f t="shared" si="229"/>
        <v>2</v>
      </c>
      <c r="FA102" s="8">
        <f t="shared" si="258"/>
        <v>2.5208378348294072E-3</v>
      </c>
      <c r="FB102" s="8">
        <f t="shared" si="259"/>
        <v>1.2702403635243826E-3</v>
      </c>
      <c r="FC102" s="8">
        <f t="shared" si="260"/>
        <v>9.6904934949286069E-4</v>
      </c>
      <c r="FD102" s="8">
        <f t="shared" si="261"/>
        <v>4.9761993622603337E-4</v>
      </c>
      <c r="FE102" s="8">
        <f t="shared" si="262"/>
        <v>-6.089296588030783E-4</v>
      </c>
      <c r="FF102" s="8">
        <f t="shared" si="263"/>
        <v>-9.5595408801335069E-4</v>
      </c>
      <c r="FG102" s="5"/>
      <c r="FH102" s="5" t="str">
        <f t="shared" si="230"/>
        <v>Flat Momentum</v>
      </c>
      <c r="FI102" s="5" t="str">
        <f t="shared" si="264"/>
        <v>-----</v>
      </c>
      <c r="FJ102" s="5"/>
      <c r="FK102" s="5" t="str">
        <f t="shared" si="265"/>
        <v>-----</v>
      </c>
      <c r="FL102" s="5" t="str">
        <f t="shared" si="266"/>
        <v>-----</v>
      </c>
      <c r="FM102" s="5"/>
      <c r="FN102" s="5"/>
      <c r="FO102" s="8" t="str">
        <f t="shared" si="279"/>
        <v>Bearish</v>
      </c>
      <c r="FP102" s="8"/>
      <c r="FQ102" s="14">
        <f t="shared" si="231"/>
        <v>-3.4048571596957179E-4</v>
      </c>
      <c r="FR102" s="14">
        <f t="shared" si="232"/>
        <v>0.31670663123192305</v>
      </c>
      <c r="FS102" s="14" t="str">
        <f t="shared" si="233"/>
        <v>-----</v>
      </c>
      <c r="FT102" s="14" t="str">
        <f t="shared" si="234"/>
        <v>Bullish</v>
      </c>
      <c r="FU102" s="5" t="str">
        <f t="shared" si="267"/>
        <v>-----</v>
      </c>
      <c r="FV102" s="5" t="str">
        <f t="shared" si="268"/>
        <v>-----</v>
      </c>
      <c r="FW102" s="5"/>
      <c r="FX102" s="15" t="str">
        <f t="shared" si="282"/>
        <v>YES</v>
      </c>
      <c r="FY102" s="15" t="str">
        <f t="shared" si="283"/>
        <v>-----</v>
      </c>
      <c r="FZ102" s="15" t="str">
        <f t="shared" si="284"/>
        <v>-----</v>
      </c>
      <c r="GA102" s="15" t="str">
        <f t="shared" si="285"/>
        <v>-----</v>
      </c>
      <c r="GB102" s="16" t="str">
        <f t="shared" si="274"/>
        <v>-----</v>
      </c>
      <c r="GC102" s="16" t="str">
        <f t="shared" si="275"/>
        <v>-----</v>
      </c>
      <c r="GD102" s="16" t="str">
        <f t="shared" si="276"/>
        <v>-----</v>
      </c>
      <c r="GE102" s="16" t="str">
        <f t="shared" si="278"/>
        <v>-----</v>
      </c>
      <c r="GF102" s="15" t="str">
        <f t="shared" si="277"/>
        <v>-----</v>
      </c>
      <c r="GG102" s="16" t="str">
        <f t="shared" si="286"/>
        <v>-----</v>
      </c>
      <c r="GH102" s="14"/>
      <c r="GI102" s="5" t="str">
        <f t="shared" si="235"/>
        <v>Bullish Trigger</v>
      </c>
      <c r="GJ102" s="5" t="str">
        <f t="shared" si="236"/>
        <v>-----</v>
      </c>
      <c r="GK102" s="5"/>
      <c r="GL102" s="5" t="str">
        <f t="shared" si="237"/>
        <v>-----</v>
      </c>
      <c r="GM102" s="5" t="str">
        <f t="shared" si="238"/>
        <v>-----</v>
      </c>
      <c r="GN102" s="5"/>
      <c r="GO102" s="12">
        <f t="shared" si="239"/>
        <v>3.1999999999982265E-2</v>
      </c>
      <c r="GP102" s="5">
        <f t="shared" si="269"/>
        <v>-1.0089516652438164</v>
      </c>
      <c r="GQ102" s="13" t="str">
        <f t="shared" si="270"/>
        <v>-----</v>
      </c>
      <c r="GR102" s="5"/>
      <c r="GS102">
        <f t="shared" si="271"/>
        <v>-1.4741811871925743</v>
      </c>
      <c r="GT102" s="5" t="str">
        <f t="shared" si="272"/>
        <v>-----</v>
      </c>
    </row>
    <row r="103" spans="1:202" x14ac:dyDescent="0.55000000000000004">
      <c r="A103">
        <v>99</v>
      </c>
      <c r="B103" t="s">
        <v>102</v>
      </c>
      <c r="C103" t="s">
        <v>4</v>
      </c>
      <c r="D103" t="s">
        <v>103</v>
      </c>
      <c r="E103">
        <v>152.721</v>
      </c>
      <c r="F103">
        <v>152.72499999999999</v>
      </c>
      <c r="G103">
        <v>152.703</v>
      </c>
      <c r="H103">
        <v>152.71199999999999</v>
      </c>
      <c r="I103">
        <v>94</v>
      </c>
      <c r="J103">
        <v>152.80099999999999</v>
      </c>
      <c r="K103">
        <v>152.875</v>
      </c>
      <c r="L103">
        <v>153.11000000000001</v>
      </c>
      <c r="M103">
        <v>152.63499999999999</v>
      </c>
      <c r="N103">
        <v>152.58000000000001</v>
      </c>
      <c r="O103">
        <v>152.923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0.82818000000000003</v>
      </c>
      <c r="V103">
        <v>3</v>
      </c>
      <c r="W103">
        <v>152.98724999999999</v>
      </c>
      <c r="X103">
        <v>152.91464999999999</v>
      </c>
      <c r="Y103">
        <v>152.84205</v>
      </c>
      <c r="Z103">
        <v>152.76945000000001</v>
      </c>
      <c r="AA103">
        <v>152.69685000000001</v>
      </c>
      <c r="AB103">
        <v>152.65907000000001</v>
      </c>
      <c r="AC103">
        <v>152.58646999999999</v>
      </c>
      <c r="AD103">
        <v>152.51387</v>
      </c>
      <c r="AE103">
        <v>152.44127</v>
      </c>
      <c r="AF103">
        <v>152.36867000000001</v>
      </c>
      <c r="AG103">
        <v>152.71299999999999</v>
      </c>
      <c r="AH103">
        <v>152.678</v>
      </c>
      <c r="AI103">
        <v>152.72300000000001</v>
      </c>
      <c r="AJ103">
        <v>152.815</v>
      </c>
      <c r="AK103">
        <v>152.72399999999999</v>
      </c>
      <c r="AL103">
        <v>152.69800000000001</v>
      </c>
      <c r="AM103" s="11">
        <f t="shared" si="179"/>
        <v>2.199999999999136E-2</v>
      </c>
      <c r="AN103" s="11">
        <f t="shared" si="240"/>
        <v>2.0000000000095497E-3</v>
      </c>
      <c r="AO103" s="11">
        <f t="shared" si="241"/>
        <v>2.4000000000000909E-2</v>
      </c>
      <c r="AP103" s="11">
        <f t="shared" si="288"/>
        <v>2.4000000000000909E-2</v>
      </c>
      <c r="AR103" s="5" t="str">
        <f t="shared" si="180"/>
        <v>------</v>
      </c>
      <c r="AS103" s="5" t="str">
        <f t="shared" si="181"/>
        <v>------</v>
      </c>
      <c r="AT103" t="str">
        <f t="shared" si="287"/>
        <v/>
      </c>
      <c r="AV103" s="2">
        <f t="shared" si="183"/>
        <v>152.82392014999999</v>
      </c>
      <c r="AW103" s="2">
        <f t="shared" si="184"/>
        <v>152.77807984999998</v>
      </c>
      <c r="AX103" s="2">
        <f t="shared" si="185"/>
        <v>152.89793125000003</v>
      </c>
      <c r="AY103" s="2">
        <f t="shared" si="186"/>
        <v>152.85206875</v>
      </c>
      <c r="AZ103" s="2">
        <f t="shared" si="187"/>
        <v>153.13296650000004</v>
      </c>
      <c r="BA103" s="2">
        <f t="shared" si="188"/>
        <v>153.08703350000002</v>
      </c>
      <c r="BB103" s="2">
        <f t="shared" si="189"/>
        <v>152.65789525</v>
      </c>
      <c r="BC103" s="2">
        <f t="shared" si="190"/>
        <v>152.61210474999999</v>
      </c>
      <c r="BD103" s="2">
        <f t="shared" si="191"/>
        <v>152.60288700000004</v>
      </c>
      <c r="BE103" s="2">
        <f t="shared" si="192"/>
        <v>152.55711300000002</v>
      </c>
      <c r="BF103" s="2">
        <f t="shared" si="193"/>
        <v>152.94593845000003</v>
      </c>
      <c r="BG103" s="2">
        <f t="shared" si="194"/>
        <v>152.90006155</v>
      </c>
      <c r="BI103" s="5" t="str">
        <f t="shared" si="243"/>
        <v>-----</v>
      </c>
      <c r="BJ103" s="5" t="str">
        <f t="shared" si="244"/>
        <v>-----</v>
      </c>
      <c r="BK103" s="5" t="str">
        <f t="shared" si="245"/>
        <v>-----</v>
      </c>
      <c r="BL103" s="5" t="str">
        <f t="shared" si="246"/>
        <v>-----</v>
      </c>
      <c r="BM103" s="5" t="str">
        <f t="shared" si="247"/>
        <v>-----</v>
      </c>
      <c r="BN103" s="5" t="str">
        <f t="shared" si="248"/>
        <v>-----</v>
      </c>
      <c r="BO103" s="5"/>
      <c r="BP103" s="5">
        <f t="shared" si="289"/>
        <v>35</v>
      </c>
      <c r="BQ103" s="5">
        <f t="shared" si="289"/>
        <v>35</v>
      </c>
      <c r="BR103" s="5">
        <f t="shared" si="289"/>
        <v>97</v>
      </c>
      <c r="BS103" s="5">
        <f t="shared" si="289"/>
        <v>4</v>
      </c>
      <c r="BT103" s="5">
        <f t="shared" si="289"/>
        <v>99</v>
      </c>
      <c r="BU103" s="5">
        <f t="shared" si="289"/>
        <v>35</v>
      </c>
      <c r="BV103" s="5">
        <f t="shared" si="290"/>
        <v>2</v>
      </c>
      <c r="BW103" s="5">
        <f t="shared" si="290"/>
        <v>2</v>
      </c>
      <c r="BX103" s="5">
        <f t="shared" si="290"/>
        <v>2</v>
      </c>
      <c r="BY103" s="5">
        <f t="shared" si="290"/>
        <v>7</v>
      </c>
      <c r="BZ103" s="5">
        <f t="shared" si="290"/>
        <v>0</v>
      </c>
      <c r="CA103" s="5">
        <f t="shared" si="290"/>
        <v>7</v>
      </c>
      <c r="CB103" s="5" t="str">
        <f t="shared" si="273"/>
        <v>-----</v>
      </c>
      <c r="CC103" s="5" t="str">
        <f t="shared" si="273"/>
        <v>-----</v>
      </c>
      <c r="CD103" s="5" t="str">
        <f t="shared" si="273"/>
        <v>-----</v>
      </c>
      <c r="CE103" s="5" t="str">
        <f t="shared" si="273"/>
        <v>-----</v>
      </c>
      <c r="CF103" s="5" t="str">
        <f t="shared" si="273"/>
        <v>-----</v>
      </c>
      <c r="CG103" s="5" t="str">
        <f t="shared" si="195"/>
        <v>-----</v>
      </c>
      <c r="CH103" s="5"/>
      <c r="CI103" s="17" t="str">
        <f t="shared" si="196"/>
        <v>-----</v>
      </c>
      <c r="CJ103" s="17" t="str">
        <f t="shared" si="197"/>
        <v>-----</v>
      </c>
      <c r="CK103" s="17" t="str">
        <f t="shared" si="198"/>
        <v>-----</v>
      </c>
      <c r="CL103" s="17" t="str">
        <f t="shared" si="199"/>
        <v>-----</v>
      </c>
      <c r="CM103" s="17" t="str">
        <f t="shared" si="200"/>
        <v>-----</v>
      </c>
      <c r="CN103" s="17" t="str">
        <f t="shared" si="201"/>
        <v>-----</v>
      </c>
      <c r="CO103" s="5"/>
      <c r="CP103" s="5" t="str">
        <f t="shared" si="177"/>
        <v>-----</v>
      </c>
      <c r="CQ103" s="5" t="str">
        <f t="shared" si="177"/>
        <v>-----</v>
      </c>
      <c r="CR103" s="5" t="str">
        <f t="shared" si="177"/>
        <v>-----</v>
      </c>
      <c r="CS103" s="5" t="str">
        <f t="shared" ref="CS103:CU103" si="291">IF(CL103="-----","-----",IF(CL103&gt;0%,"Support","Resistant"))</f>
        <v>-----</v>
      </c>
      <c r="CT103" s="5" t="str">
        <f t="shared" si="291"/>
        <v>-----</v>
      </c>
      <c r="CU103" s="5" t="str">
        <f t="shared" si="291"/>
        <v>-----</v>
      </c>
      <c r="CV103" s="5"/>
      <c r="CW103" s="17" t="str">
        <f t="shared" si="178"/>
        <v/>
      </c>
      <c r="CX103" s="17" t="str">
        <f t="shared" si="178"/>
        <v/>
      </c>
      <c r="CY103" s="17" t="str">
        <f t="shared" si="178"/>
        <v/>
      </c>
      <c r="CZ103" s="17" t="str">
        <f t="shared" ref="CZ103:DB103" si="292">IF(CL103="-----","",ABS(CL103))</f>
        <v/>
      </c>
      <c r="DA103" s="17" t="str">
        <f t="shared" si="292"/>
        <v/>
      </c>
      <c r="DB103" s="17" t="str">
        <f t="shared" si="292"/>
        <v/>
      </c>
      <c r="DC103" s="8"/>
      <c r="DD103" s="5">
        <f t="shared" si="202"/>
        <v>0</v>
      </c>
      <c r="DE103" s="17" t="str">
        <f t="shared" si="251"/>
        <v>-----</v>
      </c>
      <c r="DF103" s="5" t="str" cm="1">
        <f t="array" ref="DF103">_xlfn.IFS(DE103=CW103,CP103,DE103=CX103,CQ103,DE103=CY103,CR103,DE103=CZ103,CS103,DE103=DA103,CT103,DE103=DB103,CU103,TRUE,"----- ")</f>
        <v xml:space="preserve">----- </v>
      </c>
      <c r="DG103" s="5"/>
      <c r="DH103" s="5">
        <f t="shared" si="252"/>
        <v>-2.423265306122455E-3</v>
      </c>
      <c r="DI103" s="5">
        <f t="shared" si="253"/>
        <v>-3.7194805194805478E-4</v>
      </c>
      <c r="DJ103" s="5">
        <f t="shared" si="254"/>
        <v>-1.6402721088435472E-3</v>
      </c>
      <c r="DK103" s="5">
        <f t="shared" si="255"/>
        <v>7.6471243042669956E-4</v>
      </c>
      <c r="DL103" s="5">
        <f t="shared" si="256"/>
        <v>-2.3081014223875058E-4</v>
      </c>
      <c r="DM103" s="5">
        <f t="shared" si="257"/>
        <v>1.5802844774273381E-3</v>
      </c>
      <c r="DO103" s="5">
        <f t="shared" si="203"/>
        <v>-1.9079214597220278</v>
      </c>
      <c r="DP103" s="5">
        <f t="shared" si="204"/>
        <v>-0.29295343676527091</v>
      </c>
      <c r="DQ103" s="5">
        <f t="shared" si="205"/>
        <v>-1.2917022253843653</v>
      </c>
      <c r="DR103" s="5">
        <f t="shared" si="206"/>
        <v>0.60228527619529781</v>
      </c>
      <c r="DS103" s="5">
        <f t="shared" si="207"/>
        <v>-0.18179147971962978</v>
      </c>
      <c r="DT103" s="5">
        <f t="shared" si="208"/>
        <v>1.2444775446344229</v>
      </c>
      <c r="DV103" t="str" cm="1">
        <f t="array" ref="DV103">_xlfn.IFS(DO103&gt;3,"Strong + Slope",DO103&gt;1.5,"Moderate + Slope",DO103&gt;0.5,"Sideway + Slope",DO103&gt;=-0.5,"Sideway Flat",DO103&gt;=-1.5,"Sideway - Slope",DO103&gt;=-3,"Moderate - Slope",TRUE,"Strong - Slope")</f>
        <v>Moderate - Slope</v>
      </c>
      <c r="DW103" t="str" cm="1">
        <f t="array" ref="DW103">_xlfn.IFS(DP103&gt;3,"Strong + Slope",DP103&gt;1.5,"Moderate + Slope",DP103&gt;0.5,"Sideway + Slope",DP103&gt;=-0.5,"Sideway Flat",DP103&gt;=-1.5,"Sideway - Slope",DP103&gt;=-3,"Moderate - Slope",TRUE,"Strong - Slope")</f>
        <v>Sideway Flat</v>
      </c>
      <c r="DX103" t="str" cm="1">
        <f t="array" ref="DX103">_xlfn.IFS(DQ103&gt;3,"Strong + Slope",DQ103&gt;1.5,"Moderate + Slope",DQ103&gt;0.5,"Sideway + Slope",DQ103&gt;=-0.5,"Sideway Flat",DQ103&gt;=-1.5,"Sideway - Slope",DQ103&gt;=-3,"Moderate - Slope",TRUE,"Strong - Slope")</f>
        <v>Sideway - Slope</v>
      </c>
      <c r="DY103" t="str" cm="1">
        <f t="array" ref="DY103">_xlfn.IFS(DR103&gt;3,"Strong + Slope",DR103&gt;1.5,"Moderate + Slope",DR103&gt;0.5,"Sideway + Slope",DR103&gt;=-0.5,"Sideway Flat",DR103&gt;=-1.5,"Sideway - Slope",DR103&gt;=-3,"Moderate - Slope",TRUE,"Strong - Slope")</f>
        <v>Sideway + Slope</v>
      </c>
      <c r="DZ103" t="str" cm="1">
        <f t="array" ref="DZ103">_xlfn.IFS(DS103&gt;3,"Strong + Slope",DS103&gt;1.5,"Moderate + Slope",DS103&gt;0.5,"Sideway + Slope",DS103&gt;=-0.5,"Sideway Flat",DS103&gt;=-1.5,"Sideway - Slope",DS103&gt;=-3,"Moderate - Slope",TRUE,"Strong - Slope")</f>
        <v>Sideway Flat</v>
      </c>
      <c r="EA103" t="str" cm="1">
        <f t="array" ref="EA103">_xlfn.IFS(DT103&gt;3,"Strong + Slope",DT103&gt;1.5,"Moderate + Slope",DT103&gt;0.5,"Sideway + Slope",DT103&gt;=-0.5,"Sideway Flat",DT103&gt;=-1.5,"Sideway - Slope",DT103&gt;=-3,"Moderate - Slope",TRUE,"Strong - Slope")</f>
        <v>Sideway + Slope</v>
      </c>
      <c r="EB103" s="5"/>
      <c r="EC103" s="5">
        <f t="shared" si="209"/>
        <v>4</v>
      </c>
      <c r="ED103" s="5">
        <f t="shared" si="210"/>
        <v>3</v>
      </c>
      <c r="EE103" s="5">
        <f t="shared" si="211"/>
        <v>1</v>
      </c>
      <c r="EF103" s="5">
        <f t="shared" si="212"/>
        <v>5</v>
      </c>
      <c r="EG103" s="5">
        <f t="shared" si="213"/>
        <v>6</v>
      </c>
      <c r="EH103" s="5">
        <f t="shared" si="214"/>
        <v>2</v>
      </c>
      <c r="EI103" s="5"/>
      <c r="EJ103" s="5" t="str">
        <f t="shared" si="215"/>
        <v>RES</v>
      </c>
      <c r="EK103" s="5" t="str">
        <f t="shared" si="216"/>
        <v>RES</v>
      </c>
      <c r="EL103" s="5" t="str">
        <f t="shared" si="217"/>
        <v>RES</v>
      </c>
      <c r="EM103" s="5" t="str">
        <f t="shared" si="218"/>
        <v>SUP</v>
      </c>
      <c r="EN103" s="5" t="str">
        <f t="shared" si="219"/>
        <v>SUP</v>
      </c>
      <c r="EO103" s="5" t="str">
        <f t="shared" si="220"/>
        <v>RES</v>
      </c>
      <c r="EP103" s="5"/>
      <c r="EQ103" s="8">
        <f t="shared" si="221"/>
        <v>5.8279637487557395E-4</v>
      </c>
      <c r="ER103" s="8">
        <f t="shared" si="222"/>
        <v>1.0673686416261389E-3</v>
      </c>
      <c r="ES103" s="8">
        <f t="shared" si="223"/>
        <v>2.606213002252767E-3</v>
      </c>
      <c r="ET103" s="8">
        <f t="shared" si="224"/>
        <v>-5.0421708837549231E-4</v>
      </c>
      <c r="EU103" s="8">
        <f t="shared" si="225"/>
        <v>-8.6437215150071104E-4</v>
      </c>
      <c r="EV103" s="8">
        <f t="shared" si="226"/>
        <v>1.3816857876264653E-3</v>
      </c>
      <c r="EW103" s="8"/>
      <c r="EX103" s="8">
        <f t="shared" si="227"/>
        <v>0.24905660377354019</v>
      </c>
      <c r="EY103" s="9">
        <f t="shared" si="228"/>
        <v>4</v>
      </c>
      <c r="EZ103" s="10">
        <f t="shared" si="229"/>
        <v>2</v>
      </c>
      <c r="FA103" s="8">
        <f t="shared" si="258"/>
        <v>2.606213002252767E-3</v>
      </c>
      <c r="FB103" s="8">
        <f t="shared" si="259"/>
        <v>1.3816857876264653E-3</v>
      </c>
      <c r="FC103" s="8">
        <f t="shared" si="260"/>
        <v>1.0673686416261389E-3</v>
      </c>
      <c r="FD103" s="8">
        <f t="shared" si="261"/>
        <v>5.8279637487557395E-4</v>
      </c>
      <c r="FE103" s="8">
        <f t="shared" si="262"/>
        <v>-5.0421708837549231E-4</v>
      </c>
      <c r="FF103" s="8">
        <f t="shared" si="263"/>
        <v>-8.6437215150071104E-4</v>
      </c>
      <c r="FG103" s="5"/>
      <c r="FH103" s="5" t="str">
        <f t="shared" si="230"/>
        <v>Flat Momentum</v>
      </c>
      <c r="FI103" s="5" t="str">
        <f t="shared" si="264"/>
        <v>-----</v>
      </c>
      <c r="FJ103" s="5"/>
      <c r="FK103" s="5" t="str">
        <f t="shared" si="265"/>
        <v>-----</v>
      </c>
      <c r="FL103" s="5" t="str">
        <f t="shared" si="266"/>
        <v>-----</v>
      </c>
      <c r="FM103" s="5"/>
      <c r="FN103" s="5"/>
      <c r="FO103" s="8" t="str">
        <f t="shared" si="279"/>
        <v>Bearish</v>
      </c>
      <c r="FP103" s="8"/>
      <c r="FQ103" s="14">
        <f t="shared" si="231"/>
        <v>-2.94651100358269E-4</v>
      </c>
      <c r="FR103" s="14">
        <f t="shared" si="232"/>
        <v>0.44889608167259493</v>
      </c>
      <c r="FS103" s="14" t="str">
        <f t="shared" si="233"/>
        <v>-----</v>
      </c>
      <c r="FT103" s="14" t="str">
        <f t="shared" si="234"/>
        <v>Bullish</v>
      </c>
      <c r="FU103" s="5" t="str">
        <f t="shared" si="267"/>
        <v>-----</v>
      </c>
      <c r="FV103" s="5" t="str">
        <f t="shared" si="268"/>
        <v>TEMA crossunder</v>
      </c>
      <c r="FW103" s="5"/>
      <c r="FX103" s="15" t="str">
        <f t="shared" si="282"/>
        <v>YES</v>
      </c>
      <c r="FY103" s="15" t="str">
        <f t="shared" si="283"/>
        <v>-----</v>
      </c>
      <c r="FZ103" s="15" t="str">
        <f t="shared" si="284"/>
        <v>YES</v>
      </c>
      <c r="GA103" s="15" t="str">
        <f t="shared" si="285"/>
        <v>YES</v>
      </c>
      <c r="GB103" s="16" t="str">
        <f t="shared" si="274"/>
        <v>-----</v>
      </c>
      <c r="GC103" s="16" t="str">
        <f t="shared" si="275"/>
        <v>-----</v>
      </c>
      <c r="GD103" s="16" t="str">
        <f t="shared" si="276"/>
        <v>-----</v>
      </c>
      <c r="GE103" s="16" t="str">
        <f t="shared" si="278"/>
        <v>-----</v>
      </c>
      <c r="GF103" s="15" t="str">
        <f t="shared" si="277"/>
        <v>-----</v>
      </c>
      <c r="GG103" s="16" t="str">
        <f t="shared" si="286"/>
        <v>-----</v>
      </c>
      <c r="GH103" s="14"/>
      <c r="GI103" s="5" t="str">
        <f t="shared" si="235"/>
        <v>-----</v>
      </c>
      <c r="GJ103" s="5" t="str">
        <f t="shared" si="236"/>
        <v>-----</v>
      </c>
      <c r="GK103" s="5"/>
      <c r="GL103" s="5" t="str">
        <f t="shared" si="237"/>
        <v>-----</v>
      </c>
      <c r="GM103" s="5" t="str">
        <f t="shared" si="238"/>
        <v>-----</v>
      </c>
      <c r="GN103" s="5"/>
      <c r="GO103" s="12">
        <f t="shared" si="239"/>
        <v>2.5999999999982037E-2</v>
      </c>
      <c r="GP103" s="5">
        <f t="shared" si="269"/>
        <v>-1.1472343807847896</v>
      </c>
      <c r="GQ103" s="13" t="str">
        <f t="shared" si="270"/>
        <v>-----</v>
      </c>
      <c r="GR103" s="5"/>
      <c r="GS103">
        <f t="shared" si="271"/>
        <v>-1.2547748431843408</v>
      </c>
      <c r="GT103" s="5" t="str">
        <f t="shared" si="272"/>
        <v>-----</v>
      </c>
    </row>
    <row r="104" spans="1:202" x14ac:dyDescent="0.55000000000000004">
      <c r="AT104" t="str">
        <f>IF(OR(AR104="Important High",AS104="Important High"),IF(#REF!=1,"Important High with Rejection",""),IF(OR(AR104="Important Low",AS104="Important Low"),IF(#REF!=1,"Important Low with Rejection",""),""))</f>
        <v/>
      </c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GQ104" s="13"/>
    </row>
  </sheetData>
  <conditionalFormatting sqref="FA5:FF103">
    <cfRule type="cellIs" dxfId="7" priority="7" operator="lessThan">
      <formula>0</formula>
    </cfRule>
    <cfRule type="cellIs" dxfId="6" priority="8" operator="greaterThan">
      <formula>0</formula>
    </cfRule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FT5:GH103">
    <cfRule type="containsText" dxfId="5" priority="6" operator="containsText" text="bearish">
      <formula>NOT(ISERROR(SEARCH("bearish",FT5)))</formula>
    </cfRule>
  </conditionalFormatting>
  <conditionalFormatting sqref="FT5:FT103">
    <cfRule type="containsText" dxfId="4" priority="5" operator="containsText" text="Bullish">
      <formula>NOT(ISERROR(SEARCH("Bullish",FT5)))</formula>
    </cfRule>
  </conditionalFormatting>
  <conditionalFormatting sqref="FS5:FS103 FP16:FP103">
    <cfRule type="containsText" dxfId="3" priority="3" operator="containsText" text="Bullish">
      <formula>NOT(ISERROR(SEARCH("Bullish",FP5)))</formula>
    </cfRule>
    <cfRule type="containsText" dxfId="2" priority="4" operator="containsText" text="Bearish">
      <formula>NOT(ISERROR(SEARCH("Bearish",FP5)))</formula>
    </cfRule>
  </conditionalFormatting>
  <conditionalFormatting sqref="FO5:FO103">
    <cfRule type="containsText" dxfId="1" priority="1" operator="containsText" text="Bullish">
      <formula>NOT(ISERROR(SEARCH("Bullish",FO5)))</formula>
    </cfRule>
    <cfRule type="containsText" dxfId="0" priority="2" operator="containsText" text="Bearish">
      <formula>NOT(ISERROR(SEARCH("Bearish",FO5)))</formula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Important High 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2026-02-14T13:03:22Z</dcterms:created>
  <dcterms:modified xsi:type="dcterms:W3CDTF">2026-02-23T14:59:30Z</dcterms:modified>
</cp:coreProperties>
</file>