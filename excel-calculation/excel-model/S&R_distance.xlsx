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F7024D05-C04C-4557-9539-ED129C2B515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&amp;R Distanc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03" i="4" l="1"/>
  <c r="P103" i="4"/>
  <c r="O103" i="4"/>
  <c r="N103" i="4"/>
  <c r="M103" i="4"/>
  <c r="L103" i="4"/>
  <c r="Q102" i="4"/>
  <c r="P102" i="4"/>
  <c r="O102" i="4"/>
  <c r="N102" i="4"/>
  <c r="M102" i="4"/>
  <c r="L102" i="4"/>
  <c r="Q101" i="4"/>
  <c r="P101" i="4"/>
  <c r="O101" i="4"/>
  <c r="N101" i="4"/>
  <c r="M101" i="4"/>
  <c r="L101" i="4"/>
  <c r="Q100" i="4"/>
  <c r="P100" i="4"/>
  <c r="O100" i="4"/>
  <c r="N100" i="4"/>
  <c r="M100" i="4"/>
  <c r="L100" i="4"/>
  <c r="Q99" i="4"/>
  <c r="P99" i="4"/>
  <c r="O99" i="4"/>
  <c r="N99" i="4"/>
  <c r="M99" i="4"/>
  <c r="L99" i="4"/>
  <c r="Q98" i="4"/>
  <c r="P98" i="4"/>
  <c r="O98" i="4"/>
  <c r="N98" i="4"/>
  <c r="M98" i="4"/>
  <c r="L98" i="4"/>
  <c r="Q97" i="4"/>
  <c r="P97" i="4"/>
  <c r="O97" i="4"/>
  <c r="N97" i="4"/>
  <c r="M97" i="4"/>
  <c r="L97" i="4"/>
  <c r="Q96" i="4"/>
  <c r="P96" i="4"/>
  <c r="O96" i="4"/>
  <c r="N96" i="4"/>
  <c r="M96" i="4"/>
  <c r="L96" i="4"/>
  <c r="Q95" i="4"/>
  <c r="P95" i="4"/>
  <c r="O95" i="4"/>
  <c r="N95" i="4"/>
  <c r="M95" i="4"/>
  <c r="L95" i="4"/>
  <c r="Q94" i="4"/>
  <c r="P94" i="4"/>
  <c r="O94" i="4"/>
  <c r="N94" i="4"/>
  <c r="M94" i="4"/>
  <c r="L94" i="4"/>
  <c r="Q93" i="4"/>
  <c r="P93" i="4"/>
  <c r="O93" i="4"/>
  <c r="N93" i="4"/>
  <c r="M93" i="4"/>
  <c r="L93" i="4"/>
  <c r="Q92" i="4"/>
  <c r="P92" i="4"/>
  <c r="O92" i="4"/>
  <c r="N92" i="4"/>
  <c r="M92" i="4"/>
  <c r="L92" i="4"/>
  <c r="Q91" i="4"/>
  <c r="P91" i="4"/>
  <c r="O91" i="4"/>
  <c r="N91" i="4"/>
  <c r="M91" i="4"/>
  <c r="L91" i="4"/>
  <c r="Q90" i="4"/>
  <c r="P90" i="4"/>
  <c r="O90" i="4"/>
  <c r="N90" i="4"/>
  <c r="M90" i="4"/>
  <c r="L90" i="4"/>
  <c r="Q89" i="4"/>
  <c r="P89" i="4"/>
  <c r="O89" i="4"/>
  <c r="N89" i="4"/>
  <c r="M89" i="4"/>
  <c r="L89" i="4"/>
  <c r="Q88" i="4"/>
  <c r="P88" i="4"/>
  <c r="O88" i="4"/>
  <c r="N88" i="4"/>
  <c r="M88" i="4"/>
  <c r="L88" i="4"/>
  <c r="Q87" i="4"/>
  <c r="P87" i="4"/>
  <c r="O87" i="4"/>
  <c r="N87" i="4"/>
  <c r="M87" i="4"/>
  <c r="L87" i="4"/>
  <c r="Q86" i="4"/>
  <c r="P86" i="4"/>
  <c r="O86" i="4"/>
  <c r="N86" i="4"/>
  <c r="M86" i="4"/>
  <c r="L86" i="4"/>
  <c r="Q85" i="4"/>
  <c r="P85" i="4"/>
  <c r="O85" i="4"/>
  <c r="N85" i="4"/>
  <c r="M85" i="4"/>
  <c r="L85" i="4"/>
  <c r="Q84" i="4"/>
  <c r="P84" i="4"/>
  <c r="O84" i="4"/>
  <c r="N84" i="4"/>
  <c r="M84" i="4"/>
  <c r="L84" i="4"/>
  <c r="Q83" i="4"/>
  <c r="P83" i="4"/>
  <c r="O83" i="4"/>
  <c r="N83" i="4"/>
  <c r="M83" i="4"/>
  <c r="L83" i="4"/>
  <c r="Q82" i="4"/>
  <c r="P82" i="4"/>
  <c r="O82" i="4"/>
  <c r="N82" i="4"/>
  <c r="M82" i="4"/>
  <c r="L82" i="4"/>
  <c r="Q81" i="4"/>
  <c r="P81" i="4"/>
  <c r="O81" i="4"/>
  <c r="N81" i="4"/>
  <c r="M81" i="4"/>
  <c r="L81" i="4"/>
  <c r="Q80" i="4"/>
  <c r="P80" i="4"/>
  <c r="O80" i="4"/>
  <c r="N80" i="4"/>
  <c r="M80" i="4"/>
  <c r="L80" i="4"/>
  <c r="Q79" i="4"/>
  <c r="P79" i="4"/>
  <c r="O79" i="4"/>
  <c r="N79" i="4"/>
  <c r="M79" i="4"/>
  <c r="L79" i="4"/>
  <c r="Q78" i="4"/>
  <c r="P78" i="4"/>
  <c r="O78" i="4"/>
  <c r="N78" i="4"/>
  <c r="M78" i="4"/>
  <c r="L78" i="4"/>
  <c r="Q77" i="4"/>
  <c r="P77" i="4"/>
  <c r="O77" i="4"/>
  <c r="N77" i="4"/>
  <c r="M77" i="4"/>
  <c r="L77" i="4"/>
  <c r="Q76" i="4"/>
  <c r="P76" i="4"/>
  <c r="O76" i="4"/>
  <c r="N76" i="4"/>
  <c r="M76" i="4"/>
  <c r="L76" i="4"/>
  <c r="Q75" i="4"/>
  <c r="P75" i="4"/>
  <c r="O75" i="4"/>
  <c r="N75" i="4"/>
  <c r="M75" i="4"/>
  <c r="L75" i="4"/>
  <c r="Q74" i="4"/>
  <c r="P74" i="4"/>
  <c r="O74" i="4"/>
  <c r="N74" i="4"/>
  <c r="M74" i="4"/>
  <c r="L74" i="4"/>
  <c r="Q73" i="4"/>
  <c r="P73" i="4"/>
  <c r="O73" i="4"/>
  <c r="N73" i="4"/>
  <c r="M73" i="4"/>
  <c r="L73" i="4"/>
  <c r="Q72" i="4"/>
  <c r="P72" i="4"/>
  <c r="O72" i="4"/>
  <c r="N72" i="4"/>
  <c r="M72" i="4"/>
  <c r="L72" i="4"/>
  <c r="Q71" i="4"/>
  <c r="P71" i="4"/>
  <c r="O71" i="4"/>
  <c r="N71" i="4"/>
  <c r="M71" i="4"/>
  <c r="L71" i="4"/>
  <c r="Q70" i="4"/>
  <c r="P70" i="4"/>
  <c r="O70" i="4"/>
  <c r="N70" i="4"/>
  <c r="M70" i="4"/>
  <c r="L70" i="4"/>
  <c r="Q69" i="4"/>
  <c r="P69" i="4"/>
  <c r="O69" i="4"/>
  <c r="N69" i="4"/>
  <c r="M69" i="4"/>
  <c r="L69" i="4"/>
  <c r="Q68" i="4"/>
  <c r="P68" i="4"/>
  <c r="O68" i="4"/>
  <c r="N68" i="4"/>
  <c r="M68" i="4"/>
  <c r="L68" i="4"/>
  <c r="Q67" i="4"/>
  <c r="P67" i="4"/>
  <c r="O67" i="4"/>
  <c r="N67" i="4"/>
  <c r="M67" i="4"/>
  <c r="L67" i="4"/>
  <c r="Q66" i="4"/>
  <c r="P66" i="4"/>
  <c r="O66" i="4"/>
  <c r="N66" i="4"/>
  <c r="M66" i="4"/>
  <c r="L66" i="4"/>
  <c r="Q65" i="4"/>
  <c r="P65" i="4"/>
  <c r="O65" i="4"/>
  <c r="N65" i="4"/>
  <c r="M65" i="4"/>
  <c r="L65" i="4"/>
  <c r="Q64" i="4"/>
  <c r="P64" i="4"/>
  <c r="O64" i="4"/>
  <c r="N64" i="4"/>
  <c r="M64" i="4"/>
  <c r="L64" i="4"/>
  <c r="Q63" i="4"/>
  <c r="P63" i="4"/>
  <c r="O63" i="4"/>
  <c r="N63" i="4"/>
  <c r="M63" i="4"/>
  <c r="L63" i="4"/>
  <c r="Q62" i="4"/>
  <c r="P62" i="4"/>
  <c r="O62" i="4"/>
  <c r="N62" i="4"/>
  <c r="M62" i="4"/>
  <c r="L62" i="4"/>
  <c r="Q61" i="4"/>
  <c r="P61" i="4"/>
  <c r="O61" i="4"/>
  <c r="N61" i="4"/>
  <c r="M61" i="4"/>
  <c r="L61" i="4"/>
  <c r="Q60" i="4"/>
  <c r="P60" i="4"/>
  <c r="O60" i="4"/>
  <c r="N60" i="4"/>
  <c r="M60" i="4"/>
  <c r="L60" i="4"/>
  <c r="Q59" i="4"/>
  <c r="P59" i="4"/>
  <c r="O59" i="4"/>
  <c r="N59" i="4"/>
  <c r="M59" i="4"/>
  <c r="L59" i="4"/>
  <c r="Q58" i="4"/>
  <c r="P58" i="4"/>
  <c r="O58" i="4"/>
  <c r="N58" i="4"/>
  <c r="M58" i="4"/>
  <c r="L58" i="4"/>
  <c r="Q57" i="4"/>
  <c r="P57" i="4"/>
  <c r="O57" i="4"/>
  <c r="N57" i="4"/>
  <c r="M57" i="4"/>
  <c r="L57" i="4"/>
  <c r="Q56" i="4"/>
  <c r="P56" i="4"/>
  <c r="O56" i="4"/>
  <c r="N56" i="4"/>
  <c r="M56" i="4"/>
  <c r="L56" i="4"/>
  <c r="Q55" i="4"/>
  <c r="P55" i="4"/>
  <c r="O55" i="4"/>
  <c r="N55" i="4"/>
  <c r="M55" i="4"/>
  <c r="L55" i="4"/>
  <c r="Q54" i="4"/>
  <c r="P54" i="4"/>
  <c r="O54" i="4"/>
  <c r="N54" i="4"/>
  <c r="M54" i="4"/>
  <c r="L54" i="4"/>
  <c r="Q53" i="4"/>
  <c r="P53" i="4"/>
  <c r="O53" i="4"/>
  <c r="N53" i="4"/>
  <c r="M53" i="4"/>
  <c r="L53" i="4"/>
  <c r="Q52" i="4"/>
  <c r="P52" i="4"/>
  <c r="O52" i="4"/>
  <c r="N52" i="4"/>
  <c r="M52" i="4"/>
  <c r="L52" i="4"/>
  <c r="Q51" i="4"/>
  <c r="P51" i="4"/>
  <c r="O51" i="4"/>
  <c r="N51" i="4"/>
  <c r="M51" i="4"/>
  <c r="L51" i="4"/>
  <c r="Q50" i="4"/>
  <c r="P50" i="4"/>
  <c r="O50" i="4"/>
  <c r="N50" i="4"/>
  <c r="M50" i="4"/>
  <c r="L50" i="4"/>
  <c r="Q49" i="4"/>
  <c r="P49" i="4"/>
  <c r="O49" i="4"/>
  <c r="N49" i="4"/>
  <c r="M49" i="4"/>
  <c r="L49" i="4"/>
  <c r="Q48" i="4"/>
  <c r="P48" i="4"/>
  <c r="O48" i="4"/>
  <c r="N48" i="4"/>
  <c r="M48" i="4"/>
  <c r="L48" i="4"/>
  <c r="Q47" i="4"/>
  <c r="P47" i="4"/>
  <c r="O47" i="4"/>
  <c r="N47" i="4"/>
  <c r="M47" i="4"/>
  <c r="L47" i="4"/>
  <c r="Q46" i="4"/>
  <c r="P46" i="4"/>
  <c r="O46" i="4"/>
  <c r="N46" i="4"/>
  <c r="M46" i="4"/>
  <c r="L46" i="4"/>
  <c r="Q45" i="4"/>
  <c r="P45" i="4"/>
  <c r="O45" i="4"/>
  <c r="N45" i="4"/>
  <c r="M45" i="4"/>
  <c r="L45" i="4"/>
  <c r="Q44" i="4"/>
  <c r="P44" i="4"/>
  <c r="O44" i="4"/>
  <c r="N44" i="4"/>
  <c r="M44" i="4"/>
  <c r="L44" i="4"/>
  <c r="Q43" i="4"/>
  <c r="P43" i="4"/>
  <c r="O43" i="4"/>
  <c r="N43" i="4"/>
  <c r="M43" i="4"/>
  <c r="L43" i="4"/>
  <c r="Q42" i="4"/>
  <c r="P42" i="4"/>
  <c r="O42" i="4"/>
  <c r="N42" i="4"/>
  <c r="M42" i="4"/>
  <c r="L42" i="4"/>
  <c r="Q41" i="4"/>
  <c r="P41" i="4"/>
  <c r="O41" i="4"/>
  <c r="N41" i="4"/>
  <c r="M41" i="4"/>
  <c r="L41" i="4"/>
  <c r="Q40" i="4"/>
  <c r="P40" i="4"/>
  <c r="O40" i="4"/>
  <c r="N40" i="4"/>
  <c r="M40" i="4"/>
  <c r="L40" i="4"/>
  <c r="Q39" i="4"/>
  <c r="P39" i="4"/>
  <c r="O39" i="4"/>
  <c r="N39" i="4"/>
  <c r="M39" i="4"/>
  <c r="L39" i="4"/>
  <c r="Q38" i="4"/>
  <c r="P38" i="4"/>
  <c r="O38" i="4"/>
  <c r="N38" i="4"/>
  <c r="M38" i="4"/>
  <c r="L38" i="4"/>
  <c r="Q37" i="4"/>
  <c r="P37" i="4"/>
  <c r="O37" i="4"/>
  <c r="N37" i="4"/>
  <c r="M37" i="4"/>
  <c r="L37" i="4"/>
  <c r="Q36" i="4"/>
  <c r="P36" i="4"/>
  <c r="O36" i="4"/>
  <c r="N36" i="4"/>
  <c r="M36" i="4"/>
  <c r="L36" i="4"/>
  <c r="Q35" i="4"/>
  <c r="P35" i="4"/>
  <c r="O35" i="4"/>
  <c r="N35" i="4"/>
  <c r="M35" i="4"/>
  <c r="L35" i="4"/>
  <c r="Q34" i="4"/>
  <c r="P34" i="4"/>
  <c r="O34" i="4"/>
  <c r="N34" i="4"/>
  <c r="M34" i="4"/>
  <c r="L34" i="4"/>
  <c r="Q33" i="4"/>
  <c r="P33" i="4"/>
  <c r="O33" i="4"/>
  <c r="N33" i="4"/>
  <c r="M33" i="4"/>
  <c r="L33" i="4"/>
  <c r="Q32" i="4"/>
  <c r="P32" i="4"/>
  <c r="O32" i="4"/>
  <c r="N32" i="4"/>
  <c r="M32" i="4"/>
  <c r="L32" i="4"/>
  <c r="Q31" i="4"/>
  <c r="P31" i="4"/>
  <c r="O31" i="4"/>
  <c r="N31" i="4"/>
  <c r="M31" i="4"/>
  <c r="L31" i="4"/>
  <c r="Q30" i="4"/>
  <c r="P30" i="4"/>
  <c r="O30" i="4"/>
  <c r="N30" i="4"/>
  <c r="M30" i="4"/>
  <c r="L30" i="4"/>
  <c r="Q29" i="4"/>
  <c r="P29" i="4"/>
  <c r="O29" i="4"/>
  <c r="N29" i="4"/>
  <c r="M29" i="4"/>
  <c r="L29" i="4"/>
  <c r="Q28" i="4"/>
  <c r="P28" i="4"/>
  <c r="O28" i="4"/>
  <c r="N28" i="4"/>
  <c r="M28" i="4"/>
  <c r="L28" i="4"/>
  <c r="Q27" i="4"/>
  <c r="P27" i="4"/>
  <c r="O27" i="4"/>
  <c r="N27" i="4"/>
  <c r="M27" i="4"/>
  <c r="L27" i="4"/>
  <c r="Q26" i="4"/>
  <c r="P26" i="4"/>
  <c r="O26" i="4"/>
  <c r="N26" i="4"/>
  <c r="M26" i="4"/>
  <c r="L26" i="4"/>
  <c r="Q25" i="4"/>
  <c r="P25" i="4"/>
  <c r="O25" i="4"/>
  <c r="N25" i="4"/>
  <c r="M25" i="4"/>
  <c r="L25" i="4"/>
  <c r="Q24" i="4"/>
  <c r="P24" i="4"/>
  <c r="O24" i="4"/>
  <c r="N24" i="4"/>
  <c r="M24" i="4"/>
  <c r="L24" i="4"/>
  <c r="Q23" i="4"/>
  <c r="P23" i="4"/>
  <c r="O23" i="4"/>
  <c r="N23" i="4"/>
  <c r="M23" i="4"/>
  <c r="L23" i="4"/>
  <c r="Q22" i="4"/>
  <c r="P22" i="4"/>
  <c r="O22" i="4"/>
  <c r="N22" i="4"/>
  <c r="M22" i="4"/>
  <c r="L22" i="4"/>
  <c r="Q21" i="4"/>
  <c r="P21" i="4"/>
  <c r="O21" i="4"/>
  <c r="N21" i="4"/>
  <c r="M21" i="4"/>
  <c r="L21" i="4"/>
  <c r="Q20" i="4"/>
  <c r="P20" i="4"/>
  <c r="O20" i="4"/>
  <c r="N20" i="4"/>
  <c r="M20" i="4"/>
  <c r="L20" i="4"/>
  <c r="Q19" i="4"/>
  <c r="P19" i="4"/>
  <c r="O19" i="4"/>
  <c r="N19" i="4"/>
  <c r="M19" i="4"/>
  <c r="L19" i="4"/>
  <c r="Q18" i="4"/>
  <c r="P18" i="4"/>
  <c r="O18" i="4"/>
  <c r="N18" i="4"/>
  <c r="M18" i="4"/>
  <c r="L18" i="4"/>
  <c r="Q17" i="4"/>
  <c r="P17" i="4"/>
  <c r="O17" i="4"/>
  <c r="N17" i="4"/>
  <c r="M17" i="4"/>
  <c r="L17" i="4"/>
  <c r="Q16" i="4"/>
  <c r="P16" i="4"/>
  <c r="O16" i="4"/>
  <c r="N16" i="4"/>
  <c r="M16" i="4"/>
  <c r="L16" i="4"/>
  <c r="Q15" i="4"/>
  <c r="P15" i="4"/>
  <c r="O15" i="4"/>
  <c r="N15" i="4"/>
  <c r="M15" i="4"/>
  <c r="L15" i="4"/>
  <c r="Q14" i="4"/>
  <c r="P14" i="4"/>
  <c r="O14" i="4"/>
  <c r="N14" i="4"/>
  <c r="M14" i="4"/>
  <c r="L14" i="4"/>
  <c r="Q13" i="4"/>
  <c r="P13" i="4"/>
  <c r="O13" i="4"/>
  <c r="N13" i="4"/>
  <c r="M13" i="4"/>
  <c r="L13" i="4"/>
  <c r="Q12" i="4"/>
  <c r="P12" i="4"/>
  <c r="O12" i="4"/>
  <c r="N12" i="4"/>
  <c r="M12" i="4"/>
  <c r="L12" i="4"/>
  <c r="Q11" i="4"/>
  <c r="P11" i="4"/>
  <c r="O11" i="4"/>
  <c r="N11" i="4"/>
  <c r="M11" i="4"/>
  <c r="L11" i="4"/>
  <c r="Q10" i="4"/>
  <c r="P10" i="4"/>
  <c r="O10" i="4"/>
  <c r="N10" i="4"/>
  <c r="M10" i="4"/>
  <c r="L10" i="4"/>
  <c r="Q9" i="4"/>
  <c r="P9" i="4"/>
  <c r="O9" i="4"/>
  <c r="N9" i="4"/>
  <c r="M9" i="4"/>
  <c r="L9" i="4"/>
  <c r="Q8" i="4"/>
  <c r="P8" i="4"/>
  <c r="O8" i="4"/>
  <c r="N8" i="4"/>
  <c r="M8" i="4"/>
  <c r="L8" i="4"/>
  <c r="Q7" i="4"/>
  <c r="P7" i="4"/>
  <c r="O7" i="4"/>
  <c r="N7" i="4"/>
  <c r="M7" i="4"/>
  <c r="L7" i="4"/>
  <c r="Q6" i="4"/>
  <c r="P6" i="4"/>
  <c r="O6" i="4"/>
  <c r="N6" i="4"/>
  <c r="M6" i="4"/>
  <c r="L6" i="4"/>
  <c r="Q5" i="4"/>
  <c r="P5" i="4"/>
  <c r="O5" i="4"/>
  <c r="N5" i="4"/>
  <c r="M5" i="4"/>
  <c r="L5" i="4"/>
  <c r="T66" i="4" l="1"/>
  <c r="S26" i="4"/>
  <c r="R68" i="4"/>
  <c r="T53" i="4"/>
  <c r="T67" i="4"/>
  <c r="W40" i="4"/>
  <c r="R63" i="4"/>
  <c r="S100" i="4"/>
  <c r="V53" i="4"/>
  <c r="T52" i="4"/>
  <c r="V10" i="4"/>
  <c r="R62" i="4"/>
  <c r="S24" i="4"/>
  <c r="W10" i="4"/>
  <c r="S14" i="4"/>
  <c r="S61" i="4"/>
  <c r="S51" i="4"/>
  <c r="T62" i="4"/>
  <c r="R66" i="4"/>
  <c r="W100" i="4"/>
  <c r="R15" i="4"/>
  <c r="T24" i="4"/>
  <c r="V28" i="4"/>
  <c r="R67" i="4"/>
  <c r="W17" i="4"/>
  <c r="W45" i="4"/>
  <c r="R81" i="4"/>
  <c r="U12" i="4"/>
  <c r="W13" i="4"/>
  <c r="R53" i="4"/>
  <c r="S57" i="4"/>
  <c r="T61" i="4"/>
  <c r="R88" i="4"/>
  <c r="U29" i="4"/>
  <c r="T7" i="4"/>
  <c r="W23" i="4"/>
  <c r="W39" i="4"/>
  <c r="V77" i="4"/>
  <c r="T16" i="4"/>
  <c r="W31" i="4"/>
  <c r="R74" i="4"/>
  <c r="S94" i="4"/>
  <c r="U11" i="4"/>
  <c r="U19" i="4"/>
  <c r="W26" i="4"/>
  <c r="R34" i="4"/>
  <c r="W44" i="4"/>
  <c r="S52" i="4"/>
  <c r="W55" i="4"/>
  <c r="S67" i="4"/>
  <c r="W9" i="4"/>
  <c r="S9" i="4"/>
  <c r="T34" i="4"/>
  <c r="T40" i="4"/>
  <c r="T47" i="4"/>
  <c r="T33" i="4"/>
  <c r="S63" i="4"/>
  <c r="U14" i="4"/>
  <c r="U25" i="4"/>
  <c r="R51" i="4"/>
  <c r="W76" i="4"/>
  <c r="W37" i="4"/>
  <c r="T42" i="4"/>
  <c r="W43" i="4"/>
  <c r="R82" i="4"/>
  <c r="U92" i="4"/>
  <c r="T98" i="4"/>
  <c r="R100" i="4"/>
  <c r="W91" i="4"/>
  <c r="S91" i="4"/>
  <c r="U27" i="4"/>
  <c r="W28" i="4"/>
  <c r="R33" i="4"/>
  <c r="V44" i="4"/>
  <c r="W5" i="4"/>
  <c r="W7" i="4"/>
  <c r="R13" i="4"/>
  <c r="S16" i="4"/>
  <c r="U21" i="4"/>
  <c r="U23" i="4"/>
  <c r="S29" i="4"/>
  <c r="S33" i="4"/>
  <c r="V43" i="4"/>
  <c r="R43" i="4"/>
  <c r="U48" i="4"/>
  <c r="R48" i="4"/>
  <c r="V75" i="4"/>
  <c r="R75" i="4"/>
  <c r="W6" i="4"/>
  <c r="V5" i="4"/>
  <c r="V13" i="4"/>
  <c r="W18" i="4"/>
  <c r="W21" i="4"/>
  <c r="W22" i="4"/>
  <c r="V23" i="4"/>
  <c r="S28" i="4"/>
  <c r="W56" i="4"/>
  <c r="T56" i="4"/>
  <c r="R56" i="4"/>
  <c r="U80" i="4"/>
  <c r="T80" i="4"/>
  <c r="W14" i="4"/>
  <c r="R24" i="4"/>
  <c r="R26" i="4"/>
  <c r="V30" i="4"/>
  <c r="V32" i="4"/>
  <c r="V38" i="4"/>
  <c r="T39" i="4"/>
  <c r="T43" i="4"/>
  <c r="W46" i="4"/>
  <c r="T46" i="4"/>
  <c r="R46" i="4"/>
  <c r="W83" i="4"/>
  <c r="S83" i="4"/>
  <c r="R83" i="4"/>
  <c r="T12" i="4"/>
  <c r="T18" i="4"/>
  <c r="W24" i="4"/>
  <c r="T63" i="4"/>
  <c r="S22" i="4"/>
  <c r="U37" i="4"/>
  <c r="R44" i="4"/>
  <c r="T72" i="4"/>
  <c r="V8" i="4"/>
  <c r="W15" i="4"/>
  <c r="U34" i="4"/>
  <c r="S34" i="4"/>
  <c r="V37" i="4"/>
  <c r="R40" i="4"/>
  <c r="S13" i="4"/>
  <c r="R21" i="4"/>
  <c r="R29" i="4"/>
  <c r="V34" i="4"/>
  <c r="R5" i="4"/>
  <c r="U7" i="4"/>
  <c r="T13" i="4"/>
  <c r="S21" i="4"/>
  <c r="T22" i="4"/>
  <c r="T29" i="4"/>
  <c r="W34" i="4"/>
  <c r="V45" i="4"/>
  <c r="V11" i="4"/>
  <c r="R14" i="4"/>
  <c r="W16" i="4"/>
  <c r="U17" i="4"/>
  <c r="U28" i="4"/>
  <c r="W35" i="4"/>
  <c r="V39" i="4"/>
  <c r="S53" i="4"/>
  <c r="W64" i="4"/>
  <c r="U73" i="4"/>
  <c r="W75" i="4"/>
  <c r="U76" i="4"/>
  <c r="U79" i="4"/>
  <c r="V46" i="4"/>
  <c r="R47" i="4"/>
  <c r="U57" i="4"/>
  <c r="T74" i="4"/>
  <c r="W81" i="4"/>
  <c r="R94" i="4"/>
  <c r="W96" i="4"/>
  <c r="W103" i="4"/>
  <c r="S42" i="4"/>
  <c r="S47" i="4"/>
  <c r="S55" i="4"/>
  <c r="V57" i="4"/>
  <c r="W65" i="4"/>
  <c r="S66" i="4"/>
  <c r="S75" i="4"/>
  <c r="W77" i="4"/>
  <c r="U78" i="4"/>
  <c r="W84" i="4"/>
  <c r="V85" i="4"/>
  <c r="W87" i="4"/>
  <c r="T89" i="4"/>
  <c r="W51" i="4"/>
  <c r="W52" i="4"/>
  <c r="U53" i="4"/>
  <c r="T55" i="4"/>
  <c r="W57" i="4"/>
  <c r="U61" i="4"/>
  <c r="V66" i="4"/>
  <c r="V67" i="4"/>
  <c r="W68" i="4"/>
  <c r="V78" i="4"/>
  <c r="T83" i="4"/>
  <c r="W88" i="4"/>
  <c r="W33" i="4"/>
  <c r="V51" i="4"/>
  <c r="W53" i="4"/>
  <c r="V55" i="4"/>
  <c r="R61" i="4"/>
  <c r="W62" i="4"/>
  <c r="W69" i="4"/>
  <c r="T76" i="4"/>
  <c r="T77" i="4"/>
  <c r="W78" i="4"/>
  <c r="R80" i="4"/>
  <c r="U82" i="4"/>
  <c r="S86" i="4"/>
  <c r="R89" i="4"/>
  <c r="V100" i="4"/>
  <c r="W47" i="4"/>
  <c r="W67" i="4"/>
  <c r="U70" i="4"/>
  <c r="U71" i="4"/>
  <c r="R86" i="4"/>
  <c r="W98" i="4"/>
  <c r="V60" i="4"/>
  <c r="W70" i="4"/>
  <c r="V71" i="4"/>
  <c r="S72" i="4"/>
  <c r="R97" i="4"/>
  <c r="V98" i="4"/>
  <c r="U42" i="4"/>
  <c r="U55" i="4"/>
  <c r="S69" i="4"/>
  <c r="W71" i="4"/>
  <c r="W89" i="4"/>
  <c r="U101" i="4"/>
  <c r="R42" i="4"/>
  <c r="R55" i="4"/>
  <c r="R57" i="4"/>
  <c r="R58" i="4"/>
  <c r="S70" i="4"/>
  <c r="T100" i="4"/>
  <c r="V101" i="4"/>
  <c r="W73" i="4"/>
  <c r="U95" i="4"/>
  <c r="R101" i="4"/>
  <c r="S20" i="4"/>
  <c r="R20" i="4"/>
  <c r="W20" i="4"/>
  <c r="V20" i="4"/>
  <c r="S5" i="4"/>
  <c r="R6" i="4"/>
  <c r="T5" i="4"/>
  <c r="S6" i="4"/>
  <c r="V9" i="4"/>
  <c r="S12" i="4"/>
  <c r="R12" i="4"/>
  <c r="W12" i="4"/>
  <c r="V12" i="4"/>
  <c r="U5" i="4"/>
  <c r="T6" i="4"/>
  <c r="R8" i="4"/>
  <c r="S17" i="4"/>
  <c r="R17" i="4"/>
  <c r="W25" i="4"/>
  <c r="V25" i="4"/>
  <c r="T25" i="4"/>
  <c r="S25" i="4"/>
  <c r="R25" i="4"/>
  <c r="U6" i="4"/>
  <c r="S8" i="4"/>
  <c r="T9" i="4"/>
  <c r="R9" i="4"/>
  <c r="U10" i="4"/>
  <c r="T19" i="4"/>
  <c r="S19" i="4"/>
  <c r="R19" i="4"/>
  <c r="V6" i="4"/>
  <c r="T10" i="4"/>
  <c r="S10" i="4"/>
  <c r="R10" i="4"/>
  <c r="V19" i="4"/>
  <c r="T20" i="4"/>
  <c r="W8" i="4"/>
  <c r="W19" i="4"/>
  <c r="U20" i="4"/>
  <c r="V7" i="4"/>
  <c r="S23" i="4"/>
  <c r="R23" i="4"/>
  <c r="R7" i="4"/>
  <c r="S7" i="4"/>
  <c r="T11" i="4"/>
  <c r="S11" i="4"/>
  <c r="R11" i="4"/>
  <c r="W11" i="4"/>
  <c r="U13" i="4"/>
  <c r="T14" i="4"/>
  <c r="S15" i="4"/>
  <c r="R16" i="4"/>
  <c r="T21" i="4"/>
  <c r="R22" i="4"/>
  <c r="U24" i="4"/>
  <c r="T15" i="4"/>
  <c r="V24" i="4"/>
  <c r="V14" i="4"/>
  <c r="U15" i="4"/>
  <c r="V21" i="4"/>
  <c r="V15" i="4"/>
  <c r="U16" i="4"/>
  <c r="U22" i="4"/>
  <c r="U26" i="4"/>
  <c r="T8" i="4"/>
  <c r="V16" i="4"/>
  <c r="T17" i="4"/>
  <c r="R18" i="4"/>
  <c r="V22" i="4"/>
  <c r="T23" i="4"/>
  <c r="V26" i="4"/>
  <c r="W30" i="4"/>
  <c r="U8" i="4"/>
  <c r="S18" i="4"/>
  <c r="T26" i="4"/>
  <c r="W27" i="4"/>
  <c r="V27" i="4"/>
  <c r="T27" i="4"/>
  <c r="S27" i="4"/>
  <c r="R27" i="4"/>
  <c r="S30" i="4"/>
  <c r="V17" i="4"/>
  <c r="T38" i="4"/>
  <c r="R38" i="4"/>
  <c r="W38" i="4"/>
  <c r="U18" i="4"/>
  <c r="U9" i="4"/>
  <c r="V18" i="4"/>
  <c r="V29" i="4"/>
  <c r="W29" i="4"/>
  <c r="R30" i="4"/>
  <c r="V35" i="4"/>
  <c r="T41" i="4"/>
  <c r="S41" i="4"/>
  <c r="R41" i="4"/>
  <c r="W41" i="4"/>
  <c r="V41" i="4"/>
  <c r="U41" i="4"/>
  <c r="R28" i="4"/>
  <c r="T30" i="4"/>
  <c r="V36" i="4"/>
  <c r="T28" i="4"/>
  <c r="U30" i="4"/>
  <c r="V31" i="4"/>
  <c r="T32" i="4"/>
  <c r="U32" i="4"/>
  <c r="R35" i="4"/>
  <c r="W36" i="4"/>
  <c r="U31" i="4"/>
  <c r="S32" i="4"/>
  <c r="R32" i="4"/>
  <c r="W32" i="4"/>
  <c r="W54" i="4"/>
  <c r="V54" i="4"/>
  <c r="U33" i="4"/>
  <c r="S50" i="4"/>
  <c r="R50" i="4"/>
  <c r="W50" i="4"/>
  <c r="V50" i="4"/>
  <c r="U50" i="4"/>
  <c r="T50" i="4"/>
  <c r="V33" i="4"/>
  <c r="S35" i="4"/>
  <c r="V40" i="4"/>
  <c r="T35" i="4"/>
  <c r="R36" i="4"/>
  <c r="U35" i="4"/>
  <c r="S36" i="4"/>
  <c r="S40" i="4"/>
  <c r="T45" i="4"/>
  <c r="R31" i="4"/>
  <c r="T36" i="4"/>
  <c r="R37" i="4"/>
  <c r="S38" i="4"/>
  <c r="S31" i="4"/>
  <c r="U36" i="4"/>
  <c r="S37" i="4"/>
  <c r="R39" i="4"/>
  <c r="T31" i="4"/>
  <c r="T37" i="4"/>
  <c r="U38" i="4"/>
  <c r="S39" i="4"/>
  <c r="S43" i="4"/>
  <c r="S46" i="4"/>
  <c r="U49" i="4"/>
  <c r="V42" i="4"/>
  <c r="T49" i="4"/>
  <c r="R49" i="4"/>
  <c r="W42" i="4"/>
  <c r="U43" i="4"/>
  <c r="S44" i="4"/>
  <c r="U46" i="4"/>
  <c r="V48" i="4"/>
  <c r="T44" i="4"/>
  <c r="R45" i="4"/>
  <c r="W48" i="4"/>
  <c r="U44" i="4"/>
  <c r="S45" i="4"/>
  <c r="T48" i="4"/>
  <c r="S48" i="4"/>
  <c r="U39" i="4"/>
  <c r="U45" i="4"/>
  <c r="V49" i="4"/>
  <c r="U40" i="4"/>
  <c r="W49" i="4"/>
  <c r="V59" i="4"/>
  <c r="S54" i="4"/>
  <c r="U54" i="4"/>
  <c r="T54" i="4"/>
  <c r="R54" i="4"/>
  <c r="T59" i="4"/>
  <c r="S59" i="4"/>
  <c r="R59" i="4"/>
  <c r="W59" i="4"/>
  <c r="T51" i="4"/>
  <c r="R52" i="4"/>
  <c r="U51" i="4"/>
  <c r="U52" i="4"/>
  <c r="U60" i="4"/>
  <c r="V52" i="4"/>
  <c r="U47" i="4"/>
  <c r="V47" i="4"/>
  <c r="S49" i="4"/>
  <c r="W58" i="4"/>
  <c r="V58" i="4"/>
  <c r="T60" i="4"/>
  <c r="S60" i="4"/>
  <c r="R60" i="4"/>
  <c r="W60" i="4"/>
  <c r="U59" i="4"/>
  <c r="S56" i="4"/>
  <c r="S62" i="4"/>
  <c r="U65" i="4"/>
  <c r="V61" i="4"/>
  <c r="U56" i="4"/>
  <c r="W61" i="4"/>
  <c r="U62" i="4"/>
  <c r="V56" i="4"/>
  <c r="T57" i="4"/>
  <c r="V62" i="4"/>
  <c r="V63" i="4"/>
  <c r="U63" i="4"/>
  <c r="V64" i="4"/>
  <c r="S58" i="4"/>
  <c r="W63" i="4"/>
  <c r="T58" i="4"/>
  <c r="U58" i="4"/>
  <c r="U64" i="4"/>
  <c r="S64" i="4"/>
  <c r="R64" i="4"/>
  <c r="T65" i="4"/>
  <c r="V65" i="4"/>
  <c r="U66" i="4"/>
  <c r="W72" i="4"/>
  <c r="V73" i="4"/>
  <c r="W66" i="4"/>
  <c r="U67" i="4"/>
  <c r="S68" i="4"/>
  <c r="S73" i="4"/>
  <c r="R73" i="4"/>
  <c r="T68" i="4"/>
  <c r="R69" i="4"/>
  <c r="U68" i="4"/>
  <c r="V68" i="4"/>
  <c r="T69" i="4"/>
  <c r="R70" i="4"/>
  <c r="S74" i="4"/>
  <c r="U69" i="4"/>
  <c r="T64" i="4"/>
  <c r="R65" i="4"/>
  <c r="V69" i="4"/>
  <c r="T70" i="4"/>
  <c r="R71" i="4"/>
  <c r="S65" i="4"/>
  <c r="S71" i="4"/>
  <c r="R72" i="4"/>
  <c r="V70" i="4"/>
  <c r="T71" i="4"/>
  <c r="W74" i="4"/>
  <c r="V74" i="4"/>
  <c r="U74" i="4"/>
  <c r="U72" i="4"/>
  <c r="T73" i="4"/>
  <c r="V72" i="4"/>
  <c r="V79" i="4"/>
  <c r="W79" i="4"/>
  <c r="S80" i="4"/>
  <c r="V80" i="4"/>
  <c r="S81" i="4"/>
  <c r="T75" i="4"/>
  <c r="R76" i="4"/>
  <c r="W80" i="4"/>
  <c r="T81" i="4"/>
  <c r="T82" i="4"/>
  <c r="U75" i="4"/>
  <c r="S76" i="4"/>
  <c r="V81" i="4"/>
  <c r="U85" i="4"/>
  <c r="R77" i="4"/>
  <c r="U81" i="4"/>
  <c r="S77" i="4"/>
  <c r="W82" i="4"/>
  <c r="V82" i="4"/>
  <c r="S82" i="4"/>
  <c r="V84" i="4"/>
  <c r="T85" i="4"/>
  <c r="V76" i="4"/>
  <c r="R78" i="4"/>
  <c r="U77" i="4"/>
  <c r="S78" i="4"/>
  <c r="T78" i="4"/>
  <c r="R79" i="4"/>
  <c r="R84" i="4"/>
  <c r="S79" i="4"/>
  <c r="T79" i="4"/>
  <c r="T86" i="4"/>
  <c r="S87" i="4"/>
  <c r="W85" i="4"/>
  <c r="U86" i="4"/>
  <c r="T87" i="4"/>
  <c r="R90" i="4"/>
  <c r="W90" i="4"/>
  <c r="V90" i="4"/>
  <c r="T90" i="4"/>
  <c r="S90" i="4"/>
  <c r="V86" i="4"/>
  <c r="U87" i="4"/>
  <c r="W86" i="4"/>
  <c r="V87" i="4"/>
  <c r="U91" i="4"/>
  <c r="S88" i="4"/>
  <c r="V91" i="4"/>
  <c r="W92" i="4"/>
  <c r="V92" i="4"/>
  <c r="T92" i="4"/>
  <c r="S92" i="4"/>
  <c r="R92" i="4"/>
  <c r="T93" i="4"/>
  <c r="S93" i="4"/>
  <c r="R93" i="4"/>
  <c r="U83" i="4"/>
  <c r="S84" i="4"/>
  <c r="T88" i="4"/>
  <c r="V83" i="4"/>
  <c r="T84" i="4"/>
  <c r="R85" i="4"/>
  <c r="V88" i="4"/>
  <c r="U90" i="4"/>
  <c r="U84" i="4"/>
  <c r="S85" i="4"/>
  <c r="R87" i="4"/>
  <c r="U89" i="4"/>
  <c r="U96" i="4"/>
  <c r="W99" i="4"/>
  <c r="V99" i="4"/>
  <c r="V103" i="4"/>
  <c r="V89" i="4"/>
  <c r="R91" i="4"/>
  <c r="W94" i="4"/>
  <c r="T91" i="4"/>
  <c r="V95" i="4"/>
  <c r="S97" i="4"/>
  <c r="R95" i="4"/>
  <c r="T96" i="4"/>
  <c r="S96" i="4"/>
  <c r="R96" i="4"/>
  <c r="V96" i="4"/>
  <c r="U98" i="4"/>
  <c r="R99" i="4"/>
  <c r="S99" i="4"/>
  <c r="V97" i="4"/>
  <c r="T99" i="4"/>
  <c r="T102" i="4"/>
  <c r="U88" i="4"/>
  <c r="S89" i="4"/>
  <c r="W93" i="4"/>
  <c r="V93" i="4"/>
  <c r="U93" i="4"/>
  <c r="W97" i="4"/>
  <c r="U99" i="4"/>
  <c r="V102" i="4"/>
  <c r="V94" i="4"/>
  <c r="W95" i="4"/>
  <c r="S98" i="4"/>
  <c r="R98" i="4"/>
  <c r="W102" i="4"/>
  <c r="R103" i="4"/>
  <c r="W101" i="4"/>
  <c r="U102" i="4"/>
  <c r="S103" i="4"/>
  <c r="T97" i="4"/>
  <c r="T103" i="4"/>
  <c r="U97" i="4"/>
  <c r="U103" i="4"/>
  <c r="T94" i="4"/>
  <c r="U94" i="4"/>
  <c r="S95" i="4"/>
  <c r="U100" i="4"/>
  <c r="S101" i="4"/>
  <c r="T95" i="4"/>
  <c r="T101" i="4"/>
  <c r="R102" i="4"/>
  <c r="S102" i="4"/>
</calcChain>
</file>

<file path=xl/sharedStrings.xml><?xml version="1.0" encoding="utf-8"?>
<sst xmlns="http://schemas.openxmlformats.org/spreadsheetml/2006/main" count="320" uniqueCount="124">
  <si>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</si>
  <si>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</si>
  <si>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</si>
  <si>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</si>
  <si>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</si>
  <si>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</si>
  <si>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</si>
  <si>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</si>
  <si>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</si>
  <si>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</si>
  <si>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</si>
  <si>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</si>
  <si>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</si>
  <si>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</si>
  <si>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</si>
  <si>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</si>
  <si>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</si>
  <si>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</si>
  <si>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</si>
  <si>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</si>
  <si>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</si>
  <si>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</si>
  <si>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</si>
  <si>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</si>
  <si>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</si>
  <si>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</si>
  <si>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</si>
  <si>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</si>
  <si>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</si>
  <si>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</si>
  <si>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</si>
  <si>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</si>
  <si>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</si>
  <si>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</si>
  <si>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</si>
  <si>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</si>
  <si>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</si>
  <si>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</si>
  <si>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</si>
  <si>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</si>
  <si>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</si>
  <si>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</si>
  <si>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</si>
  <si>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</si>
  <si>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</si>
  <si>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</si>
  <si>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</si>
  <si>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</si>
  <si>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</si>
  <si>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</si>
  <si>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</si>
  <si>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</si>
  <si>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</si>
  <si>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</si>
  <si>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</si>
  <si>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</si>
  <si>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</si>
  <si>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</si>
  <si>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</si>
  <si>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</si>
  <si>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</si>
  <si>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</si>
  <si>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</si>
  <si>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</si>
  <si>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</si>
  <si>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</si>
  <si>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</si>
  <si>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</si>
  <si>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</si>
  <si>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</si>
  <si>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</si>
  <si>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</si>
  <si>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</si>
  <si>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</si>
  <si>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</si>
  <si>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</si>
  <si>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</si>
  <si>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</si>
  <si>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</si>
  <si>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</si>
  <si>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</si>
  <si>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</si>
  <si>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</si>
  <si>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</si>
  <si>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</si>
  <si>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</si>
  <si>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</si>
  <si>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</si>
  <si>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</si>
  <si>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</si>
  <si>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</si>
  <si>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</si>
  <si>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</si>
  <si>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</si>
  <si>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</si>
  <si>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</si>
  <si>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</si>
  <si>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</si>
  <si>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</si>
  <si>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</si>
  <si>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</si>
  <si>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</si>
  <si>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</si>
  <si>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</si>
  <si>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</si>
  <si>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</si>
  <si>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Peak_Line_1</t>
  </si>
  <si>
    <t>Peak_Line_2</t>
  </si>
  <si>
    <t>Peak_Line_3</t>
  </si>
  <si>
    <t>Bottom_Line_1</t>
  </si>
  <si>
    <t>Bottom_Line_2</t>
  </si>
  <si>
    <t>Bottom_Line_3</t>
  </si>
  <si>
    <t>%_To_Peak_Line_1</t>
  </si>
  <si>
    <t>%_To_Peak_Line_2</t>
  </si>
  <si>
    <t>%_To_Peak_Line_3</t>
  </si>
  <si>
    <t>%_To_Bottom_Line_1</t>
  </si>
  <si>
    <t>%_To_Bottom_Line_2</t>
  </si>
  <si>
    <t>%_To_Bottom_Line_3</t>
  </si>
  <si>
    <t>S&amp;R_Level_1</t>
  </si>
  <si>
    <t>S&amp;R_Level_2</t>
  </si>
  <si>
    <t>S&amp;R_Level_3</t>
  </si>
  <si>
    <t>S&amp;R_Level_4</t>
  </si>
  <si>
    <t>S&amp;R_Level_5</t>
  </si>
  <si>
    <t>S&amp;R_Level_6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</si>
</sst>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6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0" fillId="0" borderId="0" xfId="0" applyFill="1"/>
    <xf numFmtId="10" fontId="18" fillId="0" borderId="0" xfId="42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3:W103"/>
  <sheetViews>
    <sheetView tabSelected="1" zoomScale="50" zoomScaleNormal="50" workbookViewId="0">
      <selection activeCell="J29" sqref="J29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6" max="8" width="10.7890625" bestFit="1" customWidth="1"/>
    <col min="9" max="11" width="13.20703125" bestFit="1" customWidth="1"/>
    <col min="12" max="12" width="10" customWidth="1"/>
    <col min="13" max="13" width="10.7890625" customWidth="1"/>
    <col min="14" max="14" width="11" customWidth="1"/>
    <col min="15" max="15" width="10.83984375" customWidth="1"/>
    <col min="16" max="16" width="10.05078125" customWidth="1"/>
    <col min="17" max="17" width="10.5234375" customWidth="1"/>
    <col min="18" max="23" width="11.26171875" bestFit="1" customWidth="1"/>
    <col min="24" max="26" width="19.83984375" bestFit="1" customWidth="1"/>
  </cols>
  <sheetData>
    <row r="3" spans="1:23" s="5" customFormat="1" x14ac:dyDescent="0.55000000000000004"/>
    <row r="4" spans="1:23" ht="28.8" x14ac:dyDescent="0.55000000000000004">
      <c r="A4" s="4" t="s">
        <v>0</v>
      </c>
      <c r="B4" s="4" t="s">
        <v>104</v>
      </c>
      <c r="C4" s="4" t="s">
        <v>1</v>
      </c>
      <c r="D4" s="4" t="s">
        <v>2</v>
      </c>
      <c r="E4" s="4" t="s">
        <v>105</v>
      </c>
      <c r="F4" s="4" t="s">
        <v>106</v>
      </c>
      <c r="G4" s="4" t="s">
        <v>107</v>
      </c>
      <c r="H4" s="4" t="s">
        <v>108</v>
      </c>
      <c r="I4" s="4" t="s">
        <v>109</v>
      </c>
      <c r="J4" s="4" t="s">
        <v>110</v>
      </c>
      <c r="K4" s="4" t="s">
        <v>111</v>
      </c>
      <c r="L4" s="3" t="s">
        <v>112</v>
      </c>
      <c r="M4" s="3" t="s">
        <v>113</v>
      </c>
      <c r="N4" s="3" t="s">
        <v>114</v>
      </c>
      <c r="O4" s="3" t="s">
        <v>115</v>
      </c>
      <c r="P4" s="3" t="s">
        <v>116</v>
      </c>
      <c r="Q4" s="3" t="s">
        <v>117</v>
      </c>
      <c r="R4" s="2" t="s">
        <v>118</v>
      </c>
      <c r="S4" s="2" t="s">
        <v>119</v>
      </c>
      <c r="T4" s="2" t="s">
        <v>120</v>
      </c>
      <c r="U4" s="2" t="s">
        <v>121</v>
      </c>
      <c r="V4" s="2" t="s">
        <v>122</v>
      </c>
      <c r="W4" s="2" t="s">
        <v>123</v>
      </c>
    </row>
    <row r="5" spans="1:23" x14ac:dyDescent="0.55000000000000004">
      <c r="A5" s="1">
        <v>1</v>
      </c>
      <c r="B5" s="1" t="s">
        <v>3</v>
      </c>
      <c r="C5" s="1" t="s">
        <v>4</v>
      </c>
      <c r="D5" s="1" t="s">
        <v>103</v>
      </c>
      <c r="E5" s="1">
        <v>153.249</v>
      </c>
      <c r="F5" s="1">
        <v>153.03800000000001</v>
      </c>
      <c r="G5" s="1">
        <v>152.911</v>
      </c>
      <c r="H5" s="1">
        <v>153.27099999999999</v>
      </c>
      <c r="I5" s="1">
        <v>152.56</v>
      </c>
      <c r="J5" s="1">
        <v>152.60300000000001</v>
      </c>
      <c r="K5" s="1">
        <v>152.768</v>
      </c>
      <c r="L5" s="6">
        <f>(F5-$E5)/$E5</f>
        <v>-1.3768442208431006E-3</v>
      </c>
      <c r="M5" s="6">
        <f>(G5-$E5)/$E5</f>
        <v>-2.2055608845734319E-3</v>
      </c>
      <c r="N5" s="6">
        <f>(H5-$E5)/$E5</f>
        <v>1.4355721733904536E-4</v>
      </c>
      <c r="O5" s="6">
        <f>(I5-$E5)/$E5</f>
        <v>-4.4959510339381854E-3</v>
      </c>
      <c r="P5" s="6">
        <f>(J5-$E5)/$E5</f>
        <v>-4.2153619273208086E-3</v>
      </c>
      <c r="Q5" s="6">
        <f>(K5-$E5)/$E5</f>
        <v>-3.1386827972775975E-3</v>
      </c>
      <c r="R5" s="6">
        <f>LARGE($L5:$Q5,1)</f>
        <v>1.4355721733904536E-4</v>
      </c>
      <c r="S5" s="6">
        <f>LARGE($L5:$Q5,2)</f>
        <v>-1.3768442208431006E-3</v>
      </c>
      <c r="T5" s="6">
        <f>LARGE($L5:$Q5,3)</f>
        <v>-2.2055608845734319E-3</v>
      </c>
      <c r="U5" s="6">
        <f>LARGE($L5:$Q5,4)</f>
        <v>-3.1386827972775975E-3</v>
      </c>
      <c r="V5" s="6">
        <f>LARGE($L5:$Q5,5)</f>
        <v>-4.2153619273208086E-3</v>
      </c>
      <c r="W5" s="6">
        <f>LARGE($L5:$Q5,6)</f>
        <v>-4.4959510339381854E-3</v>
      </c>
    </row>
    <row r="6" spans="1:23" x14ac:dyDescent="0.55000000000000004">
      <c r="A6" s="1">
        <v>2</v>
      </c>
      <c r="B6" s="1" t="s">
        <v>5</v>
      </c>
      <c r="C6" s="1" t="s">
        <v>4</v>
      </c>
      <c r="D6" s="1" t="s">
        <v>103</v>
      </c>
      <c r="E6" s="1">
        <v>153.196</v>
      </c>
      <c r="F6" s="1">
        <v>153.036</v>
      </c>
      <c r="G6" s="1">
        <v>152.911</v>
      </c>
      <c r="H6" s="1">
        <v>153.26900000000001</v>
      </c>
      <c r="I6" s="1">
        <v>152.56100000000001</v>
      </c>
      <c r="J6" s="1">
        <v>152.60300000000001</v>
      </c>
      <c r="K6" s="1">
        <v>152.77000000000001</v>
      </c>
      <c r="L6" s="6">
        <f>(F6-$E6)/$E6</f>
        <v>-1.0444136922634834E-3</v>
      </c>
      <c r="M6" s="6">
        <f>(G6-$E6)/$E6</f>
        <v>-1.8603618893443471E-3</v>
      </c>
      <c r="N6" s="6">
        <f>(H6-$E6)/$E6</f>
        <v>4.7651374709527342E-4</v>
      </c>
      <c r="O6" s="6">
        <f>(I6-$E6)/$E6</f>
        <v>-4.1450168411707282E-3</v>
      </c>
      <c r="P6" s="6">
        <f>(J6-$E6)/$E6</f>
        <v>-3.8708582469515478E-3</v>
      </c>
      <c r="Q6" s="6">
        <f>(K6-$E6)/$E6</f>
        <v>-2.7807514556515037E-3</v>
      </c>
      <c r="R6" s="6">
        <f t="shared" ref="R6:R69" si="0">LARGE($L6:$Q6,1)</f>
        <v>4.7651374709527342E-4</v>
      </c>
      <c r="S6" s="6">
        <f t="shared" ref="S6:S69" si="1">LARGE($L6:$Q6,2)</f>
        <v>-1.0444136922634834E-3</v>
      </c>
      <c r="T6" s="6">
        <f t="shared" ref="T6:T69" si="2">LARGE($L6:$Q6,3)</f>
        <v>-1.8603618893443471E-3</v>
      </c>
      <c r="U6" s="6">
        <f t="shared" ref="U6:U69" si="3">LARGE($L6:$Q6,4)</f>
        <v>-2.7807514556515037E-3</v>
      </c>
      <c r="V6" s="6">
        <f t="shared" ref="V6:V69" si="4">LARGE($L6:$Q6,5)</f>
        <v>-3.8708582469515478E-3</v>
      </c>
      <c r="W6" s="6">
        <f t="shared" ref="W6:W69" si="5">LARGE($L6:$Q6,6)</f>
        <v>-4.1450168411707282E-3</v>
      </c>
    </row>
    <row r="7" spans="1:23" x14ac:dyDescent="0.55000000000000004">
      <c r="A7" s="1">
        <v>3</v>
      </c>
      <c r="B7" s="1" t="s">
        <v>6</v>
      </c>
      <c r="C7" s="1" t="s">
        <v>4</v>
      </c>
      <c r="D7" s="1" t="s">
        <v>103</v>
      </c>
      <c r="E7" s="1">
        <v>153.05000000000001</v>
      </c>
      <c r="F7" s="1">
        <v>153.03299999999999</v>
      </c>
      <c r="G7" s="1">
        <v>152.91</v>
      </c>
      <c r="H7" s="1">
        <v>153.268</v>
      </c>
      <c r="I7" s="1">
        <v>152.56200000000001</v>
      </c>
      <c r="J7" s="1">
        <v>152.602</v>
      </c>
      <c r="K7" s="1">
        <v>152.77099999999999</v>
      </c>
      <c r="L7" s="6">
        <f>(F7-$E7)/$E7</f>
        <v>-1.1107481215305016E-4</v>
      </c>
      <c r="M7" s="6">
        <f>(G7-$E7)/$E7</f>
        <v>-9.1473374714155353E-4</v>
      </c>
      <c r="N7" s="6">
        <f>(H7-$E7)/$E7</f>
        <v>1.4243711205487704E-3</v>
      </c>
      <c r="O7" s="6">
        <f>(I7-$E7)/$E7</f>
        <v>-3.1885004900359328E-3</v>
      </c>
      <c r="P7" s="6">
        <f>(J7-$E7)/$E7</f>
        <v>-2.9271479908527112E-3</v>
      </c>
      <c r="Q7" s="6">
        <f>(K7-$E7)/$E7</f>
        <v>-1.822933681803494E-3</v>
      </c>
      <c r="R7" s="6">
        <f t="shared" si="0"/>
        <v>1.4243711205487704E-3</v>
      </c>
      <c r="S7" s="6">
        <f t="shared" si="1"/>
        <v>-1.1107481215305016E-4</v>
      </c>
      <c r="T7" s="6">
        <f t="shared" si="2"/>
        <v>-9.1473374714155353E-4</v>
      </c>
      <c r="U7" s="6">
        <f t="shared" si="3"/>
        <v>-1.822933681803494E-3</v>
      </c>
      <c r="V7" s="6">
        <f t="shared" si="4"/>
        <v>-2.9271479908527112E-3</v>
      </c>
      <c r="W7" s="6">
        <f t="shared" si="5"/>
        <v>-3.1885004900359328E-3</v>
      </c>
    </row>
    <row r="8" spans="1:23" x14ac:dyDescent="0.55000000000000004">
      <c r="A8" s="1">
        <v>4</v>
      </c>
      <c r="B8" s="1" t="s">
        <v>7</v>
      </c>
      <c r="C8" s="1" t="s">
        <v>4</v>
      </c>
      <c r="D8" s="1" t="s">
        <v>103</v>
      </c>
      <c r="E8" s="1">
        <v>153.06700000000001</v>
      </c>
      <c r="F8" s="1">
        <v>153.03100000000001</v>
      </c>
      <c r="G8" s="1">
        <v>152.91</v>
      </c>
      <c r="H8" s="1">
        <v>153.26599999999999</v>
      </c>
      <c r="I8" s="1">
        <v>152.56200000000001</v>
      </c>
      <c r="J8" s="1">
        <v>152.602</v>
      </c>
      <c r="K8" s="1">
        <v>152.773</v>
      </c>
      <c r="L8" s="6">
        <f>(F8-$E8)/$E8</f>
        <v>-2.3519112545487508E-4</v>
      </c>
      <c r="M8" s="6">
        <f>(G8-$E8)/$E8</f>
        <v>-1.025694630456014E-3</v>
      </c>
      <c r="N8" s="6">
        <f>(H8-$E8)/$E8</f>
        <v>1.3000842768198491E-3</v>
      </c>
      <c r="O8" s="6">
        <f>(I8-$E8)/$E8</f>
        <v>-3.2992088431862874E-3</v>
      </c>
      <c r="P8" s="6">
        <f>(J8-$E8)/$E8</f>
        <v>-3.0378853704587103E-3</v>
      </c>
      <c r="Q8" s="6">
        <f>(K8-$E8)/$E8</f>
        <v>-1.9207275245481463E-3</v>
      </c>
      <c r="R8" s="6">
        <f t="shared" si="0"/>
        <v>1.3000842768198491E-3</v>
      </c>
      <c r="S8" s="6">
        <f t="shared" si="1"/>
        <v>-2.3519112545487508E-4</v>
      </c>
      <c r="T8" s="6">
        <f t="shared" si="2"/>
        <v>-1.025694630456014E-3</v>
      </c>
      <c r="U8" s="6">
        <f t="shared" si="3"/>
        <v>-1.9207275245481463E-3</v>
      </c>
      <c r="V8" s="6">
        <f t="shared" si="4"/>
        <v>-3.0378853704587103E-3</v>
      </c>
      <c r="W8" s="6">
        <f t="shared" si="5"/>
        <v>-3.2992088431862874E-3</v>
      </c>
    </row>
    <row r="9" spans="1:23" x14ac:dyDescent="0.55000000000000004">
      <c r="A9" s="1">
        <v>5</v>
      </c>
      <c r="B9" s="1" t="s">
        <v>8</v>
      </c>
      <c r="C9" s="1" t="s">
        <v>4</v>
      </c>
      <c r="D9" s="1" t="s">
        <v>103</v>
      </c>
      <c r="E9" s="1">
        <v>153.042</v>
      </c>
      <c r="F9" s="1">
        <v>153.029</v>
      </c>
      <c r="G9" s="1">
        <v>152.91</v>
      </c>
      <c r="H9" s="1">
        <v>153.26400000000001</v>
      </c>
      <c r="I9" s="1">
        <v>152.56299999999999</v>
      </c>
      <c r="J9" s="1">
        <v>152.602</v>
      </c>
      <c r="K9" s="1">
        <v>152.774</v>
      </c>
      <c r="L9" s="6">
        <f>(F9-$E9)/$E9</f>
        <v>-8.4944002300056391E-5</v>
      </c>
      <c r="M9" s="6">
        <f>(G9-$E9)/$E9</f>
        <v>-8.6250833104641207E-4</v>
      </c>
      <c r="N9" s="6">
        <f>(H9-$E9)/$E9</f>
        <v>1.4505821931235113E-3</v>
      </c>
      <c r="O9" s="6">
        <f>(I9-$E9)/$E9</f>
        <v>-3.1298597770547522E-3</v>
      </c>
      <c r="P9" s="6">
        <f>(J9-$E9)/$E9</f>
        <v>-2.8750277701545834E-3</v>
      </c>
      <c r="Q9" s="6">
        <f>(K9-$E9)/$E9</f>
        <v>-1.7511532781850779E-3</v>
      </c>
      <c r="R9" s="6">
        <f t="shared" si="0"/>
        <v>1.4505821931235113E-3</v>
      </c>
      <c r="S9" s="6">
        <f t="shared" si="1"/>
        <v>-8.4944002300056391E-5</v>
      </c>
      <c r="T9" s="6">
        <f t="shared" si="2"/>
        <v>-8.6250833104641207E-4</v>
      </c>
      <c r="U9" s="6">
        <f t="shared" si="3"/>
        <v>-1.7511532781850779E-3</v>
      </c>
      <c r="V9" s="6">
        <f t="shared" si="4"/>
        <v>-2.8750277701545834E-3</v>
      </c>
      <c r="W9" s="6">
        <f t="shared" si="5"/>
        <v>-3.1298597770547522E-3</v>
      </c>
    </row>
    <row r="10" spans="1:23" x14ac:dyDescent="0.55000000000000004">
      <c r="A10" s="1">
        <v>6</v>
      </c>
      <c r="B10" s="1" t="s">
        <v>9</v>
      </c>
      <c r="C10" s="1" t="s">
        <v>4</v>
      </c>
      <c r="D10" s="1" t="s">
        <v>103</v>
      </c>
      <c r="E10" s="1">
        <v>153.05000000000001</v>
      </c>
      <c r="F10" s="1">
        <v>153.02600000000001</v>
      </c>
      <c r="G10" s="1">
        <v>152.90899999999999</v>
      </c>
      <c r="H10" s="1">
        <v>153.26300000000001</v>
      </c>
      <c r="I10" s="1">
        <v>152.56399999999999</v>
      </c>
      <c r="J10" s="1">
        <v>152.602</v>
      </c>
      <c r="K10" s="1">
        <v>152.77600000000001</v>
      </c>
      <c r="L10" s="6">
        <f>(F10-$E10)/$E10</f>
        <v>-1.5681149950997001E-4</v>
      </c>
      <c r="M10" s="6">
        <f>(G10-$E10)/$E10</f>
        <v>-9.212675596211666E-4</v>
      </c>
      <c r="N10" s="6">
        <f>(H10-$E10)/$E10</f>
        <v>1.3917020581508909E-3</v>
      </c>
      <c r="O10" s="6">
        <f>(I10-$E10)/$E10</f>
        <v>-3.1754328650768922E-3</v>
      </c>
      <c r="P10" s="6">
        <f>(J10-$E10)/$E10</f>
        <v>-2.9271479908527112E-3</v>
      </c>
      <c r="Q10" s="6">
        <f>(K10-$E10)/$E10</f>
        <v>-1.7902646194054288E-3</v>
      </c>
      <c r="R10" s="6">
        <f t="shared" si="0"/>
        <v>1.3917020581508909E-3</v>
      </c>
      <c r="S10" s="6">
        <f t="shared" si="1"/>
        <v>-1.5681149950997001E-4</v>
      </c>
      <c r="T10" s="6">
        <f t="shared" si="2"/>
        <v>-9.212675596211666E-4</v>
      </c>
      <c r="U10" s="6">
        <f t="shared" si="3"/>
        <v>-1.7902646194054288E-3</v>
      </c>
      <c r="V10" s="6">
        <f t="shared" si="4"/>
        <v>-2.9271479908527112E-3</v>
      </c>
      <c r="W10" s="6">
        <f t="shared" si="5"/>
        <v>-3.1754328650768922E-3</v>
      </c>
    </row>
    <row r="11" spans="1:23" x14ac:dyDescent="0.55000000000000004">
      <c r="A11" s="1">
        <v>7</v>
      </c>
      <c r="B11" s="1" t="s">
        <v>10</v>
      </c>
      <c r="C11" s="1" t="s">
        <v>4</v>
      </c>
      <c r="D11" s="1" t="s">
        <v>103</v>
      </c>
      <c r="E11" s="1">
        <v>153.03299999999999</v>
      </c>
      <c r="F11" s="1">
        <v>153.024</v>
      </c>
      <c r="G11" s="1">
        <v>152.90899999999999</v>
      </c>
      <c r="H11" s="1">
        <v>153.261</v>
      </c>
      <c r="I11" s="1">
        <v>152.565</v>
      </c>
      <c r="J11" s="1">
        <v>152.602</v>
      </c>
      <c r="K11" s="1">
        <v>152.77799999999999</v>
      </c>
      <c r="L11" s="6">
        <f>(F11-$E11)/$E11</f>
        <v>-5.8810844719675699E-5</v>
      </c>
      <c r="M11" s="6">
        <f>(G11-$E11)/$E11</f>
        <v>-8.1028274947230491E-4</v>
      </c>
      <c r="N11" s="6">
        <f>(H11-$E11)/$E11</f>
        <v>1.4898747329008034E-3</v>
      </c>
      <c r="O11" s="6">
        <f>(I11-$E11)/$E11</f>
        <v>-3.0581639254277791E-3</v>
      </c>
      <c r="P11" s="6">
        <f>(J11-$E11)/$E11</f>
        <v>-2.8163860082464774E-3</v>
      </c>
      <c r="Q11" s="6">
        <f>(K11-$E11)/$E11</f>
        <v>-1.6663072670600164E-3</v>
      </c>
      <c r="R11" s="6">
        <f t="shared" si="0"/>
        <v>1.4898747329008034E-3</v>
      </c>
      <c r="S11" s="6">
        <f t="shared" si="1"/>
        <v>-5.8810844719675699E-5</v>
      </c>
      <c r="T11" s="6">
        <f t="shared" si="2"/>
        <v>-8.1028274947230491E-4</v>
      </c>
      <c r="U11" s="6">
        <f t="shared" si="3"/>
        <v>-1.6663072670600164E-3</v>
      </c>
      <c r="V11" s="6">
        <f t="shared" si="4"/>
        <v>-2.8163860082464774E-3</v>
      </c>
      <c r="W11" s="6">
        <f t="shared" si="5"/>
        <v>-3.0581639254277791E-3</v>
      </c>
    </row>
    <row r="12" spans="1:23" x14ac:dyDescent="0.55000000000000004">
      <c r="A12" s="1">
        <v>8</v>
      </c>
      <c r="B12" s="1" t="s">
        <v>11</v>
      </c>
      <c r="C12" s="1" t="s">
        <v>4</v>
      </c>
      <c r="D12" s="1" t="s">
        <v>103</v>
      </c>
      <c r="E12" s="1">
        <v>152.999</v>
      </c>
      <c r="F12" s="1">
        <v>153.02099999999999</v>
      </c>
      <c r="G12" s="1">
        <v>152.90799999999999</v>
      </c>
      <c r="H12" s="1">
        <v>153.25899999999999</v>
      </c>
      <c r="I12" s="1">
        <v>152.565</v>
      </c>
      <c r="J12" s="1">
        <v>152.601</v>
      </c>
      <c r="K12" s="1">
        <v>152.779</v>
      </c>
      <c r="L12" s="6">
        <f>(F12-$E12)/$E12</f>
        <v>1.4379178948876372E-4</v>
      </c>
      <c r="M12" s="6">
        <f>(G12-$E12)/$E12</f>
        <v>-5.9477512924926426E-4</v>
      </c>
      <c r="N12" s="6">
        <f>(H12-$E12)/$E12</f>
        <v>1.6993575121405427E-3</v>
      </c>
      <c r="O12" s="6">
        <f>(I12-$E12)/$E12</f>
        <v>-2.8366198471885275E-3</v>
      </c>
      <c r="P12" s="6">
        <f>(J12-$E12)/$E12</f>
        <v>-2.6013241916613581E-3</v>
      </c>
      <c r="Q12" s="6">
        <f>(K12-$E12)/$E12</f>
        <v>-1.4379178948881945E-3</v>
      </c>
      <c r="R12" s="6">
        <f t="shared" si="0"/>
        <v>1.6993575121405427E-3</v>
      </c>
      <c r="S12" s="6">
        <f t="shared" si="1"/>
        <v>1.4379178948876372E-4</v>
      </c>
      <c r="T12" s="6">
        <f t="shared" si="2"/>
        <v>-5.9477512924926426E-4</v>
      </c>
      <c r="U12" s="6">
        <f t="shared" si="3"/>
        <v>-1.4379178948881945E-3</v>
      </c>
      <c r="V12" s="6">
        <f t="shared" si="4"/>
        <v>-2.6013241916613581E-3</v>
      </c>
      <c r="W12" s="6">
        <f t="shared" si="5"/>
        <v>-2.8366198471885275E-3</v>
      </c>
    </row>
    <row r="13" spans="1:23" x14ac:dyDescent="0.55000000000000004">
      <c r="A13" s="1">
        <v>9</v>
      </c>
      <c r="B13" s="1" t="s">
        <v>12</v>
      </c>
      <c r="C13" s="1" t="s">
        <v>4</v>
      </c>
      <c r="D13" s="1" t="s">
        <v>103</v>
      </c>
      <c r="E13" s="1">
        <v>152.999</v>
      </c>
      <c r="F13" s="1">
        <v>153.01900000000001</v>
      </c>
      <c r="G13" s="1">
        <v>152.90799999999999</v>
      </c>
      <c r="H13" s="1">
        <v>153.25800000000001</v>
      </c>
      <c r="I13" s="1">
        <v>152.566</v>
      </c>
      <c r="J13" s="1">
        <v>152.601</v>
      </c>
      <c r="K13" s="1">
        <v>152.78100000000001</v>
      </c>
      <c r="L13" s="6">
        <f>(F13-$E13)/$E13</f>
        <v>1.3071980862626705E-4</v>
      </c>
      <c r="M13" s="6">
        <f>(G13-$E13)/$E13</f>
        <v>-5.9477512924926426E-4</v>
      </c>
      <c r="N13" s="6">
        <f>(H13-$E13)/$E13</f>
        <v>1.6928215217093874E-3</v>
      </c>
      <c r="O13" s="6">
        <f>(I13-$E13)/$E13</f>
        <v>-2.8300838567571862E-3</v>
      </c>
      <c r="P13" s="6">
        <f>(J13-$E13)/$E13</f>
        <v>-2.6013241916613581E-3</v>
      </c>
      <c r="Q13" s="6">
        <f>(K13-$E13)/$E13</f>
        <v>-1.4248459140255121E-3</v>
      </c>
      <c r="R13" s="6">
        <f t="shared" si="0"/>
        <v>1.6928215217093874E-3</v>
      </c>
      <c r="S13" s="6">
        <f t="shared" si="1"/>
        <v>1.3071980862626705E-4</v>
      </c>
      <c r="T13" s="6">
        <f t="shared" si="2"/>
        <v>-5.9477512924926426E-4</v>
      </c>
      <c r="U13" s="6">
        <f t="shared" si="3"/>
        <v>-1.4248459140255121E-3</v>
      </c>
      <c r="V13" s="6">
        <f t="shared" si="4"/>
        <v>-2.6013241916613581E-3</v>
      </c>
      <c r="W13" s="6">
        <f t="shared" si="5"/>
        <v>-2.8300838567571862E-3</v>
      </c>
    </row>
    <row r="14" spans="1:23" x14ac:dyDescent="0.55000000000000004">
      <c r="A14" s="1">
        <v>10</v>
      </c>
      <c r="B14" s="1" t="s">
        <v>13</v>
      </c>
      <c r="C14" s="1" t="s">
        <v>4</v>
      </c>
      <c r="D14" s="1" t="s">
        <v>103</v>
      </c>
      <c r="E14" s="1">
        <v>152.89699999999999</v>
      </c>
      <c r="F14" s="1">
        <v>153.01599999999999</v>
      </c>
      <c r="G14" s="1">
        <v>152.90799999999999</v>
      </c>
      <c r="H14" s="1">
        <v>153.256</v>
      </c>
      <c r="I14" s="1">
        <v>152.56700000000001</v>
      </c>
      <c r="J14" s="1">
        <v>152.601</v>
      </c>
      <c r="K14" s="1">
        <v>152.78200000000001</v>
      </c>
      <c r="L14" s="6">
        <f>(F14-$E14)/$E14</f>
        <v>7.7830173253889729E-4</v>
      </c>
      <c r="M14" s="6">
        <f>(G14-$E14)/$E14</f>
        <v>7.1943857629617848E-5</v>
      </c>
      <c r="N14" s="6">
        <f>(H14-$E14)/$E14</f>
        <v>2.3479858990039628E-3</v>
      </c>
      <c r="O14" s="6">
        <f>(I14-$E14)/$E14</f>
        <v>-2.1583157288892793E-3</v>
      </c>
      <c r="P14" s="6">
        <f>(J14-$E14)/$E14</f>
        <v>-1.9359438053067901E-3</v>
      </c>
      <c r="Q14" s="6">
        <f>(K14-$E14)/$E14</f>
        <v>-7.5214032976435557E-4</v>
      </c>
      <c r="R14" s="6">
        <f t="shared" si="0"/>
        <v>2.3479858990039628E-3</v>
      </c>
      <c r="S14" s="6">
        <f t="shared" si="1"/>
        <v>7.7830173253889729E-4</v>
      </c>
      <c r="T14" s="6">
        <f t="shared" si="2"/>
        <v>7.1943857629617848E-5</v>
      </c>
      <c r="U14" s="6">
        <f t="shared" si="3"/>
        <v>-7.5214032976435557E-4</v>
      </c>
      <c r="V14" s="6">
        <f t="shared" si="4"/>
        <v>-1.9359438053067901E-3</v>
      </c>
      <c r="W14" s="6">
        <f t="shared" si="5"/>
        <v>-2.1583157288892793E-3</v>
      </c>
    </row>
    <row r="15" spans="1:23" x14ac:dyDescent="0.55000000000000004">
      <c r="A15" s="1">
        <v>11</v>
      </c>
      <c r="B15" s="1" t="s">
        <v>14</v>
      </c>
      <c r="C15" s="1" t="s">
        <v>4</v>
      </c>
      <c r="D15" s="1" t="s">
        <v>103</v>
      </c>
      <c r="E15" s="1">
        <v>152.91</v>
      </c>
      <c r="F15" s="1">
        <v>153.01400000000001</v>
      </c>
      <c r="G15" s="1">
        <v>152.90700000000001</v>
      </c>
      <c r="H15" s="1">
        <v>153.255</v>
      </c>
      <c r="I15" s="1">
        <v>152.56800000000001</v>
      </c>
      <c r="J15" s="1">
        <v>152.601</v>
      </c>
      <c r="K15" s="1">
        <v>152.78399999999999</v>
      </c>
      <c r="L15" s="6">
        <f>(F15-$E15)/$E15</f>
        <v>6.8013864364667724E-4</v>
      </c>
      <c r="M15" s="6">
        <f>(G15-$E15)/$E15</f>
        <v>-1.9619383951251736E-5</v>
      </c>
      <c r="N15" s="6">
        <f>(H15-$E15)/$E15</f>
        <v>2.2562291544045445E-3</v>
      </c>
      <c r="O15" s="6">
        <f>(I15-$E15)/$E15</f>
        <v>-2.2366097704531068E-3</v>
      </c>
      <c r="P15" s="6">
        <f>(J15-$E15)/$E15</f>
        <v>-2.0207965469884082E-3</v>
      </c>
      <c r="Q15" s="6">
        <f>(K15-$E15)/$E15</f>
        <v>-8.2401412595647624E-4</v>
      </c>
      <c r="R15" s="6">
        <f t="shared" si="0"/>
        <v>2.2562291544045445E-3</v>
      </c>
      <c r="S15" s="6">
        <f t="shared" si="1"/>
        <v>6.8013864364667724E-4</v>
      </c>
      <c r="T15" s="6">
        <f t="shared" si="2"/>
        <v>-1.9619383951251736E-5</v>
      </c>
      <c r="U15" s="6">
        <f t="shared" si="3"/>
        <v>-8.2401412595647624E-4</v>
      </c>
      <c r="V15" s="6">
        <f t="shared" si="4"/>
        <v>-2.0207965469884082E-3</v>
      </c>
      <c r="W15" s="6">
        <f t="shared" si="5"/>
        <v>-2.2366097704531068E-3</v>
      </c>
    </row>
    <row r="16" spans="1:23" x14ac:dyDescent="0.55000000000000004">
      <c r="A16" s="1">
        <v>12</v>
      </c>
      <c r="B16" s="1" t="s">
        <v>15</v>
      </c>
      <c r="C16" s="1" t="s">
        <v>4</v>
      </c>
      <c r="D16" s="1" t="s">
        <v>103</v>
      </c>
      <c r="E16" s="1">
        <v>152.87700000000001</v>
      </c>
      <c r="F16" s="1">
        <v>153.012</v>
      </c>
      <c r="G16" s="1">
        <v>152.90700000000001</v>
      </c>
      <c r="H16" s="1">
        <v>153.25299999999999</v>
      </c>
      <c r="I16" s="1">
        <v>152.56899999999999</v>
      </c>
      <c r="J16" s="1">
        <v>152.6</v>
      </c>
      <c r="K16" s="1">
        <v>152.785</v>
      </c>
      <c r="L16" s="6">
        <f>(F16-$E16)/$E16</f>
        <v>8.8306285445155844E-4</v>
      </c>
      <c r="M16" s="6">
        <f>(G16-$E16)/$E16</f>
        <v>1.9623618987814475E-4</v>
      </c>
      <c r="N16" s="6">
        <f>(H16-$E16)/$E16</f>
        <v>2.4594935798058328E-3</v>
      </c>
      <c r="O16" s="6">
        <f>(I16-$E16)/$E16</f>
        <v>-2.0146915494156812E-3</v>
      </c>
      <c r="P16" s="6">
        <f>(J16-$E16)/$E16</f>
        <v>-1.8119141532082343E-3</v>
      </c>
      <c r="Q16" s="6">
        <f>(K16-$E16)/$E16</f>
        <v>-6.0179098229303917E-4</v>
      </c>
      <c r="R16" s="6">
        <f t="shared" si="0"/>
        <v>2.4594935798058328E-3</v>
      </c>
      <c r="S16" s="6">
        <f t="shared" si="1"/>
        <v>8.8306285445155844E-4</v>
      </c>
      <c r="T16" s="6">
        <f t="shared" si="2"/>
        <v>1.9623618987814475E-4</v>
      </c>
      <c r="U16" s="6">
        <f t="shared" si="3"/>
        <v>-6.0179098229303917E-4</v>
      </c>
      <c r="V16" s="6">
        <f t="shared" si="4"/>
        <v>-1.8119141532082343E-3</v>
      </c>
      <c r="W16" s="6">
        <f t="shared" si="5"/>
        <v>-2.0146915494156812E-3</v>
      </c>
    </row>
    <row r="17" spans="1:23" x14ac:dyDescent="0.55000000000000004">
      <c r="A17" s="1">
        <v>13</v>
      </c>
      <c r="B17" s="1" t="s">
        <v>16</v>
      </c>
      <c r="C17" s="1" t="s">
        <v>4</v>
      </c>
      <c r="D17" s="1" t="s">
        <v>103</v>
      </c>
      <c r="E17" s="1">
        <v>152.96600000000001</v>
      </c>
      <c r="F17" s="1">
        <v>153.00899999999999</v>
      </c>
      <c r="G17" s="1">
        <v>152.90700000000001</v>
      </c>
      <c r="H17" s="1">
        <v>153.251</v>
      </c>
      <c r="I17" s="1">
        <v>152.56899999999999</v>
      </c>
      <c r="J17" s="1">
        <v>152.6</v>
      </c>
      <c r="K17" s="1">
        <v>152.78700000000001</v>
      </c>
      <c r="L17" s="6">
        <f>(F17-$E17)/$E17</f>
        <v>2.8110822012720435E-4</v>
      </c>
      <c r="M17" s="6">
        <f>(G17-$E17)/$E17</f>
        <v>-3.8570662761657816E-4</v>
      </c>
      <c r="N17" s="6">
        <f>(H17-$E17)/$E17</f>
        <v>1.8631591334021716E-3</v>
      </c>
      <c r="O17" s="6">
        <f>(I17-$E17)/$E17</f>
        <v>-2.595347985827045E-3</v>
      </c>
      <c r="P17" s="6">
        <f>(J17-$E17)/$E17</f>
        <v>-2.3926885713165921E-3</v>
      </c>
      <c r="Q17" s="6">
        <f>(K17-$E17)/$E17</f>
        <v>-1.1701946837859526E-3</v>
      </c>
      <c r="R17" s="6">
        <f t="shared" si="0"/>
        <v>1.8631591334021716E-3</v>
      </c>
      <c r="S17" s="6">
        <f t="shared" si="1"/>
        <v>2.8110822012720435E-4</v>
      </c>
      <c r="T17" s="6">
        <f t="shared" si="2"/>
        <v>-3.8570662761657816E-4</v>
      </c>
      <c r="U17" s="6">
        <f t="shared" si="3"/>
        <v>-1.1701946837859526E-3</v>
      </c>
      <c r="V17" s="6">
        <f t="shared" si="4"/>
        <v>-2.3926885713165921E-3</v>
      </c>
      <c r="W17" s="6">
        <f t="shared" si="5"/>
        <v>-2.595347985827045E-3</v>
      </c>
    </row>
    <row r="18" spans="1:23" x14ac:dyDescent="0.55000000000000004">
      <c r="A18" s="1">
        <v>14</v>
      </c>
      <c r="B18" s="1" t="s">
        <v>17</v>
      </c>
      <c r="C18" s="1" t="s">
        <v>4</v>
      </c>
      <c r="D18" s="1" t="s">
        <v>103</v>
      </c>
      <c r="E18" s="1">
        <v>153.02000000000001</v>
      </c>
      <c r="F18" s="1">
        <v>153.00700000000001</v>
      </c>
      <c r="G18" s="1">
        <v>152.90600000000001</v>
      </c>
      <c r="H18" s="1">
        <v>153.25</v>
      </c>
      <c r="I18" s="1">
        <v>152.57</v>
      </c>
      <c r="J18" s="1">
        <v>152.6</v>
      </c>
      <c r="K18" s="1">
        <v>152.78899999999999</v>
      </c>
      <c r="L18" s="6">
        <f>(F18-$E18)/$E18</f>
        <v>-8.4956214873906866E-5</v>
      </c>
      <c r="M18" s="6">
        <f>(G18-$E18)/$E18</f>
        <v>-7.4500065350937335E-4</v>
      </c>
      <c r="N18" s="6">
        <f>(H18-$E18)/$E18</f>
        <v>1.5030714939222962E-3</v>
      </c>
      <c r="O18" s="6">
        <f>(I18-$E18)/$E18</f>
        <v>-2.9407920533264737E-3</v>
      </c>
      <c r="P18" s="6">
        <f>(J18-$E18)/$E18</f>
        <v>-2.7447392497713754E-3</v>
      </c>
      <c r="Q18" s="6">
        <f>(K18-$E18)/$E18</f>
        <v>-1.5096065873743494E-3</v>
      </c>
      <c r="R18" s="6">
        <f t="shared" si="0"/>
        <v>1.5030714939222962E-3</v>
      </c>
      <c r="S18" s="6">
        <f t="shared" si="1"/>
        <v>-8.4956214873906866E-5</v>
      </c>
      <c r="T18" s="6">
        <f t="shared" si="2"/>
        <v>-7.4500065350937335E-4</v>
      </c>
      <c r="U18" s="6">
        <f t="shared" si="3"/>
        <v>-1.5096065873743494E-3</v>
      </c>
      <c r="V18" s="6">
        <f t="shared" si="4"/>
        <v>-2.7447392497713754E-3</v>
      </c>
      <c r="W18" s="6">
        <f t="shared" si="5"/>
        <v>-2.9407920533264737E-3</v>
      </c>
    </row>
    <row r="19" spans="1:23" x14ac:dyDescent="0.55000000000000004">
      <c r="A19" s="1">
        <v>15</v>
      </c>
      <c r="B19" s="1" t="s">
        <v>18</v>
      </c>
      <c r="C19" s="1" t="s">
        <v>4</v>
      </c>
      <c r="D19" s="1" t="s">
        <v>103</v>
      </c>
      <c r="E19" s="1">
        <v>153.04900000000001</v>
      </c>
      <c r="F19" s="1">
        <v>153.00399999999999</v>
      </c>
      <c r="G19" s="1">
        <v>152.90600000000001</v>
      </c>
      <c r="H19" s="1">
        <v>153.24799999999999</v>
      </c>
      <c r="I19" s="1">
        <v>152.571</v>
      </c>
      <c r="J19" s="1">
        <v>152.6</v>
      </c>
      <c r="K19" s="1">
        <v>152.79</v>
      </c>
      <c r="L19" s="6">
        <f>(F19-$E19)/$E19</f>
        <v>-2.9402348267558697E-4</v>
      </c>
      <c r="M19" s="6">
        <f>(G19-$E19)/$E19</f>
        <v>-9.3434128939098382E-4</v>
      </c>
      <c r="N19" s="6">
        <f>(H19-$E19)/$E19</f>
        <v>1.3002371789425861E-3</v>
      </c>
      <c r="O19" s="6">
        <f>(I19-$E19)/$E19</f>
        <v>-3.1231827715307425E-3</v>
      </c>
      <c r="P19" s="6">
        <f>(J19-$E19)/$E19</f>
        <v>-2.9337009715843438E-3</v>
      </c>
      <c r="Q19" s="6">
        <f>(K19-$E19)/$E19</f>
        <v>-1.692268489176764E-3</v>
      </c>
      <c r="R19" s="6">
        <f t="shared" si="0"/>
        <v>1.3002371789425861E-3</v>
      </c>
      <c r="S19" s="6">
        <f t="shared" si="1"/>
        <v>-2.9402348267558697E-4</v>
      </c>
      <c r="T19" s="6">
        <f t="shared" si="2"/>
        <v>-9.3434128939098382E-4</v>
      </c>
      <c r="U19" s="6">
        <f t="shared" si="3"/>
        <v>-1.692268489176764E-3</v>
      </c>
      <c r="V19" s="6">
        <f t="shared" si="4"/>
        <v>-2.9337009715843438E-3</v>
      </c>
      <c r="W19" s="6">
        <f t="shared" si="5"/>
        <v>-3.1231827715307425E-3</v>
      </c>
    </row>
    <row r="20" spans="1:23" x14ac:dyDescent="0.55000000000000004">
      <c r="A20" s="1">
        <v>16</v>
      </c>
      <c r="B20" s="1" t="s">
        <v>19</v>
      </c>
      <c r="C20" s="1" t="s">
        <v>4</v>
      </c>
      <c r="D20" s="1" t="s">
        <v>103</v>
      </c>
      <c r="E20" s="1">
        <v>153.04499999999999</v>
      </c>
      <c r="F20" s="1">
        <v>153.00200000000001</v>
      </c>
      <c r="G20" s="1">
        <v>152.905</v>
      </c>
      <c r="H20" s="1">
        <v>153.24600000000001</v>
      </c>
      <c r="I20" s="1">
        <v>152.572</v>
      </c>
      <c r="J20" s="1">
        <v>152.59899999999999</v>
      </c>
      <c r="K20" s="1">
        <v>152.792</v>
      </c>
      <c r="L20" s="6">
        <f>(F20-$E20)/$E20</f>
        <v>-2.8096311542342414E-4</v>
      </c>
      <c r="M20" s="6">
        <f>(G20-$E20)/$E20</f>
        <v>-9.1476363161152846E-4</v>
      </c>
      <c r="N20" s="6">
        <f>(H20-$E20)/$E20</f>
        <v>1.3133392139568221E-3</v>
      </c>
      <c r="O20" s="6">
        <f>(I20-$E20)/$E20</f>
        <v>-3.0905942696591512E-3</v>
      </c>
      <c r="P20" s="6">
        <f>(J20-$E20)/$E20</f>
        <v>-2.9141755692769968E-3</v>
      </c>
      <c r="Q20" s="6">
        <f>(K20-$E20)/$E20</f>
        <v>-1.6531085628409025E-3</v>
      </c>
      <c r="R20" s="6">
        <f t="shared" si="0"/>
        <v>1.3133392139568221E-3</v>
      </c>
      <c r="S20" s="6">
        <f t="shared" si="1"/>
        <v>-2.8096311542342414E-4</v>
      </c>
      <c r="T20" s="6">
        <f t="shared" si="2"/>
        <v>-9.1476363161152846E-4</v>
      </c>
      <c r="U20" s="6">
        <f t="shared" si="3"/>
        <v>-1.6531085628409025E-3</v>
      </c>
      <c r="V20" s="6">
        <f t="shared" si="4"/>
        <v>-2.9141755692769968E-3</v>
      </c>
      <c r="W20" s="6">
        <f t="shared" si="5"/>
        <v>-3.0905942696591512E-3</v>
      </c>
    </row>
    <row r="21" spans="1:23" x14ac:dyDescent="0.55000000000000004">
      <c r="A21" s="1">
        <v>17</v>
      </c>
      <c r="B21" s="1" t="s">
        <v>20</v>
      </c>
      <c r="C21" s="1" t="s">
        <v>4</v>
      </c>
      <c r="D21" s="1" t="s">
        <v>103</v>
      </c>
      <c r="E21" s="1">
        <v>152.96199999999999</v>
      </c>
      <c r="F21" s="1">
        <v>152.999</v>
      </c>
      <c r="G21" s="1">
        <v>152.905</v>
      </c>
      <c r="H21" s="1">
        <v>153.245</v>
      </c>
      <c r="I21" s="1">
        <v>152.572</v>
      </c>
      <c r="J21" s="1">
        <v>152.59899999999999</v>
      </c>
      <c r="K21" s="1">
        <v>152.79300000000001</v>
      </c>
      <c r="L21" s="6">
        <f>(F21-$E21)/$E21</f>
        <v>2.4189014264984859E-4</v>
      </c>
      <c r="M21" s="6">
        <f>(G21-$E21)/$E21</f>
        <v>-3.7264157110908559E-4</v>
      </c>
      <c r="N21" s="6">
        <f>(H21-$E21)/$E21</f>
        <v>1.8501327126999876E-3</v>
      </c>
      <c r="O21" s="6">
        <f>(I21-$E21)/$E21</f>
        <v>-2.5496528549573514E-3</v>
      </c>
      <c r="P21" s="6">
        <f>(J21-$E21)/$E21</f>
        <v>-2.3731384265373071E-3</v>
      </c>
      <c r="Q21" s="6">
        <f>(K21-$E21)/$E21</f>
        <v>-1.1048495704814446E-3</v>
      </c>
      <c r="R21" s="6">
        <f t="shared" si="0"/>
        <v>1.8501327126999876E-3</v>
      </c>
      <c r="S21" s="6">
        <f t="shared" si="1"/>
        <v>2.4189014264984859E-4</v>
      </c>
      <c r="T21" s="6">
        <f t="shared" si="2"/>
        <v>-3.7264157110908559E-4</v>
      </c>
      <c r="U21" s="6">
        <f t="shared" si="3"/>
        <v>-1.1048495704814446E-3</v>
      </c>
      <c r="V21" s="6">
        <f t="shared" si="4"/>
        <v>-2.3731384265373071E-3</v>
      </c>
      <c r="W21" s="6">
        <f t="shared" si="5"/>
        <v>-2.5496528549573514E-3</v>
      </c>
    </row>
    <row r="22" spans="1:23" x14ac:dyDescent="0.55000000000000004">
      <c r="A22" s="1">
        <v>18</v>
      </c>
      <c r="B22" s="1" t="s">
        <v>21</v>
      </c>
      <c r="C22" s="1" t="s">
        <v>4</v>
      </c>
      <c r="D22" s="1" t="s">
        <v>103</v>
      </c>
      <c r="E22" s="1">
        <v>153.04599999999999</v>
      </c>
      <c r="F22" s="1">
        <v>152.99700000000001</v>
      </c>
      <c r="G22" s="1">
        <v>152.905</v>
      </c>
      <c r="H22" s="1">
        <v>153.24299999999999</v>
      </c>
      <c r="I22" s="1">
        <v>152.57300000000001</v>
      </c>
      <c r="J22" s="1">
        <v>152.59899999999999</v>
      </c>
      <c r="K22" s="1">
        <v>152.79499999999999</v>
      </c>
      <c r="L22" s="6">
        <f>(F22-$E22)/$E22</f>
        <v>-3.2016517909633821E-4</v>
      </c>
      <c r="M22" s="6">
        <f>(G22-$E22)/$E22</f>
        <v>-9.2129163780818276E-4</v>
      </c>
      <c r="N22" s="6">
        <f>(H22-$E22)/$E22</f>
        <v>1.287194699632808E-3</v>
      </c>
      <c r="O22" s="6">
        <f>(I22-$E22)/$E22</f>
        <v>-3.0905740757679705E-3</v>
      </c>
      <c r="P22" s="6">
        <f>(J22-$E22)/$E22</f>
        <v>-2.920690511349547E-3</v>
      </c>
      <c r="Q22" s="6">
        <f>(K22-$E22)/$E22</f>
        <v>-1.6400297949636369E-3</v>
      </c>
      <c r="R22" s="6">
        <f t="shared" si="0"/>
        <v>1.287194699632808E-3</v>
      </c>
      <c r="S22" s="6">
        <f t="shared" si="1"/>
        <v>-3.2016517909633821E-4</v>
      </c>
      <c r="T22" s="6">
        <f t="shared" si="2"/>
        <v>-9.2129163780818276E-4</v>
      </c>
      <c r="U22" s="6">
        <f t="shared" si="3"/>
        <v>-1.6400297949636369E-3</v>
      </c>
      <c r="V22" s="6">
        <f t="shared" si="4"/>
        <v>-2.920690511349547E-3</v>
      </c>
      <c r="W22" s="6">
        <f t="shared" si="5"/>
        <v>-3.0905740757679705E-3</v>
      </c>
    </row>
    <row r="23" spans="1:23" x14ac:dyDescent="0.55000000000000004">
      <c r="A23" s="1">
        <v>19</v>
      </c>
      <c r="B23" s="1" t="s">
        <v>22</v>
      </c>
      <c r="C23" s="1" t="s">
        <v>4</v>
      </c>
      <c r="D23" s="1" t="s">
        <v>103</v>
      </c>
      <c r="E23" s="1">
        <v>153.04599999999999</v>
      </c>
      <c r="F23" s="1">
        <v>152.995</v>
      </c>
      <c r="G23" s="1">
        <v>152.904</v>
      </c>
      <c r="H23" s="1">
        <v>153.24100000000001</v>
      </c>
      <c r="I23" s="1">
        <v>152.57400000000001</v>
      </c>
      <c r="J23" s="1">
        <v>152.59899999999999</v>
      </c>
      <c r="K23" s="1">
        <v>152.79599999999999</v>
      </c>
      <c r="L23" s="6">
        <f>(F23-$E23)/$E23</f>
        <v>-3.3323314559013451E-4</v>
      </c>
      <c r="M23" s="6">
        <f>(G23-$E23)/$E23</f>
        <v>-9.2782562105508091E-4</v>
      </c>
      <c r="N23" s="6">
        <f>(H23-$E23)/$E23</f>
        <v>1.2741267331391973E-3</v>
      </c>
      <c r="O23" s="6">
        <f>(I23-$E23)/$E23</f>
        <v>-3.0840400925210721E-3</v>
      </c>
      <c r="P23" s="6">
        <f>(J23-$E23)/$E23</f>
        <v>-2.920690511349547E-3</v>
      </c>
      <c r="Q23" s="6">
        <f>(K23-$E23)/$E23</f>
        <v>-1.6334958117167387E-3</v>
      </c>
      <c r="R23" s="6">
        <f t="shared" si="0"/>
        <v>1.2741267331391973E-3</v>
      </c>
      <c r="S23" s="6">
        <f t="shared" si="1"/>
        <v>-3.3323314559013451E-4</v>
      </c>
      <c r="T23" s="6">
        <f t="shared" si="2"/>
        <v>-9.2782562105508091E-4</v>
      </c>
      <c r="U23" s="6">
        <f t="shared" si="3"/>
        <v>-1.6334958117167387E-3</v>
      </c>
      <c r="V23" s="6">
        <f t="shared" si="4"/>
        <v>-2.920690511349547E-3</v>
      </c>
      <c r="W23" s="6">
        <f t="shared" si="5"/>
        <v>-3.0840400925210721E-3</v>
      </c>
    </row>
    <row r="24" spans="1:23" x14ac:dyDescent="0.55000000000000004">
      <c r="A24" s="1">
        <v>20</v>
      </c>
      <c r="B24" s="1" t="s">
        <v>23</v>
      </c>
      <c r="C24" s="1" t="s">
        <v>4</v>
      </c>
      <c r="D24" s="1" t="s">
        <v>103</v>
      </c>
      <c r="E24" s="1">
        <v>153.09</v>
      </c>
      <c r="F24" s="1">
        <v>152.99199999999999</v>
      </c>
      <c r="G24" s="1">
        <v>152.904</v>
      </c>
      <c r="H24" s="1">
        <v>153.24</v>
      </c>
      <c r="I24" s="1">
        <v>152.57499999999999</v>
      </c>
      <c r="J24" s="1">
        <v>152.59899999999999</v>
      </c>
      <c r="K24" s="1">
        <v>152.798</v>
      </c>
      <c r="L24" s="6">
        <f>(F24-$E24)/$E24</f>
        <v>-6.4014631915875093E-4</v>
      </c>
      <c r="M24" s="6">
        <f>(G24-$E24)/$E24</f>
        <v>-1.2149715853420017E-3</v>
      </c>
      <c r="N24" s="6">
        <f>(H24-$E24)/$E24</f>
        <v>9.7981579463064664E-4</v>
      </c>
      <c r="O24" s="6">
        <f>(I24-$E24)/$E24</f>
        <v>-3.3640342282318554E-3</v>
      </c>
      <c r="P24" s="6">
        <f>(J24-$E24)/$E24</f>
        <v>-3.2072637010909519E-3</v>
      </c>
      <c r="Q24" s="6">
        <f>(K24-$E24)/$E24</f>
        <v>-1.90737474688093E-3</v>
      </c>
      <c r="R24" s="6">
        <f t="shared" si="0"/>
        <v>9.7981579463064664E-4</v>
      </c>
      <c r="S24" s="6">
        <f t="shared" si="1"/>
        <v>-6.4014631915875093E-4</v>
      </c>
      <c r="T24" s="6">
        <f t="shared" si="2"/>
        <v>-1.2149715853420017E-3</v>
      </c>
      <c r="U24" s="6">
        <f t="shared" si="3"/>
        <v>-1.90737474688093E-3</v>
      </c>
      <c r="V24" s="6">
        <f t="shared" si="4"/>
        <v>-3.2072637010909519E-3</v>
      </c>
      <c r="W24" s="6">
        <f t="shared" si="5"/>
        <v>-3.3640342282318554E-3</v>
      </c>
    </row>
    <row r="25" spans="1:23" x14ac:dyDescent="0.55000000000000004">
      <c r="A25" s="1">
        <v>21</v>
      </c>
      <c r="B25" s="1" t="s">
        <v>24</v>
      </c>
      <c r="C25" s="1" t="s">
        <v>4</v>
      </c>
      <c r="D25" s="1" t="s">
        <v>103</v>
      </c>
      <c r="E25" s="1">
        <v>153.001</v>
      </c>
      <c r="F25" s="1">
        <v>152.99</v>
      </c>
      <c r="G25" s="1">
        <v>152.904</v>
      </c>
      <c r="H25" s="1">
        <v>153.238</v>
      </c>
      <c r="I25" s="1">
        <v>152.57499999999999</v>
      </c>
      <c r="J25" s="1">
        <v>152.59800000000001</v>
      </c>
      <c r="K25" s="1">
        <v>152.80000000000001</v>
      </c>
      <c r="L25" s="6">
        <f>(F25-$E25)/$E25</f>
        <v>-7.1894954934906825E-5</v>
      </c>
      <c r="M25" s="6">
        <f>(G25-$E25)/$E25</f>
        <v>-6.3398278442630056E-4</v>
      </c>
      <c r="N25" s="6">
        <f>(H25-$E25)/$E25</f>
        <v>1.5490094835981121E-3</v>
      </c>
      <c r="O25" s="6">
        <f>(I25-$E25)/$E25</f>
        <v>-2.7842955274803181E-3</v>
      </c>
      <c r="P25" s="6">
        <f>(J25-$E25)/$E25</f>
        <v>-2.6339697126162025E-3</v>
      </c>
      <c r="Q25" s="6">
        <f>(K25-$E25)/$E25</f>
        <v>-1.3137169038110431E-3</v>
      </c>
      <c r="R25" s="6">
        <f t="shared" si="0"/>
        <v>1.5490094835981121E-3</v>
      </c>
      <c r="S25" s="6">
        <f t="shared" si="1"/>
        <v>-7.1894954934906825E-5</v>
      </c>
      <c r="T25" s="6">
        <f t="shared" si="2"/>
        <v>-6.3398278442630056E-4</v>
      </c>
      <c r="U25" s="6">
        <f t="shared" si="3"/>
        <v>-1.3137169038110431E-3</v>
      </c>
      <c r="V25" s="6">
        <f t="shared" si="4"/>
        <v>-2.6339697126162025E-3</v>
      </c>
      <c r="W25" s="6">
        <f t="shared" si="5"/>
        <v>-2.7842955274803181E-3</v>
      </c>
    </row>
    <row r="26" spans="1:23" x14ac:dyDescent="0.55000000000000004">
      <c r="A26" s="1">
        <v>22</v>
      </c>
      <c r="B26" s="1" t="s">
        <v>25</v>
      </c>
      <c r="C26" s="1" t="s">
        <v>4</v>
      </c>
      <c r="D26" s="1" t="s">
        <v>103</v>
      </c>
      <c r="E26" s="1">
        <v>153.036</v>
      </c>
      <c r="F26" s="1">
        <v>152.98699999999999</v>
      </c>
      <c r="G26" s="1">
        <v>152.90299999999999</v>
      </c>
      <c r="H26" s="1">
        <v>153.23599999999999</v>
      </c>
      <c r="I26" s="1">
        <v>152.57599999999999</v>
      </c>
      <c r="J26" s="1">
        <v>152.59800000000001</v>
      </c>
      <c r="K26" s="1">
        <v>152.80099999999999</v>
      </c>
      <c r="L26" s="6">
        <f>(F26-$E26)/$E26</f>
        <v>-3.2018610000265684E-4</v>
      </c>
      <c r="M26" s="6">
        <f>(G26-$E26)/$E26</f>
        <v>-8.6907655715001556E-4</v>
      </c>
      <c r="N26" s="6">
        <f>(H26-$E26)/$E26</f>
        <v>1.3068820408269207E-3</v>
      </c>
      <c r="O26" s="6">
        <f>(I26-$E26)/$E26</f>
        <v>-3.0058286939021405E-3</v>
      </c>
      <c r="P26" s="6">
        <f>(J26-$E26)/$E26</f>
        <v>-2.8620716694110417E-3</v>
      </c>
      <c r="Q26" s="6">
        <f>(K26-$E26)/$E26</f>
        <v>-1.5355863979718083E-3</v>
      </c>
      <c r="R26" s="6">
        <f t="shared" si="0"/>
        <v>1.3068820408269207E-3</v>
      </c>
      <c r="S26" s="6">
        <f t="shared" si="1"/>
        <v>-3.2018610000265684E-4</v>
      </c>
      <c r="T26" s="6">
        <f t="shared" si="2"/>
        <v>-8.6907655715001556E-4</v>
      </c>
      <c r="U26" s="6">
        <f t="shared" si="3"/>
        <v>-1.5355863979718083E-3</v>
      </c>
      <c r="V26" s="6">
        <f t="shared" si="4"/>
        <v>-2.8620716694110417E-3</v>
      </c>
      <c r="W26" s="6">
        <f t="shared" si="5"/>
        <v>-3.0058286939021405E-3</v>
      </c>
    </row>
    <row r="27" spans="1:23" x14ac:dyDescent="0.55000000000000004">
      <c r="A27" s="1">
        <v>23</v>
      </c>
      <c r="B27" s="1" t="s">
        <v>26</v>
      </c>
      <c r="C27" s="1" t="s">
        <v>4</v>
      </c>
      <c r="D27" s="1" t="s">
        <v>103</v>
      </c>
      <c r="E27" s="1">
        <v>153.07499999999999</v>
      </c>
      <c r="F27" s="1">
        <v>152.98500000000001</v>
      </c>
      <c r="G27" s="1">
        <v>152.90299999999999</v>
      </c>
      <c r="H27" s="1">
        <v>153.23500000000001</v>
      </c>
      <c r="I27" s="1">
        <v>152.577</v>
      </c>
      <c r="J27" s="1">
        <v>152.59800000000001</v>
      </c>
      <c r="K27" s="1">
        <v>152.803</v>
      </c>
      <c r="L27" s="6">
        <f>(F27-$E27)/$E27</f>
        <v>-5.8794708476220801E-4</v>
      </c>
      <c r="M27" s="6">
        <f>(G27-$E27)/$E27</f>
        <v>-1.123632206434735E-3</v>
      </c>
      <c r="N27" s="6">
        <f>(H27-$E27)/$E27</f>
        <v>1.0452392617999349E-3</v>
      </c>
      <c r="O27" s="6">
        <f>(I27-$E27)/$E27</f>
        <v>-3.2533072023517261E-3</v>
      </c>
      <c r="P27" s="6">
        <f>(J27-$E27)/$E27</f>
        <v>-3.116119549240408E-3</v>
      </c>
      <c r="Q27" s="6">
        <f>(K27-$E27)/$E27</f>
        <v>-1.776906745059555E-3</v>
      </c>
      <c r="R27" s="6">
        <f t="shared" si="0"/>
        <v>1.0452392617999349E-3</v>
      </c>
      <c r="S27" s="6">
        <f t="shared" si="1"/>
        <v>-5.8794708476220801E-4</v>
      </c>
      <c r="T27" s="6">
        <f t="shared" si="2"/>
        <v>-1.123632206434735E-3</v>
      </c>
      <c r="U27" s="6">
        <f t="shared" si="3"/>
        <v>-1.776906745059555E-3</v>
      </c>
      <c r="V27" s="6">
        <f t="shared" si="4"/>
        <v>-3.116119549240408E-3</v>
      </c>
      <c r="W27" s="6">
        <f t="shared" si="5"/>
        <v>-3.2533072023517261E-3</v>
      </c>
    </row>
    <row r="28" spans="1:23" x14ac:dyDescent="0.55000000000000004">
      <c r="A28" s="1">
        <v>24</v>
      </c>
      <c r="B28" s="1" t="s">
        <v>27</v>
      </c>
      <c r="C28" s="1" t="s">
        <v>4</v>
      </c>
      <c r="D28" s="1" t="s">
        <v>103</v>
      </c>
      <c r="E28" s="1">
        <v>153.072</v>
      </c>
      <c r="F28" s="1">
        <v>152.983</v>
      </c>
      <c r="G28" s="1">
        <v>152.90299999999999</v>
      </c>
      <c r="H28" s="1">
        <v>153.233</v>
      </c>
      <c r="I28" s="1">
        <v>152.578</v>
      </c>
      <c r="J28" s="1">
        <v>152.59800000000001</v>
      </c>
      <c r="K28" s="1">
        <v>152.804</v>
      </c>
      <c r="L28" s="6">
        <f>(F28-$E28)/$E28</f>
        <v>-5.8142573429496337E-4</v>
      </c>
      <c r="M28" s="6">
        <f>(G28-$E28)/$E28</f>
        <v>-1.1040556078186156E-3</v>
      </c>
      <c r="N28" s="6">
        <f>(H28-$E28)/$E28</f>
        <v>1.0517926204661947E-3</v>
      </c>
      <c r="O28" s="6">
        <f>(I28-$E28)/$E28</f>
        <v>-3.227239469008047E-3</v>
      </c>
      <c r="P28" s="6">
        <f>(J28-$E28)/$E28</f>
        <v>-3.0965820006270874E-3</v>
      </c>
      <c r="Q28" s="6">
        <f>(K28-$E28)/$E28</f>
        <v>-1.750810076303966E-3</v>
      </c>
      <c r="R28" s="6">
        <f t="shared" si="0"/>
        <v>1.0517926204661947E-3</v>
      </c>
      <c r="S28" s="6">
        <f t="shared" si="1"/>
        <v>-5.8142573429496337E-4</v>
      </c>
      <c r="T28" s="6">
        <f t="shared" si="2"/>
        <v>-1.1040556078186156E-3</v>
      </c>
      <c r="U28" s="6">
        <f t="shared" si="3"/>
        <v>-1.750810076303966E-3</v>
      </c>
      <c r="V28" s="6">
        <f t="shared" si="4"/>
        <v>-3.0965820006270874E-3</v>
      </c>
      <c r="W28" s="6">
        <f t="shared" si="5"/>
        <v>-3.227239469008047E-3</v>
      </c>
    </row>
    <row r="29" spans="1:23" x14ac:dyDescent="0.55000000000000004">
      <c r="A29" s="1">
        <v>25</v>
      </c>
      <c r="B29" s="1" t="s">
        <v>28</v>
      </c>
      <c r="C29" s="1" t="s">
        <v>4</v>
      </c>
      <c r="D29" s="1" t="s">
        <v>103</v>
      </c>
      <c r="E29" s="1">
        <v>152.95099999999999</v>
      </c>
      <c r="F29" s="1">
        <v>152.97999999999999</v>
      </c>
      <c r="G29" s="1">
        <v>152.90199999999999</v>
      </c>
      <c r="H29" s="1">
        <v>153.232</v>
      </c>
      <c r="I29" s="1">
        <v>152.578</v>
      </c>
      <c r="J29" s="1">
        <v>152.59700000000001</v>
      </c>
      <c r="K29" s="1">
        <v>152.80600000000001</v>
      </c>
      <c r="L29" s="6">
        <f>(F29-$E29)/$E29</f>
        <v>1.8960320625557441E-4</v>
      </c>
      <c r="M29" s="6">
        <f>(G29-$E29)/$E29</f>
        <v>-3.2036403815605385E-4</v>
      </c>
      <c r="N29" s="6">
        <f>(H29-$E29)/$E29</f>
        <v>1.837189688200835E-3</v>
      </c>
      <c r="O29" s="6">
        <f>(I29-$E29)/$E29</f>
        <v>-2.4386895149426319E-3</v>
      </c>
      <c r="P29" s="6">
        <f>(J29-$E29)/$E29</f>
        <v>-2.3144667246372042E-3</v>
      </c>
      <c r="Q29" s="6">
        <f>(K29-$E29)/$E29</f>
        <v>-9.480160312778721E-4</v>
      </c>
      <c r="R29" s="6">
        <f t="shared" si="0"/>
        <v>1.837189688200835E-3</v>
      </c>
      <c r="S29" s="6">
        <f t="shared" si="1"/>
        <v>1.8960320625557441E-4</v>
      </c>
      <c r="T29" s="6">
        <f t="shared" si="2"/>
        <v>-3.2036403815605385E-4</v>
      </c>
      <c r="U29" s="6">
        <f t="shared" si="3"/>
        <v>-9.480160312778721E-4</v>
      </c>
      <c r="V29" s="6">
        <f t="shared" si="4"/>
        <v>-2.3144667246372042E-3</v>
      </c>
      <c r="W29" s="6">
        <f t="shared" si="5"/>
        <v>-2.4386895149426319E-3</v>
      </c>
    </row>
    <row r="30" spans="1:23" x14ac:dyDescent="0.55000000000000004">
      <c r="A30" s="1">
        <v>26</v>
      </c>
      <c r="B30" s="1" t="s">
        <v>29</v>
      </c>
      <c r="C30" s="1" t="s">
        <v>4</v>
      </c>
      <c r="D30" s="1" t="s">
        <v>103</v>
      </c>
      <c r="E30" s="1">
        <v>152.94800000000001</v>
      </c>
      <c r="F30" s="1">
        <v>152.97800000000001</v>
      </c>
      <c r="G30" s="1">
        <v>152.90199999999999</v>
      </c>
      <c r="H30" s="1">
        <v>153.22999999999999</v>
      </c>
      <c r="I30" s="1">
        <v>152.57900000000001</v>
      </c>
      <c r="J30" s="1">
        <v>152.59700000000001</v>
      </c>
      <c r="K30" s="1">
        <v>152.80799999999999</v>
      </c>
      <c r="L30" s="6">
        <f>(F30-$E30)/$E30</f>
        <v>1.9614509506499684E-4</v>
      </c>
      <c r="M30" s="6">
        <f>(G30-$E30)/$E30</f>
        <v>-3.0075581243311903E-4</v>
      </c>
      <c r="N30" s="6">
        <f>(H30-$E30)/$E30</f>
        <v>1.8437638936107843E-3</v>
      </c>
      <c r="O30" s="6">
        <f>(I30-$E30)/$E30</f>
        <v>-2.4125846692993683E-3</v>
      </c>
      <c r="P30" s="6">
        <f>(J30-$E30)/$E30</f>
        <v>-2.2948976122603702E-3</v>
      </c>
      <c r="Q30" s="6">
        <f>(K30-$E30)/$E30</f>
        <v>-9.1534377697004711E-4</v>
      </c>
      <c r="R30" s="6">
        <f t="shared" si="0"/>
        <v>1.8437638936107843E-3</v>
      </c>
      <c r="S30" s="6">
        <f t="shared" si="1"/>
        <v>1.9614509506499684E-4</v>
      </c>
      <c r="T30" s="6">
        <f t="shared" si="2"/>
        <v>-3.0075581243311903E-4</v>
      </c>
      <c r="U30" s="6">
        <f t="shared" si="3"/>
        <v>-9.1534377697004711E-4</v>
      </c>
      <c r="V30" s="6">
        <f t="shared" si="4"/>
        <v>-2.2948976122603702E-3</v>
      </c>
      <c r="W30" s="6">
        <f t="shared" si="5"/>
        <v>-2.4125846692993683E-3</v>
      </c>
    </row>
    <row r="31" spans="1:23" x14ac:dyDescent="0.55000000000000004">
      <c r="A31" s="1">
        <v>27</v>
      </c>
      <c r="B31" s="1" t="s">
        <v>30</v>
      </c>
      <c r="C31" s="1" t="s">
        <v>4</v>
      </c>
      <c r="D31" s="1" t="s">
        <v>103</v>
      </c>
      <c r="E31" s="1">
        <v>153.006</v>
      </c>
      <c r="F31" s="1">
        <v>152.97499999999999</v>
      </c>
      <c r="G31" s="1">
        <v>152.90100000000001</v>
      </c>
      <c r="H31" s="1">
        <v>153.22800000000001</v>
      </c>
      <c r="I31" s="1">
        <v>152.58000000000001</v>
      </c>
      <c r="J31" s="1">
        <v>152.59700000000001</v>
      </c>
      <c r="K31" s="1">
        <v>152.809</v>
      </c>
      <c r="L31" s="6">
        <f>(F31-$E31)/$E31</f>
        <v>-2.0260643373466342E-4</v>
      </c>
      <c r="M31" s="6">
        <f>(G31-$E31)/$E31</f>
        <v>-6.862475981333397E-4</v>
      </c>
      <c r="N31" s="6">
        <f>(H31-$E31)/$E31</f>
        <v>1.4509234931964002E-3</v>
      </c>
      <c r="O31" s="6">
        <f>(I31-$E31)/$E31</f>
        <v>-2.7842045409983119E-3</v>
      </c>
      <c r="P31" s="6">
        <f>(J31-$E31)/$E31</f>
        <v>-2.673097787014835E-3</v>
      </c>
      <c r="Q31" s="6">
        <f>(K31-$E31)/$E31</f>
        <v>-1.2875312079265043E-3</v>
      </c>
      <c r="R31" s="6">
        <f t="shared" si="0"/>
        <v>1.4509234931964002E-3</v>
      </c>
      <c r="S31" s="6">
        <f t="shared" si="1"/>
        <v>-2.0260643373466342E-4</v>
      </c>
      <c r="T31" s="6">
        <f t="shared" si="2"/>
        <v>-6.862475981333397E-4</v>
      </c>
      <c r="U31" s="6">
        <f t="shared" si="3"/>
        <v>-1.2875312079265043E-3</v>
      </c>
      <c r="V31" s="6">
        <f t="shared" si="4"/>
        <v>-2.673097787014835E-3</v>
      </c>
      <c r="W31" s="6">
        <f t="shared" si="5"/>
        <v>-2.7842045409983119E-3</v>
      </c>
    </row>
    <row r="32" spans="1:23" x14ac:dyDescent="0.55000000000000004">
      <c r="A32" s="1">
        <v>28</v>
      </c>
      <c r="B32" s="1" t="s">
        <v>31</v>
      </c>
      <c r="C32" s="1" t="s">
        <v>4</v>
      </c>
      <c r="D32" s="1" t="s">
        <v>103</v>
      </c>
      <c r="E32" s="1">
        <v>153.13200000000001</v>
      </c>
      <c r="F32" s="1">
        <v>152.97300000000001</v>
      </c>
      <c r="G32" s="1">
        <v>152.90100000000001</v>
      </c>
      <c r="H32" s="1">
        <v>153.227</v>
      </c>
      <c r="I32" s="1">
        <v>152.58099999999999</v>
      </c>
      <c r="J32" s="1">
        <v>152.59700000000001</v>
      </c>
      <c r="K32" s="1">
        <v>152.81100000000001</v>
      </c>
      <c r="L32" s="6">
        <f>(F32-$E32)/$E32</f>
        <v>-1.0383198808870244E-3</v>
      </c>
      <c r="M32" s="6">
        <f>(G32-$E32)/$E32</f>
        <v>-1.508502468458549E-3</v>
      </c>
      <c r="N32" s="6">
        <f>(H32-$E32)/$E32</f>
        <v>6.2037980304573083E-4</v>
      </c>
      <c r="O32" s="6">
        <f>(I32-$E32)/$E32</f>
        <v>-3.5982028576653875E-3</v>
      </c>
      <c r="P32" s="6">
        <f>(J32-$E32)/$E32</f>
        <v>-3.4937178382049251E-3</v>
      </c>
      <c r="Q32" s="6">
        <f>(K32-$E32)/$E32</f>
        <v>-2.0962307029229548E-3</v>
      </c>
      <c r="R32" s="6">
        <f t="shared" si="0"/>
        <v>6.2037980304573083E-4</v>
      </c>
      <c r="S32" s="6">
        <f t="shared" si="1"/>
        <v>-1.0383198808870244E-3</v>
      </c>
      <c r="T32" s="6">
        <f t="shared" si="2"/>
        <v>-1.508502468458549E-3</v>
      </c>
      <c r="U32" s="6">
        <f t="shared" si="3"/>
        <v>-2.0962307029229548E-3</v>
      </c>
      <c r="V32" s="6">
        <f t="shared" si="4"/>
        <v>-3.4937178382049251E-3</v>
      </c>
      <c r="W32" s="6">
        <f t="shared" si="5"/>
        <v>-3.5982028576653875E-3</v>
      </c>
    </row>
    <row r="33" spans="1:23" x14ac:dyDescent="0.55000000000000004">
      <c r="A33" s="1">
        <v>29</v>
      </c>
      <c r="B33" s="1" t="s">
        <v>32</v>
      </c>
      <c r="C33" s="1" t="s">
        <v>4</v>
      </c>
      <c r="D33" s="1" t="s">
        <v>103</v>
      </c>
      <c r="E33" s="1">
        <v>153.16499999999999</v>
      </c>
      <c r="F33" s="1">
        <v>152.97</v>
      </c>
      <c r="G33" s="1">
        <v>152.90100000000001</v>
      </c>
      <c r="H33" s="1">
        <v>153.22499999999999</v>
      </c>
      <c r="I33" s="1">
        <v>152.58199999999999</v>
      </c>
      <c r="J33" s="1">
        <v>152.596</v>
      </c>
      <c r="K33" s="1">
        <v>152.81200000000001</v>
      </c>
      <c r="L33" s="6">
        <f>(F33-$E33)/$E33</f>
        <v>-1.2731368132405784E-3</v>
      </c>
      <c r="M33" s="6">
        <f>(G33-$E33)/$E33</f>
        <v>-1.7236313779256463E-3</v>
      </c>
      <c r="N33" s="6">
        <f>(H33-$E33)/$E33</f>
        <v>3.9173440407405267E-4</v>
      </c>
      <c r="O33" s="6">
        <f>(I33-$E33)/$E33</f>
        <v>-3.806352626252724E-3</v>
      </c>
      <c r="P33" s="6">
        <f>(J33-$E33)/$E33</f>
        <v>-3.7149479319687163E-3</v>
      </c>
      <c r="Q33" s="6">
        <f>(K33-$E33)/$E33</f>
        <v>-2.3047040773021268E-3</v>
      </c>
      <c r="R33" s="6">
        <f t="shared" si="0"/>
        <v>3.9173440407405267E-4</v>
      </c>
      <c r="S33" s="6">
        <f t="shared" si="1"/>
        <v>-1.2731368132405784E-3</v>
      </c>
      <c r="T33" s="6">
        <f t="shared" si="2"/>
        <v>-1.7236313779256463E-3</v>
      </c>
      <c r="U33" s="6">
        <f t="shared" si="3"/>
        <v>-2.3047040773021268E-3</v>
      </c>
      <c r="V33" s="6">
        <f t="shared" si="4"/>
        <v>-3.7149479319687163E-3</v>
      </c>
      <c r="W33" s="6">
        <f t="shared" si="5"/>
        <v>-3.806352626252724E-3</v>
      </c>
    </row>
    <row r="34" spans="1:23" x14ac:dyDescent="0.55000000000000004">
      <c r="A34" s="1">
        <v>30</v>
      </c>
      <c r="B34" s="1" t="s">
        <v>33</v>
      </c>
      <c r="C34" s="1" t="s">
        <v>4</v>
      </c>
      <c r="D34" s="1" t="s">
        <v>103</v>
      </c>
      <c r="E34" s="1">
        <v>153.161</v>
      </c>
      <c r="F34" s="1">
        <v>152.96799999999999</v>
      </c>
      <c r="G34" s="1">
        <v>152.9</v>
      </c>
      <c r="H34" s="1">
        <v>153.22300000000001</v>
      </c>
      <c r="I34" s="1">
        <v>152.58199999999999</v>
      </c>
      <c r="J34" s="1">
        <v>152.596</v>
      </c>
      <c r="K34" s="1">
        <v>152.81399999999999</v>
      </c>
      <c r="L34" s="6">
        <f>(F34-$E34)/$E34</f>
        <v>-1.2601119083840667E-3</v>
      </c>
      <c r="M34" s="6">
        <f>(G34-$E34)/$E34</f>
        <v>-1.7040891610788365E-3</v>
      </c>
      <c r="N34" s="6">
        <f>(H34-$E34)/$E34</f>
        <v>4.048027892218765E-4</v>
      </c>
      <c r="O34" s="6">
        <f>(I34-$E34)/$E34</f>
        <v>-3.7803357251520145E-3</v>
      </c>
      <c r="P34" s="6">
        <f>(J34-$E34)/$E34</f>
        <v>-3.6889286437147687E-3</v>
      </c>
      <c r="Q34" s="6">
        <f>(K34-$E34)/$E34</f>
        <v>-2.2655898041930283E-3</v>
      </c>
      <c r="R34" s="6">
        <f t="shared" si="0"/>
        <v>4.048027892218765E-4</v>
      </c>
      <c r="S34" s="6">
        <f t="shared" si="1"/>
        <v>-1.2601119083840667E-3</v>
      </c>
      <c r="T34" s="6">
        <f t="shared" si="2"/>
        <v>-1.7040891610788365E-3</v>
      </c>
      <c r="U34" s="6">
        <f t="shared" si="3"/>
        <v>-2.2655898041930283E-3</v>
      </c>
      <c r="V34" s="6">
        <f t="shared" si="4"/>
        <v>-3.6889286437147687E-3</v>
      </c>
      <c r="W34" s="6">
        <f t="shared" si="5"/>
        <v>-3.7803357251520145E-3</v>
      </c>
    </row>
    <row r="35" spans="1:23" x14ac:dyDescent="0.55000000000000004">
      <c r="A35" s="1">
        <v>31</v>
      </c>
      <c r="B35" s="1" t="s">
        <v>34</v>
      </c>
      <c r="C35" s="1" t="s">
        <v>4</v>
      </c>
      <c r="D35" s="1" t="s">
        <v>103</v>
      </c>
      <c r="E35" s="1">
        <v>153.053</v>
      </c>
      <c r="F35" s="1">
        <v>152.96600000000001</v>
      </c>
      <c r="G35" s="1">
        <v>152.9</v>
      </c>
      <c r="H35" s="1">
        <v>153.22200000000001</v>
      </c>
      <c r="I35" s="1">
        <v>152.583</v>
      </c>
      <c r="J35" s="1">
        <v>152.596</v>
      </c>
      <c r="K35" s="1">
        <v>152.815</v>
      </c>
      <c r="L35" s="6">
        <f>(F35-$E35)/$E35</f>
        <v>-5.6843054366780845E-4</v>
      </c>
      <c r="M35" s="6">
        <f>(G35-$E35)/$E35</f>
        <v>-9.9965371472621645E-4</v>
      </c>
      <c r="N35" s="6">
        <f>(H35-$E35)/$E35</f>
        <v>1.1041926652859541E-3</v>
      </c>
      <c r="O35" s="6">
        <f>(I35-$E35)/$E35</f>
        <v>-3.0708316726885385E-3</v>
      </c>
      <c r="P35" s="6">
        <f>(J35-$E35)/$E35</f>
        <v>-2.9858937753588209E-3</v>
      </c>
      <c r="Q35" s="6">
        <f>(K35-$E35)/$E35</f>
        <v>-1.5550168895741969E-3</v>
      </c>
      <c r="R35" s="6">
        <f t="shared" si="0"/>
        <v>1.1041926652859541E-3</v>
      </c>
      <c r="S35" s="6">
        <f t="shared" si="1"/>
        <v>-5.6843054366780845E-4</v>
      </c>
      <c r="T35" s="6">
        <f t="shared" si="2"/>
        <v>-9.9965371472621645E-4</v>
      </c>
      <c r="U35" s="6">
        <f t="shared" si="3"/>
        <v>-1.5550168895741969E-3</v>
      </c>
      <c r="V35" s="6">
        <f t="shared" si="4"/>
        <v>-2.9858937753588209E-3</v>
      </c>
      <c r="W35" s="6">
        <f t="shared" si="5"/>
        <v>-3.0708316726885385E-3</v>
      </c>
    </row>
    <row r="36" spans="1:23" x14ac:dyDescent="0.55000000000000004">
      <c r="A36" s="1">
        <v>32</v>
      </c>
      <c r="B36" s="1" t="s">
        <v>35</v>
      </c>
      <c r="C36" s="1" t="s">
        <v>4</v>
      </c>
      <c r="D36" s="1" t="s">
        <v>103</v>
      </c>
      <c r="E36" s="1">
        <v>153.05699999999999</v>
      </c>
      <c r="F36" s="1">
        <v>152.96299999999999</v>
      </c>
      <c r="G36" s="1">
        <v>152.9</v>
      </c>
      <c r="H36" s="1">
        <v>153.22</v>
      </c>
      <c r="I36" s="1">
        <v>152.584</v>
      </c>
      <c r="J36" s="1">
        <v>152.596</v>
      </c>
      <c r="K36" s="1">
        <v>152.81700000000001</v>
      </c>
      <c r="L36" s="6">
        <f>(F36-$E36)/$E36</f>
        <v>-6.1415028388112991E-4</v>
      </c>
      <c r="M36" s="6">
        <f>(G36-$E36)/$E36</f>
        <v>-1.0257616443546018E-3</v>
      </c>
      <c r="N36" s="6">
        <f>(H36-$E36)/$E36</f>
        <v>1.0649627263046508E-3</v>
      </c>
      <c r="O36" s="6">
        <f>(I36-$E36)/$E36</f>
        <v>-3.0903519603806737E-3</v>
      </c>
      <c r="P36" s="6">
        <f>(J36-$E36)/$E36</f>
        <v>-3.0119497964809475E-3</v>
      </c>
      <c r="Q36" s="6">
        <f>(K36-$E36)/$E36</f>
        <v>-1.5680432779943466E-3</v>
      </c>
      <c r="R36" s="6">
        <f t="shared" si="0"/>
        <v>1.0649627263046508E-3</v>
      </c>
      <c r="S36" s="6">
        <f t="shared" si="1"/>
        <v>-6.1415028388112991E-4</v>
      </c>
      <c r="T36" s="6">
        <f t="shared" si="2"/>
        <v>-1.0257616443546018E-3</v>
      </c>
      <c r="U36" s="6">
        <f t="shared" si="3"/>
        <v>-1.5680432779943466E-3</v>
      </c>
      <c r="V36" s="6">
        <f t="shared" si="4"/>
        <v>-3.0119497964809475E-3</v>
      </c>
      <c r="W36" s="6">
        <f t="shared" si="5"/>
        <v>-3.0903519603806737E-3</v>
      </c>
    </row>
    <row r="37" spans="1:23" x14ac:dyDescent="0.55000000000000004">
      <c r="A37" s="1">
        <v>33</v>
      </c>
      <c r="B37" s="1" t="s">
        <v>36</v>
      </c>
      <c r="C37" s="1" t="s">
        <v>4</v>
      </c>
      <c r="D37" s="1" t="s">
        <v>103</v>
      </c>
      <c r="E37" s="1">
        <v>152.89500000000001</v>
      </c>
      <c r="F37" s="1">
        <v>152.96100000000001</v>
      </c>
      <c r="G37" s="1">
        <v>152.899</v>
      </c>
      <c r="H37" s="1">
        <v>153.21799999999999</v>
      </c>
      <c r="I37" s="1">
        <v>152.58500000000001</v>
      </c>
      <c r="J37" s="1">
        <v>152.596</v>
      </c>
      <c r="K37" s="1">
        <v>152.81899999999999</v>
      </c>
      <c r="L37" s="6">
        <f>(F37-$E37)/$E37</f>
        <v>4.3166879230846332E-4</v>
      </c>
      <c r="M37" s="6">
        <f>(G37-$E37)/$E37</f>
        <v>2.6161744988329753E-5</v>
      </c>
      <c r="N37" s="6">
        <f>(H37-$E37)/$E37</f>
        <v>2.1125609078124141E-3</v>
      </c>
      <c r="O37" s="6">
        <f>(I37-$E37)/$E37</f>
        <v>-2.0275352366002958E-3</v>
      </c>
      <c r="P37" s="6">
        <f>(J37-$E37)/$E37</f>
        <v>-1.9555904378822497E-3</v>
      </c>
      <c r="Q37" s="6">
        <f>(K37-$E37)/$E37</f>
        <v>-4.9707315477956655E-4</v>
      </c>
      <c r="R37" s="6">
        <f t="shared" si="0"/>
        <v>2.1125609078124141E-3</v>
      </c>
      <c r="S37" s="6">
        <f t="shared" si="1"/>
        <v>4.3166879230846332E-4</v>
      </c>
      <c r="T37" s="6">
        <f t="shared" si="2"/>
        <v>2.6161744988329753E-5</v>
      </c>
      <c r="U37" s="6">
        <f t="shared" si="3"/>
        <v>-4.9707315477956655E-4</v>
      </c>
      <c r="V37" s="6">
        <f t="shared" si="4"/>
        <v>-1.9555904378822497E-3</v>
      </c>
      <c r="W37" s="6">
        <f t="shared" si="5"/>
        <v>-2.0275352366002958E-3</v>
      </c>
    </row>
    <row r="38" spans="1:23" x14ac:dyDescent="0.55000000000000004">
      <c r="A38" s="1">
        <v>34</v>
      </c>
      <c r="B38" s="1" t="s">
        <v>37</v>
      </c>
      <c r="C38" s="1" t="s">
        <v>4</v>
      </c>
      <c r="D38" s="1" t="s">
        <v>103</v>
      </c>
      <c r="E38" s="1">
        <v>152.87</v>
      </c>
      <c r="F38" s="1">
        <v>152.958</v>
      </c>
      <c r="G38" s="1">
        <v>152.899</v>
      </c>
      <c r="H38" s="1">
        <v>153.21700000000001</v>
      </c>
      <c r="I38" s="1">
        <v>152.58500000000001</v>
      </c>
      <c r="J38" s="1">
        <v>152.595</v>
      </c>
      <c r="K38" s="1">
        <v>152.82</v>
      </c>
      <c r="L38" s="6">
        <f>(F38-$E38)/$E38</f>
        <v>5.7565251520896095E-4</v>
      </c>
      <c r="M38" s="6">
        <f>(G38-$E38)/$E38</f>
        <v>1.8970366978476066E-4</v>
      </c>
      <c r="N38" s="6">
        <f>(H38-$E38)/$E38</f>
        <v>2.2699025315628205E-3</v>
      </c>
      <c r="O38" s="6">
        <f>(I38-$E38)/$E38</f>
        <v>-1.8643291685745834E-3</v>
      </c>
      <c r="P38" s="6">
        <f>(J38-$E38)/$E38</f>
        <v>-1.7989141100281656E-3</v>
      </c>
      <c r="Q38" s="6">
        <f>(K38-$E38)/$E38</f>
        <v>-3.2707529273246134E-4</v>
      </c>
      <c r="R38" s="6">
        <f t="shared" si="0"/>
        <v>2.2699025315628205E-3</v>
      </c>
      <c r="S38" s="6">
        <f t="shared" si="1"/>
        <v>5.7565251520896095E-4</v>
      </c>
      <c r="T38" s="6">
        <f t="shared" si="2"/>
        <v>1.8970366978476066E-4</v>
      </c>
      <c r="U38" s="6">
        <f t="shared" si="3"/>
        <v>-3.2707529273246134E-4</v>
      </c>
      <c r="V38" s="6">
        <f t="shared" si="4"/>
        <v>-1.7989141100281656E-3</v>
      </c>
      <c r="W38" s="6">
        <f t="shared" si="5"/>
        <v>-1.8643291685745834E-3</v>
      </c>
    </row>
    <row r="39" spans="1:23" x14ac:dyDescent="0.55000000000000004">
      <c r="A39" s="1">
        <v>35</v>
      </c>
      <c r="B39" s="1" t="s">
        <v>38</v>
      </c>
      <c r="C39" s="1" t="s">
        <v>4</v>
      </c>
      <c r="D39" s="1" t="s">
        <v>103</v>
      </c>
      <c r="E39" s="1">
        <v>152.86199999999999</v>
      </c>
      <c r="F39" s="1">
        <v>152.95599999999999</v>
      </c>
      <c r="G39" s="1">
        <v>152.898</v>
      </c>
      <c r="H39" s="1">
        <v>153.215</v>
      </c>
      <c r="I39" s="1">
        <v>152.58600000000001</v>
      </c>
      <c r="J39" s="1">
        <v>152.595</v>
      </c>
      <c r="K39" s="1">
        <v>152.822</v>
      </c>
      <c r="L39" s="6">
        <f>(F39-$E39)/$E39</f>
        <v>6.1493373107766544E-4</v>
      </c>
      <c r="M39" s="6">
        <f>(G39-$E39)/$E39</f>
        <v>2.3550653530636368E-4</v>
      </c>
      <c r="N39" s="6">
        <f>(H39-$E39)/$E39</f>
        <v>2.309272415642924E-3</v>
      </c>
      <c r="O39" s="6">
        <f>(I39-$E39)/$E39</f>
        <v>-1.805550104015269E-3</v>
      </c>
      <c r="P39" s="6">
        <f>(J39-$E39)/$E39</f>
        <v>-1.746673470188771E-3</v>
      </c>
      <c r="Q39" s="6">
        <f>(K39-$E39)/$E39</f>
        <v>-2.6167392811811987E-4</v>
      </c>
      <c r="R39" s="6">
        <f t="shared" si="0"/>
        <v>2.309272415642924E-3</v>
      </c>
      <c r="S39" s="6">
        <f t="shared" si="1"/>
        <v>6.1493373107766544E-4</v>
      </c>
      <c r="T39" s="6">
        <f t="shared" si="2"/>
        <v>2.3550653530636368E-4</v>
      </c>
      <c r="U39" s="6">
        <f t="shared" si="3"/>
        <v>-2.6167392811811987E-4</v>
      </c>
      <c r="V39" s="6">
        <f t="shared" si="4"/>
        <v>-1.746673470188771E-3</v>
      </c>
      <c r="W39" s="6">
        <f t="shared" si="5"/>
        <v>-1.805550104015269E-3</v>
      </c>
    </row>
    <row r="40" spans="1:23" x14ac:dyDescent="0.55000000000000004">
      <c r="A40" s="1">
        <v>36</v>
      </c>
      <c r="B40" s="1" t="s">
        <v>39</v>
      </c>
      <c r="C40" s="1" t="s">
        <v>4</v>
      </c>
      <c r="D40" s="1" t="s">
        <v>103</v>
      </c>
      <c r="E40" s="1">
        <v>152.89400000000001</v>
      </c>
      <c r="F40" s="1">
        <v>152.953</v>
      </c>
      <c r="G40" s="1">
        <v>152.898</v>
      </c>
      <c r="H40" s="1">
        <v>153.214</v>
      </c>
      <c r="I40" s="1">
        <v>152.58699999999999</v>
      </c>
      <c r="J40" s="1">
        <v>152.595</v>
      </c>
      <c r="K40" s="1">
        <v>152.82300000000001</v>
      </c>
      <c r="L40" s="6">
        <f>(F40-$E40)/$E40</f>
        <v>3.8588826245632591E-4</v>
      </c>
      <c r="M40" s="6">
        <f>(G40-$E40)/$E40</f>
        <v>2.6161916098674098E-5</v>
      </c>
      <c r="N40" s="6">
        <f>(H40-$E40)/$E40</f>
        <v>2.0929532878987611E-3</v>
      </c>
      <c r="O40" s="6">
        <f>(I40-$E40)/$E40</f>
        <v>-2.0079270605780236E-3</v>
      </c>
      <c r="P40" s="6">
        <f>(J40-$E40)/$E40</f>
        <v>-1.9556032283804896E-3</v>
      </c>
      <c r="Q40" s="6">
        <f>(K40-$E40)/$E40</f>
        <v>-4.643740107525341E-4</v>
      </c>
      <c r="R40" s="6">
        <f t="shared" si="0"/>
        <v>2.0929532878987611E-3</v>
      </c>
      <c r="S40" s="6">
        <f t="shared" si="1"/>
        <v>3.8588826245632591E-4</v>
      </c>
      <c r="T40" s="6">
        <f t="shared" si="2"/>
        <v>2.6161916098674098E-5</v>
      </c>
      <c r="U40" s="6">
        <f t="shared" si="3"/>
        <v>-4.643740107525341E-4</v>
      </c>
      <c r="V40" s="6">
        <f t="shared" si="4"/>
        <v>-1.9556032283804896E-3</v>
      </c>
      <c r="W40" s="6">
        <f t="shared" si="5"/>
        <v>-2.0079270605780236E-3</v>
      </c>
    </row>
    <row r="41" spans="1:23" x14ac:dyDescent="0.55000000000000004">
      <c r="A41" s="1">
        <v>37</v>
      </c>
      <c r="B41" s="1" t="s">
        <v>40</v>
      </c>
      <c r="C41" s="1" t="s">
        <v>4</v>
      </c>
      <c r="D41" s="1" t="s">
        <v>103</v>
      </c>
      <c r="E41" s="1">
        <v>152.80699999999999</v>
      </c>
      <c r="F41" s="1">
        <v>152.95099999999999</v>
      </c>
      <c r="G41" s="1">
        <v>152.898</v>
      </c>
      <c r="H41" s="1">
        <v>153.21199999999999</v>
      </c>
      <c r="I41" s="1">
        <v>152.58799999999999</v>
      </c>
      <c r="J41" s="1">
        <v>152.595</v>
      </c>
      <c r="K41" s="1">
        <v>152.82499999999999</v>
      </c>
      <c r="L41" s="6">
        <f>(F41-$E41)/$E41</f>
        <v>9.4236520578249339E-4</v>
      </c>
      <c r="M41" s="6">
        <f>(G41-$E41)/$E41</f>
        <v>5.9552245643202338E-4</v>
      </c>
      <c r="N41" s="6">
        <f>(H41-$E41)/$E41</f>
        <v>2.6504021412631696E-3</v>
      </c>
      <c r="O41" s="6">
        <f>(I41-$E41)/$E41</f>
        <v>-1.4331804171274489E-3</v>
      </c>
      <c r="P41" s="6">
        <f>(J41-$E41)/$E41</f>
        <v>-1.3873709974018802E-3</v>
      </c>
      <c r="Q41" s="6">
        <f>(K41-$E41)/$E41</f>
        <v>1.1779565072281167E-4</v>
      </c>
      <c r="R41" s="6">
        <f t="shared" si="0"/>
        <v>2.6504021412631696E-3</v>
      </c>
      <c r="S41" s="6">
        <f t="shared" si="1"/>
        <v>9.4236520578249339E-4</v>
      </c>
      <c r="T41" s="6">
        <f t="shared" si="2"/>
        <v>5.9552245643202338E-4</v>
      </c>
      <c r="U41" s="6">
        <f t="shared" si="3"/>
        <v>1.1779565072281167E-4</v>
      </c>
      <c r="V41" s="6">
        <f t="shared" si="4"/>
        <v>-1.3873709974018802E-3</v>
      </c>
      <c r="W41" s="6">
        <f t="shared" si="5"/>
        <v>-1.4331804171274489E-3</v>
      </c>
    </row>
    <row r="42" spans="1:23" x14ac:dyDescent="0.55000000000000004">
      <c r="A42" s="1">
        <v>38</v>
      </c>
      <c r="B42" s="1" t="s">
        <v>41</v>
      </c>
      <c r="C42" s="1" t="s">
        <v>4</v>
      </c>
      <c r="D42" s="1" t="s">
        <v>103</v>
      </c>
      <c r="E42" s="1">
        <v>152.81700000000001</v>
      </c>
      <c r="F42" s="1">
        <v>152.94900000000001</v>
      </c>
      <c r="G42" s="1">
        <v>152.89699999999999</v>
      </c>
      <c r="H42" s="1">
        <v>153.21</v>
      </c>
      <c r="I42" s="1">
        <v>152.58799999999999</v>
      </c>
      <c r="J42" s="1">
        <v>152.59399999999999</v>
      </c>
      <c r="K42" s="1">
        <v>152.827</v>
      </c>
      <c r="L42" s="6">
        <f>(F42-$E42)/$E42</f>
        <v>8.6377824456706381E-4</v>
      </c>
      <c r="M42" s="6">
        <f>(G42-$E42)/$E42</f>
        <v>5.2350196640415711E-4</v>
      </c>
      <c r="N42" s="6">
        <f>(H42-$E42)/$E42</f>
        <v>2.5717034099609379E-3</v>
      </c>
      <c r="O42" s="6">
        <f>(I42-$E42)/$E42</f>
        <v>-1.4985243788322856E-3</v>
      </c>
      <c r="P42" s="6">
        <f>(J42-$E42)/$E42</f>
        <v>-1.4592617313519646E-3</v>
      </c>
      <c r="Q42" s="6">
        <f>(K42-$E42)/$E42</f>
        <v>6.543774580047314E-5</v>
      </c>
      <c r="R42" s="6">
        <f t="shared" si="0"/>
        <v>2.5717034099609379E-3</v>
      </c>
      <c r="S42" s="6">
        <f t="shared" si="1"/>
        <v>8.6377824456706381E-4</v>
      </c>
      <c r="T42" s="6">
        <f t="shared" si="2"/>
        <v>5.2350196640415711E-4</v>
      </c>
      <c r="U42" s="6">
        <f t="shared" si="3"/>
        <v>6.543774580047314E-5</v>
      </c>
      <c r="V42" s="6">
        <f t="shared" si="4"/>
        <v>-1.4592617313519646E-3</v>
      </c>
      <c r="W42" s="6">
        <f t="shared" si="5"/>
        <v>-1.4985243788322856E-3</v>
      </c>
    </row>
    <row r="43" spans="1:23" x14ac:dyDescent="0.55000000000000004">
      <c r="A43" s="1">
        <v>39</v>
      </c>
      <c r="B43" s="1" t="s">
        <v>42</v>
      </c>
      <c r="C43" s="1" t="s">
        <v>4</v>
      </c>
      <c r="D43" s="1" t="s">
        <v>103</v>
      </c>
      <c r="E43" s="1">
        <v>152.77000000000001</v>
      </c>
      <c r="F43" s="1">
        <v>152.946</v>
      </c>
      <c r="G43" s="1">
        <v>152.89699999999999</v>
      </c>
      <c r="H43" s="1">
        <v>153.209</v>
      </c>
      <c r="I43" s="1">
        <v>152.589</v>
      </c>
      <c r="J43" s="1">
        <v>152.59399999999999</v>
      </c>
      <c r="K43" s="1">
        <v>152.828</v>
      </c>
      <c r="L43" s="6">
        <f>(F43-$E43)/$E43</f>
        <v>1.1520586502584782E-3</v>
      </c>
      <c r="M43" s="6">
        <f>(G43-$E43)/$E43</f>
        <v>8.3131504876599537E-4</v>
      </c>
      <c r="N43" s="6">
        <f>(H43-$E43)/$E43</f>
        <v>2.8736008378607903E-3</v>
      </c>
      <c r="O43" s="6">
        <f>(I43-$E43)/$E43</f>
        <v>-1.1847875891864343E-3</v>
      </c>
      <c r="P43" s="6">
        <f>(J43-$E43)/$E43</f>
        <v>-1.1520586502586643E-3</v>
      </c>
      <c r="Q43" s="6">
        <f>(K43-$E43)/$E43</f>
        <v>3.796556915624319E-4</v>
      </c>
      <c r="R43" s="6">
        <f t="shared" si="0"/>
        <v>2.8736008378607903E-3</v>
      </c>
      <c r="S43" s="6">
        <f t="shared" si="1"/>
        <v>1.1520586502584782E-3</v>
      </c>
      <c r="T43" s="6">
        <f t="shared" si="2"/>
        <v>8.3131504876599537E-4</v>
      </c>
      <c r="U43" s="6">
        <f t="shared" si="3"/>
        <v>3.796556915624319E-4</v>
      </c>
      <c r="V43" s="6">
        <f t="shared" si="4"/>
        <v>-1.1520586502586643E-3</v>
      </c>
      <c r="W43" s="6">
        <f t="shared" si="5"/>
        <v>-1.1847875891864343E-3</v>
      </c>
    </row>
    <row r="44" spans="1:23" x14ac:dyDescent="0.55000000000000004">
      <c r="A44" s="1">
        <v>40</v>
      </c>
      <c r="B44" s="1" t="s">
        <v>43</v>
      </c>
      <c r="C44" s="1" t="s">
        <v>4</v>
      </c>
      <c r="D44" s="1" t="s">
        <v>103</v>
      </c>
      <c r="E44" s="1">
        <v>152.79</v>
      </c>
      <c r="F44" s="1">
        <v>152.94399999999999</v>
      </c>
      <c r="G44" s="1">
        <v>152.89699999999999</v>
      </c>
      <c r="H44" s="1">
        <v>153.20699999999999</v>
      </c>
      <c r="I44" s="1">
        <v>152.59</v>
      </c>
      <c r="J44" s="1">
        <v>152.59399999999999</v>
      </c>
      <c r="K44" s="1">
        <v>152.83000000000001</v>
      </c>
      <c r="L44" s="6">
        <f>(F44-$E44)/$E44</f>
        <v>1.0079193664506601E-3</v>
      </c>
      <c r="M44" s="6">
        <f>(G44-$E44)/$E44</f>
        <v>7.0030761175469156E-4</v>
      </c>
      <c r="N44" s="6">
        <f>(H44-$E44)/$E44</f>
        <v>2.7292362065580314E-3</v>
      </c>
      <c r="O44" s="6">
        <f>(I44-$E44)/$E44</f>
        <v>-1.3089861901956191E-3</v>
      </c>
      <c r="P44" s="6">
        <f>(J44-$E44)/$E44</f>
        <v>-1.2828064663917662E-3</v>
      </c>
      <c r="Q44" s="6">
        <f>(K44-$E44)/$E44</f>
        <v>2.6179723803927262E-4</v>
      </c>
      <c r="R44" s="6">
        <f t="shared" si="0"/>
        <v>2.7292362065580314E-3</v>
      </c>
      <c r="S44" s="6">
        <f t="shared" si="1"/>
        <v>1.0079193664506601E-3</v>
      </c>
      <c r="T44" s="6">
        <f t="shared" si="2"/>
        <v>7.0030761175469156E-4</v>
      </c>
      <c r="U44" s="6">
        <f t="shared" si="3"/>
        <v>2.6179723803927262E-4</v>
      </c>
      <c r="V44" s="6">
        <f t="shared" si="4"/>
        <v>-1.2828064663917662E-3</v>
      </c>
      <c r="W44" s="6">
        <f t="shared" si="5"/>
        <v>-1.3089861901956191E-3</v>
      </c>
    </row>
    <row r="45" spans="1:23" x14ac:dyDescent="0.55000000000000004">
      <c r="A45" s="1">
        <v>41</v>
      </c>
      <c r="B45" s="1" t="s">
        <v>44</v>
      </c>
      <c r="C45" s="1" t="s">
        <v>4</v>
      </c>
      <c r="D45" s="1" t="s">
        <v>103</v>
      </c>
      <c r="E45" s="1">
        <v>152.78899999999999</v>
      </c>
      <c r="F45" s="1">
        <v>152.941</v>
      </c>
      <c r="G45" s="1">
        <v>152.89599999999999</v>
      </c>
      <c r="H45" s="1">
        <v>153.20500000000001</v>
      </c>
      <c r="I45" s="1">
        <v>152.59100000000001</v>
      </c>
      <c r="J45" s="1">
        <v>152.59399999999999</v>
      </c>
      <c r="K45" s="1">
        <v>152.83099999999999</v>
      </c>
      <c r="L45" s="6">
        <f>(F45-$E45)/$E45</f>
        <v>9.9483601568185688E-4</v>
      </c>
      <c r="M45" s="6">
        <f>(G45-$E45)/$E45</f>
        <v>7.003121952496536E-4</v>
      </c>
      <c r="N45" s="6">
        <f>(H45-$E45)/$E45</f>
        <v>2.7227090955502377E-3</v>
      </c>
      <c r="O45" s="6">
        <f>(I45-$E45)/$E45</f>
        <v>-1.2959048099010996E-3</v>
      </c>
      <c r="P45" s="6">
        <f>(J45-$E45)/$E45</f>
        <v>-1.2762698885390518E-3</v>
      </c>
      <c r="Q45" s="6">
        <f>(K45-$E45)/$E45</f>
        <v>2.7488889906996967E-4</v>
      </c>
      <c r="R45" s="6">
        <f t="shared" si="0"/>
        <v>2.7227090955502377E-3</v>
      </c>
      <c r="S45" s="6">
        <f t="shared" si="1"/>
        <v>9.9483601568185688E-4</v>
      </c>
      <c r="T45" s="6">
        <f t="shared" si="2"/>
        <v>7.003121952496536E-4</v>
      </c>
      <c r="U45" s="6">
        <f t="shared" si="3"/>
        <v>2.7488889906996967E-4</v>
      </c>
      <c r="V45" s="6">
        <f t="shared" si="4"/>
        <v>-1.2762698885390518E-3</v>
      </c>
      <c r="W45" s="6">
        <f t="shared" si="5"/>
        <v>-1.2959048099010996E-3</v>
      </c>
    </row>
    <row r="46" spans="1:23" x14ac:dyDescent="0.55000000000000004">
      <c r="A46" s="1">
        <v>42</v>
      </c>
      <c r="B46" s="1" t="s">
        <v>45</v>
      </c>
      <c r="C46" s="1" t="s">
        <v>4</v>
      </c>
      <c r="D46" s="1" t="s">
        <v>103</v>
      </c>
      <c r="E46" s="1">
        <v>152.75</v>
      </c>
      <c r="F46" s="1">
        <v>152.93899999999999</v>
      </c>
      <c r="G46" s="1">
        <v>152.89599999999999</v>
      </c>
      <c r="H46" s="1">
        <v>153.20400000000001</v>
      </c>
      <c r="I46" s="1">
        <v>152.59100000000001</v>
      </c>
      <c r="J46" s="1">
        <v>152.59299999999999</v>
      </c>
      <c r="K46" s="1">
        <v>152.833</v>
      </c>
      <c r="L46" s="6">
        <f>(F46-$E46)/$E46</f>
        <v>1.2373158756137019E-3</v>
      </c>
      <c r="M46" s="6">
        <f>(G46-$E46)/$E46</f>
        <v>9.5581014729942122E-4</v>
      </c>
      <c r="N46" s="6">
        <f>(H46-$E46)/$E46</f>
        <v>2.9721767594108528E-3</v>
      </c>
      <c r="O46" s="6">
        <f>(I46-$E46)/$E46</f>
        <v>-1.0409165302781788E-3</v>
      </c>
      <c r="P46" s="6">
        <f>(J46-$E46)/$E46</f>
        <v>-1.0278232405892681E-3</v>
      </c>
      <c r="Q46" s="6">
        <f>(K46-$E46)/$E46</f>
        <v>5.4337152209491598E-4</v>
      </c>
      <c r="R46" s="6">
        <f t="shared" si="0"/>
        <v>2.9721767594108528E-3</v>
      </c>
      <c r="S46" s="6">
        <f t="shared" si="1"/>
        <v>1.2373158756137019E-3</v>
      </c>
      <c r="T46" s="6">
        <f t="shared" si="2"/>
        <v>9.5581014729942122E-4</v>
      </c>
      <c r="U46" s="6">
        <f t="shared" si="3"/>
        <v>5.4337152209491598E-4</v>
      </c>
      <c r="V46" s="6">
        <f t="shared" si="4"/>
        <v>-1.0278232405892681E-3</v>
      </c>
      <c r="W46" s="6">
        <f t="shared" si="5"/>
        <v>-1.0409165302781788E-3</v>
      </c>
    </row>
    <row r="47" spans="1:23" x14ac:dyDescent="0.55000000000000004">
      <c r="A47" s="1">
        <v>43</v>
      </c>
      <c r="B47" s="1" t="s">
        <v>46</v>
      </c>
      <c r="C47" s="1" t="s">
        <v>4</v>
      </c>
      <c r="D47" s="1" t="s">
        <v>103</v>
      </c>
      <c r="E47" s="1">
        <v>152.661</v>
      </c>
      <c r="F47" s="1">
        <v>152.93600000000001</v>
      </c>
      <c r="G47" s="1">
        <v>152.89500000000001</v>
      </c>
      <c r="H47" s="1">
        <v>153.202</v>
      </c>
      <c r="I47" s="1">
        <v>152.59200000000001</v>
      </c>
      <c r="J47" s="1">
        <v>152.59299999999999</v>
      </c>
      <c r="K47" s="1">
        <v>152.834</v>
      </c>
      <c r="L47" s="6">
        <f>(F47-$E47)/$E47</f>
        <v>1.8013769070031355E-3</v>
      </c>
      <c r="M47" s="6">
        <f>(G47-$E47)/$E47</f>
        <v>1.5328079863226945E-3</v>
      </c>
      <c r="N47" s="6">
        <f>(H47-$E47)/$E47</f>
        <v>3.5437996606860742E-3</v>
      </c>
      <c r="O47" s="6">
        <f>(I47-$E47)/$E47</f>
        <v>-4.5198184212070147E-4</v>
      </c>
      <c r="P47" s="6">
        <f>(J47-$E47)/$E47</f>
        <v>-4.4543138064084505E-4</v>
      </c>
      <c r="Q47" s="6">
        <f>(K47-$E47)/$E47</f>
        <v>1.1332298360419611E-3</v>
      </c>
      <c r="R47" s="6">
        <f t="shared" si="0"/>
        <v>3.5437996606860742E-3</v>
      </c>
      <c r="S47" s="6">
        <f t="shared" si="1"/>
        <v>1.8013769070031355E-3</v>
      </c>
      <c r="T47" s="6">
        <f t="shared" si="2"/>
        <v>1.5328079863226945E-3</v>
      </c>
      <c r="U47" s="6">
        <f t="shared" si="3"/>
        <v>1.1332298360419611E-3</v>
      </c>
      <c r="V47" s="6">
        <f t="shared" si="4"/>
        <v>-4.4543138064084505E-4</v>
      </c>
      <c r="W47" s="6">
        <f t="shared" si="5"/>
        <v>-4.5198184212070147E-4</v>
      </c>
    </row>
    <row r="48" spans="1:23" x14ac:dyDescent="0.55000000000000004">
      <c r="A48" s="1">
        <v>44</v>
      </c>
      <c r="B48" s="1" t="s">
        <v>47</v>
      </c>
      <c r="C48" s="1" t="s">
        <v>4</v>
      </c>
      <c r="D48" s="1" t="s">
        <v>103</v>
      </c>
      <c r="E48" s="1">
        <v>152.672</v>
      </c>
      <c r="F48" s="1">
        <v>152.934</v>
      </c>
      <c r="G48" s="1">
        <v>152.89500000000001</v>
      </c>
      <c r="H48" s="1">
        <v>153.19999999999999</v>
      </c>
      <c r="I48" s="1">
        <v>152.59299999999999</v>
      </c>
      <c r="J48" s="1">
        <v>152.59299999999999</v>
      </c>
      <c r="K48" s="1">
        <v>152.83600000000001</v>
      </c>
      <c r="L48" s="6">
        <f>(F48-$E48)/$E48</f>
        <v>1.7160972542443961E-3</v>
      </c>
      <c r="M48" s="6">
        <f>(G48-$E48)/$E48</f>
        <v>1.4606476629638256E-3</v>
      </c>
      <c r="N48" s="6">
        <f>(H48-$E48)/$E48</f>
        <v>3.4583944665687984E-3</v>
      </c>
      <c r="O48" s="6">
        <f>(I48-$E48)/$E48</f>
        <v>-5.1744917208137531E-4</v>
      </c>
      <c r="P48" s="6">
        <f>(J48-$E48)/$E48</f>
        <v>-5.1744917208137531E-4</v>
      </c>
      <c r="Q48" s="6">
        <f>(K48-$E48)/$E48</f>
        <v>1.0741982812828526E-3</v>
      </c>
      <c r="R48" s="6">
        <f t="shared" si="0"/>
        <v>3.4583944665687984E-3</v>
      </c>
      <c r="S48" s="6">
        <f t="shared" si="1"/>
        <v>1.7160972542443961E-3</v>
      </c>
      <c r="T48" s="6">
        <f t="shared" si="2"/>
        <v>1.4606476629638256E-3</v>
      </c>
      <c r="U48" s="6">
        <f t="shared" si="3"/>
        <v>1.0741982812828526E-3</v>
      </c>
      <c r="V48" s="6">
        <f t="shared" si="4"/>
        <v>-5.1744917208137531E-4</v>
      </c>
      <c r="W48" s="6">
        <f t="shared" si="5"/>
        <v>-5.1744917208137531E-4</v>
      </c>
    </row>
    <row r="49" spans="1:23" x14ac:dyDescent="0.55000000000000004">
      <c r="A49" s="1">
        <v>45</v>
      </c>
      <c r="B49" s="1" t="s">
        <v>48</v>
      </c>
      <c r="C49" s="1" t="s">
        <v>4</v>
      </c>
      <c r="D49" s="1" t="s">
        <v>103</v>
      </c>
      <c r="E49" s="1">
        <v>152.738</v>
      </c>
      <c r="F49" s="1">
        <v>152.93199999999999</v>
      </c>
      <c r="G49" s="1">
        <v>152.89500000000001</v>
      </c>
      <c r="H49" s="1">
        <v>153.19900000000001</v>
      </c>
      <c r="I49" s="1">
        <v>152.59399999999999</v>
      </c>
      <c r="J49" s="1">
        <v>152.59299999999999</v>
      </c>
      <c r="K49" s="1">
        <v>152.83799999999999</v>
      </c>
      <c r="L49" s="6">
        <f>(F49-$E49)/$E49</f>
        <v>1.2701488823998507E-3</v>
      </c>
      <c r="M49" s="6">
        <f>(G49-$E49)/$E49</f>
        <v>1.0279039924577427E-3</v>
      </c>
      <c r="N49" s="6">
        <f>(H49-$E49)/$E49</f>
        <v>3.0182403854968165E-3</v>
      </c>
      <c r="O49" s="6">
        <f>(I49-$E49)/$E49</f>
        <v>-9.42790923018538E-4</v>
      </c>
      <c r="P49" s="6">
        <f>(J49-$E49)/$E49</f>
        <v>-9.4933808220619778E-4</v>
      </c>
      <c r="Q49" s="6">
        <f>(K49-$E49)/$E49</f>
        <v>6.5471591876281154E-4</v>
      </c>
      <c r="R49" s="6">
        <f t="shared" si="0"/>
        <v>3.0182403854968165E-3</v>
      </c>
      <c r="S49" s="6">
        <f t="shared" si="1"/>
        <v>1.2701488823998507E-3</v>
      </c>
      <c r="T49" s="6">
        <f t="shared" si="2"/>
        <v>1.0279039924577427E-3</v>
      </c>
      <c r="U49" s="6">
        <f t="shared" si="3"/>
        <v>6.5471591876281154E-4</v>
      </c>
      <c r="V49" s="6">
        <f t="shared" si="4"/>
        <v>-9.42790923018538E-4</v>
      </c>
      <c r="W49" s="6">
        <f t="shared" si="5"/>
        <v>-9.4933808220619778E-4</v>
      </c>
    </row>
    <row r="50" spans="1:23" x14ac:dyDescent="0.55000000000000004">
      <c r="A50" s="1">
        <v>46</v>
      </c>
      <c r="B50" s="1" t="s">
        <v>49</v>
      </c>
      <c r="C50" s="1" t="s">
        <v>4</v>
      </c>
      <c r="D50" s="1" t="s">
        <v>103</v>
      </c>
      <c r="E50" s="1">
        <v>152.69800000000001</v>
      </c>
      <c r="F50" s="1">
        <v>152.929</v>
      </c>
      <c r="G50" s="1">
        <v>152.89400000000001</v>
      </c>
      <c r="H50" s="1">
        <v>153.197</v>
      </c>
      <c r="I50" s="1">
        <v>152.595</v>
      </c>
      <c r="J50" s="1">
        <v>152.59299999999999</v>
      </c>
      <c r="K50" s="1">
        <v>152.839</v>
      </c>
      <c r="L50" s="6">
        <f>(F50-$E50)/$E50</f>
        <v>1.5127899514073174E-3</v>
      </c>
      <c r="M50" s="6">
        <f>(G50-$E50)/$E50</f>
        <v>1.2835793527092559E-3</v>
      </c>
      <c r="N50" s="6">
        <f>(H50-$E50)/$E50</f>
        <v>3.267888250009792E-3</v>
      </c>
      <c r="O50" s="6">
        <f>(I50-$E50)/$E50</f>
        <v>-6.7453404759727461E-4</v>
      </c>
      <c r="P50" s="6">
        <f>(J50-$E50)/$E50</f>
        <v>-6.8763179609437051E-4</v>
      </c>
      <c r="Q50" s="6">
        <f>(K50-$E50)/$E50</f>
        <v>9.2339126904079374E-4</v>
      </c>
      <c r="R50" s="6">
        <f t="shared" si="0"/>
        <v>3.267888250009792E-3</v>
      </c>
      <c r="S50" s="6">
        <f t="shared" si="1"/>
        <v>1.5127899514073174E-3</v>
      </c>
      <c r="T50" s="6">
        <f t="shared" si="2"/>
        <v>1.2835793527092559E-3</v>
      </c>
      <c r="U50" s="6">
        <f t="shared" si="3"/>
        <v>9.2339126904079374E-4</v>
      </c>
      <c r="V50" s="6">
        <f t="shared" si="4"/>
        <v>-6.7453404759727461E-4</v>
      </c>
      <c r="W50" s="6">
        <f t="shared" si="5"/>
        <v>-6.8763179609437051E-4</v>
      </c>
    </row>
    <row r="51" spans="1:23" x14ac:dyDescent="0.55000000000000004">
      <c r="A51" s="1">
        <v>47</v>
      </c>
      <c r="B51" s="1" t="s">
        <v>50</v>
      </c>
      <c r="C51" s="1" t="s">
        <v>4</v>
      </c>
      <c r="D51" s="1" t="s">
        <v>103</v>
      </c>
      <c r="E51" s="1">
        <v>152.81299999999999</v>
      </c>
      <c r="F51" s="1">
        <v>152.92699999999999</v>
      </c>
      <c r="G51" s="1">
        <v>152.89400000000001</v>
      </c>
      <c r="H51" s="1">
        <v>153.19499999999999</v>
      </c>
      <c r="I51" s="1">
        <v>152.595</v>
      </c>
      <c r="J51" s="1">
        <v>152.59200000000001</v>
      </c>
      <c r="K51" s="1">
        <v>152.84100000000001</v>
      </c>
      <c r="L51" s="6">
        <f>(F51-$E51)/$E51</f>
        <v>7.4600982900672281E-4</v>
      </c>
      <c r="M51" s="6">
        <f>(G51-$E51)/$E51</f>
        <v>5.3005961534697502E-4</v>
      </c>
      <c r="N51" s="6">
        <f>(H51-$E51)/$E51</f>
        <v>2.4997873217593074E-3</v>
      </c>
      <c r="O51" s="6">
        <f>(I51-$E51)/$E51</f>
        <v>-1.4265801993285213E-3</v>
      </c>
      <c r="P51" s="6">
        <f>(J51-$E51)/$E51</f>
        <v>-1.4462120369338684E-3</v>
      </c>
      <c r="Q51" s="6">
        <f>(K51-$E51)/$E51</f>
        <v>1.8323048431756467E-4</v>
      </c>
      <c r="R51" s="6">
        <f t="shared" si="0"/>
        <v>2.4997873217593074E-3</v>
      </c>
      <c r="S51" s="6">
        <f t="shared" si="1"/>
        <v>7.4600982900672281E-4</v>
      </c>
      <c r="T51" s="6">
        <f t="shared" si="2"/>
        <v>5.3005961534697502E-4</v>
      </c>
      <c r="U51" s="6">
        <f t="shared" si="3"/>
        <v>1.8323048431756467E-4</v>
      </c>
      <c r="V51" s="6">
        <f t="shared" si="4"/>
        <v>-1.4265801993285213E-3</v>
      </c>
      <c r="W51" s="6">
        <f t="shared" si="5"/>
        <v>-1.4462120369338684E-3</v>
      </c>
    </row>
    <row r="52" spans="1:23" x14ac:dyDescent="0.55000000000000004">
      <c r="A52" s="1">
        <v>48</v>
      </c>
      <c r="B52" s="1" t="s">
        <v>51</v>
      </c>
      <c r="C52" s="1" t="s">
        <v>4</v>
      </c>
      <c r="D52" s="1" t="s">
        <v>103</v>
      </c>
      <c r="E52" s="1">
        <v>152.81899999999999</v>
      </c>
      <c r="F52" s="1">
        <v>152.92400000000001</v>
      </c>
      <c r="G52" s="1">
        <v>152.89400000000001</v>
      </c>
      <c r="H52" s="1">
        <v>153.19399999999999</v>
      </c>
      <c r="I52" s="1">
        <v>152.596</v>
      </c>
      <c r="J52" s="1">
        <v>152.59200000000001</v>
      </c>
      <c r="K52" s="1">
        <v>152.84200000000001</v>
      </c>
      <c r="L52" s="6">
        <f>(F52-$E52)/$E52</f>
        <v>6.8708733861639064E-4</v>
      </c>
      <c r="M52" s="6">
        <f>(G52-$E52)/$E52</f>
        <v>4.9077667044030555E-4</v>
      </c>
      <c r="N52" s="6">
        <f>(H52-$E52)/$E52</f>
        <v>2.4538833522009698E-3</v>
      </c>
      <c r="O52" s="6">
        <f>(I52-$E52)/$E52</f>
        <v>-1.4592426334420771E-3</v>
      </c>
      <c r="P52" s="6">
        <f>(J52-$E52)/$E52</f>
        <v>-1.4854173891988265E-3</v>
      </c>
      <c r="Q52" s="6">
        <f>(K52-$E52)/$E52</f>
        <v>1.5050484560182018E-4</v>
      </c>
      <c r="R52" s="6">
        <f t="shared" si="0"/>
        <v>2.4538833522009698E-3</v>
      </c>
      <c r="S52" s="6">
        <f t="shared" si="1"/>
        <v>6.8708733861639064E-4</v>
      </c>
      <c r="T52" s="6">
        <f t="shared" si="2"/>
        <v>4.9077667044030555E-4</v>
      </c>
      <c r="U52" s="6">
        <f t="shared" si="3"/>
        <v>1.5050484560182018E-4</v>
      </c>
      <c r="V52" s="6">
        <f t="shared" si="4"/>
        <v>-1.4592426334420771E-3</v>
      </c>
      <c r="W52" s="6">
        <f t="shared" si="5"/>
        <v>-1.4854173891988265E-3</v>
      </c>
    </row>
    <row r="53" spans="1:23" x14ac:dyDescent="0.55000000000000004">
      <c r="A53" s="1">
        <v>49</v>
      </c>
      <c r="B53" s="1" t="s">
        <v>52</v>
      </c>
      <c r="C53" s="1" t="s">
        <v>4</v>
      </c>
      <c r="D53" s="1" t="s">
        <v>103</v>
      </c>
      <c r="E53" s="1">
        <v>152.816</v>
      </c>
      <c r="F53" s="1">
        <v>152.922</v>
      </c>
      <c r="G53" s="1">
        <v>152.893</v>
      </c>
      <c r="H53" s="1">
        <v>153.19200000000001</v>
      </c>
      <c r="I53" s="1">
        <v>152.59700000000001</v>
      </c>
      <c r="J53" s="1">
        <v>152.59200000000001</v>
      </c>
      <c r="K53" s="1">
        <v>152.84399999999999</v>
      </c>
      <c r="L53" s="6">
        <f>(F53-$E53)/$E53</f>
        <v>6.9364464453980303E-4</v>
      </c>
      <c r="M53" s="6">
        <f>(G53-$E53)/$E53</f>
        <v>5.0387393990156907E-4</v>
      </c>
      <c r="N53" s="6">
        <f>(H53-$E53)/$E53</f>
        <v>2.4604753428960628E-3</v>
      </c>
      <c r="O53" s="6">
        <f>(I53-$E53)/$E53</f>
        <v>-1.4330960108888734E-3</v>
      </c>
      <c r="P53" s="6">
        <f>(J53-$E53)/$E53</f>
        <v>-1.4658150978954399E-3</v>
      </c>
      <c r="Q53" s="6">
        <f>(K53-$E53)/$E53</f>
        <v>1.8322688723688347E-4</v>
      </c>
      <c r="R53" s="6">
        <f t="shared" si="0"/>
        <v>2.4604753428960628E-3</v>
      </c>
      <c r="S53" s="6">
        <f t="shared" si="1"/>
        <v>6.9364464453980303E-4</v>
      </c>
      <c r="T53" s="6">
        <f t="shared" si="2"/>
        <v>5.0387393990156907E-4</v>
      </c>
      <c r="U53" s="6">
        <f t="shared" si="3"/>
        <v>1.8322688723688347E-4</v>
      </c>
      <c r="V53" s="6">
        <f t="shared" si="4"/>
        <v>-1.4330960108888734E-3</v>
      </c>
      <c r="W53" s="6">
        <f t="shared" si="5"/>
        <v>-1.4658150978954399E-3</v>
      </c>
    </row>
    <row r="54" spans="1:23" x14ac:dyDescent="0.55000000000000004">
      <c r="A54" s="1">
        <v>50</v>
      </c>
      <c r="B54" s="1" t="s">
        <v>53</v>
      </c>
      <c r="C54" s="1" t="s">
        <v>4</v>
      </c>
      <c r="D54" s="1" t="s">
        <v>103</v>
      </c>
      <c r="E54" s="1">
        <v>152.82499999999999</v>
      </c>
      <c r="F54" s="1">
        <v>152.91999999999999</v>
      </c>
      <c r="G54" s="1">
        <v>152.893</v>
      </c>
      <c r="H54" s="1">
        <v>153.191</v>
      </c>
      <c r="I54" s="1">
        <v>152.59800000000001</v>
      </c>
      <c r="J54" s="1">
        <v>152.59200000000001</v>
      </c>
      <c r="K54" s="1">
        <v>152.845</v>
      </c>
      <c r="L54" s="6">
        <f>(F54-$E54)/$E54</f>
        <v>6.2162604285947239E-4</v>
      </c>
      <c r="M54" s="6">
        <f>(G54-$E54)/$E54</f>
        <v>4.4495337804686442E-4</v>
      </c>
      <c r="N54" s="6">
        <f>(H54-$E54)/$E54</f>
        <v>2.394896123016613E-3</v>
      </c>
      <c r="O54" s="6">
        <f>(I54-$E54)/$E54</f>
        <v>-1.4853590708324912E-3</v>
      </c>
      <c r="P54" s="6">
        <f>(J54-$E54)/$E54</f>
        <v>-1.5246196630130913E-3</v>
      </c>
      <c r="Q54" s="6">
        <f>(K54-$E54)/$E54</f>
        <v>1.3086864060206271E-4</v>
      </c>
      <c r="R54" s="6">
        <f t="shared" si="0"/>
        <v>2.394896123016613E-3</v>
      </c>
      <c r="S54" s="6">
        <f t="shared" si="1"/>
        <v>6.2162604285947239E-4</v>
      </c>
      <c r="T54" s="6">
        <f t="shared" si="2"/>
        <v>4.4495337804686442E-4</v>
      </c>
      <c r="U54" s="6">
        <f t="shared" si="3"/>
        <v>1.3086864060206271E-4</v>
      </c>
      <c r="V54" s="6">
        <f t="shared" si="4"/>
        <v>-1.4853590708324912E-3</v>
      </c>
      <c r="W54" s="6">
        <f t="shared" si="5"/>
        <v>-1.5246196630130913E-3</v>
      </c>
    </row>
    <row r="55" spans="1:23" x14ac:dyDescent="0.55000000000000004">
      <c r="A55" s="1">
        <v>51</v>
      </c>
      <c r="B55" s="1" t="s">
        <v>54</v>
      </c>
      <c r="C55" s="1" t="s">
        <v>4</v>
      </c>
      <c r="D55" s="1" t="s">
        <v>103</v>
      </c>
      <c r="E55" s="1">
        <v>152.75299999999999</v>
      </c>
      <c r="F55" s="1">
        <v>152.917</v>
      </c>
      <c r="G55" s="1">
        <v>152.892</v>
      </c>
      <c r="H55" s="1">
        <v>153.18899999999999</v>
      </c>
      <c r="I55" s="1">
        <v>152.59800000000001</v>
      </c>
      <c r="J55" s="1">
        <v>152.59100000000001</v>
      </c>
      <c r="K55" s="1">
        <v>152.84700000000001</v>
      </c>
      <c r="L55" s="6">
        <f>(F55-$E55)/$E55</f>
        <v>1.0736286685041584E-3</v>
      </c>
      <c r="M55" s="6">
        <f>(G55-$E55)/$E55</f>
        <v>9.0996576171996628E-4</v>
      </c>
      <c r="N55" s="6">
        <f>(H55-$E55)/$E55</f>
        <v>2.8542810943157065E-3</v>
      </c>
      <c r="O55" s="6">
        <f>(I55-$E55)/$E55</f>
        <v>-1.0147100220615813E-3</v>
      </c>
      <c r="P55" s="6">
        <f>(J55-$E55)/$E55</f>
        <v>-1.0605356359611774E-3</v>
      </c>
      <c r="Q55" s="6">
        <f>(K55-$E55)/$E55</f>
        <v>6.1537252950856947E-4</v>
      </c>
      <c r="R55" s="6">
        <f t="shared" si="0"/>
        <v>2.8542810943157065E-3</v>
      </c>
      <c r="S55" s="6">
        <f t="shared" si="1"/>
        <v>1.0736286685041584E-3</v>
      </c>
      <c r="T55" s="6">
        <f t="shared" si="2"/>
        <v>9.0996576171996628E-4</v>
      </c>
      <c r="U55" s="6">
        <f t="shared" si="3"/>
        <v>6.1537252950856947E-4</v>
      </c>
      <c r="V55" s="6">
        <f t="shared" si="4"/>
        <v>-1.0147100220615813E-3</v>
      </c>
      <c r="W55" s="6">
        <f t="shared" si="5"/>
        <v>-1.0605356359611774E-3</v>
      </c>
    </row>
    <row r="56" spans="1:23" x14ac:dyDescent="0.55000000000000004">
      <c r="A56" s="1">
        <v>52</v>
      </c>
      <c r="B56" s="1" t="s">
        <v>55</v>
      </c>
      <c r="C56" s="1" t="s">
        <v>4</v>
      </c>
      <c r="D56" s="1" t="s">
        <v>103</v>
      </c>
      <c r="E56" s="1">
        <v>152.80600000000001</v>
      </c>
      <c r="F56" s="1">
        <v>152.91499999999999</v>
      </c>
      <c r="G56" s="1">
        <v>152.892</v>
      </c>
      <c r="H56" s="1">
        <v>153.18700000000001</v>
      </c>
      <c r="I56" s="1">
        <v>152.59899999999999</v>
      </c>
      <c r="J56" s="1">
        <v>152.59100000000001</v>
      </c>
      <c r="K56" s="1">
        <v>152.84899999999999</v>
      </c>
      <c r="L56" s="6">
        <f>(F56-$E56)/$E56</f>
        <v>7.1332277528356506E-4</v>
      </c>
      <c r="M56" s="6">
        <f>(G56-$E56)/$E56</f>
        <v>5.6280512545308628E-4</v>
      </c>
      <c r="N56" s="6">
        <f>(H56-$E56)/$E56</f>
        <v>2.4933575906705245E-3</v>
      </c>
      <c r="O56" s="6">
        <f>(I56-$E56)/$E56</f>
        <v>-1.3546588484746806E-3</v>
      </c>
      <c r="P56" s="6">
        <f>(J56-$E56)/$E56</f>
        <v>-1.4070128136329948E-3</v>
      </c>
      <c r="Q56" s="6">
        <f>(K56-$E56)/$E56</f>
        <v>2.8140256272645017E-4</v>
      </c>
      <c r="R56" s="6">
        <f t="shared" si="0"/>
        <v>2.4933575906705245E-3</v>
      </c>
      <c r="S56" s="6">
        <f t="shared" si="1"/>
        <v>7.1332277528356506E-4</v>
      </c>
      <c r="T56" s="6">
        <f t="shared" si="2"/>
        <v>5.6280512545308628E-4</v>
      </c>
      <c r="U56" s="6">
        <f t="shared" si="3"/>
        <v>2.8140256272645017E-4</v>
      </c>
      <c r="V56" s="6">
        <f t="shared" si="4"/>
        <v>-1.3546588484746806E-3</v>
      </c>
      <c r="W56" s="6">
        <f t="shared" si="5"/>
        <v>-1.4070128136329948E-3</v>
      </c>
    </row>
    <row r="57" spans="1:23" x14ac:dyDescent="0.55000000000000004">
      <c r="A57" s="1">
        <v>53</v>
      </c>
      <c r="B57" s="1" t="s">
        <v>56</v>
      </c>
      <c r="C57" s="1" t="s">
        <v>4</v>
      </c>
      <c r="D57" s="1" t="s">
        <v>103</v>
      </c>
      <c r="E57" s="1">
        <v>152.78800000000001</v>
      </c>
      <c r="F57" s="1">
        <v>152.91200000000001</v>
      </c>
      <c r="G57" s="1">
        <v>152.892</v>
      </c>
      <c r="H57" s="1">
        <v>153.18600000000001</v>
      </c>
      <c r="I57" s="1">
        <v>152.6</v>
      </c>
      <c r="J57" s="1">
        <v>152.59100000000001</v>
      </c>
      <c r="K57" s="1">
        <v>152.85</v>
      </c>
      <c r="L57" s="6">
        <f>(F57-$E57)/$E57</f>
        <v>8.1158206141840469E-4</v>
      </c>
      <c r="M57" s="6">
        <f>(G57-$E57)/$E57</f>
        <v>6.8068172893149322E-4</v>
      </c>
      <c r="N57" s="6">
        <f>(H57-$E57)/$E57</f>
        <v>2.6049166164881805E-3</v>
      </c>
      <c r="O57" s="6">
        <f>(I57-$E57)/$E57</f>
        <v>-1.2304631253764471E-3</v>
      </c>
      <c r="P57" s="6">
        <f>(J57-$E57)/$E57</f>
        <v>-1.2893682749954363E-3</v>
      </c>
      <c r="Q57" s="6">
        <f>(K57-$E57)/$E57</f>
        <v>4.0579103070910932E-4</v>
      </c>
      <c r="R57" s="6">
        <f t="shared" si="0"/>
        <v>2.6049166164881805E-3</v>
      </c>
      <c r="S57" s="6">
        <f t="shared" si="1"/>
        <v>8.1158206141840469E-4</v>
      </c>
      <c r="T57" s="6">
        <f t="shared" si="2"/>
        <v>6.8068172893149322E-4</v>
      </c>
      <c r="U57" s="6">
        <f t="shared" si="3"/>
        <v>4.0579103070910932E-4</v>
      </c>
      <c r="V57" s="6">
        <f t="shared" si="4"/>
        <v>-1.2304631253764471E-3</v>
      </c>
      <c r="W57" s="6">
        <f t="shared" si="5"/>
        <v>-1.2893682749954363E-3</v>
      </c>
    </row>
    <row r="58" spans="1:23" x14ac:dyDescent="0.55000000000000004">
      <c r="A58" s="1">
        <v>54</v>
      </c>
      <c r="B58" s="1" t="s">
        <v>57</v>
      </c>
      <c r="C58" s="1" t="s">
        <v>4</v>
      </c>
      <c r="D58" s="1" t="s">
        <v>103</v>
      </c>
      <c r="E58" s="1">
        <v>152.81399999999999</v>
      </c>
      <c r="F58" s="1">
        <v>152.91</v>
      </c>
      <c r="G58" s="1">
        <v>152.89099999999999</v>
      </c>
      <c r="H58" s="1">
        <v>153.184</v>
      </c>
      <c r="I58" s="1">
        <v>152.601</v>
      </c>
      <c r="J58" s="1">
        <v>152.59100000000001</v>
      </c>
      <c r="K58" s="1">
        <v>152.852</v>
      </c>
      <c r="L58" s="6">
        <f>(F58-$E58)/$E58</f>
        <v>6.2821469237114163E-4</v>
      </c>
      <c r="M58" s="6">
        <f>(G58-$E58)/$E58</f>
        <v>5.038805345059889E-4</v>
      </c>
      <c r="N58" s="6">
        <f>(H58-$E58)/$E58</f>
        <v>2.4212441268470467E-3</v>
      </c>
      <c r="O58" s="6">
        <f>(I58-$E58)/$E58</f>
        <v>-1.3938513486983777E-3</v>
      </c>
      <c r="P58" s="6">
        <f>(J58-$E58)/$E58</f>
        <v>-1.4592903791536427E-3</v>
      </c>
      <c r="Q58" s="6">
        <f>(K58-$E58)/$E58</f>
        <v>2.4866831573030557E-4</v>
      </c>
      <c r="R58" s="6">
        <f t="shared" si="0"/>
        <v>2.4212441268470467E-3</v>
      </c>
      <c r="S58" s="6">
        <f t="shared" si="1"/>
        <v>6.2821469237114163E-4</v>
      </c>
      <c r="T58" s="6">
        <f t="shared" si="2"/>
        <v>5.038805345059889E-4</v>
      </c>
      <c r="U58" s="6">
        <f t="shared" si="3"/>
        <v>2.4866831573030557E-4</v>
      </c>
      <c r="V58" s="6">
        <f t="shared" si="4"/>
        <v>-1.3938513486983777E-3</v>
      </c>
      <c r="W58" s="6">
        <f t="shared" si="5"/>
        <v>-1.4592903791536427E-3</v>
      </c>
    </row>
    <row r="59" spans="1:23" x14ac:dyDescent="0.55000000000000004">
      <c r="A59" s="1">
        <v>55</v>
      </c>
      <c r="B59" s="1" t="s">
        <v>58</v>
      </c>
      <c r="C59" s="1" t="s">
        <v>4</v>
      </c>
      <c r="D59" s="1" t="s">
        <v>103</v>
      </c>
      <c r="E59" s="1">
        <v>152.803</v>
      </c>
      <c r="F59" s="1">
        <v>152.90700000000001</v>
      </c>
      <c r="G59" s="1">
        <v>152.89099999999999</v>
      </c>
      <c r="H59" s="1">
        <v>153.18199999999999</v>
      </c>
      <c r="I59" s="1">
        <v>152.601</v>
      </c>
      <c r="J59" s="1">
        <v>152.59</v>
      </c>
      <c r="K59" s="1">
        <v>152.85300000000001</v>
      </c>
      <c r="L59" s="6">
        <f>(F59-$E59)/$E59</f>
        <v>6.80614909393228E-4</v>
      </c>
      <c r="M59" s="6">
        <f>(G59-$E59)/$E59</f>
        <v>5.7590492333261687E-4</v>
      </c>
      <c r="N59" s="6">
        <f>(H59-$E59)/$E59</f>
        <v>2.4803177948076326E-3</v>
      </c>
      <c r="O59" s="6">
        <f>(I59-$E59)/$E59</f>
        <v>-1.3219635740135873E-3</v>
      </c>
      <c r="P59" s="6">
        <f>(J59-$E59)/$E59</f>
        <v>-1.3939516894301413E-3</v>
      </c>
      <c r="Q59" s="6">
        <f>(K59-$E59)/$E59</f>
        <v>3.2721870643908409E-4</v>
      </c>
      <c r="R59" s="6">
        <f t="shared" si="0"/>
        <v>2.4803177948076326E-3</v>
      </c>
      <c r="S59" s="6">
        <f t="shared" si="1"/>
        <v>6.80614909393228E-4</v>
      </c>
      <c r="T59" s="6">
        <f t="shared" si="2"/>
        <v>5.7590492333261687E-4</v>
      </c>
      <c r="U59" s="6">
        <f t="shared" si="3"/>
        <v>3.2721870643908409E-4</v>
      </c>
      <c r="V59" s="6">
        <f t="shared" si="4"/>
        <v>-1.3219635740135873E-3</v>
      </c>
      <c r="W59" s="6">
        <f t="shared" si="5"/>
        <v>-1.3939516894301413E-3</v>
      </c>
    </row>
    <row r="60" spans="1:23" x14ac:dyDescent="0.55000000000000004">
      <c r="A60" s="1">
        <v>56</v>
      </c>
      <c r="B60" s="1" t="s">
        <v>59</v>
      </c>
      <c r="C60" s="1" t="s">
        <v>4</v>
      </c>
      <c r="D60" s="1" t="s">
        <v>103</v>
      </c>
      <c r="E60" s="1">
        <v>152.83799999999999</v>
      </c>
      <c r="F60" s="1">
        <v>152.905</v>
      </c>
      <c r="G60" s="1">
        <v>152.89099999999999</v>
      </c>
      <c r="H60" s="1">
        <v>153.18100000000001</v>
      </c>
      <c r="I60" s="1">
        <v>152.602</v>
      </c>
      <c r="J60" s="1">
        <v>152.59</v>
      </c>
      <c r="K60" s="1">
        <v>152.85499999999999</v>
      </c>
      <c r="L60" s="6">
        <f>(F60-$E60)/$E60</f>
        <v>4.3837265601491304E-4</v>
      </c>
      <c r="M60" s="6">
        <f>(G60-$E60)/$E60</f>
        <v>3.4677239953412943E-4</v>
      </c>
      <c r="N60" s="6">
        <f>(H60-$E60)/$E60</f>
        <v>2.2442062837777109E-3</v>
      </c>
      <c r="O60" s="6">
        <f>(I60-$E60)/$E60</f>
        <v>-1.5441186092463263E-3</v>
      </c>
      <c r="P60" s="6">
        <f>(J60-$E60)/$E60</f>
        <v>-1.6226331148012304E-3</v>
      </c>
      <c r="Q60" s="6">
        <f>(K60-$E60)/$E60</f>
        <v>1.1122888286941669E-4</v>
      </c>
      <c r="R60" s="6">
        <f t="shared" si="0"/>
        <v>2.2442062837777109E-3</v>
      </c>
      <c r="S60" s="6">
        <f t="shared" si="1"/>
        <v>4.3837265601491304E-4</v>
      </c>
      <c r="T60" s="6">
        <f t="shared" si="2"/>
        <v>3.4677239953412943E-4</v>
      </c>
      <c r="U60" s="6">
        <f t="shared" si="3"/>
        <v>1.1122888286941669E-4</v>
      </c>
      <c r="V60" s="6">
        <f t="shared" si="4"/>
        <v>-1.5441186092463263E-3</v>
      </c>
      <c r="W60" s="6">
        <f t="shared" si="5"/>
        <v>-1.6226331148012304E-3</v>
      </c>
    </row>
    <row r="61" spans="1:23" x14ac:dyDescent="0.55000000000000004">
      <c r="A61" s="1">
        <v>57</v>
      </c>
      <c r="B61" s="1" t="s">
        <v>60</v>
      </c>
      <c r="C61" s="1" t="s">
        <v>4</v>
      </c>
      <c r="D61" s="1" t="s">
        <v>103</v>
      </c>
      <c r="E61" s="1">
        <v>152.864</v>
      </c>
      <c r="F61" s="1">
        <v>152.90299999999999</v>
      </c>
      <c r="G61" s="1">
        <v>152.88999999999999</v>
      </c>
      <c r="H61" s="1">
        <v>153.179</v>
      </c>
      <c r="I61" s="1">
        <v>152.60300000000001</v>
      </c>
      <c r="J61" s="1">
        <v>152.59</v>
      </c>
      <c r="K61" s="1">
        <v>152.857</v>
      </c>
      <c r="L61" s="6">
        <f>(F61-$E61)/$E61</f>
        <v>2.5512874188813103E-4</v>
      </c>
      <c r="M61" s="6">
        <f>(G61-$E61)/$E61</f>
        <v>1.7008582792535872E-4</v>
      </c>
      <c r="N61" s="6">
        <f>(H61-$E61)/$E61</f>
        <v>2.0606552229432548E-3</v>
      </c>
      <c r="O61" s="6">
        <f>(I61-$E61)/$E61</f>
        <v>-1.7074000418672525E-3</v>
      </c>
      <c r="P61" s="6">
        <f>(J61-$E61)/$E61</f>
        <v>-1.7924429558300247E-3</v>
      </c>
      <c r="Q61" s="6">
        <f>(K61-$E61)/$E61</f>
        <v>-4.5792338287660943E-5</v>
      </c>
      <c r="R61" s="6">
        <f t="shared" si="0"/>
        <v>2.0606552229432548E-3</v>
      </c>
      <c r="S61" s="6">
        <f t="shared" si="1"/>
        <v>2.5512874188813103E-4</v>
      </c>
      <c r="T61" s="6">
        <f t="shared" si="2"/>
        <v>1.7008582792535872E-4</v>
      </c>
      <c r="U61" s="6">
        <f t="shared" si="3"/>
        <v>-4.5792338287660943E-5</v>
      </c>
      <c r="V61" s="6">
        <f t="shared" si="4"/>
        <v>-1.7074000418672525E-3</v>
      </c>
      <c r="W61" s="6">
        <f t="shared" si="5"/>
        <v>-1.7924429558300247E-3</v>
      </c>
    </row>
    <row r="62" spans="1:23" x14ac:dyDescent="0.55000000000000004">
      <c r="A62" s="1">
        <v>58</v>
      </c>
      <c r="B62" s="1" t="s">
        <v>61</v>
      </c>
      <c r="C62" s="1" t="s">
        <v>4</v>
      </c>
      <c r="D62" s="1" t="s">
        <v>103</v>
      </c>
      <c r="E62" s="1">
        <v>152.81299999999999</v>
      </c>
      <c r="F62" s="1">
        <v>152.9</v>
      </c>
      <c r="G62" s="1">
        <v>152.88999999999999</v>
      </c>
      <c r="H62" s="1">
        <v>153.17699999999999</v>
      </c>
      <c r="I62" s="1">
        <v>152.60400000000001</v>
      </c>
      <c r="J62" s="1">
        <v>152.59</v>
      </c>
      <c r="K62" s="1">
        <v>152.858</v>
      </c>
      <c r="L62" s="6">
        <f>(F62-$E62)/$E62</f>
        <v>5.6932329055785517E-4</v>
      </c>
      <c r="M62" s="6">
        <f>(G62-$E62)/$E62</f>
        <v>5.0388383187293089E-4</v>
      </c>
      <c r="N62" s="6">
        <f>(H62-$E62)/$E62</f>
        <v>2.381996296126667E-3</v>
      </c>
      <c r="O62" s="6">
        <f>(I62-$E62)/$E62</f>
        <v>-1.3676846865121081E-3</v>
      </c>
      <c r="P62" s="6">
        <f>(J62-$E62)/$E62</f>
        <v>-1.4592999286708905E-3</v>
      </c>
      <c r="Q62" s="6">
        <f>(K62-$E62)/$E62</f>
        <v>2.9447756408169408E-4</v>
      </c>
      <c r="R62" s="6">
        <f t="shared" si="0"/>
        <v>2.381996296126667E-3</v>
      </c>
      <c r="S62" s="6">
        <f t="shared" si="1"/>
        <v>5.6932329055785517E-4</v>
      </c>
      <c r="T62" s="6">
        <f t="shared" si="2"/>
        <v>5.0388383187293089E-4</v>
      </c>
      <c r="U62" s="6">
        <f t="shared" si="3"/>
        <v>2.9447756408169408E-4</v>
      </c>
      <c r="V62" s="6">
        <f t="shared" si="4"/>
        <v>-1.3676846865121081E-3</v>
      </c>
      <c r="W62" s="6">
        <f t="shared" si="5"/>
        <v>-1.4592999286708905E-3</v>
      </c>
    </row>
    <row r="63" spans="1:23" x14ac:dyDescent="0.55000000000000004">
      <c r="A63" s="1">
        <v>59</v>
      </c>
      <c r="B63" s="1" t="s">
        <v>62</v>
      </c>
      <c r="C63" s="1" t="s">
        <v>4</v>
      </c>
      <c r="D63" s="1" t="s">
        <v>103</v>
      </c>
      <c r="E63" s="1">
        <v>152.81200000000001</v>
      </c>
      <c r="F63" s="1">
        <v>152.898</v>
      </c>
      <c r="G63" s="1">
        <v>152.88900000000001</v>
      </c>
      <c r="H63" s="1">
        <v>153.17599999999999</v>
      </c>
      <c r="I63" s="1">
        <v>152.60400000000001</v>
      </c>
      <c r="J63" s="1">
        <v>152.59</v>
      </c>
      <c r="K63" s="1">
        <v>152.86000000000001</v>
      </c>
      <c r="L63" s="6">
        <f>(F63-$E63)/$E63</f>
        <v>5.6278302751082573E-4</v>
      </c>
      <c r="M63" s="6">
        <f>(G63-$E63)/$E63</f>
        <v>5.0388712928302868E-4</v>
      </c>
      <c r="N63" s="6">
        <f>(H63-$E63)/$E63</f>
        <v>2.3820118838833067E-3</v>
      </c>
      <c r="O63" s="6">
        <f>(I63-$E63)/$E63</f>
        <v>-1.3611496479333978E-3</v>
      </c>
      <c r="P63" s="6">
        <f>(J63-$E63)/$E63</f>
        <v>-1.4527654896212888E-3</v>
      </c>
      <c r="Q63" s="6">
        <f>(K63-$E63)/$E63</f>
        <v>3.1411145721541381E-4</v>
      </c>
      <c r="R63" s="6">
        <f t="shared" si="0"/>
        <v>2.3820118838833067E-3</v>
      </c>
      <c r="S63" s="6">
        <f t="shared" si="1"/>
        <v>5.6278302751082573E-4</v>
      </c>
      <c r="T63" s="6">
        <f t="shared" si="2"/>
        <v>5.0388712928302868E-4</v>
      </c>
      <c r="U63" s="6">
        <f t="shared" si="3"/>
        <v>3.1411145721541381E-4</v>
      </c>
      <c r="V63" s="6">
        <f t="shared" si="4"/>
        <v>-1.3611496479333978E-3</v>
      </c>
      <c r="W63" s="6">
        <f t="shared" si="5"/>
        <v>-1.4527654896212888E-3</v>
      </c>
    </row>
    <row r="64" spans="1:23" x14ac:dyDescent="0.55000000000000004">
      <c r="A64" s="1">
        <v>60</v>
      </c>
      <c r="B64" s="1" t="s">
        <v>63</v>
      </c>
      <c r="C64" s="1" t="s">
        <v>4</v>
      </c>
      <c r="D64" s="1" t="s">
        <v>103</v>
      </c>
      <c r="E64" s="1">
        <v>152.84700000000001</v>
      </c>
      <c r="F64" s="1">
        <v>152.89500000000001</v>
      </c>
      <c r="G64" s="1">
        <v>152.88900000000001</v>
      </c>
      <c r="H64" s="1">
        <v>153.17400000000001</v>
      </c>
      <c r="I64" s="1">
        <v>152.60499999999999</v>
      </c>
      <c r="J64" s="1">
        <v>152.589</v>
      </c>
      <c r="K64" s="1">
        <v>152.86099999999999</v>
      </c>
      <c r="L64" s="6">
        <f>(F64-$E64)/$E64</f>
        <v>3.1403952972581612E-4</v>
      </c>
      <c r="M64" s="6">
        <f>(G64-$E64)/$E64</f>
        <v>2.7478458851008911E-4</v>
      </c>
      <c r="N64" s="6">
        <f>(H64-$E64)/$E64</f>
        <v>2.1393942962570295E-3</v>
      </c>
      <c r="O64" s="6">
        <f>(I64-$E64)/$E64</f>
        <v>-1.583282629034385E-3</v>
      </c>
      <c r="P64" s="6">
        <f>(J64-$E64)/$E64</f>
        <v>-1.6879624722762616E-3</v>
      </c>
      <c r="Q64" s="6">
        <f>(K64-$E64)/$E64</f>
        <v>9.1594862836572404E-5</v>
      </c>
      <c r="R64" s="6">
        <f t="shared" si="0"/>
        <v>2.1393942962570295E-3</v>
      </c>
      <c r="S64" s="6">
        <f t="shared" si="1"/>
        <v>3.1403952972581612E-4</v>
      </c>
      <c r="T64" s="6">
        <f t="shared" si="2"/>
        <v>2.7478458851008911E-4</v>
      </c>
      <c r="U64" s="6">
        <f t="shared" si="3"/>
        <v>9.1594862836572404E-5</v>
      </c>
      <c r="V64" s="6">
        <f t="shared" si="4"/>
        <v>-1.583282629034385E-3</v>
      </c>
      <c r="W64" s="6">
        <f t="shared" si="5"/>
        <v>-1.6879624722762616E-3</v>
      </c>
    </row>
    <row r="65" spans="1:23" x14ac:dyDescent="0.55000000000000004">
      <c r="A65" s="1">
        <v>61</v>
      </c>
      <c r="B65" s="1" t="s">
        <v>64</v>
      </c>
      <c r="C65" s="1" t="s">
        <v>4</v>
      </c>
      <c r="D65" s="1" t="s">
        <v>103</v>
      </c>
      <c r="E65" s="1">
        <v>152.803</v>
      </c>
      <c r="F65" s="1">
        <v>152.893</v>
      </c>
      <c r="G65" s="1">
        <v>152.88900000000001</v>
      </c>
      <c r="H65" s="1">
        <v>153.173</v>
      </c>
      <c r="I65" s="1">
        <v>152.60599999999999</v>
      </c>
      <c r="J65" s="1">
        <v>152.589</v>
      </c>
      <c r="K65" s="1">
        <v>152.863</v>
      </c>
      <c r="L65" s="6">
        <f>(F65-$E65)/$E65</f>
        <v>5.889936715902398E-4</v>
      </c>
      <c r="M65" s="6">
        <f>(G65-$E65)/$E65</f>
        <v>5.6281617507517999E-4</v>
      </c>
      <c r="N65" s="6">
        <f>(H65-$E65)/$E65</f>
        <v>2.4214184276487014E-3</v>
      </c>
      <c r="O65" s="6">
        <f>(I65-$E65)/$E65</f>
        <v>-1.2892417033697162E-3</v>
      </c>
      <c r="P65" s="6">
        <f>(J65-$E65)/$E65</f>
        <v>-1.4004960635589526E-3</v>
      </c>
      <c r="Q65" s="6">
        <f>(K65-$E65)/$E65</f>
        <v>3.9266244772682654E-4</v>
      </c>
      <c r="R65" s="6">
        <f t="shared" si="0"/>
        <v>2.4214184276487014E-3</v>
      </c>
      <c r="S65" s="6">
        <f t="shared" si="1"/>
        <v>5.889936715902398E-4</v>
      </c>
      <c r="T65" s="6">
        <f t="shared" si="2"/>
        <v>5.6281617507517999E-4</v>
      </c>
      <c r="U65" s="6">
        <f t="shared" si="3"/>
        <v>3.9266244772682654E-4</v>
      </c>
      <c r="V65" s="6">
        <f t="shared" si="4"/>
        <v>-1.2892417033697162E-3</v>
      </c>
      <c r="W65" s="6">
        <f t="shared" si="5"/>
        <v>-1.4004960635589526E-3</v>
      </c>
    </row>
    <row r="66" spans="1:23" x14ac:dyDescent="0.55000000000000004">
      <c r="A66" s="1">
        <v>62</v>
      </c>
      <c r="B66" s="1" t="s">
        <v>65</v>
      </c>
      <c r="C66" s="1" t="s">
        <v>4</v>
      </c>
      <c r="D66" s="1" t="s">
        <v>103</v>
      </c>
      <c r="E66" s="1">
        <v>152.84</v>
      </c>
      <c r="F66" s="1">
        <v>152.88999999999999</v>
      </c>
      <c r="G66" s="1">
        <v>152.88800000000001</v>
      </c>
      <c r="H66" s="1">
        <v>153.17099999999999</v>
      </c>
      <c r="I66" s="1">
        <v>152.607</v>
      </c>
      <c r="J66" s="1">
        <v>152.589</v>
      </c>
      <c r="K66" s="1">
        <v>152.864</v>
      </c>
      <c r="L66" s="6">
        <f>(F66-$E66)/$E66</f>
        <v>3.2713949227939639E-4</v>
      </c>
      <c r="M66" s="6">
        <f>(G66-$E66)/$E66</f>
        <v>3.1405391258833954E-4</v>
      </c>
      <c r="N66" s="6">
        <f>(H66-$E66)/$E66</f>
        <v>2.16566343889027E-3</v>
      </c>
      <c r="O66" s="6">
        <f>(I66-$E66)/$E66</f>
        <v>-1.5244700340225339E-3</v>
      </c>
      <c r="P66" s="6">
        <f>(J66-$E66)/$E66</f>
        <v>-1.6422402512431614E-3</v>
      </c>
      <c r="Q66" s="6">
        <f>(K66-$E66)/$E66</f>
        <v>1.5702695629416977E-4</v>
      </c>
      <c r="R66" s="6">
        <f t="shared" si="0"/>
        <v>2.16566343889027E-3</v>
      </c>
      <c r="S66" s="6">
        <f t="shared" si="1"/>
        <v>3.2713949227939639E-4</v>
      </c>
      <c r="T66" s="6">
        <f t="shared" si="2"/>
        <v>3.1405391258833954E-4</v>
      </c>
      <c r="U66" s="6">
        <f t="shared" si="3"/>
        <v>1.5702695629416977E-4</v>
      </c>
      <c r="V66" s="6">
        <f t="shared" si="4"/>
        <v>-1.5244700340225339E-3</v>
      </c>
      <c r="W66" s="6">
        <f t="shared" si="5"/>
        <v>-1.6422402512431614E-3</v>
      </c>
    </row>
    <row r="67" spans="1:23" x14ac:dyDescent="0.55000000000000004">
      <c r="A67" s="1">
        <v>63</v>
      </c>
      <c r="B67" s="1" t="s">
        <v>66</v>
      </c>
      <c r="C67" s="1" t="s">
        <v>4</v>
      </c>
      <c r="D67" s="1" t="s">
        <v>103</v>
      </c>
      <c r="E67" s="1">
        <v>152.874</v>
      </c>
      <c r="F67" s="1">
        <v>152.88800000000001</v>
      </c>
      <c r="G67" s="1">
        <v>152.88800000000001</v>
      </c>
      <c r="H67" s="1">
        <v>153.16900000000001</v>
      </c>
      <c r="I67" s="1">
        <v>152.608</v>
      </c>
      <c r="J67" s="1">
        <v>152.589</v>
      </c>
      <c r="K67" s="1">
        <v>152.86600000000001</v>
      </c>
      <c r="L67" s="6">
        <f>(F67-$E67)/$E67</f>
        <v>9.157868571509874E-5</v>
      </c>
      <c r="M67" s="6">
        <f>(G67-$E67)/$E67</f>
        <v>9.157868571509874E-5</v>
      </c>
      <c r="N67" s="6">
        <f>(H67-$E67)/$E67</f>
        <v>1.9296937347097344E-3</v>
      </c>
      <c r="O67" s="6">
        <f>(I67-$E67)/$E67</f>
        <v>-1.7399950285855747E-3</v>
      </c>
      <c r="P67" s="6">
        <f>(J67-$E67)/$E67</f>
        <v>-1.8642803877702984E-3</v>
      </c>
      <c r="Q67" s="6">
        <f>(K67-$E67)/$E67</f>
        <v>-5.2330677551325635E-5</v>
      </c>
      <c r="R67" s="6">
        <f t="shared" si="0"/>
        <v>1.9296937347097344E-3</v>
      </c>
      <c r="S67" s="6">
        <f t="shared" si="1"/>
        <v>9.157868571509874E-5</v>
      </c>
      <c r="T67" s="6">
        <f t="shared" si="2"/>
        <v>9.157868571509874E-5</v>
      </c>
      <c r="U67" s="6">
        <f t="shared" si="3"/>
        <v>-5.2330677551325635E-5</v>
      </c>
      <c r="V67" s="6">
        <f t="shared" si="4"/>
        <v>-1.7399950285855747E-3</v>
      </c>
      <c r="W67" s="6">
        <f t="shared" si="5"/>
        <v>-1.8642803877702984E-3</v>
      </c>
    </row>
    <row r="68" spans="1:23" x14ac:dyDescent="0.55000000000000004">
      <c r="A68" s="1">
        <v>64</v>
      </c>
      <c r="B68" s="1" t="s">
        <v>67</v>
      </c>
      <c r="C68" s="1" t="s">
        <v>4</v>
      </c>
      <c r="D68" s="1" t="s">
        <v>103</v>
      </c>
      <c r="E68" s="1">
        <v>152.83099999999999</v>
      </c>
      <c r="F68" s="1">
        <v>152.886</v>
      </c>
      <c r="G68" s="1">
        <v>152.88800000000001</v>
      </c>
      <c r="H68" s="1">
        <v>153.16800000000001</v>
      </c>
      <c r="I68" s="1">
        <v>152.608</v>
      </c>
      <c r="J68" s="1">
        <v>152.58799999999999</v>
      </c>
      <c r="K68" s="1">
        <v>152.86799999999999</v>
      </c>
      <c r="L68" s="6">
        <f>(F68-$E68)/$E68</f>
        <v>3.5987463276433988E-4</v>
      </c>
      <c r="M68" s="6">
        <f>(G68-$E68)/$E68</f>
        <v>3.7296098304674034E-4</v>
      </c>
      <c r="N68" s="6">
        <f>(H68-$E68)/$E68</f>
        <v>2.205050022574069E-3</v>
      </c>
      <c r="O68" s="6">
        <f>(I68-$E68)/$E68</f>
        <v>-1.4591280564805883E-3</v>
      </c>
      <c r="P68" s="6">
        <f>(J68-$E68)/$E68</f>
        <v>-1.5899915593040352E-3</v>
      </c>
      <c r="Q68" s="6">
        <f>(K68-$E68)/$E68</f>
        <v>2.4209748022329332E-4</v>
      </c>
      <c r="R68" s="6">
        <f t="shared" si="0"/>
        <v>2.205050022574069E-3</v>
      </c>
      <c r="S68" s="6">
        <f t="shared" si="1"/>
        <v>3.7296098304674034E-4</v>
      </c>
      <c r="T68" s="6">
        <f t="shared" si="2"/>
        <v>3.5987463276433988E-4</v>
      </c>
      <c r="U68" s="6">
        <f t="shared" si="3"/>
        <v>2.4209748022329332E-4</v>
      </c>
      <c r="V68" s="6">
        <f t="shared" si="4"/>
        <v>-1.4591280564805883E-3</v>
      </c>
      <c r="W68" s="6">
        <f t="shared" si="5"/>
        <v>-1.5899915593040352E-3</v>
      </c>
    </row>
    <row r="69" spans="1:23" x14ac:dyDescent="0.55000000000000004">
      <c r="A69" s="1">
        <v>65</v>
      </c>
      <c r="B69" s="1" t="s">
        <v>68</v>
      </c>
      <c r="C69" s="1" t="s">
        <v>4</v>
      </c>
      <c r="D69" s="1" t="s">
        <v>103</v>
      </c>
      <c r="E69" s="1">
        <v>152.84399999999999</v>
      </c>
      <c r="F69" s="1">
        <v>152.88300000000001</v>
      </c>
      <c r="G69" s="1">
        <v>152.887</v>
      </c>
      <c r="H69" s="1">
        <v>153.166</v>
      </c>
      <c r="I69" s="1">
        <v>152.60900000000001</v>
      </c>
      <c r="J69" s="1">
        <v>152.58799999999999</v>
      </c>
      <c r="K69" s="1">
        <v>152.869</v>
      </c>
      <c r="L69" s="6">
        <f>(F69-$E69)/$E69</f>
        <v>2.5516212608944864E-4</v>
      </c>
      <c r="M69" s="6">
        <f>(G69-$E69)/$E69</f>
        <v>2.813326005600898E-4</v>
      </c>
      <c r="N69" s="6">
        <f>(H69-$E69)/$E69</f>
        <v>2.1067231948915413E-3</v>
      </c>
      <c r="O69" s="6">
        <f>(I69-$E69)/$E69</f>
        <v>-1.5375153751536548E-3</v>
      </c>
      <c r="P69" s="6">
        <f>(J69-$E69)/$E69</f>
        <v>-1.6749103661249393E-3</v>
      </c>
      <c r="Q69" s="6">
        <f>(K69-$E69)/$E69</f>
        <v>1.6356546544192565E-4</v>
      </c>
      <c r="R69" s="6">
        <f t="shared" si="0"/>
        <v>2.1067231948915413E-3</v>
      </c>
      <c r="S69" s="6">
        <f t="shared" si="1"/>
        <v>2.813326005600898E-4</v>
      </c>
      <c r="T69" s="6">
        <f t="shared" si="2"/>
        <v>2.5516212608944864E-4</v>
      </c>
      <c r="U69" s="6">
        <f t="shared" si="3"/>
        <v>1.6356546544192565E-4</v>
      </c>
      <c r="V69" s="6">
        <f t="shared" si="4"/>
        <v>-1.5375153751536548E-3</v>
      </c>
      <c r="W69" s="6">
        <f t="shared" si="5"/>
        <v>-1.6749103661249393E-3</v>
      </c>
    </row>
    <row r="70" spans="1:23" x14ac:dyDescent="0.55000000000000004">
      <c r="A70" s="1">
        <v>66</v>
      </c>
      <c r="B70" s="1" t="s">
        <v>69</v>
      </c>
      <c r="C70" s="1" t="s">
        <v>4</v>
      </c>
      <c r="D70" s="1" t="s">
        <v>103</v>
      </c>
      <c r="E70" s="1">
        <v>152.81</v>
      </c>
      <c r="F70" s="1">
        <v>152.881</v>
      </c>
      <c r="G70" s="1">
        <v>152.887</v>
      </c>
      <c r="H70" s="1">
        <v>153.16399999999999</v>
      </c>
      <c r="I70" s="1">
        <v>152.61000000000001</v>
      </c>
      <c r="J70" s="1">
        <v>152.58799999999999</v>
      </c>
      <c r="K70" s="1">
        <v>152.87100000000001</v>
      </c>
      <c r="L70" s="6">
        <f>(F70-$E70)/$E70</f>
        <v>4.6462927818858684E-4</v>
      </c>
      <c r="M70" s="6">
        <f>(G70-$E70)/$E70</f>
        <v>5.0389372423269535E-4</v>
      </c>
      <c r="N70" s="6">
        <f>(H70-$E70)/$E70</f>
        <v>2.3166023166022185E-3</v>
      </c>
      <c r="O70" s="6">
        <f>(I70-$E70)/$E70</f>
        <v>-1.3088148681368276E-3</v>
      </c>
      <c r="P70" s="6">
        <f>(J70-$E70)/$E70</f>
        <v>-1.4527845036320162E-3</v>
      </c>
      <c r="Q70" s="6">
        <f>(K70-$E70)/$E70</f>
        <v>3.9918853478180123E-4</v>
      </c>
      <c r="R70" s="6">
        <f t="shared" ref="R70:R103" si="6">LARGE($L70:$Q70,1)</f>
        <v>2.3166023166022185E-3</v>
      </c>
      <c r="S70" s="6">
        <f t="shared" ref="S70:S103" si="7">LARGE($L70:$Q70,2)</f>
        <v>5.0389372423269535E-4</v>
      </c>
      <c r="T70" s="6">
        <f t="shared" ref="T70:T103" si="8">LARGE($L70:$Q70,3)</f>
        <v>4.6462927818858684E-4</v>
      </c>
      <c r="U70" s="6">
        <f t="shared" ref="U70:U103" si="9">LARGE($L70:$Q70,4)</f>
        <v>3.9918853478180123E-4</v>
      </c>
      <c r="V70" s="6">
        <f t="shared" ref="V70:V103" si="10">LARGE($L70:$Q70,5)</f>
        <v>-1.3088148681368276E-3</v>
      </c>
      <c r="W70" s="6">
        <f t="shared" ref="W70:W103" si="11">LARGE($L70:$Q70,6)</f>
        <v>-1.4527845036320162E-3</v>
      </c>
    </row>
    <row r="71" spans="1:23" x14ac:dyDescent="0.55000000000000004">
      <c r="A71" s="1">
        <v>67</v>
      </c>
      <c r="B71" s="1" t="s">
        <v>70</v>
      </c>
      <c r="C71" s="1" t="s">
        <v>4</v>
      </c>
      <c r="D71" s="1" t="s">
        <v>103</v>
      </c>
      <c r="E71" s="1">
        <v>152.809</v>
      </c>
      <c r="F71" s="1">
        <v>152.87799999999999</v>
      </c>
      <c r="G71" s="1">
        <v>152.887</v>
      </c>
      <c r="H71" s="1">
        <v>153.16300000000001</v>
      </c>
      <c r="I71" s="1">
        <v>152.61099999999999</v>
      </c>
      <c r="J71" s="1">
        <v>152.58799999999999</v>
      </c>
      <c r="K71" s="1">
        <v>152.87200000000001</v>
      </c>
      <c r="L71" s="6">
        <f>(F71-$E71)/$E71</f>
        <v>4.5154408444521201E-4</v>
      </c>
      <c r="M71" s="6">
        <f>(G71-$E71)/$E71</f>
        <v>5.1044113893817091E-4</v>
      </c>
      <c r="N71" s="6">
        <f>(H71-$E71)/$E71</f>
        <v>2.3166174767193909E-3</v>
      </c>
      <c r="O71" s="6">
        <f>(I71-$E71)/$E71</f>
        <v>-1.2957351988430491E-3</v>
      </c>
      <c r="P71" s="6">
        <f>(J71-$E71)/$E71</f>
        <v>-1.4462498936581199E-3</v>
      </c>
      <c r="Q71" s="6">
        <f>(K71-$E71)/$E71</f>
        <v>4.1227938145015411E-4</v>
      </c>
      <c r="R71" s="6">
        <f t="shared" si="6"/>
        <v>2.3166174767193909E-3</v>
      </c>
      <c r="S71" s="6">
        <f t="shared" si="7"/>
        <v>5.1044113893817091E-4</v>
      </c>
      <c r="T71" s="6">
        <f t="shared" si="8"/>
        <v>4.5154408444521201E-4</v>
      </c>
      <c r="U71" s="6">
        <f t="shared" si="9"/>
        <v>4.1227938145015411E-4</v>
      </c>
      <c r="V71" s="6">
        <f t="shared" si="10"/>
        <v>-1.2957351988430491E-3</v>
      </c>
      <c r="W71" s="6">
        <f t="shared" si="11"/>
        <v>-1.4462498936581199E-3</v>
      </c>
    </row>
    <row r="72" spans="1:23" x14ac:dyDescent="0.55000000000000004">
      <c r="A72" s="1">
        <v>68</v>
      </c>
      <c r="B72" s="1" t="s">
        <v>71</v>
      </c>
      <c r="C72" s="1" t="s">
        <v>4</v>
      </c>
      <c r="D72" s="1" t="s">
        <v>103</v>
      </c>
      <c r="E72" s="1">
        <v>152.81299999999999</v>
      </c>
      <c r="F72" s="1">
        <v>152.876</v>
      </c>
      <c r="G72" s="1">
        <v>152.886</v>
      </c>
      <c r="H72" s="1">
        <v>153.161</v>
      </c>
      <c r="I72" s="1">
        <v>152.61099999999999</v>
      </c>
      <c r="J72" s="1">
        <v>152.58699999999999</v>
      </c>
      <c r="K72" s="1">
        <v>152.874</v>
      </c>
      <c r="L72" s="6">
        <f>(F72-$E72)/$E72</f>
        <v>4.1226858971433452E-4</v>
      </c>
      <c r="M72" s="6">
        <f>(G72-$E72)/$E72</f>
        <v>4.7770804839907276E-4</v>
      </c>
      <c r="N72" s="6">
        <f>(H72-$E72)/$E72</f>
        <v>2.2772931622310486E-3</v>
      </c>
      <c r="O72" s="6">
        <f>(I72-$E72)/$E72</f>
        <v>-1.321877065432903E-3</v>
      </c>
      <c r="P72" s="6">
        <f>(J72-$E72)/$E72</f>
        <v>-1.4789317662764236E-3</v>
      </c>
      <c r="Q72" s="6">
        <f>(K72-$E72)/$E72</f>
        <v>3.9918069797731251E-4</v>
      </c>
      <c r="R72" s="6">
        <f t="shared" si="6"/>
        <v>2.2772931622310486E-3</v>
      </c>
      <c r="S72" s="6">
        <f t="shared" si="7"/>
        <v>4.7770804839907276E-4</v>
      </c>
      <c r="T72" s="6">
        <f t="shared" si="8"/>
        <v>4.1226858971433452E-4</v>
      </c>
      <c r="U72" s="6">
        <f t="shared" si="9"/>
        <v>3.9918069797731251E-4</v>
      </c>
      <c r="V72" s="6">
        <f t="shared" si="10"/>
        <v>-1.321877065432903E-3</v>
      </c>
      <c r="W72" s="6">
        <f t="shared" si="11"/>
        <v>-1.4789317662764236E-3</v>
      </c>
    </row>
    <row r="73" spans="1:23" x14ac:dyDescent="0.55000000000000004">
      <c r="A73" s="1">
        <v>69</v>
      </c>
      <c r="B73" s="1" t="s">
        <v>72</v>
      </c>
      <c r="C73" s="1" t="s">
        <v>4</v>
      </c>
      <c r="D73" s="1" t="s">
        <v>103</v>
      </c>
      <c r="E73" s="1">
        <v>152.779</v>
      </c>
      <c r="F73" s="1">
        <v>152.87299999999999</v>
      </c>
      <c r="G73" s="1">
        <v>152.886</v>
      </c>
      <c r="H73" s="1">
        <v>153.15899999999999</v>
      </c>
      <c r="I73" s="1">
        <v>152.61199999999999</v>
      </c>
      <c r="J73" s="1">
        <v>152.58699999999999</v>
      </c>
      <c r="K73" s="1">
        <v>152.876</v>
      </c>
      <c r="L73" s="6">
        <f>(F73-$E73)/$E73</f>
        <v>6.1526780513024759E-4</v>
      </c>
      <c r="M73" s="6">
        <f>(G73-$E73)/$E73</f>
        <v>7.0035803349936397E-4</v>
      </c>
      <c r="N73" s="6">
        <f>(H73-$E73)/$E73</f>
        <v>2.4872528292500637E-3</v>
      </c>
      <c r="O73" s="6">
        <f>(I73-$E73)/$E73</f>
        <v>-1.0930821644336041E-3</v>
      </c>
      <c r="P73" s="6">
        <f>(J73-$E73)/$E73</f>
        <v>-1.2567172189895685E-3</v>
      </c>
      <c r="Q73" s="6">
        <f>(K73-$E73)/$E73</f>
        <v>6.349040116770526E-4</v>
      </c>
      <c r="R73" s="6">
        <f t="shared" si="6"/>
        <v>2.4872528292500637E-3</v>
      </c>
      <c r="S73" s="6">
        <f t="shared" si="7"/>
        <v>7.0035803349936397E-4</v>
      </c>
      <c r="T73" s="6">
        <f t="shared" si="8"/>
        <v>6.349040116770526E-4</v>
      </c>
      <c r="U73" s="6">
        <f t="shared" si="9"/>
        <v>6.1526780513024759E-4</v>
      </c>
      <c r="V73" s="6">
        <f t="shared" si="10"/>
        <v>-1.0930821644336041E-3</v>
      </c>
      <c r="W73" s="6">
        <f t="shared" si="11"/>
        <v>-1.2567172189895685E-3</v>
      </c>
    </row>
    <row r="74" spans="1:23" x14ac:dyDescent="0.55000000000000004">
      <c r="A74" s="1">
        <v>70</v>
      </c>
      <c r="B74" s="1" t="s">
        <v>73</v>
      </c>
      <c r="C74" s="1" t="s">
        <v>4</v>
      </c>
      <c r="D74" s="1" t="s">
        <v>103</v>
      </c>
      <c r="E74" s="1">
        <v>152.76900000000001</v>
      </c>
      <c r="F74" s="1">
        <v>152.87100000000001</v>
      </c>
      <c r="G74" s="1">
        <v>152.88499999999999</v>
      </c>
      <c r="H74" s="1">
        <v>153.15799999999999</v>
      </c>
      <c r="I74" s="1">
        <v>152.613</v>
      </c>
      <c r="J74" s="1">
        <v>152.58699999999999</v>
      </c>
      <c r="K74" s="1">
        <v>152.87700000000001</v>
      </c>
      <c r="L74" s="6">
        <f>(F74-$E74)/$E74</f>
        <v>6.6767472458420139E-4</v>
      </c>
      <c r="M74" s="6">
        <f>(G74-$E74)/$E74</f>
        <v>7.5931635344857553E-4</v>
      </c>
      <c r="N74" s="6">
        <f>(H74-$E74)/$E74</f>
        <v>2.5463281163061982E-3</v>
      </c>
      <c r="O74" s="6">
        <f>(I74-$E74)/$E74</f>
        <v>-1.0211495787758374E-3</v>
      </c>
      <c r="P74" s="6">
        <f>(J74-$E74)/$E74</f>
        <v>-1.191341175238539E-3</v>
      </c>
      <c r="Q74" s="6">
        <f>(K74-$E74)/$E74</f>
        <v>7.0694970838327208E-4</v>
      </c>
      <c r="R74" s="6">
        <f t="shared" si="6"/>
        <v>2.5463281163061982E-3</v>
      </c>
      <c r="S74" s="6">
        <f t="shared" si="7"/>
        <v>7.5931635344857553E-4</v>
      </c>
      <c r="T74" s="6">
        <f t="shared" si="8"/>
        <v>7.0694970838327208E-4</v>
      </c>
      <c r="U74" s="6">
        <f t="shared" si="9"/>
        <v>6.6767472458420139E-4</v>
      </c>
      <c r="V74" s="6">
        <f t="shared" si="10"/>
        <v>-1.0211495787758374E-3</v>
      </c>
      <c r="W74" s="6">
        <f t="shared" si="11"/>
        <v>-1.191341175238539E-3</v>
      </c>
    </row>
    <row r="75" spans="1:23" x14ac:dyDescent="0.55000000000000004">
      <c r="A75" s="1">
        <v>71</v>
      </c>
      <c r="B75" s="1" t="s">
        <v>74</v>
      </c>
      <c r="C75" s="1" t="s">
        <v>4</v>
      </c>
      <c r="D75" s="1" t="s">
        <v>103</v>
      </c>
      <c r="E75" s="1">
        <v>152.74299999999999</v>
      </c>
      <c r="F75" s="1">
        <v>152.869</v>
      </c>
      <c r="G75" s="1">
        <v>152.88499999999999</v>
      </c>
      <c r="H75" s="1">
        <v>153.15600000000001</v>
      </c>
      <c r="I75" s="1">
        <v>152.614</v>
      </c>
      <c r="J75" s="1">
        <v>152.58699999999999</v>
      </c>
      <c r="K75" s="1">
        <v>152.87899999999999</v>
      </c>
      <c r="L75" s="6">
        <f>(F75-$E75)/$E75</f>
        <v>8.2491505339036674E-4</v>
      </c>
      <c r="M75" s="6">
        <f>(G75-$E75)/$E75</f>
        <v>9.2966617128114487E-4</v>
      </c>
      <c r="N75" s="6">
        <f>(H75-$E75)/$E75</f>
        <v>2.7038882305572818E-3</v>
      </c>
      <c r="O75" s="6">
        <f>(I75-$E75)/$E75</f>
        <v>-8.4455588799480614E-4</v>
      </c>
      <c r="P75" s="6">
        <f>(J75-$E75)/$E75</f>
        <v>-1.0213233994356922E-3</v>
      </c>
      <c r="Q75" s="6">
        <f>(K75-$E75)/$E75</f>
        <v>8.903845020720798E-4</v>
      </c>
      <c r="R75" s="6">
        <f t="shared" si="6"/>
        <v>2.7038882305572818E-3</v>
      </c>
      <c r="S75" s="6">
        <f t="shared" si="7"/>
        <v>9.2966617128114487E-4</v>
      </c>
      <c r="T75" s="6">
        <f t="shared" si="8"/>
        <v>8.903845020720798E-4</v>
      </c>
      <c r="U75" s="6">
        <f t="shared" si="9"/>
        <v>8.2491505339036674E-4</v>
      </c>
      <c r="V75" s="6">
        <f t="shared" si="10"/>
        <v>-8.4455588799480614E-4</v>
      </c>
      <c r="W75" s="6">
        <f t="shared" si="11"/>
        <v>-1.0213233994356922E-3</v>
      </c>
    </row>
    <row r="76" spans="1:23" x14ac:dyDescent="0.55000000000000004">
      <c r="A76" s="1">
        <v>72</v>
      </c>
      <c r="B76" s="1" t="s">
        <v>75</v>
      </c>
      <c r="C76" s="1" t="s">
        <v>4</v>
      </c>
      <c r="D76" s="1" t="s">
        <v>103</v>
      </c>
      <c r="E76" s="1">
        <v>152.75399999999999</v>
      </c>
      <c r="F76" s="1">
        <v>152.86600000000001</v>
      </c>
      <c r="G76" s="1">
        <v>152.88499999999999</v>
      </c>
      <c r="H76" s="1">
        <v>153.154</v>
      </c>
      <c r="I76" s="1">
        <v>152.614</v>
      </c>
      <c r="J76" s="1">
        <v>152.58699999999999</v>
      </c>
      <c r="K76" s="1">
        <v>152.88</v>
      </c>
      <c r="L76" s="6">
        <f>(F76-$E76)/$E76</f>
        <v>7.332050224545557E-4</v>
      </c>
      <c r="M76" s="6">
        <f>(G76-$E76)/$E76</f>
        <v>8.5758801733506313E-4</v>
      </c>
      <c r="N76" s="6">
        <f>(H76-$E76)/$E76</f>
        <v>2.6185893659086226E-3</v>
      </c>
      <c r="O76" s="6">
        <f>(I76-$E76)/$E76</f>
        <v>-9.1650627806791546E-4</v>
      </c>
      <c r="P76" s="6">
        <f>(J76-$E76)/$E76</f>
        <v>-1.0932610602668448E-3</v>
      </c>
      <c r="Q76" s="6">
        <f>(K76-$E76)/$E76</f>
        <v>8.2485565026123558E-4</v>
      </c>
      <c r="R76" s="6">
        <f t="shared" si="6"/>
        <v>2.6185893659086226E-3</v>
      </c>
      <c r="S76" s="6">
        <f t="shared" si="7"/>
        <v>8.5758801733506313E-4</v>
      </c>
      <c r="T76" s="6">
        <f t="shared" si="8"/>
        <v>8.2485565026123558E-4</v>
      </c>
      <c r="U76" s="6">
        <f t="shared" si="9"/>
        <v>7.332050224545557E-4</v>
      </c>
      <c r="V76" s="6">
        <f t="shared" si="10"/>
        <v>-9.1650627806791546E-4</v>
      </c>
      <c r="W76" s="6">
        <f t="shared" si="11"/>
        <v>-1.0932610602668448E-3</v>
      </c>
    </row>
    <row r="77" spans="1:23" x14ac:dyDescent="0.55000000000000004">
      <c r="A77" s="1">
        <v>73</v>
      </c>
      <c r="B77" s="1" t="s">
        <v>76</v>
      </c>
      <c r="C77" s="1" t="s">
        <v>4</v>
      </c>
      <c r="D77" s="1" t="s">
        <v>103</v>
      </c>
      <c r="E77" s="1">
        <v>152.73599999999999</v>
      </c>
      <c r="F77" s="1">
        <v>152.864</v>
      </c>
      <c r="G77" s="1">
        <v>152.88399999999999</v>
      </c>
      <c r="H77" s="1">
        <v>153.15299999999999</v>
      </c>
      <c r="I77" s="1">
        <v>152.61500000000001</v>
      </c>
      <c r="J77" s="1">
        <v>152.58600000000001</v>
      </c>
      <c r="K77" s="1">
        <v>152.88200000000001</v>
      </c>
      <c r="L77" s="6">
        <f>(F77-$E77)/$E77</f>
        <v>8.3804734967535049E-4</v>
      </c>
      <c r="M77" s="6">
        <f>(G77-$E77)/$E77</f>
        <v>9.6899224806199023E-4</v>
      </c>
      <c r="N77" s="6">
        <f>(H77-$E77)/$E77</f>
        <v>2.7302011313639326E-3</v>
      </c>
      <c r="O77" s="6">
        <f>(I77-$E77)/$E77</f>
        <v>-7.9221663523976605E-4</v>
      </c>
      <c r="P77" s="6">
        <f>(J77-$E77)/$E77</f>
        <v>-9.8208673790054261E-4</v>
      </c>
      <c r="Q77" s="6">
        <f>(K77-$E77)/$E77</f>
        <v>9.5589775822343796E-4</v>
      </c>
      <c r="R77" s="6">
        <f t="shared" si="6"/>
        <v>2.7302011313639326E-3</v>
      </c>
      <c r="S77" s="6">
        <f t="shared" si="7"/>
        <v>9.6899224806199023E-4</v>
      </c>
      <c r="T77" s="6">
        <f t="shared" si="8"/>
        <v>9.5589775822343796E-4</v>
      </c>
      <c r="U77" s="6">
        <f t="shared" si="9"/>
        <v>8.3804734967535049E-4</v>
      </c>
      <c r="V77" s="6">
        <f t="shared" si="10"/>
        <v>-7.9221663523976605E-4</v>
      </c>
      <c r="W77" s="6">
        <f t="shared" si="11"/>
        <v>-9.8208673790054261E-4</v>
      </c>
    </row>
    <row r="78" spans="1:23" x14ac:dyDescent="0.55000000000000004">
      <c r="A78" s="1">
        <v>74</v>
      </c>
      <c r="B78" s="1" t="s">
        <v>77</v>
      </c>
      <c r="C78" s="1" t="s">
        <v>4</v>
      </c>
      <c r="D78" s="1" t="s">
        <v>103</v>
      </c>
      <c r="E78" s="1">
        <v>152.76300000000001</v>
      </c>
      <c r="F78" s="1">
        <v>152.86099999999999</v>
      </c>
      <c r="G78" s="1">
        <v>152.88399999999999</v>
      </c>
      <c r="H78" s="1">
        <v>153.15100000000001</v>
      </c>
      <c r="I78" s="1">
        <v>152.61600000000001</v>
      </c>
      <c r="J78" s="1">
        <v>152.58600000000001</v>
      </c>
      <c r="K78" s="1">
        <v>152.88300000000001</v>
      </c>
      <c r="L78" s="6">
        <f>(F78-$E78)/$E78</f>
        <v>6.4151659760534137E-4</v>
      </c>
      <c r="M78" s="6">
        <f>(G78-$E78)/$E78</f>
        <v>7.9207661541067463E-4</v>
      </c>
      <c r="N78" s="6">
        <f>(H78-$E78)/$E78</f>
        <v>2.5398820394991273E-3</v>
      </c>
      <c r="O78" s="6">
        <f>(I78-$E78)/$E78</f>
        <v>-9.6227489640810502E-4</v>
      </c>
      <c r="P78" s="6">
        <f>(J78-$E78)/$E78</f>
        <v>-1.1586575283281456E-3</v>
      </c>
      <c r="Q78" s="6">
        <f>(K78-$E78)/$E78</f>
        <v>7.8553052768016171E-4</v>
      </c>
      <c r="R78" s="6">
        <f t="shared" si="6"/>
        <v>2.5398820394991273E-3</v>
      </c>
      <c r="S78" s="6">
        <f t="shared" si="7"/>
        <v>7.9207661541067463E-4</v>
      </c>
      <c r="T78" s="6">
        <f t="shared" si="8"/>
        <v>7.8553052768016171E-4</v>
      </c>
      <c r="U78" s="6">
        <f t="shared" si="9"/>
        <v>6.4151659760534137E-4</v>
      </c>
      <c r="V78" s="6">
        <f t="shared" si="10"/>
        <v>-9.6227489640810502E-4</v>
      </c>
      <c r="W78" s="6">
        <f t="shared" si="11"/>
        <v>-1.1586575283281456E-3</v>
      </c>
    </row>
    <row r="79" spans="1:23" x14ac:dyDescent="0.55000000000000004">
      <c r="A79" s="1">
        <v>75</v>
      </c>
      <c r="B79" s="1" t="s">
        <v>78</v>
      </c>
      <c r="C79" s="1" t="s">
        <v>4</v>
      </c>
      <c r="D79" s="1" t="s">
        <v>103</v>
      </c>
      <c r="E79" s="1">
        <v>152.77000000000001</v>
      </c>
      <c r="F79" s="1">
        <v>152.85900000000001</v>
      </c>
      <c r="G79" s="1">
        <v>152.88399999999999</v>
      </c>
      <c r="H79" s="1">
        <v>153.15</v>
      </c>
      <c r="I79" s="1">
        <v>152.61699999999999</v>
      </c>
      <c r="J79" s="1">
        <v>152.58600000000001</v>
      </c>
      <c r="K79" s="1">
        <v>152.88499999999999</v>
      </c>
      <c r="L79" s="6">
        <f>(F79-$E79)/$E79</f>
        <v>5.8257511291483037E-4</v>
      </c>
      <c r="M79" s="6">
        <f>(G79-$E79)/$E79</f>
        <v>7.4621980755368127E-4</v>
      </c>
      <c r="N79" s="6">
        <f>(H79-$E79)/$E79</f>
        <v>2.4873993585127672E-3</v>
      </c>
      <c r="O79" s="6">
        <f>(I79-$E79)/$E79</f>
        <v>-1.0015055311908096E-3</v>
      </c>
      <c r="P79" s="6">
        <f>(J79-$E79)/$E79</f>
        <v>-1.2044249525430221E-3</v>
      </c>
      <c r="Q79" s="6">
        <f>(K79-$E79)/$E79</f>
        <v>7.5276559533927253E-4</v>
      </c>
      <c r="R79" s="6">
        <f t="shared" si="6"/>
        <v>2.4873993585127672E-3</v>
      </c>
      <c r="S79" s="6">
        <f t="shared" si="7"/>
        <v>7.5276559533927253E-4</v>
      </c>
      <c r="T79" s="6">
        <f t="shared" si="8"/>
        <v>7.4621980755368127E-4</v>
      </c>
      <c r="U79" s="6">
        <f t="shared" si="9"/>
        <v>5.8257511291483037E-4</v>
      </c>
      <c r="V79" s="6">
        <f t="shared" si="10"/>
        <v>-1.0015055311908096E-3</v>
      </c>
      <c r="W79" s="6">
        <f t="shared" si="11"/>
        <v>-1.2044249525430221E-3</v>
      </c>
    </row>
    <row r="80" spans="1:23" x14ac:dyDescent="0.55000000000000004">
      <c r="A80" s="1">
        <v>76</v>
      </c>
      <c r="B80" s="1" t="s">
        <v>79</v>
      </c>
      <c r="C80" s="1" t="s">
        <v>4</v>
      </c>
      <c r="D80" s="1" t="s">
        <v>103</v>
      </c>
      <c r="E80" s="1">
        <v>152.77699999999999</v>
      </c>
      <c r="F80" s="1">
        <v>152.85599999999999</v>
      </c>
      <c r="G80" s="1">
        <v>152.88300000000001</v>
      </c>
      <c r="H80" s="1">
        <v>153.148</v>
      </c>
      <c r="I80" s="1">
        <v>152.61699999999999</v>
      </c>
      <c r="J80" s="1">
        <v>152.58600000000001</v>
      </c>
      <c r="K80" s="1">
        <v>152.887</v>
      </c>
      <c r="L80" s="6">
        <f>(F80-$E80)/$E80</f>
        <v>5.1709354156717136E-4</v>
      </c>
      <c r="M80" s="6">
        <f>(G80-$E80)/$E80</f>
        <v>6.9382171400160346E-4</v>
      </c>
      <c r="N80" s="6">
        <f>(H80-$E80)/$E80</f>
        <v>2.4283759990051472E-3</v>
      </c>
      <c r="O80" s="6">
        <f>(I80-$E80)/$E80</f>
        <v>-1.0472780588700957E-3</v>
      </c>
      <c r="P80" s="6">
        <f>(J80-$E80)/$E80</f>
        <v>-1.2501881827760336E-3</v>
      </c>
      <c r="Q80" s="6">
        <f>(K80-$E80)/$E80</f>
        <v>7.2000366547329538E-4</v>
      </c>
      <c r="R80" s="6">
        <f t="shared" si="6"/>
        <v>2.4283759990051472E-3</v>
      </c>
      <c r="S80" s="6">
        <f t="shared" si="7"/>
        <v>7.2000366547329538E-4</v>
      </c>
      <c r="T80" s="6">
        <f t="shared" si="8"/>
        <v>6.9382171400160346E-4</v>
      </c>
      <c r="U80" s="6">
        <f t="shared" si="9"/>
        <v>5.1709354156717136E-4</v>
      </c>
      <c r="V80" s="6">
        <f t="shared" si="10"/>
        <v>-1.0472780588700957E-3</v>
      </c>
      <c r="W80" s="6">
        <f t="shared" si="11"/>
        <v>-1.2501881827760336E-3</v>
      </c>
    </row>
    <row r="81" spans="1:23" x14ac:dyDescent="0.55000000000000004">
      <c r="A81" s="1">
        <v>77</v>
      </c>
      <c r="B81" s="1" t="s">
        <v>80</v>
      </c>
      <c r="C81" s="1" t="s">
        <v>4</v>
      </c>
      <c r="D81" s="1" t="s">
        <v>103</v>
      </c>
      <c r="E81" s="1">
        <v>152.80099999999999</v>
      </c>
      <c r="F81" s="1">
        <v>152.85400000000001</v>
      </c>
      <c r="G81" s="1">
        <v>152.88300000000001</v>
      </c>
      <c r="H81" s="1">
        <v>153.14599999999999</v>
      </c>
      <c r="I81" s="1">
        <v>152.61799999999999</v>
      </c>
      <c r="J81" s="1">
        <v>152.58500000000001</v>
      </c>
      <c r="K81" s="1">
        <v>152.88800000000001</v>
      </c>
      <c r="L81" s="6">
        <f>(F81-$E81)/$E81</f>
        <v>3.4685636874121046E-4</v>
      </c>
      <c r="M81" s="6">
        <f>(G81-$E81)/$E81</f>
        <v>5.3664570258062485E-4</v>
      </c>
      <c r="N81" s="6">
        <f>(H81-$E81)/$E81</f>
        <v>2.2578386267105509E-3</v>
      </c>
      <c r="O81" s="6">
        <f>(I81-$E81)/$E81</f>
        <v>-1.1976361411246833E-3</v>
      </c>
      <c r="P81" s="6">
        <f>(J81-$E81)/$E81</f>
        <v>-1.4136033141143041E-3</v>
      </c>
      <c r="Q81" s="6">
        <f>(K81-$E81)/$E81</f>
        <v>5.6936800151842926E-4</v>
      </c>
      <c r="R81" s="6">
        <f t="shared" si="6"/>
        <v>2.2578386267105509E-3</v>
      </c>
      <c r="S81" s="6">
        <f t="shared" si="7"/>
        <v>5.6936800151842926E-4</v>
      </c>
      <c r="T81" s="6">
        <f t="shared" si="8"/>
        <v>5.3664570258062485E-4</v>
      </c>
      <c r="U81" s="6">
        <f t="shared" si="9"/>
        <v>3.4685636874121046E-4</v>
      </c>
      <c r="V81" s="6">
        <f t="shared" si="10"/>
        <v>-1.1976361411246833E-3</v>
      </c>
      <c r="W81" s="6">
        <f t="shared" si="11"/>
        <v>-1.4136033141143041E-3</v>
      </c>
    </row>
    <row r="82" spans="1:23" x14ac:dyDescent="0.55000000000000004">
      <c r="A82" s="1">
        <v>78</v>
      </c>
      <c r="B82" s="1" t="s">
        <v>81</v>
      </c>
      <c r="C82" s="1" t="s">
        <v>4</v>
      </c>
      <c r="D82" s="1" t="s">
        <v>103</v>
      </c>
      <c r="E82" s="1">
        <v>152.81200000000001</v>
      </c>
      <c r="F82" s="1">
        <v>152.852</v>
      </c>
      <c r="G82" s="1">
        <v>152.88200000000001</v>
      </c>
      <c r="H82" s="1">
        <v>153.14500000000001</v>
      </c>
      <c r="I82" s="1">
        <v>152.619</v>
      </c>
      <c r="J82" s="1">
        <v>152.58500000000001</v>
      </c>
      <c r="K82" s="1">
        <v>152.88999999999999</v>
      </c>
      <c r="L82" s="6">
        <f>(F82-$E82)/$E82</f>
        <v>2.6175954767944951E-4</v>
      </c>
      <c r="M82" s="6">
        <f>(G82-$E82)/$E82</f>
        <v>4.5807920843908312E-4</v>
      </c>
      <c r="N82" s="6">
        <f>(H82-$E82)/$E82</f>
        <v>2.1791482344318404E-3</v>
      </c>
      <c r="O82" s="6">
        <f>(I82-$E82)/$E82</f>
        <v>-1.262989817553674E-3</v>
      </c>
      <c r="P82" s="6">
        <f>(J82-$E82)/$E82</f>
        <v>-1.4854854330811969E-3</v>
      </c>
      <c r="Q82" s="6">
        <f>(K82-$E82)/$E82</f>
        <v>5.1043111797486143E-4</v>
      </c>
      <c r="R82" s="6">
        <f t="shared" si="6"/>
        <v>2.1791482344318404E-3</v>
      </c>
      <c r="S82" s="6">
        <f t="shared" si="7"/>
        <v>5.1043111797486143E-4</v>
      </c>
      <c r="T82" s="6">
        <f t="shared" si="8"/>
        <v>4.5807920843908312E-4</v>
      </c>
      <c r="U82" s="6">
        <f t="shared" si="9"/>
        <v>2.6175954767944951E-4</v>
      </c>
      <c r="V82" s="6">
        <f t="shared" si="10"/>
        <v>-1.262989817553674E-3</v>
      </c>
      <c r="W82" s="6">
        <f t="shared" si="11"/>
        <v>-1.4854854330811969E-3</v>
      </c>
    </row>
    <row r="83" spans="1:23" x14ac:dyDescent="0.55000000000000004">
      <c r="A83" s="1">
        <v>79</v>
      </c>
      <c r="B83" s="1" t="s">
        <v>82</v>
      </c>
      <c r="C83" s="1" t="s">
        <v>4</v>
      </c>
      <c r="D83" s="1" t="s">
        <v>103</v>
      </c>
      <c r="E83" s="1">
        <v>152.786</v>
      </c>
      <c r="F83" s="1">
        <v>152.84899999999999</v>
      </c>
      <c r="G83" s="1">
        <v>152.88200000000001</v>
      </c>
      <c r="H83" s="1">
        <v>153.143</v>
      </c>
      <c r="I83" s="1">
        <v>152.62</v>
      </c>
      <c r="J83" s="1">
        <v>152.58500000000001</v>
      </c>
      <c r="K83" s="1">
        <v>152.89099999999999</v>
      </c>
      <c r="L83" s="6">
        <f>(F83-$E83)/$E83</f>
        <v>4.1234144489670632E-4</v>
      </c>
      <c r="M83" s="6">
        <f>(G83-$E83)/$E83</f>
        <v>6.2832982079512279E-4</v>
      </c>
      <c r="N83" s="6">
        <f>(H83-$E83)/$E83</f>
        <v>2.33660152108177E-3</v>
      </c>
      <c r="O83" s="6">
        <f>(I83-$E83)/$E83</f>
        <v>-1.0864869817915047E-3</v>
      </c>
      <c r="P83" s="6">
        <f>(J83-$E83)/$E83</f>
        <v>-1.3155655622896954E-3</v>
      </c>
      <c r="Q83" s="6">
        <f>(K83-$E83)/$E83</f>
        <v>6.8723574149457257E-4</v>
      </c>
      <c r="R83" s="6">
        <f t="shared" si="6"/>
        <v>2.33660152108177E-3</v>
      </c>
      <c r="S83" s="6">
        <f t="shared" si="7"/>
        <v>6.8723574149457257E-4</v>
      </c>
      <c r="T83" s="6">
        <f t="shared" si="8"/>
        <v>6.2832982079512279E-4</v>
      </c>
      <c r="U83" s="6">
        <f t="shared" si="9"/>
        <v>4.1234144489670632E-4</v>
      </c>
      <c r="V83" s="6">
        <f t="shared" si="10"/>
        <v>-1.0864869817915047E-3</v>
      </c>
      <c r="W83" s="6">
        <f t="shared" si="11"/>
        <v>-1.3155655622896954E-3</v>
      </c>
    </row>
    <row r="84" spans="1:23" x14ac:dyDescent="0.55000000000000004">
      <c r="A84" s="1">
        <v>80</v>
      </c>
      <c r="B84" s="1" t="s">
        <v>83</v>
      </c>
      <c r="C84" s="1" t="s">
        <v>4</v>
      </c>
      <c r="D84" s="1" t="s">
        <v>103</v>
      </c>
      <c r="E84" s="1">
        <v>152.81399999999999</v>
      </c>
      <c r="F84" s="1">
        <v>152.84700000000001</v>
      </c>
      <c r="G84" s="1">
        <v>152.88200000000001</v>
      </c>
      <c r="H84" s="1">
        <v>153.14099999999999</v>
      </c>
      <c r="I84" s="1">
        <v>152.62100000000001</v>
      </c>
      <c r="J84" s="1">
        <v>152.58500000000001</v>
      </c>
      <c r="K84" s="1">
        <v>152.893</v>
      </c>
      <c r="L84" s="6">
        <f>(F84-$E84)/$E84</f>
        <v>2.1594880050267295E-4</v>
      </c>
      <c r="M84" s="6">
        <f>(G84-$E84)/$E84</f>
        <v>4.4498540709628735E-4</v>
      </c>
      <c r="N84" s="6">
        <f>(H84-$E84)/$E84</f>
        <v>2.1398562958891082E-3</v>
      </c>
      <c r="O84" s="6">
        <f>(I84-$E84)/$E84</f>
        <v>-1.262973287787661E-3</v>
      </c>
      <c r="P84" s="6">
        <f>(J84-$E84)/$E84</f>
        <v>-1.4985537974268391E-3</v>
      </c>
      <c r="Q84" s="6">
        <f>(K84-$E84)/$E84</f>
        <v>5.1696834059711629E-4</v>
      </c>
      <c r="R84" s="6">
        <f t="shared" si="6"/>
        <v>2.1398562958891082E-3</v>
      </c>
      <c r="S84" s="6">
        <f t="shared" si="7"/>
        <v>5.1696834059711629E-4</v>
      </c>
      <c r="T84" s="6">
        <f t="shared" si="8"/>
        <v>4.4498540709628735E-4</v>
      </c>
      <c r="U84" s="6">
        <f t="shared" si="9"/>
        <v>2.1594880050267295E-4</v>
      </c>
      <c r="V84" s="6">
        <f t="shared" si="10"/>
        <v>-1.262973287787661E-3</v>
      </c>
      <c r="W84" s="6">
        <f t="shared" si="11"/>
        <v>-1.4985537974268391E-3</v>
      </c>
    </row>
    <row r="85" spans="1:23" x14ac:dyDescent="0.55000000000000004">
      <c r="A85" s="1">
        <v>81</v>
      </c>
      <c r="B85" s="1" t="s">
        <v>84</v>
      </c>
      <c r="C85" s="1" t="s">
        <v>4</v>
      </c>
      <c r="D85" s="1" t="s">
        <v>103</v>
      </c>
      <c r="E85" s="1">
        <v>152.78700000000001</v>
      </c>
      <c r="F85" s="1">
        <v>152.84399999999999</v>
      </c>
      <c r="G85" s="1">
        <v>152.881</v>
      </c>
      <c r="H85" s="1">
        <v>153.13999999999999</v>
      </c>
      <c r="I85" s="1">
        <v>152.62100000000001</v>
      </c>
      <c r="J85" s="1">
        <v>152.584</v>
      </c>
      <c r="K85" s="1">
        <v>152.89400000000001</v>
      </c>
      <c r="L85" s="6">
        <f>(F85-$E85)/$E85</f>
        <v>3.7306838932623813E-4</v>
      </c>
      <c r="M85" s="6">
        <f>(G85-$E85)/$E85</f>
        <v>6.152355894152911E-4</v>
      </c>
      <c r="N85" s="6">
        <f>(H85-$E85)/$E85</f>
        <v>2.3104059900382898E-3</v>
      </c>
      <c r="O85" s="6">
        <f>(I85-$E85)/$E85</f>
        <v>-1.0864798706696041E-3</v>
      </c>
      <c r="P85" s="6">
        <f>(J85-$E85)/$E85</f>
        <v>-1.328647070758657E-3</v>
      </c>
      <c r="Q85" s="6">
        <f>(K85-$E85)/$E85</f>
        <v>7.0032136241957304E-4</v>
      </c>
      <c r="R85" s="6">
        <f t="shared" si="6"/>
        <v>2.3104059900382898E-3</v>
      </c>
      <c r="S85" s="6">
        <f t="shared" si="7"/>
        <v>7.0032136241957304E-4</v>
      </c>
      <c r="T85" s="6">
        <f t="shared" si="8"/>
        <v>6.152355894152911E-4</v>
      </c>
      <c r="U85" s="6">
        <f t="shared" si="9"/>
        <v>3.7306838932623813E-4</v>
      </c>
      <c r="V85" s="6">
        <f t="shared" si="10"/>
        <v>-1.0864798706696041E-3</v>
      </c>
      <c r="W85" s="6">
        <f t="shared" si="11"/>
        <v>-1.328647070758657E-3</v>
      </c>
    </row>
    <row r="86" spans="1:23" x14ac:dyDescent="0.55000000000000004">
      <c r="A86" s="1">
        <v>82</v>
      </c>
      <c r="B86" s="1" t="s">
        <v>85</v>
      </c>
      <c r="C86" s="1" t="s">
        <v>4</v>
      </c>
      <c r="D86" s="1" t="s">
        <v>103</v>
      </c>
      <c r="E86" s="1">
        <v>152.72999999999999</v>
      </c>
      <c r="F86" s="1">
        <v>152.84200000000001</v>
      </c>
      <c r="G86" s="1">
        <v>152.881</v>
      </c>
      <c r="H86" s="1">
        <v>153.13800000000001</v>
      </c>
      <c r="I86" s="1">
        <v>152.62200000000001</v>
      </c>
      <c r="J86" s="1">
        <v>152.584</v>
      </c>
      <c r="K86" s="1">
        <v>152.89599999999999</v>
      </c>
      <c r="L86" s="6">
        <f>(F86-$E86)/$E86</f>
        <v>7.3332023832922938E-4</v>
      </c>
      <c r="M86" s="6">
        <f>(G86-$E86)/$E86</f>
        <v>9.8867282131873558E-4</v>
      </c>
      <c r="N86" s="6">
        <f>(H86-$E86)/$E86</f>
        <v>2.6713808681988836E-3</v>
      </c>
      <c r="O86" s="6">
        <f>(I86-$E86)/$E86</f>
        <v>-7.0713022981716545E-4</v>
      </c>
      <c r="P86" s="6">
        <f>(J86-$E86)/$E86</f>
        <v>-9.559353106788882E-4</v>
      </c>
      <c r="Q86" s="6">
        <f>(K86-$E86)/$E86</f>
        <v>1.0868853532377191E-3</v>
      </c>
      <c r="R86" s="6">
        <f t="shared" si="6"/>
        <v>2.6713808681988836E-3</v>
      </c>
      <c r="S86" s="6">
        <f t="shared" si="7"/>
        <v>1.0868853532377191E-3</v>
      </c>
      <c r="T86" s="6">
        <f t="shared" si="8"/>
        <v>9.8867282131873558E-4</v>
      </c>
      <c r="U86" s="6">
        <f t="shared" si="9"/>
        <v>7.3332023832922938E-4</v>
      </c>
      <c r="V86" s="6">
        <f t="shared" si="10"/>
        <v>-7.0713022981716545E-4</v>
      </c>
      <c r="W86" s="6">
        <f t="shared" si="11"/>
        <v>-9.559353106788882E-4</v>
      </c>
    </row>
    <row r="87" spans="1:23" x14ac:dyDescent="0.55000000000000004">
      <c r="A87" s="1">
        <v>83</v>
      </c>
      <c r="B87" s="1" t="s">
        <v>86</v>
      </c>
      <c r="C87" s="1" t="s">
        <v>4</v>
      </c>
      <c r="D87" s="1" t="s">
        <v>103</v>
      </c>
      <c r="E87" s="1">
        <v>152.72800000000001</v>
      </c>
      <c r="F87" s="1">
        <v>152.84</v>
      </c>
      <c r="G87" s="1">
        <v>152.881</v>
      </c>
      <c r="H87" s="1">
        <v>153.136</v>
      </c>
      <c r="I87" s="1">
        <v>152.62299999999999</v>
      </c>
      <c r="J87" s="1">
        <v>152.584</v>
      </c>
      <c r="K87" s="1">
        <v>152.898</v>
      </c>
      <c r="L87" s="6">
        <f>(F87-$E87)/$E87</f>
        <v>7.3332984128643582E-4</v>
      </c>
      <c r="M87" s="6">
        <f>(G87-$E87)/$E87</f>
        <v>1.001780943900212E-3</v>
      </c>
      <c r="N87" s="6">
        <f>(H87-$E87)/$E87</f>
        <v>2.6714158504006274E-3</v>
      </c>
      <c r="O87" s="6">
        <f>(I87-$E87)/$E87</f>
        <v>-6.8749672620618471E-4</v>
      </c>
      <c r="P87" s="6">
        <f>(J87-$E87)/$E87</f>
        <v>-9.4285265308264004E-4</v>
      </c>
      <c r="Q87" s="6">
        <f>(K87-$E87)/$E87</f>
        <v>1.1130899376668815E-3</v>
      </c>
      <c r="R87" s="6">
        <f t="shared" si="6"/>
        <v>2.6714158504006274E-3</v>
      </c>
      <c r="S87" s="6">
        <f t="shared" si="7"/>
        <v>1.1130899376668815E-3</v>
      </c>
      <c r="T87" s="6">
        <f t="shared" si="8"/>
        <v>1.001780943900212E-3</v>
      </c>
      <c r="U87" s="6">
        <f t="shared" si="9"/>
        <v>7.3332984128643582E-4</v>
      </c>
      <c r="V87" s="6">
        <f t="shared" si="10"/>
        <v>-6.8749672620618471E-4</v>
      </c>
      <c r="W87" s="6">
        <f t="shared" si="11"/>
        <v>-9.4285265308264004E-4</v>
      </c>
    </row>
    <row r="88" spans="1:23" x14ac:dyDescent="0.55000000000000004">
      <c r="A88" s="1">
        <v>84</v>
      </c>
      <c r="B88" s="1" t="s">
        <v>87</v>
      </c>
      <c r="C88" s="1" t="s">
        <v>4</v>
      </c>
      <c r="D88" s="1" t="s">
        <v>103</v>
      </c>
      <c r="E88" s="1">
        <v>152.72900000000001</v>
      </c>
      <c r="F88" s="1">
        <v>152.83699999999999</v>
      </c>
      <c r="G88" s="1">
        <v>152.88</v>
      </c>
      <c r="H88" s="1">
        <v>153.13499999999999</v>
      </c>
      <c r="I88" s="1">
        <v>152.624</v>
      </c>
      <c r="J88" s="1">
        <v>152.584</v>
      </c>
      <c r="K88" s="1">
        <v>152.899</v>
      </c>
      <c r="L88" s="6">
        <f>(F88-$E88)/$E88</f>
        <v>7.0713485978416454E-4</v>
      </c>
      <c r="M88" s="6">
        <f>(G88-$E88)/$E88</f>
        <v>9.8867929469833508E-4</v>
      </c>
      <c r="N88" s="6">
        <f>(H88-$E88)/$E88</f>
        <v>2.6583032691890698E-3</v>
      </c>
      <c r="O88" s="6">
        <f>(I88-$E88)/$E88</f>
        <v>-6.8749222479043393E-4</v>
      </c>
      <c r="P88" s="6">
        <f>(J88-$E88)/$E88</f>
        <v>-9.4939402471050176E-4</v>
      </c>
      <c r="Q88" s="6">
        <f>(K88-$E88)/$E88</f>
        <v>1.1130826496604277E-3</v>
      </c>
      <c r="R88" s="6">
        <f t="shared" si="6"/>
        <v>2.6583032691890698E-3</v>
      </c>
      <c r="S88" s="6">
        <f t="shared" si="7"/>
        <v>1.1130826496604277E-3</v>
      </c>
      <c r="T88" s="6">
        <f t="shared" si="8"/>
        <v>9.8867929469833508E-4</v>
      </c>
      <c r="U88" s="6">
        <f t="shared" si="9"/>
        <v>7.0713485978416454E-4</v>
      </c>
      <c r="V88" s="6">
        <f t="shared" si="10"/>
        <v>-6.8749222479043393E-4</v>
      </c>
      <c r="W88" s="6">
        <f t="shared" si="11"/>
        <v>-9.4939402471050176E-4</v>
      </c>
    </row>
    <row r="89" spans="1:23" x14ac:dyDescent="0.55000000000000004">
      <c r="A89" s="1">
        <v>85</v>
      </c>
      <c r="B89" s="1" t="s">
        <v>88</v>
      </c>
      <c r="C89" s="1" t="s">
        <v>4</v>
      </c>
      <c r="D89" s="1" t="s">
        <v>103</v>
      </c>
      <c r="E89" s="1">
        <v>152.74600000000001</v>
      </c>
      <c r="F89" s="1">
        <v>152.83500000000001</v>
      </c>
      <c r="G89" s="1">
        <v>152.88</v>
      </c>
      <c r="H89" s="1">
        <v>153.13300000000001</v>
      </c>
      <c r="I89" s="1">
        <v>152.624</v>
      </c>
      <c r="J89" s="1">
        <v>152.584</v>
      </c>
      <c r="K89" s="1">
        <v>152.90100000000001</v>
      </c>
      <c r="L89" s="6">
        <f>(F89-$E89)/$E89</f>
        <v>5.8266664920848094E-4</v>
      </c>
      <c r="M89" s="6">
        <f>(G89-$E89)/$E89</f>
        <v>8.7727338195426479E-4</v>
      </c>
      <c r="N89" s="6">
        <f>(H89-$E89)/$E89</f>
        <v>2.5336179016144478E-3</v>
      </c>
      <c r="O89" s="6">
        <f>(I89-$E89)/$E89</f>
        <v>-7.9871158655555035E-4</v>
      </c>
      <c r="P89" s="6">
        <f>(J89-$E89)/$E89</f>
        <v>-1.0605842378851565E-3</v>
      </c>
      <c r="Q89" s="6">
        <f>(K89-$E89)/$E89</f>
        <v>1.0147565239024337E-3</v>
      </c>
      <c r="R89" s="6">
        <f t="shared" si="6"/>
        <v>2.5336179016144478E-3</v>
      </c>
      <c r="S89" s="6">
        <f t="shared" si="7"/>
        <v>1.0147565239024337E-3</v>
      </c>
      <c r="T89" s="6">
        <f t="shared" si="8"/>
        <v>8.7727338195426479E-4</v>
      </c>
      <c r="U89" s="6">
        <f t="shared" si="9"/>
        <v>5.8266664920848094E-4</v>
      </c>
      <c r="V89" s="6">
        <f t="shared" si="10"/>
        <v>-7.9871158655555035E-4</v>
      </c>
      <c r="W89" s="6">
        <f t="shared" si="11"/>
        <v>-1.0605842378851565E-3</v>
      </c>
    </row>
    <row r="90" spans="1:23" x14ac:dyDescent="0.55000000000000004">
      <c r="A90" s="1">
        <v>86</v>
      </c>
      <c r="B90" s="1" t="s">
        <v>89</v>
      </c>
      <c r="C90" s="1" t="s">
        <v>4</v>
      </c>
      <c r="D90" s="1" t="s">
        <v>103</v>
      </c>
      <c r="E90" s="1">
        <v>152.74199999999999</v>
      </c>
      <c r="F90" s="1">
        <v>152.83199999999999</v>
      </c>
      <c r="G90" s="1">
        <v>152.87899999999999</v>
      </c>
      <c r="H90" s="1">
        <v>153.13200000000001</v>
      </c>
      <c r="I90" s="1">
        <v>152.625</v>
      </c>
      <c r="J90" s="1">
        <v>152.583</v>
      </c>
      <c r="K90" s="1">
        <v>152.90199999999999</v>
      </c>
      <c r="L90" s="6">
        <f>(F90-$E90)/$E90</f>
        <v>5.8922889578507168E-4</v>
      </c>
      <c r="M90" s="6">
        <f>(G90-$E90)/$E90</f>
        <v>8.9693731913946702E-4</v>
      </c>
      <c r="N90" s="6">
        <f>(H90-$E90)/$E90</f>
        <v>2.5533252150686438E-3</v>
      </c>
      <c r="O90" s="6">
        <f>(I90-$E90)/$E90</f>
        <v>-7.6599756452050015E-4</v>
      </c>
      <c r="P90" s="6">
        <f>(J90-$E90)/$E90</f>
        <v>-1.0409710492202003E-3</v>
      </c>
      <c r="Q90" s="6">
        <f>(K90-$E90)/$E90</f>
        <v>1.0475180369511766E-3</v>
      </c>
      <c r="R90" s="6">
        <f t="shared" si="6"/>
        <v>2.5533252150686438E-3</v>
      </c>
      <c r="S90" s="6">
        <f t="shared" si="7"/>
        <v>1.0475180369511766E-3</v>
      </c>
      <c r="T90" s="6">
        <f t="shared" si="8"/>
        <v>8.9693731913946702E-4</v>
      </c>
      <c r="U90" s="6">
        <f t="shared" si="9"/>
        <v>5.8922889578507168E-4</v>
      </c>
      <c r="V90" s="6">
        <f t="shared" si="10"/>
        <v>-7.6599756452050015E-4</v>
      </c>
      <c r="W90" s="6">
        <f t="shared" si="11"/>
        <v>-1.0409710492202003E-3</v>
      </c>
    </row>
    <row r="91" spans="1:23" x14ac:dyDescent="0.55000000000000004">
      <c r="A91" s="1">
        <v>87</v>
      </c>
      <c r="B91" s="1" t="s">
        <v>90</v>
      </c>
      <c r="C91" s="1" t="s">
        <v>4</v>
      </c>
      <c r="D91" s="1" t="s">
        <v>103</v>
      </c>
      <c r="E91" s="1">
        <v>152.70599999999999</v>
      </c>
      <c r="F91" s="1">
        <v>152.83000000000001</v>
      </c>
      <c r="G91" s="1">
        <v>152.87899999999999</v>
      </c>
      <c r="H91" s="1">
        <v>153.13</v>
      </c>
      <c r="I91" s="1">
        <v>152.626</v>
      </c>
      <c r="J91" s="1">
        <v>152.583</v>
      </c>
      <c r="K91" s="1">
        <v>152.904</v>
      </c>
      <c r="L91" s="6">
        <f>(F91-$E91)/$E91</f>
        <v>8.1201786439317157E-4</v>
      </c>
      <c r="M91" s="6">
        <f>(G91-$E91)/$E91</f>
        <v>1.1328958914515594E-3</v>
      </c>
      <c r="N91" s="6">
        <f>(H91-$E91)/$E91</f>
        <v>2.7765772137310035E-3</v>
      </c>
      <c r="O91" s="6">
        <f>(I91-$E91)/$E91</f>
        <v>-5.2388249315668078E-4</v>
      </c>
      <c r="P91" s="6">
        <f>(J91-$E91)/$E91</f>
        <v>-8.0546933322849434E-4</v>
      </c>
      <c r="Q91" s="6">
        <f>(K91-$E91)/$E91</f>
        <v>1.2966091705630919E-3</v>
      </c>
      <c r="R91" s="6">
        <f t="shared" si="6"/>
        <v>2.7765772137310035E-3</v>
      </c>
      <c r="S91" s="6">
        <f t="shared" si="7"/>
        <v>1.2966091705630919E-3</v>
      </c>
      <c r="T91" s="6">
        <f t="shared" si="8"/>
        <v>1.1328958914515594E-3</v>
      </c>
      <c r="U91" s="6">
        <f t="shared" si="9"/>
        <v>8.1201786439317157E-4</v>
      </c>
      <c r="V91" s="6">
        <f t="shared" si="10"/>
        <v>-5.2388249315668078E-4</v>
      </c>
      <c r="W91" s="6">
        <f t="shared" si="11"/>
        <v>-8.0546933322849434E-4</v>
      </c>
    </row>
    <row r="92" spans="1:23" x14ac:dyDescent="0.55000000000000004">
      <c r="A92" s="1">
        <v>88</v>
      </c>
      <c r="B92" s="1" t="s">
        <v>91</v>
      </c>
      <c r="C92" s="1" t="s">
        <v>4</v>
      </c>
      <c r="D92" s="1" t="s">
        <v>103</v>
      </c>
      <c r="E92" s="1">
        <v>152.75700000000001</v>
      </c>
      <c r="F92" s="1">
        <v>152.827</v>
      </c>
      <c r="G92" s="1">
        <v>152.87899999999999</v>
      </c>
      <c r="H92" s="1">
        <v>153.12799999999999</v>
      </c>
      <c r="I92" s="1">
        <v>152.62700000000001</v>
      </c>
      <c r="J92" s="1">
        <v>152.583</v>
      </c>
      <c r="K92" s="1">
        <v>152.90600000000001</v>
      </c>
      <c r="L92" s="6">
        <f>(F92-$E92)/$E92</f>
        <v>4.5824413938472984E-4</v>
      </c>
      <c r="M92" s="6">
        <f>(G92-$E92)/$E92</f>
        <v>7.9865407149908463E-4</v>
      </c>
      <c r="N92" s="6">
        <f>(H92-$E92)/$E92</f>
        <v>2.4286939387391797E-3</v>
      </c>
      <c r="O92" s="6">
        <f>(I92-$E92)/$E92</f>
        <v>-8.5102483028597997E-4</v>
      </c>
      <c r="P92" s="6">
        <f>(J92-$E92)/$E92</f>
        <v>-1.1390640036136254E-3</v>
      </c>
      <c r="Q92" s="6">
        <f>(K92-$E92)/$E92</f>
        <v>9.7540538240474019E-4</v>
      </c>
      <c r="R92" s="6">
        <f t="shared" si="6"/>
        <v>2.4286939387391797E-3</v>
      </c>
      <c r="S92" s="6">
        <f t="shared" si="7"/>
        <v>9.7540538240474019E-4</v>
      </c>
      <c r="T92" s="6">
        <f t="shared" si="8"/>
        <v>7.9865407149908463E-4</v>
      </c>
      <c r="U92" s="6">
        <f t="shared" si="9"/>
        <v>4.5824413938472984E-4</v>
      </c>
      <c r="V92" s="6">
        <f t="shared" si="10"/>
        <v>-8.5102483028597997E-4</v>
      </c>
      <c r="W92" s="6">
        <f t="shared" si="11"/>
        <v>-1.1390640036136254E-3</v>
      </c>
    </row>
    <row r="93" spans="1:23" x14ac:dyDescent="0.55000000000000004">
      <c r="A93" s="1">
        <v>89</v>
      </c>
      <c r="B93" s="1" t="s">
        <v>92</v>
      </c>
      <c r="C93" s="1" t="s">
        <v>4</v>
      </c>
      <c r="D93" s="1" t="s">
        <v>103</v>
      </c>
      <c r="E93" s="1">
        <v>152.649</v>
      </c>
      <c r="F93" s="1">
        <v>152.82499999999999</v>
      </c>
      <c r="G93" s="1">
        <v>152.87799999999999</v>
      </c>
      <c r="H93" s="1">
        <v>153.12700000000001</v>
      </c>
      <c r="I93" s="1">
        <v>152.62700000000001</v>
      </c>
      <c r="J93" s="1">
        <v>152.583</v>
      </c>
      <c r="K93" s="1">
        <v>152.90700000000001</v>
      </c>
      <c r="L93" s="6">
        <f>(F93-$E93)/$E93</f>
        <v>1.1529718504542299E-3</v>
      </c>
      <c r="M93" s="6">
        <f>(G93-$E93)/$E93</f>
        <v>1.5001736008751121E-3</v>
      </c>
      <c r="N93" s="6">
        <f>(H93-$E93)/$E93</f>
        <v>3.1313667302111945E-3</v>
      </c>
      <c r="O93" s="6">
        <f>(I93-$E93)/$E93</f>
        <v>-1.4412148130673217E-4</v>
      </c>
      <c r="P93" s="6">
        <f>(J93-$E93)/$E93</f>
        <v>-4.3236444392038274E-4</v>
      </c>
      <c r="Q93" s="6">
        <f>(K93-$E93)/$E93</f>
        <v>1.6901519171433142E-3</v>
      </c>
      <c r="R93" s="6">
        <f t="shared" si="6"/>
        <v>3.1313667302111945E-3</v>
      </c>
      <c r="S93" s="6">
        <f t="shared" si="7"/>
        <v>1.6901519171433142E-3</v>
      </c>
      <c r="T93" s="6">
        <f t="shared" si="8"/>
        <v>1.5001736008751121E-3</v>
      </c>
      <c r="U93" s="6">
        <f t="shared" si="9"/>
        <v>1.1529718504542299E-3</v>
      </c>
      <c r="V93" s="6">
        <f t="shared" si="10"/>
        <v>-1.4412148130673217E-4</v>
      </c>
      <c r="W93" s="6">
        <f t="shared" si="11"/>
        <v>-4.3236444392038274E-4</v>
      </c>
    </row>
    <row r="94" spans="1:23" x14ac:dyDescent="0.55000000000000004">
      <c r="A94" s="1">
        <v>90</v>
      </c>
      <c r="B94" s="1" t="s">
        <v>93</v>
      </c>
      <c r="C94" s="1" t="s">
        <v>4</v>
      </c>
      <c r="D94" s="1" t="s">
        <v>103</v>
      </c>
      <c r="E94" s="1">
        <v>152.648</v>
      </c>
      <c r="F94" s="1">
        <v>152.82300000000001</v>
      </c>
      <c r="G94" s="1">
        <v>152.87799999999999</v>
      </c>
      <c r="H94" s="1">
        <v>153.125</v>
      </c>
      <c r="I94" s="1">
        <v>152.62799999999999</v>
      </c>
      <c r="J94" s="1">
        <v>152.58199999999999</v>
      </c>
      <c r="K94" s="1">
        <v>152.90899999999999</v>
      </c>
      <c r="L94" s="6">
        <f>(F94-$E94)/$E94</f>
        <v>1.1464283842566648E-3</v>
      </c>
      <c r="M94" s="6">
        <f>(G94-$E94)/$E94</f>
        <v>1.5067344478800232E-3</v>
      </c>
      <c r="N94" s="6">
        <f>(H94-$E94)/$E94</f>
        <v>3.1248362245165601E-3</v>
      </c>
      <c r="O94" s="6">
        <f>(I94-$E94)/$E94</f>
        <v>-1.3102038677224878E-4</v>
      </c>
      <c r="P94" s="6">
        <f>(J94-$E94)/$E94</f>
        <v>-4.3236727634821619E-4</v>
      </c>
      <c r="Q94" s="6">
        <f>(K94-$E94)/$E94</f>
        <v>1.7098160473769436E-3</v>
      </c>
      <c r="R94" s="6">
        <f t="shared" si="6"/>
        <v>3.1248362245165601E-3</v>
      </c>
      <c r="S94" s="6">
        <f t="shared" si="7"/>
        <v>1.7098160473769436E-3</v>
      </c>
      <c r="T94" s="6">
        <f t="shared" si="8"/>
        <v>1.5067344478800232E-3</v>
      </c>
      <c r="U94" s="6">
        <f t="shared" si="9"/>
        <v>1.1464283842566648E-3</v>
      </c>
      <c r="V94" s="6">
        <f t="shared" si="10"/>
        <v>-1.3102038677224878E-4</v>
      </c>
      <c r="W94" s="6">
        <f t="shared" si="11"/>
        <v>-4.3236727634821619E-4</v>
      </c>
    </row>
    <row r="95" spans="1:23" x14ac:dyDescent="0.55000000000000004">
      <c r="A95" s="1">
        <v>91</v>
      </c>
      <c r="B95" s="1" t="s">
        <v>94</v>
      </c>
      <c r="C95" s="1" t="s">
        <v>4</v>
      </c>
      <c r="D95" s="1" t="s">
        <v>103</v>
      </c>
      <c r="E95" s="1">
        <v>152.67599999999999</v>
      </c>
      <c r="F95" s="1">
        <v>152.82</v>
      </c>
      <c r="G95" s="1">
        <v>152.87799999999999</v>
      </c>
      <c r="H95" s="1">
        <v>153.12299999999999</v>
      </c>
      <c r="I95" s="1">
        <v>152.62899999999999</v>
      </c>
      <c r="J95" s="1">
        <v>152.58199999999999</v>
      </c>
      <c r="K95" s="1">
        <v>152.91</v>
      </c>
      <c r="L95" s="6">
        <f>(F95-$E95)/$E95</f>
        <v>9.4317377976895823E-4</v>
      </c>
      <c r="M95" s="6">
        <f>(G95-$E95)/$E95</f>
        <v>1.3230632188425044E-3</v>
      </c>
      <c r="N95" s="6">
        <f>(H95-$E95)/$E95</f>
        <v>2.9277686080327148E-3</v>
      </c>
      <c r="O95" s="6">
        <f>(I95-$E95)/$E95</f>
        <v>-3.0784144200789285E-4</v>
      </c>
      <c r="P95" s="6">
        <f>(J95-$E95)/$E95</f>
        <v>-6.156828840157857E-4</v>
      </c>
      <c r="Q95" s="6">
        <f>(K95-$E95)/$E95</f>
        <v>1.5326573921245572E-3</v>
      </c>
      <c r="R95" s="6">
        <f t="shared" si="6"/>
        <v>2.9277686080327148E-3</v>
      </c>
      <c r="S95" s="6">
        <f t="shared" si="7"/>
        <v>1.5326573921245572E-3</v>
      </c>
      <c r="T95" s="6">
        <f t="shared" si="8"/>
        <v>1.3230632188425044E-3</v>
      </c>
      <c r="U95" s="6">
        <f t="shared" si="9"/>
        <v>9.4317377976895823E-4</v>
      </c>
      <c r="V95" s="6">
        <f t="shared" si="10"/>
        <v>-3.0784144200789285E-4</v>
      </c>
      <c r="W95" s="6">
        <f t="shared" si="11"/>
        <v>-6.156828840157857E-4</v>
      </c>
    </row>
    <row r="96" spans="1:23" x14ac:dyDescent="0.55000000000000004">
      <c r="A96" s="1">
        <v>92</v>
      </c>
      <c r="B96" s="1" t="s">
        <v>95</v>
      </c>
      <c r="C96" s="1" t="s">
        <v>4</v>
      </c>
      <c r="D96" s="1" t="s">
        <v>103</v>
      </c>
      <c r="E96" s="1">
        <v>152.642</v>
      </c>
      <c r="F96" s="1">
        <v>152.81800000000001</v>
      </c>
      <c r="G96" s="1">
        <v>152.87700000000001</v>
      </c>
      <c r="H96" s="1">
        <v>153.12200000000001</v>
      </c>
      <c r="I96" s="1">
        <v>152.63</v>
      </c>
      <c r="J96" s="1">
        <v>152.58199999999999</v>
      </c>
      <c r="K96" s="1">
        <v>152.91200000000001</v>
      </c>
      <c r="L96" s="6">
        <f>(F96-$E96)/$E96</f>
        <v>1.1530247245189146E-3</v>
      </c>
      <c r="M96" s="6">
        <f>(G96-$E96)/$E96</f>
        <v>1.5395500583064534E-3</v>
      </c>
      <c r="N96" s="6">
        <f>(H96-$E96)/$E96</f>
        <v>3.1446128850514156E-3</v>
      </c>
      <c r="O96" s="6">
        <f>(I96-$E96)/$E96</f>
        <v>-7.8615322126285395E-5</v>
      </c>
      <c r="P96" s="6">
        <f>(J96-$E96)/$E96</f>
        <v>-3.9307661063142695E-4</v>
      </c>
      <c r="Q96" s="6">
        <f>(K96-$E96)/$E96</f>
        <v>1.7688447478414213E-3</v>
      </c>
      <c r="R96" s="6">
        <f t="shared" si="6"/>
        <v>3.1446128850514156E-3</v>
      </c>
      <c r="S96" s="6">
        <f t="shared" si="7"/>
        <v>1.7688447478414213E-3</v>
      </c>
      <c r="T96" s="6">
        <f t="shared" si="8"/>
        <v>1.5395500583064534E-3</v>
      </c>
      <c r="U96" s="6">
        <f t="shared" si="9"/>
        <v>1.1530247245189146E-3</v>
      </c>
      <c r="V96" s="6">
        <f t="shared" si="10"/>
        <v>-7.8615322126285395E-5</v>
      </c>
      <c r="W96" s="6">
        <f t="shared" si="11"/>
        <v>-3.9307661063142695E-4</v>
      </c>
    </row>
    <row r="97" spans="1:23" x14ac:dyDescent="0.55000000000000004">
      <c r="A97" s="1">
        <v>93</v>
      </c>
      <c r="B97" s="1" t="s">
        <v>96</v>
      </c>
      <c r="C97" s="1" t="s">
        <v>4</v>
      </c>
      <c r="D97" s="1" t="s">
        <v>103</v>
      </c>
      <c r="E97" s="1">
        <v>152.64500000000001</v>
      </c>
      <c r="F97" s="1">
        <v>152.815</v>
      </c>
      <c r="G97" s="1">
        <v>152.87700000000001</v>
      </c>
      <c r="H97" s="1">
        <v>153.12</v>
      </c>
      <c r="I97" s="1">
        <v>152.63</v>
      </c>
      <c r="J97" s="1">
        <v>152.58199999999999</v>
      </c>
      <c r="K97" s="1">
        <v>152.91300000000001</v>
      </c>
      <c r="L97" s="6">
        <f>(F97-$E97)/$E97</f>
        <v>1.1136951750793506E-3</v>
      </c>
      <c r="M97" s="6">
        <f>(G97-$E97)/$E97</f>
        <v>1.5198663565789859E-3</v>
      </c>
      <c r="N97" s="6">
        <f>(H97-$E97)/$E97</f>
        <v>3.1117953421336713E-3</v>
      </c>
      <c r="O97" s="6">
        <f>(I97-$E97)/$E97</f>
        <v>-9.8267221330634985E-5</v>
      </c>
      <c r="P97" s="6">
        <f>(J97-$E97)/$E97</f>
        <v>-4.1272232958836904E-4</v>
      </c>
      <c r="Q97" s="6">
        <f>(K97-$E97)/$E97</f>
        <v>1.7557076877722864E-3</v>
      </c>
      <c r="R97" s="6">
        <f t="shared" si="6"/>
        <v>3.1117953421336713E-3</v>
      </c>
      <c r="S97" s="6">
        <f t="shared" si="7"/>
        <v>1.7557076877722864E-3</v>
      </c>
      <c r="T97" s="6">
        <f t="shared" si="8"/>
        <v>1.5198663565789859E-3</v>
      </c>
      <c r="U97" s="6">
        <f t="shared" si="9"/>
        <v>1.1136951750793506E-3</v>
      </c>
      <c r="V97" s="6">
        <f t="shared" si="10"/>
        <v>-9.8267221330634985E-5</v>
      </c>
      <c r="W97" s="6">
        <f t="shared" si="11"/>
        <v>-4.1272232958836904E-4</v>
      </c>
    </row>
    <row r="98" spans="1:23" x14ac:dyDescent="0.55000000000000004">
      <c r="A98" s="1">
        <v>94</v>
      </c>
      <c r="B98" s="1" t="s">
        <v>97</v>
      </c>
      <c r="C98" s="1" t="s">
        <v>4</v>
      </c>
      <c r="D98" s="1" t="s">
        <v>103</v>
      </c>
      <c r="E98" s="1">
        <v>152.65</v>
      </c>
      <c r="F98" s="1">
        <v>152.81299999999999</v>
      </c>
      <c r="G98" s="1">
        <v>152.876</v>
      </c>
      <c r="H98" s="1">
        <v>153.11799999999999</v>
      </c>
      <c r="I98" s="1">
        <v>152.631</v>
      </c>
      <c r="J98" s="1">
        <v>152.58099999999999</v>
      </c>
      <c r="K98" s="1">
        <v>152.91499999999999</v>
      </c>
      <c r="L98" s="6">
        <f>(F98-$E98)/$E98</f>
        <v>1.067802161807943E-3</v>
      </c>
      <c r="M98" s="6">
        <f>(G98-$E98)/$E98</f>
        <v>1.48051097281362E-3</v>
      </c>
      <c r="N98" s="6">
        <f>(H98-$E98)/$E98</f>
        <v>3.0658368817555802E-3</v>
      </c>
      <c r="O98" s="6">
        <f>(I98-$E98)/$E98</f>
        <v>-1.2446773665250873E-4</v>
      </c>
      <c r="P98" s="6">
        <f>(J98-$E98)/$E98</f>
        <v>-4.5201441205382784E-4</v>
      </c>
      <c r="Q98" s="6">
        <f>(K98-$E98)/$E98</f>
        <v>1.7359973796265073E-3</v>
      </c>
      <c r="R98" s="6">
        <f t="shared" si="6"/>
        <v>3.0658368817555802E-3</v>
      </c>
      <c r="S98" s="6">
        <f t="shared" si="7"/>
        <v>1.7359973796265073E-3</v>
      </c>
      <c r="T98" s="6">
        <f t="shared" si="8"/>
        <v>1.48051097281362E-3</v>
      </c>
      <c r="U98" s="6">
        <f t="shared" si="9"/>
        <v>1.067802161807943E-3</v>
      </c>
      <c r="V98" s="6">
        <f t="shared" si="10"/>
        <v>-1.2446773665250873E-4</v>
      </c>
      <c r="W98" s="6">
        <f t="shared" si="11"/>
        <v>-4.5201441205382784E-4</v>
      </c>
    </row>
    <row r="99" spans="1:23" x14ac:dyDescent="0.55000000000000004">
      <c r="A99" s="1">
        <v>95</v>
      </c>
      <c r="B99" s="1" t="s">
        <v>98</v>
      </c>
      <c r="C99" s="1" t="s">
        <v>4</v>
      </c>
      <c r="D99" s="1" t="s">
        <v>103</v>
      </c>
      <c r="E99" s="1">
        <v>152.69999999999999</v>
      </c>
      <c r="F99" s="1">
        <v>152.81</v>
      </c>
      <c r="G99" s="1">
        <v>152.876</v>
      </c>
      <c r="H99" s="1">
        <v>153.11699999999999</v>
      </c>
      <c r="I99" s="1">
        <v>152.63200000000001</v>
      </c>
      <c r="J99" s="1">
        <v>152.58099999999999</v>
      </c>
      <c r="K99" s="1">
        <v>152.917</v>
      </c>
      <c r="L99" s="6">
        <f>(F99-$E99)/$E99</f>
        <v>7.203667321546408E-4</v>
      </c>
      <c r="M99" s="6">
        <f>(G99-$E99)/$E99</f>
        <v>1.1525867714473881E-3</v>
      </c>
      <c r="N99" s="6">
        <f>(H99-$E99)/$E99</f>
        <v>2.7308447937131738E-3</v>
      </c>
      <c r="O99" s="6">
        <f>(I99-$E99)/$E99</f>
        <v>-4.4531761624088827E-4</v>
      </c>
      <c r="P99" s="6">
        <f>(J99-$E99)/$E99</f>
        <v>-7.793058284217406E-4</v>
      </c>
      <c r="Q99" s="6">
        <f>(K99-$E99)/$E99</f>
        <v>1.421087098886791E-3</v>
      </c>
      <c r="R99" s="6">
        <f t="shared" si="6"/>
        <v>2.7308447937131738E-3</v>
      </c>
      <c r="S99" s="6">
        <f t="shared" si="7"/>
        <v>1.421087098886791E-3</v>
      </c>
      <c r="T99" s="6">
        <f t="shared" si="8"/>
        <v>1.1525867714473881E-3</v>
      </c>
      <c r="U99" s="6">
        <f t="shared" si="9"/>
        <v>7.203667321546408E-4</v>
      </c>
      <c r="V99" s="6">
        <f t="shared" si="10"/>
        <v>-4.4531761624088827E-4</v>
      </c>
      <c r="W99" s="6">
        <f t="shared" si="11"/>
        <v>-7.793058284217406E-4</v>
      </c>
    </row>
    <row r="100" spans="1:23" x14ac:dyDescent="0.55000000000000004">
      <c r="A100" s="1">
        <v>96</v>
      </c>
      <c r="B100" s="1" t="s">
        <v>99</v>
      </c>
      <c r="C100" s="1" t="s">
        <v>4</v>
      </c>
      <c r="D100" s="1" t="s">
        <v>103</v>
      </c>
      <c r="E100" s="1">
        <v>152.72200000000001</v>
      </c>
      <c r="F100" s="1">
        <v>152.80799999999999</v>
      </c>
      <c r="G100" s="1">
        <v>152.876</v>
      </c>
      <c r="H100" s="1">
        <v>153.11500000000001</v>
      </c>
      <c r="I100" s="1">
        <v>152.63300000000001</v>
      </c>
      <c r="J100" s="1">
        <v>152.58099999999999</v>
      </c>
      <c r="K100" s="1">
        <v>152.91800000000001</v>
      </c>
      <c r="L100" s="6">
        <f>(F100-$E100)/$E100</f>
        <v>5.6311467895905183E-4</v>
      </c>
      <c r="M100" s="6">
        <f>(G100-$E100)/$E100</f>
        <v>1.0083681460431133E-3</v>
      </c>
      <c r="N100" s="6">
        <f>(H100-$E100)/$E100</f>
        <v>2.5733031259412569E-3</v>
      </c>
      <c r="O100" s="6">
        <f>(I100-$E100)/$E100</f>
        <v>-5.8275821427167425E-4</v>
      </c>
      <c r="P100" s="6">
        <f>(J100-$E100)/$E100</f>
        <v>-9.2324615968897435E-4</v>
      </c>
      <c r="Q100" s="6">
        <f>(K100-$E100)/$E100</f>
        <v>1.2833776404185249E-3</v>
      </c>
      <c r="R100" s="6">
        <f t="shared" si="6"/>
        <v>2.5733031259412569E-3</v>
      </c>
      <c r="S100" s="6">
        <f t="shared" si="7"/>
        <v>1.2833776404185249E-3</v>
      </c>
      <c r="T100" s="6">
        <f t="shared" si="8"/>
        <v>1.0083681460431133E-3</v>
      </c>
      <c r="U100" s="6">
        <f t="shared" si="9"/>
        <v>5.6311467895905183E-4</v>
      </c>
      <c r="V100" s="6">
        <f t="shared" si="10"/>
        <v>-5.8275821427167425E-4</v>
      </c>
      <c r="W100" s="6">
        <f t="shared" si="11"/>
        <v>-9.2324615968897435E-4</v>
      </c>
    </row>
    <row r="101" spans="1:23" x14ac:dyDescent="0.55000000000000004">
      <c r="A101" s="1">
        <v>97</v>
      </c>
      <c r="B101" s="1" t="s">
        <v>100</v>
      </c>
      <c r="C101" s="1" t="s">
        <v>4</v>
      </c>
      <c r="D101" s="1" t="s">
        <v>103</v>
      </c>
      <c r="E101" s="1">
        <v>152.69200000000001</v>
      </c>
      <c r="F101" s="1">
        <v>152.80600000000001</v>
      </c>
      <c r="G101" s="1">
        <v>152.875</v>
      </c>
      <c r="H101" s="1">
        <v>153.113</v>
      </c>
      <c r="I101" s="1">
        <v>152.63399999999999</v>
      </c>
      <c r="J101" s="1">
        <v>152.58099999999999</v>
      </c>
      <c r="K101" s="1">
        <v>152.91999999999999</v>
      </c>
      <c r="L101" s="6">
        <f>(F101-$E101)/$E101</f>
        <v>7.4660100070733442E-4</v>
      </c>
      <c r="M101" s="6">
        <f>(G101-$E101)/$E101</f>
        <v>1.1984910800827333E-3</v>
      </c>
      <c r="N101" s="6">
        <f>(H101-$E101)/$E101</f>
        <v>2.7571843973488606E-3</v>
      </c>
      <c r="O101" s="6">
        <f>(I101-$E101)/$E101</f>
        <v>-3.7984963193894337E-4</v>
      </c>
      <c r="P101" s="6">
        <f>(J101-$E101)/$E101</f>
        <v>-7.2695360595197134E-4</v>
      </c>
      <c r="Q101" s="6">
        <f>(K101-$E101)/$E101</f>
        <v>1.4932020014144828E-3</v>
      </c>
      <c r="R101" s="6">
        <f t="shared" si="6"/>
        <v>2.7571843973488606E-3</v>
      </c>
      <c r="S101" s="6">
        <f t="shared" si="7"/>
        <v>1.4932020014144828E-3</v>
      </c>
      <c r="T101" s="6">
        <f t="shared" si="8"/>
        <v>1.1984910800827333E-3</v>
      </c>
      <c r="U101" s="6">
        <f t="shared" si="9"/>
        <v>7.4660100070733442E-4</v>
      </c>
      <c r="V101" s="6">
        <f t="shared" si="10"/>
        <v>-3.7984963193894337E-4</v>
      </c>
      <c r="W101" s="6">
        <f t="shared" si="11"/>
        <v>-7.2695360595197134E-4</v>
      </c>
    </row>
    <row r="102" spans="1:23" x14ac:dyDescent="0.55000000000000004">
      <c r="A102" s="1">
        <v>98</v>
      </c>
      <c r="B102" s="1" t="s">
        <v>101</v>
      </c>
      <c r="C102" s="1" t="s">
        <v>4</v>
      </c>
      <c r="D102" s="1" t="s">
        <v>103</v>
      </c>
      <c r="E102" s="1">
        <v>152.727</v>
      </c>
      <c r="F102" s="1">
        <v>152.803</v>
      </c>
      <c r="G102" s="1">
        <v>152.875</v>
      </c>
      <c r="H102" s="1">
        <v>153.11199999999999</v>
      </c>
      <c r="I102" s="1">
        <v>152.63399999999999</v>
      </c>
      <c r="J102" s="1">
        <v>152.58099999999999</v>
      </c>
      <c r="K102" s="1">
        <v>152.92099999999999</v>
      </c>
      <c r="L102" s="6">
        <f>(F102-$E102)/$E102</f>
        <v>4.9761993622603337E-4</v>
      </c>
      <c r="M102" s="6">
        <f>(G102-$E102)/$E102</f>
        <v>9.6904934949286069E-4</v>
      </c>
      <c r="N102" s="6">
        <f>(H102-$E102)/$E102</f>
        <v>2.5208378348294072E-3</v>
      </c>
      <c r="O102" s="6">
        <f>(I102-$E102)/$E102</f>
        <v>-6.089296588030783E-4</v>
      </c>
      <c r="P102" s="6">
        <f>(J102-$E102)/$E102</f>
        <v>-9.5595408801335069E-4</v>
      </c>
      <c r="Q102" s="6">
        <f>(K102-$E102)/$E102</f>
        <v>1.2702403635243826E-3</v>
      </c>
      <c r="R102" s="6">
        <f t="shared" si="6"/>
        <v>2.5208378348294072E-3</v>
      </c>
      <c r="S102" s="6">
        <f t="shared" si="7"/>
        <v>1.2702403635243826E-3</v>
      </c>
      <c r="T102" s="6">
        <f t="shared" si="8"/>
        <v>9.6904934949286069E-4</v>
      </c>
      <c r="U102" s="6">
        <f t="shared" si="9"/>
        <v>4.9761993622603337E-4</v>
      </c>
      <c r="V102" s="6">
        <f t="shared" si="10"/>
        <v>-6.089296588030783E-4</v>
      </c>
      <c r="W102" s="6">
        <f t="shared" si="11"/>
        <v>-9.5595408801335069E-4</v>
      </c>
    </row>
    <row r="103" spans="1:23" x14ac:dyDescent="0.55000000000000004">
      <c r="A103" s="1">
        <v>99</v>
      </c>
      <c r="B103" s="1" t="s">
        <v>102</v>
      </c>
      <c r="C103" s="1" t="s">
        <v>4</v>
      </c>
      <c r="D103" s="1" t="s">
        <v>103</v>
      </c>
      <c r="E103" s="1">
        <v>152.71199999999999</v>
      </c>
      <c r="F103" s="1">
        <v>152.80099999999999</v>
      </c>
      <c r="G103" s="1">
        <v>152.875</v>
      </c>
      <c r="H103" s="1">
        <v>153.11000000000001</v>
      </c>
      <c r="I103" s="1">
        <v>152.63499999999999</v>
      </c>
      <c r="J103" s="1">
        <v>152.58000000000001</v>
      </c>
      <c r="K103" s="1">
        <v>152.923</v>
      </c>
      <c r="L103" s="6">
        <f>(F103-$E103)/$E103</f>
        <v>5.8279637487557395E-4</v>
      </c>
      <c r="M103" s="6">
        <f>(G103-$E103)/$E103</f>
        <v>1.0673686416261389E-3</v>
      </c>
      <c r="N103" s="6">
        <f>(H103-$E103)/$E103</f>
        <v>2.606213002252767E-3</v>
      </c>
      <c r="O103" s="6">
        <f>(I103-$E103)/$E103</f>
        <v>-5.0421708837549231E-4</v>
      </c>
      <c r="P103" s="6">
        <f>(J103-$E103)/$E103</f>
        <v>-8.6437215150071104E-4</v>
      </c>
      <c r="Q103" s="6">
        <f>(K103-$E103)/$E103</f>
        <v>1.3816857876264653E-3</v>
      </c>
      <c r="R103" s="6">
        <f t="shared" si="6"/>
        <v>2.606213002252767E-3</v>
      </c>
      <c r="S103" s="6">
        <f t="shared" si="7"/>
        <v>1.3816857876264653E-3</v>
      </c>
      <c r="T103" s="6">
        <f t="shared" si="8"/>
        <v>1.0673686416261389E-3</v>
      </c>
      <c r="U103" s="6">
        <f t="shared" si="9"/>
        <v>5.8279637487557395E-4</v>
      </c>
      <c r="V103" s="6">
        <f t="shared" si="10"/>
        <v>-5.0421708837549231E-4</v>
      </c>
      <c r="W103" s="6">
        <f t="shared" si="11"/>
        <v>-8.6437215150071104E-4</v>
      </c>
    </row>
  </sheetData>
  <conditionalFormatting sqref="R5:W103">
    <cfRule type="cellIs" dxfId="1" priority="7" operator="lessThan">
      <formula>0</formula>
    </cfRule>
    <cfRule type="cellIs" dxfId="0" priority="8" operator="greaterThan">
      <formula>0</formula>
    </cfRule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S&amp;R 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2026-02-23T09:16:14Z</dcterms:modified>
</cp:coreProperties>
</file>