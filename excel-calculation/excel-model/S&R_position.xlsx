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Excel\"/>
    </mc:Choice>
  </mc:AlternateContent>
  <xr:revisionPtr revIDLastSave="0" documentId="13_ncr:1_{5ACA98C1-E47B-41F4-806E-952B7D892C06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&amp;R Positi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103" i="4" l="1"/>
  <c r="Q103" i="4"/>
  <c r="P103" i="4"/>
  <c r="O103" i="4"/>
  <c r="N103" i="4"/>
  <c r="M103" i="4"/>
  <c r="R102" i="4"/>
  <c r="Q102" i="4"/>
  <c r="P102" i="4"/>
  <c r="O102" i="4"/>
  <c r="N102" i="4"/>
  <c r="M102" i="4"/>
  <c r="R101" i="4"/>
  <c r="Q101" i="4"/>
  <c r="P101" i="4"/>
  <c r="O101" i="4"/>
  <c r="N101" i="4"/>
  <c r="T101" i="4" s="1"/>
  <c r="M101" i="4"/>
  <c r="R100" i="4"/>
  <c r="Q100" i="4"/>
  <c r="P100" i="4"/>
  <c r="O100" i="4"/>
  <c r="N100" i="4"/>
  <c r="M100" i="4"/>
  <c r="R99" i="4"/>
  <c r="Q99" i="4"/>
  <c r="P99" i="4"/>
  <c r="O99" i="4"/>
  <c r="N99" i="4"/>
  <c r="M99" i="4"/>
  <c r="R98" i="4"/>
  <c r="Q98" i="4"/>
  <c r="P98" i="4"/>
  <c r="O98" i="4"/>
  <c r="N98" i="4"/>
  <c r="M98" i="4"/>
  <c r="R97" i="4"/>
  <c r="Q97" i="4"/>
  <c r="P97" i="4"/>
  <c r="O97" i="4"/>
  <c r="N97" i="4"/>
  <c r="M97" i="4"/>
  <c r="R96" i="4"/>
  <c r="Q96" i="4"/>
  <c r="P96" i="4"/>
  <c r="O96" i="4"/>
  <c r="N96" i="4"/>
  <c r="M96" i="4"/>
  <c r="R95" i="4"/>
  <c r="Q95" i="4"/>
  <c r="P95" i="4"/>
  <c r="O95" i="4"/>
  <c r="N95" i="4"/>
  <c r="M95" i="4"/>
  <c r="R94" i="4"/>
  <c r="Q94" i="4"/>
  <c r="P94" i="4"/>
  <c r="O94" i="4"/>
  <c r="N94" i="4"/>
  <c r="M94" i="4"/>
  <c r="R93" i="4"/>
  <c r="Q93" i="4"/>
  <c r="P93" i="4"/>
  <c r="O93" i="4"/>
  <c r="N93" i="4"/>
  <c r="M93" i="4"/>
  <c r="R92" i="4"/>
  <c r="Q92" i="4"/>
  <c r="P92" i="4"/>
  <c r="O92" i="4"/>
  <c r="N92" i="4"/>
  <c r="M92" i="4"/>
  <c r="R91" i="4"/>
  <c r="Q91" i="4"/>
  <c r="P91" i="4"/>
  <c r="O91" i="4"/>
  <c r="N91" i="4"/>
  <c r="M91" i="4"/>
  <c r="R90" i="4"/>
  <c r="Q90" i="4"/>
  <c r="P90" i="4"/>
  <c r="O90" i="4"/>
  <c r="N90" i="4"/>
  <c r="M90" i="4"/>
  <c r="R89" i="4"/>
  <c r="Q89" i="4"/>
  <c r="P89" i="4"/>
  <c r="O89" i="4"/>
  <c r="N89" i="4"/>
  <c r="M89" i="4"/>
  <c r="R88" i="4"/>
  <c r="Q88" i="4"/>
  <c r="P88" i="4"/>
  <c r="O88" i="4"/>
  <c r="N88" i="4"/>
  <c r="M88" i="4"/>
  <c r="R87" i="4"/>
  <c r="Q87" i="4"/>
  <c r="P87" i="4"/>
  <c r="O87" i="4"/>
  <c r="N87" i="4"/>
  <c r="M87" i="4"/>
  <c r="R86" i="4"/>
  <c r="Q86" i="4"/>
  <c r="P86" i="4"/>
  <c r="O86" i="4"/>
  <c r="N86" i="4"/>
  <c r="M86" i="4"/>
  <c r="R85" i="4"/>
  <c r="Q85" i="4"/>
  <c r="P85" i="4"/>
  <c r="O85" i="4"/>
  <c r="N85" i="4"/>
  <c r="M85" i="4"/>
  <c r="R84" i="4"/>
  <c r="Q84" i="4"/>
  <c r="P84" i="4"/>
  <c r="O84" i="4"/>
  <c r="N84" i="4"/>
  <c r="M84" i="4"/>
  <c r="R83" i="4"/>
  <c r="Q83" i="4"/>
  <c r="P83" i="4"/>
  <c r="O83" i="4"/>
  <c r="N83" i="4"/>
  <c r="M83" i="4"/>
  <c r="R82" i="4"/>
  <c r="Q82" i="4"/>
  <c r="P82" i="4"/>
  <c r="O82" i="4"/>
  <c r="N82" i="4"/>
  <c r="M82" i="4"/>
  <c r="R81" i="4"/>
  <c r="Q81" i="4"/>
  <c r="P81" i="4"/>
  <c r="O81" i="4"/>
  <c r="N81" i="4"/>
  <c r="M81" i="4"/>
  <c r="R80" i="4"/>
  <c r="Q80" i="4"/>
  <c r="P80" i="4"/>
  <c r="O80" i="4"/>
  <c r="N80" i="4"/>
  <c r="M80" i="4"/>
  <c r="R79" i="4"/>
  <c r="Q79" i="4"/>
  <c r="P79" i="4"/>
  <c r="O79" i="4"/>
  <c r="N79" i="4"/>
  <c r="M79" i="4"/>
  <c r="R78" i="4"/>
  <c r="Q78" i="4"/>
  <c r="P78" i="4"/>
  <c r="O78" i="4"/>
  <c r="N78" i="4"/>
  <c r="M78" i="4"/>
  <c r="R77" i="4"/>
  <c r="Q77" i="4"/>
  <c r="P77" i="4"/>
  <c r="O77" i="4"/>
  <c r="N77" i="4"/>
  <c r="M77" i="4"/>
  <c r="R76" i="4"/>
  <c r="Q76" i="4"/>
  <c r="P76" i="4"/>
  <c r="O76" i="4"/>
  <c r="N76" i="4"/>
  <c r="M76" i="4"/>
  <c r="R75" i="4"/>
  <c r="Q75" i="4"/>
  <c r="P75" i="4"/>
  <c r="O75" i="4"/>
  <c r="N75" i="4"/>
  <c r="M75" i="4"/>
  <c r="R74" i="4"/>
  <c r="Q74" i="4"/>
  <c r="P74" i="4"/>
  <c r="O74" i="4"/>
  <c r="N74" i="4"/>
  <c r="M74" i="4"/>
  <c r="R73" i="4"/>
  <c r="Q73" i="4"/>
  <c r="P73" i="4"/>
  <c r="O73" i="4"/>
  <c r="N73" i="4"/>
  <c r="M73" i="4"/>
  <c r="R72" i="4"/>
  <c r="Q72" i="4"/>
  <c r="P72" i="4"/>
  <c r="O72" i="4"/>
  <c r="N72" i="4"/>
  <c r="M72" i="4"/>
  <c r="R71" i="4"/>
  <c r="Q71" i="4"/>
  <c r="P71" i="4"/>
  <c r="O71" i="4"/>
  <c r="N71" i="4"/>
  <c r="M71" i="4"/>
  <c r="R70" i="4"/>
  <c r="Q70" i="4"/>
  <c r="P70" i="4"/>
  <c r="O70" i="4"/>
  <c r="N70" i="4"/>
  <c r="M70" i="4"/>
  <c r="R69" i="4"/>
  <c r="Q69" i="4"/>
  <c r="P69" i="4"/>
  <c r="O69" i="4"/>
  <c r="N69" i="4"/>
  <c r="M69" i="4"/>
  <c r="R68" i="4"/>
  <c r="Q68" i="4"/>
  <c r="P68" i="4"/>
  <c r="O68" i="4"/>
  <c r="N68" i="4"/>
  <c r="M68" i="4"/>
  <c r="R67" i="4"/>
  <c r="Q67" i="4"/>
  <c r="P67" i="4"/>
  <c r="O67" i="4"/>
  <c r="N67" i="4"/>
  <c r="M67" i="4"/>
  <c r="R66" i="4"/>
  <c r="Q66" i="4"/>
  <c r="P66" i="4"/>
  <c r="O66" i="4"/>
  <c r="N66" i="4"/>
  <c r="M66" i="4"/>
  <c r="R65" i="4"/>
  <c r="Q65" i="4"/>
  <c r="P65" i="4"/>
  <c r="O65" i="4"/>
  <c r="N65" i="4"/>
  <c r="M65" i="4"/>
  <c r="R64" i="4"/>
  <c r="Q64" i="4"/>
  <c r="P64" i="4"/>
  <c r="O64" i="4"/>
  <c r="N64" i="4"/>
  <c r="M64" i="4"/>
  <c r="R63" i="4"/>
  <c r="Q63" i="4"/>
  <c r="P63" i="4"/>
  <c r="O63" i="4"/>
  <c r="N63" i="4"/>
  <c r="M63" i="4"/>
  <c r="R62" i="4"/>
  <c r="Q62" i="4"/>
  <c r="P62" i="4"/>
  <c r="O62" i="4"/>
  <c r="N62" i="4"/>
  <c r="M62" i="4"/>
  <c r="R61" i="4"/>
  <c r="Q61" i="4"/>
  <c r="P61" i="4"/>
  <c r="O61" i="4"/>
  <c r="N61" i="4"/>
  <c r="M61" i="4"/>
  <c r="R60" i="4"/>
  <c r="Q60" i="4"/>
  <c r="P60" i="4"/>
  <c r="O60" i="4"/>
  <c r="N60" i="4"/>
  <c r="M60" i="4"/>
  <c r="R59" i="4"/>
  <c r="Q59" i="4"/>
  <c r="P59" i="4"/>
  <c r="O59" i="4"/>
  <c r="N59" i="4"/>
  <c r="M59" i="4"/>
  <c r="R58" i="4"/>
  <c r="Q58" i="4"/>
  <c r="P58" i="4"/>
  <c r="O58" i="4"/>
  <c r="N58" i="4"/>
  <c r="M58" i="4"/>
  <c r="R57" i="4"/>
  <c r="Q57" i="4"/>
  <c r="P57" i="4"/>
  <c r="O57" i="4"/>
  <c r="N57" i="4"/>
  <c r="M57" i="4"/>
  <c r="R56" i="4"/>
  <c r="Q56" i="4"/>
  <c r="P56" i="4"/>
  <c r="O56" i="4"/>
  <c r="N56" i="4"/>
  <c r="M56" i="4"/>
  <c r="R55" i="4"/>
  <c r="Q55" i="4"/>
  <c r="P55" i="4"/>
  <c r="O55" i="4"/>
  <c r="N55" i="4"/>
  <c r="M55" i="4"/>
  <c r="R54" i="4"/>
  <c r="Q54" i="4"/>
  <c r="P54" i="4"/>
  <c r="O54" i="4"/>
  <c r="N54" i="4"/>
  <c r="M54" i="4"/>
  <c r="R53" i="4"/>
  <c r="Q53" i="4"/>
  <c r="P53" i="4"/>
  <c r="O53" i="4"/>
  <c r="N53" i="4"/>
  <c r="M53" i="4"/>
  <c r="R52" i="4"/>
  <c r="Q52" i="4"/>
  <c r="P52" i="4"/>
  <c r="O52" i="4"/>
  <c r="N52" i="4"/>
  <c r="M52" i="4"/>
  <c r="R51" i="4"/>
  <c r="Q51" i="4"/>
  <c r="P51" i="4"/>
  <c r="O51" i="4"/>
  <c r="N51" i="4"/>
  <c r="M51" i="4"/>
  <c r="R50" i="4"/>
  <c r="Q50" i="4"/>
  <c r="P50" i="4"/>
  <c r="O50" i="4"/>
  <c r="N50" i="4"/>
  <c r="M50" i="4"/>
  <c r="R49" i="4"/>
  <c r="Q49" i="4"/>
  <c r="P49" i="4"/>
  <c r="O49" i="4"/>
  <c r="N49" i="4"/>
  <c r="M49" i="4"/>
  <c r="R48" i="4"/>
  <c r="Q48" i="4"/>
  <c r="P48" i="4"/>
  <c r="O48" i="4"/>
  <c r="N48" i="4"/>
  <c r="M48" i="4"/>
  <c r="R47" i="4"/>
  <c r="Q47" i="4"/>
  <c r="P47" i="4"/>
  <c r="O47" i="4"/>
  <c r="N47" i="4"/>
  <c r="M47" i="4"/>
  <c r="R46" i="4"/>
  <c r="Q46" i="4"/>
  <c r="P46" i="4"/>
  <c r="O46" i="4"/>
  <c r="N46" i="4"/>
  <c r="M46" i="4"/>
  <c r="R45" i="4"/>
  <c r="Q45" i="4"/>
  <c r="P45" i="4"/>
  <c r="O45" i="4"/>
  <c r="N45" i="4"/>
  <c r="M45" i="4"/>
  <c r="R44" i="4"/>
  <c r="Q44" i="4"/>
  <c r="P44" i="4"/>
  <c r="O44" i="4"/>
  <c r="N44" i="4"/>
  <c r="M44" i="4"/>
  <c r="R43" i="4"/>
  <c r="Q43" i="4"/>
  <c r="P43" i="4"/>
  <c r="O43" i="4"/>
  <c r="N43" i="4"/>
  <c r="M43" i="4"/>
  <c r="R42" i="4"/>
  <c r="Q42" i="4"/>
  <c r="P42" i="4"/>
  <c r="O42" i="4"/>
  <c r="N42" i="4"/>
  <c r="M42" i="4"/>
  <c r="R41" i="4"/>
  <c r="Q41" i="4"/>
  <c r="P41" i="4"/>
  <c r="O41" i="4"/>
  <c r="N41" i="4"/>
  <c r="M41" i="4"/>
  <c r="R40" i="4"/>
  <c r="Q40" i="4"/>
  <c r="P40" i="4"/>
  <c r="O40" i="4"/>
  <c r="N40" i="4"/>
  <c r="M40" i="4"/>
  <c r="R39" i="4"/>
  <c r="Q39" i="4"/>
  <c r="P39" i="4"/>
  <c r="O39" i="4"/>
  <c r="N39" i="4"/>
  <c r="M39" i="4"/>
  <c r="R38" i="4"/>
  <c r="Q38" i="4"/>
  <c r="P38" i="4"/>
  <c r="O38" i="4"/>
  <c r="N38" i="4"/>
  <c r="M38" i="4"/>
  <c r="R37" i="4"/>
  <c r="Q37" i="4"/>
  <c r="P37" i="4"/>
  <c r="O37" i="4"/>
  <c r="N37" i="4"/>
  <c r="M37" i="4"/>
  <c r="R36" i="4"/>
  <c r="Q36" i="4"/>
  <c r="P36" i="4"/>
  <c r="O36" i="4"/>
  <c r="N36" i="4"/>
  <c r="M36" i="4"/>
  <c r="R35" i="4"/>
  <c r="Q35" i="4"/>
  <c r="P35" i="4"/>
  <c r="O35" i="4"/>
  <c r="N35" i="4"/>
  <c r="M35" i="4"/>
  <c r="R34" i="4"/>
  <c r="Q34" i="4"/>
  <c r="P34" i="4"/>
  <c r="O34" i="4"/>
  <c r="N34" i="4"/>
  <c r="M34" i="4"/>
  <c r="R33" i="4"/>
  <c r="Q33" i="4"/>
  <c r="P33" i="4"/>
  <c r="O33" i="4"/>
  <c r="N33" i="4"/>
  <c r="M33" i="4"/>
  <c r="R32" i="4"/>
  <c r="Q32" i="4"/>
  <c r="P32" i="4"/>
  <c r="O32" i="4"/>
  <c r="N32" i="4"/>
  <c r="M32" i="4"/>
  <c r="R31" i="4"/>
  <c r="Q31" i="4"/>
  <c r="P31" i="4"/>
  <c r="O31" i="4"/>
  <c r="N31" i="4"/>
  <c r="M31" i="4"/>
  <c r="R30" i="4"/>
  <c r="Q30" i="4"/>
  <c r="P30" i="4"/>
  <c r="O30" i="4"/>
  <c r="N30" i="4"/>
  <c r="M30" i="4"/>
  <c r="R29" i="4"/>
  <c r="Q29" i="4"/>
  <c r="P29" i="4"/>
  <c r="O29" i="4"/>
  <c r="N29" i="4"/>
  <c r="M29" i="4"/>
  <c r="R28" i="4"/>
  <c r="Q28" i="4"/>
  <c r="P28" i="4"/>
  <c r="O28" i="4"/>
  <c r="N28" i="4"/>
  <c r="M28" i="4"/>
  <c r="R27" i="4"/>
  <c r="Q27" i="4"/>
  <c r="P27" i="4"/>
  <c r="O27" i="4"/>
  <c r="N27" i="4"/>
  <c r="M27" i="4"/>
  <c r="R26" i="4"/>
  <c r="Q26" i="4"/>
  <c r="P26" i="4"/>
  <c r="O26" i="4"/>
  <c r="N26" i="4"/>
  <c r="M26" i="4"/>
  <c r="R25" i="4"/>
  <c r="Q25" i="4"/>
  <c r="P25" i="4"/>
  <c r="O25" i="4"/>
  <c r="N25" i="4"/>
  <c r="M25" i="4"/>
  <c r="R24" i="4"/>
  <c r="Q24" i="4"/>
  <c r="P24" i="4"/>
  <c r="O24" i="4"/>
  <c r="N24" i="4"/>
  <c r="M24" i="4"/>
  <c r="R23" i="4"/>
  <c r="Q23" i="4"/>
  <c r="P23" i="4"/>
  <c r="O23" i="4"/>
  <c r="N23" i="4"/>
  <c r="M23" i="4"/>
  <c r="R22" i="4"/>
  <c r="Q22" i="4"/>
  <c r="P22" i="4"/>
  <c r="O22" i="4"/>
  <c r="N22" i="4"/>
  <c r="M22" i="4"/>
  <c r="R21" i="4"/>
  <c r="Q21" i="4"/>
  <c r="P21" i="4"/>
  <c r="O21" i="4"/>
  <c r="N21" i="4"/>
  <c r="M21" i="4"/>
  <c r="R20" i="4"/>
  <c r="Q20" i="4"/>
  <c r="P20" i="4"/>
  <c r="O20" i="4"/>
  <c r="N20" i="4"/>
  <c r="M20" i="4"/>
  <c r="R19" i="4"/>
  <c r="Q19" i="4"/>
  <c r="P19" i="4"/>
  <c r="O19" i="4"/>
  <c r="N19" i="4"/>
  <c r="M19" i="4"/>
  <c r="R18" i="4"/>
  <c r="Q18" i="4"/>
  <c r="P18" i="4"/>
  <c r="O18" i="4"/>
  <c r="N18" i="4"/>
  <c r="M18" i="4"/>
  <c r="R17" i="4"/>
  <c r="Q17" i="4"/>
  <c r="P17" i="4"/>
  <c r="O17" i="4"/>
  <c r="N17" i="4"/>
  <c r="M17" i="4"/>
  <c r="R16" i="4"/>
  <c r="Q16" i="4"/>
  <c r="P16" i="4"/>
  <c r="O16" i="4"/>
  <c r="N16" i="4"/>
  <c r="M16" i="4"/>
  <c r="R15" i="4"/>
  <c r="Q15" i="4"/>
  <c r="P15" i="4"/>
  <c r="O15" i="4"/>
  <c r="N15" i="4"/>
  <c r="M15" i="4"/>
  <c r="R14" i="4"/>
  <c r="Q14" i="4"/>
  <c r="P14" i="4"/>
  <c r="O14" i="4"/>
  <c r="N14" i="4"/>
  <c r="M14" i="4"/>
  <c r="R13" i="4"/>
  <c r="Q13" i="4"/>
  <c r="P13" i="4"/>
  <c r="O13" i="4"/>
  <c r="N13" i="4"/>
  <c r="M13" i="4"/>
  <c r="R12" i="4"/>
  <c r="Q12" i="4"/>
  <c r="P12" i="4"/>
  <c r="O12" i="4"/>
  <c r="N12" i="4"/>
  <c r="M12" i="4"/>
  <c r="R11" i="4"/>
  <c r="Q11" i="4"/>
  <c r="P11" i="4"/>
  <c r="O11" i="4"/>
  <c r="N11" i="4"/>
  <c r="M11" i="4"/>
  <c r="R10" i="4"/>
  <c r="Q10" i="4"/>
  <c r="P10" i="4"/>
  <c r="O10" i="4"/>
  <c r="N10" i="4"/>
  <c r="M10" i="4"/>
  <c r="R9" i="4"/>
  <c r="Q9" i="4"/>
  <c r="P9" i="4"/>
  <c r="O9" i="4"/>
  <c r="N9" i="4"/>
  <c r="M9" i="4"/>
  <c r="R8" i="4"/>
  <c r="Q8" i="4"/>
  <c r="P8" i="4"/>
  <c r="O8" i="4"/>
  <c r="N8" i="4"/>
  <c r="M8" i="4"/>
  <c r="R7" i="4"/>
  <c r="Q7" i="4"/>
  <c r="P7" i="4"/>
  <c r="O7" i="4"/>
  <c r="N7" i="4"/>
  <c r="M7" i="4"/>
  <c r="R6" i="4"/>
  <c r="Q6" i="4"/>
  <c r="P6" i="4"/>
  <c r="O6" i="4"/>
  <c r="N6" i="4"/>
  <c r="M6" i="4"/>
  <c r="R5" i="4"/>
  <c r="Q5" i="4"/>
  <c r="P5" i="4"/>
  <c r="O5" i="4"/>
  <c r="N5" i="4"/>
  <c r="M5" i="4"/>
  <c r="T37" i="4" l="1"/>
  <c r="U25" i="4"/>
  <c r="U50" i="4"/>
  <c r="U47" i="4"/>
  <c r="U57" i="4"/>
  <c r="U15" i="4"/>
  <c r="T31" i="4"/>
  <c r="U31" i="4"/>
  <c r="U78" i="4"/>
  <c r="T82" i="4"/>
  <c r="U88" i="4"/>
  <c r="T90" i="4"/>
  <c r="T75" i="4"/>
  <c r="U85" i="4"/>
  <c r="T42" i="4"/>
  <c r="U46" i="4"/>
  <c r="U43" i="4"/>
  <c r="T41" i="4"/>
  <c r="T56" i="4"/>
  <c r="T79" i="4"/>
  <c r="T103" i="4"/>
  <c r="U5" i="4"/>
  <c r="U103" i="4"/>
  <c r="U40" i="4"/>
  <c r="U18" i="4"/>
  <c r="U7" i="4"/>
  <c r="T18" i="4"/>
  <c r="U19" i="4"/>
  <c r="U22" i="4"/>
  <c r="U80" i="4"/>
  <c r="T24" i="4"/>
  <c r="U26" i="4"/>
  <c r="T49" i="4"/>
  <c r="T76" i="4"/>
  <c r="T93" i="4"/>
  <c r="T5" i="4"/>
  <c r="T15" i="4"/>
  <c r="T25" i="4"/>
  <c r="U33" i="4"/>
  <c r="U34" i="4"/>
  <c r="U37" i="4"/>
  <c r="U75" i="4"/>
  <c r="U83" i="4"/>
  <c r="U45" i="4"/>
  <c r="T55" i="4"/>
  <c r="T11" i="4"/>
  <c r="U12" i="4"/>
  <c r="U16" i="4"/>
  <c r="T6" i="4"/>
  <c r="U11" i="4"/>
  <c r="U82" i="4"/>
  <c r="U94" i="4"/>
  <c r="U8" i="4"/>
  <c r="U77" i="4"/>
  <c r="T81" i="4"/>
  <c r="T52" i="4"/>
  <c r="T61" i="4"/>
  <c r="U67" i="4"/>
  <c r="T68" i="4"/>
  <c r="U69" i="4"/>
  <c r="U86" i="4"/>
  <c r="U87" i="4"/>
  <c r="U52" i="4"/>
  <c r="U54" i="4"/>
  <c r="U58" i="4"/>
  <c r="T62" i="4"/>
  <c r="U62" i="4"/>
  <c r="T69" i="4"/>
  <c r="T70" i="4"/>
  <c r="U71" i="4"/>
  <c r="T99" i="4"/>
  <c r="U100" i="4"/>
  <c r="U59" i="4"/>
  <c r="T63" i="4"/>
  <c r="U72" i="4"/>
  <c r="U97" i="4"/>
  <c r="T98" i="4"/>
  <c r="U42" i="4"/>
  <c r="U55" i="4"/>
  <c r="U60" i="4"/>
  <c r="U63" i="4"/>
  <c r="U70" i="4"/>
  <c r="T72" i="4"/>
  <c r="U90" i="4"/>
  <c r="U99" i="4"/>
  <c r="U102" i="4"/>
  <c r="U93" i="4"/>
  <c r="T94" i="4"/>
  <c r="U95" i="4"/>
  <c r="T73" i="4"/>
  <c r="U91" i="4"/>
  <c r="U36" i="4"/>
  <c r="T38" i="4"/>
  <c r="U44" i="4"/>
  <c r="U64" i="4"/>
  <c r="U74" i="4"/>
  <c r="U79" i="4"/>
  <c r="T80" i="4"/>
  <c r="U92" i="4"/>
  <c r="U53" i="4"/>
  <c r="U61" i="4"/>
  <c r="T78" i="4"/>
  <c r="U84" i="4"/>
  <c r="T87" i="4"/>
  <c r="T8" i="4"/>
  <c r="U29" i="4"/>
  <c r="U13" i="4"/>
  <c r="U6" i="4"/>
  <c r="T16" i="4"/>
  <c r="U17" i="4"/>
  <c r="T17" i="4"/>
  <c r="U21" i="4"/>
  <c r="T26" i="4"/>
  <c r="U14" i="4"/>
  <c r="U20" i="4"/>
  <c r="T21" i="4"/>
  <c r="U27" i="4"/>
  <c r="T27" i="4"/>
  <c r="T7" i="4"/>
  <c r="U10" i="4"/>
  <c r="T10" i="4"/>
  <c r="U9" i="4"/>
  <c r="T22" i="4"/>
  <c r="U23" i="4"/>
  <c r="T23" i="4"/>
  <c r="T9" i="4"/>
  <c r="U28" i="4"/>
  <c r="T28" i="4"/>
  <c r="T19" i="4"/>
  <c r="T12" i="4"/>
  <c r="T20" i="4"/>
  <c r="T13" i="4"/>
  <c r="U24" i="4"/>
  <c r="T14" i="4"/>
  <c r="T29" i="4"/>
  <c r="U30" i="4"/>
  <c r="T30" i="4"/>
  <c r="T34" i="4"/>
  <c r="U32" i="4"/>
  <c r="T32" i="4"/>
  <c r="U35" i="4"/>
  <c r="T35" i="4"/>
  <c r="T36" i="4"/>
  <c r="U38" i="4"/>
  <c r="T43" i="4"/>
  <c r="U41" i="4"/>
  <c r="U39" i="4"/>
  <c r="T39" i="4"/>
  <c r="U48" i="4"/>
  <c r="T33" i="4"/>
  <c r="T44" i="4"/>
  <c r="T46" i="4"/>
  <c r="T45" i="4"/>
  <c r="T53" i="4"/>
  <c r="T40" i="4"/>
  <c r="U49" i="4"/>
  <c r="T48" i="4"/>
  <c r="T47" i="4"/>
  <c r="U51" i="4"/>
  <c r="T58" i="4"/>
  <c r="T57" i="4"/>
  <c r="U56" i="4"/>
  <c r="T54" i="4"/>
  <c r="T50" i="4"/>
  <c r="T51" i="4"/>
  <c r="T64" i="4"/>
  <c r="T59" i="4"/>
  <c r="U66" i="4"/>
  <c r="T60" i="4"/>
  <c r="U65" i="4"/>
  <c r="T65" i="4"/>
  <c r="U68" i="4"/>
  <c r="U76" i="4"/>
  <c r="T71" i="4"/>
  <c r="T66" i="4"/>
  <c r="U73" i="4"/>
  <c r="T67" i="4"/>
  <c r="T83" i="4"/>
  <c r="T77" i="4"/>
  <c r="T74" i="4"/>
  <c r="U81" i="4"/>
  <c r="T84" i="4"/>
  <c r="T92" i="4"/>
  <c r="T88" i="4"/>
  <c r="T85" i="4"/>
  <c r="T86" i="4"/>
  <c r="U89" i="4"/>
  <c r="T89" i="4"/>
  <c r="T91" i="4"/>
  <c r="T100" i="4"/>
  <c r="U101" i="4"/>
  <c r="U98" i="4"/>
  <c r="T95" i="4"/>
  <c r="U96" i="4"/>
  <c r="T96" i="4"/>
  <c r="T102" i="4"/>
  <c r="T97" i="4"/>
</calcChain>
</file>

<file path=xl/sharedStrings.xml><?xml version="1.0" encoding="utf-8"?>
<sst xmlns="http://schemas.openxmlformats.org/spreadsheetml/2006/main" count="316" uniqueCount="120">
  <si>
    <t>No</t>
  </si>
  <si>
    <t>Symbol</t>
  </si>
  <si>
    <t>Timeframe</t>
  </si>
  <si>
    <t>2026.02.13 15:40</t>
  </si>
  <si>
    <t>USDJPY.i</t>
  </si>
  <si>
    <t>2026.02.13 15:45</t>
  </si>
  <si>
    <t>2026.02.13 15:50</t>
  </si>
  <si>
    <t>2026.02.13 15:55</t>
  </si>
  <si>
    <t>2026.02.13 16:00</t>
  </si>
  <si>
    <t>2026.02.13 16:05</t>
  </si>
  <si>
    <t>2026.02.13 16:10</t>
  </si>
  <si>
    <t>2026.02.13 16:15</t>
  </si>
  <si>
    <t>2026.02.13 16:20</t>
  </si>
  <si>
    <t>2026.02.13 16:25</t>
  </si>
  <si>
    <t>2026.02.13 16:30</t>
  </si>
  <si>
    <t>2026.02.13 16:35</t>
  </si>
  <si>
    <t>2026.02.13 16:40</t>
  </si>
  <si>
    <t>2026.02.13 16:45</t>
  </si>
  <si>
    <t>2026.02.13 16:50</t>
  </si>
  <si>
    <t>2026.02.13 16:55</t>
  </si>
  <si>
    <t>2026.02.13 17:00</t>
  </si>
  <si>
    <t>2026.02.13 17:05</t>
  </si>
  <si>
    <t>2026.02.13 17:10</t>
  </si>
  <si>
    <t>2026.02.13 17:15</t>
  </si>
  <si>
    <t>2026.02.13 17:20</t>
  </si>
  <si>
    <t>2026.02.13 17:25</t>
  </si>
  <si>
    <t>2026.02.13 17:30</t>
  </si>
  <si>
    <t>2026.02.13 17:35</t>
  </si>
  <si>
    <t>2026.02.13 17:40</t>
  </si>
  <si>
    <t>2026.02.13 17:45</t>
  </si>
  <si>
    <t>2026.02.13 17:50</t>
  </si>
  <si>
    <t>2026.02.13 17:55</t>
  </si>
  <si>
    <t>2026.02.13 18:00</t>
  </si>
  <si>
    <t>2026.02.13 18:05</t>
  </si>
  <si>
    <t>2026.02.13 18:10</t>
  </si>
  <si>
    <t>2026.02.13 18:15</t>
  </si>
  <si>
    <t>2026.02.13 18:20</t>
  </si>
  <si>
    <t>2026.02.13 18:25</t>
  </si>
  <si>
    <t>2026.02.13 18:30</t>
  </si>
  <si>
    <t>2026.02.13 18:35</t>
  </si>
  <si>
    <t>2026.02.13 18:40</t>
  </si>
  <si>
    <t>2026.02.13 18:45</t>
  </si>
  <si>
    <t>2026.02.13 18:50</t>
  </si>
  <si>
    <t>2026.02.13 18:55</t>
  </si>
  <si>
    <t>2026.02.13 19:00</t>
  </si>
  <si>
    <t>2026.02.13 19:05</t>
  </si>
  <si>
    <t>2026.02.13 19:10</t>
  </si>
  <si>
    <t>2026.02.13 19:15</t>
  </si>
  <si>
    <t>2026.02.13 19:20</t>
  </si>
  <si>
    <t>2026.02.13 19:25</t>
  </si>
  <si>
    <t>2026.02.13 19:30</t>
  </si>
  <si>
    <t>2026.02.13 19:35</t>
  </si>
  <si>
    <t>2026.02.13 19:40</t>
  </si>
  <si>
    <t>2026.02.13 19:45</t>
  </si>
  <si>
    <t>2026.02.13 19:50</t>
  </si>
  <si>
    <t>2026.02.13 19:55</t>
  </si>
  <si>
    <t>2026.02.13 20:00</t>
  </si>
  <si>
    <t>2026.02.13 20:05</t>
  </si>
  <si>
    <t>2026.02.13 20:10</t>
  </si>
  <si>
    <t>2026.02.13 20:15</t>
  </si>
  <si>
    <t>2026.02.13 20:20</t>
  </si>
  <si>
    <t>2026.02.13 20:25</t>
  </si>
  <si>
    <t>2026.02.13 20:30</t>
  </si>
  <si>
    <t>2026.02.13 20:35</t>
  </si>
  <si>
    <t>2026.02.13 20:40</t>
  </si>
  <si>
    <t>2026.02.13 20:45</t>
  </si>
  <si>
    <t>2026.02.13 20:50</t>
  </si>
  <si>
    <t>2026.02.13 20:55</t>
  </si>
  <si>
    <t>2026.02.13 21:00</t>
  </si>
  <si>
    <t>2026.02.13 21:05</t>
  </si>
  <si>
    <t>2026.02.13 21:10</t>
  </si>
  <si>
    <t>2026.02.13 21:15</t>
  </si>
  <si>
    <t>2026.02.13 21:20</t>
  </si>
  <si>
    <t>2026.02.13 21:25</t>
  </si>
  <si>
    <t>2026.02.13 21:30</t>
  </si>
  <si>
    <t>2026.02.13 21:35</t>
  </si>
  <si>
    <t>2026.02.13 21:40</t>
  </si>
  <si>
    <t>2026.02.13 21:45</t>
  </si>
  <si>
    <t>2026.02.13 21:50</t>
  </si>
  <si>
    <t>2026.02.13 21:55</t>
  </si>
  <si>
    <t>2026.02.13 22:00</t>
  </si>
  <si>
    <t>2026.02.13 22:05</t>
  </si>
  <si>
    <t>2026.02.13 22:10</t>
  </si>
  <si>
    <t>2026.02.13 22:15</t>
  </si>
  <si>
    <t>2026.02.13 22:20</t>
  </si>
  <si>
    <t>2026.02.13 22:25</t>
  </si>
  <si>
    <t>2026.02.13 22:30</t>
  </si>
  <si>
    <t>2026.02.13 22:35</t>
  </si>
  <si>
    <t>2026.02.13 22:40</t>
  </si>
  <si>
    <t>2026.02.13 22:45</t>
  </si>
  <si>
    <t>2026.02.13 22:50</t>
  </si>
  <si>
    <t>2026.02.13 22:55</t>
  </si>
  <si>
    <t>2026.02.13 23:00</t>
  </si>
  <si>
    <t>2026.02.13 23:05</t>
  </si>
  <si>
    <t>2026.02.13 23:10</t>
  </si>
  <si>
    <t>2026.02.13 23:15</t>
  </si>
  <si>
    <t>2026.02.13 23:20</t>
  </si>
  <si>
    <t>2026.02.13 23:25</t>
  </si>
  <si>
    <t>2026.02.13 23:30</t>
  </si>
  <si>
    <t>2026.02.13 23:35</t>
  </si>
  <si>
    <t>2026.02.13 23:40</t>
  </si>
  <si>
    <t>2026.02.13 23:45</t>
  </si>
  <si>
    <t>2026.02.13 23:50</t>
  </si>
  <si>
    <t>PERIOD_M5</t>
  </si>
  <si>
    <t>TimeStamp</t>
  </si>
  <si>
    <t>Close</t>
  </si>
  <si>
    <t>Peak_Line_1</t>
  </si>
  <si>
    <t>Peak_Line_2</t>
  </si>
  <si>
    <t>Peak_Line_3</t>
  </si>
  <si>
    <t>Bottom_Line_1</t>
  </si>
  <si>
    <t>Bottom_Line_2</t>
  </si>
  <si>
    <t>Bottom_Line_3</t>
  </si>
  <si>
    <t>Status_Peak_Line_1</t>
  </si>
  <si>
    <t>Status_Peak_Line_2</t>
  </si>
  <si>
    <t>Status_Peak_Line_3</t>
  </si>
  <si>
    <t>Status_Bottom_Line_1</t>
  </si>
  <si>
    <t>Status_Bottom_Line_2</t>
  </si>
  <si>
    <t>Status_Bottom_Line_3</t>
  </si>
  <si>
    <t>Count_R</t>
  </si>
  <si>
    <t>Count_S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</si>
</sst>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F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42" applyNumberFormat="1" applyFont="1" applyAlignment="1">
      <alignment horizontal="center"/>
    </xf>
    <xf numFmtId="0" fontId="0" fillId="0" borderId="0" xfId="43" applyNumberFormat="1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42" applyNumberFormat="1" applyFont="1" applyAlignment="1">
      <alignment horizontal="center"/>
    </xf>
    <xf numFmtId="0" fontId="18" fillId="0" borderId="0" xfId="43" applyNumberFormat="1" applyFont="1" applyAlignment="1">
      <alignment horizontal="center"/>
    </xf>
    <xf numFmtId="0" fontId="16" fillId="34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13" fillId="3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6" borderId="0" xfId="0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'S&amp;R Position'!$E$4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'S&amp;R Position'!$E$5:$E$103</c:f>
              <c:numCache>
                <c:formatCode>General</c:formatCode>
                <c:ptCount val="99"/>
                <c:pt idx="0">
                  <c:v>153.249</c:v>
                </c:pt>
                <c:pt idx="1">
                  <c:v>153.196</c:v>
                </c:pt>
                <c:pt idx="2">
                  <c:v>153.05000000000001</c:v>
                </c:pt>
                <c:pt idx="3">
                  <c:v>153.06700000000001</c:v>
                </c:pt>
                <c:pt idx="4">
                  <c:v>153.042</c:v>
                </c:pt>
                <c:pt idx="5">
                  <c:v>153.05000000000001</c:v>
                </c:pt>
                <c:pt idx="6">
                  <c:v>153.03299999999999</c:v>
                </c:pt>
                <c:pt idx="7">
                  <c:v>152.999</c:v>
                </c:pt>
                <c:pt idx="8">
                  <c:v>152.999</c:v>
                </c:pt>
                <c:pt idx="9">
                  <c:v>152.89699999999999</c:v>
                </c:pt>
                <c:pt idx="10">
                  <c:v>152.91</c:v>
                </c:pt>
                <c:pt idx="11">
                  <c:v>152.87700000000001</c:v>
                </c:pt>
                <c:pt idx="12">
                  <c:v>152.96600000000001</c:v>
                </c:pt>
                <c:pt idx="13">
                  <c:v>153.02000000000001</c:v>
                </c:pt>
                <c:pt idx="14">
                  <c:v>153.04900000000001</c:v>
                </c:pt>
                <c:pt idx="15">
                  <c:v>153.04499999999999</c:v>
                </c:pt>
                <c:pt idx="16">
                  <c:v>152.96199999999999</c:v>
                </c:pt>
                <c:pt idx="17">
                  <c:v>153.04599999999999</c:v>
                </c:pt>
                <c:pt idx="18">
                  <c:v>153.04599999999999</c:v>
                </c:pt>
                <c:pt idx="19">
                  <c:v>153.09</c:v>
                </c:pt>
                <c:pt idx="20">
                  <c:v>153.001</c:v>
                </c:pt>
                <c:pt idx="21">
                  <c:v>153.036</c:v>
                </c:pt>
                <c:pt idx="22">
                  <c:v>153.07499999999999</c:v>
                </c:pt>
                <c:pt idx="23">
                  <c:v>153.072</c:v>
                </c:pt>
                <c:pt idx="24">
                  <c:v>152.95099999999999</c:v>
                </c:pt>
                <c:pt idx="25">
                  <c:v>152.94800000000001</c:v>
                </c:pt>
                <c:pt idx="26">
                  <c:v>153.006</c:v>
                </c:pt>
                <c:pt idx="27">
                  <c:v>153.13200000000001</c:v>
                </c:pt>
                <c:pt idx="28">
                  <c:v>153.16499999999999</c:v>
                </c:pt>
                <c:pt idx="29">
                  <c:v>153.161</c:v>
                </c:pt>
                <c:pt idx="30">
                  <c:v>153.053</c:v>
                </c:pt>
                <c:pt idx="31">
                  <c:v>153.05699999999999</c:v>
                </c:pt>
                <c:pt idx="32">
                  <c:v>152.89500000000001</c:v>
                </c:pt>
                <c:pt idx="33">
                  <c:v>152.87</c:v>
                </c:pt>
                <c:pt idx="34">
                  <c:v>152.86199999999999</c:v>
                </c:pt>
                <c:pt idx="35">
                  <c:v>152.89400000000001</c:v>
                </c:pt>
                <c:pt idx="36">
                  <c:v>152.80699999999999</c:v>
                </c:pt>
                <c:pt idx="37">
                  <c:v>152.81700000000001</c:v>
                </c:pt>
                <c:pt idx="38">
                  <c:v>152.77000000000001</c:v>
                </c:pt>
                <c:pt idx="39">
                  <c:v>152.79</c:v>
                </c:pt>
                <c:pt idx="40">
                  <c:v>152.78899999999999</c:v>
                </c:pt>
                <c:pt idx="41">
                  <c:v>152.75</c:v>
                </c:pt>
                <c:pt idx="42">
                  <c:v>152.661</c:v>
                </c:pt>
                <c:pt idx="43">
                  <c:v>152.672</c:v>
                </c:pt>
                <c:pt idx="44">
                  <c:v>152.738</c:v>
                </c:pt>
                <c:pt idx="45">
                  <c:v>152.69800000000001</c:v>
                </c:pt>
                <c:pt idx="46">
                  <c:v>152.81299999999999</c:v>
                </c:pt>
                <c:pt idx="47">
                  <c:v>152.81899999999999</c:v>
                </c:pt>
                <c:pt idx="48">
                  <c:v>152.816</c:v>
                </c:pt>
                <c:pt idx="49">
                  <c:v>152.82499999999999</c:v>
                </c:pt>
                <c:pt idx="50">
                  <c:v>152.75299999999999</c:v>
                </c:pt>
                <c:pt idx="51">
                  <c:v>152.80600000000001</c:v>
                </c:pt>
                <c:pt idx="52">
                  <c:v>152.78800000000001</c:v>
                </c:pt>
                <c:pt idx="53">
                  <c:v>152.81399999999999</c:v>
                </c:pt>
                <c:pt idx="54">
                  <c:v>152.803</c:v>
                </c:pt>
                <c:pt idx="55">
                  <c:v>152.83799999999999</c:v>
                </c:pt>
                <c:pt idx="56">
                  <c:v>152.864</c:v>
                </c:pt>
                <c:pt idx="57">
                  <c:v>152.81299999999999</c:v>
                </c:pt>
                <c:pt idx="58">
                  <c:v>152.81200000000001</c:v>
                </c:pt>
                <c:pt idx="59">
                  <c:v>152.84700000000001</c:v>
                </c:pt>
                <c:pt idx="60">
                  <c:v>152.803</c:v>
                </c:pt>
                <c:pt idx="61">
                  <c:v>152.84</c:v>
                </c:pt>
                <c:pt idx="62">
                  <c:v>152.874</c:v>
                </c:pt>
                <c:pt idx="63">
                  <c:v>152.83099999999999</c:v>
                </c:pt>
                <c:pt idx="64">
                  <c:v>152.84399999999999</c:v>
                </c:pt>
                <c:pt idx="65">
                  <c:v>152.81</c:v>
                </c:pt>
                <c:pt idx="66">
                  <c:v>152.809</c:v>
                </c:pt>
                <c:pt idx="67">
                  <c:v>152.81299999999999</c:v>
                </c:pt>
                <c:pt idx="68">
                  <c:v>152.779</c:v>
                </c:pt>
                <c:pt idx="69">
                  <c:v>152.76900000000001</c:v>
                </c:pt>
                <c:pt idx="70">
                  <c:v>152.74299999999999</c:v>
                </c:pt>
                <c:pt idx="71">
                  <c:v>152.75399999999999</c:v>
                </c:pt>
                <c:pt idx="72">
                  <c:v>152.73599999999999</c:v>
                </c:pt>
                <c:pt idx="73">
                  <c:v>152.76300000000001</c:v>
                </c:pt>
                <c:pt idx="74">
                  <c:v>152.77000000000001</c:v>
                </c:pt>
                <c:pt idx="75">
                  <c:v>152.77699999999999</c:v>
                </c:pt>
                <c:pt idx="76">
                  <c:v>152.80099999999999</c:v>
                </c:pt>
                <c:pt idx="77">
                  <c:v>152.81200000000001</c:v>
                </c:pt>
                <c:pt idx="78">
                  <c:v>152.786</c:v>
                </c:pt>
                <c:pt idx="79">
                  <c:v>152.81399999999999</c:v>
                </c:pt>
                <c:pt idx="80">
                  <c:v>152.78700000000001</c:v>
                </c:pt>
                <c:pt idx="81">
                  <c:v>152.72999999999999</c:v>
                </c:pt>
                <c:pt idx="82">
                  <c:v>152.72800000000001</c:v>
                </c:pt>
                <c:pt idx="83">
                  <c:v>152.72900000000001</c:v>
                </c:pt>
                <c:pt idx="84">
                  <c:v>152.74600000000001</c:v>
                </c:pt>
                <c:pt idx="85">
                  <c:v>152.74199999999999</c:v>
                </c:pt>
                <c:pt idx="86">
                  <c:v>152.70599999999999</c:v>
                </c:pt>
                <c:pt idx="87">
                  <c:v>152.75700000000001</c:v>
                </c:pt>
                <c:pt idx="88">
                  <c:v>152.649</c:v>
                </c:pt>
                <c:pt idx="89">
                  <c:v>152.648</c:v>
                </c:pt>
                <c:pt idx="90">
                  <c:v>152.67599999999999</c:v>
                </c:pt>
                <c:pt idx="91">
                  <c:v>152.642</c:v>
                </c:pt>
                <c:pt idx="92">
                  <c:v>152.64500000000001</c:v>
                </c:pt>
                <c:pt idx="93">
                  <c:v>152.65</c:v>
                </c:pt>
                <c:pt idx="94">
                  <c:v>152.69999999999999</c:v>
                </c:pt>
                <c:pt idx="95">
                  <c:v>152.72200000000001</c:v>
                </c:pt>
                <c:pt idx="96">
                  <c:v>152.69200000000001</c:v>
                </c:pt>
                <c:pt idx="97">
                  <c:v>152.727</c:v>
                </c:pt>
                <c:pt idx="98">
                  <c:v>152.71199999999999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EB-4890-9CE2-8417178BB501}"/>
            </c:ext>
          </c:extLst>
        </c:ser>
        <c:ser>
          <c:idx val="1"/>
          <c:order val="1"/>
          <c:tx>
            <c:strRef>
              <c:f>'S&amp;R Position'!$F$4</c:f>
              <c:strCache>
                <c:ptCount val="1"/>
                <c:pt idx="0">
                  <c:v>Peak_Line_1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'S&amp;R Position'!$F$5:$F$103</c:f>
              <c:numCache>
                <c:formatCode>General</c:formatCode>
                <c:ptCount val="99"/>
                <c:pt idx="0">
                  <c:v>153.03800000000001</c:v>
                </c:pt>
                <c:pt idx="1">
                  <c:v>153.036</c:v>
                </c:pt>
                <c:pt idx="2">
                  <c:v>153.03299999999999</c:v>
                </c:pt>
                <c:pt idx="3">
                  <c:v>153.03100000000001</c:v>
                </c:pt>
                <c:pt idx="4">
                  <c:v>153.029</c:v>
                </c:pt>
                <c:pt idx="5">
                  <c:v>153.02600000000001</c:v>
                </c:pt>
                <c:pt idx="6">
                  <c:v>153.024</c:v>
                </c:pt>
                <c:pt idx="7">
                  <c:v>153.02099999999999</c:v>
                </c:pt>
                <c:pt idx="8">
                  <c:v>153.01900000000001</c:v>
                </c:pt>
                <c:pt idx="9">
                  <c:v>153.01599999999999</c:v>
                </c:pt>
                <c:pt idx="10">
                  <c:v>153.01400000000001</c:v>
                </c:pt>
                <c:pt idx="11">
                  <c:v>153.012</c:v>
                </c:pt>
                <c:pt idx="12">
                  <c:v>153.00899999999999</c:v>
                </c:pt>
                <c:pt idx="13">
                  <c:v>153.00700000000001</c:v>
                </c:pt>
                <c:pt idx="14">
                  <c:v>153.00399999999999</c:v>
                </c:pt>
                <c:pt idx="15">
                  <c:v>153.00200000000001</c:v>
                </c:pt>
                <c:pt idx="16">
                  <c:v>152.999</c:v>
                </c:pt>
                <c:pt idx="17">
                  <c:v>152.99700000000001</c:v>
                </c:pt>
                <c:pt idx="18">
                  <c:v>152.995</c:v>
                </c:pt>
                <c:pt idx="19">
                  <c:v>152.99199999999999</c:v>
                </c:pt>
                <c:pt idx="20">
                  <c:v>152.99</c:v>
                </c:pt>
                <c:pt idx="21">
                  <c:v>152.98699999999999</c:v>
                </c:pt>
                <c:pt idx="22">
                  <c:v>152.98500000000001</c:v>
                </c:pt>
                <c:pt idx="23">
                  <c:v>152.983</c:v>
                </c:pt>
                <c:pt idx="24">
                  <c:v>152.97999999999999</c:v>
                </c:pt>
                <c:pt idx="25">
                  <c:v>152.97800000000001</c:v>
                </c:pt>
                <c:pt idx="26">
                  <c:v>152.97499999999999</c:v>
                </c:pt>
                <c:pt idx="27">
                  <c:v>152.97300000000001</c:v>
                </c:pt>
                <c:pt idx="28">
                  <c:v>152.97</c:v>
                </c:pt>
                <c:pt idx="29">
                  <c:v>152.96799999999999</c:v>
                </c:pt>
                <c:pt idx="30">
                  <c:v>152.96600000000001</c:v>
                </c:pt>
                <c:pt idx="31">
                  <c:v>152.96299999999999</c:v>
                </c:pt>
                <c:pt idx="32">
                  <c:v>152.96100000000001</c:v>
                </c:pt>
                <c:pt idx="33">
                  <c:v>152.958</c:v>
                </c:pt>
                <c:pt idx="34">
                  <c:v>152.95599999999999</c:v>
                </c:pt>
                <c:pt idx="35">
                  <c:v>152.953</c:v>
                </c:pt>
                <c:pt idx="36">
                  <c:v>152.95099999999999</c:v>
                </c:pt>
                <c:pt idx="37">
                  <c:v>152.94900000000001</c:v>
                </c:pt>
                <c:pt idx="38">
                  <c:v>152.946</c:v>
                </c:pt>
                <c:pt idx="39">
                  <c:v>152.94399999999999</c:v>
                </c:pt>
                <c:pt idx="40">
                  <c:v>152.941</c:v>
                </c:pt>
                <c:pt idx="41">
                  <c:v>152.93899999999999</c:v>
                </c:pt>
                <c:pt idx="42">
                  <c:v>152.93600000000001</c:v>
                </c:pt>
                <c:pt idx="43">
                  <c:v>152.934</c:v>
                </c:pt>
                <c:pt idx="44">
                  <c:v>152.93199999999999</c:v>
                </c:pt>
                <c:pt idx="45">
                  <c:v>152.929</c:v>
                </c:pt>
                <c:pt idx="46">
                  <c:v>152.92699999999999</c:v>
                </c:pt>
                <c:pt idx="47">
                  <c:v>152.92400000000001</c:v>
                </c:pt>
                <c:pt idx="48">
                  <c:v>152.922</c:v>
                </c:pt>
                <c:pt idx="49">
                  <c:v>152.91999999999999</c:v>
                </c:pt>
                <c:pt idx="50">
                  <c:v>152.917</c:v>
                </c:pt>
                <c:pt idx="51">
                  <c:v>152.91499999999999</c:v>
                </c:pt>
                <c:pt idx="52">
                  <c:v>152.91200000000001</c:v>
                </c:pt>
                <c:pt idx="53">
                  <c:v>152.91</c:v>
                </c:pt>
                <c:pt idx="54">
                  <c:v>152.90700000000001</c:v>
                </c:pt>
                <c:pt idx="55">
                  <c:v>152.905</c:v>
                </c:pt>
                <c:pt idx="56">
                  <c:v>152.90299999999999</c:v>
                </c:pt>
                <c:pt idx="57">
                  <c:v>152.9</c:v>
                </c:pt>
                <c:pt idx="58">
                  <c:v>152.898</c:v>
                </c:pt>
                <c:pt idx="59">
                  <c:v>152.89500000000001</c:v>
                </c:pt>
                <c:pt idx="60">
                  <c:v>152.893</c:v>
                </c:pt>
                <c:pt idx="61">
                  <c:v>152.88999999999999</c:v>
                </c:pt>
                <c:pt idx="62">
                  <c:v>152.88800000000001</c:v>
                </c:pt>
                <c:pt idx="63">
                  <c:v>152.886</c:v>
                </c:pt>
                <c:pt idx="64">
                  <c:v>152.88300000000001</c:v>
                </c:pt>
                <c:pt idx="65">
                  <c:v>152.881</c:v>
                </c:pt>
                <c:pt idx="66">
                  <c:v>152.87799999999999</c:v>
                </c:pt>
                <c:pt idx="67">
                  <c:v>152.876</c:v>
                </c:pt>
                <c:pt idx="68">
                  <c:v>152.87299999999999</c:v>
                </c:pt>
                <c:pt idx="69">
                  <c:v>152.87100000000001</c:v>
                </c:pt>
                <c:pt idx="70">
                  <c:v>152.869</c:v>
                </c:pt>
                <c:pt idx="71">
                  <c:v>152.86600000000001</c:v>
                </c:pt>
                <c:pt idx="72">
                  <c:v>152.864</c:v>
                </c:pt>
                <c:pt idx="73">
                  <c:v>152.86099999999999</c:v>
                </c:pt>
                <c:pt idx="74">
                  <c:v>152.85900000000001</c:v>
                </c:pt>
                <c:pt idx="75">
                  <c:v>152.85599999999999</c:v>
                </c:pt>
                <c:pt idx="76">
                  <c:v>152.85400000000001</c:v>
                </c:pt>
                <c:pt idx="77">
                  <c:v>152.852</c:v>
                </c:pt>
                <c:pt idx="78">
                  <c:v>152.84899999999999</c:v>
                </c:pt>
                <c:pt idx="79">
                  <c:v>152.84700000000001</c:v>
                </c:pt>
                <c:pt idx="80">
                  <c:v>152.84399999999999</c:v>
                </c:pt>
                <c:pt idx="81">
                  <c:v>152.84200000000001</c:v>
                </c:pt>
                <c:pt idx="82">
                  <c:v>152.84</c:v>
                </c:pt>
                <c:pt idx="83">
                  <c:v>152.83699999999999</c:v>
                </c:pt>
                <c:pt idx="84">
                  <c:v>152.83500000000001</c:v>
                </c:pt>
                <c:pt idx="85">
                  <c:v>152.83199999999999</c:v>
                </c:pt>
                <c:pt idx="86">
                  <c:v>152.83000000000001</c:v>
                </c:pt>
                <c:pt idx="87">
                  <c:v>152.827</c:v>
                </c:pt>
                <c:pt idx="88">
                  <c:v>152.82499999999999</c:v>
                </c:pt>
                <c:pt idx="89">
                  <c:v>152.82300000000001</c:v>
                </c:pt>
                <c:pt idx="90">
                  <c:v>152.82</c:v>
                </c:pt>
                <c:pt idx="91">
                  <c:v>152.81800000000001</c:v>
                </c:pt>
                <c:pt idx="92">
                  <c:v>152.815</c:v>
                </c:pt>
                <c:pt idx="93">
                  <c:v>152.81299999999999</c:v>
                </c:pt>
                <c:pt idx="94">
                  <c:v>152.81</c:v>
                </c:pt>
                <c:pt idx="95">
                  <c:v>152.80799999999999</c:v>
                </c:pt>
                <c:pt idx="96">
                  <c:v>152.80600000000001</c:v>
                </c:pt>
                <c:pt idx="97">
                  <c:v>152.803</c:v>
                </c:pt>
                <c:pt idx="98">
                  <c:v>152.80099999999999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EB-4890-9CE2-8417178BB501}"/>
            </c:ext>
          </c:extLst>
        </c:ser>
        <c:ser>
          <c:idx val="2"/>
          <c:order val="2"/>
          <c:tx>
            <c:strRef>
              <c:f>'S&amp;R Position'!$G$4</c:f>
              <c:strCache>
                <c:ptCount val="1"/>
                <c:pt idx="0">
                  <c:v>Peak_Line_2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'S&amp;R Position'!$G$5:$G$103</c:f>
              <c:numCache>
                <c:formatCode>General</c:formatCode>
                <c:ptCount val="99"/>
                <c:pt idx="0">
                  <c:v>152.911</c:v>
                </c:pt>
                <c:pt idx="1">
                  <c:v>152.911</c:v>
                </c:pt>
                <c:pt idx="2">
                  <c:v>152.91</c:v>
                </c:pt>
                <c:pt idx="3">
                  <c:v>152.91</c:v>
                </c:pt>
                <c:pt idx="4">
                  <c:v>152.91</c:v>
                </c:pt>
                <c:pt idx="5">
                  <c:v>152.90899999999999</c:v>
                </c:pt>
                <c:pt idx="6">
                  <c:v>152.90899999999999</c:v>
                </c:pt>
                <c:pt idx="7">
                  <c:v>152.90799999999999</c:v>
                </c:pt>
                <c:pt idx="8">
                  <c:v>152.90799999999999</c:v>
                </c:pt>
                <c:pt idx="9">
                  <c:v>152.90799999999999</c:v>
                </c:pt>
                <c:pt idx="10">
                  <c:v>152.90700000000001</c:v>
                </c:pt>
                <c:pt idx="11">
                  <c:v>152.90700000000001</c:v>
                </c:pt>
                <c:pt idx="12">
                  <c:v>152.90700000000001</c:v>
                </c:pt>
                <c:pt idx="13">
                  <c:v>152.90600000000001</c:v>
                </c:pt>
                <c:pt idx="14">
                  <c:v>152.90600000000001</c:v>
                </c:pt>
                <c:pt idx="15">
                  <c:v>152.905</c:v>
                </c:pt>
                <c:pt idx="16">
                  <c:v>152.905</c:v>
                </c:pt>
                <c:pt idx="17">
                  <c:v>152.905</c:v>
                </c:pt>
                <c:pt idx="18">
                  <c:v>152.904</c:v>
                </c:pt>
                <c:pt idx="19">
                  <c:v>152.904</c:v>
                </c:pt>
                <c:pt idx="20">
                  <c:v>152.904</c:v>
                </c:pt>
                <c:pt idx="21">
                  <c:v>152.90299999999999</c:v>
                </c:pt>
                <c:pt idx="22">
                  <c:v>152.90299999999999</c:v>
                </c:pt>
                <c:pt idx="23">
                  <c:v>152.90299999999999</c:v>
                </c:pt>
                <c:pt idx="24">
                  <c:v>152.90199999999999</c:v>
                </c:pt>
                <c:pt idx="25">
                  <c:v>152.90199999999999</c:v>
                </c:pt>
                <c:pt idx="26">
                  <c:v>152.90100000000001</c:v>
                </c:pt>
                <c:pt idx="27">
                  <c:v>152.90100000000001</c:v>
                </c:pt>
                <c:pt idx="28">
                  <c:v>152.90100000000001</c:v>
                </c:pt>
                <c:pt idx="29">
                  <c:v>152.9</c:v>
                </c:pt>
                <c:pt idx="30">
                  <c:v>152.9</c:v>
                </c:pt>
                <c:pt idx="31">
                  <c:v>152.9</c:v>
                </c:pt>
                <c:pt idx="32">
                  <c:v>152.899</c:v>
                </c:pt>
                <c:pt idx="33">
                  <c:v>152.899</c:v>
                </c:pt>
                <c:pt idx="34">
                  <c:v>152.898</c:v>
                </c:pt>
                <c:pt idx="35">
                  <c:v>152.898</c:v>
                </c:pt>
                <c:pt idx="36">
                  <c:v>152.898</c:v>
                </c:pt>
                <c:pt idx="37">
                  <c:v>152.89699999999999</c:v>
                </c:pt>
                <c:pt idx="38">
                  <c:v>152.89699999999999</c:v>
                </c:pt>
                <c:pt idx="39">
                  <c:v>152.89699999999999</c:v>
                </c:pt>
                <c:pt idx="40">
                  <c:v>152.89599999999999</c:v>
                </c:pt>
                <c:pt idx="41">
                  <c:v>152.89599999999999</c:v>
                </c:pt>
                <c:pt idx="42">
                  <c:v>152.89500000000001</c:v>
                </c:pt>
                <c:pt idx="43">
                  <c:v>152.89500000000001</c:v>
                </c:pt>
                <c:pt idx="44">
                  <c:v>152.89500000000001</c:v>
                </c:pt>
                <c:pt idx="45">
                  <c:v>152.89400000000001</c:v>
                </c:pt>
                <c:pt idx="46">
                  <c:v>152.89400000000001</c:v>
                </c:pt>
                <c:pt idx="47">
                  <c:v>152.89400000000001</c:v>
                </c:pt>
                <c:pt idx="48">
                  <c:v>152.893</c:v>
                </c:pt>
                <c:pt idx="49">
                  <c:v>152.893</c:v>
                </c:pt>
                <c:pt idx="50">
                  <c:v>152.892</c:v>
                </c:pt>
                <c:pt idx="51">
                  <c:v>152.892</c:v>
                </c:pt>
                <c:pt idx="52">
                  <c:v>152.892</c:v>
                </c:pt>
                <c:pt idx="53">
                  <c:v>152.89099999999999</c:v>
                </c:pt>
                <c:pt idx="54">
                  <c:v>152.89099999999999</c:v>
                </c:pt>
                <c:pt idx="55">
                  <c:v>152.89099999999999</c:v>
                </c:pt>
                <c:pt idx="56">
                  <c:v>152.88999999999999</c:v>
                </c:pt>
                <c:pt idx="57">
                  <c:v>152.88999999999999</c:v>
                </c:pt>
                <c:pt idx="58">
                  <c:v>152.88900000000001</c:v>
                </c:pt>
                <c:pt idx="59">
                  <c:v>152.88900000000001</c:v>
                </c:pt>
                <c:pt idx="60">
                  <c:v>152.88900000000001</c:v>
                </c:pt>
                <c:pt idx="61">
                  <c:v>152.88800000000001</c:v>
                </c:pt>
                <c:pt idx="62">
                  <c:v>152.88800000000001</c:v>
                </c:pt>
                <c:pt idx="63">
                  <c:v>152.88800000000001</c:v>
                </c:pt>
                <c:pt idx="64">
                  <c:v>152.887</c:v>
                </c:pt>
                <c:pt idx="65">
                  <c:v>152.887</c:v>
                </c:pt>
                <c:pt idx="66">
                  <c:v>152.887</c:v>
                </c:pt>
                <c:pt idx="67">
                  <c:v>152.886</c:v>
                </c:pt>
                <c:pt idx="68">
                  <c:v>152.886</c:v>
                </c:pt>
                <c:pt idx="69">
                  <c:v>152.88499999999999</c:v>
                </c:pt>
                <c:pt idx="70">
                  <c:v>152.88499999999999</c:v>
                </c:pt>
                <c:pt idx="71">
                  <c:v>152.88499999999999</c:v>
                </c:pt>
                <c:pt idx="72">
                  <c:v>152.88399999999999</c:v>
                </c:pt>
                <c:pt idx="73">
                  <c:v>152.88399999999999</c:v>
                </c:pt>
                <c:pt idx="74">
                  <c:v>152.88399999999999</c:v>
                </c:pt>
                <c:pt idx="75">
                  <c:v>152.88300000000001</c:v>
                </c:pt>
                <c:pt idx="76">
                  <c:v>152.88300000000001</c:v>
                </c:pt>
                <c:pt idx="77">
                  <c:v>152.88200000000001</c:v>
                </c:pt>
                <c:pt idx="78">
                  <c:v>152.88200000000001</c:v>
                </c:pt>
                <c:pt idx="79">
                  <c:v>152.88200000000001</c:v>
                </c:pt>
                <c:pt idx="80">
                  <c:v>152.881</c:v>
                </c:pt>
                <c:pt idx="81">
                  <c:v>152.881</c:v>
                </c:pt>
                <c:pt idx="82">
                  <c:v>152.881</c:v>
                </c:pt>
                <c:pt idx="83">
                  <c:v>152.88</c:v>
                </c:pt>
                <c:pt idx="84">
                  <c:v>152.88</c:v>
                </c:pt>
                <c:pt idx="85">
                  <c:v>152.87899999999999</c:v>
                </c:pt>
                <c:pt idx="86">
                  <c:v>152.87899999999999</c:v>
                </c:pt>
                <c:pt idx="87">
                  <c:v>152.87899999999999</c:v>
                </c:pt>
                <c:pt idx="88">
                  <c:v>152.87799999999999</c:v>
                </c:pt>
                <c:pt idx="89">
                  <c:v>152.87799999999999</c:v>
                </c:pt>
                <c:pt idx="90">
                  <c:v>152.87799999999999</c:v>
                </c:pt>
                <c:pt idx="91">
                  <c:v>152.87700000000001</c:v>
                </c:pt>
                <c:pt idx="92">
                  <c:v>152.87700000000001</c:v>
                </c:pt>
                <c:pt idx="93">
                  <c:v>152.876</c:v>
                </c:pt>
                <c:pt idx="94">
                  <c:v>152.876</c:v>
                </c:pt>
                <c:pt idx="95">
                  <c:v>152.876</c:v>
                </c:pt>
                <c:pt idx="96">
                  <c:v>152.875</c:v>
                </c:pt>
                <c:pt idx="97">
                  <c:v>152.875</c:v>
                </c:pt>
                <c:pt idx="98">
                  <c:v>152.875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EB-4890-9CE2-8417178BB501}"/>
            </c:ext>
          </c:extLst>
        </c:ser>
        <c:ser>
          <c:idx val="3"/>
          <c:order val="3"/>
          <c:tx>
            <c:strRef>
              <c:f>'S&amp;R Position'!$H$4</c:f>
              <c:strCache>
                <c:ptCount val="1"/>
                <c:pt idx="0">
                  <c:v>Peak_Line_3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'S&amp;R Position'!$H$5:$H$103</c:f>
              <c:numCache>
                <c:formatCode>General</c:formatCode>
                <c:ptCount val="99"/>
                <c:pt idx="0">
                  <c:v>153.27099999999999</c:v>
                </c:pt>
                <c:pt idx="1">
                  <c:v>153.26900000000001</c:v>
                </c:pt>
                <c:pt idx="2">
                  <c:v>153.268</c:v>
                </c:pt>
                <c:pt idx="3">
                  <c:v>153.26599999999999</c:v>
                </c:pt>
                <c:pt idx="4">
                  <c:v>153.26400000000001</c:v>
                </c:pt>
                <c:pt idx="5">
                  <c:v>153.26300000000001</c:v>
                </c:pt>
                <c:pt idx="6">
                  <c:v>153.261</c:v>
                </c:pt>
                <c:pt idx="7">
                  <c:v>153.25899999999999</c:v>
                </c:pt>
                <c:pt idx="8">
                  <c:v>153.25800000000001</c:v>
                </c:pt>
                <c:pt idx="9">
                  <c:v>153.256</c:v>
                </c:pt>
                <c:pt idx="10">
                  <c:v>153.255</c:v>
                </c:pt>
                <c:pt idx="11">
                  <c:v>153.25299999999999</c:v>
                </c:pt>
                <c:pt idx="12">
                  <c:v>153.251</c:v>
                </c:pt>
                <c:pt idx="13">
                  <c:v>153.25</c:v>
                </c:pt>
                <c:pt idx="14">
                  <c:v>153.24799999999999</c:v>
                </c:pt>
                <c:pt idx="15">
                  <c:v>153.24600000000001</c:v>
                </c:pt>
                <c:pt idx="16">
                  <c:v>153.245</c:v>
                </c:pt>
                <c:pt idx="17">
                  <c:v>153.24299999999999</c:v>
                </c:pt>
                <c:pt idx="18">
                  <c:v>153.24100000000001</c:v>
                </c:pt>
                <c:pt idx="19">
                  <c:v>153.24</c:v>
                </c:pt>
                <c:pt idx="20">
                  <c:v>153.238</c:v>
                </c:pt>
                <c:pt idx="21">
                  <c:v>153.23599999999999</c:v>
                </c:pt>
                <c:pt idx="22">
                  <c:v>153.23500000000001</c:v>
                </c:pt>
                <c:pt idx="23">
                  <c:v>153.233</c:v>
                </c:pt>
                <c:pt idx="24">
                  <c:v>153.232</c:v>
                </c:pt>
                <c:pt idx="25">
                  <c:v>153.22999999999999</c:v>
                </c:pt>
                <c:pt idx="26">
                  <c:v>153.22800000000001</c:v>
                </c:pt>
                <c:pt idx="27">
                  <c:v>153.227</c:v>
                </c:pt>
                <c:pt idx="28">
                  <c:v>153.22499999999999</c:v>
                </c:pt>
                <c:pt idx="29">
                  <c:v>153.22300000000001</c:v>
                </c:pt>
                <c:pt idx="30">
                  <c:v>153.22200000000001</c:v>
                </c:pt>
                <c:pt idx="31">
                  <c:v>153.22</c:v>
                </c:pt>
                <c:pt idx="32">
                  <c:v>153.21799999999999</c:v>
                </c:pt>
                <c:pt idx="33">
                  <c:v>153.21700000000001</c:v>
                </c:pt>
                <c:pt idx="34">
                  <c:v>153.215</c:v>
                </c:pt>
                <c:pt idx="35">
                  <c:v>153.214</c:v>
                </c:pt>
                <c:pt idx="36">
                  <c:v>153.21199999999999</c:v>
                </c:pt>
                <c:pt idx="37">
                  <c:v>153.21</c:v>
                </c:pt>
                <c:pt idx="38">
                  <c:v>153.209</c:v>
                </c:pt>
                <c:pt idx="39">
                  <c:v>153.20699999999999</c:v>
                </c:pt>
                <c:pt idx="40">
                  <c:v>153.20500000000001</c:v>
                </c:pt>
                <c:pt idx="41">
                  <c:v>153.20400000000001</c:v>
                </c:pt>
                <c:pt idx="42">
                  <c:v>153.202</c:v>
                </c:pt>
                <c:pt idx="43">
                  <c:v>153.19999999999999</c:v>
                </c:pt>
                <c:pt idx="44">
                  <c:v>153.19900000000001</c:v>
                </c:pt>
                <c:pt idx="45">
                  <c:v>153.197</c:v>
                </c:pt>
                <c:pt idx="46">
                  <c:v>153.19499999999999</c:v>
                </c:pt>
                <c:pt idx="47">
                  <c:v>153.19399999999999</c:v>
                </c:pt>
                <c:pt idx="48">
                  <c:v>153.19200000000001</c:v>
                </c:pt>
                <c:pt idx="49">
                  <c:v>153.191</c:v>
                </c:pt>
                <c:pt idx="50">
                  <c:v>153.18899999999999</c:v>
                </c:pt>
                <c:pt idx="51">
                  <c:v>153.18700000000001</c:v>
                </c:pt>
                <c:pt idx="52">
                  <c:v>153.18600000000001</c:v>
                </c:pt>
                <c:pt idx="53">
                  <c:v>153.184</c:v>
                </c:pt>
                <c:pt idx="54">
                  <c:v>153.18199999999999</c:v>
                </c:pt>
                <c:pt idx="55">
                  <c:v>153.18100000000001</c:v>
                </c:pt>
                <c:pt idx="56">
                  <c:v>153.179</c:v>
                </c:pt>
                <c:pt idx="57">
                  <c:v>153.17699999999999</c:v>
                </c:pt>
                <c:pt idx="58">
                  <c:v>153.17599999999999</c:v>
                </c:pt>
                <c:pt idx="59">
                  <c:v>153.17400000000001</c:v>
                </c:pt>
                <c:pt idx="60">
                  <c:v>153.173</c:v>
                </c:pt>
                <c:pt idx="61">
                  <c:v>153.17099999999999</c:v>
                </c:pt>
                <c:pt idx="62">
                  <c:v>153.16900000000001</c:v>
                </c:pt>
                <c:pt idx="63">
                  <c:v>153.16800000000001</c:v>
                </c:pt>
                <c:pt idx="64">
                  <c:v>153.166</c:v>
                </c:pt>
                <c:pt idx="65">
                  <c:v>153.16399999999999</c:v>
                </c:pt>
                <c:pt idx="66">
                  <c:v>153.16300000000001</c:v>
                </c:pt>
                <c:pt idx="67">
                  <c:v>153.161</c:v>
                </c:pt>
                <c:pt idx="68">
                  <c:v>153.15899999999999</c:v>
                </c:pt>
                <c:pt idx="69">
                  <c:v>153.15799999999999</c:v>
                </c:pt>
                <c:pt idx="70">
                  <c:v>153.15600000000001</c:v>
                </c:pt>
                <c:pt idx="71">
                  <c:v>153.154</c:v>
                </c:pt>
                <c:pt idx="72">
                  <c:v>153.15299999999999</c:v>
                </c:pt>
                <c:pt idx="73">
                  <c:v>153.15100000000001</c:v>
                </c:pt>
                <c:pt idx="74">
                  <c:v>153.15</c:v>
                </c:pt>
                <c:pt idx="75">
                  <c:v>153.148</c:v>
                </c:pt>
                <c:pt idx="76">
                  <c:v>153.14599999999999</c:v>
                </c:pt>
                <c:pt idx="77">
                  <c:v>153.14500000000001</c:v>
                </c:pt>
                <c:pt idx="78">
                  <c:v>153.143</c:v>
                </c:pt>
                <c:pt idx="79">
                  <c:v>153.14099999999999</c:v>
                </c:pt>
                <c:pt idx="80">
                  <c:v>153.13999999999999</c:v>
                </c:pt>
                <c:pt idx="81">
                  <c:v>153.13800000000001</c:v>
                </c:pt>
                <c:pt idx="82">
                  <c:v>153.136</c:v>
                </c:pt>
                <c:pt idx="83">
                  <c:v>153.13499999999999</c:v>
                </c:pt>
                <c:pt idx="84">
                  <c:v>153.13300000000001</c:v>
                </c:pt>
                <c:pt idx="85">
                  <c:v>153.13200000000001</c:v>
                </c:pt>
                <c:pt idx="86">
                  <c:v>153.13</c:v>
                </c:pt>
                <c:pt idx="87">
                  <c:v>153.12799999999999</c:v>
                </c:pt>
                <c:pt idx="88">
                  <c:v>153.12700000000001</c:v>
                </c:pt>
                <c:pt idx="89">
                  <c:v>153.125</c:v>
                </c:pt>
                <c:pt idx="90">
                  <c:v>153.12299999999999</c:v>
                </c:pt>
                <c:pt idx="91">
                  <c:v>153.12200000000001</c:v>
                </c:pt>
                <c:pt idx="92">
                  <c:v>153.12</c:v>
                </c:pt>
                <c:pt idx="93">
                  <c:v>153.11799999999999</c:v>
                </c:pt>
                <c:pt idx="94">
                  <c:v>153.11699999999999</c:v>
                </c:pt>
                <c:pt idx="95">
                  <c:v>153.11500000000001</c:v>
                </c:pt>
                <c:pt idx="96">
                  <c:v>153.113</c:v>
                </c:pt>
                <c:pt idx="97">
                  <c:v>153.11199999999999</c:v>
                </c:pt>
                <c:pt idx="98">
                  <c:v>153.11000000000001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EB-4890-9CE2-8417178BB501}"/>
            </c:ext>
          </c:extLst>
        </c:ser>
        <c:ser>
          <c:idx val="4"/>
          <c:order val="4"/>
          <c:tx>
            <c:strRef>
              <c:f>'S&amp;R Position'!$I$4</c:f>
              <c:strCache>
                <c:ptCount val="1"/>
                <c:pt idx="0">
                  <c:v>Bottom_Line_1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'S&amp;R Position'!$I$5:$I$103</c:f>
              <c:numCache>
                <c:formatCode>General</c:formatCode>
                <c:ptCount val="99"/>
                <c:pt idx="0">
                  <c:v>152.56</c:v>
                </c:pt>
                <c:pt idx="1">
                  <c:v>152.56100000000001</c:v>
                </c:pt>
                <c:pt idx="2">
                  <c:v>152.56200000000001</c:v>
                </c:pt>
                <c:pt idx="3">
                  <c:v>152.56200000000001</c:v>
                </c:pt>
                <c:pt idx="4">
                  <c:v>152.56299999999999</c:v>
                </c:pt>
                <c:pt idx="5">
                  <c:v>152.56399999999999</c:v>
                </c:pt>
                <c:pt idx="6">
                  <c:v>152.565</c:v>
                </c:pt>
                <c:pt idx="7">
                  <c:v>152.565</c:v>
                </c:pt>
                <c:pt idx="8">
                  <c:v>152.566</c:v>
                </c:pt>
                <c:pt idx="9">
                  <c:v>152.56700000000001</c:v>
                </c:pt>
                <c:pt idx="10">
                  <c:v>152.56800000000001</c:v>
                </c:pt>
                <c:pt idx="11">
                  <c:v>152.56899999999999</c:v>
                </c:pt>
                <c:pt idx="12">
                  <c:v>152.56899999999999</c:v>
                </c:pt>
                <c:pt idx="13">
                  <c:v>152.57</c:v>
                </c:pt>
                <c:pt idx="14">
                  <c:v>152.571</c:v>
                </c:pt>
                <c:pt idx="15">
                  <c:v>152.572</c:v>
                </c:pt>
                <c:pt idx="16">
                  <c:v>152.572</c:v>
                </c:pt>
                <c:pt idx="17">
                  <c:v>152.57300000000001</c:v>
                </c:pt>
                <c:pt idx="18">
                  <c:v>152.57400000000001</c:v>
                </c:pt>
                <c:pt idx="19">
                  <c:v>152.57499999999999</c:v>
                </c:pt>
                <c:pt idx="20">
                  <c:v>152.57499999999999</c:v>
                </c:pt>
                <c:pt idx="21">
                  <c:v>152.57599999999999</c:v>
                </c:pt>
                <c:pt idx="22">
                  <c:v>152.577</c:v>
                </c:pt>
                <c:pt idx="23">
                  <c:v>152.578</c:v>
                </c:pt>
                <c:pt idx="24">
                  <c:v>152.578</c:v>
                </c:pt>
                <c:pt idx="25">
                  <c:v>152.57900000000001</c:v>
                </c:pt>
                <c:pt idx="26">
                  <c:v>152.58000000000001</c:v>
                </c:pt>
                <c:pt idx="27">
                  <c:v>152.58099999999999</c:v>
                </c:pt>
                <c:pt idx="28">
                  <c:v>152.58199999999999</c:v>
                </c:pt>
                <c:pt idx="29">
                  <c:v>152.58199999999999</c:v>
                </c:pt>
                <c:pt idx="30">
                  <c:v>152.583</c:v>
                </c:pt>
                <c:pt idx="31">
                  <c:v>152.584</c:v>
                </c:pt>
                <c:pt idx="32">
                  <c:v>152.58500000000001</c:v>
                </c:pt>
                <c:pt idx="33">
                  <c:v>152.58500000000001</c:v>
                </c:pt>
                <c:pt idx="34">
                  <c:v>152.58600000000001</c:v>
                </c:pt>
                <c:pt idx="35">
                  <c:v>152.58699999999999</c:v>
                </c:pt>
                <c:pt idx="36">
                  <c:v>152.58799999999999</c:v>
                </c:pt>
                <c:pt idx="37">
                  <c:v>152.58799999999999</c:v>
                </c:pt>
                <c:pt idx="38">
                  <c:v>152.589</c:v>
                </c:pt>
                <c:pt idx="39">
                  <c:v>152.59</c:v>
                </c:pt>
                <c:pt idx="40">
                  <c:v>152.59100000000001</c:v>
                </c:pt>
                <c:pt idx="41">
                  <c:v>152.59100000000001</c:v>
                </c:pt>
                <c:pt idx="42">
                  <c:v>152.59200000000001</c:v>
                </c:pt>
                <c:pt idx="43">
                  <c:v>152.59299999999999</c:v>
                </c:pt>
                <c:pt idx="44">
                  <c:v>152.59399999999999</c:v>
                </c:pt>
                <c:pt idx="45">
                  <c:v>152.595</c:v>
                </c:pt>
                <c:pt idx="46">
                  <c:v>152.595</c:v>
                </c:pt>
                <c:pt idx="47">
                  <c:v>152.596</c:v>
                </c:pt>
                <c:pt idx="48">
                  <c:v>152.59700000000001</c:v>
                </c:pt>
                <c:pt idx="49">
                  <c:v>152.59800000000001</c:v>
                </c:pt>
                <c:pt idx="50">
                  <c:v>152.59800000000001</c:v>
                </c:pt>
                <c:pt idx="51">
                  <c:v>152.59899999999999</c:v>
                </c:pt>
                <c:pt idx="52">
                  <c:v>152.6</c:v>
                </c:pt>
                <c:pt idx="53">
                  <c:v>152.601</c:v>
                </c:pt>
                <c:pt idx="54">
                  <c:v>152.601</c:v>
                </c:pt>
                <c:pt idx="55">
                  <c:v>152.602</c:v>
                </c:pt>
                <c:pt idx="56">
                  <c:v>152.60300000000001</c:v>
                </c:pt>
                <c:pt idx="57">
                  <c:v>152.60400000000001</c:v>
                </c:pt>
                <c:pt idx="58">
                  <c:v>152.60400000000001</c:v>
                </c:pt>
                <c:pt idx="59">
                  <c:v>152.60499999999999</c:v>
                </c:pt>
                <c:pt idx="60">
                  <c:v>152.60599999999999</c:v>
                </c:pt>
                <c:pt idx="61">
                  <c:v>152.607</c:v>
                </c:pt>
                <c:pt idx="62">
                  <c:v>152.608</c:v>
                </c:pt>
                <c:pt idx="63">
                  <c:v>152.608</c:v>
                </c:pt>
                <c:pt idx="64">
                  <c:v>152.60900000000001</c:v>
                </c:pt>
                <c:pt idx="65">
                  <c:v>152.61000000000001</c:v>
                </c:pt>
                <c:pt idx="66">
                  <c:v>152.61099999999999</c:v>
                </c:pt>
                <c:pt idx="67">
                  <c:v>152.61099999999999</c:v>
                </c:pt>
                <c:pt idx="68">
                  <c:v>152.61199999999999</c:v>
                </c:pt>
                <c:pt idx="69">
                  <c:v>152.613</c:v>
                </c:pt>
                <c:pt idx="70">
                  <c:v>152.614</c:v>
                </c:pt>
                <c:pt idx="71">
                  <c:v>152.614</c:v>
                </c:pt>
                <c:pt idx="72">
                  <c:v>152.61500000000001</c:v>
                </c:pt>
                <c:pt idx="73">
                  <c:v>152.61600000000001</c:v>
                </c:pt>
                <c:pt idx="74">
                  <c:v>152.61699999999999</c:v>
                </c:pt>
                <c:pt idx="75">
                  <c:v>152.61699999999999</c:v>
                </c:pt>
                <c:pt idx="76">
                  <c:v>152.61799999999999</c:v>
                </c:pt>
                <c:pt idx="77">
                  <c:v>152.619</c:v>
                </c:pt>
                <c:pt idx="78">
                  <c:v>152.62</c:v>
                </c:pt>
                <c:pt idx="79">
                  <c:v>152.62100000000001</c:v>
                </c:pt>
                <c:pt idx="80">
                  <c:v>152.62100000000001</c:v>
                </c:pt>
                <c:pt idx="81">
                  <c:v>152.62200000000001</c:v>
                </c:pt>
                <c:pt idx="82">
                  <c:v>152.62299999999999</c:v>
                </c:pt>
                <c:pt idx="83">
                  <c:v>152.624</c:v>
                </c:pt>
                <c:pt idx="84">
                  <c:v>152.624</c:v>
                </c:pt>
                <c:pt idx="85">
                  <c:v>152.625</c:v>
                </c:pt>
                <c:pt idx="86">
                  <c:v>152.626</c:v>
                </c:pt>
                <c:pt idx="87">
                  <c:v>152.62700000000001</c:v>
                </c:pt>
                <c:pt idx="88">
                  <c:v>152.62700000000001</c:v>
                </c:pt>
                <c:pt idx="89">
                  <c:v>152.62799999999999</c:v>
                </c:pt>
                <c:pt idx="90">
                  <c:v>152.62899999999999</c:v>
                </c:pt>
                <c:pt idx="91">
                  <c:v>152.63</c:v>
                </c:pt>
                <c:pt idx="92">
                  <c:v>152.63</c:v>
                </c:pt>
                <c:pt idx="93">
                  <c:v>152.631</c:v>
                </c:pt>
                <c:pt idx="94">
                  <c:v>152.63200000000001</c:v>
                </c:pt>
                <c:pt idx="95">
                  <c:v>152.63300000000001</c:v>
                </c:pt>
                <c:pt idx="96">
                  <c:v>152.63399999999999</c:v>
                </c:pt>
                <c:pt idx="97">
                  <c:v>152.63399999999999</c:v>
                </c:pt>
                <c:pt idx="98">
                  <c:v>152.63499999999999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EB-4890-9CE2-8417178BB501}"/>
            </c:ext>
          </c:extLst>
        </c:ser>
        <c:ser>
          <c:idx val="5"/>
          <c:order val="5"/>
          <c:tx>
            <c:strRef>
              <c:f>'S&amp;R Position'!$J$4</c:f>
              <c:strCache>
                <c:ptCount val="1"/>
                <c:pt idx="0">
                  <c:v>Bottom_Line_2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'S&amp;R Position'!$J$5:$J$103</c:f>
              <c:numCache>
                <c:formatCode>General</c:formatCode>
                <c:ptCount val="99"/>
                <c:pt idx="0">
                  <c:v>152.60300000000001</c:v>
                </c:pt>
                <c:pt idx="1">
                  <c:v>152.60300000000001</c:v>
                </c:pt>
                <c:pt idx="2">
                  <c:v>152.602</c:v>
                </c:pt>
                <c:pt idx="3">
                  <c:v>152.602</c:v>
                </c:pt>
                <c:pt idx="4">
                  <c:v>152.602</c:v>
                </c:pt>
                <c:pt idx="5">
                  <c:v>152.602</c:v>
                </c:pt>
                <c:pt idx="6">
                  <c:v>152.602</c:v>
                </c:pt>
                <c:pt idx="7">
                  <c:v>152.601</c:v>
                </c:pt>
                <c:pt idx="8">
                  <c:v>152.601</c:v>
                </c:pt>
                <c:pt idx="9">
                  <c:v>152.601</c:v>
                </c:pt>
                <c:pt idx="10">
                  <c:v>152.601</c:v>
                </c:pt>
                <c:pt idx="11">
                  <c:v>152.6</c:v>
                </c:pt>
                <c:pt idx="12">
                  <c:v>152.6</c:v>
                </c:pt>
                <c:pt idx="13">
                  <c:v>152.6</c:v>
                </c:pt>
                <c:pt idx="14">
                  <c:v>152.6</c:v>
                </c:pt>
                <c:pt idx="15">
                  <c:v>152.59899999999999</c:v>
                </c:pt>
                <c:pt idx="16">
                  <c:v>152.59899999999999</c:v>
                </c:pt>
                <c:pt idx="17">
                  <c:v>152.59899999999999</c:v>
                </c:pt>
                <c:pt idx="18">
                  <c:v>152.59899999999999</c:v>
                </c:pt>
                <c:pt idx="19">
                  <c:v>152.59899999999999</c:v>
                </c:pt>
                <c:pt idx="20">
                  <c:v>152.59800000000001</c:v>
                </c:pt>
                <c:pt idx="21">
                  <c:v>152.59800000000001</c:v>
                </c:pt>
                <c:pt idx="22">
                  <c:v>152.59800000000001</c:v>
                </c:pt>
                <c:pt idx="23">
                  <c:v>152.59800000000001</c:v>
                </c:pt>
                <c:pt idx="24">
                  <c:v>152.59700000000001</c:v>
                </c:pt>
                <c:pt idx="25">
                  <c:v>152.59700000000001</c:v>
                </c:pt>
                <c:pt idx="26">
                  <c:v>152.59700000000001</c:v>
                </c:pt>
                <c:pt idx="27">
                  <c:v>152.59700000000001</c:v>
                </c:pt>
                <c:pt idx="28">
                  <c:v>152.596</c:v>
                </c:pt>
                <c:pt idx="29">
                  <c:v>152.596</c:v>
                </c:pt>
                <c:pt idx="30">
                  <c:v>152.596</c:v>
                </c:pt>
                <c:pt idx="31">
                  <c:v>152.596</c:v>
                </c:pt>
                <c:pt idx="32">
                  <c:v>152.596</c:v>
                </c:pt>
                <c:pt idx="33">
                  <c:v>152.595</c:v>
                </c:pt>
                <c:pt idx="34">
                  <c:v>152.595</c:v>
                </c:pt>
                <c:pt idx="35">
                  <c:v>152.595</c:v>
                </c:pt>
                <c:pt idx="36">
                  <c:v>152.595</c:v>
                </c:pt>
                <c:pt idx="37">
                  <c:v>152.59399999999999</c:v>
                </c:pt>
                <c:pt idx="38">
                  <c:v>152.59399999999999</c:v>
                </c:pt>
                <c:pt idx="39">
                  <c:v>152.59399999999999</c:v>
                </c:pt>
                <c:pt idx="40">
                  <c:v>152.59399999999999</c:v>
                </c:pt>
                <c:pt idx="41">
                  <c:v>152.59299999999999</c:v>
                </c:pt>
                <c:pt idx="42">
                  <c:v>152.59299999999999</c:v>
                </c:pt>
                <c:pt idx="43">
                  <c:v>152.59299999999999</c:v>
                </c:pt>
                <c:pt idx="44">
                  <c:v>152.59299999999999</c:v>
                </c:pt>
                <c:pt idx="45">
                  <c:v>152.59299999999999</c:v>
                </c:pt>
                <c:pt idx="46">
                  <c:v>152.59200000000001</c:v>
                </c:pt>
                <c:pt idx="47">
                  <c:v>152.59200000000001</c:v>
                </c:pt>
                <c:pt idx="48">
                  <c:v>152.59200000000001</c:v>
                </c:pt>
                <c:pt idx="49">
                  <c:v>152.59200000000001</c:v>
                </c:pt>
                <c:pt idx="50">
                  <c:v>152.59100000000001</c:v>
                </c:pt>
                <c:pt idx="51">
                  <c:v>152.59100000000001</c:v>
                </c:pt>
                <c:pt idx="52">
                  <c:v>152.59100000000001</c:v>
                </c:pt>
                <c:pt idx="53">
                  <c:v>152.59100000000001</c:v>
                </c:pt>
                <c:pt idx="54">
                  <c:v>152.59</c:v>
                </c:pt>
                <c:pt idx="55">
                  <c:v>152.59</c:v>
                </c:pt>
                <c:pt idx="56">
                  <c:v>152.59</c:v>
                </c:pt>
                <c:pt idx="57">
                  <c:v>152.59</c:v>
                </c:pt>
                <c:pt idx="58">
                  <c:v>152.59</c:v>
                </c:pt>
                <c:pt idx="59">
                  <c:v>152.589</c:v>
                </c:pt>
                <c:pt idx="60">
                  <c:v>152.589</c:v>
                </c:pt>
                <c:pt idx="61">
                  <c:v>152.589</c:v>
                </c:pt>
                <c:pt idx="62">
                  <c:v>152.589</c:v>
                </c:pt>
                <c:pt idx="63">
                  <c:v>152.58799999999999</c:v>
                </c:pt>
                <c:pt idx="64">
                  <c:v>152.58799999999999</c:v>
                </c:pt>
                <c:pt idx="65">
                  <c:v>152.58799999999999</c:v>
                </c:pt>
                <c:pt idx="66">
                  <c:v>152.58799999999999</c:v>
                </c:pt>
                <c:pt idx="67">
                  <c:v>152.58699999999999</c:v>
                </c:pt>
                <c:pt idx="68">
                  <c:v>152.58699999999999</c:v>
                </c:pt>
                <c:pt idx="69">
                  <c:v>152.58699999999999</c:v>
                </c:pt>
                <c:pt idx="70">
                  <c:v>152.58699999999999</c:v>
                </c:pt>
                <c:pt idx="71">
                  <c:v>152.58699999999999</c:v>
                </c:pt>
                <c:pt idx="72">
                  <c:v>152.58600000000001</c:v>
                </c:pt>
                <c:pt idx="73">
                  <c:v>152.58600000000001</c:v>
                </c:pt>
                <c:pt idx="74">
                  <c:v>152.58600000000001</c:v>
                </c:pt>
                <c:pt idx="75">
                  <c:v>152.58600000000001</c:v>
                </c:pt>
                <c:pt idx="76">
                  <c:v>152.58500000000001</c:v>
                </c:pt>
                <c:pt idx="77">
                  <c:v>152.58500000000001</c:v>
                </c:pt>
                <c:pt idx="78">
                  <c:v>152.58500000000001</c:v>
                </c:pt>
                <c:pt idx="79">
                  <c:v>152.58500000000001</c:v>
                </c:pt>
                <c:pt idx="80">
                  <c:v>152.584</c:v>
                </c:pt>
                <c:pt idx="81">
                  <c:v>152.584</c:v>
                </c:pt>
                <c:pt idx="82">
                  <c:v>152.584</c:v>
                </c:pt>
                <c:pt idx="83">
                  <c:v>152.584</c:v>
                </c:pt>
                <c:pt idx="84">
                  <c:v>152.584</c:v>
                </c:pt>
                <c:pt idx="85">
                  <c:v>152.583</c:v>
                </c:pt>
                <c:pt idx="86">
                  <c:v>152.583</c:v>
                </c:pt>
                <c:pt idx="87">
                  <c:v>152.583</c:v>
                </c:pt>
                <c:pt idx="88">
                  <c:v>152.583</c:v>
                </c:pt>
                <c:pt idx="89">
                  <c:v>152.58199999999999</c:v>
                </c:pt>
                <c:pt idx="90">
                  <c:v>152.58199999999999</c:v>
                </c:pt>
                <c:pt idx="91">
                  <c:v>152.58199999999999</c:v>
                </c:pt>
                <c:pt idx="92">
                  <c:v>152.58199999999999</c:v>
                </c:pt>
                <c:pt idx="93">
                  <c:v>152.58099999999999</c:v>
                </c:pt>
                <c:pt idx="94">
                  <c:v>152.58099999999999</c:v>
                </c:pt>
                <c:pt idx="95">
                  <c:v>152.58099999999999</c:v>
                </c:pt>
                <c:pt idx="96">
                  <c:v>152.58099999999999</c:v>
                </c:pt>
                <c:pt idx="97">
                  <c:v>152.58099999999999</c:v>
                </c:pt>
                <c:pt idx="98">
                  <c:v>152.58000000000001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EB-4890-9CE2-8417178BB501}"/>
            </c:ext>
          </c:extLst>
        </c:ser>
        <c:ser>
          <c:idx val="6"/>
          <c:order val="6"/>
          <c:tx>
            <c:strRef>
              <c:f>'S&amp;R Position'!$K$4</c:f>
              <c:strCache>
                <c:ptCount val="1"/>
                <c:pt idx="0">
                  <c:v>Bottom_Line_3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'S&amp;R Position'!$K$5:$K$103</c:f>
              <c:numCache>
                <c:formatCode>General</c:formatCode>
                <c:ptCount val="99"/>
                <c:pt idx="0">
                  <c:v>152.768</c:v>
                </c:pt>
                <c:pt idx="1">
                  <c:v>152.77000000000001</c:v>
                </c:pt>
                <c:pt idx="2">
                  <c:v>152.77099999999999</c:v>
                </c:pt>
                <c:pt idx="3">
                  <c:v>152.773</c:v>
                </c:pt>
                <c:pt idx="4">
                  <c:v>152.774</c:v>
                </c:pt>
                <c:pt idx="5">
                  <c:v>152.77600000000001</c:v>
                </c:pt>
                <c:pt idx="6">
                  <c:v>152.77799999999999</c:v>
                </c:pt>
                <c:pt idx="7">
                  <c:v>152.779</c:v>
                </c:pt>
                <c:pt idx="8">
                  <c:v>152.78100000000001</c:v>
                </c:pt>
                <c:pt idx="9">
                  <c:v>152.78200000000001</c:v>
                </c:pt>
                <c:pt idx="10">
                  <c:v>152.78399999999999</c:v>
                </c:pt>
                <c:pt idx="11">
                  <c:v>152.785</c:v>
                </c:pt>
                <c:pt idx="12">
                  <c:v>152.78700000000001</c:v>
                </c:pt>
                <c:pt idx="13">
                  <c:v>152.78899999999999</c:v>
                </c:pt>
                <c:pt idx="14">
                  <c:v>152.79</c:v>
                </c:pt>
                <c:pt idx="15">
                  <c:v>152.792</c:v>
                </c:pt>
                <c:pt idx="16">
                  <c:v>152.79300000000001</c:v>
                </c:pt>
                <c:pt idx="17">
                  <c:v>152.79499999999999</c:v>
                </c:pt>
                <c:pt idx="18">
                  <c:v>152.79599999999999</c:v>
                </c:pt>
                <c:pt idx="19">
                  <c:v>152.798</c:v>
                </c:pt>
                <c:pt idx="20">
                  <c:v>152.80000000000001</c:v>
                </c:pt>
                <c:pt idx="21">
                  <c:v>152.80099999999999</c:v>
                </c:pt>
                <c:pt idx="22">
                  <c:v>152.803</c:v>
                </c:pt>
                <c:pt idx="23">
                  <c:v>152.804</c:v>
                </c:pt>
                <c:pt idx="24">
                  <c:v>152.80600000000001</c:v>
                </c:pt>
                <c:pt idx="25">
                  <c:v>152.80799999999999</c:v>
                </c:pt>
                <c:pt idx="26">
                  <c:v>152.809</c:v>
                </c:pt>
                <c:pt idx="27">
                  <c:v>152.81100000000001</c:v>
                </c:pt>
                <c:pt idx="28">
                  <c:v>152.81200000000001</c:v>
                </c:pt>
                <c:pt idx="29">
                  <c:v>152.81399999999999</c:v>
                </c:pt>
                <c:pt idx="30">
                  <c:v>152.815</c:v>
                </c:pt>
                <c:pt idx="31">
                  <c:v>152.81700000000001</c:v>
                </c:pt>
                <c:pt idx="32">
                  <c:v>152.81899999999999</c:v>
                </c:pt>
                <c:pt idx="33">
                  <c:v>152.82</c:v>
                </c:pt>
                <c:pt idx="34">
                  <c:v>152.822</c:v>
                </c:pt>
                <c:pt idx="35">
                  <c:v>152.82300000000001</c:v>
                </c:pt>
                <c:pt idx="36">
                  <c:v>152.82499999999999</c:v>
                </c:pt>
                <c:pt idx="37">
                  <c:v>152.827</c:v>
                </c:pt>
                <c:pt idx="38">
                  <c:v>152.828</c:v>
                </c:pt>
                <c:pt idx="39">
                  <c:v>152.83000000000001</c:v>
                </c:pt>
                <c:pt idx="40">
                  <c:v>152.83099999999999</c:v>
                </c:pt>
                <c:pt idx="41">
                  <c:v>152.833</c:v>
                </c:pt>
                <c:pt idx="42">
                  <c:v>152.834</c:v>
                </c:pt>
                <c:pt idx="43">
                  <c:v>152.83600000000001</c:v>
                </c:pt>
                <c:pt idx="44">
                  <c:v>152.83799999999999</c:v>
                </c:pt>
                <c:pt idx="45">
                  <c:v>152.839</c:v>
                </c:pt>
                <c:pt idx="46">
                  <c:v>152.84100000000001</c:v>
                </c:pt>
                <c:pt idx="47">
                  <c:v>152.84200000000001</c:v>
                </c:pt>
                <c:pt idx="48">
                  <c:v>152.84399999999999</c:v>
                </c:pt>
                <c:pt idx="49">
                  <c:v>152.845</c:v>
                </c:pt>
                <c:pt idx="50">
                  <c:v>152.84700000000001</c:v>
                </c:pt>
                <c:pt idx="51">
                  <c:v>152.84899999999999</c:v>
                </c:pt>
                <c:pt idx="52">
                  <c:v>152.85</c:v>
                </c:pt>
                <c:pt idx="53">
                  <c:v>152.852</c:v>
                </c:pt>
                <c:pt idx="54">
                  <c:v>152.85300000000001</c:v>
                </c:pt>
                <c:pt idx="55">
                  <c:v>152.85499999999999</c:v>
                </c:pt>
                <c:pt idx="56">
                  <c:v>152.857</c:v>
                </c:pt>
                <c:pt idx="57">
                  <c:v>152.858</c:v>
                </c:pt>
                <c:pt idx="58">
                  <c:v>152.86000000000001</c:v>
                </c:pt>
                <c:pt idx="59">
                  <c:v>152.86099999999999</c:v>
                </c:pt>
                <c:pt idx="60">
                  <c:v>152.863</c:v>
                </c:pt>
                <c:pt idx="61">
                  <c:v>152.864</c:v>
                </c:pt>
                <c:pt idx="62">
                  <c:v>152.86600000000001</c:v>
                </c:pt>
                <c:pt idx="63">
                  <c:v>152.86799999999999</c:v>
                </c:pt>
                <c:pt idx="64">
                  <c:v>152.869</c:v>
                </c:pt>
                <c:pt idx="65">
                  <c:v>152.87100000000001</c:v>
                </c:pt>
                <c:pt idx="66">
                  <c:v>152.87200000000001</c:v>
                </c:pt>
                <c:pt idx="67">
                  <c:v>152.874</c:v>
                </c:pt>
                <c:pt idx="68">
                  <c:v>152.876</c:v>
                </c:pt>
                <c:pt idx="69">
                  <c:v>152.87700000000001</c:v>
                </c:pt>
                <c:pt idx="70">
                  <c:v>152.87899999999999</c:v>
                </c:pt>
                <c:pt idx="71">
                  <c:v>152.88</c:v>
                </c:pt>
                <c:pt idx="72">
                  <c:v>152.88200000000001</c:v>
                </c:pt>
                <c:pt idx="73">
                  <c:v>152.88300000000001</c:v>
                </c:pt>
                <c:pt idx="74">
                  <c:v>152.88499999999999</c:v>
                </c:pt>
                <c:pt idx="75">
                  <c:v>152.887</c:v>
                </c:pt>
                <c:pt idx="76">
                  <c:v>152.88800000000001</c:v>
                </c:pt>
                <c:pt idx="77">
                  <c:v>152.88999999999999</c:v>
                </c:pt>
                <c:pt idx="78">
                  <c:v>152.89099999999999</c:v>
                </c:pt>
                <c:pt idx="79">
                  <c:v>152.893</c:v>
                </c:pt>
                <c:pt idx="80">
                  <c:v>152.89400000000001</c:v>
                </c:pt>
                <c:pt idx="81">
                  <c:v>152.89599999999999</c:v>
                </c:pt>
                <c:pt idx="82">
                  <c:v>152.898</c:v>
                </c:pt>
                <c:pt idx="83">
                  <c:v>152.899</c:v>
                </c:pt>
                <c:pt idx="84">
                  <c:v>152.90100000000001</c:v>
                </c:pt>
                <c:pt idx="85">
                  <c:v>152.90199999999999</c:v>
                </c:pt>
                <c:pt idx="86">
                  <c:v>152.904</c:v>
                </c:pt>
                <c:pt idx="87">
                  <c:v>152.90600000000001</c:v>
                </c:pt>
                <c:pt idx="88">
                  <c:v>152.90700000000001</c:v>
                </c:pt>
                <c:pt idx="89">
                  <c:v>152.90899999999999</c:v>
                </c:pt>
                <c:pt idx="90">
                  <c:v>152.91</c:v>
                </c:pt>
                <c:pt idx="91">
                  <c:v>152.91200000000001</c:v>
                </c:pt>
                <c:pt idx="92">
                  <c:v>152.91300000000001</c:v>
                </c:pt>
                <c:pt idx="93">
                  <c:v>152.91499999999999</c:v>
                </c:pt>
                <c:pt idx="94">
                  <c:v>152.917</c:v>
                </c:pt>
                <c:pt idx="95">
                  <c:v>152.91800000000001</c:v>
                </c:pt>
                <c:pt idx="96">
                  <c:v>152.91999999999999</c:v>
                </c:pt>
                <c:pt idx="97">
                  <c:v>152.92099999999999</c:v>
                </c:pt>
                <c:pt idx="98">
                  <c:v>152.923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EB-4890-9CE2-8417178BB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871424"/>
        <c:axId val="1072869760"/>
      </c:lineChart>
      <c:catAx>
        <c:axId val="1072871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72869760"/>
        <c:crosses val="autoZero"/>
        <c:auto val="1"/>
        <c:lblAlgn val="ctr"/>
        <c:lblOffset val="100"/>
        <c:noMultiLvlLbl val="0"/>
      </c:catAx>
      <c:valAx>
        <c:axId val="10728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Z"/>
          </a:p>
        </c:txPr>
        <c:crossAx val="107287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583199219439134E-2"/>
          <c:y val="0.96769051114373417"/>
          <c:w val="0.90936932266182779"/>
          <c:h val="2.3834912585079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106</xdr:row>
      <xdr:rowOff>66675</xdr:rowOff>
    </xdr:from>
    <xdr:to>
      <xdr:col>16</xdr:col>
      <xdr:colOff>657225</xdr:colOff>
      <xdr:row>156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711CB8-592E-44EB-9250-8B2EF9BFF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79371C-37CA-4128-8A00-AC11AD2BDF3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B11ED-ADA3-4BD7-B8BE-0DF761DB1DBE}">
  <dimension ref="A3:U103"/>
  <sheetViews>
    <sheetView tabSelected="1" topLeftCell="H1" zoomScale="70" zoomScaleNormal="70" workbookViewId="0">
      <selection activeCell="P25" sqref="P25"/>
    </sheetView>
  </sheetViews>
  <sheetFormatPr defaultRowHeight="14.4" x14ac:dyDescent="0.55000000000000004"/>
  <cols>
    <col min="1" max="1" width="3.15625" bestFit="1" customWidth="1"/>
    <col min="2" max="2" width="14.62890625" customWidth="1"/>
    <col min="4" max="4" width="10.41796875" bestFit="1" customWidth="1"/>
    <col min="6" max="8" width="10.7890625" bestFit="1" customWidth="1"/>
    <col min="9" max="11" width="13.20703125" bestFit="1" customWidth="1"/>
    <col min="12" max="12" width="4.578125" customWidth="1"/>
    <col min="13" max="13" width="9.5234375" customWidth="1"/>
    <col min="14" max="14" width="9" customWidth="1"/>
    <col min="15" max="15" width="9.15625" customWidth="1"/>
    <col min="16" max="16" width="11.1015625" customWidth="1"/>
    <col min="17" max="17" width="10.41796875" customWidth="1"/>
    <col min="18" max="18" width="10.3125" customWidth="1"/>
    <col min="19" max="19" width="4.26171875" customWidth="1"/>
    <col min="20" max="20" width="7.7890625" bestFit="1" customWidth="1"/>
    <col min="21" max="21" width="7.578125" bestFit="1" customWidth="1"/>
    <col min="23" max="25" width="19.734375" bestFit="1" customWidth="1"/>
    <col min="26" max="28" width="19.83984375" bestFit="1" customWidth="1"/>
  </cols>
  <sheetData>
    <row r="3" spans="1:21" x14ac:dyDescent="0.55000000000000004">
      <c r="A3" s="12"/>
      <c r="B3" s="12"/>
      <c r="C3" s="12"/>
      <c r="D3" s="12"/>
      <c r="E3" s="12"/>
      <c r="F3" s="12"/>
      <c r="G3" s="12"/>
    </row>
    <row r="4" spans="1:21" ht="28.8" x14ac:dyDescent="0.55000000000000004">
      <c r="A4" s="10" t="s">
        <v>0</v>
      </c>
      <c r="B4" s="10" t="s">
        <v>104</v>
      </c>
      <c r="C4" s="10" t="s">
        <v>1</v>
      </c>
      <c r="D4" s="10" t="s">
        <v>2</v>
      </c>
      <c r="E4" s="10" t="s">
        <v>105</v>
      </c>
      <c r="F4" s="10" t="s">
        <v>106</v>
      </c>
      <c r="G4" s="10" t="s">
        <v>107</v>
      </c>
      <c r="H4" s="10" t="s">
        <v>108</v>
      </c>
      <c r="I4" s="10" t="s">
        <v>109</v>
      </c>
      <c r="J4" s="10" t="s">
        <v>110</v>
      </c>
      <c r="K4" s="10" t="s">
        <v>111</v>
      </c>
      <c r="L4" s="11"/>
      <c r="M4" s="9" t="s">
        <v>112</v>
      </c>
      <c r="N4" s="9" t="s">
        <v>113</v>
      </c>
      <c r="O4" s="9" t="s">
        <v>114</v>
      </c>
      <c r="P4" s="9" t="s">
        <v>115</v>
      </c>
      <c r="Q4" s="9" t="s">
        <v>116</v>
      </c>
      <c r="R4" s="9" t="s">
        <v>117</v>
      </c>
      <c r="S4" s="11"/>
      <c r="T4" s="8" t="s">
        <v>118</v>
      </c>
      <c r="U4" s="8" t="s">
        <v>119</v>
      </c>
    </row>
    <row r="5" spans="1:21" x14ac:dyDescent="0.55000000000000004">
      <c r="A5">
        <v>1</v>
      </c>
      <c r="B5" t="s">
        <v>3</v>
      </c>
      <c r="C5" t="s">
        <v>4</v>
      </c>
      <c r="D5" t="s">
        <v>103</v>
      </c>
      <c r="E5">
        <v>153.249</v>
      </c>
      <c r="F5">
        <v>153.03800000000001</v>
      </c>
      <c r="G5">
        <v>152.911</v>
      </c>
      <c r="H5">
        <v>153.27099999999999</v>
      </c>
      <c r="I5">
        <v>152.56</v>
      </c>
      <c r="J5">
        <v>152.60300000000001</v>
      </c>
      <c r="K5">
        <v>152.768</v>
      </c>
      <c r="L5" s="1"/>
      <c r="M5" s="1" t="str">
        <f t="shared" ref="M5:M36" si="0">IF($E5&gt;F5,"SUP","RES")</f>
        <v>SUP</v>
      </c>
      <c r="N5" s="1" t="str">
        <f t="shared" ref="N5:N36" si="1">IF($E5&gt;G5,"SUP","RES")</f>
        <v>SUP</v>
      </c>
      <c r="O5" s="1" t="str">
        <f t="shared" ref="O5:O36" si="2">IF($E5&gt;H5,"SUP","RES")</f>
        <v>RES</v>
      </c>
      <c r="P5" s="1" t="str">
        <f t="shared" ref="P5:P36" si="3">IF($E5&gt;I5,"SUP","RES")</f>
        <v>SUP</v>
      </c>
      <c r="Q5" s="1" t="str">
        <f t="shared" ref="Q5:Q36" si="4">IF($E5&gt;J5,"SUP","RES")</f>
        <v>SUP</v>
      </c>
      <c r="R5" s="1" t="str">
        <f t="shared" ref="R5:R36" si="5">IF($E5&gt;K5,"SUP","RES")</f>
        <v>SUP</v>
      </c>
      <c r="S5" s="1"/>
      <c r="T5" s="2">
        <f t="shared" ref="T5:T36" si="6">COUNTIF(M5:R5,"RES")</f>
        <v>1</v>
      </c>
      <c r="U5" s="3">
        <f t="shared" ref="U5:U36" si="7">COUNTIF(M5:R5,"SUP")</f>
        <v>5</v>
      </c>
    </row>
    <row r="6" spans="1:21" x14ac:dyDescent="0.55000000000000004">
      <c r="A6">
        <v>2</v>
      </c>
      <c r="B6" t="s">
        <v>5</v>
      </c>
      <c r="C6" t="s">
        <v>4</v>
      </c>
      <c r="D6" t="s">
        <v>103</v>
      </c>
      <c r="E6">
        <v>153.196</v>
      </c>
      <c r="F6">
        <v>153.036</v>
      </c>
      <c r="G6">
        <v>152.911</v>
      </c>
      <c r="H6">
        <v>153.26900000000001</v>
      </c>
      <c r="I6">
        <v>152.56100000000001</v>
      </c>
      <c r="J6">
        <v>152.60300000000001</v>
      </c>
      <c r="K6">
        <v>152.77000000000001</v>
      </c>
      <c r="L6" s="1"/>
      <c r="M6" s="1" t="str">
        <f t="shared" si="0"/>
        <v>SUP</v>
      </c>
      <c r="N6" s="1" t="str">
        <f t="shared" si="1"/>
        <v>SUP</v>
      </c>
      <c r="O6" s="1" t="str">
        <f t="shared" si="2"/>
        <v>RES</v>
      </c>
      <c r="P6" s="1" t="str">
        <f t="shared" si="3"/>
        <v>SUP</v>
      </c>
      <c r="Q6" s="1" t="str">
        <f t="shared" si="4"/>
        <v>SUP</v>
      </c>
      <c r="R6" s="1" t="str">
        <f t="shared" si="5"/>
        <v>SUP</v>
      </c>
      <c r="S6" s="1"/>
      <c r="T6" s="2">
        <f t="shared" si="6"/>
        <v>1</v>
      </c>
      <c r="U6" s="3">
        <f t="shared" si="7"/>
        <v>5</v>
      </c>
    </row>
    <row r="7" spans="1:21" x14ac:dyDescent="0.55000000000000004">
      <c r="A7">
        <v>3</v>
      </c>
      <c r="B7" t="s">
        <v>6</v>
      </c>
      <c r="C7" t="s">
        <v>4</v>
      </c>
      <c r="D7" t="s">
        <v>103</v>
      </c>
      <c r="E7">
        <v>153.05000000000001</v>
      </c>
      <c r="F7">
        <v>153.03299999999999</v>
      </c>
      <c r="G7">
        <v>152.91</v>
      </c>
      <c r="H7">
        <v>153.268</v>
      </c>
      <c r="I7">
        <v>152.56200000000001</v>
      </c>
      <c r="J7">
        <v>152.602</v>
      </c>
      <c r="K7">
        <v>152.77099999999999</v>
      </c>
      <c r="L7" s="1"/>
      <c r="M7" s="1" t="str">
        <f t="shared" si="0"/>
        <v>SUP</v>
      </c>
      <c r="N7" s="1" t="str">
        <f t="shared" si="1"/>
        <v>SUP</v>
      </c>
      <c r="O7" s="1" t="str">
        <f t="shared" si="2"/>
        <v>RES</v>
      </c>
      <c r="P7" s="1" t="str">
        <f t="shared" si="3"/>
        <v>SUP</v>
      </c>
      <c r="Q7" s="1" t="str">
        <f t="shared" si="4"/>
        <v>SUP</v>
      </c>
      <c r="R7" s="1" t="str">
        <f t="shared" si="5"/>
        <v>SUP</v>
      </c>
      <c r="S7" s="1"/>
      <c r="T7" s="2">
        <f t="shared" si="6"/>
        <v>1</v>
      </c>
      <c r="U7" s="3">
        <f t="shared" si="7"/>
        <v>5</v>
      </c>
    </row>
    <row r="8" spans="1:21" x14ac:dyDescent="0.55000000000000004">
      <c r="A8">
        <v>4</v>
      </c>
      <c r="B8" t="s">
        <v>7</v>
      </c>
      <c r="C8" t="s">
        <v>4</v>
      </c>
      <c r="D8" t="s">
        <v>103</v>
      </c>
      <c r="E8">
        <v>153.06700000000001</v>
      </c>
      <c r="F8">
        <v>153.03100000000001</v>
      </c>
      <c r="G8">
        <v>152.91</v>
      </c>
      <c r="H8">
        <v>153.26599999999999</v>
      </c>
      <c r="I8">
        <v>152.56200000000001</v>
      </c>
      <c r="J8">
        <v>152.602</v>
      </c>
      <c r="K8">
        <v>152.773</v>
      </c>
      <c r="L8" s="1"/>
      <c r="M8" s="1" t="str">
        <f t="shared" si="0"/>
        <v>SUP</v>
      </c>
      <c r="N8" s="1" t="str">
        <f t="shared" si="1"/>
        <v>SUP</v>
      </c>
      <c r="O8" s="1" t="str">
        <f t="shared" si="2"/>
        <v>RES</v>
      </c>
      <c r="P8" s="1" t="str">
        <f t="shared" si="3"/>
        <v>SUP</v>
      </c>
      <c r="Q8" s="1" t="str">
        <f t="shared" si="4"/>
        <v>SUP</v>
      </c>
      <c r="R8" s="1" t="str">
        <f t="shared" si="5"/>
        <v>SUP</v>
      </c>
      <c r="S8" s="1"/>
      <c r="T8" s="2">
        <f t="shared" si="6"/>
        <v>1</v>
      </c>
      <c r="U8" s="3">
        <f t="shared" si="7"/>
        <v>5</v>
      </c>
    </row>
    <row r="9" spans="1:21" x14ac:dyDescent="0.55000000000000004">
      <c r="A9">
        <v>5</v>
      </c>
      <c r="B9" t="s">
        <v>8</v>
      </c>
      <c r="C9" t="s">
        <v>4</v>
      </c>
      <c r="D9" t="s">
        <v>103</v>
      </c>
      <c r="E9">
        <v>153.042</v>
      </c>
      <c r="F9">
        <v>153.029</v>
      </c>
      <c r="G9">
        <v>152.91</v>
      </c>
      <c r="H9">
        <v>153.26400000000001</v>
      </c>
      <c r="I9">
        <v>152.56299999999999</v>
      </c>
      <c r="J9">
        <v>152.602</v>
      </c>
      <c r="K9">
        <v>152.774</v>
      </c>
      <c r="L9" s="1"/>
      <c r="M9" s="1" t="str">
        <f t="shared" si="0"/>
        <v>SUP</v>
      </c>
      <c r="N9" s="1" t="str">
        <f t="shared" si="1"/>
        <v>SUP</v>
      </c>
      <c r="O9" s="1" t="str">
        <f t="shared" si="2"/>
        <v>RES</v>
      </c>
      <c r="P9" s="1" t="str">
        <f t="shared" si="3"/>
        <v>SUP</v>
      </c>
      <c r="Q9" s="1" t="str">
        <f t="shared" si="4"/>
        <v>SUP</v>
      </c>
      <c r="R9" s="1" t="str">
        <f t="shared" si="5"/>
        <v>SUP</v>
      </c>
      <c r="S9" s="1"/>
      <c r="T9" s="2">
        <f t="shared" si="6"/>
        <v>1</v>
      </c>
      <c r="U9" s="3">
        <f t="shared" si="7"/>
        <v>5</v>
      </c>
    </row>
    <row r="10" spans="1:21" x14ac:dyDescent="0.55000000000000004">
      <c r="A10">
        <v>6</v>
      </c>
      <c r="B10" t="s">
        <v>9</v>
      </c>
      <c r="C10" t="s">
        <v>4</v>
      </c>
      <c r="D10" t="s">
        <v>103</v>
      </c>
      <c r="E10">
        <v>153.05000000000001</v>
      </c>
      <c r="F10">
        <v>153.02600000000001</v>
      </c>
      <c r="G10">
        <v>152.90899999999999</v>
      </c>
      <c r="H10">
        <v>153.26300000000001</v>
      </c>
      <c r="I10">
        <v>152.56399999999999</v>
      </c>
      <c r="J10">
        <v>152.602</v>
      </c>
      <c r="K10">
        <v>152.77600000000001</v>
      </c>
      <c r="L10" s="1"/>
      <c r="M10" s="1" t="str">
        <f t="shared" si="0"/>
        <v>SUP</v>
      </c>
      <c r="N10" s="1" t="str">
        <f t="shared" si="1"/>
        <v>SUP</v>
      </c>
      <c r="O10" s="1" t="str">
        <f t="shared" si="2"/>
        <v>RES</v>
      </c>
      <c r="P10" s="1" t="str">
        <f t="shared" si="3"/>
        <v>SUP</v>
      </c>
      <c r="Q10" s="1" t="str">
        <f t="shared" si="4"/>
        <v>SUP</v>
      </c>
      <c r="R10" s="1" t="str">
        <f t="shared" si="5"/>
        <v>SUP</v>
      </c>
      <c r="S10" s="1"/>
      <c r="T10" s="2">
        <f t="shared" si="6"/>
        <v>1</v>
      </c>
      <c r="U10" s="3">
        <f t="shared" si="7"/>
        <v>5</v>
      </c>
    </row>
    <row r="11" spans="1:21" x14ac:dyDescent="0.55000000000000004">
      <c r="A11">
        <v>7</v>
      </c>
      <c r="B11" t="s">
        <v>10</v>
      </c>
      <c r="C11" t="s">
        <v>4</v>
      </c>
      <c r="D11" t="s">
        <v>103</v>
      </c>
      <c r="E11">
        <v>153.03299999999999</v>
      </c>
      <c r="F11">
        <v>153.024</v>
      </c>
      <c r="G11">
        <v>152.90899999999999</v>
      </c>
      <c r="H11">
        <v>153.261</v>
      </c>
      <c r="I11">
        <v>152.565</v>
      </c>
      <c r="J11">
        <v>152.602</v>
      </c>
      <c r="K11">
        <v>152.77799999999999</v>
      </c>
      <c r="L11" s="1"/>
      <c r="M11" s="1" t="str">
        <f t="shared" si="0"/>
        <v>SUP</v>
      </c>
      <c r="N11" s="1" t="str">
        <f t="shared" si="1"/>
        <v>SUP</v>
      </c>
      <c r="O11" s="1" t="str">
        <f t="shared" si="2"/>
        <v>RES</v>
      </c>
      <c r="P11" s="1" t="str">
        <f t="shared" si="3"/>
        <v>SUP</v>
      </c>
      <c r="Q11" s="1" t="str">
        <f t="shared" si="4"/>
        <v>SUP</v>
      </c>
      <c r="R11" s="1" t="str">
        <f t="shared" si="5"/>
        <v>SUP</v>
      </c>
      <c r="S11" s="1"/>
      <c r="T11" s="2">
        <f t="shared" si="6"/>
        <v>1</v>
      </c>
      <c r="U11" s="3">
        <f t="shared" si="7"/>
        <v>5</v>
      </c>
    </row>
    <row r="12" spans="1:21" x14ac:dyDescent="0.55000000000000004">
      <c r="A12">
        <v>8</v>
      </c>
      <c r="B12" t="s">
        <v>11</v>
      </c>
      <c r="C12" t="s">
        <v>4</v>
      </c>
      <c r="D12" t="s">
        <v>103</v>
      </c>
      <c r="E12">
        <v>152.999</v>
      </c>
      <c r="F12">
        <v>153.02099999999999</v>
      </c>
      <c r="G12">
        <v>152.90799999999999</v>
      </c>
      <c r="H12">
        <v>153.25899999999999</v>
      </c>
      <c r="I12">
        <v>152.565</v>
      </c>
      <c r="J12">
        <v>152.601</v>
      </c>
      <c r="K12">
        <v>152.779</v>
      </c>
      <c r="L12" s="1"/>
      <c r="M12" s="1" t="str">
        <f t="shared" si="0"/>
        <v>RES</v>
      </c>
      <c r="N12" s="1" t="str">
        <f t="shared" si="1"/>
        <v>SUP</v>
      </c>
      <c r="O12" s="1" t="str">
        <f t="shared" si="2"/>
        <v>RES</v>
      </c>
      <c r="P12" s="1" t="str">
        <f t="shared" si="3"/>
        <v>SUP</v>
      </c>
      <c r="Q12" s="1" t="str">
        <f t="shared" si="4"/>
        <v>SUP</v>
      </c>
      <c r="R12" s="1" t="str">
        <f t="shared" si="5"/>
        <v>SUP</v>
      </c>
      <c r="S12" s="1"/>
      <c r="T12" s="2">
        <f t="shared" si="6"/>
        <v>2</v>
      </c>
      <c r="U12" s="3">
        <f t="shared" si="7"/>
        <v>4</v>
      </c>
    </row>
    <row r="13" spans="1:21" x14ac:dyDescent="0.55000000000000004">
      <c r="A13">
        <v>9</v>
      </c>
      <c r="B13" t="s">
        <v>12</v>
      </c>
      <c r="C13" t="s">
        <v>4</v>
      </c>
      <c r="D13" t="s">
        <v>103</v>
      </c>
      <c r="E13">
        <v>152.999</v>
      </c>
      <c r="F13">
        <v>153.01900000000001</v>
      </c>
      <c r="G13">
        <v>152.90799999999999</v>
      </c>
      <c r="H13">
        <v>153.25800000000001</v>
      </c>
      <c r="I13">
        <v>152.566</v>
      </c>
      <c r="J13">
        <v>152.601</v>
      </c>
      <c r="K13">
        <v>152.78100000000001</v>
      </c>
      <c r="L13" s="1"/>
      <c r="M13" s="1" t="str">
        <f t="shared" si="0"/>
        <v>RES</v>
      </c>
      <c r="N13" s="1" t="str">
        <f t="shared" si="1"/>
        <v>SUP</v>
      </c>
      <c r="O13" s="1" t="str">
        <f t="shared" si="2"/>
        <v>RES</v>
      </c>
      <c r="P13" s="1" t="str">
        <f t="shared" si="3"/>
        <v>SUP</v>
      </c>
      <c r="Q13" s="1" t="str">
        <f t="shared" si="4"/>
        <v>SUP</v>
      </c>
      <c r="R13" s="1" t="str">
        <f t="shared" si="5"/>
        <v>SUP</v>
      </c>
      <c r="S13" s="1"/>
      <c r="T13" s="2">
        <f t="shared" si="6"/>
        <v>2</v>
      </c>
      <c r="U13" s="3">
        <f t="shared" si="7"/>
        <v>4</v>
      </c>
    </row>
    <row r="14" spans="1:21" x14ac:dyDescent="0.55000000000000004">
      <c r="A14">
        <v>10</v>
      </c>
      <c r="B14" t="s">
        <v>13</v>
      </c>
      <c r="C14" t="s">
        <v>4</v>
      </c>
      <c r="D14" t="s">
        <v>103</v>
      </c>
      <c r="E14">
        <v>152.89699999999999</v>
      </c>
      <c r="F14">
        <v>153.01599999999999</v>
      </c>
      <c r="G14">
        <v>152.90799999999999</v>
      </c>
      <c r="H14">
        <v>153.256</v>
      </c>
      <c r="I14">
        <v>152.56700000000001</v>
      </c>
      <c r="J14">
        <v>152.601</v>
      </c>
      <c r="K14">
        <v>152.78200000000001</v>
      </c>
      <c r="L14" s="1"/>
      <c r="M14" s="1" t="str">
        <f t="shared" si="0"/>
        <v>RES</v>
      </c>
      <c r="N14" s="1" t="str">
        <f t="shared" si="1"/>
        <v>RES</v>
      </c>
      <c r="O14" s="1" t="str">
        <f t="shared" si="2"/>
        <v>RES</v>
      </c>
      <c r="P14" s="1" t="str">
        <f t="shared" si="3"/>
        <v>SUP</v>
      </c>
      <c r="Q14" s="1" t="str">
        <f t="shared" si="4"/>
        <v>SUP</v>
      </c>
      <c r="R14" s="1" t="str">
        <f t="shared" si="5"/>
        <v>SUP</v>
      </c>
      <c r="S14" s="1"/>
      <c r="T14" s="2">
        <f t="shared" si="6"/>
        <v>3</v>
      </c>
      <c r="U14" s="3">
        <f t="shared" si="7"/>
        <v>3</v>
      </c>
    </row>
    <row r="15" spans="1:21" x14ac:dyDescent="0.55000000000000004">
      <c r="A15">
        <v>11</v>
      </c>
      <c r="B15" t="s">
        <v>14</v>
      </c>
      <c r="C15" t="s">
        <v>4</v>
      </c>
      <c r="D15" t="s">
        <v>103</v>
      </c>
      <c r="E15">
        <v>152.91</v>
      </c>
      <c r="F15">
        <v>153.01400000000001</v>
      </c>
      <c r="G15">
        <v>152.90700000000001</v>
      </c>
      <c r="H15">
        <v>153.255</v>
      </c>
      <c r="I15">
        <v>152.56800000000001</v>
      </c>
      <c r="J15">
        <v>152.601</v>
      </c>
      <c r="K15">
        <v>152.78399999999999</v>
      </c>
      <c r="L15" s="1"/>
      <c r="M15" s="1" t="str">
        <f t="shared" si="0"/>
        <v>RES</v>
      </c>
      <c r="N15" s="1" t="str">
        <f t="shared" si="1"/>
        <v>SUP</v>
      </c>
      <c r="O15" s="1" t="str">
        <f t="shared" si="2"/>
        <v>RES</v>
      </c>
      <c r="P15" s="1" t="str">
        <f t="shared" si="3"/>
        <v>SUP</v>
      </c>
      <c r="Q15" s="1" t="str">
        <f t="shared" si="4"/>
        <v>SUP</v>
      </c>
      <c r="R15" s="1" t="str">
        <f t="shared" si="5"/>
        <v>SUP</v>
      </c>
      <c r="S15" s="1"/>
      <c r="T15" s="2">
        <f t="shared" si="6"/>
        <v>2</v>
      </c>
      <c r="U15" s="3">
        <f t="shared" si="7"/>
        <v>4</v>
      </c>
    </row>
    <row r="16" spans="1:21" x14ac:dyDescent="0.55000000000000004">
      <c r="A16">
        <v>12</v>
      </c>
      <c r="B16" t="s">
        <v>15</v>
      </c>
      <c r="C16" t="s">
        <v>4</v>
      </c>
      <c r="D16" t="s">
        <v>103</v>
      </c>
      <c r="E16">
        <v>152.87700000000001</v>
      </c>
      <c r="F16">
        <v>153.012</v>
      </c>
      <c r="G16">
        <v>152.90700000000001</v>
      </c>
      <c r="H16">
        <v>153.25299999999999</v>
      </c>
      <c r="I16">
        <v>152.56899999999999</v>
      </c>
      <c r="J16">
        <v>152.6</v>
      </c>
      <c r="K16">
        <v>152.785</v>
      </c>
      <c r="L16" s="1"/>
      <c r="M16" s="1" t="str">
        <f t="shared" si="0"/>
        <v>RES</v>
      </c>
      <c r="N16" s="1" t="str">
        <f t="shared" si="1"/>
        <v>RES</v>
      </c>
      <c r="O16" s="1" t="str">
        <f t="shared" si="2"/>
        <v>RES</v>
      </c>
      <c r="P16" s="1" t="str">
        <f t="shared" si="3"/>
        <v>SUP</v>
      </c>
      <c r="Q16" s="1" t="str">
        <f t="shared" si="4"/>
        <v>SUP</v>
      </c>
      <c r="R16" s="1" t="str">
        <f t="shared" si="5"/>
        <v>SUP</v>
      </c>
      <c r="S16" s="1"/>
      <c r="T16" s="2">
        <f t="shared" si="6"/>
        <v>3</v>
      </c>
      <c r="U16" s="3">
        <f t="shared" si="7"/>
        <v>3</v>
      </c>
    </row>
    <row r="17" spans="1:21" x14ac:dyDescent="0.55000000000000004">
      <c r="A17">
        <v>13</v>
      </c>
      <c r="B17" t="s">
        <v>16</v>
      </c>
      <c r="C17" t="s">
        <v>4</v>
      </c>
      <c r="D17" t="s">
        <v>103</v>
      </c>
      <c r="E17">
        <v>152.96600000000001</v>
      </c>
      <c r="F17">
        <v>153.00899999999999</v>
      </c>
      <c r="G17">
        <v>152.90700000000001</v>
      </c>
      <c r="H17">
        <v>153.251</v>
      </c>
      <c r="I17">
        <v>152.56899999999999</v>
      </c>
      <c r="J17">
        <v>152.6</v>
      </c>
      <c r="K17">
        <v>152.78700000000001</v>
      </c>
      <c r="L17" s="1"/>
      <c r="M17" s="1" t="str">
        <f t="shared" si="0"/>
        <v>RES</v>
      </c>
      <c r="N17" s="1" t="str">
        <f t="shared" si="1"/>
        <v>SUP</v>
      </c>
      <c r="O17" s="1" t="str">
        <f t="shared" si="2"/>
        <v>RES</v>
      </c>
      <c r="P17" s="1" t="str">
        <f t="shared" si="3"/>
        <v>SUP</v>
      </c>
      <c r="Q17" s="1" t="str">
        <f t="shared" si="4"/>
        <v>SUP</v>
      </c>
      <c r="R17" s="1" t="str">
        <f t="shared" si="5"/>
        <v>SUP</v>
      </c>
      <c r="S17" s="1"/>
      <c r="T17" s="2">
        <f t="shared" si="6"/>
        <v>2</v>
      </c>
      <c r="U17" s="3">
        <f t="shared" si="7"/>
        <v>4</v>
      </c>
    </row>
    <row r="18" spans="1:21" x14ac:dyDescent="0.55000000000000004">
      <c r="A18">
        <v>14</v>
      </c>
      <c r="B18" t="s">
        <v>17</v>
      </c>
      <c r="C18" t="s">
        <v>4</v>
      </c>
      <c r="D18" t="s">
        <v>103</v>
      </c>
      <c r="E18">
        <v>153.02000000000001</v>
      </c>
      <c r="F18">
        <v>153.00700000000001</v>
      </c>
      <c r="G18">
        <v>152.90600000000001</v>
      </c>
      <c r="H18">
        <v>153.25</v>
      </c>
      <c r="I18">
        <v>152.57</v>
      </c>
      <c r="J18">
        <v>152.6</v>
      </c>
      <c r="K18">
        <v>152.78899999999999</v>
      </c>
      <c r="L18" s="1"/>
      <c r="M18" s="1" t="str">
        <f t="shared" si="0"/>
        <v>SUP</v>
      </c>
      <c r="N18" s="1" t="str">
        <f t="shared" si="1"/>
        <v>SUP</v>
      </c>
      <c r="O18" s="1" t="str">
        <f t="shared" si="2"/>
        <v>RES</v>
      </c>
      <c r="P18" s="1" t="str">
        <f t="shared" si="3"/>
        <v>SUP</v>
      </c>
      <c r="Q18" s="1" t="str">
        <f t="shared" si="4"/>
        <v>SUP</v>
      </c>
      <c r="R18" s="1" t="str">
        <f t="shared" si="5"/>
        <v>SUP</v>
      </c>
      <c r="S18" s="1"/>
      <c r="T18" s="2">
        <f t="shared" si="6"/>
        <v>1</v>
      </c>
      <c r="U18" s="3">
        <f t="shared" si="7"/>
        <v>5</v>
      </c>
    </row>
    <row r="19" spans="1:21" x14ac:dyDescent="0.55000000000000004">
      <c r="A19">
        <v>15</v>
      </c>
      <c r="B19" t="s">
        <v>18</v>
      </c>
      <c r="C19" t="s">
        <v>4</v>
      </c>
      <c r="D19" t="s">
        <v>103</v>
      </c>
      <c r="E19">
        <v>153.04900000000001</v>
      </c>
      <c r="F19">
        <v>153.00399999999999</v>
      </c>
      <c r="G19">
        <v>152.90600000000001</v>
      </c>
      <c r="H19">
        <v>153.24799999999999</v>
      </c>
      <c r="I19">
        <v>152.571</v>
      </c>
      <c r="J19">
        <v>152.6</v>
      </c>
      <c r="K19">
        <v>152.79</v>
      </c>
      <c r="L19" s="1"/>
      <c r="M19" s="1" t="str">
        <f t="shared" si="0"/>
        <v>SUP</v>
      </c>
      <c r="N19" s="1" t="str">
        <f t="shared" si="1"/>
        <v>SUP</v>
      </c>
      <c r="O19" s="1" t="str">
        <f t="shared" si="2"/>
        <v>RES</v>
      </c>
      <c r="P19" s="1" t="str">
        <f t="shared" si="3"/>
        <v>SUP</v>
      </c>
      <c r="Q19" s="1" t="str">
        <f t="shared" si="4"/>
        <v>SUP</v>
      </c>
      <c r="R19" s="1" t="str">
        <f t="shared" si="5"/>
        <v>SUP</v>
      </c>
      <c r="S19" s="1"/>
      <c r="T19" s="2">
        <f t="shared" si="6"/>
        <v>1</v>
      </c>
      <c r="U19" s="3">
        <f t="shared" si="7"/>
        <v>5</v>
      </c>
    </row>
    <row r="20" spans="1:21" x14ac:dyDescent="0.55000000000000004">
      <c r="A20">
        <v>16</v>
      </c>
      <c r="B20" t="s">
        <v>19</v>
      </c>
      <c r="C20" t="s">
        <v>4</v>
      </c>
      <c r="D20" t="s">
        <v>103</v>
      </c>
      <c r="E20">
        <v>153.04499999999999</v>
      </c>
      <c r="F20">
        <v>153.00200000000001</v>
      </c>
      <c r="G20">
        <v>152.905</v>
      </c>
      <c r="H20">
        <v>153.24600000000001</v>
      </c>
      <c r="I20">
        <v>152.572</v>
      </c>
      <c r="J20">
        <v>152.59899999999999</v>
      </c>
      <c r="K20">
        <v>152.792</v>
      </c>
      <c r="L20" s="1"/>
      <c r="M20" s="1" t="str">
        <f t="shared" si="0"/>
        <v>SUP</v>
      </c>
      <c r="N20" s="1" t="str">
        <f t="shared" si="1"/>
        <v>SUP</v>
      </c>
      <c r="O20" s="1" t="str">
        <f t="shared" si="2"/>
        <v>RES</v>
      </c>
      <c r="P20" s="1" t="str">
        <f t="shared" si="3"/>
        <v>SUP</v>
      </c>
      <c r="Q20" s="1" t="str">
        <f t="shared" si="4"/>
        <v>SUP</v>
      </c>
      <c r="R20" s="1" t="str">
        <f t="shared" si="5"/>
        <v>SUP</v>
      </c>
      <c r="S20" s="1"/>
      <c r="T20" s="2">
        <f t="shared" si="6"/>
        <v>1</v>
      </c>
      <c r="U20" s="3">
        <f t="shared" si="7"/>
        <v>5</v>
      </c>
    </row>
    <row r="21" spans="1:21" x14ac:dyDescent="0.55000000000000004">
      <c r="A21">
        <v>17</v>
      </c>
      <c r="B21" t="s">
        <v>20</v>
      </c>
      <c r="C21" t="s">
        <v>4</v>
      </c>
      <c r="D21" t="s">
        <v>103</v>
      </c>
      <c r="E21">
        <v>152.96199999999999</v>
      </c>
      <c r="F21">
        <v>152.999</v>
      </c>
      <c r="G21">
        <v>152.905</v>
      </c>
      <c r="H21">
        <v>153.245</v>
      </c>
      <c r="I21">
        <v>152.572</v>
      </c>
      <c r="J21">
        <v>152.59899999999999</v>
      </c>
      <c r="K21">
        <v>152.79300000000001</v>
      </c>
      <c r="L21" s="1"/>
      <c r="M21" s="1" t="str">
        <f t="shared" si="0"/>
        <v>RES</v>
      </c>
      <c r="N21" s="1" t="str">
        <f t="shared" si="1"/>
        <v>SUP</v>
      </c>
      <c r="O21" s="1" t="str">
        <f t="shared" si="2"/>
        <v>RES</v>
      </c>
      <c r="P21" s="1" t="str">
        <f t="shared" si="3"/>
        <v>SUP</v>
      </c>
      <c r="Q21" s="1" t="str">
        <f t="shared" si="4"/>
        <v>SUP</v>
      </c>
      <c r="R21" s="1" t="str">
        <f t="shared" si="5"/>
        <v>SUP</v>
      </c>
      <c r="S21" s="1"/>
      <c r="T21" s="2">
        <f t="shared" si="6"/>
        <v>2</v>
      </c>
      <c r="U21" s="3">
        <f t="shared" si="7"/>
        <v>4</v>
      </c>
    </row>
    <row r="22" spans="1:21" x14ac:dyDescent="0.55000000000000004">
      <c r="A22">
        <v>18</v>
      </c>
      <c r="B22" t="s">
        <v>21</v>
      </c>
      <c r="C22" t="s">
        <v>4</v>
      </c>
      <c r="D22" t="s">
        <v>103</v>
      </c>
      <c r="E22">
        <v>153.04599999999999</v>
      </c>
      <c r="F22">
        <v>152.99700000000001</v>
      </c>
      <c r="G22">
        <v>152.905</v>
      </c>
      <c r="H22">
        <v>153.24299999999999</v>
      </c>
      <c r="I22">
        <v>152.57300000000001</v>
      </c>
      <c r="J22">
        <v>152.59899999999999</v>
      </c>
      <c r="K22">
        <v>152.79499999999999</v>
      </c>
      <c r="L22" s="1"/>
      <c r="M22" s="1" t="str">
        <f t="shared" si="0"/>
        <v>SUP</v>
      </c>
      <c r="N22" s="1" t="str">
        <f t="shared" si="1"/>
        <v>SUP</v>
      </c>
      <c r="O22" s="1" t="str">
        <f t="shared" si="2"/>
        <v>RES</v>
      </c>
      <c r="P22" s="1" t="str">
        <f t="shared" si="3"/>
        <v>SUP</v>
      </c>
      <c r="Q22" s="1" t="str">
        <f t="shared" si="4"/>
        <v>SUP</v>
      </c>
      <c r="R22" s="1" t="str">
        <f t="shared" si="5"/>
        <v>SUP</v>
      </c>
      <c r="S22" s="1"/>
      <c r="T22" s="2">
        <f t="shared" si="6"/>
        <v>1</v>
      </c>
      <c r="U22" s="3">
        <f t="shared" si="7"/>
        <v>5</v>
      </c>
    </row>
    <row r="23" spans="1:21" x14ac:dyDescent="0.55000000000000004">
      <c r="A23">
        <v>19</v>
      </c>
      <c r="B23" t="s">
        <v>22</v>
      </c>
      <c r="C23" t="s">
        <v>4</v>
      </c>
      <c r="D23" t="s">
        <v>103</v>
      </c>
      <c r="E23">
        <v>153.04599999999999</v>
      </c>
      <c r="F23">
        <v>152.995</v>
      </c>
      <c r="G23">
        <v>152.904</v>
      </c>
      <c r="H23">
        <v>153.24100000000001</v>
      </c>
      <c r="I23">
        <v>152.57400000000001</v>
      </c>
      <c r="J23">
        <v>152.59899999999999</v>
      </c>
      <c r="K23">
        <v>152.79599999999999</v>
      </c>
      <c r="L23" s="1"/>
      <c r="M23" s="1" t="str">
        <f t="shared" si="0"/>
        <v>SUP</v>
      </c>
      <c r="N23" s="1" t="str">
        <f t="shared" si="1"/>
        <v>SUP</v>
      </c>
      <c r="O23" s="1" t="str">
        <f t="shared" si="2"/>
        <v>RES</v>
      </c>
      <c r="P23" s="1" t="str">
        <f t="shared" si="3"/>
        <v>SUP</v>
      </c>
      <c r="Q23" s="1" t="str">
        <f t="shared" si="4"/>
        <v>SUP</v>
      </c>
      <c r="R23" s="1" t="str">
        <f t="shared" si="5"/>
        <v>SUP</v>
      </c>
      <c r="S23" s="1"/>
      <c r="T23" s="2">
        <f t="shared" si="6"/>
        <v>1</v>
      </c>
      <c r="U23" s="3">
        <f t="shared" si="7"/>
        <v>5</v>
      </c>
    </row>
    <row r="24" spans="1:21" x14ac:dyDescent="0.55000000000000004">
      <c r="A24">
        <v>20</v>
      </c>
      <c r="B24" t="s">
        <v>23</v>
      </c>
      <c r="C24" t="s">
        <v>4</v>
      </c>
      <c r="D24" t="s">
        <v>103</v>
      </c>
      <c r="E24">
        <v>153.09</v>
      </c>
      <c r="F24">
        <v>152.99199999999999</v>
      </c>
      <c r="G24">
        <v>152.904</v>
      </c>
      <c r="H24">
        <v>153.24</v>
      </c>
      <c r="I24">
        <v>152.57499999999999</v>
      </c>
      <c r="J24">
        <v>152.59899999999999</v>
      </c>
      <c r="K24">
        <v>152.798</v>
      </c>
      <c r="L24" s="1"/>
      <c r="M24" s="1" t="str">
        <f t="shared" si="0"/>
        <v>SUP</v>
      </c>
      <c r="N24" s="1" t="str">
        <f t="shared" si="1"/>
        <v>SUP</v>
      </c>
      <c r="O24" s="1" t="str">
        <f t="shared" si="2"/>
        <v>RES</v>
      </c>
      <c r="P24" s="1" t="str">
        <f t="shared" si="3"/>
        <v>SUP</v>
      </c>
      <c r="Q24" s="1" t="str">
        <f t="shared" si="4"/>
        <v>SUP</v>
      </c>
      <c r="R24" s="1" t="str">
        <f t="shared" si="5"/>
        <v>SUP</v>
      </c>
      <c r="S24" s="1"/>
      <c r="T24" s="2">
        <f t="shared" si="6"/>
        <v>1</v>
      </c>
      <c r="U24" s="3">
        <f t="shared" si="7"/>
        <v>5</v>
      </c>
    </row>
    <row r="25" spans="1:21" x14ac:dyDescent="0.55000000000000004">
      <c r="A25">
        <v>21</v>
      </c>
      <c r="B25" t="s">
        <v>24</v>
      </c>
      <c r="C25" t="s">
        <v>4</v>
      </c>
      <c r="D25" t="s">
        <v>103</v>
      </c>
      <c r="E25">
        <v>153.001</v>
      </c>
      <c r="F25">
        <v>152.99</v>
      </c>
      <c r="G25">
        <v>152.904</v>
      </c>
      <c r="H25">
        <v>153.238</v>
      </c>
      <c r="I25">
        <v>152.57499999999999</v>
      </c>
      <c r="J25">
        <v>152.59800000000001</v>
      </c>
      <c r="K25">
        <v>152.80000000000001</v>
      </c>
      <c r="L25" s="1"/>
      <c r="M25" s="1" t="str">
        <f t="shared" si="0"/>
        <v>SUP</v>
      </c>
      <c r="N25" s="1" t="str">
        <f t="shared" si="1"/>
        <v>SUP</v>
      </c>
      <c r="O25" s="1" t="str">
        <f t="shared" si="2"/>
        <v>RES</v>
      </c>
      <c r="P25" s="1" t="str">
        <f t="shared" si="3"/>
        <v>SUP</v>
      </c>
      <c r="Q25" s="1" t="str">
        <f t="shared" si="4"/>
        <v>SUP</v>
      </c>
      <c r="R25" s="1" t="str">
        <f t="shared" si="5"/>
        <v>SUP</v>
      </c>
      <c r="S25" s="1"/>
      <c r="T25" s="2">
        <f t="shared" si="6"/>
        <v>1</v>
      </c>
      <c r="U25" s="3">
        <f t="shared" si="7"/>
        <v>5</v>
      </c>
    </row>
    <row r="26" spans="1:21" x14ac:dyDescent="0.55000000000000004">
      <c r="A26">
        <v>22</v>
      </c>
      <c r="B26" t="s">
        <v>25</v>
      </c>
      <c r="C26" t="s">
        <v>4</v>
      </c>
      <c r="D26" t="s">
        <v>103</v>
      </c>
      <c r="E26">
        <v>153.036</v>
      </c>
      <c r="F26">
        <v>152.98699999999999</v>
      </c>
      <c r="G26">
        <v>152.90299999999999</v>
      </c>
      <c r="H26">
        <v>153.23599999999999</v>
      </c>
      <c r="I26">
        <v>152.57599999999999</v>
      </c>
      <c r="J26">
        <v>152.59800000000001</v>
      </c>
      <c r="K26">
        <v>152.80099999999999</v>
      </c>
      <c r="L26" s="1"/>
      <c r="M26" s="1" t="str">
        <f t="shared" si="0"/>
        <v>SUP</v>
      </c>
      <c r="N26" s="1" t="str">
        <f t="shared" si="1"/>
        <v>SUP</v>
      </c>
      <c r="O26" s="1" t="str">
        <f t="shared" si="2"/>
        <v>RES</v>
      </c>
      <c r="P26" s="1" t="str">
        <f t="shared" si="3"/>
        <v>SUP</v>
      </c>
      <c r="Q26" s="1" t="str">
        <f t="shared" si="4"/>
        <v>SUP</v>
      </c>
      <c r="R26" s="1" t="str">
        <f t="shared" si="5"/>
        <v>SUP</v>
      </c>
      <c r="S26" s="1"/>
      <c r="T26" s="2">
        <f t="shared" si="6"/>
        <v>1</v>
      </c>
      <c r="U26" s="3">
        <f t="shared" si="7"/>
        <v>5</v>
      </c>
    </row>
    <row r="27" spans="1:21" x14ac:dyDescent="0.55000000000000004">
      <c r="A27">
        <v>23</v>
      </c>
      <c r="B27" t="s">
        <v>26</v>
      </c>
      <c r="C27" t="s">
        <v>4</v>
      </c>
      <c r="D27" t="s">
        <v>103</v>
      </c>
      <c r="E27">
        <v>153.07499999999999</v>
      </c>
      <c r="F27">
        <v>152.98500000000001</v>
      </c>
      <c r="G27">
        <v>152.90299999999999</v>
      </c>
      <c r="H27">
        <v>153.23500000000001</v>
      </c>
      <c r="I27">
        <v>152.577</v>
      </c>
      <c r="J27">
        <v>152.59800000000001</v>
      </c>
      <c r="K27">
        <v>152.803</v>
      </c>
      <c r="L27" s="1"/>
      <c r="M27" s="1" t="str">
        <f t="shared" si="0"/>
        <v>SUP</v>
      </c>
      <c r="N27" s="1" t="str">
        <f t="shared" si="1"/>
        <v>SUP</v>
      </c>
      <c r="O27" s="1" t="str">
        <f t="shared" si="2"/>
        <v>RES</v>
      </c>
      <c r="P27" s="1" t="str">
        <f t="shared" si="3"/>
        <v>SUP</v>
      </c>
      <c r="Q27" s="1" t="str">
        <f t="shared" si="4"/>
        <v>SUP</v>
      </c>
      <c r="R27" s="1" t="str">
        <f t="shared" si="5"/>
        <v>SUP</v>
      </c>
      <c r="S27" s="1"/>
      <c r="T27" s="2">
        <f t="shared" si="6"/>
        <v>1</v>
      </c>
      <c r="U27" s="3">
        <f t="shared" si="7"/>
        <v>5</v>
      </c>
    </row>
    <row r="28" spans="1:21" x14ac:dyDescent="0.55000000000000004">
      <c r="A28">
        <v>24</v>
      </c>
      <c r="B28" t="s">
        <v>27</v>
      </c>
      <c r="C28" t="s">
        <v>4</v>
      </c>
      <c r="D28" t="s">
        <v>103</v>
      </c>
      <c r="E28">
        <v>153.072</v>
      </c>
      <c r="F28">
        <v>152.983</v>
      </c>
      <c r="G28">
        <v>152.90299999999999</v>
      </c>
      <c r="H28">
        <v>153.233</v>
      </c>
      <c r="I28">
        <v>152.578</v>
      </c>
      <c r="J28">
        <v>152.59800000000001</v>
      </c>
      <c r="K28">
        <v>152.804</v>
      </c>
      <c r="L28" s="1"/>
      <c r="M28" s="1" t="str">
        <f t="shared" si="0"/>
        <v>SUP</v>
      </c>
      <c r="N28" s="1" t="str">
        <f t="shared" si="1"/>
        <v>SUP</v>
      </c>
      <c r="O28" s="1" t="str">
        <f t="shared" si="2"/>
        <v>RES</v>
      </c>
      <c r="P28" s="1" t="str">
        <f t="shared" si="3"/>
        <v>SUP</v>
      </c>
      <c r="Q28" s="1" t="str">
        <f t="shared" si="4"/>
        <v>SUP</v>
      </c>
      <c r="R28" s="1" t="str">
        <f t="shared" si="5"/>
        <v>SUP</v>
      </c>
      <c r="S28" s="1"/>
      <c r="T28" s="2">
        <f t="shared" si="6"/>
        <v>1</v>
      </c>
      <c r="U28" s="3">
        <f t="shared" si="7"/>
        <v>5</v>
      </c>
    </row>
    <row r="29" spans="1:21" x14ac:dyDescent="0.55000000000000004">
      <c r="A29">
        <v>25</v>
      </c>
      <c r="B29" t="s">
        <v>28</v>
      </c>
      <c r="C29" t="s">
        <v>4</v>
      </c>
      <c r="D29" t="s">
        <v>103</v>
      </c>
      <c r="E29">
        <v>152.95099999999999</v>
      </c>
      <c r="F29">
        <v>152.97999999999999</v>
      </c>
      <c r="G29">
        <v>152.90199999999999</v>
      </c>
      <c r="H29">
        <v>153.232</v>
      </c>
      <c r="I29">
        <v>152.578</v>
      </c>
      <c r="J29">
        <v>152.59700000000001</v>
      </c>
      <c r="K29">
        <v>152.80600000000001</v>
      </c>
      <c r="L29" s="1"/>
      <c r="M29" s="1" t="str">
        <f t="shared" si="0"/>
        <v>RES</v>
      </c>
      <c r="N29" s="1" t="str">
        <f t="shared" si="1"/>
        <v>SUP</v>
      </c>
      <c r="O29" s="1" t="str">
        <f t="shared" si="2"/>
        <v>RES</v>
      </c>
      <c r="P29" s="1" t="str">
        <f t="shared" si="3"/>
        <v>SUP</v>
      </c>
      <c r="Q29" s="1" t="str">
        <f t="shared" si="4"/>
        <v>SUP</v>
      </c>
      <c r="R29" s="1" t="str">
        <f t="shared" si="5"/>
        <v>SUP</v>
      </c>
      <c r="S29" s="1"/>
      <c r="T29" s="2">
        <f t="shared" si="6"/>
        <v>2</v>
      </c>
      <c r="U29" s="3">
        <f t="shared" si="7"/>
        <v>4</v>
      </c>
    </row>
    <row r="30" spans="1:21" x14ac:dyDescent="0.55000000000000004">
      <c r="A30">
        <v>26</v>
      </c>
      <c r="B30" t="s">
        <v>29</v>
      </c>
      <c r="C30" t="s">
        <v>4</v>
      </c>
      <c r="D30" t="s">
        <v>103</v>
      </c>
      <c r="E30">
        <v>152.94800000000001</v>
      </c>
      <c r="F30">
        <v>152.97800000000001</v>
      </c>
      <c r="G30">
        <v>152.90199999999999</v>
      </c>
      <c r="H30">
        <v>153.22999999999999</v>
      </c>
      <c r="I30">
        <v>152.57900000000001</v>
      </c>
      <c r="J30">
        <v>152.59700000000001</v>
      </c>
      <c r="K30">
        <v>152.80799999999999</v>
      </c>
      <c r="L30" s="1"/>
      <c r="M30" s="1" t="str">
        <f t="shared" si="0"/>
        <v>RES</v>
      </c>
      <c r="N30" s="1" t="str">
        <f t="shared" si="1"/>
        <v>SUP</v>
      </c>
      <c r="O30" s="1" t="str">
        <f t="shared" si="2"/>
        <v>RES</v>
      </c>
      <c r="P30" s="1" t="str">
        <f t="shared" si="3"/>
        <v>SUP</v>
      </c>
      <c r="Q30" s="1" t="str">
        <f t="shared" si="4"/>
        <v>SUP</v>
      </c>
      <c r="R30" s="1" t="str">
        <f t="shared" si="5"/>
        <v>SUP</v>
      </c>
      <c r="S30" s="1"/>
      <c r="T30" s="2">
        <f t="shared" si="6"/>
        <v>2</v>
      </c>
      <c r="U30" s="3">
        <f t="shared" si="7"/>
        <v>4</v>
      </c>
    </row>
    <row r="31" spans="1:21" x14ac:dyDescent="0.55000000000000004">
      <c r="A31">
        <v>27</v>
      </c>
      <c r="B31" t="s">
        <v>30</v>
      </c>
      <c r="C31" t="s">
        <v>4</v>
      </c>
      <c r="D31" t="s">
        <v>103</v>
      </c>
      <c r="E31">
        <v>153.006</v>
      </c>
      <c r="F31">
        <v>152.97499999999999</v>
      </c>
      <c r="G31">
        <v>152.90100000000001</v>
      </c>
      <c r="H31">
        <v>153.22800000000001</v>
      </c>
      <c r="I31">
        <v>152.58000000000001</v>
      </c>
      <c r="J31">
        <v>152.59700000000001</v>
      </c>
      <c r="K31">
        <v>152.809</v>
      </c>
      <c r="L31" s="1"/>
      <c r="M31" s="1" t="str">
        <f t="shared" si="0"/>
        <v>SUP</v>
      </c>
      <c r="N31" s="1" t="str">
        <f t="shared" si="1"/>
        <v>SUP</v>
      </c>
      <c r="O31" s="1" t="str">
        <f t="shared" si="2"/>
        <v>RES</v>
      </c>
      <c r="P31" s="1" t="str">
        <f t="shared" si="3"/>
        <v>SUP</v>
      </c>
      <c r="Q31" s="1" t="str">
        <f t="shared" si="4"/>
        <v>SUP</v>
      </c>
      <c r="R31" s="1" t="str">
        <f t="shared" si="5"/>
        <v>SUP</v>
      </c>
      <c r="S31" s="1"/>
      <c r="T31" s="2">
        <f t="shared" si="6"/>
        <v>1</v>
      </c>
      <c r="U31" s="3">
        <f t="shared" si="7"/>
        <v>5</v>
      </c>
    </row>
    <row r="32" spans="1:21" x14ac:dyDescent="0.55000000000000004">
      <c r="A32">
        <v>28</v>
      </c>
      <c r="B32" t="s">
        <v>31</v>
      </c>
      <c r="C32" t="s">
        <v>4</v>
      </c>
      <c r="D32" t="s">
        <v>103</v>
      </c>
      <c r="E32">
        <v>153.13200000000001</v>
      </c>
      <c r="F32">
        <v>152.97300000000001</v>
      </c>
      <c r="G32">
        <v>152.90100000000001</v>
      </c>
      <c r="H32">
        <v>153.227</v>
      </c>
      <c r="I32">
        <v>152.58099999999999</v>
      </c>
      <c r="J32">
        <v>152.59700000000001</v>
      </c>
      <c r="K32">
        <v>152.81100000000001</v>
      </c>
      <c r="L32" s="1"/>
      <c r="M32" s="1" t="str">
        <f t="shared" si="0"/>
        <v>SUP</v>
      </c>
      <c r="N32" s="1" t="str">
        <f t="shared" si="1"/>
        <v>SUP</v>
      </c>
      <c r="O32" s="1" t="str">
        <f t="shared" si="2"/>
        <v>RES</v>
      </c>
      <c r="P32" s="1" t="str">
        <f t="shared" si="3"/>
        <v>SUP</v>
      </c>
      <c r="Q32" s="1" t="str">
        <f t="shared" si="4"/>
        <v>SUP</v>
      </c>
      <c r="R32" s="1" t="str">
        <f t="shared" si="5"/>
        <v>SUP</v>
      </c>
      <c r="S32" s="1"/>
      <c r="T32" s="2">
        <f t="shared" si="6"/>
        <v>1</v>
      </c>
      <c r="U32" s="3">
        <f t="shared" si="7"/>
        <v>5</v>
      </c>
    </row>
    <row r="33" spans="1:21" x14ac:dyDescent="0.55000000000000004">
      <c r="A33">
        <v>29</v>
      </c>
      <c r="B33" t="s">
        <v>32</v>
      </c>
      <c r="C33" t="s">
        <v>4</v>
      </c>
      <c r="D33" t="s">
        <v>103</v>
      </c>
      <c r="E33">
        <v>153.16499999999999</v>
      </c>
      <c r="F33">
        <v>152.97</v>
      </c>
      <c r="G33">
        <v>152.90100000000001</v>
      </c>
      <c r="H33">
        <v>153.22499999999999</v>
      </c>
      <c r="I33">
        <v>152.58199999999999</v>
      </c>
      <c r="J33">
        <v>152.596</v>
      </c>
      <c r="K33">
        <v>152.81200000000001</v>
      </c>
      <c r="L33" s="1"/>
      <c r="M33" s="1" t="str">
        <f t="shared" si="0"/>
        <v>SUP</v>
      </c>
      <c r="N33" s="1" t="str">
        <f t="shared" si="1"/>
        <v>SUP</v>
      </c>
      <c r="O33" s="1" t="str">
        <f t="shared" si="2"/>
        <v>RES</v>
      </c>
      <c r="P33" s="1" t="str">
        <f t="shared" si="3"/>
        <v>SUP</v>
      </c>
      <c r="Q33" s="1" t="str">
        <f t="shared" si="4"/>
        <v>SUP</v>
      </c>
      <c r="R33" s="1" t="str">
        <f t="shared" si="5"/>
        <v>SUP</v>
      </c>
      <c r="S33" s="1"/>
      <c r="T33" s="2">
        <f t="shared" si="6"/>
        <v>1</v>
      </c>
      <c r="U33" s="3">
        <f t="shared" si="7"/>
        <v>5</v>
      </c>
    </row>
    <row r="34" spans="1:21" x14ac:dyDescent="0.55000000000000004">
      <c r="A34">
        <v>30</v>
      </c>
      <c r="B34" t="s">
        <v>33</v>
      </c>
      <c r="C34" t="s">
        <v>4</v>
      </c>
      <c r="D34" t="s">
        <v>103</v>
      </c>
      <c r="E34">
        <v>153.161</v>
      </c>
      <c r="F34">
        <v>152.96799999999999</v>
      </c>
      <c r="G34">
        <v>152.9</v>
      </c>
      <c r="H34">
        <v>153.22300000000001</v>
      </c>
      <c r="I34">
        <v>152.58199999999999</v>
      </c>
      <c r="J34">
        <v>152.596</v>
      </c>
      <c r="K34">
        <v>152.81399999999999</v>
      </c>
      <c r="L34" s="1"/>
      <c r="M34" s="1" t="str">
        <f t="shared" si="0"/>
        <v>SUP</v>
      </c>
      <c r="N34" s="1" t="str">
        <f t="shared" si="1"/>
        <v>SUP</v>
      </c>
      <c r="O34" s="1" t="str">
        <f t="shared" si="2"/>
        <v>RES</v>
      </c>
      <c r="P34" s="1" t="str">
        <f t="shared" si="3"/>
        <v>SUP</v>
      </c>
      <c r="Q34" s="1" t="str">
        <f t="shared" si="4"/>
        <v>SUP</v>
      </c>
      <c r="R34" s="1" t="str">
        <f t="shared" si="5"/>
        <v>SUP</v>
      </c>
      <c r="S34" s="1"/>
      <c r="T34" s="2">
        <f t="shared" si="6"/>
        <v>1</v>
      </c>
      <c r="U34" s="3">
        <f t="shared" si="7"/>
        <v>5</v>
      </c>
    </row>
    <row r="35" spans="1:21" x14ac:dyDescent="0.55000000000000004">
      <c r="A35" s="4">
        <v>31</v>
      </c>
      <c r="B35" s="4" t="s">
        <v>34</v>
      </c>
      <c r="C35" s="4" t="s">
        <v>4</v>
      </c>
      <c r="D35" s="4" t="s">
        <v>103</v>
      </c>
      <c r="E35" s="4">
        <v>153.053</v>
      </c>
      <c r="F35" s="4">
        <v>152.96600000000001</v>
      </c>
      <c r="G35" s="4">
        <v>152.9</v>
      </c>
      <c r="H35" s="4">
        <v>153.22200000000001</v>
      </c>
      <c r="I35" s="4">
        <v>152.583</v>
      </c>
      <c r="J35" s="4">
        <v>152.596</v>
      </c>
      <c r="K35" s="4">
        <v>152.815</v>
      </c>
      <c r="L35" s="5"/>
      <c r="M35" s="5" t="str">
        <f t="shared" si="0"/>
        <v>SUP</v>
      </c>
      <c r="N35" s="5" t="str">
        <f t="shared" si="1"/>
        <v>SUP</v>
      </c>
      <c r="O35" s="5" t="str">
        <f t="shared" si="2"/>
        <v>RES</v>
      </c>
      <c r="P35" s="5" t="str">
        <f t="shared" si="3"/>
        <v>SUP</v>
      </c>
      <c r="Q35" s="5" t="str">
        <f t="shared" si="4"/>
        <v>SUP</v>
      </c>
      <c r="R35" s="5" t="str">
        <f t="shared" si="5"/>
        <v>SUP</v>
      </c>
      <c r="S35" s="5"/>
      <c r="T35" s="6">
        <f t="shared" si="6"/>
        <v>1</v>
      </c>
      <c r="U35" s="7">
        <f t="shared" si="7"/>
        <v>5</v>
      </c>
    </row>
    <row r="36" spans="1:21" x14ac:dyDescent="0.55000000000000004">
      <c r="A36" s="4">
        <v>32</v>
      </c>
      <c r="B36" s="4" t="s">
        <v>35</v>
      </c>
      <c r="C36" s="4" t="s">
        <v>4</v>
      </c>
      <c r="D36" s="4" t="s">
        <v>103</v>
      </c>
      <c r="E36" s="4">
        <v>153.05699999999999</v>
      </c>
      <c r="F36" s="4">
        <v>152.96299999999999</v>
      </c>
      <c r="G36" s="4">
        <v>152.9</v>
      </c>
      <c r="H36" s="4">
        <v>153.22</v>
      </c>
      <c r="I36" s="4">
        <v>152.584</v>
      </c>
      <c r="J36" s="4">
        <v>152.596</v>
      </c>
      <c r="K36" s="4">
        <v>152.81700000000001</v>
      </c>
      <c r="L36" s="5"/>
      <c r="M36" s="5" t="str">
        <f t="shared" si="0"/>
        <v>SUP</v>
      </c>
      <c r="N36" s="5" t="str">
        <f t="shared" si="1"/>
        <v>SUP</v>
      </c>
      <c r="O36" s="5" t="str">
        <f t="shared" si="2"/>
        <v>RES</v>
      </c>
      <c r="P36" s="5" t="str">
        <f t="shared" si="3"/>
        <v>SUP</v>
      </c>
      <c r="Q36" s="5" t="str">
        <f t="shared" si="4"/>
        <v>SUP</v>
      </c>
      <c r="R36" s="5" t="str">
        <f t="shared" si="5"/>
        <v>SUP</v>
      </c>
      <c r="S36" s="5"/>
      <c r="T36" s="6">
        <f t="shared" si="6"/>
        <v>1</v>
      </c>
      <c r="U36" s="7">
        <f t="shared" si="7"/>
        <v>5</v>
      </c>
    </row>
    <row r="37" spans="1:21" x14ac:dyDescent="0.55000000000000004">
      <c r="A37">
        <v>33</v>
      </c>
      <c r="B37" t="s">
        <v>36</v>
      </c>
      <c r="C37" t="s">
        <v>4</v>
      </c>
      <c r="D37" t="s">
        <v>103</v>
      </c>
      <c r="E37">
        <v>152.89500000000001</v>
      </c>
      <c r="F37">
        <v>152.96100000000001</v>
      </c>
      <c r="G37">
        <v>152.899</v>
      </c>
      <c r="H37">
        <v>153.21799999999999</v>
      </c>
      <c r="I37">
        <v>152.58500000000001</v>
      </c>
      <c r="J37">
        <v>152.596</v>
      </c>
      <c r="K37">
        <v>152.81899999999999</v>
      </c>
      <c r="L37" s="1"/>
      <c r="M37" s="1" t="str">
        <f t="shared" ref="M37:M68" si="8">IF($E37&gt;F37,"SUP","RES")</f>
        <v>RES</v>
      </c>
      <c r="N37" s="1" t="str">
        <f t="shared" ref="N37:N68" si="9">IF($E37&gt;G37,"SUP","RES")</f>
        <v>RES</v>
      </c>
      <c r="O37" s="1" t="str">
        <f t="shared" ref="O37:O68" si="10">IF($E37&gt;H37,"SUP","RES")</f>
        <v>RES</v>
      </c>
      <c r="P37" s="1" t="str">
        <f t="shared" ref="P37:P68" si="11">IF($E37&gt;I37,"SUP","RES")</f>
        <v>SUP</v>
      </c>
      <c r="Q37" s="1" t="str">
        <f t="shared" ref="Q37:Q68" si="12">IF($E37&gt;J37,"SUP","RES")</f>
        <v>SUP</v>
      </c>
      <c r="R37" s="1" t="str">
        <f t="shared" ref="R37:R68" si="13">IF($E37&gt;K37,"SUP","RES")</f>
        <v>SUP</v>
      </c>
      <c r="S37" s="1"/>
      <c r="T37" s="2">
        <f t="shared" ref="T37:T68" si="14">COUNTIF(M37:R37,"RES")</f>
        <v>3</v>
      </c>
      <c r="U37" s="3">
        <f t="shared" ref="U37:U68" si="15">COUNTIF(M37:R37,"SUP")</f>
        <v>3</v>
      </c>
    </row>
    <row r="38" spans="1:21" x14ac:dyDescent="0.55000000000000004">
      <c r="A38">
        <v>34</v>
      </c>
      <c r="B38" t="s">
        <v>37</v>
      </c>
      <c r="C38" t="s">
        <v>4</v>
      </c>
      <c r="D38" t="s">
        <v>103</v>
      </c>
      <c r="E38">
        <v>152.87</v>
      </c>
      <c r="F38">
        <v>152.958</v>
      </c>
      <c r="G38">
        <v>152.899</v>
      </c>
      <c r="H38">
        <v>153.21700000000001</v>
      </c>
      <c r="I38">
        <v>152.58500000000001</v>
      </c>
      <c r="J38">
        <v>152.595</v>
      </c>
      <c r="K38">
        <v>152.82</v>
      </c>
      <c r="L38" s="1"/>
      <c r="M38" s="1" t="str">
        <f t="shared" si="8"/>
        <v>RES</v>
      </c>
      <c r="N38" s="1" t="str">
        <f t="shared" si="9"/>
        <v>RES</v>
      </c>
      <c r="O38" s="1" t="str">
        <f t="shared" si="10"/>
        <v>RES</v>
      </c>
      <c r="P38" s="1" t="str">
        <f t="shared" si="11"/>
        <v>SUP</v>
      </c>
      <c r="Q38" s="1" t="str">
        <f t="shared" si="12"/>
        <v>SUP</v>
      </c>
      <c r="R38" s="1" t="str">
        <f t="shared" si="13"/>
        <v>SUP</v>
      </c>
      <c r="S38" s="1"/>
      <c r="T38" s="2">
        <f t="shared" si="14"/>
        <v>3</v>
      </c>
      <c r="U38" s="3">
        <f t="shared" si="15"/>
        <v>3</v>
      </c>
    </row>
    <row r="39" spans="1:21" x14ac:dyDescent="0.55000000000000004">
      <c r="A39">
        <v>35</v>
      </c>
      <c r="B39" t="s">
        <v>38</v>
      </c>
      <c r="C39" t="s">
        <v>4</v>
      </c>
      <c r="D39" t="s">
        <v>103</v>
      </c>
      <c r="E39">
        <v>152.86199999999999</v>
      </c>
      <c r="F39">
        <v>152.95599999999999</v>
      </c>
      <c r="G39">
        <v>152.898</v>
      </c>
      <c r="H39">
        <v>153.215</v>
      </c>
      <c r="I39">
        <v>152.58600000000001</v>
      </c>
      <c r="J39">
        <v>152.595</v>
      </c>
      <c r="K39">
        <v>152.822</v>
      </c>
      <c r="L39" s="1"/>
      <c r="M39" s="1" t="str">
        <f t="shared" si="8"/>
        <v>RES</v>
      </c>
      <c r="N39" s="1" t="str">
        <f t="shared" si="9"/>
        <v>RES</v>
      </c>
      <c r="O39" s="1" t="str">
        <f t="shared" si="10"/>
        <v>RES</v>
      </c>
      <c r="P39" s="1" t="str">
        <f t="shared" si="11"/>
        <v>SUP</v>
      </c>
      <c r="Q39" s="1" t="str">
        <f t="shared" si="12"/>
        <v>SUP</v>
      </c>
      <c r="R39" s="1" t="str">
        <f t="shared" si="13"/>
        <v>SUP</v>
      </c>
      <c r="S39" s="1"/>
      <c r="T39" s="2">
        <f t="shared" si="14"/>
        <v>3</v>
      </c>
      <c r="U39" s="3">
        <f t="shared" si="15"/>
        <v>3</v>
      </c>
    </row>
    <row r="40" spans="1:21" x14ac:dyDescent="0.55000000000000004">
      <c r="A40">
        <v>36</v>
      </c>
      <c r="B40" t="s">
        <v>39</v>
      </c>
      <c r="C40" t="s">
        <v>4</v>
      </c>
      <c r="D40" t="s">
        <v>103</v>
      </c>
      <c r="E40">
        <v>152.89400000000001</v>
      </c>
      <c r="F40">
        <v>152.953</v>
      </c>
      <c r="G40">
        <v>152.898</v>
      </c>
      <c r="H40">
        <v>153.214</v>
      </c>
      <c r="I40">
        <v>152.58699999999999</v>
      </c>
      <c r="J40">
        <v>152.595</v>
      </c>
      <c r="K40">
        <v>152.82300000000001</v>
      </c>
      <c r="L40" s="1"/>
      <c r="M40" s="1" t="str">
        <f t="shared" si="8"/>
        <v>RES</v>
      </c>
      <c r="N40" s="1" t="str">
        <f t="shared" si="9"/>
        <v>RES</v>
      </c>
      <c r="O40" s="1" t="str">
        <f t="shared" si="10"/>
        <v>RES</v>
      </c>
      <c r="P40" s="1" t="str">
        <f t="shared" si="11"/>
        <v>SUP</v>
      </c>
      <c r="Q40" s="1" t="str">
        <f t="shared" si="12"/>
        <v>SUP</v>
      </c>
      <c r="R40" s="1" t="str">
        <f t="shared" si="13"/>
        <v>SUP</v>
      </c>
      <c r="S40" s="1"/>
      <c r="T40" s="2">
        <f t="shared" si="14"/>
        <v>3</v>
      </c>
      <c r="U40" s="3">
        <f t="shared" si="15"/>
        <v>3</v>
      </c>
    </row>
    <row r="41" spans="1:21" x14ac:dyDescent="0.55000000000000004">
      <c r="A41">
        <v>37</v>
      </c>
      <c r="B41" t="s">
        <v>40</v>
      </c>
      <c r="C41" t="s">
        <v>4</v>
      </c>
      <c r="D41" t="s">
        <v>103</v>
      </c>
      <c r="E41">
        <v>152.80699999999999</v>
      </c>
      <c r="F41">
        <v>152.95099999999999</v>
      </c>
      <c r="G41">
        <v>152.898</v>
      </c>
      <c r="H41">
        <v>153.21199999999999</v>
      </c>
      <c r="I41">
        <v>152.58799999999999</v>
      </c>
      <c r="J41">
        <v>152.595</v>
      </c>
      <c r="K41">
        <v>152.82499999999999</v>
      </c>
      <c r="L41" s="1"/>
      <c r="M41" s="1" t="str">
        <f t="shared" si="8"/>
        <v>RES</v>
      </c>
      <c r="N41" s="1" t="str">
        <f t="shared" si="9"/>
        <v>RES</v>
      </c>
      <c r="O41" s="1" t="str">
        <f t="shared" si="10"/>
        <v>RES</v>
      </c>
      <c r="P41" s="1" t="str">
        <f t="shared" si="11"/>
        <v>SUP</v>
      </c>
      <c r="Q41" s="1" t="str">
        <f t="shared" si="12"/>
        <v>SUP</v>
      </c>
      <c r="R41" s="1" t="str">
        <f t="shared" si="13"/>
        <v>RES</v>
      </c>
      <c r="S41" s="1"/>
      <c r="T41" s="2">
        <f t="shared" si="14"/>
        <v>4</v>
      </c>
      <c r="U41" s="3">
        <f t="shared" si="15"/>
        <v>2</v>
      </c>
    </row>
    <row r="42" spans="1:21" x14ac:dyDescent="0.55000000000000004">
      <c r="A42">
        <v>38</v>
      </c>
      <c r="B42" t="s">
        <v>41</v>
      </c>
      <c r="C42" t="s">
        <v>4</v>
      </c>
      <c r="D42" t="s">
        <v>103</v>
      </c>
      <c r="E42">
        <v>152.81700000000001</v>
      </c>
      <c r="F42">
        <v>152.94900000000001</v>
      </c>
      <c r="G42">
        <v>152.89699999999999</v>
      </c>
      <c r="H42">
        <v>153.21</v>
      </c>
      <c r="I42">
        <v>152.58799999999999</v>
      </c>
      <c r="J42">
        <v>152.59399999999999</v>
      </c>
      <c r="K42">
        <v>152.827</v>
      </c>
      <c r="L42" s="1"/>
      <c r="M42" s="1" t="str">
        <f t="shared" si="8"/>
        <v>RES</v>
      </c>
      <c r="N42" s="1" t="str">
        <f t="shared" si="9"/>
        <v>RES</v>
      </c>
      <c r="O42" s="1" t="str">
        <f t="shared" si="10"/>
        <v>RES</v>
      </c>
      <c r="P42" s="1" t="str">
        <f t="shared" si="11"/>
        <v>SUP</v>
      </c>
      <c r="Q42" s="1" t="str">
        <f t="shared" si="12"/>
        <v>SUP</v>
      </c>
      <c r="R42" s="1" t="str">
        <f t="shared" si="13"/>
        <v>RES</v>
      </c>
      <c r="S42" s="1"/>
      <c r="T42" s="2">
        <f t="shared" si="14"/>
        <v>4</v>
      </c>
      <c r="U42" s="3">
        <f t="shared" si="15"/>
        <v>2</v>
      </c>
    </row>
    <row r="43" spans="1:21" x14ac:dyDescent="0.55000000000000004">
      <c r="A43">
        <v>39</v>
      </c>
      <c r="B43" t="s">
        <v>42</v>
      </c>
      <c r="C43" t="s">
        <v>4</v>
      </c>
      <c r="D43" t="s">
        <v>103</v>
      </c>
      <c r="E43">
        <v>152.77000000000001</v>
      </c>
      <c r="F43">
        <v>152.946</v>
      </c>
      <c r="G43">
        <v>152.89699999999999</v>
      </c>
      <c r="H43">
        <v>153.209</v>
      </c>
      <c r="I43">
        <v>152.589</v>
      </c>
      <c r="J43">
        <v>152.59399999999999</v>
      </c>
      <c r="K43">
        <v>152.828</v>
      </c>
      <c r="L43" s="1"/>
      <c r="M43" s="1" t="str">
        <f t="shared" si="8"/>
        <v>RES</v>
      </c>
      <c r="N43" s="1" t="str">
        <f t="shared" si="9"/>
        <v>RES</v>
      </c>
      <c r="O43" s="1" t="str">
        <f t="shared" si="10"/>
        <v>RES</v>
      </c>
      <c r="P43" s="1" t="str">
        <f t="shared" si="11"/>
        <v>SUP</v>
      </c>
      <c r="Q43" s="1" t="str">
        <f t="shared" si="12"/>
        <v>SUP</v>
      </c>
      <c r="R43" s="1" t="str">
        <f t="shared" si="13"/>
        <v>RES</v>
      </c>
      <c r="S43" s="1"/>
      <c r="T43" s="2">
        <f t="shared" si="14"/>
        <v>4</v>
      </c>
      <c r="U43" s="3">
        <f t="shared" si="15"/>
        <v>2</v>
      </c>
    </row>
    <row r="44" spans="1:21" x14ac:dyDescent="0.55000000000000004">
      <c r="A44">
        <v>40</v>
      </c>
      <c r="B44" t="s">
        <v>43</v>
      </c>
      <c r="C44" t="s">
        <v>4</v>
      </c>
      <c r="D44" t="s">
        <v>103</v>
      </c>
      <c r="E44">
        <v>152.79</v>
      </c>
      <c r="F44">
        <v>152.94399999999999</v>
      </c>
      <c r="G44">
        <v>152.89699999999999</v>
      </c>
      <c r="H44">
        <v>153.20699999999999</v>
      </c>
      <c r="I44">
        <v>152.59</v>
      </c>
      <c r="J44">
        <v>152.59399999999999</v>
      </c>
      <c r="K44">
        <v>152.83000000000001</v>
      </c>
      <c r="L44" s="1"/>
      <c r="M44" s="1" t="str">
        <f t="shared" si="8"/>
        <v>RES</v>
      </c>
      <c r="N44" s="1" t="str">
        <f t="shared" si="9"/>
        <v>RES</v>
      </c>
      <c r="O44" s="1" t="str">
        <f t="shared" si="10"/>
        <v>RES</v>
      </c>
      <c r="P44" s="1" t="str">
        <f t="shared" si="11"/>
        <v>SUP</v>
      </c>
      <c r="Q44" s="1" t="str">
        <f t="shared" si="12"/>
        <v>SUP</v>
      </c>
      <c r="R44" s="1" t="str">
        <f t="shared" si="13"/>
        <v>RES</v>
      </c>
      <c r="S44" s="1"/>
      <c r="T44" s="2">
        <f t="shared" si="14"/>
        <v>4</v>
      </c>
      <c r="U44" s="3">
        <f t="shared" si="15"/>
        <v>2</v>
      </c>
    </row>
    <row r="45" spans="1:21" x14ac:dyDescent="0.55000000000000004">
      <c r="A45">
        <v>41</v>
      </c>
      <c r="B45" t="s">
        <v>44</v>
      </c>
      <c r="C45" t="s">
        <v>4</v>
      </c>
      <c r="D45" t="s">
        <v>103</v>
      </c>
      <c r="E45">
        <v>152.78899999999999</v>
      </c>
      <c r="F45">
        <v>152.941</v>
      </c>
      <c r="G45">
        <v>152.89599999999999</v>
      </c>
      <c r="H45">
        <v>153.20500000000001</v>
      </c>
      <c r="I45">
        <v>152.59100000000001</v>
      </c>
      <c r="J45">
        <v>152.59399999999999</v>
      </c>
      <c r="K45">
        <v>152.83099999999999</v>
      </c>
      <c r="L45" s="1"/>
      <c r="M45" s="1" t="str">
        <f t="shared" si="8"/>
        <v>RES</v>
      </c>
      <c r="N45" s="1" t="str">
        <f t="shared" si="9"/>
        <v>RES</v>
      </c>
      <c r="O45" s="1" t="str">
        <f t="shared" si="10"/>
        <v>RES</v>
      </c>
      <c r="P45" s="1" t="str">
        <f t="shared" si="11"/>
        <v>SUP</v>
      </c>
      <c r="Q45" s="1" t="str">
        <f t="shared" si="12"/>
        <v>SUP</v>
      </c>
      <c r="R45" s="1" t="str">
        <f t="shared" si="13"/>
        <v>RES</v>
      </c>
      <c r="S45" s="1"/>
      <c r="T45" s="2">
        <f t="shared" si="14"/>
        <v>4</v>
      </c>
      <c r="U45" s="3">
        <f t="shared" si="15"/>
        <v>2</v>
      </c>
    </row>
    <row r="46" spans="1:21" x14ac:dyDescent="0.55000000000000004">
      <c r="A46">
        <v>42</v>
      </c>
      <c r="B46" t="s">
        <v>45</v>
      </c>
      <c r="C46" t="s">
        <v>4</v>
      </c>
      <c r="D46" t="s">
        <v>103</v>
      </c>
      <c r="E46">
        <v>152.75</v>
      </c>
      <c r="F46">
        <v>152.93899999999999</v>
      </c>
      <c r="G46">
        <v>152.89599999999999</v>
      </c>
      <c r="H46">
        <v>153.20400000000001</v>
      </c>
      <c r="I46">
        <v>152.59100000000001</v>
      </c>
      <c r="J46">
        <v>152.59299999999999</v>
      </c>
      <c r="K46">
        <v>152.833</v>
      </c>
      <c r="L46" s="1"/>
      <c r="M46" s="1" t="str">
        <f t="shared" si="8"/>
        <v>RES</v>
      </c>
      <c r="N46" s="1" t="str">
        <f t="shared" si="9"/>
        <v>RES</v>
      </c>
      <c r="O46" s="1" t="str">
        <f t="shared" si="10"/>
        <v>RES</v>
      </c>
      <c r="P46" s="1" t="str">
        <f t="shared" si="11"/>
        <v>SUP</v>
      </c>
      <c r="Q46" s="1" t="str">
        <f t="shared" si="12"/>
        <v>SUP</v>
      </c>
      <c r="R46" s="1" t="str">
        <f t="shared" si="13"/>
        <v>RES</v>
      </c>
      <c r="S46" s="1"/>
      <c r="T46" s="2">
        <f t="shared" si="14"/>
        <v>4</v>
      </c>
      <c r="U46" s="3">
        <f t="shared" si="15"/>
        <v>2</v>
      </c>
    </row>
    <row r="47" spans="1:21" x14ac:dyDescent="0.55000000000000004">
      <c r="A47">
        <v>43</v>
      </c>
      <c r="B47" t="s">
        <v>46</v>
      </c>
      <c r="C47" t="s">
        <v>4</v>
      </c>
      <c r="D47" t="s">
        <v>103</v>
      </c>
      <c r="E47">
        <v>152.661</v>
      </c>
      <c r="F47">
        <v>152.93600000000001</v>
      </c>
      <c r="G47">
        <v>152.89500000000001</v>
      </c>
      <c r="H47">
        <v>153.202</v>
      </c>
      <c r="I47">
        <v>152.59200000000001</v>
      </c>
      <c r="J47">
        <v>152.59299999999999</v>
      </c>
      <c r="K47">
        <v>152.834</v>
      </c>
      <c r="L47" s="1"/>
      <c r="M47" s="1" t="str">
        <f t="shared" si="8"/>
        <v>RES</v>
      </c>
      <c r="N47" s="1" t="str">
        <f t="shared" si="9"/>
        <v>RES</v>
      </c>
      <c r="O47" s="1" t="str">
        <f t="shared" si="10"/>
        <v>RES</v>
      </c>
      <c r="P47" s="1" t="str">
        <f t="shared" si="11"/>
        <v>SUP</v>
      </c>
      <c r="Q47" s="1" t="str">
        <f t="shared" si="12"/>
        <v>SUP</v>
      </c>
      <c r="R47" s="1" t="str">
        <f t="shared" si="13"/>
        <v>RES</v>
      </c>
      <c r="S47" s="1"/>
      <c r="T47" s="2">
        <f t="shared" si="14"/>
        <v>4</v>
      </c>
      <c r="U47" s="3">
        <f t="shared" si="15"/>
        <v>2</v>
      </c>
    </row>
    <row r="48" spans="1:21" x14ac:dyDescent="0.55000000000000004">
      <c r="A48">
        <v>44</v>
      </c>
      <c r="B48" t="s">
        <v>47</v>
      </c>
      <c r="C48" t="s">
        <v>4</v>
      </c>
      <c r="D48" t="s">
        <v>103</v>
      </c>
      <c r="E48">
        <v>152.672</v>
      </c>
      <c r="F48">
        <v>152.934</v>
      </c>
      <c r="G48">
        <v>152.89500000000001</v>
      </c>
      <c r="H48">
        <v>153.19999999999999</v>
      </c>
      <c r="I48">
        <v>152.59299999999999</v>
      </c>
      <c r="J48">
        <v>152.59299999999999</v>
      </c>
      <c r="K48">
        <v>152.83600000000001</v>
      </c>
      <c r="L48" s="1"/>
      <c r="M48" s="1" t="str">
        <f t="shared" si="8"/>
        <v>RES</v>
      </c>
      <c r="N48" s="1" t="str">
        <f t="shared" si="9"/>
        <v>RES</v>
      </c>
      <c r="O48" s="1" t="str">
        <f t="shared" si="10"/>
        <v>RES</v>
      </c>
      <c r="P48" s="1" t="str">
        <f t="shared" si="11"/>
        <v>SUP</v>
      </c>
      <c r="Q48" s="1" t="str">
        <f t="shared" si="12"/>
        <v>SUP</v>
      </c>
      <c r="R48" s="1" t="str">
        <f t="shared" si="13"/>
        <v>RES</v>
      </c>
      <c r="S48" s="1"/>
      <c r="T48" s="2">
        <f t="shared" si="14"/>
        <v>4</v>
      </c>
      <c r="U48" s="3">
        <f t="shared" si="15"/>
        <v>2</v>
      </c>
    </row>
    <row r="49" spans="1:21" x14ac:dyDescent="0.55000000000000004">
      <c r="A49">
        <v>45</v>
      </c>
      <c r="B49" t="s">
        <v>48</v>
      </c>
      <c r="C49" t="s">
        <v>4</v>
      </c>
      <c r="D49" t="s">
        <v>103</v>
      </c>
      <c r="E49">
        <v>152.738</v>
      </c>
      <c r="F49">
        <v>152.93199999999999</v>
      </c>
      <c r="G49">
        <v>152.89500000000001</v>
      </c>
      <c r="H49">
        <v>153.19900000000001</v>
      </c>
      <c r="I49">
        <v>152.59399999999999</v>
      </c>
      <c r="J49">
        <v>152.59299999999999</v>
      </c>
      <c r="K49">
        <v>152.83799999999999</v>
      </c>
      <c r="L49" s="1"/>
      <c r="M49" s="1" t="str">
        <f t="shared" si="8"/>
        <v>RES</v>
      </c>
      <c r="N49" s="1" t="str">
        <f t="shared" si="9"/>
        <v>RES</v>
      </c>
      <c r="O49" s="1" t="str">
        <f t="shared" si="10"/>
        <v>RES</v>
      </c>
      <c r="P49" s="1" t="str">
        <f t="shared" si="11"/>
        <v>SUP</v>
      </c>
      <c r="Q49" s="1" t="str">
        <f t="shared" si="12"/>
        <v>SUP</v>
      </c>
      <c r="R49" s="1" t="str">
        <f t="shared" si="13"/>
        <v>RES</v>
      </c>
      <c r="S49" s="1"/>
      <c r="T49" s="2">
        <f t="shared" si="14"/>
        <v>4</v>
      </c>
      <c r="U49" s="3">
        <f t="shared" si="15"/>
        <v>2</v>
      </c>
    </row>
    <row r="50" spans="1:21" x14ac:dyDescent="0.55000000000000004">
      <c r="A50">
        <v>46</v>
      </c>
      <c r="B50" t="s">
        <v>49</v>
      </c>
      <c r="C50" t="s">
        <v>4</v>
      </c>
      <c r="D50" t="s">
        <v>103</v>
      </c>
      <c r="E50">
        <v>152.69800000000001</v>
      </c>
      <c r="F50">
        <v>152.929</v>
      </c>
      <c r="G50">
        <v>152.89400000000001</v>
      </c>
      <c r="H50">
        <v>153.197</v>
      </c>
      <c r="I50">
        <v>152.595</v>
      </c>
      <c r="J50">
        <v>152.59299999999999</v>
      </c>
      <c r="K50">
        <v>152.839</v>
      </c>
      <c r="L50" s="1"/>
      <c r="M50" s="1" t="str">
        <f t="shared" si="8"/>
        <v>RES</v>
      </c>
      <c r="N50" s="1" t="str">
        <f t="shared" si="9"/>
        <v>RES</v>
      </c>
      <c r="O50" s="1" t="str">
        <f t="shared" si="10"/>
        <v>RES</v>
      </c>
      <c r="P50" s="1" t="str">
        <f t="shared" si="11"/>
        <v>SUP</v>
      </c>
      <c r="Q50" s="1" t="str">
        <f t="shared" si="12"/>
        <v>SUP</v>
      </c>
      <c r="R50" s="1" t="str">
        <f t="shared" si="13"/>
        <v>RES</v>
      </c>
      <c r="S50" s="1"/>
      <c r="T50" s="2">
        <f t="shared" si="14"/>
        <v>4</v>
      </c>
      <c r="U50" s="3">
        <f t="shared" si="15"/>
        <v>2</v>
      </c>
    </row>
    <row r="51" spans="1:21" x14ac:dyDescent="0.55000000000000004">
      <c r="A51">
        <v>47</v>
      </c>
      <c r="B51" t="s">
        <v>50</v>
      </c>
      <c r="C51" t="s">
        <v>4</v>
      </c>
      <c r="D51" t="s">
        <v>103</v>
      </c>
      <c r="E51">
        <v>152.81299999999999</v>
      </c>
      <c r="F51">
        <v>152.92699999999999</v>
      </c>
      <c r="G51">
        <v>152.89400000000001</v>
      </c>
      <c r="H51">
        <v>153.19499999999999</v>
      </c>
      <c r="I51">
        <v>152.595</v>
      </c>
      <c r="J51">
        <v>152.59200000000001</v>
      </c>
      <c r="K51">
        <v>152.84100000000001</v>
      </c>
      <c r="L51" s="1"/>
      <c r="M51" s="1" t="str">
        <f t="shared" si="8"/>
        <v>RES</v>
      </c>
      <c r="N51" s="1" t="str">
        <f t="shared" si="9"/>
        <v>RES</v>
      </c>
      <c r="O51" s="1" t="str">
        <f t="shared" si="10"/>
        <v>RES</v>
      </c>
      <c r="P51" s="1" t="str">
        <f t="shared" si="11"/>
        <v>SUP</v>
      </c>
      <c r="Q51" s="1" t="str">
        <f t="shared" si="12"/>
        <v>SUP</v>
      </c>
      <c r="R51" s="1" t="str">
        <f t="shared" si="13"/>
        <v>RES</v>
      </c>
      <c r="S51" s="1"/>
      <c r="T51" s="2">
        <f t="shared" si="14"/>
        <v>4</v>
      </c>
      <c r="U51" s="3">
        <f t="shared" si="15"/>
        <v>2</v>
      </c>
    </row>
    <row r="52" spans="1:21" x14ac:dyDescent="0.55000000000000004">
      <c r="A52">
        <v>48</v>
      </c>
      <c r="B52" t="s">
        <v>51</v>
      </c>
      <c r="C52" t="s">
        <v>4</v>
      </c>
      <c r="D52" t="s">
        <v>103</v>
      </c>
      <c r="E52">
        <v>152.81899999999999</v>
      </c>
      <c r="F52">
        <v>152.92400000000001</v>
      </c>
      <c r="G52">
        <v>152.89400000000001</v>
      </c>
      <c r="H52">
        <v>153.19399999999999</v>
      </c>
      <c r="I52">
        <v>152.596</v>
      </c>
      <c r="J52">
        <v>152.59200000000001</v>
      </c>
      <c r="K52">
        <v>152.84200000000001</v>
      </c>
      <c r="L52" s="1"/>
      <c r="M52" s="1" t="str">
        <f t="shared" si="8"/>
        <v>RES</v>
      </c>
      <c r="N52" s="1" t="str">
        <f t="shared" si="9"/>
        <v>RES</v>
      </c>
      <c r="O52" s="1" t="str">
        <f t="shared" si="10"/>
        <v>RES</v>
      </c>
      <c r="P52" s="1" t="str">
        <f t="shared" si="11"/>
        <v>SUP</v>
      </c>
      <c r="Q52" s="1" t="str">
        <f t="shared" si="12"/>
        <v>SUP</v>
      </c>
      <c r="R52" s="1" t="str">
        <f t="shared" si="13"/>
        <v>RES</v>
      </c>
      <c r="S52" s="1"/>
      <c r="T52" s="2">
        <f t="shared" si="14"/>
        <v>4</v>
      </c>
      <c r="U52" s="3">
        <f t="shared" si="15"/>
        <v>2</v>
      </c>
    </row>
    <row r="53" spans="1:21" x14ac:dyDescent="0.55000000000000004">
      <c r="A53">
        <v>49</v>
      </c>
      <c r="B53" t="s">
        <v>52</v>
      </c>
      <c r="C53" t="s">
        <v>4</v>
      </c>
      <c r="D53" t="s">
        <v>103</v>
      </c>
      <c r="E53">
        <v>152.816</v>
      </c>
      <c r="F53">
        <v>152.922</v>
      </c>
      <c r="G53">
        <v>152.893</v>
      </c>
      <c r="H53">
        <v>153.19200000000001</v>
      </c>
      <c r="I53">
        <v>152.59700000000001</v>
      </c>
      <c r="J53">
        <v>152.59200000000001</v>
      </c>
      <c r="K53">
        <v>152.84399999999999</v>
      </c>
      <c r="L53" s="1"/>
      <c r="M53" s="1" t="str">
        <f t="shared" si="8"/>
        <v>RES</v>
      </c>
      <c r="N53" s="1" t="str">
        <f t="shared" si="9"/>
        <v>RES</v>
      </c>
      <c r="O53" s="1" t="str">
        <f t="shared" si="10"/>
        <v>RES</v>
      </c>
      <c r="P53" s="1" t="str">
        <f t="shared" si="11"/>
        <v>SUP</v>
      </c>
      <c r="Q53" s="1" t="str">
        <f t="shared" si="12"/>
        <v>SUP</v>
      </c>
      <c r="R53" s="1" t="str">
        <f t="shared" si="13"/>
        <v>RES</v>
      </c>
      <c r="S53" s="1"/>
      <c r="T53" s="2">
        <f t="shared" si="14"/>
        <v>4</v>
      </c>
      <c r="U53" s="3">
        <f t="shared" si="15"/>
        <v>2</v>
      </c>
    </row>
    <row r="54" spans="1:21" x14ac:dyDescent="0.55000000000000004">
      <c r="A54">
        <v>50</v>
      </c>
      <c r="B54" t="s">
        <v>53</v>
      </c>
      <c r="C54" t="s">
        <v>4</v>
      </c>
      <c r="D54" t="s">
        <v>103</v>
      </c>
      <c r="E54">
        <v>152.82499999999999</v>
      </c>
      <c r="F54">
        <v>152.91999999999999</v>
      </c>
      <c r="G54">
        <v>152.893</v>
      </c>
      <c r="H54">
        <v>153.191</v>
      </c>
      <c r="I54">
        <v>152.59800000000001</v>
      </c>
      <c r="J54">
        <v>152.59200000000001</v>
      </c>
      <c r="K54">
        <v>152.845</v>
      </c>
      <c r="L54" s="1"/>
      <c r="M54" s="1" t="str">
        <f t="shared" si="8"/>
        <v>RES</v>
      </c>
      <c r="N54" s="1" t="str">
        <f t="shared" si="9"/>
        <v>RES</v>
      </c>
      <c r="O54" s="1" t="str">
        <f t="shared" si="10"/>
        <v>RES</v>
      </c>
      <c r="P54" s="1" t="str">
        <f t="shared" si="11"/>
        <v>SUP</v>
      </c>
      <c r="Q54" s="1" t="str">
        <f t="shared" si="12"/>
        <v>SUP</v>
      </c>
      <c r="R54" s="1" t="str">
        <f t="shared" si="13"/>
        <v>RES</v>
      </c>
      <c r="S54" s="1"/>
      <c r="T54" s="2">
        <f t="shared" si="14"/>
        <v>4</v>
      </c>
      <c r="U54" s="3">
        <f t="shared" si="15"/>
        <v>2</v>
      </c>
    </row>
    <row r="55" spans="1:21" x14ac:dyDescent="0.55000000000000004">
      <c r="A55">
        <v>51</v>
      </c>
      <c r="B55" t="s">
        <v>54</v>
      </c>
      <c r="C55" t="s">
        <v>4</v>
      </c>
      <c r="D55" t="s">
        <v>103</v>
      </c>
      <c r="E55">
        <v>152.75299999999999</v>
      </c>
      <c r="F55">
        <v>152.917</v>
      </c>
      <c r="G55">
        <v>152.892</v>
      </c>
      <c r="H55">
        <v>153.18899999999999</v>
      </c>
      <c r="I55">
        <v>152.59800000000001</v>
      </c>
      <c r="J55">
        <v>152.59100000000001</v>
      </c>
      <c r="K55">
        <v>152.84700000000001</v>
      </c>
      <c r="L55" s="1"/>
      <c r="M55" s="1" t="str">
        <f t="shared" si="8"/>
        <v>RES</v>
      </c>
      <c r="N55" s="1" t="str">
        <f t="shared" si="9"/>
        <v>RES</v>
      </c>
      <c r="O55" s="1" t="str">
        <f t="shared" si="10"/>
        <v>RES</v>
      </c>
      <c r="P55" s="1" t="str">
        <f t="shared" si="11"/>
        <v>SUP</v>
      </c>
      <c r="Q55" s="1" t="str">
        <f t="shared" si="12"/>
        <v>SUP</v>
      </c>
      <c r="R55" s="1" t="str">
        <f t="shared" si="13"/>
        <v>RES</v>
      </c>
      <c r="S55" s="1"/>
      <c r="T55" s="2">
        <f t="shared" si="14"/>
        <v>4</v>
      </c>
      <c r="U55" s="3">
        <f t="shared" si="15"/>
        <v>2</v>
      </c>
    </row>
    <row r="56" spans="1:21" x14ac:dyDescent="0.55000000000000004">
      <c r="A56">
        <v>52</v>
      </c>
      <c r="B56" t="s">
        <v>55</v>
      </c>
      <c r="C56" t="s">
        <v>4</v>
      </c>
      <c r="D56" t="s">
        <v>103</v>
      </c>
      <c r="E56">
        <v>152.80600000000001</v>
      </c>
      <c r="F56">
        <v>152.91499999999999</v>
      </c>
      <c r="G56">
        <v>152.892</v>
      </c>
      <c r="H56">
        <v>153.18700000000001</v>
      </c>
      <c r="I56">
        <v>152.59899999999999</v>
      </c>
      <c r="J56">
        <v>152.59100000000001</v>
      </c>
      <c r="K56">
        <v>152.84899999999999</v>
      </c>
      <c r="L56" s="1"/>
      <c r="M56" s="1" t="str">
        <f t="shared" si="8"/>
        <v>RES</v>
      </c>
      <c r="N56" s="1" t="str">
        <f t="shared" si="9"/>
        <v>RES</v>
      </c>
      <c r="O56" s="1" t="str">
        <f t="shared" si="10"/>
        <v>RES</v>
      </c>
      <c r="P56" s="1" t="str">
        <f t="shared" si="11"/>
        <v>SUP</v>
      </c>
      <c r="Q56" s="1" t="str">
        <f t="shared" si="12"/>
        <v>SUP</v>
      </c>
      <c r="R56" s="1" t="str">
        <f t="shared" si="13"/>
        <v>RES</v>
      </c>
      <c r="S56" s="1"/>
      <c r="T56" s="2">
        <f t="shared" si="14"/>
        <v>4</v>
      </c>
      <c r="U56" s="3">
        <f t="shared" si="15"/>
        <v>2</v>
      </c>
    </row>
    <row r="57" spans="1:21" x14ac:dyDescent="0.55000000000000004">
      <c r="A57">
        <v>53</v>
      </c>
      <c r="B57" t="s">
        <v>56</v>
      </c>
      <c r="C57" t="s">
        <v>4</v>
      </c>
      <c r="D57" t="s">
        <v>103</v>
      </c>
      <c r="E57">
        <v>152.78800000000001</v>
      </c>
      <c r="F57">
        <v>152.91200000000001</v>
      </c>
      <c r="G57">
        <v>152.892</v>
      </c>
      <c r="H57">
        <v>153.18600000000001</v>
      </c>
      <c r="I57">
        <v>152.6</v>
      </c>
      <c r="J57">
        <v>152.59100000000001</v>
      </c>
      <c r="K57">
        <v>152.85</v>
      </c>
      <c r="L57" s="1"/>
      <c r="M57" s="1" t="str">
        <f t="shared" si="8"/>
        <v>RES</v>
      </c>
      <c r="N57" s="1" t="str">
        <f t="shared" si="9"/>
        <v>RES</v>
      </c>
      <c r="O57" s="1" t="str">
        <f t="shared" si="10"/>
        <v>RES</v>
      </c>
      <c r="P57" s="1" t="str">
        <f t="shared" si="11"/>
        <v>SUP</v>
      </c>
      <c r="Q57" s="1" t="str">
        <f t="shared" si="12"/>
        <v>SUP</v>
      </c>
      <c r="R57" s="1" t="str">
        <f t="shared" si="13"/>
        <v>RES</v>
      </c>
      <c r="S57" s="1"/>
      <c r="T57" s="2">
        <f t="shared" si="14"/>
        <v>4</v>
      </c>
      <c r="U57" s="3">
        <f t="shared" si="15"/>
        <v>2</v>
      </c>
    </row>
    <row r="58" spans="1:21" x14ac:dyDescent="0.55000000000000004">
      <c r="A58">
        <v>54</v>
      </c>
      <c r="B58" t="s">
        <v>57</v>
      </c>
      <c r="C58" t="s">
        <v>4</v>
      </c>
      <c r="D58" t="s">
        <v>103</v>
      </c>
      <c r="E58">
        <v>152.81399999999999</v>
      </c>
      <c r="F58">
        <v>152.91</v>
      </c>
      <c r="G58">
        <v>152.89099999999999</v>
      </c>
      <c r="H58">
        <v>153.184</v>
      </c>
      <c r="I58">
        <v>152.601</v>
      </c>
      <c r="J58">
        <v>152.59100000000001</v>
      </c>
      <c r="K58">
        <v>152.852</v>
      </c>
      <c r="L58" s="1"/>
      <c r="M58" s="1" t="str">
        <f t="shared" si="8"/>
        <v>RES</v>
      </c>
      <c r="N58" s="1" t="str">
        <f t="shared" si="9"/>
        <v>RES</v>
      </c>
      <c r="O58" s="1" t="str">
        <f t="shared" si="10"/>
        <v>RES</v>
      </c>
      <c r="P58" s="1" t="str">
        <f t="shared" si="11"/>
        <v>SUP</v>
      </c>
      <c r="Q58" s="1" t="str">
        <f t="shared" si="12"/>
        <v>SUP</v>
      </c>
      <c r="R58" s="1" t="str">
        <f t="shared" si="13"/>
        <v>RES</v>
      </c>
      <c r="S58" s="1"/>
      <c r="T58" s="2">
        <f t="shared" si="14"/>
        <v>4</v>
      </c>
      <c r="U58" s="3">
        <f t="shared" si="15"/>
        <v>2</v>
      </c>
    </row>
    <row r="59" spans="1:21" x14ac:dyDescent="0.55000000000000004">
      <c r="A59">
        <v>55</v>
      </c>
      <c r="B59" t="s">
        <v>58</v>
      </c>
      <c r="C59" t="s">
        <v>4</v>
      </c>
      <c r="D59" t="s">
        <v>103</v>
      </c>
      <c r="E59">
        <v>152.803</v>
      </c>
      <c r="F59">
        <v>152.90700000000001</v>
      </c>
      <c r="G59">
        <v>152.89099999999999</v>
      </c>
      <c r="H59">
        <v>153.18199999999999</v>
      </c>
      <c r="I59">
        <v>152.601</v>
      </c>
      <c r="J59">
        <v>152.59</v>
      </c>
      <c r="K59">
        <v>152.85300000000001</v>
      </c>
      <c r="L59" s="1"/>
      <c r="M59" s="1" t="str">
        <f t="shared" si="8"/>
        <v>RES</v>
      </c>
      <c r="N59" s="1" t="str">
        <f t="shared" si="9"/>
        <v>RES</v>
      </c>
      <c r="O59" s="1" t="str">
        <f t="shared" si="10"/>
        <v>RES</v>
      </c>
      <c r="P59" s="1" t="str">
        <f t="shared" si="11"/>
        <v>SUP</v>
      </c>
      <c r="Q59" s="1" t="str">
        <f t="shared" si="12"/>
        <v>SUP</v>
      </c>
      <c r="R59" s="1" t="str">
        <f t="shared" si="13"/>
        <v>RES</v>
      </c>
      <c r="S59" s="1"/>
      <c r="T59" s="2">
        <f t="shared" si="14"/>
        <v>4</v>
      </c>
      <c r="U59" s="3">
        <f t="shared" si="15"/>
        <v>2</v>
      </c>
    </row>
    <row r="60" spans="1:21" x14ac:dyDescent="0.55000000000000004">
      <c r="A60">
        <v>56</v>
      </c>
      <c r="B60" t="s">
        <v>59</v>
      </c>
      <c r="C60" t="s">
        <v>4</v>
      </c>
      <c r="D60" t="s">
        <v>103</v>
      </c>
      <c r="E60">
        <v>152.83799999999999</v>
      </c>
      <c r="F60">
        <v>152.905</v>
      </c>
      <c r="G60">
        <v>152.89099999999999</v>
      </c>
      <c r="H60">
        <v>153.18100000000001</v>
      </c>
      <c r="I60">
        <v>152.602</v>
      </c>
      <c r="J60">
        <v>152.59</v>
      </c>
      <c r="K60">
        <v>152.85499999999999</v>
      </c>
      <c r="L60" s="1"/>
      <c r="M60" s="1" t="str">
        <f t="shared" si="8"/>
        <v>RES</v>
      </c>
      <c r="N60" s="1" t="str">
        <f t="shared" si="9"/>
        <v>RES</v>
      </c>
      <c r="O60" s="1" t="str">
        <f t="shared" si="10"/>
        <v>RES</v>
      </c>
      <c r="P60" s="1" t="str">
        <f t="shared" si="11"/>
        <v>SUP</v>
      </c>
      <c r="Q60" s="1" t="str">
        <f t="shared" si="12"/>
        <v>SUP</v>
      </c>
      <c r="R60" s="1" t="str">
        <f t="shared" si="13"/>
        <v>RES</v>
      </c>
      <c r="S60" s="1"/>
      <c r="T60" s="2">
        <f t="shared" si="14"/>
        <v>4</v>
      </c>
      <c r="U60" s="3">
        <f t="shared" si="15"/>
        <v>2</v>
      </c>
    </row>
    <row r="61" spans="1:21" x14ac:dyDescent="0.55000000000000004">
      <c r="A61">
        <v>57</v>
      </c>
      <c r="B61" t="s">
        <v>60</v>
      </c>
      <c r="C61" t="s">
        <v>4</v>
      </c>
      <c r="D61" t="s">
        <v>103</v>
      </c>
      <c r="E61">
        <v>152.864</v>
      </c>
      <c r="F61">
        <v>152.90299999999999</v>
      </c>
      <c r="G61">
        <v>152.88999999999999</v>
      </c>
      <c r="H61">
        <v>153.179</v>
      </c>
      <c r="I61">
        <v>152.60300000000001</v>
      </c>
      <c r="J61">
        <v>152.59</v>
      </c>
      <c r="K61">
        <v>152.857</v>
      </c>
      <c r="L61" s="1"/>
      <c r="M61" s="1" t="str">
        <f t="shared" si="8"/>
        <v>RES</v>
      </c>
      <c r="N61" s="1" t="str">
        <f t="shared" si="9"/>
        <v>RES</v>
      </c>
      <c r="O61" s="1" t="str">
        <f t="shared" si="10"/>
        <v>RES</v>
      </c>
      <c r="P61" s="1" t="str">
        <f t="shared" si="11"/>
        <v>SUP</v>
      </c>
      <c r="Q61" s="1" t="str">
        <f t="shared" si="12"/>
        <v>SUP</v>
      </c>
      <c r="R61" s="1" t="str">
        <f t="shared" si="13"/>
        <v>SUP</v>
      </c>
      <c r="S61" s="1"/>
      <c r="T61" s="2">
        <f t="shared" si="14"/>
        <v>3</v>
      </c>
      <c r="U61" s="3">
        <f t="shared" si="15"/>
        <v>3</v>
      </c>
    </row>
    <row r="62" spans="1:21" x14ac:dyDescent="0.55000000000000004">
      <c r="A62">
        <v>58</v>
      </c>
      <c r="B62" t="s">
        <v>61</v>
      </c>
      <c r="C62" t="s">
        <v>4</v>
      </c>
      <c r="D62" t="s">
        <v>103</v>
      </c>
      <c r="E62">
        <v>152.81299999999999</v>
      </c>
      <c r="F62">
        <v>152.9</v>
      </c>
      <c r="G62">
        <v>152.88999999999999</v>
      </c>
      <c r="H62">
        <v>153.17699999999999</v>
      </c>
      <c r="I62">
        <v>152.60400000000001</v>
      </c>
      <c r="J62">
        <v>152.59</v>
      </c>
      <c r="K62">
        <v>152.858</v>
      </c>
      <c r="L62" s="1"/>
      <c r="M62" s="1" t="str">
        <f t="shared" si="8"/>
        <v>RES</v>
      </c>
      <c r="N62" s="1" t="str">
        <f t="shared" si="9"/>
        <v>RES</v>
      </c>
      <c r="O62" s="1" t="str">
        <f t="shared" si="10"/>
        <v>RES</v>
      </c>
      <c r="P62" s="1" t="str">
        <f t="shared" si="11"/>
        <v>SUP</v>
      </c>
      <c r="Q62" s="1" t="str">
        <f t="shared" si="12"/>
        <v>SUP</v>
      </c>
      <c r="R62" s="1" t="str">
        <f t="shared" si="13"/>
        <v>RES</v>
      </c>
      <c r="S62" s="1"/>
      <c r="T62" s="2">
        <f t="shared" si="14"/>
        <v>4</v>
      </c>
      <c r="U62" s="3">
        <f t="shared" si="15"/>
        <v>2</v>
      </c>
    </row>
    <row r="63" spans="1:21" x14ac:dyDescent="0.55000000000000004">
      <c r="A63">
        <v>59</v>
      </c>
      <c r="B63" t="s">
        <v>62</v>
      </c>
      <c r="C63" t="s">
        <v>4</v>
      </c>
      <c r="D63" t="s">
        <v>103</v>
      </c>
      <c r="E63">
        <v>152.81200000000001</v>
      </c>
      <c r="F63">
        <v>152.898</v>
      </c>
      <c r="G63">
        <v>152.88900000000001</v>
      </c>
      <c r="H63">
        <v>153.17599999999999</v>
      </c>
      <c r="I63">
        <v>152.60400000000001</v>
      </c>
      <c r="J63">
        <v>152.59</v>
      </c>
      <c r="K63">
        <v>152.86000000000001</v>
      </c>
      <c r="L63" s="1"/>
      <c r="M63" s="1" t="str">
        <f t="shared" si="8"/>
        <v>RES</v>
      </c>
      <c r="N63" s="1" t="str">
        <f t="shared" si="9"/>
        <v>RES</v>
      </c>
      <c r="O63" s="1" t="str">
        <f t="shared" si="10"/>
        <v>RES</v>
      </c>
      <c r="P63" s="1" t="str">
        <f t="shared" si="11"/>
        <v>SUP</v>
      </c>
      <c r="Q63" s="1" t="str">
        <f t="shared" si="12"/>
        <v>SUP</v>
      </c>
      <c r="R63" s="1" t="str">
        <f t="shared" si="13"/>
        <v>RES</v>
      </c>
      <c r="S63" s="1"/>
      <c r="T63" s="2">
        <f t="shared" si="14"/>
        <v>4</v>
      </c>
      <c r="U63" s="3">
        <f t="shared" si="15"/>
        <v>2</v>
      </c>
    </row>
    <row r="64" spans="1:21" x14ac:dyDescent="0.55000000000000004">
      <c r="A64">
        <v>60</v>
      </c>
      <c r="B64" t="s">
        <v>63</v>
      </c>
      <c r="C64" t="s">
        <v>4</v>
      </c>
      <c r="D64" t="s">
        <v>103</v>
      </c>
      <c r="E64">
        <v>152.84700000000001</v>
      </c>
      <c r="F64">
        <v>152.89500000000001</v>
      </c>
      <c r="G64">
        <v>152.88900000000001</v>
      </c>
      <c r="H64">
        <v>153.17400000000001</v>
      </c>
      <c r="I64">
        <v>152.60499999999999</v>
      </c>
      <c r="J64">
        <v>152.589</v>
      </c>
      <c r="K64">
        <v>152.86099999999999</v>
      </c>
      <c r="L64" s="1"/>
      <c r="M64" s="1" t="str">
        <f t="shared" si="8"/>
        <v>RES</v>
      </c>
      <c r="N64" s="1" t="str">
        <f t="shared" si="9"/>
        <v>RES</v>
      </c>
      <c r="O64" s="1" t="str">
        <f t="shared" si="10"/>
        <v>RES</v>
      </c>
      <c r="P64" s="1" t="str">
        <f t="shared" si="11"/>
        <v>SUP</v>
      </c>
      <c r="Q64" s="1" t="str">
        <f t="shared" si="12"/>
        <v>SUP</v>
      </c>
      <c r="R64" s="1" t="str">
        <f t="shared" si="13"/>
        <v>RES</v>
      </c>
      <c r="S64" s="1"/>
      <c r="T64" s="2">
        <f t="shared" si="14"/>
        <v>4</v>
      </c>
      <c r="U64" s="3">
        <f t="shared" si="15"/>
        <v>2</v>
      </c>
    </row>
    <row r="65" spans="1:21" x14ac:dyDescent="0.55000000000000004">
      <c r="A65">
        <v>61</v>
      </c>
      <c r="B65" t="s">
        <v>64</v>
      </c>
      <c r="C65" t="s">
        <v>4</v>
      </c>
      <c r="D65" t="s">
        <v>103</v>
      </c>
      <c r="E65">
        <v>152.803</v>
      </c>
      <c r="F65">
        <v>152.893</v>
      </c>
      <c r="G65">
        <v>152.88900000000001</v>
      </c>
      <c r="H65">
        <v>153.173</v>
      </c>
      <c r="I65">
        <v>152.60599999999999</v>
      </c>
      <c r="J65">
        <v>152.589</v>
      </c>
      <c r="K65">
        <v>152.863</v>
      </c>
      <c r="L65" s="1"/>
      <c r="M65" s="1" t="str">
        <f t="shared" si="8"/>
        <v>RES</v>
      </c>
      <c r="N65" s="1" t="str">
        <f t="shared" si="9"/>
        <v>RES</v>
      </c>
      <c r="O65" s="1" t="str">
        <f t="shared" si="10"/>
        <v>RES</v>
      </c>
      <c r="P65" s="1" t="str">
        <f t="shared" si="11"/>
        <v>SUP</v>
      </c>
      <c r="Q65" s="1" t="str">
        <f t="shared" si="12"/>
        <v>SUP</v>
      </c>
      <c r="R65" s="1" t="str">
        <f t="shared" si="13"/>
        <v>RES</v>
      </c>
      <c r="S65" s="1"/>
      <c r="T65" s="2">
        <f t="shared" si="14"/>
        <v>4</v>
      </c>
      <c r="U65" s="3">
        <f t="shared" si="15"/>
        <v>2</v>
      </c>
    </row>
    <row r="66" spans="1:21" x14ac:dyDescent="0.55000000000000004">
      <c r="A66">
        <v>62</v>
      </c>
      <c r="B66" t="s">
        <v>65</v>
      </c>
      <c r="C66" t="s">
        <v>4</v>
      </c>
      <c r="D66" t="s">
        <v>103</v>
      </c>
      <c r="E66">
        <v>152.84</v>
      </c>
      <c r="F66">
        <v>152.88999999999999</v>
      </c>
      <c r="G66">
        <v>152.88800000000001</v>
      </c>
      <c r="H66">
        <v>153.17099999999999</v>
      </c>
      <c r="I66">
        <v>152.607</v>
      </c>
      <c r="J66">
        <v>152.589</v>
      </c>
      <c r="K66">
        <v>152.864</v>
      </c>
      <c r="L66" s="1"/>
      <c r="M66" s="1" t="str">
        <f t="shared" si="8"/>
        <v>RES</v>
      </c>
      <c r="N66" s="1" t="str">
        <f t="shared" si="9"/>
        <v>RES</v>
      </c>
      <c r="O66" s="1" t="str">
        <f t="shared" si="10"/>
        <v>RES</v>
      </c>
      <c r="P66" s="1" t="str">
        <f t="shared" si="11"/>
        <v>SUP</v>
      </c>
      <c r="Q66" s="1" t="str">
        <f t="shared" si="12"/>
        <v>SUP</v>
      </c>
      <c r="R66" s="1" t="str">
        <f t="shared" si="13"/>
        <v>RES</v>
      </c>
      <c r="S66" s="1"/>
      <c r="T66" s="2">
        <f t="shared" si="14"/>
        <v>4</v>
      </c>
      <c r="U66" s="3">
        <f t="shared" si="15"/>
        <v>2</v>
      </c>
    </row>
    <row r="67" spans="1:21" x14ac:dyDescent="0.55000000000000004">
      <c r="A67">
        <v>63</v>
      </c>
      <c r="B67" t="s">
        <v>66</v>
      </c>
      <c r="C67" t="s">
        <v>4</v>
      </c>
      <c r="D67" t="s">
        <v>103</v>
      </c>
      <c r="E67">
        <v>152.874</v>
      </c>
      <c r="F67">
        <v>152.88800000000001</v>
      </c>
      <c r="G67">
        <v>152.88800000000001</v>
      </c>
      <c r="H67">
        <v>153.16900000000001</v>
      </c>
      <c r="I67">
        <v>152.608</v>
      </c>
      <c r="J67">
        <v>152.589</v>
      </c>
      <c r="K67">
        <v>152.86600000000001</v>
      </c>
      <c r="L67" s="1"/>
      <c r="M67" s="1" t="str">
        <f t="shared" si="8"/>
        <v>RES</v>
      </c>
      <c r="N67" s="1" t="str">
        <f t="shared" si="9"/>
        <v>RES</v>
      </c>
      <c r="O67" s="1" t="str">
        <f t="shared" si="10"/>
        <v>RES</v>
      </c>
      <c r="P67" s="1" t="str">
        <f t="shared" si="11"/>
        <v>SUP</v>
      </c>
      <c r="Q67" s="1" t="str">
        <f t="shared" si="12"/>
        <v>SUP</v>
      </c>
      <c r="R67" s="1" t="str">
        <f t="shared" si="13"/>
        <v>SUP</v>
      </c>
      <c r="S67" s="1"/>
      <c r="T67" s="2">
        <f t="shared" si="14"/>
        <v>3</v>
      </c>
      <c r="U67" s="3">
        <f t="shared" si="15"/>
        <v>3</v>
      </c>
    </row>
    <row r="68" spans="1:21" x14ac:dyDescent="0.55000000000000004">
      <c r="A68" s="4">
        <v>64</v>
      </c>
      <c r="B68" s="4" t="s">
        <v>67</v>
      </c>
      <c r="C68" s="4" t="s">
        <v>4</v>
      </c>
      <c r="D68" s="4" t="s">
        <v>103</v>
      </c>
      <c r="E68" s="4">
        <v>152.83099999999999</v>
      </c>
      <c r="F68" s="4">
        <v>152.886</v>
      </c>
      <c r="G68" s="4">
        <v>152.88800000000001</v>
      </c>
      <c r="H68" s="4">
        <v>153.16800000000001</v>
      </c>
      <c r="I68" s="4">
        <v>152.608</v>
      </c>
      <c r="J68" s="4">
        <v>152.58799999999999</v>
      </c>
      <c r="K68" s="4">
        <v>152.86799999999999</v>
      </c>
      <c r="L68" s="5"/>
      <c r="M68" s="5" t="str">
        <f t="shared" si="8"/>
        <v>RES</v>
      </c>
      <c r="N68" s="5" t="str">
        <f t="shared" si="9"/>
        <v>RES</v>
      </c>
      <c r="O68" s="5" t="str">
        <f t="shared" si="10"/>
        <v>RES</v>
      </c>
      <c r="P68" s="5" t="str">
        <f t="shared" si="11"/>
        <v>SUP</v>
      </c>
      <c r="Q68" s="5" t="str">
        <f t="shared" si="12"/>
        <v>SUP</v>
      </c>
      <c r="R68" s="5" t="str">
        <f t="shared" si="13"/>
        <v>RES</v>
      </c>
      <c r="S68" s="5"/>
      <c r="T68" s="6">
        <f t="shared" si="14"/>
        <v>4</v>
      </c>
      <c r="U68" s="7">
        <f t="shared" si="15"/>
        <v>2</v>
      </c>
    </row>
    <row r="69" spans="1:21" x14ac:dyDescent="0.55000000000000004">
      <c r="A69" s="4">
        <v>65</v>
      </c>
      <c r="B69" s="4" t="s">
        <v>68</v>
      </c>
      <c r="C69" s="4" t="s">
        <v>4</v>
      </c>
      <c r="D69" s="4" t="s">
        <v>103</v>
      </c>
      <c r="E69" s="4">
        <v>152.84399999999999</v>
      </c>
      <c r="F69" s="4">
        <v>152.88300000000001</v>
      </c>
      <c r="G69" s="4">
        <v>152.887</v>
      </c>
      <c r="H69" s="4">
        <v>153.166</v>
      </c>
      <c r="I69" s="4">
        <v>152.60900000000001</v>
      </c>
      <c r="J69" s="4">
        <v>152.58799999999999</v>
      </c>
      <c r="K69" s="4">
        <v>152.869</v>
      </c>
      <c r="L69" s="5"/>
      <c r="M69" s="5" t="str">
        <f t="shared" ref="M69:M103" si="16">IF($E69&gt;F69,"SUP","RES")</f>
        <v>RES</v>
      </c>
      <c r="N69" s="5" t="str">
        <f t="shared" ref="N69:N103" si="17">IF($E69&gt;G69,"SUP","RES")</f>
        <v>RES</v>
      </c>
      <c r="O69" s="5" t="str">
        <f t="shared" ref="O69:O103" si="18">IF($E69&gt;H69,"SUP","RES")</f>
        <v>RES</v>
      </c>
      <c r="P69" s="5" t="str">
        <f t="shared" ref="P69:P103" si="19">IF($E69&gt;I69,"SUP","RES")</f>
        <v>SUP</v>
      </c>
      <c r="Q69" s="5" t="str">
        <f t="shared" ref="Q69:Q103" si="20">IF($E69&gt;J69,"SUP","RES")</f>
        <v>SUP</v>
      </c>
      <c r="R69" s="5" t="str">
        <f t="shared" ref="R69:R103" si="21">IF($E69&gt;K69,"SUP","RES")</f>
        <v>RES</v>
      </c>
      <c r="S69" s="5"/>
      <c r="T69" s="6">
        <f t="shared" ref="T69:T103" si="22">COUNTIF(M69:R69,"RES")</f>
        <v>4</v>
      </c>
      <c r="U69" s="7">
        <f t="shared" ref="U69:U103" si="23">COUNTIF(M69:R69,"SUP")</f>
        <v>2</v>
      </c>
    </row>
    <row r="70" spans="1:21" x14ac:dyDescent="0.55000000000000004">
      <c r="A70" s="4">
        <v>66</v>
      </c>
      <c r="B70" s="4" t="s">
        <v>69</v>
      </c>
      <c r="C70" s="4" t="s">
        <v>4</v>
      </c>
      <c r="D70" s="4" t="s">
        <v>103</v>
      </c>
      <c r="E70" s="4">
        <v>152.81</v>
      </c>
      <c r="F70" s="4">
        <v>152.881</v>
      </c>
      <c r="G70" s="4">
        <v>152.887</v>
      </c>
      <c r="H70" s="4">
        <v>153.16399999999999</v>
      </c>
      <c r="I70" s="4">
        <v>152.61000000000001</v>
      </c>
      <c r="J70" s="4">
        <v>152.58799999999999</v>
      </c>
      <c r="K70" s="4">
        <v>152.87100000000001</v>
      </c>
      <c r="L70" s="5"/>
      <c r="M70" s="5" t="str">
        <f t="shared" si="16"/>
        <v>RES</v>
      </c>
      <c r="N70" s="5" t="str">
        <f t="shared" si="17"/>
        <v>RES</v>
      </c>
      <c r="O70" s="5" t="str">
        <f t="shared" si="18"/>
        <v>RES</v>
      </c>
      <c r="P70" s="5" t="str">
        <f t="shared" si="19"/>
        <v>SUP</v>
      </c>
      <c r="Q70" s="5" t="str">
        <f t="shared" si="20"/>
        <v>SUP</v>
      </c>
      <c r="R70" s="5" t="str">
        <f t="shared" si="21"/>
        <v>RES</v>
      </c>
      <c r="S70" s="5"/>
      <c r="T70" s="6">
        <f t="shared" si="22"/>
        <v>4</v>
      </c>
      <c r="U70" s="7">
        <f t="shared" si="23"/>
        <v>2</v>
      </c>
    </row>
    <row r="71" spans="1:21" x14ac:dyDescent="0.55000000000000004">
      <c r="A71">
        <v>67</v>
      </c>
      <c r="B71" t="s">
        <v>70</v>
      </c>
      <c r="C71" t="s">
        <v>4</v>
      </c>
      <c r="D71" t="s">
        <v>103</v>
      </c>
      <c r="E71">
        <v>152.809</v>
      </c>
      <c r="F71">
        <v>152.87799999999999</v>
      </c>
      <c r="G71">
        <v>152.887</v>
      </c>
      <c r="H71">
        <v>153.16300000000001</v>
      </c>
      <c r="I71">
        <v>152.61099999999999</v>
      </c>
      <c r="J71">
        <v>152.58799999999999</v>
      </c>
      <c r="K71">
        <v>152.87200000000001</v>
      </c>
      <c r="L71" s="1"/>
      <c r="M71" s="1" t="str">
        <f t="shared" si="16"/>
        <v>RES</v>
      </c>
      <c r="N71" s="1" t="str">
        <f t="shared" si="17"/>
        <v>RES</v>
      </c>
      <c r="O71" s="1" t="str">
        <f t="shared" si="18"/>
        <v>RES</v>
      </c>
      <c r="P71" s="1" t="str">
        <f t="shared" si="19"/>
        <v>SUP</v>
      </c>
      <c r="Q71" s="1" t="str">
        <f t="shared" si="20"/>
        <v>SUP</v>
      </c>
      <c r="R71" s="1" t="str">
        <f t="shared" si="21"/>
        <v>RES</v>
      </c>
      <c r="S71" s="1"/>
      <c r="T71" s="2">
        <f t="shared" si="22"/>
        <v>4</v>
      </c>
      <c r="U71" s="3">
        <f t="shared" si="23"/>
        <v>2</v>
      </c>
    </row>
    <row r="72" spans="1:21" x14ac:dyDescent="0.55000000000000004">
      <c r="A72">
        <v>68</v>
      </c>
      <c r="B72" t="s">
        <v>71</v>
      </c>
      <c r="C72" t="s">
        <v>4</v>
      </c>
      <c r="D72" t="s">
        <v>103</v>
      </c>
      <c r="E72">
        <v>152.81299999999999</v>
      </c>
      <c r="F72">
        <v>152.876</v>
      </c>
      <c r="G72">
        <v>152.886</v>
      </c>
      <c r="H72">
        <v>153.161</v>
      </c>
      <c r="I72">
        <v>152.61099999999999</v>
      </c>
      <c r="J72">
        <v>152.58699999999999</v>
      </c>
      <c r="K72">
        <v>152.874</v>
      </c>
      <c r="L72" s="1"/>
      <c r="M72" s="1" t="str">
        <f t="shared" si="16"/>
        <v>RES</v>
      </c>
      <c r="N72" s="1" t="str">
        <f t="shared" si="17"/>
        <v>RES</v>
      </c>
      <c r="O72" s="1" t="str">
        <f t="shared" si="18"/>
        <v>RES</v>
      </c>
      <c r="P72" s="1" t="str">
        <f t="shared" si="19"/>
        <v>SUP</v>
      </c>
      <c r="Q72" s="1" t="str">
        <f t="shared" si="20"/>
        <v>SUP</v>
      </c>
      <c r="R72" s="1" t="str">
        <f t="shared" si="21"/>
        <v>RES</v>
      </c>
      <c r="S72" s="1"/>
      <c r="T72" s="2">
        <f t="shared" si="22"/>
        <v>4</v>
      </c>
      <c r="U72" s="3">
        <f t="shared" si="23"/>
        <v>2</v>
      </c>
    </row>
    <row r="73" spans="1:21" x14ac:dyDescent="0.55000000000000004">
      <c r="A73">
        <v>69</v>
      </c>
      <c r="B73" t="s">
        <v>72</v>
      </c>
      <c r="C73" t="s">
        <v>4</v>
      </c>
      <c r="D73" t="s">
        <v>103</v>
      </c>
      <c r="E73">
        <v>152.779</v>
      </c>
      <c r="F73">
        <v>152.87299999999999</v>
      </c>
      <c r="G73">
        <v>152.886</v>
      </c>
      <c r="H73">
        <v>153.15899999999999</v>
      </c>
      <c r="I73">
        <v>152.61199999999999</v>
      </c>
      <c r="J73">
        <v>152.58699999999999</v>
      </c>
      <c r="K73">
        <v>152.876</v>
      </c>
      <c r="L73" s="1"/>
      <c r="M73" s="1" t="str">
        <f t="shared" si="16"/>
        <v>RES</v>
      </c>
      <c r="N73" s="1" t="str">
        <f t="shared" si="17"/>
        <v>RES</v>
      </c>
      <c r="O73" s="1" t="str">
        <f t="shared" si="18"/>
        <v>RES</v>
      </c>
      <c r="P73" s="1" t="str">
        <f t="shared" si="19"/>
        <v>SUP</v>
      </c>
      <c r="Q73" s="1" t="str">
        <f t="shared" si="20"/>
        <v>SUP</v>
      </c>
      <c r="R73" s="1" t="str">
        <f t="shared" si="21"/>
        <v>RES</v>
      </c>
      <c r="S73" s="1"/>
      <c r="T73" s="2">
        <f t="shared" si="22"/>
        <v>4</v>
      </c>
      <c r="U73" s="3">
        <f t="shared" si="23"/>
        <v>2</v>
      </c>
    </row>
    <row r="74" spans="1:21" x14ac:dyDescent="0.55000000000000004">
      <c r="A74">
        <v>70</v>
      </c>
      <c r="B74" t="s">
        <v>73</v>
      </c>
      <c r="C74" t="s">
        <v>4</v>
      </c>
      <c r="D74" t="s">
        <v>103</v>
      </c>
      <c r="E74">
        <v>152.76900000000001</v>
      </c>
      <c r="F74">
        <v>152.87100000000001</v>
      </c>
      <c r="G74">
        <v>152.88499999999999</v>
      </c>
      <c r="H74">
        <v>153.15799999999999</v>
      </c>
      <c r="I74">
        <v>152.613</v>
      </c>
      <c r="J74">
        <v>152.58699999999999</v>
      </c>
      <c r="K74">
        <v>152.87700000000001</v>
      </c>
      <c r="L74" s="1"/>
      <c r="M74" s="1" t="str">
        <f t="shared" si="16"/>
        <v>RES</v>
      </c>
      <c r="N74" s="1" t="str">
        <f t="shared" si="17"/>
        <v>RES</v>
      </c>
      <c r="O74" s="1" t="str">
        <f t="shared" si="18"/>
        <v>RES</v>
      </c>
      <c r="P74" s="1" t="str">
        <f t="shared" si="19"/>
        <v>SUP</v>
      </c>
      <c r="Q74" s="1" t="str">
        <f t="shared" si="20"/>
        <v>SUP</v>
      </c>
      <c r="R74" s="1" t="str">
        <f t="shared" si="21"/>
        <v>RES</v>
      </c>
      <c r="S74" s="1"/>
      <c r="T74" s="2">
        <f t="shared" si="22"/>
        <v>4</v>
      </c>
      <c r="U74" s="3">
        <f t="shared" si="23"/>
        <v>2</v>
      </c>
    </row>
    <row r="75" spans="1:21" x14ac:dyDescent="0.55000000000000004">
      <c r="A75">
        <v>71</v>
      </c>
      <c r="B75" t="s">
        <v>74</v>
      </c>
      <c r="C75" t="s">
        <v>4</v>
      </c>
      <c r="D75" t="s">
        <v>103</v>
      </c>
      <c r="E75">
        <v>152.74299999999999</v>
      </c>
      <c r="F75">
        <v>152.869</v>
      </c>
      <c r="G75">
        <v>152.88499999999999</v>
      </c>
      <c r="H75">
        <v>153.15600000000001</v>
      </c>
      <c r="I75">
        <v>152.614</v>
      </c>
      <c r="J75">
        <v>152.58699999999999</v>
      </c>
      <c r="K75">
        <v>152.87899999999999</v>
      </c>
      <c r="L75" s="1"/>
      <c r="M75" s="1" t="str">
        <f t="shared" si="16"/>
        <v>RES</v>
      </c>
      <c r="N75" s="1" t="str">
        <f t="shared" si="17"/>
        <v>RES</v>
      </c>
      <c r="O75" s="1" t="str">
        <f t="shared" si="18"/>
        <v>RES</v>
      </c>
      <c r="P75" s="1" t="str">
        <f t="shared" si="19"/>
        <v>SUP</v>
      </c>
      <c r="Q75" s="1" t="str">
        <f t="shared" si="20"/>
        <v>SUP</v>
      </c>
      <c r="R75" s="1" t="str">
        <f t="shared" si="21"/>
        <v>RES</v>
      </c>
      <c r="S75" s="1"/>
      <c r="T75" s="2">
        <f t="shared" si="22"/>
        <v>4</v>
      </c>
      <c r="U75" s="3">
        <f t="shared" si="23"/>
        <v>2</v>
      </c>
    </row>
    <row r="76" spans="1:21" x14ac:dyDescent="0.55000000000000004">
      <c r="A76">
        <v>72</v>
      </c>
      <c r="B76" t="s">
        <v>75</v>
      </c>
      <c r="C76" t="s">
        <v>4</v>
      </c>
      <c r="D76" t="s">
        <v>103</v>
      </c>
      <c r="E76">
        <v>152.75399999999999</v>
      </c>
      <c r="F76">
        <v>152.86600000000001</v>
      </c>
      <c r="G76">
        <v>152.88499999999999</v>
      </c>
      <c r="H76">
        <v>153.154</v>
      </c>
      <c r="I76">
        <v>152.614</v>
      </c>
      <c r="J76">
        <v>152.58699999999999</v>
      </c>
      <c r="K76">
        <v>152.88</v>
      </c>
      <c r="L76" s="1"/>
      <c r="M76" s="1" t="str">
        <f t="shared" si="16"/>
        <v>RES</v>
      </c>
      <c r="N76" s="1" t="str">
        <f t="shared" si="17"/>
        <v>RES</v>
      </c>
      <c r="O76" s="1" t="str">
        <f t="shared" si="18"/>
        <v>RES</v>
      </c>
      <c r="P76" s="1" t="str">
        <f t="shared" si="19"/>
        <v>SUP</v>
      </c>
      <c r="Q76" s="1" t="str">
        <f t="shared" si="20"/>
        <v>SUP</v>
      </c>
      <c r="R76" s="1" t="str">
        <f t="shared" si="21"/>
        <v>RES</v>
      </c>
      <c r="S76" s="1"/>
      <c r="T76" s="2">
        <f t="shared" si="22"/>
        <v>4</v>
      </c>
      <c r="U76" s="3">
        <f t="shared" si="23"/>
        <v>2</v>
      </c>
    </row>
    <row r="77" spans="1:21" x14ac:dyDescent="0.55000000000000004">
      <c r="A77">
        <v>73</v>
      </c>
      <c r="B77" t="s">
        <v>76</v>
      </c>
      <c r="C77" t="s">
        <v>4</v>
      </c>
      <c r="D77" t="s">
        <v>103</v>
      </c>
      <c r="E77">
        <v>152.73599999999999</v>
      </c>
      <c r="F77">
        <v>152.864</v>
      </c>
      <c r="G77">
        <v>152.88399999999999</v>
      </c>
      <c r="H77">
        <v>153.15299999999999</v>
      </c>
      <c r="I77">
        <v>152.61500000000001</v>
      </c>
      <c r="J77">
        <v>152.58600000000001</v>
      </c>
      <c r="K77">
        <v>152.88200000000001</v>
      </c>
      <c r="L77" s="1"/>
      <c r="M77" s="1" t="str">
        <f t="shared" si="16"/>
        <v>RES</v>
      </c>
      <c r="N77" s="1" t="str">
        <f t="shared" si="17"/>
        <v>RES</v>
      </c>
      <c r="O77" s="1" t="str">
        <f t="shared" si="18"/>
        <v>RES</v>
      </c>
      <c r="P77" s="1" t="str">
        <f t="shared" si="19"/>
        <v>SUP</v>
      </c>
      <c r="Q77" s="1" t="str">
        <f t="shared" si="20"/>
        <v>SUP</v>
      </c>
      <c r="R77" s="1" t="str">
        <f t="shared" si="21"/>
        <v>RES</v>
      </c>
      <c r="S77" s="1"/>
      <c r="T77" s="2">
        <f t="shared" si="22"/>
        <v>4</v>
      </c>
      <c r="U77" s="3">
        <f t="shared" si="23"/>
        <v>2</v>
      </c>
    </row>
    <row r="78" spans="1:21" x14ac:dyDescent="0.55000000000000004">
      <c r="A78">
        <v>74</v>
      </c>
      <c r="B78" t="s">
        <v>77</v>
      </c>
      <c r="C78" t="s">
        <v>4</v>
      </c>
      <c r="D78" t="s">
        <v>103</v>
      </c>
      <c r="E78">
        <v>152.76300000000001</v>
      </c>
      <c r="F78">
        <v>152.86099999999999</v>
      </c>
      <c r="G78">
        <v>152.88399999999999</v>
      </c>
      <c r="H78">
        <v>153.15100000000001</v>
      </c>
      <c r="I78">
        <v>152.61600000000001</v>
      </c>
      <c r="J78">
        <v>152.58600000000001</v>
      </c>
      <c r="K78">
        <v>152.88300000000001</v>
      </c>
      <c r="L78" s="1"/>
      <c r="M78" s="1" t="str">
        <f t="shared" si="16"/>
        <v>RES</v>
      </c>
      <c r="N78" s="1" t="str">
        <f t="shared" si="17"/>
        <v>RES</v>
      </c>
      <c r="O78" s="1" t="str">
        <f t="shared" si="18"/>
        <v>RES</v>
      </c>
      <c r="P78" s="1" t="str">
        <f t="shared" si="19"/>
        <v>SUP</v>
      </c>
      <c r="Q78" s="1" t="str">
        <f t="shared" si="20"/>
        <v>SUP</v>
      </c>
      <c r="R78" s="1" t="str">
        <f t="shared" si="21"/>
        <v>RES</v>
      </c>
      <c r="S78" s="1"/>
      <c r="T78" s="2">
        <f t="shared" si="22"/>
        <v>4</v>
      </c>
      <c r="U78" s="3">
        <f t="shared" si="23"/>
        <v>2</v>
      </c>
    </row>
    <row r="79" spans="1:21" x14ac:dyDescent="0.55000000000000004">
      <c r="A79">
        <v>75</v>
      </c>
      <c r="B79" t="s">
        <v>78</v>
      </c>
      <c r="C79" t="s">
        <v>4</v>
      </c>
      <c r="D79" t="s">
        <v>103</v>
      </c>
      <c r="E79">
        <v>152.77000000000001</v>
      </c>
      <c r="F79">
        <v>152.85900000000001</v>
      </c>
      <c r="G79">
        <v>152.88399999999999</v>
      </c>
      <c r="H79">
        <v>153.15</v>
      </c>
      <c r="I79">
        <v>152.61699999999999</v>
      </c>
      <c r="J79">
        <v>152.58600000000001</v>
      </c>
      <c r="K79">
        <v>152.88499999999999</v>
      </c>
      <c r="L79" s="1"/>
      <c r="M79" s="1" t="str">
        <f t="shared" si="16"/>
        <v>RES</v>
      </c>
      <c r="N79" s="1" t="str">
        <f t="shared" si="17"/>
        <v>RES</v>
      </c>
      <c r="O79" s="1" t="str">
        <f t="shared" si="18"/>
        <v>RES</v>
      </c>
      <c r="P79" s="1" t="str">
        <f t="shared" si="19"/>
        <v>SUP</v>
      </c>
      <c r="Q79" s="1" t="str">
        <f t="shared" si="20"/>
        <v>SUP</v>
      </c>
      <c r="R79" s="1" t="str">
        <f t="shared" si="21"/>
        <v>RES</v>
      </c>
      <c r="S79" s="1"/>
      <c r="T79" s="2">
        <f t="shared" si="22"/>
        <v>4</v>
      </c>
      <c r="U79" s="3">
        <f t="shared" si="23"/>
        <v>2</v>
      </c>
    </row>
    <row r="80" spans="1:21" x14ac:dyDescent="0.55000000000000004">
      <c r="A80">
        <v>76</v>
      </c>
      <c r="B80" t="s">
        <v>79</v>
      </c>
      <c r="C80" t="s">
        <v>4</v>
      </c>
      <c r="D80" t="s">
        <v>103</v>
      </c>
      <c r="E80">
        <v>152.77699999999999</v>
      </c>
      <c r="F80">
        <v>152.85599999999999</v>
      </c>
      <c r="G80">
        <v>152.88300000000001</v>
      </c>
      <c r="H80">
        <v>153.148</v>
      </c>
      <c r="I80">
        <v>152.61699999999999</v>
      </c>
      <c r="J80">
        <v>152.58600000000001</v>
      </c>
      <c r="K80">
        <v>152.887</v>
      </c>
      <c r="L80" s="1"/>
      <c r="M80" s="1" t="str">
        <f t="shared" si="16"/>
        <v>RES</v>
      </c>
      <c r="N80" s="1" t="str">
        <f t="shared" si="17"/>
        <v>RES</v>
      </c>
      <c r="O80" s="1" t="str">
        <f t="shared" si="18"/>
        <v>RES</v>
      </c>
      <c r="P80" s="1" t="str">
        <f t="shared" si="19"/>
        <v>SUP</v>
      </c>
      <c r="Q80" s="1" t="str">
        <f t="shared" si="20"/>
        <v>SUP</v>
      </c>
      <c r="R80" s="1" t="str">
        <f t="shared" si="21"/>
        <v>RES</v>
      </c>
      <c r="S80" s="1"/>
      <c r="T80" s="2">
        <f t="shared" si="22"/>
        <v>4</v>
      </c>
      <c r="U80" s="3">
        <f t="shared" si="23"/>
        <v>2</v>
      </c>
    </row>
    <row r="81" spans="1:21" x14ac:dyDescent="0.55000000000000004">
      <c r="A81">
        <v>77</v>
      </c>
      <c r="B81" t="s">
        <v>80</v>
      </c>
      <c r="C81" t="s">
        <v>4</v>
      </c>
      <c r="D81" t="s">
        <v>103</v>
      </c>
      <c r="E81">
        <v>152.80099999999999</v>
      </c>
      <c r="F81">
        <v>152.85400000000001</v>
      </c>
      <c r="G81">
        <v>152.88300000000001</v>
      </c>
      <c r="H81">
        <v>153.14599999999999</v>
      </c>
      <c r="I81">
        <v>152.61799999999999</v>
      </c>
      <c r="J81">
        <v>152.58500000000001</v>
      </c>
      <c r="K81">
        <v>152.88800000000001</v>
      </c>
      <c r="L81" s="1"/>
      <c r="M81" s="1" t="str">
        <f t="shared" si="16"/>
        <v>RES</v>
      </c>
      <c r="N81" s="1" t="str">
        <f t="shared" si="17"/>
        <v>RES</v>
      </c>
      <c r="O81" s="1" t="str">
        <f t="shared" si="18"/>
        <v>RES</v>
      </c>
      <c r="P81" s="1" t="str">
        <f t="shared" si="19"/>
        <v>SUP</v>
      </c>
      <c r="Q81" s="1" t="str">
        <f t="shared" si="20"/>
        <v>SUP</v>
      </c>
      <c r="R81" s="1" t="str">
        <f t="shared" si="21"/>
        <v>RES</v>
      </c>
      <c r="S81" s="1"/>
      <c r="T81" s="2">
        <f t="shared" si="22"/>
        <v>4</v>
      </c>
      <c r="U81" s="3">
        <f t="shared" si="23"/>
        <v>2</v>
      </c>
    </row>
    <row r="82" spans="1:21" x14ac:dyDescent="0.55000000000000004">
      <c r="A82">
        <v>78</v>
      </c>
      <c r="B82" t="s">
        <v>81</v>
      </c>
      <c r="C82" t="s">
        <v>4</v>
      </c>
      <c r="D82" t="s">
        <v>103</v>
      </c>
      <c r="E82">
        <v>152.81200000000001</v>
      </c>
      <c r="F82">
        <v>152.852</v>
      </c>
      <c r="G82">
        <v>152.88200000000001</v>
      </c>
      <c r="H82">
        <v>153.14500000000001</v>
      </c>
      <c r="I82">
        <v>152.619</v>
      </c>
      <c r="J82">
        <v>152.58500000000001</v>
      </c>
      <c r="K82">
        <v>152.88999999999999</v>
      </c>
      <c r="L82" s="1"/>
      <c r="M82" s="1" t="str">
        <f t="shared" si="16"/>
        <v>RES</v>
      </c>
      <c r="N82" s="1" t="str">
        <f t="shared" si="17"/>
        <v>RES</v>
      </c>
      <c r="O82" s="1" t="str">
        <f t="shared" si="18"/>
        <v>RES</v>
      </c>
      <c r="P82" s="1" t="str">
        <f t="shared" si="19"/>
        <v>SUP</v>
      </c>
      <c r="Q82" s="1" t="str">
        <f t="shared" si="20"/>
        <v>SUP</v>
      </c>
      <c r="R82" s="1" t="str">
        <f t="shared" si="21"/>
        <v>RES</v>
      </c>
      <c r="S82" s="1"/>
      <c r="T82" s="2">
        <f t="shared" si="22"/>
        <v>4</v>
      </c>
      <c r="U82" s="3">
        <f t="shared" si="23"/>
        <v>2</v>
      </c>
    </row>
    <row r="83" spans="1:21" x14ac:dyDescent="0.55000000000000004">
      <c r="A83">
        <v>79</v>
      </c>
      <c r="B83" t="s">
        <v>82</v>
      </c>
      <c r="C83" t="s">
        <v>4</v>
      </c>
      <c r="D83" t="s">
        <v>103</v>
      </c>
      <c r="E83">
        <v>152.786</v>
      </c>
      <c r="F83">
        <v>152.84899999999999</v>
      </c>
      <c r="G83">
        <v>152.88200000000001</v>
      </c>
      <c r="H83">
        <v>153.143</v>
      </c>
      <c r="I83">
        <v>152.62</v>
      </c>
      <c r="J83">
        <v>152.58500000000001</v>
      </c>
      <c r="K83">
        <v>152.89099999999999</v>
      </c>
      <c r="L83" s="1"/>
      <c r="M83" s="1" t="str">
        <f t="shared" si="16"/>
        <v>RES</v>
      </c>
      <c r="N83" s="1" t="str">
        <f t="shared" si="17"/>
        <v>RES</v>
      </c>
      <c r="O83" s="1" t="str">
        <f t="shared" si="18"/>
        <v>RES</v>
      </c>
      <c r="P83" s="1" t="str">
        <f t="shared" si="19"/>
        <v>SUP</v>
      </c>
      <c r="Q83" s="1" t="str">
        <f t="shared" si="20"/>
        <v>SUP</v>
      </c>
      <c r="R83" s="1" t="str">
        <f t="shared" si="21"/>
        <v>RES</v>
      </c>
      <c r="S83" s="1"/>
      <c r="T83" s="2">
        <f t="shared" si="22"/>
        <v>4</v>
      </c>
      <c r="U83" s="3">
        <f t="shared" si="23"/>
        <v>2</v>
      </c>
    </row>
    <row r="84" spans="1:21" x14ac:dyDescent="0.55000000000000004">
      <c r="A84">
        <v>80</v>
      </c>
      <c r="B84" t="s">
        <v>83</v>
      </c>
      <c r="C84" t="s">
        <v>4</v>
      </c>
      <c r="D84" t="s">
        <v>103</v>
      </c>
      <c r="E84">
        <v>152.81399999999999</v>
      </c>
      <c r="F84">
        <v>152.84700000000001</v>
      </c>
      <c r="G84">
        <v>152.88200000000001</v>
      </c>
      <c r="H84">
        <v>153.14099999999999</v>
      </c>
      <c r="I84">
        <v>152.62100000000001</v>
      </c>
      <c r="J84">
        <v>152.58500000000001</v>
      </c>
      <c r="K84">
        <v>152.893</v>
      </c>
      <c r="L84" s="1"/>
      <c r="M84" s="1" t="str">
        <f t="shared" si="16"/>
        <v>RES</v>
      </c>
      <c r="N84" s="1" t="str">
        <f t="shared" si="17"/>
        <v>RES</v>
      </c>
      <c r="O84" s="1" t="str">
        <f t="shared" si="18"/>
        <v>RES</v>
      </c>
      <c r="P84" s="1" t="str">
        <f t="shared" si="19"/>
        <v>SUP</v>
      </c>
      <c r="Q84" s="1" t="str">
        <f t="shared" si="20"/>
        <v>SUP</v>
      </c>
      <c r="R84" s="1" t="str">
        <f t="shared" si="21"/>
        <v>RES</v>
      </c>
      <c r="S84" s="1"/>
      <c r="T84" s="2">
        <f t="shared" si="22"/>
        <v>4</v>
      </c>
      <c r="U84" s="3">
        <f t="shared" si="23"/>
        <v>2</v>
      </c>
    </row>
    <row r="85" spans="1:21" x14ac:dyDescent="0.55000000000000004">
      <c r="A85">
        <v>81</v>
      </c>
      <c r="B85" t="s">
        <v>84</v>
      </c>
      <c r="C85" t="s">
        <v>4</v>
      </c>
      <c r="D85" t="s">
        <v>103</v>
      </c>
      <c r="E85">
        <v>152.78700000000001</v>
      </c>
      <c r="F85">
        <v>152.84399999999999</v>
      </c>
      <c r="G85">
        <v>152.881</v>
      </c>
      <c r="H85">
        <v>153.13999999999999</v>
      </c>
      <c r="I85">
        <v>152.62100000000001</v>
      </c>
      <c r="J85">
        <v>152.584</v>
      </c>
      <c r="K85">
        <v>152.89400000000001</v>
      </c>
      <c r="L85" s="1"/>
      <c r="M85" s="1" t="str">
        <f t="shared" si="16"/>
        <v>RES</v>
      </c>
      <c r="N85" s="1" t="str">
        <f t="shared" si="17"/>
        <v>RES</v>
      </c>
      <c r="O85" s="1" t="str">
        <f t="shared" si="18"/>
        <v>RES</v>
      </c>
      <c r="P85" s="1" t="str">
        <f t="shared" si="19"/>
        <v>SUP</v>
      </c>
      <c r="Q85" s="1" t="str">
        <f t="shared" si="20"/>
        <v>SUP</v>
      </c>
      <c r="R85" s="1" t="str">
        <f t="shared" si="21"/>
        <v>RES</v>
      </c>
      <c r="S85" s="1"/>
      <c r="T85" s="2">
        <f t="shared" si="22"/>
        <v>4</v>
      </c>
      <c r="U85" s="3">
        <f t="shared" si="23"/>
        <v>2</v>
      </c>
    </row>
    <row r="86" spans="1:21" x14ac:dyDescent="0.55000000000000004">
      <c r="A86">
        <v>82</v>
      </c>
      <c r="B86" t="s">
        <v>85</v>
      </c>
      <c r="C86" t="s">
        <v>4</v>
      </c>
      <c r="D86" t="s">
        <v>103</v>
      </c>
      <c r="E86">
        <v>152.72999999999999</v>
      </c>
      <c r="F86">
        <v>152.84200000000001</v>
      </c>
      <c r="G86">
        <v>152.881</v>
      </c>
      <c r="H86">
        <v>153.13800000000001</v>
      </c>
      <c r="I86">
        <v>152.62200000000001</v>
      </c>
      <c r="J86">
        <v>152.584</v>
      </c>
      <c r="K86">
        <v>152.89599999999999</v>
      </c>
      <c r="L86" s="1"/>
      <c r="M86" s="1" t="str">
        <f t="shared" si="16"/>
        <v>RES</v>
      </c>
      <c r="N86" s="1" t="str">
        <f t="shared" si="17"/>
        <v>RES</v>
      </c>
      <c r="O86" s="1" t="str">
        <f t="shared" si="18"/>
        <v>RES</v>
      </c>
      <c r="P86" s="1" t="str">
        <f t="shared" si="19"/>
        <v>SUP</v>
      </c>
      <c r="Q86" s="1" t="str">
        <f t="shared" si="20"/>
        <v>SUP</v>
      </c>
      <c r="R86" s="1" t="str">
        <f t="shared" si="21"/>
        <v>RES</v>
      </c>
      <c r="S86" s="1"/>
      <c r="T86" s="2">
        <f t="shared" si="22"/>
        <v>4</v>
      </c>
      <c r="U86" s="3">
        <f t="shared" si="23"/>
        <v>2</v>
      </c>
    </row>
    <row r="87" spans="1:21" x14ac:dyDescent="0.55000000000000004">
      <c r="A87">
        <v>83</v>
      </c>
      <c r="B87" t="s">
        <v>86</v>
      </c>
      <c r="C87" t="s">
        <v>4</v>
      </c>
      <c r="D87" t="s">
        <v>103</v>
      </c>
      <c r="E87">
        <v>152.72800000000001</v>
      </c>
      <c r="F87">
        <v>152.84</v>
      </c>
      <c r="G87">
        <v>152.881</v>
      </c>
      <c r="H87">
        <v>153.136</v>
      </c>
      <c r="I87">
        <v>152.62299999999999</v>
      </c>
      <c r="J87">
        <v>152.584</v>
      </c>
      <c r="K87">
        <v>152.898</v>
      </c>
      <c r="L87" s="1"/>
      <c r="M87" s="1" t="str">
        <f t="shared" si="16"/>
        <v>RES</v>
      </c>
      <c r="N87" s="1" t="str">
        <f t="shared" si="17"/>
        <v>RES</v>
      </c>
      <c r="O87" s="1" t="str">
        <f t="shared" si="18"/>
        <v>RES</v>
      </c>
      <c r="P87" s="1" t="str">
        <f t="shared" si="19"/>
        <v>SUP</v>
      </c>
      <c r="Q87" s="1" t="str">
        <f t="shared" si="20"/>
        <v>SUP</v>
      </c>
      <c r="R87" s="1" t="str">
        <f t="shared" si="21"/>
        <v>RES</v>
      </c>
      <c r="S87" s="1"/>
      <c r="T87" s="2">
        <f t="shared" si="22"/>
        <v>4</v>
      </c>
      <c r="U87" s="3">
        <f t="shared" si="23"/>
        <v>2</v>
      </c>
    </row>
    <row r="88" spans="1:21" x14ac:dyDescent="0.55000000000000004">
      <c r="A88">
        <v>84</v>
      </c>
      <c r="B88" t="s">
        <v>87</v>
      </c>
      <c r="C88" t="s">
        <v>4</v>
      </c>
      <c r="D88" t="s">
        <v>103</v>
      </c>
      <c r="E88">
        <v>152.72900000000001</v>
      </c>
      <c r="F88">
        <v>152.83699999999999</v>
      </c>
      <c r="G88">
        <v>152.88</v>
      </c>
      <c r="H88">
        <v>153.13499999999999</v>
      </c>
      <c r="I88">
        <v>152.624</v>
      </c>
      <c r="J88">
        <v>152.584</v>
      </c>
      <c r="K88">
        <v>152.899</v>
      </c>
      <c r="L88" s="1"/>
      <c r="M88" s="1" t="str">
        <f t="shared" si="16"/>
        <v>RES</v>
      </c>
      <c r="N88" s="1" t="str">
        <f t="shared" si="17"/>
        <v>RES</v>
      </c>
      <c r="O88" s="1" t="str">
        <f t="shared" si="18"/>
        <v>RES</v>
      </c>
      <c r="P88" s="1" t="str">
        <f t="shared" si="19"/>
        <v>SUP</v>
      </c>
      <c r="Q88" s="1" t="str">
        <f t="shared" si="20"/>
        <v>SUP</v>
      </c>
      <c r="R88" s="1" t="str">
        <f t="shared" si="21"/>
        <v>RES</v>
      </c>
      <c r="S88" s="1"/>
      <c r="T88" s="2">
        <f t="shared" si="22"/>
        <v>4</v>
      </c>
      <c r="U88" s="3">
        <f t="shared" si="23"/>
        <v>2</v>
      </c>
    </row>
    <row r="89" spans="1:21" x14ac:dyDescent="0.55000000000000004">
      <c r="A89">
        <v>85</v>
      </c>
      <c r="B89" t="s">
        <v>88</v>
      </c>
      <c r="C89" t="s">
        <v>4</v>
      </c>
      <c r="D89" t="s">
        <v>103</v>
      </c>
      <c r="E89">
        <v>152.74600000000001</v>
      </c>
      <c r="F89">
        <v>152.83500000000001</v>
      </c>
      <c r="G89">
        <v>152.88</v>
      </c>
      <c r="H89">
        <v>153.13300000000001</v>
      </c>
      <c r="I89">
        <v>152.624</v>
      </c>
      <c r="J89">
        <v>152.584</v>
      </c>
      <c r="K89">
        <v>152.90100000000001</v>
      </c>
      <c r="L89" s="1"/>
      <c r="M89" s="1" t="str">
        <f t="shared" si="16"/>
        <v>RES</v>
      </c>
      <c r="N89" s="1" t="str">
        <f t="shared" si="17"/>
        <v>RES</v>
      </c>
      <c r="O89" s="1" t="str">
        <f t="shared" si="18"/>
        <v>RES</v>
      </c>
      <c r="P89" s="1" t="str">
        <f t="shared" si="19"/>
        <v>SUP</v>
      </c>
      <c r="Q89" s="1" t="str">
        <f t="shared" si="20"/>
        <v>SUP</v>
      </c>
      <c r="R89" s="1" t="str">
        <f t="shared" si="21"/>
        <v>RES</v>
      </c>
      <c r="S89" s="1"/>
      <c r="T89" s="2">
        <f t="shared" si="22"/>
        <v>4</v>
      </c>
      <c r="U89" s="3">
        <f t="shared" si="23"/>
        <v>2</v>
      </c>
    </row>
    <row r="90" spans="1:21" x14ac:dyDescent="0.55000000000000004">
      <c r="A90">
        <v>86</v>
      </c>
      <c r="B90" t="s">
        <v>89</v>
      </c>
      <c r="C90" t="s">
        <v>4</v>
      </c>
      <c r="D90" t="s">
        <v>103</v>
      </c>
      <c r="E90">
        <v>152.74199999999999</v>
      </c>
      <c r="F90">
        <v>152.83199999999999</v>
      </c>
      <c r="G90">
        <v>152.87899999999999</v>
      </c>
      <c r="H90">
        <v>153.13200000000001</v>
      </c>
      <c r="I90">
        <v>152.625</v>
      </c>
      <c r="J90">
        <v>152.583</v>
      </c>
      <c r="K90">
        <v>152.90199999999999</v>
      </c>
      <c r="L90" s="1"/>
      <c r="M90" s="1" t="str">
        <f t="shared" si="16"/>
        <v>RES</v>
      </c>
      <c r="N90" s="1" t="str">
        <f t="shared" si="17"/>
        <v>RES</v>
      </c>
      <c r="O90" s="1" t="str">
        <f t="shared" si="18"/>
        <v>RES</v>
      </c>
      <c r="P90" s="1" t="str">
        <f t="shared" si="19"/>
        <v>SUP</v>
      </c>
      <c r="Q90" s="1" t="str">
        <f t="shared" si="20"/>
        <v>SUP</v>
      </c>
      <c r="R90" s="1" t="str">
        <f t="shared" si="21"/>
        <v>RES</v>
      </c>
      <c r="S90" s="1"/>
      <c r="T90" s="2">
        <f t="shared" si="22"/>
        <v>4</v>
      </c>
      <c r="U90" s="3">
        <f t="shared" si="23"/>
        <v>2</v>
      </c>
    </row>
    <row r="91" spans="1:21" x14ac:dyDescent="0.55000000000000004">
      <c r="A91">
        <v>87</v>
      </c>
      <c r="B91" t="s">
        <v>90</v>
      </c>
      <c r="C91" t="s">
        <v>4</v>
      </c>
      <c r="D91" t="s">
        <v>103</v>
      </c>
      <c r="E91">
        <v>152.70599999999999</v>
      </c>
      <c r="F91">
        <v>152.83000000000001</v>
      </c>
      <c r="G91">
        <v>152.87899999999999</v>
      </c>
      <c r="H91">
        <v>153.13</v>
      </c>
      <c r="I91">
        <v>152.626</v>
      </c>
      <c r="J91">
        <v>152.583</v>
      </c>
      <c r="K91">
        <v>152.904</v>
      </c>
      <c r="L91" s="1"/>
      <c r="M91" s="1" t="str">
        <f t="shared" si="16"/>
        <v>RES</v>
      </c>
      <c r="N91" s="1" t="str">
        <f t="shared" si="17"/>
        <v>RES</v>
      </c>
      <c r="O91" s="1" t="str">
        <f t="shared" si="18"/>
        <v>RES</v>
      </c>
      <c r="P91" s="1" t="str">
        <f t="shared" si="19"/>
        <v>SUP</v>
      </c>
      <c r="Q91" s="1" t="str">
        <f t="shared" si="20"/>
        <v>SUP</v>
      </c>
      <c r="R91" s="1" t="str">
        <f t="shared" si="21"/>
        <v>RES</v>
      </c>
      <c r="S91" s="1"/>
      <c r="T91" s="2">
        <f t="shared" si="22"/>
        <v>4</v>
      </c>
      <c r="U91" s="3">
        <f t="shared" si="23"/>
        <v>2</v>
      </c>
    </row>
    <row r="92" spans="1:21" x14ac:dyDescent="0.55000000000000004">
      <c r="A92">
        <v>88</v>
      </c>
      <c r="B92" t="s">
        <v>91</v>
      </c>
      <c r="C92" t="s">
        <v>4</v>
      </c>
      <c r="D92" t="s">
        <v>103</v>
      </c>
      <c r="E92">
        <v>152.75700000000001</v>
      </c>
      <c r="F92">
        <v>152.827</v>
      </c>
      <c r="G92">
        <v>152.87899999999999</v>
      </c>
      <c r="H92">
        <v>153.12799999999999</v>
      </c>
      <c r="I92">
        <v>152.62700000000001</v>
      </c>
      <c r="J92">
        <v>152.583</v>
      </c>
      <c r="K92">
        <v>152.90600000000001</v>
      </c>
      <c r="L92" s="1"/>
      <c r="M92" s="1" t="str">
        <f t="shared" si="16"/>
        <v>RES</v>
      </c>
      <c r="N92" s="1" t="str">
        <f t="shared" si="17"/>
        <v>RES</v>
      </c>
      <c r="O92" s="1" t="str">
        <f t="shared" si="18"/>
        <v>RES</v>
      </c>
      <c r="P92" s="1" t="str">
        <f t="shared" si="19"/>
        <v>SUP</v>
      </c>
      <c r="Q92" s="1" t="str">
        <f t="shared" si="20"/>
        <v>SUP</v>
      </c>
      <c r="R92" s="1" t="str">
        <f t="shared" si="21"/>
        <v>RES</v>
      </c>
      <c r="S92" s="1"/>
      <c r="T92" s="2">
        <f t="shared" si="22"/>
        <v>4</v>
      </c>
      <c r="U92" s="3">
        <f t="shared" si="23"/>
        <v>2</v>
      </c>
    </row>
    <row r="93" spans="1:21" x14ac:dyDescent="0.55000000000000004">
      <c r="A93">
        <v>89</v>
      </c>
      <c r="B93" t="s">
        <v>92</v>
      </c>
      <c r="C93" t="s">
        <v>4</v>
      </c>
      <c r="D93" t="s">
        <v>103</v>
      </c>
      <c r="E93">
        <v>152.649</v>
      </c>
      <c r="F93">
        <v>152.82499999999999</v>
      </c>
      <c r="G93">
        <v>152.87799999999999</v>
      </c>
      <c r="H93">
        <v>153.12700000000001</v>
      </c>
      <c r="I93">
        <v>152.62700000000001</v>
      </c>
      <c r="J93">
        <v>152.583</v>
      </c>
      <c r="K93">
        <v>152.90700000000001</v>
      </c>
      <c r="L93" s="1"/>
      <c r="M93" s="1" t="str">
        <f t="shared" si="16"/>
        <v>RES</v>
      </c>
      <c r="N93" s="1" t="str">
        <f t="shared" si="17"/>
        <v>RES</v>
      </c>
      <c r="O93" s="1" t="str">
        <f t="shared" si="18"/>
        <v>RES</v>
      </c>
      <c r="P93" s="1" t="str">
        <f t="shared" si="19"/>
        <v>SUP</v>
      </c>
      <c r="Q93" s="1" t="str">
        <f t="shared" si="20"/>
        <v>SUP</v>
      </c>
      <c r="R93" s="1" t="str">
        <f t="shared" si="21"/>
        <v>RES</v>
      </c>
      <c r="S93" s="1"/>
      <c r="T93" s="2">
        <f t="shared" si="22"/>
        <v>4</v>
      </c>
      <c r="U93" s="3">
        <f t="shared" si="23"/>
        <v>2</v>
      </c>
    </row>
    <row r="94" spans="1:21" x14ac:dyDescent="0.55000000000000004">
      <c r="A94">
        <v>90</v>
      </c>
      <c r="B94" t="s">
        <v>93</v>
      </c>
      <c r="C94" t="s">
        <v>4</v>
      </c>
      <c r="D94" t="s">
        <v>103</v>
      </c>
      <c r="E94">
        <v>152.648</v>
      </c>
      <c r="F94">
        <v>152.82300000000001</v>
      </c>
      <c r="G94">
        <v>152.87799999999999</v>
      </c>
      <c r="H94">
        <v>153.125</v>
      </c>
      <c r="I94">
        <v>152.62799999999999</v>
      </c>
      <c r="J94">
        <v>152.58199999999999</v>
      </c>
      <c r="K94">
        <v>152.90899999999999</v>
      </c>
      <c r="L94" s="1"/>
      <c r="M94" s="1" t="str">
        <f t="shared" si="16"/>
        <v>RES</v>
      </c>
      <c r="N94" s="1" t="str">
        <f t="shared" si="17"/>
        <v>RES</v>
      </c>
      <c r="O94" s="1" t="str">
        <f t="shared" si="18"/>
        <v>RES</v>
      </c>
      <c r="P94" s="1" t="str">
        <f t="shared" si="19"/>
        <v>SUP</v>
      </c>
      <c r="Q94" s="1" t="str">
        <f t="shared" si="20"/>
        <v>SUP</v>
      </c>
      <c r="R94" s="1" t="str">
        <f t="shared" si="21"/>
        <v>RES</v>
      </c>
      <c r="S94" s="1"/>
      <c r="T94" s="2">
        <f t="shared" si="22"/>
        <v>4</v>
      </c>
      <c r="U94" s="3">
        <f t="shared" si="23"/>
        <v>2</v>
      </c>
    </row>
    <row r="95" spans="1:21" x14ac:dyDescent="0.55000000000000004">
      <c r="A95">
        <v>91</v>
      </c>
      <c r="B95" t="s">
        <v>94</v>
      </c>
      <c r="C95" t="s">
        <v>4</v>
      </c>
      <c r="D95" t="s">
        <v>103</v>
      </c>
      <c r="E95">
        <v>152.67599999999999</v>
      </c>
      <c r="F95">
        <v>152.82</v>
      </c>
      <c r="G95">
        <v>152.87799999999999</v>
      </c>
      <c r="H95">
        <v>153.12299999999999</v>
      </c>
      <c r="I95">
        <v>152.62899999999999</v>
      </c>
      <c r="J95">
        <v>152.58199999999999</v>
      </c>
      <c r="K95">
        <v>152.91</v>
      </c>
      <c r="L95" s="1"/>
      <c r="M95" s="1" t="str">
        <f t="shared" si="16"/>
        <v>RES</v>
      </c>
      <c r="N95" s="1" t="str">
        <f t="shared" si="17"/>
        <v>RES</v>
      </c>
      <c r="O95" s="1" t="str">
        <f t="shared" si="18"/>
        <v>RES</v>
      </c>
      <c r="P95" s="1" t="str">
        <f t="shared" si="19"/>
        <v>SUP</v>
      </c>
      <c r="Q95" s="1" t="str">
        <f t="shared" si="20"/>
        <v>SUP</v>
      </c>
      <c r="R95" s="1" t="str">
        <f t="shared" si="21"/>
        <v>RES</v>
      </c>
      <c r="S95" s="1"/>
      <c r="T95" s="2">
        <f t="shared" si="22"/>
        <v>4</v>
      </c>
      <c r="U95" s="3">
        <f t="shared" si="23"/>
        <v>2</v>
      </c>
    </row>
    <row r="96" spans="1:21" x14ac:dyDescent="0.55000000000000004">
      <c r="A96">
        <v>92</v>
      </c>
      <c r="B96" t="s">
        <v>95</v>
      </c>
      <c r="C96" t="s">
        <v>4</v>
      </c>
      <c r="D96" t="s">
        <v>103</v>
      </c>
      <c r="E96">
        <v>152.642</v>
      </c>
      <c r="F96">
        <v>152.81800000000001</v>
      </c>
      <c r="G96">
        <v>152.87700000000001</v>
      </c>
      <c r="H96">
        <v>153.12200000000001</v>
      </c>
      <c r="I96">
        <v>152.63</v>
      </c>
      <c r="J96">
        <v>152.58199999999999</v>
      </c>
      <c r="K96">
        <v>152.91200000000001</v>
      </c>
      <c r="L96" s="1"/>
      <c r="M96" s="1" t="str">
        <f t="shared" si="16"/>
        <v>RES</v>
      </c>
      <c r="N96" s="1" t="str">
        <f t="shared" si="17"/>
        <v>RES</v>
      </c>
      <c r="O96" s="1" t="str">
        <f t="shared" si="18"/>
        <v>RES</v>
      </c>
      <c r="P96" s="1" t="str">
        <f t="shared" si="19"/>
        <v>SUP</v>
      </c>
      <c r="Q96" s="1" t="str">
        <f t="shared" si="20"/>
        <v>SUP</v>
      </c>
      <c r="R96" s="1" t="str">
        <f t="shared" si="21"/>
        <v>RES</v>
      </c>
      <c r="S96" s="1"/>
      <c r="T96" s="2">
        <f t="shared" si="22"/>
        <v>4</v>
      </c>
      <c r="U96" s="3">
        <f t="shared" si="23"/>
        <v>2</v>
      </c>
    </row>
    <row r="97" spans="1:21" x14ac:dyDescent="0.55000000000000004">
      <c r="A97">
        <v>93</v>
      </c>
      <c r="B97" t="s">
        <v>96</v>
      </c>
      <c r="C97" t="s">
        <v>4</v>
      </c>
      <c r="D97" t="s">
        <v>103</v>
      </c>
      <c r="E97">
        <v>152.64500000000001</v>
      </c>
      <c r="F97">
        <v>152.815</v>
      </c>
      <c r="G97">
        <v>152.87700000000001</v>
      </c>
      <c r="H97">
        <v>153.12</v>
      </c>
      <c r="I97">
        <v>152.63</v>
      </c>
      <c r="J97">
        <v>152.58199999999999</v>
      </c>
      <c r="K97">
        <v>152.91300000000001</v>
      </c>
      <c r="L97" s="1"/>
      <c r="M97" s="1" t="str">
        <f t="shared" si="16"/>
        <v>RES</v>
      </c>
      <c r="N97" s="1" t="str">
        <f t="shared" si="17"/>
        <v>RES</v>
      </c>
      <c r="O97" s="1" t="str">
        <f t="shared" si="18"/>
        <v>RES</v>
      </c>
      <c r="P97" s="1" t="str">
        <f t="shared" si="19"/>
        <v>SUP</v>
      </c>
      <c r="Q97" s="1" t="str">
        <f t="shared" si="20"/>
        <v>SUP</v>
      </c>
      <c r="R97" s="1" t="str">
        <f t="shared" si="21"/>
        <v>RES</v>
      </c>
      <c r="S97" s="1"/>
      <c r="T97" s="2">
        <f t="shared" si="22"/>
        <v>4</v>
      </c>
      <c r="U97" s="3">
        <f t="shared" si="23"/>
        <v>2</v>
      </c>
    </row>
    <row r="98" spans="1:21" x14ac:dyDescent="0.55000000000000004">
      <c r="A98">
        <v>94</v>
      </c>
      <c r="B98" t="s">
        <v>97</v>
      </c>
      <c r="C98" t="s">
        <v>4</v>
      </c>
      <c r="D98" t="s">
        <v>103</v>
      </c>
      <c r="E98">
        <v>152.65</v>
      </c>
      <c r="F98">
        <v>152.81299999999999</v>
      </c>
      <c r="G98">
        <v>152.876</v>
      </c>
      <c r="H98">
        <v>153.11799999999999</v>
      </c>
      <c r="I98">
        <v>152.631</v>
      </c>
      <c r="J98">
        <v>152.58099999999999</v>
      </c>
      <c r="K98">
        <v>152.91499999999999</v>
      </c>
      <c r="L98" s="1"/>
      <c r="M98" s="1" t="str">
        <f t="shared" si="16"/>
        <v>RES</v>
      </c>
      <c r="N98" s="1" t="str">
        <f t="shared" si="17"/>
        <v>RES</v>
      </c>
      <c r="O98" s="1" t="str">
        <f t="shared" si="18"/>
        <v>RES</v>
      </c>
      <c r="P98" s="1" t="str">
        <f t="shared" si="19"/>
        <v>SUP</v>
      </c>
      <c r="Q98" s="1" t="str">
        <f t="shared" si="20"/>
        <v>SUP</v>
      </c>
      <c r="R98" s="1" t="str">
        <f t="shared" si="21"/>
        <v>RES</v>
      </c>
      <c r="S98" s="1"/>
      <c r="T98" s="2">
        <f t="shared" si="22"/>
        <v>4</v>
      </c>
      <c r="U98" s="3">
        <f t="shared" si="23"/>
        <v>2</v>
      </c>
    </row>
    <row r="99" spans="1:21" x14ac:dyDescent="0.55000000000000004">
      <c r="A99">
        <v>95</v>
      </c>
      <c r="B99" t="s">
        <v>98</v>
      </c>
      <c r="C99" t="s">
        <v>4</v>
      </c>
      <c r="D99" t="s">
        <v>103</v>
      </c>
      <c r="E99">
        <v>152.69999999999999</v>
      </c>
      <c r="F99">
        <v>152.81</v>
      </c>
      <c r="G99">
        <v>152.876</v>
      </c>
      <c r="H99">
        <v>153.11699999999999</v>
      </c>
      <c r="I99">
        <v>152.63200000000001</v>
      </c>
      <c r="J99">
        <v>152.58099999999999</v>
      </c>
      <c r="K99">
        <v>152.917</v>
      </c>
      <c r="L99" s="1"/>
      <c r="M99" s="1" t="str">
        <f t="shared" si="16"/>
        <v>RES</v>
      </c>
      <c r="N99" s="1" t="str">
        <f t="shared" si="17"/>
        <v>RES</v>
      </c>
      <c r="O99" s="1" t="str">
        <f t="shared" si="18"/>
        <v>RES</v>
      </c>
      <c r="P99" s="1" t="str">
        <f t="shared" si="19"/>
        <v>SUP</v>
      </c>
      <c r="Q99" s="1" t="str">
        <f t="shared" si="20"/>
        <v>SUP</v>
      </c>
      <c r="R99" s="1" t="str">
        <f t="shared" si="21"/>
        <v>RES</v>
      </c>
      <c r="S99" s="1"/>
      <c r="T99" s="2">
        <f t="shared" si="22"/>
        <v>4</v>
      </c>
      <c r="U99" s="3">
        <f t="shared" si="23"/>
        <v>2</v>
      </c>
    </row>
    <row r="100" spans="1:21" x14ac:dyDescent="0.55000000000000004">
      <c r="A100">
        <v>96</v>
      </c>
      <c r="B100" t="s">
        <v>99</v>
      </c>
      <c r="C100" t="s">
        <v>4</v>
      </c>
      <c r="D100" t="s">
        <v>103</v>
      </c>
      <c r="E100">
        <v>152.72200000000001</v>
      </c>
      <c r="F100">
        <v>152.80799999999999</v>
      </c>
      <c r="G100">
        <v>152.876</v>
      </c>
      <c r="H100">
        <v>153.11500000000001</v>
      </c>
      <c r="I100">
        <v>152.63300000000001</v>
      </c>
      <c r="J100">
        <v>152.58099999999999</v>
      </c>
      <c r="K100">
        <v>152.91800000000001</v>
      </c>
      <c r="L100" s="1"/>
      <c r="M100" s="1" t="str">
        <f t="shared" si="16"/>
        <v>RES</v>
      </c>
      <c r="N100" s="1" t="str">
        <f t="shared" si="17"/>
        <v>RES</v>
      </c>
      <c r="O100" s="1" t="str">
        <f t="shared" si="18"/>
        <v>RES</v>
      </c>
      <c r="P100" s="1" t="str">
        <f t="shared" si="19"/>
        <v>SUP</v>
      </c>
      <c r="Q100" s="1" t="str">
        <f t="shared" si="20"/>
        <v>SUP</v>
      </c>
      <c r="R100" s="1" t="str">
        <f t="shared" si="21"/>
        <v>RES</v>
      </c>
      <c r="S100" s="1"/>
      <c r="T100" s="2">
        <f t="shared" si="22"/>
        <v>4</v>
      </c>
      <c r="U100" s="3">
        <f t="shared" si="23"/>
        <v>2</v>
      </c>
    </row>
    <row r="101" spans="1:21" x14ac:dyDescent="0.55000000000000004">
      <c r="A101">
        <v>97</v>
      </c>
      <c r="B101" t="s">
        <v>100</v>
      </c>
      <c r="C101" t="s">
        <v>4</v>
      </c>
      <c r="D101" t="s">
        <v>103</v>
      </c>
      <c r="E101">
        <v>152.69200000000001</v>
      </c>
      <c r="F101">
        <v>152.80600000000001</v>
      </c>
      <c r="G101">
        <v>152.875</v>
      </c>
      <c r="H101">
        <v>153.113</v>
      </c>
      <c r="I101">
        <v>152.63399999999999</v>
      </c>
      <c r="J101">
        <v>152.58099999999999</v>
      </c>
      <c r="K101">
        <v>152.91999999999999</v>
      </c>
      <c r="L101" s="1"/>
      <c r="M101" s="1" t="str">
        <f t="shared" si="16"/>
        <v>RES</v>
      </c>
      <c r="N101" s="1" t="str">
        <f t="shared" si="17"/>
        <v>RES</v>
      </c>
      <c r="O101" s="1" t="str">
        <f t="shared" si="18"/>
        <v>RES</v>
      </c>
      <c r="P101" s="1" t="str">
        <f t="shared" si="19"/>
        <v>SUP</v>
      </c>
      <c r="Q101" s="1" t="str">
        <f t="shared" si="20"/>
        <v>SUP</v>
      </c>
      <c r="R101" s="1" t="str">
        <f t="shared" si="21"/>
        <v>RES</v>
      </c>
      <c r="S101" s="1"/>
      <c r="T101" s="2">
        <f t="shared" si="22"/>
        <v>4</v>
      </c>
      <c r="U101" s="3">
        <f t="shared" si="23"/>
        <v>2</v>
      </c>
    </row>
    <row r="102" spans="1:21" x14ac:dyDescent="0.55000000000000004">
      <c r="A102">
        <v>98</v>
      </c>
      <c r="B102" t="s">
        <v>101</v>
      </c>
      <c r="C102" t="s">
        <v>4</v>
      </c>
      <c r="D102" t="s">
        <v>103</v>
      </c>
      <c r="E102">
        <v>152.727</v>
      </c>
      <c r="F102">
        <v>152.803</v>
      </c>
      <c r="G102">
        <v>152.875</v>
      </c>
      <c r="H102">
        <v>153.11199999999999</v>
      </c>
      <c r="I102">
        <v>152.63399999999999</v>
      </c>
      <c r="J102">
        <v>152.58099999999999</v>
      </c>
      <c r="K102">
        <v>152.92099999999999</v>
      </c>
      <c r="L102" s="1"/>
      <c r="M102" s="1" t="str">
        <f t="shared" si="16"/>
        <v>RES</v>
      </c>
      <c r="N102" s="1" t="str">
        <f t="shared" si="17"/>
        <v>RES</v>
      </c>
      <c r="O102" s="1" t="str">
        <f t="shared" si="18"/>
        <v>RES</v>
      </c>
      <c r="P102" s="1" t="str">
        <f t="shared" si="19"/>
        <v>SUP</v>
      </c>
      <c r="Q102" s="1" t="str">
        <f t="shared" si="20"/>
        <v>SUP</v>
      </c>
      <c r="R102" s="1" t="str">
        <f t="shared" si="21"/>
        <v>RES</v>
      </c>
      <c r="S102" s="1"/>
      <c r="T102" s="2">
        <f t="shared" si="22"/>
        <v>4</v>
      </c>
      <c r="U102" s="3">
        <f t="shared" si="23"/>
        <v>2</v>
      </c>
    </row>
    <row r="103" spans="1:21" x14ac:dyDescent="0.55000000000000004">
      <c r="A103">
        <v>99</v>
      </c>
      <c r="B103" t="s">
        <v>102</v>
      </c>
      <c r="C103" t="s">
        <v>4</v>
      </c>
      <c r="D103" t="s">
        <v>103</v>
      </c>
      <c r="E103">
        <v>152.71199999999999</v>
      </c>
      <c r="F103">
        <v>152.80099999999999</v>
      </c>
      <c r="G103">
        <v>152.875</v>
      </c>
      <c r="H103">
        <v>153.11000000000001</v>
      </c>
      <c r="I103">
        <v>152.63499999999999</v>
      </c>
      <c r="J103">
        <v>152.58000000000001</v>
      </c>
      <c r="K103">
        <v>152.923</v>
      </c>
      <c r="L103" s="1"/>
      <c r="M103" s="1" t="str">
        <f t="shared" si="16"/>
        <v>RES</v>
      </c>
      <c r="N103" s="1" t="str">
        <f t="shared" si="17"/>
        <v>RES</v>
      </c>
      <c r="O103" s="1" t="str">
        <f t="shared" si="18"/>
        <v>RES</v>
      </c>
      <c r="P103" s="1" t="str">
        <f t="shared" si="19"/>
        <v>SUP</v>
      </c>
      <c r="Q103" s="1" t="str">
        <f t="shared" si="20"/>
        <v>SUP</v>
      </c>
      <c r="R103" s="1" t="str">
        <f t="shared" si="21"/>
        <v>RES</v>
      </c>
      <c r="S103" s="1"/>
      <c r="T103" s="2">
        <f t="shared" si="22"/>
        <v>4</v>
      </c>
      <c r="U103" s="3">
        <f t="shared" si="23"/>
        <v>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S&amp;R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2026-02-14T13:03:22Z</dcterms:created>
  <dcterms:modified xsi:type="dcterms:W3CDTF">2026-02-23T08:46:14Z</dcterms:modified>
</cp:coreProperties>
</file>