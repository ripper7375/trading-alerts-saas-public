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aS Project\trading-alerts-saas-public\davintrade-stack-d-and-e\"/>
    </mc:Choice>
  </mc:AlternateContent>
  <xr:revisionPtr revIDLastSave="0" documentId="13_ncr:1_{D18D4D05-F40C-438D-BE27-945D8D10BA52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52" i="1" l="1"/>
  <c r="J52" i="1"/>
  <c r="I52" i="1"/>
</calcChain>
</file>

<file path=xl/sharedStrings.xml><?xml version="1.0" encoding="utf-8"?>
<sst xmlns="http://schemas.openxmlformats.org/spreadsheetml/2006/main" count="326" uniqueCount="100">
  <si>
    <t>Trade History Report</t>
  </si>
  <si>
    <t>Name:</t>
  </si>
  <si>
    <t>Dhapanart Kevalee - USD 002</t>
  </si>
  <si>
    <t>Account:</t>
  </si>
  <si>
    <t>7798026 (USD, Eightcap-Demo, demo, Hedge)</t>
  </si>
  <si>
    <t>Company:</t>
  </si>
  <si>
    <t>Eightcap Pty Ltd</t>
  </si>
  <si>
    <t>Date:</t>
  </si>
  <si>
    <t>2026.01.31 10:18</t>
  </si>
  <si>
    <t>Positions</t>
  </si>
  <si>
    <t>Time</t>
  </si>
  <si>
    <t>Position</t>
  </si>
  <si>
    <t>Symbol</t>
  </si>
  <si>
    <t>Type</t>
  </si>
  <si>
    <t>Volume</t>
  </si>
  <si>
    <t>Price</t>
  </si>
  <si>
    <t>S / L</t>
  </si>
  <si>
    <t>T / P</t>
  </si>
  <si>
    <t>Commission</t>
  </si>
  <si>
    <t>Swap</t>
  </si>
  <si>
    <t>Profit</t>
  </si>
  <si>
    <t>2026.01.02 17:19:09</t>
  </si>
  <si>
    <t>XAUUSD</t>
  </si>
  <si>
    <t>buy</t>
  </si>
  <si>
    <t>0.25</t>
  </si>
  <si>
    <t>2026.01.02 17:27:12</t>
  </si>
  <si>
    <t>2026.01.02 17:23:43</t>
  </si>
  <si>
    <t>2026.01.02 17:27:11</t>
  </si>
  <si>
    <t>2026.01.30 17:47:39</t>
  </si>
  <si>
    <t>2026.01.30 17:48:50</t>
  </si>
  <si>
    <t>2026.01.30 17:54:11</t>
  </si>
  <si>
    <t>2026.01.30 17:56:01</t>
  </si>
  <si>
    <t>2026.01.30 17:57:21</t>
  </si>
  <si>
    <t>2026.01.30 17:58:17</t>
  </si>
  <si>
    <t>2026.01.30 17:57:48</t>
  </si>
  <si>
    <t>2026.01.30 17:58:00</t>
  </si>
  <si>
    <t>2026.01.30 18:03:53</t>
  </si>
  <si>
    <t>2026.01.30 18:06:20</t>
  </si>
  <si>
    <t>2026.01.30 18:05:25</t>
  </si>
  <si>
    <t>2026.01.30 18:06:03</t>
  </si>
  <si>
    <t>Orders</t>
  </si>
  <si>
    <t>Open Time</t>
  </si>
  <si>
    <t>Order</t>
  </si>
  <si>
    <t>State</t>
  </si>
  <si>
    <t>Comment</t>
  </si>
  <si>
    <t>0.25 / 0.25</t>
  </si>
  <si>
    <t>market</t>
  </si>
  <si>
    <t>filled</t>
  </si>
  <si>
    <t>sell</t>
  </si>
  <si>
    <t>Deals</t>
  </si>
  <si>
    <t>Deal</t>
  </si>
  <si>
    <t>Direction</t>
  </si>
  <si>
    <t>Fee</t>
  </si>
  <si>
    <t>Balance</t>
  </si>
  <si>
    <t>in</t>
  </si>
  <si>
    <t>out</t>
  </si>
  <si>
    <t>Balance:</t>
  </si>
  <si>
    <t>Free Margin:</t>
  </si>
  <si>
    <t>Credit Facility:</t>
  </si>
  <si>
    <t>Margin:</t>
  </si>
  <si>
    <t>Floating P/L:</t>
  </si>
  <si>
    <t>Margin Level:</t>
  </si>
  <si>
    <t>Equity:</t>
  </si>
  <si>
    <t>Results</t>
  </si>
  <si>
    <t>Total Net Profit:</t>
  </si>
  <si>
    <t>Gross Profit:</t>
  </si>
  <si>
    <t>Gross Loss:</t>
  </si>
  <si>
    <t>Profit Factor:</t>
  </si>
  <si>
    <t>Expected Payoff:</t>
  </si>
  <si>
    <t>Recovery Factor:</t>
  </si>
  <si>
    <t>Sharpe Ratio:</t>
  </si>
  <si>
    <t>Balance Drawdown:</t>
  </si>
  <si>
    <t>Balance Drawdown Absolute:</t>
  </si>
  <si>
    <t>Balance Drawdown Maximal:</t>
  </si>
  <si>
    <t>13.75 (0.05%)</t>
  </si>
  <si>
    <t>Balance Drawdown Relative:</t>
  </si>
  <si>
    <t>0.05% (13.75)</t>
  </si>
  <si>
    <t>Total Trades:</t>
  </si>
  <si>
    <t>Short Trades (won %):</t>
  </si>
  <si>
    <t>0 (0.00%)</t>
  </si>
  <si>
    <t>Long Trades (won %):</t>
  </si>
  <si>
    <t>8 (75.00%)</t>
  </si>
  <si>
    <t>Profit Trades (% of total):</t>
  </si>
  <si>
    <t>6 (75.00%)</t>
  </si>
  <si>
    <t>Loss Trades (% of total):</t>
  </si>
  <si>
    <t>2 (25.00%)</t>
  </si>
  <si>
    <t>Largest profit trade:</t>
  </si>
  <si>
    <t>Largest loss trade:</t>
  </si>
  <si>
    <t>Average profit trade:</t>
  </si>
  <si>
    <t>Average loss trade:</t>
  </si>
  <si>
    <t>Maximum consecutive wins ($):</t>
  </si>
  <si>
    <t>4 (338.50)</t>
  </si>
  <si>
    <t>Maximum consecutive losses ($):</t>
  </si>
  <si>
    <t>1 (-13.75)</t>
  </si>
  <si>
    <t>Maximal consecutive profit (count):</t>
  </si>
  <si>
    <t>338.50 (4)</t>
  </si>
  <si>
    <t>Maximal consecutive loss (count):</t>
  </si>
  <si>
    <t>-13.75 (1)</t>
  </si>
  <si>
    <t>Average consecutive wins:</t>
  </si>
  <si>
    <t>Average consecutive losses: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</si>
</sst>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;\-###0;0;"/>
    <numFmt numFmtId="165" formatCode="#\ ##0.00;\-#\ ##0.00;0.00;"/>
    <numFmt numFmtId="166" formatCode="#\ ##0.00%;\-#\ ##0.00%;0.00%;"/>
    <numFmt numFmtId="167" formatCode="#\ ##0;\-#\ ##0;0;"/>
  </numFmts>
  <fonts count="6" x14ac:knownFonts="1">
    <font>
      <sz val="11"/>
      <color rgb="FF000000"/>
      <name val="Tahoma"/>
    </font>
    <font>
      <b/>
      <sz val="14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3" borderId="1" xfId="0" applyFont="1" applyFill="1" applyBorder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165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6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167" fontId="4" fillId="2" borderId="0" xfId="0" applyNumberFormat="1" applyFont="1" applyFill="1" applyAlignment="1">
      <alignment horizontal="right" vertical="center"/>
    </xf>
    <xf numFmtId="0" fontId="5" fillId="5" borderId="0" xfId="0" applyFont="1" applyFill="1" applyAlignment="1">
      <alignment horizontal="right" vertical="center"/>
    </xf>
    <xf numFmtId="0" fontId="5" fillId="5" borderId="0" xfId="0" applyFont="1" applyFill="1" applyAlignment="1">
      <alignment horizontal="right" vertical="center"/>
    </xf>
    <xf numFmtId="165" fontId="4" fillId="5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Sheet1!$A$36:$A$51</c:f>
              <c:strCache>
                <c:ptCount val="16"/>
                <c:pt idx="0">
                  <c:v>2026.01.02 17:19:09</c:v>
                </c:pt>
                <c:pt idx="1">
                  <c:v>2026.01.02 17:23:43</c:v>
                </c:pt>
                <c:pt idx="2">
                  <c:v>2026.01.02 17:27:11</c:v>
                </c:pt>
                <c:pt idx="3">
                  <c:v>2026.01.02 17:27:12</c:v>
                </c:pt>
                <c:pt idx="4">
                  <c:v>2026.01.30 17:47:39</c:v>
                </c:pt>
                <c:pt idx="5">
                  <c:v>2026.01.30 17:48:50</c:v>
                </c:pt>
                <c:pt idx="6">
                  <c:v>2026.01.30 17:54:11</c:v>
                </c:pt>
                <c:pt idx="7">
                  <c:v>2026.01.30 17:56:01</c:v>
                </c:pt>
                <c:pt idx="8">
                  <c:v>2026.01.30 17:57:21</c:v>
                </c:pt>
                <c:pt idx="9">
                  <c:v>2026.01.30 17:57:48</c:v>
                </c:pt>
                <c:pt idx="10">
                  <c:v>2026.01.30 17:58:00</c:v>
                </c:pt>
                <c:pt idx="11">
                  <c:v>2026.01.30 17:58:17</c:v>
                </c:pt>
                <c:pt idx="12">
                  <c:v>2026.01.30 18:03:53</c:v>
                </c:pt>
                <c:pt idx="13">
                  <c:v>2026.01.30 18:05:25</c:v>
                </c:pt>
                <c:pt idx="14">
                  <c:v>2026.01.30 18:06:03</c:v>
                </c:pt>
                <c:pt idx="15">
                  <c:v>2026.01.30 18:06:20</c:v>
                </c:pt>
              </c:strCache>
            </c:strRef>
          </c:cat>
          <c:val>
            <c:numRef>
              <c:f>Sheet1!$M$36:$M$51</c:f>
              <c:numCache>
                <c:formatCode>#\ ##0.00;\-#\ ##0.00;0.00;</c:formatCode>
                <c:ptCount val="16"/>
                <c:pt idx="0">
                  <c:v>29260.95</c:v>
                </c:pt>
                <c:pt idx="1">
                  <c:v>29260.95</c:v>
                </c:pt>
                <c:pt idx="2">
                  <c:v>29458.7</c:v>
                </c:pt>
                <c:pt idx="3">
                  <c:v>29444.95</c:v>
                </c:pt>
                <c:pt idx="4">
                  <c:v>29444.95</c:v>
                </c:pt>
                <c:pt idx="5">
                  <c:v>29545.7</c:v>
                </c:pt>
                <c:pt idx="6">
                  <c:v>29545.7</c:v>
                </c:pt>
                <c:pt idx="7">
                  <c:v>29534.95</c:v>
                </c:pt>
                <c:pt idx="8">
                  <c:v>29534.95</c:v>
                </c:pt>
                <c:pt idx="9">
                  <c:v>29534.95</c:v>
                </c:pt>
                <c:pt idx="10">
                  <c:v>29616.95</c:v>
                </c:pt>
                <c:pt idx="11">
                  <c:v>29646.45</c:v>
                </c:pt>
                <c:pt idx="12">
                  <c:v>29646.45</c:v>
                </c:pt>
                <c:pt idx="13">
                  <c:v>29646.45</c:v>
                </c:pt>
                <c:pt idx="14">
                  <c:v>29813.45</c:v>
                </c:pt>
                <c:pt idx="15">
                  <c:v>29873.45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60-4E30-A12C-1B8F2C19D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TZ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32861"/>
          <c:min val="26335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TZ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56</xdr:row>
      <xdr:rowOff>0</xdr:rowOff>
    </xdr:from>
    <xdr:to>
      <xdr:col>14</xdr:col>
      <xdr:colOff>0</xdr:colOff>
      <xdr:row>76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tabSelected="1" topLeftCell="A7" workbookViewId="0">
      <selection activeCell="H22" sqref="H22"/>
    </sheetView>
  </sheetViews>
  <sheetFormatPr defaultRowHeight="15" customHeight="1" x14ac:dyDescent="0.45"/>
  <cols>
    <col min="1" max="1" width="18" bestFit="1" customWidth="1"/>
    <col min="2" max="8" width="10" bestFit="1" customWidth="1"/>
    <col min="9" max="9" width="18" bestFit="1" customWidth="1"/>
    <col min="10" max="14" width="10" bestFit="1" customWidth="1"/>
    <col min="15" max="15" width="1" bestFit="1" customWidth="1"/>
  </cols>
  <sheetData>
    <row r="1" spans="1:15" ht="25" customHeight="1" x14ac:dyDescent="0.4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" customHeight="1" x14ac:dyDescent="0.45">
      <c r="A2" s="10" t="s">
        <v>1</v>
      </c>
      <c r="B2" s="10"/>
      <c r="C2" s="10"/>
      <c r="D2" s="11" t="s">
        <v>2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15" customHeight="1" x14ac:dyDescent="0.45">
      <c r="A3" s="10" t="s">
        <v>3</v>
      </c>
      <c r="B3" s="10"/>
      <c r="C3" s="10"/>
      <c r="D3" s="11" t="s">
        <v>4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15" customHeight="1" x14ac:dyDescent="0.45">
      <c r="A4" s="10" t="s">
        <v>5</v>
      </c>
      <c r="B4" s="10"/>
      <c r="C4" s="10"/>
      <c r="D4" s="11" t="s">
        <v>6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ht="15" customHeight="1" x14ac:dyDescent="0.45">
      <c r="A5" s="10" t="s">
        <v>7</v>
      </c>
      <c r="B5" s="10"/>
      <c r="C5" s="10"/>
      <c r="D5" s="11" t="s">
        <v>8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ht="25" customHeight="1" x14ac:dyDescent="0.45">
      <c r="A6" s="12" t="s">
        <v>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5" ht="20.05" customHeight="1" x14ac:dyDescent="0.4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10</v>
      </c>
      <c r="J7" s="1" t="s">
        <v>15</v>
      </c>
      <c r="K7" s="1" t="s">
        <v>18</v>
      </c>
      <c r="L7" s="1" t="s">
        <v>19</v>
      </c>
      <c r="M7" s="13" t="s">
        <v>20</v>
      </c>
      <c r="N7" s="13"/>
      <c r="O7" s="13"/>
    </row>
    <row r="8" spans="1:15" ht="15" customHeight="1" x14ac:dyDescent="0.45">
      <c r="A8" s="2" t="s">
        <v>21</v>
      </c>
      <c r="B8" s="27">
        <v>210276525</v>
      </c>
      <c r="C8" s="2" t="s">
        <v>22</v>
      </c>
      <c r="D8" s="2" t="s">
        <v>23</v>
      </c>
      <c r="E8" s="24" t="s">
        <v>24</v>
      </c>
      <c r="F8" s="4">
        <v>4340.63</v>
      </c>
      <c r="G8" s="2"/>
      <c r="H8" s="2"/>
      <c r="I8" s="28" t="s">
        <v>25</v>
      </c>
      <c r="J8" s="4">
        <v>4340.08</v>
      </c>
      <c r="K8" s="4">
        <v>0</v>
      </c>
      <c r="L8" s="4">
        <v>0</v>
      </c>
      <c r="M8" s="14">
        <v>-13.75</v>
      </c>
      <c r="N8" s="14"/>
      <c r="O8" s="14"/>
    </row>
    <row r="9" spans="1:15" ht="15" customHeight="1" x14ac:dyDescent="0.45">
      <c r="A9" s="5" t="s">
        <v>26</v>
      </c>
      <c r="B9" s="6">
        <v>210277062</v>
      </c>
      <c r="C9" s="5" t="s">
        <v>22</v>
      </c>
      <c r="D9" s="5" t="s">
        <v>23</v>
      </c>
      <c r="E9" s="24" t="s">
        <v>24</v>
      </c>
      <c r="F9" s="7">
        <v>4332.29</v>
      </c>
      <c r="G9" s="5"/>
      <c r="H9" s="5"/>
      <c r="I9" s="5" t="s">
        <v>27</v>
      </c>
      <c r="J9" s="7">
        <v>4340.2</v>
      </c>
      <c r="K9" s="7">
        <v>0</v>
      </c>
      <c r="L9" s="7">
        <v>0</v>
      </c>
      <c r="M9" s="15">
        <v>197.75</v>
      </c>
      <c r="N9" s="15"/>
      <c r="O9" s="15"/>
    </row>
    <row r="10" spans="1:15" ht="15" customHeight="1" x14ac:dyDescent="0.45">
      <c r="A10" s="2" t="s">
        <v>28</v>
      </c>
      <c r="B10" s="3">
        <v>213839142</v>
      </c>
      <c r="C10" s="2" t="s">
        <v>22</v>
      </c>
      <c r="D10" s="2" t="s">
        <v>23</v>
      </c>
      <c r="E10" s="24" t="s">
        <v>24</v>
      </c>
      <c r="F10" s="4">
        <v>5057.12</v>
      </c>
      <c r="G10" s="2"/>
      <c r="H10" s="2"/>
      <c r="I10" s="2" t="s">
        <v>29</v>
      </c>
      <c r="J10" s="4">
        <v>5061.1499999999996</v>
      </c>
      <c r="K10" s="4">
        <v>0</v>
      </c>
      <c r="L10" s="4">
        <v>0</v>
      </c>
      <c r="M10" s="14">
        <v>100.75</v>
      </c>
      <c r="N10" s="14"/>
      <c r="O10" s="14"/>
    </row>
    <row r="11" spans="1:15" ht="15" customHeight="1" x14ac:dyDescent="0.45">
      <c r="A11" s="5" t="s">
        <v>30</v>
      </c>
      <c r="B11" s="6">
        <v>213841246</v>
      </c>
      <c r="C11" s="5" t="s">
        <v>22</v>
      </c>
      <c r="D11" s="5" t="s">
        <v>23</v>
      </c>
      <c r="E11" s="24" t="s">
        <v>24</v>
      </c>
      <c r="F11" s="7">
        <v>5049.1400000000003</v>
      </c>
      <c r="G11" s="5"/>
      <c r="H11" s="5"/>
      <c r="I11" s="5" t="s">
        <v>31</v>
      </c>
      <c r="J11" s="7">
        <v>5048.71</v>
      </c>
      <c r="K11" s="7">
        <v>0</v>
      </c>
      <c r="L11" s="7">
        <v>0</v>
      </c>
      <c r="M11" s="15">
        <v>-10.75</v>
      </c>
      <c r="N11" s="15"/>
      <c r="O11" s="15"/>
    </row>
    <row r="12" spans="1:15" ht="15" customHeight="1" x14ac:dyDescent="0.45">
      <c r="A12" s="2" t="s">
        <v>32</v>
      </c>
      <c r="B12" s="3">
        <v>213842168</v>
      </c>
      <c r="C12" s="2" t="s">
        <v>22</v>
      </c>
      <c r="D12" s="2" t="s">
        <v>23</v>
      </c>
      <c r="E12" s="24" t="s">
        <v>24</v>
      </c>
      <c r="F12" s="4">
        <v>5046.6499999999996</v>
      </c>
      <c r="G12" s="2"/>
      <c r="H12" s="2"/>
      <c r="I12" s="2" t="s">
        <v>33</v>
      </c>
      <c r="J12" s="4">
        <v>5047.83</v>
      </c>
      <c r="K12" s="4">
        <v>0</v>
      </c>
      <c r="L12" s="4">
        <v>0</v>
      </c>
      <c r="M12" s="14">
        <v>29.5</v>
      </c>
      <c r="N12" s="14"/>
      <c r="O12" s="14"/>
    </row>
    <row r="13" spans="1:15" ht="15" customHeight="1" x14ac:dyDescent="0.45">
      <c r="A13" s="5" t="s">
        <v>34</v>
      </c>
      <c r="B13" s="6">
        <v>213842278</v>
      </c>
      <c r="C13" s="5" t="s">
        <v>22</v>
      </c>
      <c r="D13" s="5" t="s">
        <v>23</v>
      </c>
      <c r="E13" s="24" t="s">
        <v>24</v>
      </c>
      <c r="F13" s="7">
        <v>5044.0200000000004</v>
      </c>
      <c r="G13" s="5"/>
      <c r="H13" s="5"/>
      <c r="I13" s="5" t="s">
        <v>35</v>
      </c>
      <c r="J13" s="7">
        <v>5047.3</v>
      </c>
      <c r="K13" s="7">
        <v>0</v>
      </c>
      <c r="L13" s="7">
        <v>0</v>
      </c>
      <c r="M13" s="15">
        <v>82</v>
      </c>
      <c r="N13" s="15"/>
      <c r="O13" s="15"/>
    </row>
    <row r="14" spans="1:15" ht="15" customHeight="1" x14ac:dyDescent="0.45">
      <c r="A14" s="2" t="s">
        <v>36</v>
      </c>
      <c r="B14" s="3">
        <v>213844456</v>
      </c>
      <c r="C14" s="2" t="s">
        <v>22</v>
      </c>
      <c r="D14" s="2" t="s">
        <v>23</v>
      </c>
      <c r="E14" s="24" t="s">
        <v>24</v>
      </c>
      <c r="F14" s="4">
        <v>5030</v>
      </c>
      <c r="G14" s="2"/>
      <c r="H14" s="2"/>
      <c r="I14" s="2" t="s">
        <v>37</v>
      </c>
      <c r="J14" s="4">
        <v>5032.3999999999996</v>
      </c>
      <c r="K14" s="4">
        <v>0</v>
      </c>
      <c r="L14" s="4">
        <v>0</v>
      </c>
      <c r="M14" s="14">
        <v>60</v>
      </c>
      <c r="N14" s="14"/>
      <c r="O14" s="14"/>
    </row>
    <row r="15" spans="1:15" ht="15" customHeight="1" x14ac:dyDescent="0.45">
      <c r="A15" s="5" t="s">
        <v>38</v>
      </c>
      <c r="B15" s="6">
        <v>213844857</v>
      </c>
      <c r="C15" s="5" t="s">
        <v>22</v>
      </c>
      <c r="D15" s="5" t="s">
        <v>23</v>
      </c>
      <c r="E15" s="24" t="s">
        <v>24</v>
      </c>
      <c r="F15" s="7">
        <v>5024.3100000000004</v>
      </c>
      <c r="G15" s="5"/>
      <c r="H15" s="5"/>
      <c r="I15" s="5" t="s">
        <v>39</v>
      </c>
      <c r="J15" s="7">
        <v>5030.99</v>
      </c>
      <c r="K15" s="7">
        <v>0</v>
      </c>
      <c r="L15" s="7">
        <v>0</v>
      </c>
      <c r="M15" s="15">
        <v>167</v>
      </c>
      <c r="N15" s="15"/>
      <c r="O15" s="15"/>
    </row>
    <row r="16" spans="1:15" ht="25" customHeight="1" x14ac:dyDescent="0.45">
      <c r="A16" s="12" t="s">
        <v>40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spans="1:15" ht="20.05" customHeight="1" x14ac:dyDescent="0.45">
      <c r="A17" s="1" t="s">
        <v>41</v>
      </c>
      <c r="B17" s="1" t="s">
        <v>42</v>
      </c>
      <c r="C17" s="1" t="s">
        <v>12</v>
      </c>
      <c r="D17" s="1" t="s">
        <v>13</v>
      </c>
      <c r="E17" s="1" t="s">
        <v>14</v>
      </c>
      <c r="F17" s="1" t="s">
        <v>15</v>
      </c>
      <c r="G17" s="1" t="s">
        <v>16</v>
      </c>
      <c r="H17" s="1" t="s">
        <v>17</v>
      </c>
      <c r="I17" s="1" t="s">
        <v>10</v>
      </c>
      <c r="J17" s="13" t="s">
        <v>43</v>
      </c>
      <c r="K17" s="13"/>
      <c r="L17" s="13" t="s">
        <v>44</v>
      </c>
      <c r="M17" s="13"/>
      <c r="N17" s="13"/>
      <c r="O17" s="13"/>
    </row>
    <row r="18" spans="1:15" ht="15" customHeight="1" x14ac:dyDescent="0.45">
      <c r="A18" s="2" t="s">
        <v>21</v>
      </c>
      <c r="B18" s="27">
        <v>210276525</v>
      </c>
      <c r="C18" s="2" t="s">
        <v>22</v>
      </c>
      <c r="D18" s="2" t="s">
        <v>23</v>
      </c>
      <c r="E18" s="24" t="s">
        <v>45</v>
      </c>
      <c r="F18" s="2" t="s">
        <v>46</v>
      </c>
      <c r="G18" s="2"/>
      <c r="H18" s="2"/>
      <c r="I18" s="28" t="s">
        <v>21</v>
      </c>
      <c r="J18" s="16" t="s">
        <v>47</v>
      </c>
      <c r="K18" s="16"/>
      <c r="L18" s="16"/>
      <c r="M18" s="16"/>
      <c r="N18" s="16"/>
      <c r="O18" s="16"/>
    </row>
    <row r="19" spans="1:15" ht="15" customHeight="1" x14ac:dyDescent="0.45">
      <c r="A19" s="5" t="s">
        <v>26</v>
      </c>
      <c r="B19" s="6">
        <v>210277062</v>
      </c>
      <c r="C19" s="5" t="s">
        <v>22</v>
      </c>
      <c r="D19" s="5" t="s">
        <v>23</v>
      </c>
      <c r="E19" s="24" t="s">
        <v>45</v>
      </c>
      <c r="F19" s="5" t="s">
        <v>46</v>
      </c>
      <c r="G19" s="5"/>
      <c r="H19" s="5"/>
      <c r="I19" s="5" t="s">
        <v>26</v>
      </c>
      <c r="J19" s="17" t="s">
        <v>47</v>
      </c>
      <c r="K19" s="17"/>
      <c r="L19" s="17"/>
      <c r="M19" s="17"/>
      <c r="N19" s="17"/>
      <c r="O19" s="17"/>
    </row>
    <row r="20" spans="1:15" ht="15" customHeight="1" x14ac:dyDescent="0.45">
      <c r="A20" s="2" t="s">
        <v>27</v>
      </c>
      <c r="B20" s="3">
        <v>210277641</v>
      </c>
      <c r="C20" s="2" t="s">
        <v>22</v>
      </c>
      <c r="D20" s="2" t="s">
        <v>48</v>
      </c>
      <c r="E20" s="24" t="s">
        <v>45</v>
      </c>
      <c r="F20" s="2" t="s">
        <v>46</v>
      </c>
      <c r="G20" s="2"/>
      <c r="H20" s="2"/>
      <c r="I20" s="2" t="s">
        <v>27</v>
      </c>
      <c r="J20" s="16" t="s">
        <v>47</v>
      </c>
      <c r="K20" s="16"/>
      <c r="L20" s="16"/>
      <c r="M20" s="16"/>
      <c r="N20" s="16"/>
      <c r="O20" s="16"/>
    </row>
    <row r="21" spans="1:15" ht="15" customHeight="1" x14ac:dyDescent="0.45">
      <c r="A21" s="5" t="s">
        <v>25</v>
      </c>
      <c r="B21" s="6">
        <v>210277642</v>
      </c>
      <c r="C21" s="5" t="s">
        <v>22</v>
      </c>
      <c r="D21" s="5" t="s">
        <v>48</v>
      </c>
      <c r="E21" s="24" t="s">
        <v>45</v>
      </c>
      <c r="F21" s="5" t="s">
        <v>46</v>
      </c>
      <c r="G21" s="5"/>
      <c r="H21" s="5"/>
      <c r="I21" s="5" t="s">
        <v>25</v>
      </c>
      <c r="J21" s="17" t="s">
        <v>47</v>
      </c>
      <c r="K21" s="17"/>
      <c r="L21" s="17"/>
      <c r="M21" s="17"/>
      <c r="N21" s="17"/>
      <c r="O21" s="17"/>
    </row>
    <row r="22" spans="1:15" ht="15" customHeight="1" x14ac:dyDescent="0.45">
      <c r="A22" s="2" t="s">
        <v>28</v>
      </c>
      <c r="B22" s="3">
        <v>213839142</v>
      </c>
      <c r="C22" s="2" t="s">
        <v>22</v>
      </c>
      <c r="D22" s="2" t="s">
        <v>23</v>
      </c>
      <c r="E22" s="24" t="s">
        <v>45</v>
      </c>
      <c r="F22" s="2" t="s">
        <v>46</v>
      </c>
      <c r="G22" s="2"/>
      <c r="H22" s="2"/>
      <c r="I22" s="2" t="s">
        <v>28</v>
      </c>
      <c r="J22" s="16" t="s">
        <v>47</v>
      </c>
      <c r="K22" s="16"/>
      <c r="L22" s="16"/>
      <c r="M22" s="16"/>
      <c r="N22" s="16"/>
      <c r="O22" s="16"/>
    </row>
    <row r="23" spans="1:15" ht="15" customHeight="1" x14ac:dyDescent="0.45">
      <c r="A23" s="5" t="s">
        <v>29</v>
      </c>
      <c r="B23" s="6">
        <v>213839519</v>
      </c>
      <c r="C23" s="5" t="s">
        <v>22</v>
      </c>
      <c r="D23" s="5" t="s">
        <v>48</v>
      </c>
      <c r="E23" s="24" t="s">
        <v>45</v>
      </c>
      <c r="F23" s="5" t="s">
        <v>46</v>
      </c>
      <c r="G23" s="5"/>
      <c r="H23" s="5"/>
      <c r="I23" s="5" t="s">
        <v>29</v>
      </c>
      <c r="J23" s="17" t="s">
        <v>47</v>
      </c>
      <c r="K23" s="17"/>
      <c r="L23" s="17"/>
      <c r="M23" s="17"/>
      <c r="N23" s="17"/>
      <c r="O23" s="17"/>
    </row>
    <row r="24" spans="1:15" ht="15" customHeight="1" x14ac:dyDescent="0.45">
      <c r="A24" s="2" t="s">
        <v>30</v>
      </c>
      <c r="B24" s="3">
        <v>213841246</v>
      </c>
      <c r="C24" s="2" t="s">
        <v>22</v>
      </c>
      <c r="D24" s="2" t="s">
        <v>23</v>
      </c>
      <c r="E24" s="24" t="s">
        <v>45</v>
      </c>
      <c r="F24" s="2" t="s">
        <v>46</v>
      </c>
      <c r="G24" s="2"/>
      <c r="H24" s="2"/>
      <c r="I24" s="2" t="s">
        <v>30</v>
      </c>
      <c r="J24" s="16" t="s">
        <v>47</v>
      </c>
      <c r="K24" s="16"/>
      <c r="L24" s="16"/>
      <c r="M24" s="16"/>
      <c r="N24" s="16"/>
      <c r="O24" s="16"/>
    </row>
    <row r="25" spans="1:15" ht="15" customHeight="1" x14ac:dyDescent="0.45">
      <c r="A25" s="5" t="s">
        <v>31</v>
      </c>
      <c r="B25" s="6">
        <v>213841825</v>
      </c>
      <c r="C25" s="5" t="s">
        <v>22</v>
      </c>
      <c r="D25" s="5" t="s">
        <v>48</v>
      </c>
      <c r="E25" s="24" t="s">
        <v>45</v>
      </c>
      <c r="F25" s="5" t="s">
        <v>46</v>
      </c>
      <c r="G25" s="5"/>
      <c r="H25" s="5"/>
      <c r="I25" s="5" t="s">
        <v>31</v>
      </c>
      <c r="J25" s="17" t="s">
        <v>47</v>
      </c>
      <c r="K25" s="17"/>
      <c r="L25" s="17"/>
      <c r="M25" s="17"/>
      <c r="N25" s="17"/>
      <c r="O25" s="17"/>
    </row>
    <row r="26" spans="1:15" ht="15" customHeight="1" x14ac:dyDescent="0.45">
      <c r="A26" s="2" t="s">
        <v>32</v>
      </c>
      <c r="B26" s="3">
        <v>213842168</v>
      </c>
      <c r="C26" s="2" t="s">
        <v>22</v>
      </c>
      <c r="D26" s="2" t="s">
        <v>23</v>
      </c>
      <c r="E26" s="24" t="s">
        <v>45</v>
      </c>
      <c r="F26" s="2" t="s">
        <v>46</v>
      </c>
      <c r="G26" s="2"/>
      <c r="H26" s="2"/>
      <c r="I26" s="2" t="s">
        <v>32</v>
      </c>
      <c r="J26" s="16" t="s">
        <v>47</v>
      </c>
      <c r="K26" s="16"/>
      <c r="L26" s="16"/>
      <c r="M26" s="16"/>
      <c r="N26" s="16"/>
      <c r="O26" s="16"/>
    </row>
    <row r="27" spans="1:15" ht="15" customHeight="1" x14ac:dyDescent="0.45">
      <c r="A27" s="5" t="s">
        <v>34</v>
      </c>
      <c r="B27" s="6">
        <v>213842278</v>
      </c>
      <c r="C27" s="5" t="s">
        <v>22</v>
      </c>
      <c r="D27" s="5" t="s">
        <v>23</v>
      </c>
      <c r="E27" s="24" t="s">
        <v>45</v>
      </c>
      <c r="F27" s="5" t="s">
        <v>46</v>
      </c>
      <c r="G27" s="5"/>
      <c r="H27" s="5"/>
      <c r="I27" s="5" t="s">
        <v>34</v>
      </c>
      <c r="J27" s="17" t="s">
        <v>47</v>
      </c>
      <c r="K27" s="17"/>
      <c r="L27" s="17"/>
      <c r="M27" s="17"/>
      <c r="N27" s="17"/>
      <c r="O27" s="17"/>
    </row>
    <row r="28" spans="1:15" ht="15" customHeight="1" x14ac:dyDescent="0.45">
      <c r="A28" s="2" t="s">
        <v>35</v>
      </c>
      <c r="B28" s="3">
        <v>213842353</v>
      </c>
      <c r="C28" s="2" t="s">
        <v>22</v>
      </c>
      <c r="D28" s="2" t="s">
        <v>48</v>
      </c>
      <c r="E28" s="24" t="s">
        <v>45</v>
      </c>
      <c r="F28" s="2" t="s">
        <v>46</v>
      </c>
      <c r="G28" s="2"/>
      <c r="H28" s="2"/>
      <c r="I28" s="2" t="s">
        <v>35</v>
      </c>
      <c r="J28" s="16" t="s">
        <v>47</v>
      </c>
      <c r="K28" s="16"/>
      <c r="L28" s="16"/>
      <c r="M28" s="16"/>
      <c r="N28" s="16"/>
      <c r="O28" s="16"/>
    </row>
    <row r="29" spans="1:15" ht="15" customHeight="1" x14ac:dyDescent="0.45">
      <c r="A29" s="5" t="s">
        <v>33</v>
      </c>
      <c r="B29" s="6">
        <v>213842462</v>
      </c>
      <c r="C29" s="5" t="s">
        <v>22</v>
      </c>
      <c r="D29" s="5" t="s">
        <v>48</v>
      </c>
      <c r="E29" s="24" t="s">
        <v>45</v>
      </c>
      <c r="F29" s="5" t="s">
        <v>46</v>
      </c>
      <c r="G29" s="5"/>
      <c r="H29" s="5"/>
      <c r="I29" s="5" t="s">
        <v>33</v>
      </c>
      <c r="J29" s="17" t="s">
        <v>47</v>
      </c>
      <c r="K29" s="17"/>
      <c r="L29" s="17"/>
      <c r="M29" s="17"/>
      <c r="N29" s="17"/>
      <c r="O29" s="17"/>
    </row>
    <row r="30" spans="1:15" ht="15" customHeight="1" x14ac:dyDescent="0.45">
      <c r="A30" s="2" t="s">
        <v>36</v>
      </c>
      <c r="B30" s="3">
        <v>213844456</v>
      </c>
      <c r="C30" s="2" t="s">
        <v>22</v>
      </c>
      <c r="D30" s="2" t="s">
        <v>23</v>
      </c>
      <c r="E30" s="24" t="s">
        <v>45</v>
      </c>
      <c r="F30" s="2" t="s">
        <v>46</v>
      </c>
      <c r="G30" s="2"/>
      <c r="H30" s="2"/>
      <c r="I30" s="2" t="s">
        <v>36</v>
      </c>
      <c r="J30" s="16" t="s">
        <v>47</v>
      </c>
      <c r="K30" s="16"/>
      <c r="L30" s="16"/>
      <c r="M30" s="16"/>
      <c r="N30" s="16"/>
      <c r="O30" s="16"/>
    </row>
    <row r="31" spans="1:15" ht="15" customHeight="1" x14ac:dyDescent="0.45">
      <c r="A31" s="5" t="s">
        <v>38</v>
      </c>
      <c r="B31" s="6">
        <v>213844857</v>
      </c>
      <c r="C31" s="5" t="s">
        <v>22</v>
      </c>
      <c r="D31" s="5" t="s">
        <v>23</v>
      </c>
      <c r="E31" s="24" t="s">
        <v>45</v>
      </c>
      <c r="F31" s="5" t="s">
        <v>46</v>
      </c>
      <c r="G31" s="5"/>
      <c r="H31" s="5"/>
      <c r="I31" s="5" t="s">
        <v>38</v>
      </c>
      <c r="J31" s="17" t="s">
        <v>47</v>
      </c>
      <c r="K31" s="17"/>
      <c r="L31" s="17"/>
      <c r="M31" s="17"/>
      <c r="N31" s="17"/>
      <c r="O31" s="17"/>
    </row>
    <row r="32" spans="1:15" ht="15" customHeight="1" x14ac:dyDescent="0.45">
      <c r="A32" s="2" t="s">
        <v>39</v>
      </c>
      <c r="B32" s="3">
        <v>213844953</v>
      </c>
      <c r="C32" s="2" t="s">
        <v>22</v>
      </c>
      <c r="D32" s="2" t="s">
        <v>48</v>
      </c>
      <c r="E32" s="24" t="s">
        <v>45</v>
      </c>
      <c r="F32" s="2" t="s">
        <v>46</v>
      </c>
      <c r="G32" s="2"/>
      <c r="H32" s="2"/>
      <c r="I32" s="2" t="s">
        <v>39</v>
      </c>
      <c r="J32" s="16" t="s">
        <v>47</v>
      </c>
      <c r="K32" s="16"/>
      <c r="L32" s="16"/>
      <c r="M32" s="16"/>
      <c r="N32" s="16"/>
      <c r="O32" s="16"/>
    </row>
    <row r="33" spans="1:15" ht="15" customHeight="1" x14ac:dyDescent="0.45">
      <c r="A33" s="5" t="s">
        <v>37</v>
      </c>
      <c r="B33" s="6">
        <v>213845037</v>
      </c>
      <c r="C33" s="5" t="s">
        <v>22</v>
      </c>
      <c r="D33" s="5" t="s">
        <v>48</v>
      </c>
      <c r="E33" s="24" t="s">
        <v>45</v>
      </c>
      <c r="F33" s="5" t="s">
        <v>46</v>
      </c>
      <c r="G33" s="5"/>
      <c r="H33" s="5"/>
      <c r="I33" s="5" t="s">
        <v>37</v>
      </c>
      <c r="J33" s="17" t="s">
        <v>47</v>
      </c>
      <c r="K33" s="17"/>
      <c r="L33" s="17"/>
      <c r="M33" s="17"/>
      <c r="N33" s="17"/>
      <c r="O33" s="17"/>
    </row>
    <row r="34" spans="1:15" ht="25" customHeight="1" x14ac:dyDescent="0.45">
      <c r="A34" s="18" t="s">
        <v>49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spans="1:15" ht="20.05" customHeight="1" x14ac:dyDescent="0.45">
      <c r="A35" s="1" t="s">
        <v>10</v>
      </c>
      <c r="B35" s="1" t="s">
        <v>50</v>
      </c>
      <c r="C35" s="1" t="s">
        <v>12</v>
      </c>
      <c r="D35" s="1" t="s">
        <v>13</v>
      </c>
      <c r="E35" s="1" t="s">
        <v>51</v>
      </c>
      <c r="F35" s="1" t="s">
        <v>14</v>
      </c>
      <c r="G35" s="1" t="s">
        <v>15</v>
      </c>
      <c r="H35" s="1" t="s">
        <v>42</v>
      </c>
      <c r="I35" s="1" t="s">
        <v>18</v>
      </c>
      <c r="J35" s="13" t="s">
        <v>52</v>
      </c>
      <c r="K35" s="1" t="s">
        <v>19</v>
      </c>
      <c r="L35" s="1" t="s">
        <v>20</v>
      </c>
      <c r="M35" s="1" t="s">
        <v>53</v>
      </c>
      <c r="N35" s="13" t="s">
        <v>44</v>
      </c>
      <c r="O35" s="13"/>
    </row>
    <row r="36" spans="1:15" ht="15" customHeight="1" x14ac:dyDescent="0.45">
      <c r="A36" s="2" t="s">
        <v>21</v>
      </c>
      <c r="B36" s="3">
        <v>196674187</v>
      </c>
      <c r="C36" s="2" t="s">
        <v>22</v>
      </c>
      <c r="D36" s="2" t="s">
        <v>23</v>
      </c>
      <c r="E36" s="2" t="s">
        <v>54</v>
      </c>
      <c r="F36" s="24" t="s">
        <v>24</v>
      </c>
      <c r="G36" s="4">
        <v>4340.63</v>
      </c>
      <c r="H36" s="3">
        <v>210276525</v>
      </c>
      <c r="I36" s="14">
        <v>0</v>
      </c>
      <c r="J36" s="4">
        <v>0</v>
      </c>
      <c r="K36" s="4">
        <v>0</v>
      </c>
      <c r="L36" s="4">
        <v>0</v>
      </c>
      <c r="M36" s="4">
        <v>29260.95</v>
      </c>
      <c r="N36" s="16"/>
      <c r="O36" s="16"/>
    </row>
    <row r="37" spans="1:15" ht="15" customHeight="1" x14ac:dyDescent="0.45">
      <c r="A37" s="5" t="s">
        <v>26</v>
      </c>
      <c r="B37" s="6">
        <v>196674581</v>
      </c>
      <c r="C37" s="5" t="s">
        <v>22</v>
      </c>
      <c r="D37" s="5" t="s">
        <v>23</v>
      </c>
      <c r="E37" s="5" t="s">
        <v>54</v>
      </c>
      <c r="F37" s="24" t="s">
        <v>24</v>
      </c>
      <c r="G37" s="7">
        <v>4332.29</v>
      </c>
      <c r="H37" s="6">
        <v>210277062</v>
      </c>
      <c r="I37" s="15">
        <v>0</v>
      </c>
      <c r="J37" s="7">
        <v>0</v>
      </c>
      <c r="K37" s="7">
        <v>0</v>
      </c>
      <c r="L37" s="7">
        <v>0</v>
      </c>
      <c r="M37" s="7">
        <v>29260.95</v>
      </c>
      <c r="N37" s="17"/>
      <c r="O37" s="17"/>
    </row>
    <row r="38" spans="1:15" ht="15" customHeight="1" x14ac:dyDescent="0.45">
      <c r="A38" s="2" t="s">
        <v>27</v>
      </c>
      <c r="B38" s="3">
        <v>196675041</v>
      </c>
      <c r="C38" s="2" t="s">
        <v>22</v>
      </c>
      <c r="D38" s="2" t="s">
        <v>48</v>
      </c>
      <c r="E38" s="2" t="s">
        <v>55</v>
      </c>
      <c r="F38" s="24" t="s">
        <v>24</v>
      </c>
      <c r="G38" s="4">
        <v>4340.2</v>
      </c>
      <c r="H38" s="3">
        <v>210277641</v>
      </c>
      <c r="I38" s="14">
        <v>0</v>
      </c>
      <c r="J38" s="4">
        <v>0</v>
      </c>
      <c r="K38" s="4">
        <v>0</v>
      </c>
      <c r="L38" s="4">
        <v>197.75</v>
      </c>
      <c r="M38" s="4">
        <v>29458.7</v>
      </c>
      <c r="N38" s="16"/>
      <c r="O38" s="16"/>
    </row>
    <row r="39" spans="1:15" ht="15" customHeight="1" x14ac:dyDescent="0.45">
      <c r="A39" s="5" t="s">
        <v>25</v>
      </c>
      <c r="B39" s="6">
        <v>196675042</v>
      </c>
      <c r="C39" s="5" t="s">
        <v>22</v>
      </c>
      <c r="D39" s="5" t="s">
        <v>48</v>
      </c>
      <c r="E39" s="5" t="s">
        <v>55</v>
      </c>
      <c r="F39" s="24" t="s">
        <v>24</v>
      </c>
      <c r="G39" s="7">
        <v>4340.08</v>
      </c>
      <c r="H39" s="6">
        <v>210277642</v>
      </c>
      <c r="I39" s="15">
        <v>0</v>
      </c>
      <c r="J39" s="7">
        <v>0</v>
      </c>
      <c r="K39" s="7">
        <v>0</v>
      </c>
      <c r="L39" s="7">
        <v>-13.75</v>
      </c>
      <c r="M39" s="7">
        <v>29444.95</v>
      </c>
      <c r="N39" s="17"/>
      <c r="O39" s="17"/>
    </row>
    <row r="40" spans="1:15" ht="15" customHeight="1" x14ac:dyDescent="0.45">
      <c r="A40" s="2" t="s">
        <v>28</v>
      </c>
      <c r="B40" s="3">
        <v>199734666</v>
      </c>
      <c r="C40" s="2" t="s">
        <v>22</v>
      </c>
      <c r="D40" s="2" t="s">
        <v>23</v>
      </c>
      <c r="E40" s="2" t="s">
        <v>54</v>
      </c>
      <c r="F40" s="24" t="s">
        <v>24</v>
      </c>
      <c r="G40" s="4">
        <v>5057.12</v>
      </c>
      <c r="H40" s="3">
        <v>213839142</v>
      </c>
      <c r="I40" s="14">
        <v>0</v>
      </c>
      <c r="J40" s="4">
        <v>0</v>
      </c>
      <c r="K40" s="4">
        <v>0</v>
      </c>
      <c r="L40" s="4">
        <v>0</v>
      </c>
      <c r="M40" s="4">
        <v>29444.95</v>
      </c>
      <c r="N40" s="16"/>
      <c r="O40" s="16"/>
    </row>
    <row r="41" spans="1:15" ht="15" customHeight="1" x14ac:dyDescent="0.45">
      <c r="A41" s="5" t="s">
        <v>29</v>
      </c>
      <c r="B41" s="6">
        <v>199734975</v>
      </c>
      <c r="C41" s="5" t="s">
        <v>22</v>
      </c>
      <c r="D41" s="5" t="s">
        <v>48</v>
      </c>
      <c r="E41" s="5" t="s">
        <v>55</v>
      </c>
      <c r="F41" s="24" t="s">
        <v>24</v>
      </c>
      <c r="G41" s="7">
        <v>5061.1499999999996</v>
      </c>
      <c r="H41" s="6">
        <v>213839519</v>
      </c>
      <c r="I41" s="15">
        <v>0</v>
      </c>
      <c r="J41" s="7">
        <v>0</v>
      </c>
      <c r="K41" s="7">
        <v>0</v>
      </c>
      <c r="L41" s="7">
        <v>100.75</v>
      </c>
      <c r="M41" s="7">
        <v>29545.7</v>
      </c>
      <c r="N41" s="17"/>
      <c r="O41" s="17"/>
    </row>
    <row r="42" spans="1:15" ht="15" customHeight="1" x14ac:dyDescent="0.45">
      <c r="A42" s="2" t="s">
        <v>30</v>
      </c>
      <c r="B42" s="3">
        <v>199736357</v>
      </c>
      <c r="C42" s="2" t="s">
        <v>22</v>
      </c>
      <c r="D42" s="2" t="s">
        <v>23</v>
      </c>
      <c r="E42" s="2" t="s">
        <v>54</v>
      </c>
      <c r="F42" s="24" t="s">
        <v>24</v>
      </c>
      <c r="G42" s="4">
        <v>5049.1400000000003</v>
      </c>
      <c r="H42" s="3">
        <v>213841246</v>
      </c>
      <c r="I42" s="14">
        <v>0</v>
      </c>
      <c r="J42" s="4">
        <v>0</v>
      </c>
      <c r="K42" s="4">
        <v>0</v>
      </c>
      <c r="L42" s="4">
        <v>0</v>
      </c>
      <c r="M42" s="4">
        <v>29545.7</v>
      </c>
      <c r="N42" s="16"/>
      <c r="O42" s="16"/>
    </row>
    <row r="43" spans="1:15" ht="15" customHeight="1" x14ac:dyDescent="0.45">
      <c r="A43" s="5" t="s">
        <v>31</v>
      </c>
      <c r="B43" s="6">
        <v>199736826</v>
      </c>
      <c r="C43" s="5" t="s">
        <v>22</v>
      </c>
      <c r="D43" s="5" t="s">
        <v>48</v>
      </c>
      <c r="E43" s="5" t="s">
        <v>55</v>
      </c>
      <c r="F43" s="24" t="s">
        <v>24</v>
      </c>
      <c r="G43" s="7">
        <v>5048.71</v>
      </c>
      <c r="H43" s="6">
        <v>213841825</v>
      </c>
      <c r="I43" s="15">
        <v>0</v>
      </c>
      <c r="J43" s="7">
        <v>0</v>
      </c>
      <c r="K43" s="7">
        <v>0</v>
      </c>
      <c r="L43" s="7">
        <v>-10.75</v>
      </c>
      <c r="M43" s="7">
        <v>29534.95</v>
      </c>
      <c r="N43" s="17"/>
      <c r="O43" s="17"/>
    </row>
    <row r="44" spans="1:15" ht="15" customHeight="1" x14ac:dyDescent="0.45">
      <c r="A44" s="2" t="s">
        <v>32</v>
      </c>
      <c r="B44" s="3">
        <v>199737098</v>
      </c>
      <c r="C44" s="2" t="s">
        <v>22</v>
      </c>
      <c r="D44" s="2" t="s">
        <v>23</v>
      </c>
      <c r="E44" s="2" t="s">
        <v>54</v>
      </c>
      <c r="F44" s="24" t="s">
        <v>24</v>
      </c>
      <c r="G44" s="4">
        <v>5046.6499999999996</v>
      </c>
      <c r="H44" s="3">
        <v>213842168</v>
      </c>
      <c r="I44" s="14">
        <v>0</v>
      </c>
      <c r="J44" s="4">
        <v>0</v>
      </c>
      <c r="K44" s="4">
        <v>0</v>
      </c>
      <c r="L44" s="4">
        <v>0</v>
      </c>
      <c r="M44" s="4">
        <v>29534.95</v>
      </c>
      <c r="N44" s="16"/>
      <c r="O44" s="16"/>
    </row>
    <row r="45" spans="1:15" ht="15" customHeight="1" x14ac:dyDescent="0.45">
      <c r="A45" s="5" t="s">
        <v>34</v>
      </c>
      <c r="B45" s="6">
        <v>199737196</v>
      </c>
      <c r="C45" s="5" t="s">
        <v>22</v>
      </c>
      <c r="D45" s="5" t="s">
        <v>23</v>
      </c>
      <c r="E45" s="5" t="s">
        <v>54</v>
      </c>
      <c r="F45" s="24" t="s">
        <v>24</v>
      </c>
      <c r="G45" s="7">
        <v>5044.0200000000004</v>
      </c>
      <c r="H45" s="6">
        <v>213842278</v>
      </c>
      <c r="I45" s="15">
        <v>0</v>
      </c>
      <c r="J45" s="7">
        <v>0</v>
      </c>
      <c r="K45" s="7">
        <v>0</v>
      </c>
      <c r="L45" s="7">
        <v>0</v>
      </c>
      <c r="M45" s="7">
        <v>29534.95</v>
      </c>
      <c r="N45" s="17"/>
      <c r="O45" s="17"/>
    </row>
    <row r="46" spans="1:15" ht="15" customHeight="1" x14ac:dyDescent="0.45">
      <c r="A46" s="2" t="s">
        <v>35</v>
      </c>
      <c r="B46" s="3">
        <v>199737258</v>
      </c>
      <c r="C46" s="2" t="s">
        <v>22</v>
      </c>
      <c r="D46" s="2" t="s">
        <v>48</v>
      </c>
      <c r="E46" s="2" t="s">
        <v>55</v>
      </c>
      <c r="F46" s="24" t="s">
        <v>24</v>
      </c>
      <c r="G46" s="4">
        <v>5047.3</v>
      </c>
      <c r="H46" s="3">
        <v>213842353</v>
      </c>
      <c r="I46" s="14">
        <v>0</v>
      </c>
      <c r="J46" s="4">
        <v>0</v>
      </c>
      <c r="K46" s="4">
        <v>0</v>
      </c>
      <c r="L46" s="4">
        <v>82</v>
      </c>
      <c r="M46" s="4">
        <v>29616.95</v>
      </c>
      <c r="N46" s="16"/>
      <c r="O46" s="16"/>
    </row>
    <row r="47" spans="1:15" ht="15" customHeight="1" x14ac:dyDescent="0.45">
      <c r="A47" s="5" t="s">
        <v>33</v>
      </c>
      <c r="B47" s="6">
        <v>199737344</v>
      </c>
      <c r="C47" s="5" t="s">
        <v>22</v>
      </c>
      <c r="D47" s="5" t="s">
        <v>48</v>
      </c>
      <c r="E47" s="5" t="s">
        <v>55</v>
      </c>
      <c r="F47" s="24" t="s">
        <v>24</v>
      </c>
      <c r="G47" s="7">
        <v>5047.83</v>
      </c>
      <c r="H47" s="6">
        <v>213842462</v>
      </c>
      <c r="I47" s="15">
        <v>0</v>
      </c>
      <c r="J47" s="7">
        <v>0</v>
      </c>
      <c r="K47" s="7">
        <v>0</v>
      </c>
      <c r="L47" s="7">
        <v>29.5</v>
      </c>
      <c r="M47" s="7">
        <v>29646.45</v>
      </c>
      <c r="N47" s="17"/>
      <c r="O47" s="17"/>
    </row>
    <row r="48" spans="1:15" ht="15" customHeight="1" x14ac:dyDescent="0.45">
      <c r="A48" s="2" t="s">
        <v>36</v>
      </c>
      <c r="B48" s="3">
        <v>199738998</v>
      </c>
      <c r="C48" s="2" t="s">
        <v>22</v>
      </c>
      <c r="D48" s="2" t="s">
        <v>23</v>
      </c>
      <c r="E48" s="2" t="s">
        <v>54</v>
      </c>
      <c r="F48" s="24" t="s">
        <v>24</v>
      </c>
      <c r="G48" s="4">
        <v>5030</v>
      </c>
      <c r="H48" s="3">
        <v>213844456</v>
      </c>
      <c r="I48" s="14">
        <v>0</v>
      </c>
      <c r="J48" s="4">
        <v>0</v>
      </c>
      <c r="K48" s="4">
        <v>0</v>
      </c>
      <c r="L48" s="4">
        <v>0</v>
      </c>
      <c r="M48" s="4">
        <v>29646.45</v>
      </c>
      <c r="N48" s="16"/>
      <c r="O48" s="16"/>
    </row>
    <row r="49" spans="1:15" ht="15" customHeight="1" x14ac:dyDescent="0.45">
      <c r="A49" s="5" t="s">
        <v>38</v>
      </c>
      <c r="B49" s="6">
        <v>199739319</v>
      </c>
      <c r="C49" s="5" t="s">
        <v>22</v>
      </c>
      <c r="D49" s="5" t="s">
        <v>23</v>
      </c>
      <c r="E49" s="5" t="s">
        <v>54</v>
      </c>
      <c r="F49" s="24" t="s">
        <v>24</v>
      </c>
      <c r="G49" s="7">
        <v>5024.3100000000004</v>
      </c>
      <c r="H49" s="6">
        <v>213844857</v>
      </c>
      <c r="I49" s="15">
        <v>0</v>
      </c>
      <c r="J49" s="7">
        <v>0</v>
      </c>
      <c r="K49" s="7">
        <v>0</v>
      </c>
      <c r="L49" s="7">
        <v>0</v>
      </c>
      <c r="M49" s="7">
        <v>29646.45</v>
      </c>
      <c r="N49" s="17"/>
      <c r="O49" s="17"/>
    </row>
    <row r="50" spans="1:15" ht="15" customHeight="1" x14ac:dyDescent="0.45">
      <c r="A50" s="2" t="s">
        <v>39</v>
      </c>
      <c r="B50" s="3">
        <v>199739384</v>
      </c>
      <c r="C50" s="2" t="s">
        <v>22</v>
      </c>
      <c r="D50" s="2" t="s">
        <v>48</v>
      </c>
      <c r="E50" s="2" t="s">
        <v>55</v>
      </c>
      <c r="F50" s="24" t="s">
        <v>24</v>
      </c>
      <c r="G50" s="4">
        <v>5030.99</v>
      </c>
      <c r="H50" s="3">
        <v>213844953</v>
      </c>
      <c r="I50" s="14">
        <v>0</v>
      </c>
      <c r="J50" s="4">
        <v>0</v>
      </c>
      <c r="K50" s="4">
        <v>0</v>
      </c>
      <c r="L50" s="4">
        <v>167</v>
      </c>
      <c r="M50" s="4">
        <v>29813.45</v>
      </c>
      <c r="N50" s="16"/>
      <c r="O50" s="16"/>
    </row>
    <row r="51" spans="1:15" ht="15" customHeight="1" x14ac:dyDescent="0.45">
      <c r="A51" s="5" t="s">
        <v>37</v>
      </c>
      <c r="B51" s="6">
        <v>199739447</v>
      </c>
      <c r="C51" s="5" t="s">
        <v>22</v>
      </c>
      <c r="D51" s="5" t="s">
        <v>48</v>
      </c>
      <c r="E51" s="5" t="s">
        <v>55</v>
      </c>
      <c r="F51" s="24" t="s">
        <v>24</v>
      </c>
      <c r="G51" s="7">
        <v>5032.3999999999996</v>
      </c>
      <c r="H51" s="6">
        <v>213845037</v>
      </c>
      <c r="I51" s="15">
        <v>0</v>
      </c>
      <c r="J51" s="7">
        <v>0</v>
      </c>
      <c r="K51" s="7">
        <v>0</v>
      </c>
      <c r="L51" s="7">
        <v>60</v>
      </c>
      <c r="M51" s="7">
        <v>29873.45</v>
      </c>
      <c r="N51" s="17"/>
      <c r="O51" s="17"/>
    </row>
    <row r="52" spans="1:15" ht="20.05" customHeight="1" x14ac:dyDescent="0.45">
      <c r="A52" s="19"/>
      <c r="B52" s="19"/>
      <c r="C52" s="19"/>
      <c r="D52" s="19"/>
      <c r="E52" s="19"/>
      <c r="F52" s="19"/>
      <c r="G52" s="19"/>
      <c r="H52" s="19"/>
      <c r="I52" s="8">
        <f>SUM(Sheet1!I36:I51)</f>
        <v>0</v>
      </c>
      <c r="J52" s="8">
        <f>SUM(Sheet1!J36:J51)</f>
        <v>0</v>
      </c>
      <c r="K52" s="8">
        <f>SUM(Sheet1!K36:K51)</f>
        <v>0</v>
      </c>
      <c r="L52" s="8">
        <v>612.5</v>
      </c>
      <c r="M52" s="8">
        <v>29873.45</v>
      </c>
      <c r="N52" s="19"/>
      <c r="O52" s="19"/>
    </row>
    <row r="53" spans="1:15" ht="15" customHeight="1" x14ac:dyDescent="0.45">
      <c r="A53" s="25" t="s">
        <v>56</v>
      </c>
      <c r="B53" s="25"/>
      <c r="C53" s="25"/>
      <c r="D53" s="26">
        <v>29873.45</v>
      </c>
      <c r="E53" s="26"/>
      <c r="G53" s="17" t="s">
        <v>57</v>
      </c>
      <c r="H53" s="17"/>
      <c r="I53" s="17"/>
      <c r="J53" s="20">
        <v>29873.45</v>
      </c>
      <c r="K53" s="20"/>
    </row>
    <row r="54" spans="1:15" ht="15" customHeight="1" x14ac:dyDescent="0.45">
      <c r="A54" s="17" t="s">
        <v>58</v>
      </c>
      <c r="B54" s="17"/>
      <c r="C54" s="17"/>
      <c r="D54" s="20">
        <v>0</v>
      </c>
      <c r="E54" s="20"/>
      <c r="G54" s="17" t="s">
        <v>59</v>
      </c>
      <c r="H54" s="17"/>
      <c r="I54" s="17"/>
      <c r="J54" s="20">
        <v>0</v>
      </c>
      <c r="K54" s="20"/>
    </row>
    <row r="55" spans="1:15" ht="15" customHeight="1" x14ac:dyDescent="0.45">
      <c r="A55" s="17" t="s">
        <v>60</v>
      </c>
      <c r="B55" s="17"/>
      <c r="C55" s="17"/>
      <c r="D55" s="20">
        <v>0</v>
      </c>
      <c r="E55" s="20"/>
      <c r="G55" s="17" t="s">
        <v>61</v>
      </c>
      <c r="H55" s="17"/>
      <c r="I55" s="17"/>
      <c r="J55" s="21">
        <v>0</v>
      </c>
      <c r="K55" s="21"/>
    </row>
    <row r="56" spans="1:15" ht="15" customHeight="1" x14ac:dyDescent="0.45">
      <c r="A56" s="17" t="s">
        <v>62</v>
      </c>
      <c r="B56" s="17"/>
      <c r="C56" s="17"/>
      <c r="D56" s="20">
        <v>29873.45</v>
      </c>
      <c r="E56" s="20"/>
    </row>
    <row r="77" spans="1:15" ht="25" customHeight="1" x14ac:dyDescent="0.45">
      <c r="A77" s="12" t="s">
        <v>63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ht="15" customHeight="1" x14ac:dyDescent="0.45">
      <c r="A78" s="17" t="s">
        <v>64</v>
      </c>
      <c r="B78" s="17"/>
      <c r="C78" s="17"/>
      <c r="D78" s="20">
        <v>612.5</v>
      </c>
      <c r="E78" s="17" t="s">
        <v>65</v>
      </c>
      <c r="F78" s="17"/>
      <c r="G78" s="17"/>
      <c r="H78" s="20">
        <v>637</v>
      </c>
      <c r="I78" s="17" t="s">
        <v>66</v>
      </c>
      <c r="J78" s="17"/>
      <c r="K78" s="17"/>
      <c r="L78" s="20">
        <v>-24.5</v>
      </c>
      <c r="M78" s="20"/>
      <c r="N78" s="20"/>
    </row>
    <row r="79" spans="1:15" ht="15" customHeight="1" x14ac:dyDescent="0.45">
      <c r="A79" s="17" t="s">
        <v>67</v>
      </c>
      <c r="B79" s="17"/>
      <c r="C79" s="17"/>
      <c r="D79" s="20">
        <v>26</v>
      </c>
      <c r="E79" s="17" t="s">
        <v>68</v>
      </c>
      <c r="F79" s="17"/>
      <c r="G79" s="17"/>
      <c r="H79" s="20">
        <v>76.5625</v>
      </c>
    </row>
    <row r="80" spans="1:15" ht="15" customHeight="1" x14ac:dyDescent="0.45">
      <c r="A80" s="17" t="s">
        <v>69</v>
      </c>
      <c r="B80" s="17"/>
      <c r="C80" s="17"/>
      <c r="D80" s="20">
        <v>44.545454999999997</v>
      </c>
      <c r="E80" s="17" t="s">
        <v>70</v>
      </c>
      <c r="F80" s="17"/>
      <c r="G80" s="17"/>
      <c r="H80" s="20">
        <v>1.056443</v>
      </c>
    </row>
    <row r="81" spans="1:14" ht="15" customHeight="1" x14ac:dyDescent="0.45">
      <c r="A81" s="17" t="s">
        <v>71</v>
      </c>
      <c r="B81" s="17"/>
      <c r="C81" s="17"/>
    </row>
    <row r="82" spans="1:14" ht="15" customHeight="1" x14ac:dyDescent="0.45">
      <c r="A82" s="17" t="s">
        <v>72</v>
      </c>
      <c r="B82" s="17"/>
      <c r="C82" s="17"/>
      <c r="D82" s="20">
        <v>0</v>
      </c>
      <c r="E82" s="17" t="s">
        <v>73</v>
      </c>
      <c r="F82" s="17"/>
      <c r="G82" s="17"/>
      <c r="H82" s="22" t="s">
        <v>74</v>
      </c>
      <c r="I82" s="17" t="s">
        <v>75</v>
      </c>
      <c r="J82" s="17"/>
      <c r="K82" s="17"/>
      <c r="L82" s="22" t="s">
        <v>76</v>
      </c>
      <c r="M82" s="22"/>
      <c r="N82" s="22"/>
    </row>
    <row r="83" spans="1:14" ht="15" customHeight="1" x14ac:dyDescent="0.45">
      <c r="A83" s="17" t="s">
        <v>77</v>
      </c>
      <c r="B83" s="17"/>
      <c r="C83" s="17"/>
      <c r="D83" s="23">
        <v>8</v>
      </c>
      <c r="E83" s="17" t="s">
        <v>78</v>
      </c>
      <c r="F83" s="17"/>
      <c r="G83" s="17"/>
      <c r="H83" s="22" t="s">
        <v>79</v>
      </c>
      <c r="I83" s="17" t="s">
        <v>80</v>
      </c>
      <c r="J83" s="17"/>
      <c r="K83" s="17"/>
      <c r="L83" s="22" t="s">
        <v>81</v>
      </c>
      <c r="M83" s="22"/>
      <c r="N83" s="22"/>
    </row>
    <row r="84" spans="1:14" ht="15" customHeight="1" x14ac:dyDescent="0.45">
      <c r="E84" s="17" t="s">
        <v>82</v>
      </c>
      <c r="F84" s="17"/>
      <c r="G84" s="17"/>
      <c r="H84" s="22" t="s">
        <v>83</v>
      </c>
      <c r="I84" s="17" t="s">
        <v>84</v>
      </c>
      <c r="J84" s="17"/>
      <c r="K84" s="17"/>
      <c r="L84" s="22" t="s">
        <v>85</v>
      </c>
      <c r="M84" s="22"/>
      <c r="N84" s="22"/>
    </row>
    <row r="85" spans="1:14" ht="15" customHeight="1" x14ac:dyDescent="0.45">
      <c r="E85" s="17" t="s">
        <v>86</v>
      </c>
      <c r="F85" s="17"/>
      <c r="G85" s="17"/>
      <c r="H85" s="20">
        <v>197.75</v>
      </c>
      <c r="I85" s="17" t="s">
        <v>87</v>
      </c>
      <c r="J85" s="17"/>
      <c r="K85" s="17"/>
      <c r="L85" s="20">
        <v>-13.75</v>
      </c>
      <c r="M85" s="20"/>
      <c r="N85" s="20"/>
    </row>
    <row r="86" spans="1:14" ht="15" customHeight="1" x14ac:dyDescent="0.45">
      <c r="E86" s="17" t="s">
        <v>88</v>
      </c>
      <c r="F86" s="17"/>
      <c r="G86" s="17"/>
      <c r="H86" s="20">
        <v>106.166667</v>
      </c>
      <c r="I86" s="17" t="s">
        <v>89</v>
      </c>
      <c r="J86" s="17"/>
      <c r="K86" s="17"/>
      <c r="L86" s="20">
        <v>-12.25</v>
      </c>
      <c r="M86" s="20"/>
      <c r="N86" s="20"/>
    </row>
    <row r="87" spans="1:14" ht="15" customHeight="1" x14ac:dyDescent="0.45">
      <c r="E87" s="17" t="s">
        <v>90</v>
      </c>
      <c r="F87" s="17"/>
      <c r="G87" s="17"/>
      <c r="H87" s="22" t="s">
        <v>91</v>
      </c>
      <c r="I87" s="17" t="s">
        <v>92</v>
      </c>
      <c r="J87" s="17"/>
      <c r="K87" s="17"/>
      <c r="L87" s="22" t="s">
        <v>93</v>
      </c>
      <c r="M87" s="22"/>
      <c r="N87" s="22"/>
    </row>
    <row r="88" spans="1:14" ht="15" customHeight="1" x14ac:dyDescent="0.45">
      <c r="E88" s="17" t="s">
        <v>94</v>
      </c>
      <c r="F88" s="17"/>
      <c r="G88" s="17"/>
      <c r="H88" s="22" t="s">
        <v>95</v>
      </c>
      <c r="I88" s="17" t="s">
        <v>96</v>
      </c>
      <c r="J88" s="17"/>
      <c r="K88" s="17"/>
      <c r="L88" s="22" t="s">
        <v>97</v>
      </c>
      <c r="M88" s="22"/>
      <c r="N88" s="22"/>
    </row>
    <row r="89" spans="1:14" ht="15" customHeight="1" x14ac:dyDescent="0.45">
      <c r="E89" s="17" t="s">
        <v>98</v>
      </c>
      <c r="F89" s="17"/>
      <c r="G89" s="17"/>
      <c r="H89" s="23">
        <v>2</v>
      </c>
      <c r="I89" s="17" t="s">
        <v>99</v>
      </c>
      <c r="J89" s="17"/>
      <c r="K89" s="17"/>
      <c r="L89" s="23">
        <v>1</v>
      </c>
      <c r="M89" s="23"/>
      <c r="N89" s="23"/>
    </row>
  </sheetData>
  <mergeCells count="157">
    <mergeCell ref="E87:G87"/>
    <mergeCell ref="H87"/>
    <mergeCell ref="I87:K87"/>
    <mergeCell ref="L87:N87"/>
    <mergeCell ref="E88:G88"/>
    <mergeCell ref="H88"/>
    <mergeCell ref="I88:K88"/>
    <mergeCell ref="L88:N88"/>
    <mergeCell ref="E89:G89"/>
    <mergeCell ref="H89"/>
    <mergeCell ref="I89:K89"/>
    <mergeCell ref="L89:N89"/>
    <mergeCell ref="E84:G84"/>
    <mergeCell ref="H84"/>
    <mergeCell ref="I84:K84"/>
    <mergeCell ref="L84:N84"/>
    <mergeCell ref="E85:G85"/>
    <mergeCell ref="H85"/>
    <mergeCell ref="I85:K85"/>
    <mergeCell ref="L85:N85"/>
    <mergeCell ref="E86:G86"/>
    <mergeCell ref="H86"/>
    <mergeCell ref="I86:K86"/>
    <mergeCell ref="L86:N86"/>
    <mergeCell ref="A82:C82"/>
    <mergeCell ref="D82"/>
    <mergeCell ref="E82:G82"/>
    <mergeCell ref="H82"/>
    <mergeCell ref="I82:K82"/>
    <mergeCell ref="L82:N82"/>
    <mergeCell ref="A83:C83"/>
    <mergeCell ref="D83"/>
    <mergeCell ref="E83:G83"/>
    <mergeCell ref="H83"/>
    <mergeCell ref="I83:K83"/>
    <mergeCell ref="L83:N83"/>
    <mergeCell ref="A79:C79"/>
    <mergeCell ref="D79"/>
    <mergeCell ref="E79:G79"/>
    <mergeCell ref="H79"/>
    <mergeCell ref="A80:C80"/>
    <mergeCell ref="D80"/>
    <mergeCell ref="E80:G80"/>
    <mergeCell ref="H80"/>
    <mergeCell ref="A81:C81"/>
    <mergeCell ref="A55:C55"/>
    <mergeCell ref="D55:E55"/>
    <mergeCell ref="G55:I55"/>
    <mergeCell ref="J55:K55"/>
    <mergeCell ref="A56:C56"/>
    <mergeCell ref="D56:E56"/>
    <mergeCell ref="A77:O77"/>
    <mergeCell ref="A78:C78"/>
    <mergeCell ref="D78"/>
    <mergeCell ref="E78:G78"/>
    <mergeCell ref="H78"/>
    <mergeCell ref="I78:K78"/>
    <mergeCell ref="L78:N78"/>
    <mergeCell ref="I51"/>
    <mergeCell ref="N51:O51"/>
    <mergeCell ref="A52:H52"/>
    <mergeCell ref="N52:O52"/>
    <mergeCell ref="A53:C53"/>
    <mergeCell ref="D53:E53"/>
    <mergeCell ref="G53:I53"/>
    <mergeCell ref="J53:K53"/>
    <mergeCell ref="A54:C54"/>
    <mergeCell ref="D54:E54"/>
    <mergeCell ref="G54:I54"/>
    <mergeCell ref="J54:K54"/>
    <mergeCell ref="I46"/>
    <mergeCell ref="N46:O46"/>
    <mergeCell ref="I47"/>
    <mergeCell ref="N47:O47"/>
    <mergeCell ref="I48"/>
    <mergeCell ref="N48:O48"/>
    <mergeCell ref="I49"/>
    <mergeCell ref="N49:O49"/>
    <mergeCell ref="I50"/>
    <mergeCell ref="N50:O50"/>
    <mergeCell ref="I41"/>
    <mergeCell ref="N41:O41"/>
    <mergeCell ref="I42"/>
    <mergeCell ref="N42:O42"/>
    <mergeCell ref="I43"/>
    <mergeCell ref="N43:O43"/>
    <mergeCell ref="I44"/>
    <mergeCell ref="N44:O44"/>
    <mergeCell ref="I45"/>
    <mergeCell ref="N45:O45"/>
    <mergeCell ref="I36"/>
    <mergeCell ref="N36:O36"/>
    <mergeCell ref="I37"/>
    <mergeCell ref="N37:O37"/>
    <mergeCell ref="I38"/>
    <mergeCell ref="N38:O38"/>
    <mergeCell ref="I39"/>
    <mergeCell ref="N39:O39"/>
    <mergeCell ref="I40"/>
    <mergeCell ref="N40:O40"/>
    <mergeCell ref="J31:K31"/>
    <mergeCell ref="L31:O31"/>
    <mergeCell ref="J32:K32"/>
    <mergeCell ref="L32:O32"/>
    <mergeCell ref="J33:K33"/>
    <mergeCell ref="L33:O33"/>
    <mergeCell ref="A34:O34"/>
    <mergeCell ref="J35"/>
    <mergeCell ref="N35:O35"/>
    <mergeCell ref="J26:K26"/>
    <mergeCell ref="L26:O26"/>
    <mergeCell ref="J27:K27"/>
    <mergeCell ref="L27:O27"/>
    <mergeCell ref="J28:K28"/>
    <mergeCell ref="L28:O28"/>
    <mergeCell ref="J29:K29"/>
    <mergeCell ref="L29:O29"/>
    <mergeCell ref="J30:K30"/>
    <mergeCell ref="L30:O30"/>
    <mergeCell ref="J21:K21"/>
    <mergeCell ref="L21:O21"/>
    <mergeCell ref="J22:K22"/>
    <mergeCell ref="L22:O22"/>
    <mergeCell ref="J23:K23"/>
    <mergeCell ref="L23:O23"/>
    <mergeCell ref="J24:K24"/>
    <mergeCell ref="L24:O24"/>
    <mergeCell ref="J25:K25"/>
    <mergeCell ref="L25:O25"/>
    <mergeCell ref="M15:O15"/>
    <mergeCell ref="A16:O16"/>
    <mergeCell ref="J17:K17"/>
    <mergeCell ref="L17:O17"/>
    <mergeCell ref="J18:K18"/>
    <mergeCell ref="L18:O18"/>
    <mergeCell ref="J19:K19"/>
    <mergeCell ref="L19:O19"/>
    <mergeCell ref="J20:K20"/>
    <mergeCell ref="L20:O20"/>
    <mergeCell ref="A6:O6"/>
    <mergeCell ref="M7:O7"/>
    <mergeCell ref="M8:O8"/>
    <mergeCell ref="M9:O9"/>
    <mergeCell ref="M10:O10"/>
    <mergeCell ref="M11:O11"/>
    <mergeCell ref="M12:O12"/>
    <mergeCell ref="M13:O13"/>
    <mergeCell ref="M14:O14"/>
    <mergeCell ref="A1:O1"/>
    <mergeCell ref="A2:C2"/>
    <mergeCell ref="D2:O2"/>
    <mergeCell ref="A3:C3"/>
    <mergeCell ref="D3:O3"/>
    <mergeCell ref="A4:C4"/>
    <mergeCell ref="D4:O4"/>
    <mergeCell ref="A5:C5"/>
    <mergeCell ref="D5:O5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7798026:Dhapanart Kevalee - USD 002</dc:subject>
  <dc:creator>Eightcap Pty Ltd</dc:creator>
  <dc:description>Trade history report contains client positions and orders history</dc:description>
  <cp:lastModifiedBy>WiN</cp:lastModifiedBy>
  <dcterms:created xsi:type="dcterms:W3CDTF">2026-01-31T10:18:00Z</dcterms:created>
  <dcterms:modified xsi:type="dcterms:W3CDTF">2026-08-27T00:11:49Z</dcterms:modified>
  <cp:category>Reports</cp:category>
</cp:coreProperties>
</file>