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\Desktop\"/>
    </mc:Choice>
  </mc:AlternateContent>
  <xr:revisionPtr revIDLastSave="0" documentId="8_{5FE32A46-C4CC-4A5D-A5E1-668B94206A03}" xr6:coauthVersionLast="47" xr6:coauthVersionMax="47" xr10:uidLastSave="{00000000-0000-0000-0000-000000000000}"/>
  <bookViews>
    <workbookView xWindow="-96" yWindow="-96" windowWidth="23232" windowHeight="12552" firstSheet="8" activeTab="11" xr2:uid="{7605B853-A457-4385-9E4D-555C5ABCE45E}"/>
  </bookViews>
  <sheets>
    <sheet name="Frontend from frontend" sheetId="1" state="hidden" r:id="rId1"/>
    <sheet name="Frontend from monolith" sheetId="2" state="hidden" r:id="rId2"/>
    <sheet name="Sheet6" sheetId="6" state="hidden" r:id="rId3"/>
    <sheet name="Frontend files Collation" sheetId="3" state="hidden" r:id="rId4"/>
    <sheet name="Exist in frontend but not root" sheetId="4" state="hidden" r:id="rId5"/>
    <sheet name="Exist in root but not frontend" sheetId="5" state="hidden" r:id="rId6"/>
    <sheet name="Frontend TSX" sheetId="7" state="hidden" r:id="rId7"/>
    <sheet name="Monolith TSX" sheetId="8" state="hidden" r:id="rId8"/>
    <sheet name="Frontend-Monolith TSX" sheetId="9" r:id="rId9"/>
    <sheet name="Frontend NON-TSX" sheetId="10" state="hidden" r:id="rId10"/>
    <sheet name="Monolith NON-TSX" sheetId="11" state="hidden" r:id="rId11"/>
    <sheet name="Frontend-Monolith NON-TSX" sheetId="12" r:id="rId12"/>
    <sheet name="Exhaustive List of Files" sheetId="13" state="hidden" r:id="rId13"/>
    <sheet name="BACKEND FILES" sheetId="14" state="hidden" r:id="rId14"/>
    <sheet name="FRONTEND FILES" sheetId="15" state="hidden" r:id="rId15"/>
    <sheet name="SHARED FILES" sheetId="16" state="hidden" r:id="rId16"/>
  </sheets>
  <definedNames>
    <definedName name="_xlnm._FilterDatabase" localSheetId="8" hidden="1">'Frontend-Monolith TSX'!$C$24:$C$190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46" i="13" l="1"/>
  <c r="F347" i="13"/>
  <c r="F348" i="13"/>
  <c r="F349" i="13"/>
  <c r="F350" i="13"/>
  <c r="F351" i="13"/>
  <c r="F352" i="13"/>
  <c r="F353" i="13"/>
  <c r="F354" i="13"/>
  <c r="F355" i="13"/>
  <c r="F356" i="13"/>
  <c r="F357" i="13"/>
  <c r="F358" i="13"/>
  <c r="F359" i="13"/>
  <c r="F360" i="13"/>
  <c r="F361" i="13"/>
  <c r="F362" i="13"/>
  <c r="F363" i="13"/>
  <c r="F364" i="13"/>
  <c r="F365" i="13"/>
  <c r="F366" i="13"/>
  <c r="F367" i="13"/>
  <c r="F368" i="13"/>
  <c r="F369" i="13"/>
  <c r="F370" i="13"/>
  <c r="F371" i="13"/>
  <c r="F372" i="13"/>
  <c r="F373" i="13"/>
  <c r="F374" i="13"/>
  <c r="F375" i="13"/>
  <c r="F376" i="13"/>
  <c r="F377" i="13"/>
  <c r="F378" i="13"/>
  <c r="F379" i="13"/>
  <c r="F380" i="13"/>
  <c r="F381" i="13"/>
  <c r="F382" i="13"/>
  <c r="F383" i="13"/>
  <c r="F384" i="13"/>
  <c r="F385" i="13"/>
  <c r="F386" i="13"/>
  <c r="F387" i="13"/>
  <c r="F388" i="13"/>
  <c r="F389" i="13"/>
  <c r="F390" i="13"/>
  <c r="F391" i="13"/>
  <c r="F392" i="13"/>
  <c r="F393" i="13"/>
  <c r="F394" i="13"/>
  <c r="F395" i="13"/>
  <c r="F396" i="13"/>
  <c r="F397" i="13"/>
  <c r="F398" i="13"/>
  <c r="F399" i="13"/>
  <c r="F400" i="13"/>
  <c r="F401" i="13"/>
  <c r="F402" i="13"/>
  <c r="F403" i="13"/>
  <c r="F404" i="13"/>
  <c r="F405" i="13"/>
  <c r="F406" i="13"/>
  <c r="F407" i="13"/>
  <c r="F408" i="13"/>
  <c r="F409" i="13"/>
  <c r="F410" i="13"/>
  <c r="F411" i="13"/>
  <c r="F412" i="13"/>
  <c r="F413" i="13"/>
  <c r="F414" i="13"/>
  <c r="F415" i="13"/>
  <c r="F416" i="13"/>
  <c r="F417" i="13"/>
  <c r="F418" i="13"/>
  <c r="F419" i="13"/>
  <c r="F420" i="13"/>
  <c r="F421" i="13"/>
  <c r="F422" i="13"/>
  <c r="F423" i="13"/>
  <c r="F424" i="13"/>
  <c r="F425" i="13"/>
  <c r="F426" i="13"/>
  <c r="F427" i="13"/>
  <c r="F428" i="13"/>
  <c r="F429" i="13"/>
  <c r="F430" i="13"/>
  <c r="F431" i="13"/>
  <c r="F432" i="13"/>
  <c r="F433" i="13"/>
  <c r="F434" i="13"/>
  <c r="F435" i="13"/>
  <c r="F436" i="13"/>
  <c r="F437" i="13"/>
  <c r="F438" i="13"/>
  <c r="F439" i="13"/>
  <c r="F440" i="13"/>
  <c r="F441" i="13"/>
  <c r="F442" i="13"/>
  <c r="F443" i="13"/>
  <c r="F444" i="13"/>
  <c r="F445" i="13"/>
  <c r="F446" i="13"/>
  <c r="F447" i="13"/>
  <c r="F448" i="13"/>
  <c r="F449" i="13"/>
  <c r="F450" i="13"/>
  <c r="F451" i="13"/>
  <c r="F452" i="13"/>
  <c r="F453" i="13"/>
  <c r="F454" i="13"/>
  <c r="F455" i="13"/>
  <c r="F456" i="13"/>
  <c r="F457" i="13"/>
  <c r="F458" i="13"/>
  <c r="F459" i="13"/>
  <c r="F460" i="13"/>
  <c r="F461" i="13"/>
  <c r="F462" i="13"/>
  <c r="F463" i="13"/>
  <c r="F464" i="13"/>
  <c r="F465" i="13"/>
  <c r="F466" i="13"/>
  <c r="F467" i="13"/>
  <c r="F468" i="13"/>
  <c r="F469" i="13"/>
  <c r="F470" i="13"/>
  <c r="F471" i="13"/>
  <c r="F472" i="13"/>
  <c r="F473" i="13"/>
  <c r="F474" i="13"/>
  <c r="F475" i="13"/>
  <c r="F476" i="13"/>
  <c r="F477" i="13"/>
  <c r="F478" i="13"/>
  <c r="F479" i="13"/>
  <c r="F480" i="13"/>
  <c r="F481" i="13"/>
  <c r="F482" i="13"/>
  <c r="F483" i="13"/>
  <c r="F484" i="13"/>
  <c r="F485" i="13"/>
  <c r="F486" i="13"/>
  <c r="F487" i="13"/>
  <c r="F488" i="13"/>
  <c r="F489" i="13"/>
  <c r="F490" i="13"/>
  <c r="F491" i="13"/>
  <c r="F492" i="13"/>
  <c r="F493" i="13"/>
  <c r="F494" i="13"/>
  <c r="F495" i="13"/>
  <c r="F496" i="13"/>
  <c r="F497" i="13"/>
  <c r="F498" i="13"/>
  <c r="F499" i="13"/>
  <c r="F500" i="13"/>
  <c r="F501" i="13"/>
  <c r="F502" i="13"/>
  <c r="F503" i="13"/>
  <c r="F504" i="13"/>
  <c r="F505" i="13"/>
  <c r="F506" i="13"/>
  <c r="F507" i="13"/>
  <c r="F508" i="13"/>
  <c r="F509" i="13"/>
  <c r="F510" i="13"/>
  <c r="F511" i="13"/>
  <c r="F512" i="13"/>
  <c r="F513" i="13"/>
  <c r="F514" i="13"/>
  <c r="F515" i="13"/>
  <c r="F516" i="13"/>
  <c r="F517" i="13"/>
  <c r="F518" i="13"/>
  <c r="F519" i="13"/>
  <c r="F520" i="13"/>
  <c r="F521" i="13"/>
  <c r="F522" i="13"/>
  <c r="F523" i="13"/>
  <c r="F308" i="13"/>
  <c r="F309" i="13"/>
  <c r="F310" i="13"/>
  <c r="F311" i="13"/>
  <c r="F312" i="13"/>
  <c r="F313" i="13"/>
  <c r="F314" i="13"/>
  <c r="F315" i="13"/>
  <c r="F316" i="13"/>
  <c r="F317" i="13"/>
  <c r="F318" i="13"/>
  <c r="F319" i="13"/>
  <c r="F320" i="13"/>
  <c r="F321" i="13"/>
  <c r="F322" i="13"/>
  <c r="F323" i="13"/>
  <c r="F324" i="13"/>
  <c r="F325" i="13"/>
  <c r="F326" i="13"/>
  <c r="F327" i="13"/>
  <c r="F328" i="13"/>
  <c r="F329" i="13"/>
  <c r="F330" i="13"/>
  <c r="F331" i="13"/>
  <c r="F332" i="13"/>
  <c r="F333" i="13"/>
  <c r="F334" i="13"/>
  <c r="F335" i="13"/>
  <c r="F336" i="13"/>
  <c r="F337" i="13"/>
  <c r="F338" i="13"/>
  <c r="F339" i="13"/>
  <c r="F340" i="13"/>
  <c r="F341" i="13"/>
  <c r="F342" i="13"/>
  <c r="F343" i="13"/>
  <c r="F344" i="13"/>
  <c r="F345" i="13"/>
  <c r="F269" i="13"/>
  <c r="F270" i="13"/>
  <c r="F271" i="13"/>
  <c r="F272" i="13"/>
  <c r="F273" i="13"/>
  <c r="F274" i="13"/>
  <c r="F275" i="13"/>
  <c r="F276" i="13"/>
  <c r="F277" i="13"/>
  <c r="F278" i="13"/>
  <c r="F279" i="13"/>
  <c r="F280" i="13"/>
  <c r="F281" i="13"/>
  <c r="F282" i="13"/>
  <c r="F283" i="13"/>
  <c r="F284" i="13"/>
  <c r="F285" i="13"/>
  <c r="F286" i="13"/>
  <c r="F287" i="13"/>
  <c r="F288" i="13"/>
  <c r="F289" i="13"/>
  <c r="F290" i="13"/>
  <c r="F291" i="13"/>
  <c r="F292" i="13"/>
  <c r="F293" i="13"/>
  <c r="F294" i="13"/>
  <c r="F295" i="13"/>
  <c r="F296" i="13"/>
  <c r="F297" i="13"/>
  <c r="F298" i="13"/>
  <c r="F299" i="13"/>
  <c r="F300" i="13"/>
  <c r="F301" i="13"/>
  <c r="F302" i="13"/>
  <c r="F303" i="13"/>
  <c r="F304" i="13"/>
  <c r="F305" i="13"/>
  <c r="F306" i="13"/>
  <c r="F307" i="13"/>
  <c r="F206" i="13"/>
  <c r="F207" i="13"/>
  <c r="F208" i="13"/>
  <c r="F209" i="13"/>
  <c r="F210" i="13"/>
  <c r="F211" i="13"/>
  <c r="F212" i="13"/>
  <c r="F213" i="13"/>
  <c r="F214" i="13"/>
  <c r="F215" i="13"/>
  <c r="F216" i="13"/>
  <c r="F217" i="13"/>
  <c r="F218" i="13"/>
  <c r="F219" i="13"/>
  <c r="F220" i="13"/>
  <c r="F221" i="13"/>
  <c r="F222" i="13"/>
  <c r="F223" i="13"/>
  <c r="F224" i="13"/>
  <c r="F225" i="13"/>
  <c r="F226" i="13"/>
  <c r="F227" i="13"/>
  <c r="F228" i="13"/>
  <c r="F229" i="13"/>
  <c r="F230" i="13"/>
  <c r="F231" i="13"/>
  <c r="F232" i="13"/>
  <c r="F233" i="13"/>
  <c r="F234" i="13"/>
  <c r="F235" i="13"/>
  <c r="F236" i="13"/>
  <c r="F237" i="13"/>
  <c r="F238" i="13"/>
  <c r="F239" i="13"/>
  <c r="F240" i="13"/>
  <c r="F241" i="13"/>
  <c r="F242" i="13"/>
  <c r="F243" i="13"/>
  <c r="F244" i="13"/>
  <c r="F245" i="13"/>
  <c r="F246" i="13"/>
  <c r="F247" i="13"/>
  <c r="F248" i="13"/>
  <c r="F249" i="13"/>
  <c r="F250" i="13"/>
  <c r="F251" i="13"/>
  <c r="F252" i="13"/>
  <c r="F253" i="13"/>
  <c r="F254" i="13"/>
  <c r="F255" i="13"/>
  <c r="F256" i="13"/>
  <c r="F257" i="13"/>
  <c r="F258" i="13"/>
  <c r="F259" i="13"/>
  <c r="F260" i="13"/>
  <c r="F261" i="13"/>
  <c r="F262" i="13"/>
  <c r="F263" i="13"/>
  <c r="F264" i="13"/>
  <c r="F265" i="13"/>
  <c r="F266" i="13"/>
  <c r="F267" i="13"/>
  <c r="F268" i="13"/>
  <c r="F166" i="13"/>
  <c r="F167" i="13"/>
  <c r="F168" i="13"/>
  <c r="F169" i="13"/>
  <c r="F170" i="13"/>
  <c r="F171" i="13"/>
  <c r="F172" i="13"/>
  <c r="F173" i="13"/>
  <c r="F174" i="13"/>
  <c r="F175" i="13"/>
  <c r="F176" i="13"/>
  <c r="F177" i="13"/>
  <c r="F178" i="13"/>
  <c r="F179" i="13"/>
  <c r="F180" i="13"/>
  <c r="F181" i="13"/>
  <c r="F182" i="13"/>
  <c r="F183" i="13"/>
  <c r="F184" i="13"/>
  <c r="F185" i="13"/>
  <c r="F186" i="13"/>
  <c r="F187" i="13"/>
  <c r="F188" i="13"/>
  <c r="F189" i="13"/>
  <c r="F190" i="13"/>
  <c r="F191" i="13"/>
  <c r="F192" i="13"/>
  <c r="F193" i="13"/>
  <c r="F194" i="13"/>
  <c r="F195" i="13"/>
  <c r="F196" i="13"/>
  <c r="F197" i="13"/>
  <c r="F198" i="13"/>
  <c r="F199" i="13"/>
  <c r="F200" i="13"/>
  <c r="F201" i="13"/>
  <c r="F202" i="13"/>
  <c r="F203" i="13"/>
  <c r="F204" i="13"/>
  <c r="F20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F143" i="13"/>
  <c r="F144" i="13"/>
  <c r="F145" i="13"/>
  <c r="F146" i="13"/>
  <c r="F147" i="13"/>
  <c r="F148" i="13"/>
  <c r="F149" i="13"/>
  <c r="F150" i="13"/>
  <c r="F151" i="13"/>
  <c r="F152" i="13"/>
  <c r="F153" i="13"/>
  <c r="F154" i="13"/>
  <c r="F155" i="13"/>
  <c r="F156" i="13"/>
  <c r="F157" i="13"/>
  <c r="F158" i="13"/>
  <c r="F159" i="13"/>
  <c r="F160" i="13"/>
  <c r="F161" i="13"/>
  <c r="F162" i="13"/>
  <c r="F163" i="13"/>
  <c r="F164" i="13"/>
  <c r="F165" i="13"/>
  <c r="F2" i="13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" i="13"/>
  <c r="E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47" i="13"/>
  <c r="E248" i="13"/>
  <c r="E249" i="13"/>
  <c r="E250" i="13"/>
  <c r="E251" i="13"/>
  <c r="E252" i="13"/>
  <c r="E253" i="13"/>
  <c r="E254" i="13"/>
  <c r="E255" i="13"/>
  <c r="E256" i="13"/>
  <c r="E257" i="13"/>
  <c r="E258" i="13"/>
  <c r="E259" i="13"/>
  <c r="E260" i="13"/>
  <c r="E261" i="13"/>
  <c r="E262" i="13"/>
  <c r="E263" i="13"/>
  <c r="E264" i="13"/>
  <c r="E265" i="13"/>
  <c r="E266" i="13"/>
  <c r="E267" i="13"/>
  <c r="E268" i="13"/>
  <c r="E269" i="13"/>
  <c r="E270" i="13"/>
  <c r="E271" i="13"/>
  <c r="E272" i="13"/>
  <c r="E273" i="13"/>
  <c r="E274" i="13"/>
  <c r="E275" i="13"/>
  <c r="E276" i="13"/>
  <c r="E277" i="13"/>
  <c r="E278" i="13"/>
  <c r="E279" i="13"/>
  <c r="E280" i="13"/>
  <c r="E281" i="13"/>
  <c r="E282" i="13"/>
  <c r="E283" i="13"/>
  <c r="E284" i="13"/>
  <c r="E285" i="13"/>
  <c r="E286" i="13"/>
  <c r="E287" i="13"/>
  <c r="E288" i="13"/>
  <c r="E289" i="13"/>
  <c r="E290" i="13"/>
  <c r="E291" i="13"/>
  <c r="E292" i="13"/>
  <c r="E293" i="13"/>
  <c r="E294" i="13"/>
  <c r="E295" i="13"/>
  <c r="E296" i="13"/>
  <c r="E297" i="13"/>
  <c r="E298" i="13"/>
  <c r="E299" i="13"/>
  <c r="E300" i="13"/>
  <c r="E301" i="13"/>
  <c r="E302" i="13"/>
  <c r="E303" i="13"/>
  <c r="E304" i="13"/>
  <c r="E305" i="13"/>
  <c r="E306" i="13"/>
  <c r="E307" i="13"/>
  <c r="E308" i="13"/>
  <c r="E309" i="13"/>
  <c r="E310" i="13"/>
  <c r="E311" i="13"/>
  <c r="E312" i="13"/>
  <c r="E313" i="13"/>
  <c r="E314" i="13"/>
  <c r="E315" i="13"/>
  <c r="E316" i="13"/>
  <c r="E317" i="13"/>
  <c r="E318" i="13"/>
  <c r="E319" i="13"/>
  <c r="E320" i="13"/>
  <c r="E321" i="13"/>
  <c r="E322" i="13"/>
  <c r="E323" i="13"/>
  <c r="E324" i="13"/>
  <c r="E325" i="13"/>
  <c r="E326" i="13"/>
  <c r="E327" i="13"/>
  <c r="E328" i="13"/>
  <c r="E329" i="13"/>
  <c r="E330" i="13"/>
  <c r="E331" i="13"/>
  <c r="E332" i="13"/>
  <c r="E333" i="13"/>
  <c r="E334" i="13"/>
  <c r="E335" i="13"/>
  <c r="E336" i="13"/>
  <c r="E337" i="13"/>
  <c r="E338" i="13"/>
  <c r="E339" i="13"/>
  <c r="E340" i="13"/>
  <c r="E341" i="13"/>
  <c r="E342" i="13"/>
  <c r="E343" i="13"/>
  <c r="E344" i="13"/>
  <c r="E345" i="13"/>
  <c r="E346" i="13"/>
  <c r="E347" i="13"/>
  <c r="E348" i="13"/>
  <c r="E349" i="13"/>
  <c r="E350" i="13"/>
  <c r="E351" i="13"/>
  <c r="E352" i="13"/>
  <c r="E353" i="13"/>
  <c r="E354" i="13"/>
  <c r="E355" i="13"/>
  <c r="E356" i="13"/>
  <c r="E357" i="13"/>
  <c r="E358" i="13"/>
  <c r="E359" i="13"/>
  <c r="E360" i="13"/>
  <c r="E361" i="13"/>
  <c r="E362" i="13"/>
  <c r="E363" i="13"/>
  <c r="E364" i="13"/>
  <c r="E365" i="13"/>
  <c r="E366" i="13"/>
  <c r="E367" i="13"/>
  <c r="E368" i="13"/>
  <c r="E369" i="13"/>
  <c r="E370" i="13"/>
  <c r="E371" i="13"/>
  <c r="E372" i="13"/>
  <c r="E373" i="13"/>
  <c r="E374" i="13"/>
  <c r="E375" i="13"/>
  <c r="E376" i="13"/>
  <c r="E377" i="13"/>
  <c r="E378" i="13"/>
  <c r="E379" i="13"/>
  <c r="E380" i="13"/>
  <c r="E381" i="13"/>
  <c r="E382" i="13"/>
  <c r="E383" i="13"/>
  <c r="E384" i="13"/>
  <c r="E385" i="13"/>
  <c r="E386" i="13"/>
  <c r="E387" i="13"/>
  <c r="E388" i="13"/>
  <c r="E389" i="13"/>
  <c r="E390" i="13"/>
  <c r="E391" i="13"/>
  <c r="E392" i="13"/>
  <c r="E393" i="13"/>
  <c r="E394" i="13"/>
  <c r="E395" i="13"/>
  <c r="E396" i="13"/>
  <c r="E397" i="13"/>
  <c r="E398" i="13"/>
  <c r="E399" i="13"/>
  <c r="E400" i="13"/>
  <c r="E401" i="13"/>
  <c r="E402" i="13"/>
  <c r="E403" i="13"/>
  <c r="E404" i="13"/>
  <c r="E405" i="13"/>
  <c r="E406" i="13"/>
  <c r="E407" i="13"/>
  <c r="E408" i="13"/>
  <c r="E409" i="13"/>
  <c r="E410" i="13"/>
  <c r="E411" i="13"/>
  <c r="E412" i="13"/>
  <c r="E413" i="13"/>
  <c r="E414" i="13"/>
  <c r="E415" i="13"/>
  <c r="E416" i="13"/>
  <c r="E417" i="13"/>
  <c r="E418" i="13"/>
  <c r="E419" i="13"/>
  <c r="E420" i="13"/>
  <c r="E421" i="13"/>
  <c r="E422" i="13"/>
  <c r="E423" i="13"/>
  <c r="E424" i="13"/>
  <c r="E425" i="13"/>
  <c r="E426" i="13"/>
  <c r="E427" i="13"/>
  <c r="E428" i="13"/>
  <c r="E429" i="13"/>
  <c r="E430" i="13"/>
  <c r="E431" i="13"/>
  <c r="E432" i="13"/>
  <c r="E433" i="13"/>
  <c r="E434" i="13"/>
  <c r="E435" i="13"/>
  <c r="E436" i="13"/>
  <c r="E437" i="13"/>
  <c r="E438" i="13"/>
  <c r="E439" i="13"/>
  <c r="E440" i="13"/>
  <c r="E441" i="13"/>
  <c r="E442" i="13"/>
  <c r="E443" i="13"/>
  <c r="E444" i="13"/>
  <c r="E445" i="13"/>
  <c r="E446" i="13"/>
  <c r="E447" i="13"/>
  <c r="E448" i="13"/>
  <c r="E449" i="13"/>
  <c r="E450" i="13"/>
  <c r="E451" i="13"/>
  <c r="E452" i="13"/>
  <c r="E453" i="13"/>
  <c r="E454" i="13"/>
  <c r="E455" i="13"/>
  <c r="E456" i="13"/>
  <c r="E457" i="13"/>
  <c r="E458" i="13"/>
  <c r="E459" i="13"/>
  <c r="E460" i="13"/>
  <c r="E461" i="13"/>
  <c r="E462" i="13"/>
  <c r="E463" i="13"/>
  <c r="E464" i="13"/>
  <c r="E465" i="13"/>
  <c r="E466" i="13"/>
  <c r="E467" i="13"/>
  <c r="E468" i="13"/>
  <c r="E469" i="13"/>
  <c r="E470" i="13"/>
  <c r="E471" i="13"/>
  <c r="E472" i="13"/>
  <c r="E473" i="13"/>
  <c r="E474" i="13"/>
  <c r="E475" i="13"/>
  <c r="E476" i="13"/>
  <c r="E477" i="13"/>
  <c r="E478" i="13"/>
  <c r="E479" i="13"/>
  <c r="E480" i="13"/>
  <c r="E481" i="13"/>
  <c r="E482" i="13"/>
  <c r="E483" i="13"/>
  <c r="E484" i="13"/>
  <c r="E485" i="13"/>
  <c r="E486" i="13"/>
  <c r="E487" i="13"/>
  <c r="E488" i="13"/>
  <c r="E489" i="13"/>
  <c r="E490" i="13"/>
  <c r="E491" i="13"/>
  <c r="E492" i="13"/>
  <c r="E493" i="13"/>
  <c r="E494" i="13"/>
  <c r="E495" i="13"/>
  <c r="E496" i="13"/>
  <c r="E497" i="13"/>
  <c r="E498" i="13"/>
  <c r="E499" i="13"/>
  <c r="E500" i="13"/>
  <c r="E501" i="13"/>
  <c r="E502" i="13"/>
  <c r="E503" i="13"/>
  <c r="E504" i="13"/>
  <c r="E505" i="13"/>
  <c r="E506" i="13"/>
  <c r="E507" i="13"/>
  <c r="E508" i="13"/>
  <c r="E509" i="13"/>
  <c r="E510" i="13"/>
  <c r="E511" i="13"/>
  <c r="E512" i="13"/>
  <c r="E513" i="13"/>
  <c r="E514" i="13"/>
  <c r="E515" i="13"/>
  <c r="E516" i="13"/>
  <c r="E517" i="13"/>
  <c r="E518" i="13"/>
  <c r="E519" i="13"/>
  <c r="E520" i="13"/>
  <c r="E521" i="13"/>
  <c r="E522" i="13"/>
  <c r="E523" i="13"/>
  <c r="E1" i="13"/>
  <c r="D2" i="13"/>
  <c r="D3" i="13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D247" i="13"/>
  <c r="D248" i="13"/>
  <c r="D249" i="13"/>
  <c r="D250" i="13"/>
  <c r="D251" i="13"/>
  <c r="D252" i="13"/>
  <c r="D253" i="13"/>
  <c r="D254" i="13"/>
  <c r="D255" i="13"/>
  <c r="D256" i="13"/>
  <c r="D257" i="13"/>
  <c r="D258" i="13"/>
  <c r="D259" i="13"/>
  <c r="D260" i="13"/>
  <c r="D261" i="13"/>
  <c r="D262" i="13"/>
  <c r="D263" i="13"/>
  <c r="D264" i="13"/>
  <c r="D265" i="13"/>
  <c r="D266" i="13"/>
  <c r="D267" i="13"/>
  <c r="D268" i="13"/>
  <c r="D269" i="13"/>
  <c r="D270" i="13"/>
  <c r="D271" i="13"/>
  <c r="D272" i="13"/>
  <c r="D273" i="13"/>
  <c r="D274" i="13"/>
  <c r="D275" i="13"/>
  <c r="D276" i="13"/>
  <c r="D277" i="13"/>
  <c r="D278" i="13"/>
  <c r="D279" i="13"/>
  <c r="D280" i="13"/>
  <c r="D281" i="13"/>
  <c r="D282" i="13"/>
  <c r="D283" i="13"/>
  <c r="D284" i="13"/>
  <c r="D285" i="13"/>
  <c r="D286" i="13"/>
  <c r="D287" i="13"/>
  <c r="D288" i="13"/>
  <c r="D289" i="13"/>
  <c r="D290" i="13"/>
  <c r="D291" i="13"/>
  <c r="D292" i="13"/>
  <c r="D293" i="13"/>
  <c r="D294" i="13"/>
  <c r="D295" i="13"/>
  <c r="D296" i="13"/>
  <c r="D297" i="13"/>
  <c r="D298" i="13"/>
  <c r="D299" i="13"/>
  <c r="D300" i="13"/>
  <c r="D301" i="13"/>
  <c r="D302" i="13"/>
  <c r="D303" i="13"/>
  <c r="D304" i="13"/>
  <c r="D305" i="13"/>
  <c r="D306" i="13"/>
  <c r="D307" i="13"/>
  <c r="D308" i="13"/>
  <c r="D309" i="13"/>
  <c r="D310" i="13"/>
  <c r="D311" i="13"/>
  <c r="D312" i="13"/>
  <c r="D313" i="13"/>
  <c r="D314" i="13"/>
  <c r="D315" i="13"/>
  <c r="D316" i="13"/>
  <c r="D317" i="13"/>
  <c r="D318" i="13"/>
  <c r="D319" i="13"/>
  <c r="D320" i="13"/>
  <c r="D321" i="13"/>
  <c r="D322" i="13"/>
  <c r="D323" i="13"/>
  <c r="D324" i="13"/>
  <c r="D325" i="13"/>
  <c r="D326" i="13"/>
  <c r="D327" i="13"/>
  <c r="D328" i="13"/>
  <c r="D329" i="13"/>
  <c r="D330" i="13"/>
  <c r="D331" i="13"/>
  <c r="D332" i="13"/>
  <c r="D333" i="13"/>
  <c r="D334" i="13"/>
  <c r="D335" i="13"/>
  <c r="D336" i="13"/>
  <c r="D337" i="13"/>
  <c r="D338" i="13"/>
  <c r="D339" i="13"/>
  <c r="D340" i="13"/>
  <c r="D341" i="13"/>
  <c r="D342" i="13"/>
  <c r="D343" i="13"/>
  <c r="D344" i="13"/>
  <c r="D345" i="13"/>
  <c r="D346" i="13"/>
  <c r="D347" i="13"/>
  <c r="D348" i="13"/>
  <c r="D349" i="13"/>
  <c r="D350" i="13"/>
  <c r="D351" i="13"/>
  <c r="D352" i="13"/>
  <c r="D353" i="13"/>
  <c r="D354" i="13"/>
  <c r="D355" i="13"/>
  <c r="D356" i="13"/>
  <c r="D357" i="13"/>
  <c r="D358" i="13"/>
  <c r="D359" i="13"/>
  <c r="D360" i="13"/>
  <c r="D361" i="13"/>
  <c r="D362" i="13"/>
  <c r="D363" i="13"/>
  <c r="D364" i="13"/>
  <c r="D365" i="13"/>
  <c r="D366" i="13"/>
  <c r="D367" i="13"/>
  <c r="D368" i="13"/>
  <c r="D369" i="13"/>
  <c r="D370" i="13"/>
  <c r="D371" i="13"/>
  <c r="D372" i="13"/>
  <c r="D373" i="13"/>
  <c r="D374" i="13"/>
  <c r="D375" i="13"/>
  <c r="D376" i="13"/>
  <c r="D377" i="13"/>
  <c r="D378" i="13"/>
  <c r="D379" i="13"/>
  <c r="D380" i="13"/>
  <c r="D381" i="13"/>
  <c r="D382" i="13"/>
  <c r="D383" i="13"/>
  <c r="D384" i="13"/>
  <c r="D385" i="13"/>
  <c r="D386" i="13"/>
  <c r="D387" i="13"/>
  <c r="D388" i="13"/>
  <c r="D389" i="13"/>
  <c r="D390" i="13"/>
  <c r="D391" i="13"/>
  <c r="D392" i="13"/>
  <c r="D393" i="13"/>
  <c r="D394" i="13"/>
  <c r="D395" i="13"/>
  <c r="D396" i="13"/>
  <c r="D397" i="13"/>
  <c r="D398" i="13"/>
  <c r="D399" i="13"/>
  <c r="D400" i="13"/>
  <c r="D401" i="13"/>
  <c r="D402" i="13"/>
  <c r="D403" i="13"/>
  <c r="D404" i="13"/>
  <c r="D405" i="13"/>
  <c r="D406" i="13"/>
  <c r="D407" i="13"/>
  <c r="D408" i="13"/>
  <c r="D409" i="13"/>
  <c r="D410" i="13"/>
  <c r="D411" i="13"/>
  <c r="D412" i="13"/>
  <c r="D413" i="13"/>
  <c r="D414" i="13"/>
  <c r="D415" i="13"/>
  <c r="D416" i="13"/>
  <c r="D417" i="13"/>
  <c r="D418" i="13"/>
  <c r="D419" i="13"/>
  <c r="D420" i="13"/>
  <c r="D421" i="13"/>
  <c r="D422" i="13"/>
  <c r="D423" i="13"/>
  <c r="D424" i="13"/>
  <c r="D425" i="13"/>
  <c r="D426" i="13"/>
  <c r="D427" i="13"/>
  <c r="D428" i="13"/>
  <c r="D429" i="13"/>
  <c r="D430" i="13"/>
  <c r="D431" i="13"/>
  <c r="D432" i="13"/>
  <c r="D433" i="13"/>
  <c r="D434" i="13"/>
  <c r="D435" i="13"/>
  <c r="D436" i="13"/>
  <c r="D437" i="13"/>
  <c r="D438" i="13"/>
  <c r="D439" i="13"/>
  <c r="D440" i="13"/>
  <c r="D441" i="13"/>
  <c r="D442" i="13"/>
  <c r="D443" i="13"/>
  <c r="D444" i="13"/>
  <c r="D445" i="13"/>
  <c r="D446" i="13"/>
  <c r="D447" i="13"/>
  <c r="D448" i="13"/>
  <c r="D449" i="13"/>
  <c r="D450" i="13"/>
  <c r="D451" i="13"/>
  <c r="D452" i="13"/>
  <c r="D453" i="13"/>
  <c r="D454" i="13"/>
  <c r="D455" i="13"/>
  <c r="D456" i="13"/>
  <c r="D457" i="13"/>
  <c r="D458" i="13"/>
  <c r="D459" i="13"/>
  <c r="D460" i="13"/>
  <c r="D461" i="13"/>
  <c r="D462" i="13"/>
  <c r="D463" i="13"/>
  <c r="D464" i="13"/>
  <c r="D465" i="13"/>
  <c r="D466" i="13"/>
  <c r="D467" i="13"/>
  <c r="D468" i="13"/>
  <c r="D469" i="13"/>
  <c r="D470" i="13"/>
  <c r="D471" i="13"/>
  <c r="D472" i="13"/>
  <c r="D473" i="13"/>
  <c r="D474" i="13"/>
  <c r="D475" i="13"/>
  <c r="D476" i="13"/>
  <c r="D477" i="13"/>
  <c r="D478" i="13"/>
  <c r="D479" i="13"/>
  <c r="D480" i="13"/>
  <c r="D481" i="13"/>
  <c r="D482" i="13"/>
  <c r="D483" i="13"/>
  <c r="D484" i="13"/>
  <c r="D485" i="13"/>
  <c r="D486" i="13"/>
  <c r="D487" i="13"/>
  <c r="D488" i="13"/>
  <c r="D489" i="13"/>
  <c r="D490" i="13"/>
  <c r="D491" i="13"/>
  <c r="D492" i="13"/>
  <c r="D493" i="13"/>
  <c r="D494" i="13"/>
  <c r="D495" i="13"/>
  <c r="D496" i="13"/>
  <c r="D497" i="13"/>
  <c r="D498" i="13"/>
  <c r="D499" i="13"/>
  <c r="D500" i="13"/>
  <c r="D501" i="13"/>
  <c r="D502" i="13"/>
  <c r="D503" i="13"/>
  <c r="D504" i="13"/>
  <c r="D505" i="13"/>
  <c r="D506" i="13"/>
  <c r="D507" i="13"/>
  <c r="D508" i="13"/>
  <c r="D509" i="13"/>
  <c r="D510" i="13"/>
  <c r="D511" i="13"/>
  <c r="D512" i="13"/>
  <c r="D513" i="13"/>
  <c r="D514" i="13"/>
  <c r="D515" i="13"/>
  <c r="D516" i="13"/>
  <c r="D517" i="13"/>
  <c r="D518" i="13"/>
  <c r="D519" i="13"/>
  <c r="D520" i="13"/>
  <c r="D521" i="13"/>
  <c r="D522" i="13"/>
  <c r="D523" i="13"/>
  <c r="D1" i="13"/>
  <c r="C1" i="13"/>
  <c r="C2" i="13"/>
  <c r="C3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C155" i="13"/>
  <c r="C156" i="13"/>
  <c r="C157" i="13"/>
  <c r="C158" i="13"/>
  <c r="C159" i="13"/>
  <c r="C160" i="13"/>
  <c r="C161" i="13"/>
  <c r="C162" i="13"/>
  <c r="C163" i="13"/>
  <c r="C164" i="13"/>
  <c r="C165" i="13"/>
  <c r="C166" i="13"/>
  <c r="C167" i="13"/>
  <c r="C168" i="13"/>
  <c r="C169" i="13"/>
  <c r="C170" i="13"/>
  <c r="C171" i="13"/>
  <c r="C172" i="13"/>
  <c r="C173" i="13"/>
  <c r="C174" i="13"/>
  <c r="C175" i="13"/>
  <c r="C176" i="13"/>
  <c r="C177" i="13"/>
  <c r="C178" i="13"/>
  <c r="C179" i="13"/>
  <c r="C180" i="13"/>
  <c r="C181" i="13"/>
  <c r="C182" i="13"/>
  <c r="C183" i="13"/>
  <c r="C184" i="13"/>
  <c r="C185" i="13"/>
  <c r="C186" i="13"/>
  <c r="C187" i="13"/>
  <c r="C188" i="13"/>
  <c r="C189" i="13"/>
  <c r="C190" i="13"/>
  <c r="C191" i="13"/>
  <c r="C192" i="13"/>
  <c r="C193" i="13"/>
  <c r="C194" i="13"/>
  <c r="C195" i="13"/>
  <c r="C196" i="13"/>
  <c r="C197" i="13"/>
  <c r="C198" i="13"/>
  <c r="C199" i="13"/>
  <c r="C200" i="13"/>
  <c r="C201" i="13"/>
  <c r="C202" i="13"/>
  <c r="C203" i="13"/>
  <c r="C204" i="13"/>
  <c r="C205" i="13"/>
  <c r="C206" i="13"/>
  <c r="C207" i="13"/>
  <c r="C208" i="13"/>
  <c r="C209" i="13"/>
  <c r="C210" i="13"/>
  <c r="C211" i="13"/>
  <c r="C212" i="13"/>
  <c r="C213" i="13"/>
  <c r="C214" i="13"/>
  <c r="C215" i="13"/>
  <c r="C216" i="13"/>
  <c r="C217" i="13"/>
  <c r="C218" i="13"/>
  <c r="C219" i="13"/>
  <c r="C220" i="13"/>
  <c r="C221" i="13"/>
  <c r="C222" i="13"/>
  <c r="C223" i="13"/>
  <c r="C224" i="13"/>
  <c r="C225" i="13"/>
  <c r="C226" i="13"/>
  <c r="C227" i="13"/>
  <c r="C228" i="13"/>
  <c r="C229" i="13"/>
  <c r="C230" i="13"/>
  <c r="C231" i="13"/>
  <c r="C232" i="13"/>
  <c r="C233" i="13"/>
  <c r="C234" i="13"/>
  <c r="C235" i="13"/>
  <c r="C236" i="13"/>
  <c r="C237" i="13"/>
  <c r="C238" i="13"/>
  <c r="C239" i="13"/>
  <c r="C240" i="13"/>
  <c r="C241" i="13"/>
  <c r="C242" i="13"/>
  <c r="C243" i="13"/>
  <c r="C244" i="13"/>
  <c r="C245" i="13"/>
  <c r="C246" i="13"/>
  <c r="C247" i="13"/>
  <c r="C248" i="13"/>
  <c r="C249" i="13"/>
  <c r="C250" i="13"/>
  <c r="C251" i="13"/>
  <c r="C252" i="13"/>
  <c r="C253" i="13"/>
  <c r="C254" i="13"/>
  <c r="C255" i="13"/>
  <c r="C256" i="13"/>
  <c r="C257" i="13"/>
  <c r="C258" i="13"/>
  <c r="C259" i="13"/>
  <c r="C260" i="13"/>
  <c r="C261" i="13"/>
  <c r="C262" i="13"/>
  <c r="C263" i="13"/>
  <c r="C264" i="13"/>
  <c r="C265" i="13"/>
  <c r="C266" i="13"/>
  <c r="C267" i="13"/>
  <c r="C268" i="13"/>
  <c r="C269" i="13"/>
  <c r="C270" i="13"/>
  <c r="C271" i="13"/>
  <c r="C272" i="13"/>
  <c r="C273" i="13"/>
  <c r="C274" i="13"/>
  <c r="C275" i="13"/>
  <c r="C276" i="13"/>
  <c r="C277" i="13"/>
  <c r="C278" i="13"/>
  <c r="C279" i="13"/>
  <c r="C280" i="13"/>
  <c r="C281" i="13"/>
  <c r="C282" i="13"/>
  <c r="C283" i="13"/>
  <c r="C284" i="13"/>
  <c r="C285" i="13"/>
  <c r="C286" i="13"/>
  <c r="C287" i="13"/>
  <c r="C288" i="13"/>
  <c r="C289" i="13"/>
  <c r="C290" i="13"/>
  <c r="C291" i="13"/>
  <c r="C292" i="13"/>
  <c r="C293" i="13"/>
  <c r="C294" i="13"/>
  <c r="C295" i="13"/>
  <c r="C296" i="13"/>
  <c r="C297" i="13"/>
  <c r="C298" i="13"/>
  <c r="C299" i="13"/>
  <c r="C300" i="13"/>
  <c r="C301" i="13"/>
  <c r="C302" i="13"/>
  <c r="C303" i="13"/>
  <c r="C304" i="13"/>
  <c r="C305" i="13"/>
  <c r="C306" i="13"/>
  <c r="C307" i="13"/>
  <c r="C308" i="13"/>
  <c r="C309" i="13"/>
  <c r="C310" i="13"/>
  <c r="C311" i="13"/>
  <c r="C312" i="13"/>
  <c r="C313" i="13"/>
  <c r="C314" i="13"/>
  <c r="C315" i="13"/>
  <c r="C316" i="13"/>
  <c r="C317" i="13"/>
  <c r="C318" i="13"/>
  <c r="C319" i="13"/>
  <c r="C320" i="13"/>
  <c r="C321" i="13"/>
  <c r="C322" i="13"/>
  <c r="C323" i="13"/>
  <c r="C324" i="13"/>
  <c r="C325" i="13"/>
  <c r="C326" i="13"/>
  <c r="C327" i="13"/>
  <c r="C328" i="13"/>
  <c r="C329" i="13"/>
  <c r="C330" i="13"/>
  <c r="C331" i="13"/>
  <c r="C332" i="13"/>
  <c r="C333" i="13"/>
  <c r="C334" i="13"/>
  <c r="C335" i="13"/>
  <c r="C336" i="13"/>
  <c r="C337" i="13"/>
  <c r="C338" i="13"/>
  <c r="C339" i="13"/>
  <c r="C340" i="13"/>
  <c r="C341" i="13"/>
  <c r="C342" i="13"/>
  <c r="C343" i="13"/>
  <c r="C344" i="13"/>
  <c r="C345" i="13"/>
  <c r="C346" i="13"/>
  <c r="C347" i="13"/>
  <c r="C348" i="13"/>
  <c r="C349" i="13"/>
  <c r="C350" i="13"/>
  <c r="C351" i="13"/>
  <c r="C352" i="13"/>
  <c r="C353" i="13"/>
  <c r="C354" i="13"/>
  <c r="C355" i="13"/>
  <c r="C356" i="13"/>
  <c r="C357" i="13"/>
  <c r="C358" i="13"/>
  <c r="C359" i="13"/>
  <c r="C360" i="13"/>
  <c r="C361" i="13"/>
  <c r="C362" i="13"/>
  <c r="C363" i="13"/>
  <c r="C364" i="13"/>
  <c r="C365" i="13"/>
  <c r="C366" i="13"/>
  <c r="C367" i="13"/>
  <c r="C368" i="13"/>
  <c r="C369" i="13"/>
  <c r="C370" i="13"/>
  <c r="C371" i="13"/>
  <c r="C372" i="13"/>
  <c r="C373" i="13"/>
  <c r="C374" i="13"/>
  <c r="C375" i="13"/>
  <c r="C376" i="13"/>
  <c r="C377" i="13"/>
  <c r="C378" i="13"/>
  <c r="C379" i="13"/>
  <c r="C380" i="13"/>
  <c r="C381" i="13"/>
  <c r="C382" i="13"/>
  <c r="C383" i="13"/>
  <c r="C384" i="13"/>
  <c r="C385" i="13"/>
  <c r="C386" i="13"/>
  <c r="C387" i="13"/>
  <c r="C388" i="13"/>
  <c r="C389" i="13"/>
  <c r="C390" i="13"/>
  <c r="C391" i="13"/>
  <c r="C392" i="13"/>
  <c r="C393" i="13"/>
  <c r="C394" i="13"/>
  <c r="C395" i="13"/>
  <c r="C396" i="13"/>
  <c r="C397" i="13"/>
  <c r="C398" i="13"/>
  <c r="C399" i="13"/>
  <c r="C400" i="13"/>
  <c r="C401" i="13"/>
  <c r="C402" i="13"/>
  <c r="C403" i="13"/>
  <c r="C404" i="13"/>
  <c r="C405" i="13"/>
  <c r="C406" i="13"/>
  <c r="C407" i="13"/>
  <c r="C408" i="13"/>
  <c r="C409" i="13"/>
  <c r="C410" i="13"/>
  <c r="C411" i="13"/>
  <c r="C412" i="13"/>
  <c r="C413" i="13"/>
  <c r="C414" i="13"/>
  <c r="C415" i="13"/>
  <c r="C416" i="13"/>
  <c r="C417" i="13"/>
  <c r="C418" i="13"/>
  <c r="C419" i="13"/>
  <c r="C420" i="13"/>
  <c r="C421" i="13"/>
  <c r="C422" i="13"/>
  <c r="C423" i="13"/>
  <c r="C424" i="13"/>
  <c r="C425" i="13"/>
  <c r="C426" i="13"/>
  <c r="C427" i="13"/>
  <c r="C428" i="13"/>
  <c r="C429" i="13"/>
  <c r="C430" i="13"/>
  <c r="C431" i="13"/>
  <c r="C432" i="13"/>
  <c r="C433" i="13"/>
  <c r="C434" i="13"/>
  <c r="C435" i="13"/>
  <c r="C436" i="13"/>
  <c r="C437" i="13"/>
  <c r="C438" i="13"/>
  <c r="C439" i="13"/>
  <c r="C440" i="13"/>
  <c r="C441" i="13"/>
  <c r="C442" i="13"/>
  <c r="C443" i="13"/>
  <c r="C444" i="13"/>
  <c r="C445" i="13"/>
  <c r="C446" i="13"/>
  <c r="C447" i="13"/>
  <c r="C448" i="13"/>
  <c r="C449" i="13"/>
  <c r="C450" i="13"/>
  <c r="C451" i="13"/>
  <c r="C452" i="13"/>
  <c r="C453" i="13"/>
  <c r="C454" i="13"/>
  <c r="C455" i="13"/>
  <c r="C456" i="13"/>
  <c r="C457" i="13"/>
  <c r="C458" i="13"/>
  <c r="C459" i="13"/>
  <c r="C460" i="13"/>
  <c r="C461" i="13"/>
  <c r="C462" i="13"/>
  <c r="C463" i="13"/>
  <c r="C464" i="13"/>
  <c r="C465" i="13"/>
  <c r="C466" i="13"/>
  <c r="C467" i="13"/>
  <c r="C468" i="13"/>
  <c r="C469" i="13"/>
  <c r="C470" i="13"/>
  <c r="C471" i="13"/>
  <c r="C472" i="13"/>
  <c r="C473" i="13"/>
  <c r="C474" i="13"/>
  <c r="C475" i="13"/>
  <c r="C476" i="13"/>
  <c r="C477" i="13"/>
  <c r="C478" i="13"/>
  <c r="C479" i="13"/>
  <c r="C480" i="13"/>
  <c r="C481" i="13"/>
  <c r="C482" i="13"/>
  <c r="C483" i="13"/>
  <c r="C484" i="13"/>
  <c r="C485" i="13"/>
  <c r="C486" i="13"/>
  <c r="C487" i="13"/>
  <c r="C488" i="13"/>
  <c r="C489" i="13"/>
  <c r="C490" i="13"/>
  <c r="C491" i="13"/>
  <c r="C492" i="13"/>
  <c r="C493" i="13"/>
  <c r="C494" i="13"/>
  <c r="C495" i="13"/>
  <c r="C496" i="13"/>
  <c r="C497" i="13"/>
  <c r="C498" i="13"/>
  <c r="C499" i="13"/>
  <c r="C500" i="13"/>
  <c r="C501" i="13"/>
  <c r="C502" i="13"/>
  <c r="C503" i="13"/>
  <c r="C504" i="13"/>
  <c r="C505" i="13"/>
  <c r="C506" i="13"/>
  <c r="C507" i="13"/>
  <c r="C508" i="13"/>
  <c r="C509" i="13"/>
  <c r="C510" i="13"/>
  <c r="C511" i="13"/>
  <c r="C512" i="13"/>
  <c r="C513" i="13"/>
  <c r="C514" i="13"/>
  <c r="C515" i="13"/>
  <c r="C516" i="13"/>
  <c r="C517" i="13"/>
  <c r="C518" i="13"/>
  <c r="C519" i="13"/>
  <c r="C520" i="13"/>
  <c r="C521" i="13"/>
  <c r="C522" i="13"/>
  <c r="C523" i="13"/>
  <c r="H311" i="12"/>
  <c r="H312" i="12"/>
  <c r="H313" i="12"/>
  <c r="H314" i="12"/>
  <c r="H315" i="12"/>
  <c r="H316" i="12"/>
  <c r="H317" i="12"/>
  <c r="H318" i="12"/>
  <c r="H319" i="12"/>
  <c r="H320" i="12"/>
  <c r="H321" i="12"/>
  <c r="H322" i="12"/>
  <c r="H323" i="12"/>
  <c r="H324" i="12"/>
  <c r="H325" i="12"/>
  <c r="H326" i="12"/>
  <c r="H327" i="12"/>
  <c r="H328" i="12"/>
  <c r="H329" i="12"/>
  <c r="H330" i="12"/>
  <c r="H331" i="12"/>
  <c r="H332" i="12"/>
  <c r="H333" i="12"/>
  <c r="H334" i="12"/>
  <c r="H335" i="12"/>
  <c r="H336" i="12"/>
  <c r="E311" i="12"/>
  <c r="E312" i="12" s="1"/>
  <c r="E313" i="12" s="1"/>
  <c r="E314" i="12" s="1"/>
  <c r="E315" i="12" s="1"/>
  <c r="E316" i="12" s="1"/>
  <c r="E317" i="12" s="1"/>
  <c r="E318" i="12" s="1"/>
  <c r="E319" i="12" s="1"/>
  <c r="E320" i="12" s="1"/>
  <c r="E321" i="12" s="1"/>
  <c r="E322" i="12" s="1"/>
  <c r="E323" i="12" s="1"/>
  <c r="E324" i="12" s="1"/>
  <c r="E325" i="12" s="1"/>
  <c r="E326" i="12" s="1"/>
  <c r="E327" i="12" s="1"/>
  <c r="E328" i="12" s="1"/>
  <c r="E329" i="12" s="1"/>
  <c r="E330" i="12" s="1"/>
  <c r="E331" i="12" s="1"/>
  <c r="E332" i="12" s="1"/>
  <c r="E333" i="12" s="1"/>
  <c r="E334" i="12" s="1"/>
  <c r="E335" i="12" s="1"/>
  <c r="E336" i="12" s="1"/>
  <c r="A2" i="13"/>
  <c r="A3" i="13" s="1"/>
  <c r="A4" i="13" s="1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309" i="13" s="1"/>
  <c r="A310" i="13" s="1"/>
  <c r="A311" i="13" s="1"/>
  <c r="A312" i="13" s="1"/>
  <c r="A313" i="13" s="1"/>
  <c r="A314" i="13" s="1"/>
  <c r="A315" i="13" s="1"/>
  <c r="A316" i="13" s="1"/>
  <c r="A317" i="13" s="1"/>
  <c r="A318" i="13" s="1"/>
  <c r="A319" i="13" s="1"/>
  <c r="A320" i="13" s="1"/>
  <c r="A321" i="13" s="1"/>
  <c r="A322" i="13" s="1"/>
  <c r="A323" i="13" s="1"/>
  <c r="A324" i="13" s="1"/>
  <c r="A325" i="13" s="1"/>
  <c r="A326" i="13" s="1"/>
  <c r="A327" i="13" s="1"/>
  <c r="A328" i="13" s="1"/>
  <c r="A329" i="13" s="1"/>
  <c r="A330" i="13" s="1"/>
  <c r="A331" i="13" s="1"/>
  <c r="A332" i="13" s="1"/>
  <c r="A333" i="13" s="1"/>
  <c r="A334" i="13" s="1"/>
  <c r="A335" i="13" s="1"/>
  <c r="A336" i="13" s="1"/>
  <c r="A337" i="13" s="1"/>
  <c r="A338" i="13" s="1"/>
  <c r="A339" i="13" s="1"/>
  <c r="A340" i="13" s="1"/>
  <c r="A341" i="13" s="1"/>
  <c r="A342" i="13" s="1"/>
  <c r="A343" i="13" s="1"/>
  <c r="A344" i="13" s="1"/>
  <c r="A345" i="13" s="1"/>
  <c r="A346" i="13" s="1"/>
  <c r="A347" i="13" s="1"/>
  <c r="A348" i="13" s="1"/>
  <c r="A349" i="13" s="1"/>
  <c r="A350" i="13" s="1"/>
  <c r="A351" i="13" s="1"/>
  <c r="A352" i="13" s="1"/>
  <c r="A353" i="13" s="1"/>
  <c r="A354" i="13" s="1"/>
  <c r="A355" i="13" s="1"/>
  <c r="A356" i="13" s="1"/>
  <c r="A357" i="13" s="1"/>
  <c r="A358" i="13" s="1"/>
  <c r="A359" i="13" s="1"/>
  <c r="A360" i="13" s="1"/>
  <c r="A361" i="13" s="1"/>
  <c r="A362" i="13" s="1"/>
  <c r="A363" i="13" s="1"/>
  <c r="A364" i="13" s="1"/>
  <c r="A365" i="13" s="1"/>
  <c r="A366" i="13" s="1"/>
  <c r="A367" i="13" s="1"/>
  <c r="A368" i="13" s="1"/>
  <c r="A369" i="13" s="1"/>
  <c r="A370" i="13" s="1"/>
  <c r="A371" i="13" s="1"/>
  <c r="A372" i="13" s="1"/>
  <c r="A373" i="13" s="1"/>
  <c r="A374" i="13" s="1"/>
  <c r="A375" i="13" s="1"/>
  <c r="A376" i="13" s="1"/>
  <c r="A377" i="13" s="1"/>
  <c r="A378" i="13" s="1"/>
  <c r="A379" i="13" s="1"/>
  <c r="A380" i="13" s="1"/>
  <c r="A381" i="13" s="1"/>
  <c r="A382" i="13" s="1"/>
  <c r="A383" i="13" s="1"/>
  <c r="A384" i="13" s="1"/>
  <c r="A385" i="13" s="1"/>
  <c r="A386" i="13" s="1"/>
  <c r="A387" i="13" s="1"/>
  <c r="A388" i="13" s="1"/>
  <c r="A389" i="13" s="1"/>
  <c r="A390" i="13" s="1"/>
  <c r="A391" i="13" s="1"/>
  <c r="A392" i="13" s="1"/>
  <c r="A393" i="13" s="1"/>
  <c r="A394" i="13" s="1"/>
  <c r="A395" i="13" s="1"/>
  <c r="A396" i="13" s="1"/>
  <c r="A397" i="13" s="1"/>
  <c r="A398" i="13" s="1"/>
  <c r="A399" i="13" s="1"/>
  <c r="A400" i="13" s="1"/>
  <c r="A401" i="13" s="1"/>
  <c r="A402" i="13" s="1"/>
  <c r="A403" i="13" s="1"/>
  <c r="A404" i="13" s="1"/>
  <c r="A405" i="13" s="1"/>
  <c r="A406" i="13" s="1"/>
  <c r="A407" i="13" s="1"/>
  <c r="A408" i="13" s="1"/>
  <c r="A409" i="13" s="1"/>
  <c r="A410" i="13" s="1"/>
  <c r="A411" i="13" s="1"/>
  <c r="A412" i="13" s="1"/>
  <c r="A413" i="13" s="1"/>
  <c r="A414" i="13" s="1"/>
  <c r="A415" i="13" s="1"/>
  <c r="A416" i="13" s="1"/>
  <c r="A417" i="13" s="1"/>
  <c r="A418" i="13" s="1"/>
  <c r="A419" i="13" s="1"/>
  <c r="A420" i="13" s="1"/>
  <c r="A421" i="13" s="1"/>
  <c r="A422" i="13" s="1"/>
  <c r="A423" i="13" s="1"/>
  <c r="A424" i="13" s="1"/>
  <c r="A425" i="13" s="1"/>
  <c r="A426" i="13" s="1"/>
  <c r="A427" i="13" s="1"/>
  <c r="A428" i="13" s="1"/>
  <c r="A429" i="13" s="1"/>
  <c r="A430" i="13" s="1"/>
  <c r="A431" i="13" s="1"/>
  <c r="A432" i="13" s="1"/>
  <c r="A433" i="13" s="1"/>
  <c r="A434" i="13" s="1"/>
  <c r="A435" i="13" s="1"/>
  <c r="A436" i="13" s="1"/>
  <c r="A437" i="13" s="1"/>
  <c r="A438" i="13" s="1"/>
  <c r="A439" i="13" s="1"/>
  <c r="A440" i="13" s="1"/>
  <c r="A441" i="13" s="1"/>
  <c r="A442" i="13" s="1"/>
  <c r="A443" i="13" s="1"/>
  <c r="A444" i="13" s="1"/>
  <c r="A445" i="13" s="1"/>
  <c r="A446" i="13" s="1"/>
  <c r="A447" i="13" s="1"/>
  <c r="A448" i="13" s="1"/>
  <c r="A449" i="13" s="1"/>
  <c r="A450" i="13" s="1"/>
  <c r="A451" i="13" s="1"/>
  <c r="A452" i="13" s="1"/>
  <c r="A453" i="13" s="1"/>
  <c r="A454" i="13" s="1"/>
  <c r="A455" i="13" s="1"/>
  <c r="A456" i="13" s="1"/>
  <c r="A457" i="13" s="1"/>
  <c r="A458" i="13" s="1"/>
  <c r="A459" i="13" s="1"/>
  <c r="A460" i="13" s="1"/>
  <c r="A461" i="13" s="1"/>
  <c r="A462" i="13" s="1"/>
  <c r="A463" i="13" s="1"/>
  <c r="A464" i="13" s="1"/>
  <c r="A465" i="13" s="1"/>
  <c r="A466" i="13" s="1"/>
  <c r="A467" i="13" s="1"/>
  <c r="A468" i="13" s="1"/>
  <c r="A469" i="13" s="1"/>
  <c r="A470" i="13" s="1"/>
  <c r="A471" i="13" s="1"/>
  <c r="A472" i="13" s="1"/>
  <c r="A473" i="13" s="1"/>
  <c r="A474" i="13" s="1"/>
  <c r="A475" i="13" s="1"/>
  <c r="A476" i="13" s="1"/>
  <c r="A477" i="13" s="1"/>
  <c r="A478" i="13" s="1"/>
  <c r="A479" i="13" s="1"/>
  <c r="A480" i="13" s="1"/>
  <c r="A481" i="13" s="1"/>
  <c r="A482" i="13" s="1"/>
  <c r="A483" i="13" s="1"/>
  <c r="A484" i="13" s="1"/>
  <c r="A485" i="13" s="1"/>
  <c r="A486" i="13" s="1"/>
  <c r="A487" i="13" s="1"/>
  <c r="A488" i="13" s="1"/>
  <c r="A489" i="13" s="1"/>
  <c r="A490" i="13" s="1"/>
  <c r="A491" i="13" s="1"/>
  <c r="A492" i="13" s="1"/>
  <c r="A493" i="13" s="1"/>
  <c r="A494" i="13" s="1"/>
  <c r="A495" i="13" s="1"/>
  <c r="A496" i="13" s="1"/>
  <c r="A497" i="13" s="1"/>
  <c r="A498" i="13" s="1"/>
  <c r="A499" i="13" s="1"/>
  <c r="A500" i="13" s="1"/>
  <c r="A501" i="13" s="1"/>
  <c r="A502" i="13" s="1"/>
  <c r="A503" i="13" s="1"/>
  <c r="A504" i="13" s="1"/>
  <c r="A505" i="13" s="1"/>
  <c r="A506" i="13" s="1"/>
  <c r="A507" i="13" s="1"/>
  <c r="A508" i="13" s="1"/>
  <c r="A509" i="13" s="1"/>
  <c r="A510" i="13" s="1"/>
  <c r="A511" i="13" s="1"/>
  <c r="A512" i="13" s="1"/>
  <c r="A513" i="13" s="1"/>
  <c r="A514" i="13" s="1"/>
  <c r="A515" i="13" s="1"/>
  <c r="A516" i="13" s="1"/>
  <c r="A517" i="13" s="1"/>
  <c r="A518" i="13" s="1"/>
  <c r="A519" i="13" s="1"/>
  <c r="A520" i="13" s="1"/>
  <c r="A521" i="13" s="1"/>
  <c r="A522" i="13" s="1"/>
  <c r="A523" i="13" s="1"/>
  <c r="E3" i="12"/>
  <c r="E4" i="12" s="1"/>
  <c r="E5" i="12" s="1"/>
  <c r="E6" i="12" s="1"/>
  <c r="E7" i="12" s="1"/>
  <c r="E8" i="12" s="1"/>
  <c r="E9" i="12" s="1"/>
  <c r="E10" i="12" s="1"/>
  <c r="E11" i="12" s="1"/>
  <c r="E12" i="12" s="1"/>
  <c r="E13" i="12" s="1"/>
  <c r="E14" i="12" s="1"/>
  <c r="E15" i="12" s="1"/>
  <c r="E16" i="12" s="1"/>
  <c r="E17" i="12" s="1"/>
  <c r="E18" i="12" s="1"/>
  <c r="E19" i="12" s="1"/>
  <c r="E20" i="12" s="1"/>
  <c r="E21" i="12" s="1"/>
  <c r="E22" i="12" s="1"/>
  <c r="E23" i="12" s="1"/>
  <c r="E24" i="12" s="1"/>
  <c r="E25" i="12" s="1"/>
  <c r="E26" i="12" s="1"/>
  <c r="E27" i="12" s="1"/>
  <c r="E28" i="12" s="1"/>
  <c r="E29" i="12" s="1"/>
  <c r="E30" i="12" s="1"/>
  <c r="E31" i="12" s="1"/>
  <c r="E32" i="12" s="1"/>
  <c r="E33" i="12" s="1"/>
  <c r="E34" i="12" s="1"/>
  <c r="E35" i="12" s="1"/>
  <c r="E36" i="12" s="1"/>
  <c r="E37" i="12" s="1"/>
  <c r="E38" i="12" s="1"/>
  <c r="E39" i="12" s="1"/>
  <c r="E40" i="12" s="1"/>
  <c r="E41" i="12" s="1"/>
  <c r="E42" i="12" s="1"/>
  <c r="E43" i="12" s="1"/>
  <c r="E44" i="12" s="1"/>
  <c r="E45" i="12" s="1"/>
  <c r="E46" i="12" s="1"/>
  <c r="E47" i="12" s="1"/>
  <c r="E48" i="12" s="1"/>
  <c r="E49" i="12" s="1"/>
  <c r="E50" i="12" s="1"/>
  <c r="E51" i="12" s="1"/>
  <c r="E52" i="12" s="1"/>
  <c r="E53" i="12" s="1"/>
  <c r="E54" i="12" s="1"/>
  <c r="E55" i="12" s="1"/>
  <c r="E56" i="12" s="1"/>
  <c r="E57" i="12" s="1"/>
  <c r="E58" i="12" s="1"/>
  <c r="E59" i="12" s="1"/>
  <c r="E60" i="12" s="1"/>
  <c r="E61" i="12" s="1"/>
  <c r="E62" i="12" s="1"/>
  <c r="E63" i="12" s="1"/>
  <c r="E64" i="12" s="1"/>
  <c r="E65" i="12" s="1"/>
  <c r="E66" i="12" s="1"/>
  <c r="E67" i="12" s="1"/>
  <c r="E68" i="12" s="1"/>
  <c r="E69" i="12" s="1"/>
  <c r="E70" i="12" s="1"/>
  <c r="E71" i="12" s="1"/>
  <c r="E72" i="12" s="1"/>
  <c r="E73" i="12" s="1"/>
  <c r="E74" i="12" s="1"/>
  <c r="E75" i="12" s="1"/>
  <c r="E76" i="12" s="1"/>
  <c r="E77" i="12" s="1"/>
  <c r="E78" i="12" s="1"/>
  <c r="E79" i="12" s="1"/>
  <c r="E80" i="12" s="1"/>
  <c r="E81" i="12" s="1"/>
  <c r="E82" i="12" s="1"/>
  <c r="E83" i="12" s="1"/>
  <c r="E84" i="12" s="1"/>
  <c r="E85" i="12" s="1"/>
  <c r="E86" i="12" s="1"/>
  <c r="E87" i="12" s="1"/>
  <c r="E88" i="12" s="1"/>
  <c r="E89" i="12" s="1"/>
  <c r="E90" i="12" s="1"/>
  <c r="E91" i="12" s="1"/>
  <c r="E92" i="12" s="1"/>
  <c r="E93" i="12" s="1"/>
  <c r="E94" i="12" s="1"/>
  <c r="E95" i="12" s="1"/>
  <c r="E96" i="12" s="1"/>
  <c r="E97" i="12" s="1"/>
  <c r="E98" i="12" s="1"/>
  <c r="E99" i="12" s="1"/>
  <c r="E100" i="12" s="1"/>
  <c r="E101" i="12" s="1"/>
  <c r="E102" i="12" s="1"/>
  <c r="E103" i="12" s="1"/>
  <c r="E104" i="12" s="1"/>
  <c r="E105" i="12" s="1"/>
  <c r="E106" i="12" s="1"/>
  <c r="E107" i="12" s="1"/>
  <c r="E108" i="12" s="1"/>
  <c r="E109" i="12" s="1"/>
  <c r="E110" i="12" s="1"/>
  <c r="E111" i="12" s="1"/>
  <c r="E112" i="12" s="1"/>
  <c r="E113" i="12" s="1"/>
  <c r="E114" i="12" s="1"/>
  <c r="E115" i="12" s="1"/>
  <c r="E116" i="12" s="1"/>
  <c r="E117" i="12" s="1"/>
  <c r="E118" i="12" s="1"/>
  <c r="E119" i="12" s="1"/>
  <c r="E120" i="12" s="1"/>
  <c r="E121" i="12" s="1"/>
  <c r="E122" i="12" s="1"/>
  <c r="E123" i="12" s="1"/>
  <c r="E124" i="12" s="1"/>
  <c r="E125" i="12" s="1"/>
  <c r="E126" i="12" s="1"/>
  <c r="E127" i="12" s="1"/>
  <c r="E128" i="12" s="1"/>
  <c r="E129" i="12" s="1"/>
  <c r="E130" i="12" s="1"/>
  <c r="E131" i="12" s="1"/>
  <c r="E132" i="12" s="1"/>
  <c r="E133" i="12" s="1"/>
  <c r="E134" i="12" s="1"/>
  <c r="E135" i="12" s="1"/>
  <c r="E136" i="12" s="1"/>
  <c r="E137" i="12" s="1"/>
  <c r="E138" i="12" s="1"/>
  <c r="E139" i="12" s="1"/>
  <c r="E140" i="12" s="1"/>
  <c r="E141" i="12" s="1"/>
  <c r="E142" i="12" s="1"/>
  <c r="E143" i="12" s="1"/>
  <c r="E144" i="12" s="1"/>
  <c r="E145" i="12" s="1"/>
  <c r="E146" i="12" s="1"/>
  <c r="E147" i="12" s="1"/>
  <c r="E148" i="12" s="1"/>
  <c r="E149" i="12" s="1"/>
  <c r="E150" i="12" s="1"/>
  <c r="E151" i="12" s="1"/>
  <c r="E152" i="12" s="1"/>
  <c r="E153" i="12" s="1"/>
  <c r="E154" i="12" s="1"/>
  <c r="E155" i="12" s="1"/>
  <c r="E156" i="12" s="1"/>
  <c r="E157" i="12" s="1"/>
  <c r="E158" i="12" s="1"/>
  <c r="E159" i="12" s="1"/>
  <c r="E160" i="12" s="1"/>
  <c r="E161" i="12" s="1"/>
  <c r="E162" i="12" s="1"/>
  <c r="E163" i="12" s="1"/>
  <c r="E164" i="12" s="1"/>
  <c r="E165" i="12" s="1"/>
  <c r="E166" i="12" s="1"/>
  <c r="E167" i="12" s="1"/>
  <c r="E168" i="12" s="1"/>
  <c r="E169" i="12" s="1"/>
  <c r="E170" i="12" s="1"/>
  <c r="E171" i="12" s="1"/>
  <c r="E172" i="12" s="1"/>
  <c r="E173" i="12" s="1"/>
  <c r="E174" i="12" s="1"/>
  <c r="E175" i="12" s="1"/>
  <c r="E176" i="12" s="1"/>
  <c r="E177" i="12" s="1"/>
  <c r="E178" i="12" s="1"/>
  <c r="E179" i="12" s="1"/>
  <c r="E180" i="12" s="1"/>
  <c r="E181" i="12" s="1"/>
  <c r="E182" i="12" s="1"/>
  <c r="E183" i="12" s="1"/>
  <c r="E184" i="12" s="1"/>
  <c r="E185" i="12" s="1"/>
  <c r="E186" i="12" s="1"/>
  <c r="E187" i="12" s="1"/>
  <c r="E188" i="12" s="1"/>
  <c r="E189" i="12" s="1"/>
  <c r="E190" i="12" s="1"/>
  <c r="E191" i="12" s="1"/>
  <c r="E192" i="12" s="1"/>
  <c r="E193" i="12" s="1"/>
  <c r="E194" i="12" s="1"/>
  <c r="E195" i="12" s="1"/>
  <c r="E196" i="12" s="1"/>
  <c r="E197" i="12" s="1"/>
  <c r="E198" i="12" s="1"/>
  <c r="E199" i="12" s="1"/>
  <c r="E200" i="12" s="1"/>
  <c r="E201" i="12" s="1"/>
  <c r="E202" i="12" s="1"/>
  <c r="E203" i="12" s="1"/>
  <c r="E204" i="12" s="1"/>
  <c r="E205" i="12" s="1"/>
  <c r="E206" i="12" s="1"/>
  <c r="E207" i="12" s="1"/>
  <c r="E208" i="12" s="1"/>
  <c r="E209" i="12" s="1"/>
  <c r="E210" i="12" s="1"/>
  <c r="E211" i="12" s="1"/>
  <c r="E212" i="12" s="1"/>
  <c r="E213" i="12" s="1"/>
  <c r="E214" i="12" s="1"/>
  <c r="E215" i="12" s="1"/>
  <c r="E216" i="12" s="1"/>
  <c r="E217" i="12" s="1"/>
  <c r="E218" i="12" s="1"/>
  <c r="E219" i="12" s="1"/>
  <c r="E220" i="12" s="1"/>
  <c r="E221" i="12" s="1"/>
  <c r="E222" i="12" s="1"/>
  <c r="E223" i="12" s="1"/>
  <c r="E224" i="12" s="1"/>
  <c r="E225" i="12" s="1"/>
  <c r="E226" i="12" s="1"/>
  <c r="E227" i="12" s="1"/>
  <c r="E228" i="12" s="1"/>
  <c r="E229" i="12" s="1"/>
  <c r="E230" i="12" s="1"/>
  <c r="E231" i="12" s="1"/>
  <c r="E232" i="12" s="1"/>
  <c r="E233" i="12" s="1"/>
  <c r="E234" i="12" s="1"/>
  <c r="E235" i="12" s="1"/>
  <c r="E236" i="12" s="1"/>
  <c r="E237" i="12" s="1"/>
  <c r="E238" i="12" s="1"/>
  <c r="E239" i="12" s="1"/>
  <c r="E240" i="12" s="1"/>
  <c r="E241" i="12" s="1"/>
  <c r="E242" i="12" s="1"/>
  <c r="E243" i="12" s="1"/>
  <c r="E244" i="12" s="1"/>
  <c r="E245" i="12" s="1"/>
  <c r="E246" i="12" s="1"/>
  <c r="E247" i="12" s="1"/>
  <c r="E248" i="12" s="1"/>
  <c r="E249" i="12" s="1"/>
  <c r="E250" i="12" s="1"/>
  <c r="E251" i="12" s="1"/>
  <c r="E252" i="12" s="1"/>
  <c r="E253" i="12" s="1"/>
  <c r="E254" i="12" s="1"/>
  <c r="E255" i="12" s="1"/>
  <c r="E256" i="12" s="1"/>
  <c r="E257" i="12" s="1"/>
  <c r="E258" i="12" s="1"/>
  <c r="E259" i="12" s="1"/>
  <c r="E260" i="12" s="1"/>
  <c r="E261" i="12" s="1"/>
  <c r="E262" i="12" s="1"/>
  <c r="E263" i="12" s="1"/>
  <c r="E264" i="12" s="1"/>
  <c r="E265" i="12" s="1"/>
  <c r="E266" i="12" s="1"/>
  <c r="E267" i="12" s="1"/>
  <c r="E268" i="12" s="1"/>
  <c r="E269" i="12" s="1"/>
  <c r="E270" i="12" s="1"/>
  <c r="E271" i="12" s="1"/>
  <c r="E272" i="12" s="1"/>
  <c r="E273" i="12" s="1"/>
  <c r="E274" i="12" s="1"/>
  <c r="E275" i="12" s="1"/>
  <c r="E276" i="12" s="1"/>
  <c r="E277" i="12" s="1"/>
  <c r="E278" i="12" s="1"/>
  <c r="E279" i="12" s="1"/>
  <c r="E280" i="12" s="1"/>
  <c r="E281" i="12" s="1"/>
  <c r="E282" i="12" s="1"/>
  <c r="E283" i="12" s="1"/>
  <c r="E284" i="12" s="1"/>
  <c r="E285" i="12" s="1"/>
  <c r="E286" i="12" s="1"/>
  <c r="E287" i="12" s="1"/>
  <c r="E288" i="12" s="1"/>
  <c r="E289" i="12" s="1"/>
  <c r="E290" i="12" s="1"/>
  <c r="E291" i="12" s="1"/>
  <c r="E292" i="12" s="1"/>
  <c r="E293" i="12" s="1"/>
  <c r="E294" i="12" s="1"/>
  <c r="E295" i="12" s="1"/>
  <c r="E296" i="12" s="1"/>
  <c r="E297" i="12" s="1"/>
  <c r="E298" i="12" s="1"/>
  <c r="E299" i="12" s="1"/>
  <c r="E300" i="12" s="1"/>
  <c r="E301" i="12" s="1"/>
  <c r="E302" i="12" s="1"/>
  <c r="E303" i="12" s="1"/>
  <c r="E304" i="12" s="1"/>
  <c r="E305" i="12" s="1"/>
  <c r="E306" i="12" s="1"/>
  <c r="E307" i="12" s="1"/>
  <c r="E308" i="12" s="1"/>
  <c r="E309" i="12" s="1"/>
  <c r="E310" i="12" s="1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B108" i="12" s="1"/>
  <c r="B109" i="12" s="1"/>
  <c r="B110" i="12" s="1"/>
  <c r="B111" i="12" s="1"/>
  <c r="B112" i="12" s="1"/>
  <c r="B113" i="12" s="1"/>
  <c r="B114" i="12" s="1"/>
  <c r="B115" i="12" s="1"/>
  <c r="B116" i="12" s="1"/>
  <c r="B117" i="12" s="1"/>
  <c r="B118" i="12" s="1"/>
  <c r="B119" i="12" s="1"/>
  <c r="B120" i="12" s="1"/>
  <c r="B121" i="12" s="1"/>
  <c r="B122" i="12" s="1"/>
  <c r="B123" i="12" s="1"/>
  <c r="B124" i="12" s="1"/>
  <c r="B125" i="12" s="1"/>
  <c r="B126" i="12" s="1"/>
  <c r="B127" i="12" s="1"/>
  <c r="B128" i="12" s="1"/>
  <c r="B129" i="12" s="1"/>
  <c r="B130" i="12" s="1"/>
  <c r="B131" i="12" s="1"/>
  <c r="B132" i="12" s="1"/>
  <c r="B133" i="12" s="1"/>
  <c r="B134" i="12" s="1"/>
  <c r="B135" i="12" s="1"/>
  <c r="B136" i="12" s="1"/>
  <c r="B137" i="12" s="1"/>
  <c r="B138" i="12" s="1"/>
  <c r="B139" i="12" s="1"/>
  <c r="B140" i="12" s="1"/>
  <c r="B141" i="12" s="1"/>
  <c r="B142" i="12" s="1"/>
  <c r="B143" i="12" s="1"/>
  <c r="B144" i="12" s="1"/>
  <c r="B145" i="12" s="1"/>
  <c r="B146" i="12" s="1"/>
  <c r="B147" i="12" s="1"/>
  <c r="B148" i="12" s="1"/>
  <c r="B149" i="12" s="1"/>
  <c r="B150" i="12" s="1"/>
  <c r="B151" i="12" s="1"/>
  <c r="B152" i="12" s="1"/>
  <c r="B153" i="12" s="1"/>
  <c r="B154" i="12" s="1"/>
  <c r="B155" i="12" s="1"/>
  <c r="B156" i="12" s="1"/>
  <c r="B157" i="12" s="1"/>
  <c r="B158" i="12" s="1"/>
  <c r="B159" i="12" s="1"/>
  <c r="B160" i="12" s="1"/>
  <c r="B161" i="12" s="1"/>
  <c r="B162" i="12" s="1"/>
  <c r="B163" i="12" s="1"/>
  <c r="B164" i="12" s="1"/>
  <c r="B165" i="12" s="1"/>
  <c r="B166" i="12" s="1"/>
  <c r="B167" i="12" s="1"/>
  <c r="B168" i="12" s="1"/>
  <c r="B169" i="12" s="1"/>
  <c r="B170" i="12" s="1"/>
  <c r="B171" i="12" s="1"/>
  <c r="B172" i="12" s="1"/>
  <c r="B173" i="12" s="1"/>
  <c r="B174" i="12" s="1"/>
  <c r="B175" i="12" s="1"/>
  <c r="B176" i="12" s="1"/>
  <c r="B177" i="12" s="1"/>
  <c r="B178" i="12" s="1"/>
  <c r="B179" i="12" s="1"/>
  <c r="B180" i="12" s="1"/>
  <c r="B181" i="12" s="1"/>
  <c r="B182" i="12" s="1"/>
  <c r="B183" i="12" s="1"/>
  <c r="B184" i="12" s="1"/>
  <c r="B185" i="12" s="1"/>
  <c r="B186" i="12" s="1"/>
  <c r="B187" i="12" s="1"/>
  <c r="B188" i="12" s="1"/>
  <c r="B189" i="12" s="1"/>
  <c r="B190" i="12" s="1"/>
  <c r="B191" i="12" s="1"/>
  <c r="B192" i="12" s="1"/>
  <c r="B193" i="12" s="1"/>
  <c r="B194" i="12" s="1"/>
  <c r="B195" i="12" s="1"/>
  <c r="B196" i="12" s="1"/>
  <c r="B197" i="12" s="1"/>
  <c r="B198" i="12" s="1"/>
  <c r="B199" i="12" s="1"/>
  <c r="B200" i="12" s="1"/>
  <c r="B201" i="12" s="1"/>
  <c r="B202" i="12" s="1"/>
  <c r="B203" i="12" s="1"/>
  <c r="B204" i="12" s="1"/>
  <c r="B205" i="12" s="1"/>
  <c r="B206" i="12" s="1"/>
  <c r="B207" i="12" s="1"/>
  <c r="B208" i="12" s="1"/>
  <c r="B209" i="12" s="1"/>
  <c r="B210" i="12" s="1"/>
  <c r="B211" i="12" s="1"/>
  <c r="B212" i="12" s="1"/>
  <c r="B213" i="12" s="1"/>
  <c r="B214" i="12" s="1"/>
  <c r="B215" i="12" s="1"/>
  <c r="B216" i="12" s="1"/>
  <c r="B217" i="12" s="1"/>
  <c r="B218" i="12" s="1"/>
  <c r="B219" i="12" s="1"/>
  <c r="B220" i="12" s="1"/>
  <c r="B221" i="12" s="1"/>
  <c r="B222" i="12" s="1"/>
  <c r="B223" i="12" s="1"/>
  <c r="B224" i="12" s="1"/>
  <c r="B225" i="12" s="1"/>
  <c r="B226" i="12" s="1"/>
  <c r="B227" i="12" s="1"/>
  <c r="B228" i="12" s="1"/>
  <c r="B229" i="12" s="1"/>
  <c r="B230" i="12" s="1"/>
  <c r="B231" i="12" s="1"/>
  <c r="B232" i="12" s="1"/>
  <c r="B233" i="12" s="1"/>
  <c r="B234" i="12" s="1"/>
  <c r="B235" i="12" s="1"/>
  <c r="B236" i="12" s="1"/>
  <c r="B237" i="12" s="1"/>
  <c r="B238" i="12" s="1"/>
  <c r="B239" i="12" s="1"/>
  <c r="B240" i="12" s="1"/>
  <c r="B241" i="12" s="1"/>
  <c r="B242" i="12" s="1"/>
  <c r="B243" i="12" s="1"/>
  <c r="B244" i="12" s="1"/>
  <c r="B245" i="12" s="1"/>
  <c r="B246" i="12" s="1"/>
  <c r="B247" i="12" s="1"/>
  <c r="B248" i="12" s="1"/>
  <c r="B249" i="12" s="1"/>
  <c r="B250" i="12" s="1"/>
  <c r="B251" i="12" s="1"/>
  <c r="B252" i="12" s="1"/>
  <c r="B253" i="12" s="1"/>
  <c r="B254" i="12" s="1"/>
  <c r="B255" i="12" s="1"/>
  <c r="B256" i="12" s="1"/>
  <c r="B257" i="12" s="1"/>
  <c r="B258" i="12" s="1"/>
  <c r="B259" i="12" s="1"/>
  <c r="B260" i="12" s="1"/>
  <c r="B261" i="12" s="1"/>
  <c r="B262" i="12" s="1"/>
  <c r="B263" i="12" s="1"/>
  <c r="B264" i="12" s="1"/>
  <c r="B265" i="12" s="1"/>
  <c r="B266" i="12" s="1"/>
  <c r="B267" i="12" s="1"/>
  <c r="B268" i="12" s="1"/>
  <c r="B269" i="12" s="1"/>
  <c r="B270" i="12" s="1"/>
  <c r="B271" i="12" s="1"/>
  <c r="B272" i="12" s="1"/>
  <c r="B273" i="12" s="1"/>
  <c r="B274" i="12" s="1"/>
  <c r="B275" i="12" s="1"/>
  <c r="B276" i="12" s="1"/>
  <c r="B277" i="12" s="1"/>
  <c r="B278" i="12" s="1"/>
  <c r="B279" i="12" s="1"/>
  <c r="B280" i="12" s="1"/>
  <c r="B281" i="12" s="1"/>
  <c r="B282" i="12" s="1"/>
  <c r="B283" i="12" s="1"/>
  <c r="B284" i="12" s="1"/>
  <c r="B285" i="12" s="1"/>
  <c r="B286" i="12" s="1"/>
  <c r="B287" i="12" s="1"/>
  <c r="B288" i="12" s="1"/>
  <c r="B289" i="12" s="1"/>
  <c r="B290" i="12" s="1"/>
  <c r="B291" i="12" s="1"/>
  <c r="B292" i="12" s="1"/>
  <c r="B293" i="12" s="1"/>
  <c r="B294" i="12" s="1"/>
  <c r="B295" i="12" s="1"/>
  <c r="B296" i="12" s="1"/>
  <c r="B297" i="12" s="1"/>
  <c r="B298" i="12" s="1"/>
  <c r="B299" i="12" s="1"/>
  <c r="B300" i="12" s="1"/>
  <c r="B301" i="12" s="1"/>
  <c r="B302" i="12" s="1"/>
  <c r="B303" i="12" s="1"/>
  <c r="B304" i="12" s="1"/>
  <c r="B305" i="12" s="1"/>
  <c r="B306" i="12" s="1"/>
  <c r="B307" i="12" s="1"/>
  <c r="B308" i="12" s="1"/>
  <c r="B309" i="12" s="1"/>
  <c r="B310" i="12" s="1"/>
  <c r="H294" i="12"/>
  <c r="H295" i="12"/>
  <c r="H296" i="12"/>
  <c r="H297" i="12"/>
  <c r="H298" i="12"/>
  <c r="H299" i="12"/>
  <c r="H300" i="12"/>
  <c r="H301" i="12"/>
  <c r="H302" i="12"/>
  <c r="H303" i="12"/>
  <c r="H304" i="12"/>
  <c r="H305" i="12"/>
  <c r="H306" i="12"/>
  <c r="H307" i="12"/>
  <c r="H308" i="12"/>
  <c r="H309" i="12"/>
  <c r="H310" i="12"/>
  <c r="H286" i="12"/>
  <c r="H287" i="12"/>
  <c r="H288" i="12"/>
  <c r="H289" i="12"/>
  <c r="H290" i="12"/>
  <c r="H291" i="12"/>
  <c r="H292" i="12"/>
  <c r="H293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16" i="12"/>
  <c r="H217" i="12"/>
  <c r="H218" i="12"/>
  <c r="H219" i="12"/>
  <c r="H211" i="12"/>
  <c r="H212" i="12"/>
  <c r="H213" i="12"/>
  <c r="H214" i="12"/>
  <c r="H215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2" i="12"/>
  <c r="F3" i="10"/>
  <c r="F4" i="10" s="1"/>
  <c r="F5" i="10" s="1"/>
  <c r="F6" i="10" s="1"/>
  <c r="F7" i="10" s="1"/>
  <c r="F8" i="10" s="1"/>
  <c r="F9" i="10" s="1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F38" i="10" s="1"/>
  <c r="F39" i="10" s="1"/>
  <c r="F40" i="10" s="1"/>
  <c r="F41" i="10" s="1"/>
  <c r="F42" i="10" s="1"/>
  <c r="F43" i="10" s="1"/>
  <c r="F44" i="10" s="1"/>
  <c r="F45" i="10" s="1"/>
  <c r="F46" i="10" s="1"/>
  <c r="F47" i="10" s="1"/>
  <c r="F48" i="10" s="1"/>
  <c r="F49" i="10" s="1"/>
  <c r="F50" i="10" s="1"/>
  <c r="F51" i="10" s="1"/>
  <c r="F52" i="10" s="1"/>
  <c r="F53" i="10" s="1"/>
  <c r="F54" i="10" s="1"/>
  <c r="F55" i="10" s="1"/>
  <c r="F56" i="10" s="1"/>
  <c r="F57" i="10" s="1"/>
  <c r="F58" i="10" s="1"/>
  <c r="F59" i="10" s="1"/>
  <c r="F60" i="10" s="1"/>
  <c r="F61" i="10" s="1"/>
  <c r="F62" i="10" s="1"/>
  <c r="F63" i="10" s="1"/>
  <c r="F64" i="10" s="1"/>
  <c r="F65" i="10" s="1"/>
  <c r="F66" i="10" s="1"/>
  <c r="F67" i="10" s="1"/>
  <c r="F68" i="10" s="1"/>
  <c r="F69" i="10" s="1"/>
  <c r="F70" i="10" s="1"/>
  <c r="F71" i="10" s="1"/>
  <c r="F72" i="10" s="1"/>
  <c r="F73" i="10" s="1"/>
  <c r="F74" i="10" s="1"/>
  <c r="F75" i="10" s="1"/>
  <c r="F76" i="10" s="1"/>
  <c r="F77" i="10" s="1"/>
  <c r="F78" i="10" s="1"/>
  <c r="F79" i="10" s="1"/>
  <c r="F80" i="10" s="1"/>
  <c r="F81" i="10" s="1"/>
  <c r="F82" i="10" s="1"/>
  <c r="F83" i="10" s="1"/>
  <c r="F84" i="10" s="1"/>
  <c r="F85" i="10" s="1"/>
  <c r="F86" i="10" s="1"/>
  <c r="F87" i="10" s="1"/>
  <c r="F88" i="10" s="1"/>
  <c r="F89" i="10" s="1"/>
  <c r="F90" i="10" s="1"/>
  <c r="F91" i="10" s="1"/>
  <c r="F92" i="10" s="1"/>
  <c r="F93" i="10" s="1"/>
  <c r="F94" i="10" s="1"/>
  <c r="F95" i="10" s="1"/>
  <c r="F96" i="10" s="1"/>
  <c r="F97" i="10" s="1"/>
  <c r="F98" i="10" s="1"/>
  <c r="F99" i="10" s="1"/>
  <c r="F100" i="10" s="1"/>
  <c r="F101" i="10" s="1"/>
  <c r="F102" i="10" s="1"/>
  <c r="F103" i="10" s="1"/>
  <c r="F104" i="10" s="1"/>
  <c r="F105" i="10" s="1"/>
  <c r="F106" i="10" s="1"/>
  <c r="F107" i="10" s="1"/>
  <c r="F108" i="10" s="1"/>
  <c r="F109" i="10" s="1"/>
  <c r="F110" i="10" s="1"/>
  <c r="F111" i="10" s="1"/>
  <c r="F112" i="10" s="1"/>
  <c r="F113" i="10" s="1"/>
  <c r="F114" i="10" s="1"/>
  <c r="F115" i="10" s="1"/>
  <c r="F116" i="10" s="1"/>
  <c r="F117" i="10" s="1"/>
  <c r="F118" i="10" s="1"/>
  <c r="F119" i="10" s="1"/>
  <c r="F120" i="10" s="1"/>
  <c r="F121" i="10" s="1"/>
  <c r="F122" i="10" s="1"/>
  <c r="F123" i="10" s="1"/>
  <c r="F124" i="10" s="1"/>
  <c r="F125" i="10" s="1"/>
  <c r="F126" i="10" s="1"/>
  <c r="F127" i="10" s="1"/>
  <c r="F128" i="10" s="1"/>
  <c r="F129" i="10" s="1"/>
  <c r="F130" i="10" s="1"/>
  <c r="F131" i="10" s="1"/>
  <c r="F132" i="10" s="1"/>
  <c r="F133" i="10" s="1"/>
  <c r="F134" i="10" s="1"/>
  <c r="F135" i="10" s="1"/>
  <c r="F136" i="10" s="1"/>
  <c r="F137" i="10" s="1"/>
  <c r="F138" i="10" s="1"/>
  <c r="F139" i="10" s="1"/>
  <c r="F140" i="10" s="1"/>
  <c r="F141" i="10" s="1"/>
  <c r="F142" i="10" s="1"/>
  <c r="F143" i="10" s="1"/>
  <c r="F144" i="10" s="1"/>
  <c r="F145" i="10" s="1"/>
  <c r="F146" i="10" s="1"/>
  <c r="F147" i="10" s="1"/>
  <c r="F148" i="10" s="1"/>
  <c r="F149" i="10" s="1"/>
  <c r="F150" i="10" s="1"/>
  <c r="F151" i="10" s="1"/>
  <c r="F152" i="10" s="1"/>
  <c r="F153" i="10" s="1"/>
  <c r="F154" i="10" s="1"/>
  <c r="F155" i="10" s="1"/>
  <c r="F156" i="10" s="1"/>
  <c r="F157" i="10" s="1"/>
  <c r="F158" i="10" s="1"/>
  <c r="F159" i="10" s="1"/>
  <c r="F160" i="10" s="1"/>
  <c r="F161" i="10" s="1"/>
  <c r="F162" i="10" s="1"/>
  <c r="F163" i="10" s="1"/>
  <c r="F164" i="10" s="1"/>
  <c r="F165" i="10" s="1"/>
  <c r="F166" i="10" s="1"/>
  <c r="F167" i="10" s="1"/>
  <c r="F168" i="10" s="1"/>
  <c r="F169" i="10" s="1"/>
  <c r="F170" i="10" s="1"/>
  <c r="F171" i="10" s="1"/>
  <c r="F172" i="10" s="1"/>
  <c r="F173" i="10" s="1"/>
  <c r="F174" i="10" s="1"/>
  <c r="F175" i="10" s="1"/>
  <c r="F176" i="10" s="1"/>
  <c r="F177" i="10" s="1"/>
  <c r="F178" i="10" s="1"/>
  <c r="F179" i="10" s="1"/>
  <c r="F180" i="10" s="1"/>
  <c r="F181" i="10" s="1"/>
  <c r="F182" i="10" s="1"/>
  <c r="F183" i="10" s="1"/>
  <c r="F184" i="10" s="1"/>
  <c r="F185" i="10" s="1"/>
  <c r="F186" i="10" s="1"/>
  <c r="F187" i="10" s="1"/>
  <c r="F188" i="10" s="1"/>
  <c r="F189" i="10" s="1"/>
  <c r="F190" i="10" s="1"/>
  <c r="F191" i="10" s="1"/>
  <c r="F192" i="10" s="1"/>
  <c r="F193" i="10" s="1"/>
  <c r="F194" i="10" s="1"/>
  <c r="F195" i="10" s="1"/>
  <c r="F196" i="10" s="1"/>
  <c r="F197" i="10" s="1"/>
  <c r="F198" i="10" s="1"/>
  <c r="F199" i="10" s="1"/>
  <c r="F200" i="10" s="1"/>
  <c r="F201" i="10" s="1"/>
  <c r="F202" i="10" s="1"/>
  <c r="F203" i="10" s="1"/>
  <c r="F204" i="10" s="1"/>
  <c r="F205" i="10" s="1"/>
  <c r="F206" i="10" s="1"/>
  <c r="F207" i="10" s="1"/>
  <c r="F208" i="10" s="1"/>
  <c r="F209" i="10" s="1"/>
  <c r="F210" i="10" s="1"/>
  <c r="F211" i="10" s="1"/>
  <c r="F212" i="10" s="1"/>
  <c r="F213" i="10" s="1"/>
  <c r="F214" i="10" s="1"/>
  <c r="F215" i="10" s="1"/>
  <c r="F216" i="10" s="1"/>
  <c r="F217" i="10" s="1"/>
  <c r="F218" i="10" s="1"/>
  <c r="F219" i="10" s="1"/>
  <c r="F220" i="10" s="1"/>
  <c r="F221" i="10" s="1"/>
  <c r="F222" i="10" s="1"/>
  <c r="F223" i="10" s="1"/>
  <c r="F224" i="10" s="1"/>
  <c r="F2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1" i="10"/>
  <c r="G4" i="11"/>
  <c r="G5" i="11" s="1"/>
  <c r="G6" i="11" s="1"/>
  <c r="G7" i="11" s="1"/>
  <c r="G8" i="11" s="1"/>
  <c r="G9" i="11" s="1"/>
  <c r="G10" i="11" s="1"/>
  <c r="G11" i="11" s="1"/>
  <c r="G12" i="11" s="1"/>
  <c r="G13" i="11" s="1"/>
  <c r="G14" i="11" s="1"/>
  <c r="G15" i="11" s="1"/>
  <c r="G16" i="11" s="1"/>
  <c r="G17" i="11" s="1"/>
  <c r="G18" i="11" s="1"/>
  <c r="G19" i="11" s="1"/>
  <c r="G20" i="11" s="1"/>
  <c r="G21" i="11" s="1"/>
  <c r="G22" i="11" s="1"/>
  <c r="G23" i="11" s="1"/>
  <c r="G24" i="11" s="1"/>
  <c r="G25" i="11" s="1"/>
  <c r="G26" i="11" s="1"/>
  <c r="G27" i="11" s="1"/>
  <c r="G28" i="11" s="1"/>
  <c r="G29" i="11" s="1"/>
  <c r="G30" i="11" s="1"/>
  <c r="G31" i="11" s="1"/>
  <c r="G32" i="11" s="1"/>
  <c r="G33" i="11" s="1"/>
  <c r="G34" i="11" s="1"/>
  <c r="G35" i="11" s="1"/>
  <c r="G36" i="11" s="1"/>
  <c r="G37" i="11" s="1"/>
  <c r="G38" i="11" s="1"/>
  <c r="G39" i="11" s="1"/>
  <c r="G40" i="11" s="1"/>
  <c r="G41" i="11" s="1"/>
  <c r="G42" i="11" s="1"/>
  <c r="G43" i="11" s="1"/>
  <c r="G44" i="11" s="1"/>
  <c r="G45" i="11" s="1"/>
  <c r="G46" i="11" s="1"/>
  <c r="G47" i="11" s="1"/>
  <c r="G48" i="11" s="1"/>
  <c r="G49" i="11" s="1"/>
  <c r="G50" i="11" s="1"/>
  <c r="G51" i="11" s="1"/>
  <c r="G52" i="11" s="1"/>
  <c r="G53" i="11" s="1"/>
  <c r="G54" i="11" s="1"/>
  <c r="G55" i="11" s="1"/>
  <c r="G56" i="11" s="1"/>
  <c r="G57" i="11" s="1"/>
  <c r="G58" i="11" s="1"/>
  <c r="G59" i="11" s="1"/>
  <c r="G60" i="11" s="1"/>
  <c r="G61" i="11" s="1"/>
  <c r="G62" i="11" s="1"/>
  <c r="G63" i="11" s="1"/>
  <c r="G64" i="11" s="1"/>
  <c r="G65" i="11" s="1"/>
  <c r="G66" i="11" s="1"/>
  <c r="G67" i="11" s="1"/>
  <c r="G68" i="11" s="1"/>
  <c r="G69" i="11" s="1"/>
  <c r="G70" i="11" s="1"/>
  <c r="G71" i="11" s="1"/>
  <c r="G72" i="11" s="1"/>
  <c r="G73" i="11" s="1"/>
  <c r="G74" i="11" s="1"/>
  <c r="G75" i="11" s="1"/>
  <c r="G76" i="11" s="1"/>
  <c r="G77" i="11" s="1"/>
  <c r="G78" i="11" s="1"/>
  <c r="G79" i="11" s="1"/>
  <c r="G80" i="11" s="1"/>
  <c r="G81" i="11" s="1"/>
  <c r="G82" i="11" s="1"/>
  <c r="G83" i="11" s="1"/>
  <c r="G84" i="11" s="1"/>
  <c r="G85" i="11" s="1"/>
  <c r="G86" i="11" s="1"/>
  <c r="G87" i="11" s="1"/>
  <c r="G88" i="11" s="1"/>
  <c r="G89" i="11" s="1"/>
  <c r="G90" i="11" s="1"/>
  <c r="G91" i="11" s="1"/>
  <c r="G92" i="11" s="1"/>
  <c r="G93" i="11" s="1"/>
  <c r="G94" i="11" s="1"/>
  <c r="G95" i="11" s="1"/>
  <c r="G96" i="11" s="1"/>
  <c r="G97" i="11" s="1"/>
  <c r="G98" i="11" s="1"/>
  <c r="G99" i="11" s="1"/>
  <c r="G100" i="11" s="1"/>
  <c r="G101" i="11" s="1"/>
  <c r="G102" i="11" s="1"/>
  <c r="G103" i="11" s="1"/>
  <c r="G104" i="11" s="1"/>
  <c r="G105" i="11" s="1"/>
  <c r="G106" i="11" s="1"/>
  <c r="G107" i="11" s="1"/>
  <c r="G108" i="11" s="1"/>
  <c r="G109" i="11" s="1"/>
  <c r="G110" i="11" s="1"/>
  <c r="G111" i="11" s="1"/>
  <c r="G112" i="11" s="1"/>
  <c r="G113" i="11" s="1"/>
  <c r="G114" i="11" s="1"/>
  <c r="G115" i="11" s="1"/>
  <c r="G116" i="11" s="1"/>
  <c r="G117" i="11" s="1"/>
  <c r="G118" i="11" s="1"/>
  <c r="G119" i="11" s="1"/>
  <c r="G120" i="11" s="1"/>
  <c r="G121" i="11" s="1"/>
  <c r="G122" i="11" s="1"/>
  <c r="G123" i="11" s="1"/>
  <c r="G124" i="11" s="1"/>
  <c r="G125" i="11" s="1"/>
  <c r="G126" i="11" s="1"/>
  <c r="G127" i="11" s="1"/>
  <c r="G128" i="11" s="1"/>
  <c r="G129" i="11" s="1"/>
  <c r="G130" i="11" s="1"/>
  <c r="G131" i="11" s="1"/>
  <c r="G132" i="11" s="1"/>
  <c r="G133" i="11" s="1"/>
  <c r="G134" i="11" s="1"/>
  <c r="G135" i="11" s="1"/>
  <c r="G136" i="11" s="1"/>
  <c r="G137" i="11" s="1"/>
  <c r="G138" i="11" s="1"/>
  <c r="G139" i="11" s="1"/>
  <c r="G140" i="11" s="1"/>
  <c r="G141" i="11" s="1"/>
  <c r="G142" i="11" s="1"/>
  <c r="G143" i="11" s="1"/>
  <c r="G144" i="11" s="1"/>
  <c r="G145" i="11" s="1"/>
  <c r="G146" i="11" s="1"/>
  <c r="G147" i="11" s="1"/>
  <c r="G148" i="11" s="1"/>
  <c r="G149" i="11" s="1"/>
  <c r="G150" i="11" s="1"/>
  <c r="G151" i="11" s="1"/>
  <c r="G152" i="11" s="1"/>
  <c r="G153" i="11" s="1"/>
  <c r="G154" i="11" s="1"/>
  <c r="G155" i="11" s="1"/>
  <c r="G156" i="11" s="1"/>
  <c r="G157" i="11" s="1"/>
  <c r="G158" i="11" s="1"/>
  <c r="G159" i="11" s="1"/>
  <c r="G160" i="11" s="1"/>
  <c r="G161" i="11" s="1"/>
  <c r="G162" i="11" s="1"/>
  <c r="G163" i="11" s="1"/>
  <c r="G164" i="11" s="1"/>
  <c r="G165" i="11" s="1"/>
  <c r="G166" i="11" s="1"/>
  <c r="G167" i="11" s="1"/>
  <c r="G168" i="11" s="1"/>
  <c r="G169" i="11" s="1"/>
  <c r="G170" i="11" s="1"/>
  <c r="G171" i="11" s="1"/>
  <c r="G172" i="11" s="1"/>
  <c r="G173" i="11" s="1"/>
  <c r="G174" i="11" s="1"/>
  <c r="G175" i="11" s="1"/>
  <c r="G176" i="11" s="1"/>
  <c r="G177" i="11" s="1"/>
  <c r="G178" i="11" s="1"/>
  <c r="G179" i="11" s="1"/>
  <c r="G180" i="11" s="1"/>
  <c r="G181" i="11" s="1"/>
  <c r="G182" i="11" s="1"/>
  <c r="G183" i="11" s="1"/>
  <c r="G184" i="11" s="1"/>
  <c r="G185" i="11" s="1"/>
  <c r="G186" i="11" s="1"/>
  <c r="G187" i="11" s="1"/>
  <c r="G188" i="11" s="1"/>
  <c r="G189" i="11" s="1"/>
  <c r="G190" i="11" s="1"/>
  <c r="G191" i="11" s="1"/>
  <c r="G192" i="11" s="1"/>
  <c r="G193" i="11" s="1"/>
  <c r="G194" i="11" s="1"/>
  <c r="G195" i="11" s="1"/>
  <c r="G196" i="11" s="1"/>
  <c r="G197" i="11" s="1"/>
  <c r="G198" i="11" s="1"/>
  <c r="G199" i="11" s="1"/>
  <c r="G200" i="11" s="1"/>
  <c r="G201" i="11" s="1"/>
  <c r="G202" i="11" s="1"/>
  <c r="G203" i="11" s="1"/>
  <c r="G204" i="11" s="1"/>
  <c r="G205" i="11" s="1"/>
  <c r="G206" i="11" s="1"/>
  <c r="G207" i="11" s="1"/>
  <c r="G208" i="11" s="1"/>
  <c r="G209" i="11" s="1"/>
  <c r="G210" i="11" s="1"/>
  <c r="G211" i="11" s="1"/>
  <c r="G212" i="11" s="1"/>
  <c r="G213" i="11" s="1"/>
  <c r="G214" i="11" s="1"/>
  <c r="G215" i="11" s="1"/>
  <c r="G216" i="11" s="1"/>
  <c r="G217" i="11" s="1"/>
  <c r="G218" i="11" s="1"/>
  <c r="G219" i="11" s="1"/>
  <c r="G220" i="11" s="1"/>
  <c r="G221" i="11" s="1"/>
  <c r="G222" i="11" s="1"/>
  <c r="G223" i="11" s="1"/>
  <c r="G224" i="11" s="1"/>
  <c r="G225" i="11" s="1"/>
  <c r="G226" i="11" s="1"/>
  <c r="G227" i="11" s="1"/>
  <c r="G228" i="11" s="1"/>
  <c r="G229" i="11" s="1"/>
  <c r="G230" i="11" s="1"/>
  <c r="G231" i="11" s="1"/>
  <c r="G232" i="11" s="1"/>
  <c r="G233" i="11" s="1"/>
  <c r="G234" i="11" s="1"/>
  <c r="G235" i="11" s="1"/>
  <c r="G236" i="11" s="1"/>
  <c r="G237" i="11" s="1"/>
  <c r="G238" i="11" s="1"/>
  <c r="G239" i="11" s="1"/>
  <c r="G240" i="11" s="1"/>
  <c r="G241" i="11" s="1"/>
  <c r="G242" i="11" s="1"/>
  <c r="G243" i="11" s="1"/>
  <c r="G244" i="11" s="1"/>
  <c r="G245" i="11" s="1"/>
  <c r="G246" i="11" s="1"/>
  <c r="G247" i="11" s="1"/>
  <c r="G248" i="11" s="1"/>
  <c r="G249" i="11" s="1"/>
  <c r="G250" i="11" s="1"/>
  <c r="G251" i="11" s="1"/>
  <c r="G252" i="11" s="1"/>
  <c r="G253" i="11" s="1"/>
  <c r="G254" i="11" s="1"/>
  <c r="G255" i="11" s="1"/>
  <c r="G256" i="11" s="1"/>
  <c r="G257" i="11" s="1"/>
  <c r="G258" i="11" s="1"/>
  <c r="G259" i="11" s="1"/>
  <c r="G260" i="11" s="1"/>
  <c r="G261" i="11" s="1"/>
  <c r="G262" i="11" s="1"/>
  <c r="G263" i="11" s="1"/>
  <c r="G264" i="11" s="1"/>
  <c r="G265" i="11" s="1"/>
  <c r="G266" i="11" s="1"/>
  <c r="G267" i="11" s="1"/>
  <c r="G268" i="11" s="1"/>
  <c r="G269" i="11" s="1"/>
  <c r="G270" i="11" s="1"/>
  <c r="G271" i="11" s="1"/>
  <c r="G272" i="11" s="1"/>
  <c r="G273" i="11" s="1"/>
  <c r="G274" i="11" s="1"/>
  <c r="G275" i="11" s="1"/>
  <c r="G276" i="11" s="1"/>
  <c r="G277" i="11" s="1"/>
  <c r="G278" i="11" s="1"/>
  <c r="G279" i="11" s="1"/>
  <c r="G280" i="11" s="1"/>
  <c r="G281" i="11" s="1"/>
  <c r="G282" i="11" s="1"/>
  <c r="G283" i="11" s="1"/>
  <c r="G284" i="11" s="1"/>
  <c r="G285" i="11" s="1"/>
  <c r="G286" i="11" s="1"/>
  <c r="G287" i="11" s="1"/>
  <c r="G288" i="11" s="1"/>
  <c r="G289" i="11" s="1"/>
  <c r="G290" i="11" s="1"/>
  <c r="G291" i="11" s="1"/>
  <c r="G292" i="11" s="1"/>
  <c r="G293" i="11" s="1"/>
  <c r="G294" i="11" s="1"/>
  <c r="G295" i="11" s="1"/>
  <c r="G296" i="11" s="1"/>
  <c r="G297" i="11" s="1"/>
  <c r="G298" i="11" s="1"/>
  <c r="G299" i="11" s="1"/>
  <c r="G300" i="11" s="1"/>
  <c r="G301" i="11" s="1"/>
  <c r="G302" i="11" s="1"/>
  <c r="G303" i="11" s="1"/>
  <c r="G3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220" i="11"/>
  <c r="H219" i="11"/>
  <c r="H218" i="11"/>
  <c r="H216" i="11"/>
  <c r="H217" i="11"/>
  <c r="H215" i="11"/>
  <c r="H204" i="11"/>
  <c r="H205" i="11"/>
  <c r="H206" i="11"/>
  <c r="H207" i="11"/>
  <c r="H208" i="11"/>
  <c r="H209" i="11"/>
  <c r="H210" i="11"/>
  <c r="H211" i="11"/>
  <c r="H212" i="11"/>
  <c r="H213" i="11"/>
  <c r="H214" i="11"/>
  <c r="H203" i="11"/>
  <c r="H201" i="11"/>
  <c r="H202" i="11"/>
  <c r="H200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113" i="11"/>
  <c r="H106" i="11"/>
  <c r="H107" i="11"/>
  <c r="H108" i="11"/>
  <c r="H109" i="11"/>
  <c r="H110" i="11"/>
  <c r="H111" i="11"/>
  <c r="H112" i="11"/>
  <c r="H105" i="11"/>
  <c r="H104" i="11"/>
  <c r="H103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2" i="11"/>
  <c r="H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E4" i="9"/>
  <c r="E5" i="9"/>
  <c r="E6" i="9" s="1"/>
  <c r="E7" i="9" s="1"/>
  <c r="E8" i="9" s="1"/>
  <c r="E9" i="9" s="1"/>
  <c r="E10" i="9" s="1"/>
  <c r="E11" i="9" s="1"/>
  <c r="E12" i="9" s="1"/>
  <c r="E13" i="9" s="1"/>
  <c r="E14" i="9" s="1"/>
  <c r="E15" i="9" s="1"/>
  <c r="E16" i="9" s="1"/>
  <c r="E17" i="9" s="1"/>
  <c r="E18" i="9" s="1"/>
  <c r="E19" i="9" s="1"/>
  <c r="E20" i="9" s="1"/>
  <c r="E21" i="9" s="1"/>
  <c r="E22" i="9" s="1"/>
  <c r="E23" i="9" s="1"/>
  <c r="E24" i="9" s="1"/>
  <c r="E25" i="9" s="1"/>
  <c r="E26" i="9" s="1"/>
  <c r="E27" i="9" s="1"/>
  <c r="E28" i="9" s="1"/>
  <c r="E29" i="9" s="1"/>
  <c r="E30" i="9" s="1"/>
  <c r="E31" i="9" s="1"/>
  <c r="E32" i="9" s="1"/>
  <c r="E33" i="9" s="1"/>
  <c r="E34" i="9" s="1"/>
  <c r="E35" i="9" s="1"/>
  <c r="E36" i="9" s="1"/>
  <c r="E37" i="9" s="1"/>
  <c r="E38" i="9" s="1"/>
  <c r="E39" i="9" s="1"/>
  <c r="E40" i="9" s="1"/>
  <c r="E41" i="9" s="1"/>
  <c r="E42" i="9" s="1"/>
  <c r="E43" i="9" s="1"/>
  <c r="E44" i="9" s="1"/>
  <c r="E45" i="9" s="1"/>
  <c r="E46" i="9" s="1"/>
  <c r="E47" i="9" s="1"/>
  <c r="E48" i="9" s="1"/>
  <c r="E49" i="9" s="1"/>
  <c r="E50" i="9" s="1"/>
  <c r="E51" i="9" s="1"/>
  <c r="E52" i="9" s="1"/>
  <c r="E53" i="9" s="1"/>
  <c r="E54" i="9" s="1"/>
  <c r="E55" i="9" s="1"/>
  <c r="E56" i="9" s="1"/>
  <c r="E57" i="9" s="1"/>
  <c r="E58" i="9" s="1"/>
  <c r="E59" i="9" s="1"/>
  <c r="E60" i="9" s="1"/>
  <c r="E61" i="9" s="1"/>
  <c r="E62" i="9" s="1"/>
  <c r="E63" i="9" s="1"/>
  <c r="E64" i="9" s="1"/>
  <c r="E65" i="9" s="1"/>
  <c r="E66" i="9" s="1"/>
  <c r="E67" i="9" s="1"/>
  <c r="E68" i="9" s="1"/>
  <c r="E69" i="9" s="1"/>
  <c r="E70" i="9" s="1"/>
  <c r="E71" i="9" s="1"/>
  <c r="E72" i="9" s="1"/>
  <c r="E73" i="9" s="1"/>
  <c r="E74" i="9" s="1"/>
  <c r="E75" i="9" s="1"/>
  <c r="E76" i="9" s="1"/>
  <c r="E77" i="9" s="1"/>
  <c r="E78" i="9" s="1"/>
  <c r="E79" i="9" s="1"/>
  <c r="E80" i="9" s="1"/>
  <c r="E81" i="9" s="1"/>
  <c r="E82" i="9" s="1"/>
  <c r="E83" i="9" s="1"/>
  <c r="E84" i="9" s="1"/>
  <c r="E85" i="9" s="1"/>
  <c r="E86" i="9" s="1"/>
  <c r="E87" i="9" s="1"/>
  <c r="E88" i="9" s="1"/>
  <c r="E89" i="9" s="1"/>
  <c r="E90" i="9" s="1"/>
  <c r="E91" i="9" s="1"/>
  <c r="E92" i="9" s="1"/>
  <c r="E93" i="9" s="1"/>
  <c r="E94" i="9" s="1"/>
  <c r="E95" i="9" s="1"/>
  <c r="E96" i="9" s="1"/>
  <c r="E97" i="9" s="1"/>
  <c r="E98" i="9" s="1"/>
  <c r="E99" i="9" s="1"/>
  <c r="E100" i="9" s="1"/>
  <c r="E101" i="9" s="1"/>
  <c r="E102" i="9" s="1"/>
  <c r="E103" i="9" s="1"/>
  <c r="E104" i="9" s="1"/>
  <c r="E105" i="9" s="1"/>
  <c r="E106" i="9" s="1"/>
  <c r="E107" i="9" s="1"/>
  <c r="E108" i="9" s="1"/>
  <c r="E109" i="9" s="1"/>
  <c r="E110" i="9" s="1"/>
  <c r="E111" i="9" s="1"/>
  <c r="E112" i="9" s="1"/>
  <c r="E113" i="9" s="1"/>
  <c r="E114" i="9" s="1"/>
  <c r="E115" i="9" s="1"/>
  <c r="E116" i="9" s="1"/>
  <c r="E117" i="9" s="1"/>
  <c r="E118" i="9" s="1"/>
  <c r="E119" i="9" s="1"/>
  <c r="E120" i="9" s="1"/>
  <c r="E121" i="9" s="1"/>
  <c r="E122" i="9" s="1"/>
  <c r="E123" i="9" s="1"/>
  <c r="E124" i="9" s="1"/>
  <c r="E125" i="9" s="1"/>
  <c r="E126" i="9" s="1"/>
  <c r="E127" i="9" s="1"/>
  <c r="E128" i="9" s="1"/>
  <c r="E129" i="9" s="1"/>
  <c r="E130" i="9" s="1"/>
  <c r="E131" i="9" s="1"/>
  <c r="E132" i="9" s="1"/>
  <c r="E133" i="9" s="1"/>
  <c r="E134" i="9" s="1"/>
  <c r="E135" i="9" s="1"/>
  <c r="E136" i="9" s="1"/>
  <c r="E137" i="9" s="1"/>
  <c r="E138" i="9" s="1"/>
  <c r="E139" i="9" s="1"/>
  <c r="E140" i="9" s="1"/>
  <c r="E141" i="9" s="1"/>
  <c r="E142" i="9" s="1"/>
  <c r="E143" i="9" s="1"/>
  <c r="E144" i="9" s="1"/>
  <c r="E145" i="9" s="1"/>
  <c r="E146" i="9" s="1"/>
  <c r="E147" i="9" s="1"/>
  <c r="E148" i="9" s="1"/>
  <c r="E149" i="9" s="1"/>
  <c r="E150" i="9" s="1"/>
  <c r="E151" i="9" s="1"/>
  <c r="E152" i="9" s="1"/>
  <c r="E153" i="9" s="1"/>
  <c r="E154" i="9" s="1"/>
  <c r="E155" i="9" s="1"/>
  <c r="E156" i="9" s="1"/>
  <c r="E157" i="9" s="1"/>
  <c r="E158" i="9" s="1"/>
  <c r="E159" i="9" s="1"/>
  <c r="E160" i="9" s="1"/>
  <c r="E161" i="9" s="1"/>
  <c r="E162" i="9" s="1"/>
  <c r="E163" i="9" s="1"/>
  <c r="E164" i="9" s="1"/>
  <c r="E165" i="9" s="1"/>
  <c r="E166" i="9" s="1"/>
  <c r="E167" i="9" s="1"/>
  <c r="E168" i="9" s="1"/>
  <c r="E169" i="9" s="1"/>
  <c r="E170" i="9" s="1"/>
  <c r="E171" i="9" s="1"/>
  <c r="E172" i="9" s="1"/>
  <c r="E173" i="9" s="1"/>
  <c r="E174" i="9" s="1"/>
  <c r="E175" i="9" s="1"/>
  <c r="E176" i="9" s="1"/>
  <c r="E177" i="9" s="1"/>
  <c r="E178" i="9" s="1"/>
  <c r="E179" i="9" s="1"/>
  <c r="E180" i="9" s="1"/>
  <c r="E181" i="9" s="1"/>
  <c r="E182" i="9" s="1"/>
  <c r="E183" i="9" s="1"/>
  <c r="E184" i="9" s="1"/>
  <c r="E185" i="9" s="1"/>
  <c r="E186" i="9" s="1"/>
  <c r="E187" i="9" s="1"/>
  <c r="E188" i="9" s="1"/>
  <c r="E189" i="9" s="1"/>
  <c r="E190" i="9" s="1"/>
  <c r="E3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s="1"/>
  <c r="B39" i="9" s="1"/>
  <c r="B40" i="9" s="1"/>
  <c r="B41" i="9" s="1"/>
  <c r="B42" i="9" s="1"/>
  <c r="B43" i="9" s="1"/>
  <c r="B44" i="9" s="1"/>
  <c r="B45" i="9" s="1"/>
  <c r="B46" i="9" s="1"/>
  <c r="B47" i="9" s="1"/>
  <c r="B48" i="9" s="1"/>
  <c r="B49" i="9" s="1"/>
  <c r="B50" i="9" s="1"/>
  <c r="B51" i="9" s="1"/>
  <c r="B52" i="9" s="1"/>
  <c r="B53" i="9" s="1"/>
  <c r="B54" i="9" s="1"/>
  <c r="B55" i="9" s="1"/>
  <c r="B56" i="9" s="1"/>
  <c r="B57" i="9" s="1"/>
  <c r="B58" i="9" s="1"/>
  <c r="B59" i="9" s="1"/>
  <c r="B60" i="9" s="1"/>
  <c r="B61" i="9" s="1"/>
  <c r="B62" i="9" s="1"/>
  <c r="B63" i="9" s="1"/>
  <c r="B64" i="9" s="1"/>
  <c r="B65" i="9" s="1"/>
  <c r="B66" i="9" s="1"/>
  <c r="B67" i="9" s="1"/>
  <c r="B68" i="9" s="1"/>
  <c r="B69" i="9" s="1"/>
  <c r="B70" i="9" s="1"/>
  <c r="B71" i="9" s="1"/>
  <c r="B72" i="9" s="1"/>
  <c r="B73" i="9" s="1"/>
  <c r="B74" i="9" s="1"/>
  <c r="B75" i="9" s="1"/>
  <c r="B76" i="9" s="1"/>
  <c r="B77" i="9" s="1"/>
  <c r="B78" i="9" s="1"/>
  <c r="B79" i="9" s="1"/>
  <c r="B80" i="9" s="1"/>
  <c r="B81" i="9" s="1"/>
  <c r="B82" i="9" s="1"/>
  <c r="B83" i="9" s="1"/>
  <c r="B84" i="9" s="1"/>
  <c r="B85" i="9" s="1"/>
  <c r="B86" i="9" s="1"/>
  <c r="B87" i="9" s="1"/>
  <c r="B88" i="9" s="1"/>
  <c r="B89" i="9" s="1"/>
  <c r="B90" i="9" s="1"/>
  <c r="B91" i="9" s="1"/>
  <c r="B92" i="9" s="1"/>
  <c r="B93" i="9" s="1"/>
  <c r="B94" i="9" s="1"/>
  <c r="B95" i="9" s="1"/>
  <c r="B96" i="9" s="1"/>
  <c r="B97" i="9" s="1"/>
  <c r="B98" i="9" s="1"/>
  <c r="B99" i="9" s="1"/>
  <c r="B100" i="9" s="1"/>
  <c r="B101" i="9" s="1"/>
  <c r="B102" i="9" s="1"/>
  <c r="B103" i="9" s="1"/>
  <c r="B104" i="9" s="1"/>
  <c r="B105" i="9" s="1"/>
  <c r="B106" i="9" s="1"/>
  <c r="B107" i="9" s="1"/>
  <c r="B108" i="9" s="1"/>
  <c r="B109" i="9" s="1"/>
  <c r="B110" i="9" s="1"/>
  <c r="B111" i="9" s="1"/>
  <c r="B112" i="9" s="1"/>
  <c r="B113" i="9" s="1"/>
  <c r="B114" i="9" s="1"/>
  <c r="B115" i="9" s="1"/>
  <c r="B116" i="9" s="1"/>
  <c r="B117" i="9" s="1"/>
  <c r="B118" i="9" s="1"/>
  <c r="B119" i="9" s="1"/>
  <c r="B120" i="9" s="1"/>
  <c r="B121" i="9" s="1"/>
  <c r="B122" i="9" s="1"/>
  <c r="B123" i="9" s="1"/>
  <c r="B124" i="9" s="1"/>
  <c r="B125" i="9" s="1"/>
  <c r="B126" i="9" s="1"/>
  <c r="B127" i="9" s="1"/>
  <c r="B128" i="9" s="1"/>
  <c r="B129" i="9" s="1"/>
  <c r="B130" i="9" s="1"/>
  <c r="B131" i="9" s="1"/>
  <c r="B132" i="9" s="1"/>
  <c r="B133" i="9" s="1"/>
  <c r="B134" i="9" s="1"/>
  <c r="B135" i="9" s="1"/>
  <c r="B136" i="9" s="1"/>
  <c r="B137" i="9" s="1"/>
  <c r="B138" i="9" s="1"/>
  <c r="B139" i="9" s="1"/>
  <c r="B140" i="9" s="1"/>
  <c r="B141" i="9" s="1"/>
  <c r="B142" i="9" s="1"/>
  <c r="B143" i="9" s="1"/>
  <c r="B144" i="9" s="1"/>
  <c r="B145" i="9" s="1"/>
  <c r="B146" i="9" s="1"/>
  <c r="B147" i="9" s="1"/>
  <c r="B148" i="9" s="1"/>
  <c r="B149" i="9" s="1"/>
  <c r="B150" i="9" s="1"/>
  <c r="B151" i="9" s="1"/>
  <c r="B152" i="9" s="1"/>
  <c r="B153" i="9" s="1"/>
  <c r="B154" i="9" s="1"/>
  <c r="B155" i="9" s="1"/>
  <c r="B156" i="9" s="1"/>
  <c r="B157" i="9" s="1"/>
  <c r="B158" i="9" s="1"/>
  <c r="B159" i="9" s="1"/>
  <c r="B160" i="9" s="1"/>
  <c r="B161" i="9" s="1"/>
  <c r="B162" i="9" s="1"/>
  <c r="B163" i="9" s="1"/>
  <c r="B164" i="9" s="1"/>
  <c r="B165" i="9" s="1"/>
  <c r="B166" i="9" s="1"/>
  <c r="B167" i="9" s="1"/>
  <c r="B168" i="9" s="1"/>
  <c r="B169" i="9" s="1"/>
  <c r="B170" i="9" s="1"/>
  <c r="B171" i="9" s="1"/>
  <c r="B172" i="9" s="1"/>
  <c r="B173" i="9" s="1"/>
  <c r="B174" i="9" s="1"/>
  <c r="B175" i="9" s="1"/>
  <c r="B176" i="9" s="1"/>
  <c r="B177" i="9" s="1"/>
  <c r="B178" i="9" s="1"/>
  <c r="B179" i="9" s="1"/>
  <c r="B180" i="9" s="1"/>
  <c r="B181" i="9" s="1"/>
  <c r="B182" i="9" s="1"/>
  <c r="B183" i="9" s="1"/>
  <c r="B184" i="9" s="1"/>
  <c r="B185" i="9" s="1"/>
  <c r="B186" i="9" s="1"/>
  <c r="B187" i="9" s="1"/>
  <c r="B188" i="9" s="1"/>
  <c r="B189" i="9" s="1"/>
  <c r="B190" i="9" s="1"/>
  <c r="H182" i="9"/>
  <c r="H183" i="9"/>
  <c r="H184" i="9"/>
  <c r="H185" i="9"/>
  <c r="H186" i="9"/>
  <c r="H187" i="9"/>
  <c r="H188" i="9"/>
  <c r="H189" i="9"/>
  <c r="H190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99" i="9"/>
  <c r="H102" i="9"/>
  <c r="H103" i="9"/>
  <c r="H100" i="9"/>
  <c r="H101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75" i="9"/>
  <c r="H76" i="9"/>
  <c r="H77" i="9"/>
  <c r="H78" i="9"/>
  <c r="H68" i="9"/>
  <c r="H69" i="9"/>
  <c r="H70" i="9"/>
  <c r="H71" i="9"/>
  <c r="H72" i="9"/>
  <c r="H73" i="9"/>
  <c r="H74" i="9"/>
  <c r="H59" i="9"/>
  <c r="H60" i="9"/>
  <c r="H61" i="9"/>
  <c r="H62" i="9"/>
  <c r="H63" i="9"/>
  <c r="H64" i="9"/>
  <c r="H65" i="9"/>
  <c r="H66" i="9"/>
  <c r="H67" i="9"/>
  <c r="H57" i="9"/>
  <c r="H58" i="9"/>
  <c r="H51" i="9"/>
  <c r="H52" i="9"/>
  <c r="H53" i="9"/>
  <c r="H54" i="9"/>
  <c r="H55" i="9"/>
  <c r="H56" i="9"/>
  <c r="H47" i="9"/>
  <c r="H48" i="9"/>
  <c r="H49" i="9"/>
  <c r="H50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26" i="9"/>
  <c r="H27" i="9"/>
  <c r="H25" i="9"/>
  <c r="H24" i="9"/>
  <c r="I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" i="7"/>
  <c r="H3" i="7"/>
  <c r="H4" i="7" s="1"/>
  <c r="H5" i="7" s="1"/>
  <c r="H6" i="7" s="1"/>
  <c r="H7" i="7" s="1"/>
  <c r="H8" i="7" s="1"/>
  <c r="H9" i="7" s="1"/>
  <c r="H10" i="7" s="1"/>
  <c r="H11" i="7" s="1"/>
  <c r="H12" i="7" s="1"/>
  <c r="H13" i="7" s="1"/>
  <c r="H14" i="7" s="1"/>
  <c r="H15" i="7" s="1"/>
  <c r="H16" i="7" s="1"/>
  <c r="H17" i="7" s="1"/>
  <c r="H18" i="7" s="1"/>
  <c r="H19" i="7" s="1"/>
  <c r="H20" i="7" s="1"/>
  <c r="H21" i="7" s="1"/>
  <c r="H22" i="7" s="1"/>
  <c r="H23" i="7" s="1"/>
  <c r="H24" i="7" s="1"/>
  <c r="H25" i="7" s="1"/>
  <c r="H26" i="7" s="1"/>
  <c r="H27" i="7" s="1"/>
  <c r="H28" i="7" s="1"/>
  <c r="H29" i="7" s="1"/>
  <c r="H30" i="7" s="1"/>
  <c r="H31" i="7" s="1"/>
  <c r="H32" i="7" s="1"/>
  <c r="H33" i="7" s="1"/>
  <c r="H34" i="7" s="1"/>
  <c r="H35" i="7" s="1"/>
  <c r="H36" i="7" s="1"/>
  <c r="H37" i="7" s="1"/>
  <c r="H38" i="7" s="1"/>
  <c r="H39" i="7" s="1"/>
  <c r="H40" i="7" s="1"/>
  <c r="H41" i="7" s="1"/>
  <c r="H42" i="7" s="1"/>
  <c r="H43" i="7" s="1"/>
  <c r="H44" i="7" s="1"/>
  <c r="H45" i="7" s="1"/>
  <c r="H46" i="7" s="1"/>
  <c r="H47" i="7" s="1"/>
  <c r="H48" i="7" s="1"/>
  <c r="H49" i="7" s="1"/>
  <c r="H50" i="7" s="1"/>
  <c r="H51" i="7" s="1"/>
  <c r="H52" i="7" s="1"/>
  <c r="H53" i="7" s="1"/>
  <c r="H54" i="7" s="1"/>
  <c r="H55" i="7" s="1"/>
  <c r="H56" i="7" s="1"/>
  <c r="H57" i="7" s="1"/>
  <c r="H58" i="7" s="1"/>
  <c r="H59" i="7" s="1"/>
  <c r="H60" i="7" s="1"/>
  <c r="H61" i="7" s="1"/>
  <c r="H62" i="7" s="1"/>
  <c r="H63" i="7" s="1"/>
  <c r="H64" i="7" s="1"/>
  <c r="H65" i="7" s="1"/>
  <c r="H66" i="7" s="1"/>
  <c r="H67" i="7" s="1"/>
  <c r="H68" i="7" s="1"/>
  <c r="H69" i="7" s="1"/>
  <c r="H70" i="7" s="1"/>
  <c r="H71" i="7" s="1"/>
  <c r="H72" i="7" s="1"/>
  <c r="H73" i="7" s="1"/>
  <c r="H74" i="7" s="1"/>
  <c r="H75" i="7" s="1"/>
  <c r="H76" i="7" s="1"/>
  <c r="H77" i="7" s="1"/>
  <c r="H78" i="7" s="1"/>
  <c r="H79" i="7" s="1"/>
  <c r="H80" i="7" s="1"/>
  <c r="H81" i="7" s="1"/>
  <c r="H82" i="7" s="1"/>
  <c r="H83" i="7" s="1"/>
  <c r="H84" i="7" s="1"/>
  <c r="H85" i="7" s="1"/>
  <c r="H86" i="7" s="1"/>
  <c r="H87" i="7" s="1"/>
  <c r="H88" i="7" s="1"/>
  <c r="H89" i="7" s="1"/>
  <c r="H90" i="7" s="1"/>
  <c r="H91" i="7" s="1"/>
  <c r="H92" i="7" s="1"/>
  <c r="H93" i="7" s="1"/>
  <c r="H94" i="7" s="1"/>
  <c r="H95" i="7" s="1"/>
  <c r="H96" i="7" s="1"/>
  <c r="H97" i="7" s="1"/>
  <c r="H98" i="7" s="1"/>
  <c r="H99" i="7" s="1"/>
  <c r="H100" i="7" s="1"/>
  <c r="H101" i="7" s="1"/>
  <c r="H102" i="7" s="1"/>
  <c r="H103" i="7" s="1"/>
  <c r="H104" i="7" s="1"/>
  <c r="H105" i="7" s="1"/>
  <c r="H106" i="7" s="1"/>
  <c r="H107" i="7" s="1"/>
  <c r="H108" i="7" s="1"/>
  <c r="H109" i="7" s="1"/>
  <c r="H110" i="7" s="1"/>
  <c r="H111" i="7" s="1"/>
  <c r="H112" i="7" s="1"/>
  <c r="H113" i="7" s="1"/>
  <c r="H114" i="7" s="1"/>
  <c r="H115" i="7" s="1"/>
  <c r="H116" i="7" s="1"/>
  <c r="H117" i="7" s="1"/>
  <c r="H118" i="7" s="1"/>
  <c r="H119" i="7" s="1"/>
  <c r="H120" i="7" s="1"/>
  <c r="H121" i="7" s="1"/>
  <c r="H122" i="7" s="1"/>
  <c r="H123" i="7" s="1"/>
  <c r="H124" i="7" s="1"/>
  <c r="H125" i="7" s="1"/>
  <c r="H126" i="7" s="1"/>
  <c r="H127" i="7" s="1"/>
  <c r="H128" i="7" s="1"/>
  <c r="H129" i="7" s="1"/>
  <c r="H130" i="7" s="1"/>
  <c r="H131" i="7" s="1"/>
  <c r="H132" i="7" s="1"/>
  <c r="H133" i="7" s="1"/>
  <c r="H134" i="7" s="1"/>
  <c r="H135" i="7" s="1"/>
  <c r="H136" i="7" s="1"/>
  <c r="H137" i="7" s="1"/>
  <c r="H138" i="7" s="1"/>
  <c r="H139" i="7" s="1"/>
  <c r="H140" i="7" s="1"/>
  <c r="H141" i="7" s="1"/>
  <c r="H142" i="7" s="1"/>
  <c r="H143" i="7" s="1"/>
  <c r="H144" i="7" s="1"/>
  <c r="H145" i="7" s="1"/>
  <c r="H146" i="7" s="1"/>
  <c r="H147" i="7" s="1"/>
  <c r="H148" i="7" s="1"/>
  <c r="H149" i="7" s="1"/>
  <c r="H150" i="7" s="1"/>
  <c r="H151" i="7" s="1"/>
  <c r="H152" i="7" s="1"/>
  <c r="H153" i="7" s="1"/>
  <c r="H154" i="7" s="1"/>
  <c r="H155" i="7" s="1"/>
  <c r="H156" i="7" s="1"/>
  <c r="H157" i="7" s="1"/>
  <c r="H158" i="7" s="1"/>
  <c r="H159" i="7" s="1"/>
  <c r="H160" i="7" s="1"/>
  <c r="H161" i="7" s="1"/>
  <c r="H162" i="7" s="1"/>
  <c r="H2" i="7"/>
  <c r="K3" i="8"/>
  <c r="K4" i="8" s="1"/>
  <c r="K5" i="8" s="1"/>
  <c r="K6" i="8" s="1"/>
  <c r="K7" i="8" s="1"/>
  <c r="K8" i="8" s="1"/>
  <c r="K9" i="8" s="1"/>
  <c r="K10" i="8" s="1"/>
  <c r="K11" i="8" s="1"/>
  <c r="K12" i="8" s="1"/>
  <c r="K13" i="8" s="1"/>
  <c r="K14" i="8" s="1"/>
  <c r="K15" i="8" s="1"/>
  <c r="K16" i="8" s="1"/>
  <c r="K17" i="8" s="1"/>
  <c r="K18" i="8" s="1"/>
  <c r="K19" i="8" s="1"/>
  <c r="K20" i="8" s="1"/>
  <c r="K21" i="8" s="1"/>
  <c r="K22" i="8" s="1"/>
  <c r="K23" i="8" s="1"/>
  <c r="K24" i="8" s="1"/>
  <c r="K25" i="8" s="1"/>
  <c r="K26" i="8" s="1"/>
  <c r="K27" i="8" s="1"/>
  <c r="K28" i="8" s="1"/>
  <c r="K29" i="8" s="1"/>
  <c r="K30" i="8" s="1"/>
  <c r="K31" i="8" s="1"/>
  <c r="K32" i="8" s="1"/>
  <c r="K33" i="8" s="1"/>
  <c r="K34" i="8" s="1"/>
  <c r="K35" i="8" s="1"/>
  <c r="K36" i="8" s="1"/>
  <c r="K37" i="8" s="1"/>
  <c r="K38" i="8" s="1"/>
  <c r="K39" i="8" s="1"/>
  <c r="K40" i="8" s="1"/>
  <c r="K41" i="8" s="1"/>
  <c r="K42" i="8" s="1"/>
  <c r="K43" i="8" s="1"/>
  <c r="K44" i="8" s="1"/>
  <c r="K45" i="8" s="1"/>
  <c r="K46" i="8" s="1"/>
  <c r="K47" i="8" s="1"/>
  <c r="K48" i="8" s="1"/>
  <c r="K49" i="8" s="1"/>
  <c r="K50" i="8" s="1"/>
  <c r="K51" i="8" s="1"/>
  <c r="K52" i="8" s="1"/>
  <c r="K53" i="8" s="1"/>
  <c r="K54" i="8" s="1"/>
  <c r="K55" i="8" s="1"/>
  <c r="K56" i="8" s="1"/>
  <c r="K57" i="8" s="1"/>
  <c r="K58" i="8" s="1"/>
  <c r="K59" i="8" s="1"/>
  <c r="K60" i="8" s="1"/>
  <c r="K61" i="8" s="1"/>
  <c r="K62" i="8" s="1"/>
  <c r="K63" i="8" s="1"/>
  <c r="K64" i="8" s="1"/>
  <c r="K65" i="8" s="1"/>
  <c r="K66" i="8" s="1"/>
  <c r="K67" i="8" s="1"/>
  <c r="K68" i="8" s="1"/>
  <c r="K69" i="8" s="1"/>
  <c r="K70" i="8" s="1"/>
  <c r="K71" i="8" s="1"/>
  <c r="K72" i="8" s="1"/>
  <c r="K73" i="8" s="1"/>
  <c r="K74" i="8" s="1"/>
  <c r="K75" i="8" s="1"/>
  <c r="K76" i="8" s="1"/>
  <c r="K77" i="8" s="1"/>
  <c r="K78" i="8" s="1"/>
  <c r="K79" i="8" s="1"/>
  <c r="K80" i="8" s="1"/>
  <c r="K81" i="8" s="1"/>
  <c r="K82" i="8" s="1"/>
  <c r="K83" i="8" s="1"/>
  <c r="K84" i="8" s="1"/>
  <c r="K85" i="8" s="1"/>
  <c r="K86" i="8" s="1"/>
  <c r="K87" i="8" s="1"/>
  <c r="K88" i="8" s="1"/>
  <c r="K89" i="8" s="1"/>
  <c r="K90" i="8" s="1"/>
  <c r="K91" i="8" s="1"/>
  <c r="K92" i="8" s="1"/>
  <c r="K93" i="8" s="1"/>
  <c r="K94" i="8" s="1"/>
  <c r="K95" i="8" s="1"/>
  <c r="K96" i="8" s="1"/>
  <c r="K97" i="8" s="1"/>
  <c r="K98" i="8" s="1"/>
  <c r="K99" i="8" s="1"/>
  <c r="K100" i="8" s="1"/>
  <c r="K101" i="8" s="1"/>
  <c r="K102" i="8" s="1"/>
  <c r="K103" i="8" s="1"/>
  <c r="K104" i="8" s="1"/>
  <c r="K105" i="8" s="1"/>
  <c r="K106" i="8" s="1"/>
  <c r="K107" i="8" s="1"/>
  <c r="K108" i="8" s="1"/>
  <c r="K109" i="8" s="1"/>
  <c r="K110" i="8" s="1"/>
  <c r="K111" i="8" s="1"/>
  <c r="K112" i="8" s="1"/>
  <c r="K113" i="8" s="1"/>
  <c r="K114" i="8" s="1"/>
  <c r="K115" i="8" s="1"/>
  <c r="K116" i="8" s="1"/>
  <c r="K117" i="8" s="1"/>
  <c r="K118" i="8" s="1"/>
  <c r="K119" i="8" s="1"/>
  <c r="K120" i="8" s="1"/>
  <c r="K121" i="8" s="1"/>
  <c r="K122" i="8" s="1"/>
  <c r="K123" i="8" s="1"/>
  <c r="K124" i="8" s="1"/>
  <c r="K125" i="8" s="1"/>
  <c r="K126" i="8" s="1"/>
  <c r="K127" i="8" s="1"/>
  <c r="K128" i="8" s="1"/>
  <c r="K129" i="8" s="1"/>
  <c r="K130" i="8" s="1"/>
  <c r="K131" i="8" s="1"/>
  <c r="K132" i="8" s="1"/>
  <c r="K133" i="8" s="1"/>
  <c r="K134" i="8" s="1"/>
  <c r="K135" i="8" s="1"/>
  <c r="K136" i="8" s="1"/>
  <c r="K137" i="8" s="1"/>
  <c r="K138" i="8" s="1"/>
  <c r="K139" i="8" s="1"/>
  <c r="K140" i="8" s="1"/>
  <c r="K141" i="8" s="1"/>
  <c r="K142" i="8" s="1"/>
  <c r="K143" i="8" s="1"/>
  <c r="K144" i="8" s="1"/>
  <c r="K145" i="8" s="1"/>
  <c r="K146" i="8" s="1"/>
  <c r="K147" i="8" s="1"/>
  <c r="K148" i="8" s="1"/>
  <c r="K149" i="8" s="1"/>
  <c r="K150" i="8" s="1"/>
  <c r="K151" i="8" s="1"/>
  <c r="K152" i="8" s="1"/>
  <c r="K153" i="8" s="1"/>
  <c r="K154" i="8" s="1"/>
  <c r="K155" i="8" s="1"/>
  <c r="K156" i="8" s="1"/>
  <c r="K157" i="8" s="1"/>
  <c r="K158" i="8" s="1"/>
  <c r="K159" i="8" s="1"/>
  <c r="K160" i="8" s="1"/>
  <c r="K161" i="8" s="1"/>
  <c r="K162" i="8" s="1"/>
  <c r="K163" i="8" s="1"/>
  <c r="K164" i="8" s="1"/>
  <c r="K165" i="8" s="1"/>
  <c r="K166" i="8" s="1"/>
  <c r="K167" i="8" s="1"/>
  <c r="K168" i="8" s="1"/>
  <c r="K169" i="8" s="1"/>
  <c r="K170" i="8" s="1"/>
  <c r="K171" i="8" s="1"/>
  <c r="K172" i="8" s="1"/>
  <c r="K173" i="8" s="1"/>
  <c r="K174" i="8" s="1"/>
  <c r="K175" i="8" s="1"/>
  <c r="K176" i="8" s="1"/>
  <c r="K177" i="8" s="1"/>
  <c r="K178" i="8" s="1"/>
  <c r="K179" i="8" s="1"/>
  <c r="K180" i="8" s="1"/>
  <c r="K181" i="8" s="1"/>
  <c r="K182" i="8" s="1"/>
  <c r="K2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61" i="8"/>
  <c r="L158" i="8"/>
  <c r="L159" i="8"/>
  <c r="L160" i="8"/>
  <c r="L157" i="8"/>
  <c r="L153" i="8"/>
  <c r="L154" i="8"/>
  <c r="L155" i="8"/>
  <c r="L156" i="8"/>
  <c r="L152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75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2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1" i="8"/>
  <c r="A5" i="5"/>
  <c r="A6" i="5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4" i="5"/>
  <c r="D5" i="4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4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3" i="4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3" i="1"/>
  <c r="A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4" i="1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79" i="3"/>
  <c r="B80" i="3"/>
  <c r="B81" i="3"/>
  <c r="B82" i="3"/>
  <c r="B83" i="3"/>
  <c r="B84" i="3"/>
  <c r="B85" i="3"/>
  <c r="B86" i="3"/>
  <c r="B87" i="3"/>
  <c r="B88" i="3"/>
  <c r="B89" i="3"/>
  <c r="B90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" i="3"/>
</calcChain>
</file>

<file path=xl/sharedStrings.xml><?xml version="1.0" encoding="utf-8"?>
<sst xmlns="http://schemas.openxmlformats.org/spreadsheetml/2006/main" count="4134" uniqueCount="1592">
  <si>
    <t>app/(auth)/login/page.tsx</t>
  </si>
  <si>
    <t>app/(auth)/register/page.tsx</t>
  </si>
  <si>
    <t>app/(auth)/forgot-password/page.tsx</t>
  </si>
  <si>
    <t>app/(auth)/reset-password/page.tsx</t>
  </si>
  <si>
    <t>app/(auth)/verify-email/page.tsx</t>
  </si>
  <si>
    <t>app/(auth)/verify-email/pending/page.tsx</t>
  </si>
  <si>
    <t>app/(auth)/verify-2fa/page.tsx</t>
  </si>
  <si>
    <t>app/(auth)/layout.tsx</t>
  </si>
  <si>
    <t>app/(auth)/loading.tsx</t>
  </si>
  <si>
    <t xml:space="preserve"> NO. </t>
  </si>
  <si>
    <t xml:space="preserve"> Part </t>
  </si>
  <si>
    <t xml:space="preserve"> Paths and Filenames </t>
  </si>
  <si>
    <t xml:space="preserve"> Interactive UI Element </t>
  </si>
  <si>
    <t xml:space="preserve"> Readable UI Element </t>
  </si>
  <si>
    <t>-----</t>
  </si>
  <si>
    <t>------</t>
  </si>
  <si>
    <t>---------------------</t>
  </si>
  <si>
    <t>------------------------</t>
  </si>
  <si>
    <t xml:space="preserve"> Part 05 </t>
  </si>
  <si>
    <t xml:space="preserve"> </t>
  </si>
  <si>
    <t xml:space="preserve"> YES </t>
  </si>
  <si>
    <t xml:space="preserve"> `app/(auth)/verify-email/pending/page.tsx` </t>
  </si>
  <si>
    <t xml:space="preserve"> `components/auth/social-auth-buttons.tsx` </t>
  </si>
  <si>
    <t xml:space="preserve"> Part 08 </t>
  </si>
  <si>
    <t xml:space="preserve"> `app/(dashboard)/dashboard/page.tsx` </t>
  </si>
  <si>
    <t xml:space="preserve"> `app/(dashboard)/watchlist/watchlist-client.tsx` </t>
  </si>
  <si>
    <t xml:space="preserve"> `app/(dashboard)/settings/appearance/page.tsx` </t>
  </si>
  <si>
    <t xml:space="preserve"> `components/dashboard/watchlist-widget.tsx` </t>
  </si>
  <si>
    <t xml:space="preserve"> `components/layout/mobile-nav.tsx` </t>
  </si>
  <si>
    <t xml:space="preserve"> Part 09 </t>
  </si>
  <si>
    <t xml:space="preserve"> `app/(dashboard)/charts/[symbol]/[timeframe]/trading-chart-client.tsx` </t>
  </si>
  <si>
    <t xml:space="preserve"> `components/charts/pro-indicator-overlay.tsx` </t>
  </si>
  <si>
    <t xml:space="preserve"> Part 10 </t>
  </si>
  <si>
    <t xml:space="preserve"> `components/watchlist/symbol-selector.tsx` </t>
  </si>
  <si>
    <t xml:space="preserve"> Part 11 </t>
  </si>
  <si>
    <t xml:space="preserve"> `components/alerts/alert-card.tsx` </t>
  </si>
  <si>
    <t xml:space="preserve"> `components/alerts/alert-form.tsx` </t>
  </si>
  <si>
    <t xml:space="preserve"> `components/alerts/alert-list.tsx` </t>
  </si>
  <si>
    <t xml:space="preserve"> `app/(dashboard)/alerts/new/create-alert-client.tsx` </t>
  </si>
  <si>
    <t xml:space="preserve"> Part 12 </t>
  </si>
  <si>
    <t xml:space="preserve"> `components/billing/subscription-card.tsx` </t>
  </si>
  <si>
    <t xml:space="preserve"> `components/pricing/tier-comparison.tsx` </t>
  </si>
  <si>
    <t xml:space="preserve"> Part 14 </t>
  </si>
  <si>
    <t xml:space="preserve"> `components/admin/commission-owings-table.tsx` </t>
  </si>
  <si>
    <t xml:space="preserve"> `components/admin/sales-performance-table.tsx` </t>
  </si>
  <si>
    <t xml:space="preserve"> `components/admin/suspend-affiliate-modal.tsx` </t>
  </si>
  <si>
    <t xml:space="preserve"> Part 15 </t>
  </si>
  <si>
    <t xml:space="preserve"> `components/notifications/notification-bell.tsx` </t>
  </si>
  <si>
    <t xml:space="preserve"> `components/notifications/notification-list.tsx` </t>
  </si>
  <si>
    <t xml:space="preserve"> Part 16 </t>
  </si>
  <si>
    <t xml:space="preserve"> Part 17A-2 </t>
  </si>
  <si>
    <t xml:space="preserve"> `components/affiliate/commission-table.tsx` </t>
  </si>
  <si>
    <t xml:space="preserve"> `app/affiliate/dashboard/profile/payment/page.tsx` </t>
  </si>
  <si>
    <t xml:space="preserve"> Part 17B-1 </t>
  </si>
  <si>
    <t xml:space="preserve"> `app/admin/affiliates/reports/sales-performance/page.tsx` </t>
  </si>
  <si>
    <t xml:space="preserve"> `app/admin/affiliates/reports/commission-owings/page.tsx` </t>
  </si>
  <si>
    <t xml:space="preserve"> Part 18C </t>
  </si>
  <si>
    <t xml:space="preserve"> `components/payments/PaymentMethodSelector.tsx` </t>
  </si>
  <si>
    <t xml:space="preserve"> `app/checkout/page.tsx` </t>
  </si>
  <si>
    <t xml:space="preserve"> Part 19D </t>
  </si>
  <si>
    <t xml:space="preserve"> `app/(dashboard)/admin/disbursement/batches/[batchId]/page.tsx` </t>
  </si>
  <si>
    <t>app/(dashboard)/settings/language/page.tsx</t>
  </si>
  <si>
    <t>app/(dashboard)/settings/help/page.tsx</t>
  </si>
  <si>
    <t>app/(dashboard)/settings/privacy/page.tsx</t>
  </si>
  <si>
    <t>app/admin/login/page.tsx</t>
  </si>
  <si>
    <t>components/auth/register-form.tsx</t>
  </si>
  <si>
    <t>components/auth/login-form.tsx</t>
  </si>
  <si>
    <t>components/auth/social-auth-buttons.tsx</t>
  </si>
  <si>
    <t>app/(dashboard)/layout.tsx</t>
  </si>
  <si>
    <t>app/(dashboard)/dashboard/page.tsx</t>
  </si>
  <si>
    <t>app/(dashboard)/alerts/page.tsx</t>
  </si>
  <si>
    <t>app/(dashboard)/alerts/new/page.tsx</t>
  </si>
  <si>
    <t>app/(dashboard)/alerts/alerts-client.tsx</t>
  </si>
  <si>
    <t>app/(dashboard)/watchlist/page.tsx</t>
  </si>
  <si>
    <t>app/(dashboard)/watchlist/watchlist-client.tsx</t>
  </si>
  <si>
    <t>app/(dashboard)/charts/page.tsx</t>
  </si>
  <si>
    <t>app/(dashboard)/charts/[symbol]/[timeframe]/page.tsx</t>
  </si>
  <si>
    <t>app/(dashboard)/settings/layout.tsx</t>
  </si>
  <si>
    <t>app/(dashboard)/settings/page.tsx</t>
  </si>
  <si>
    <t>app/(dashboard)/settings/account/page.tsx</t>
  </si>
  <si>
    <t>app/(dashboard)/settings/appearance/page.tsx</t>
  </si>
  <si>
    <t>app/(dashboard)/settings/billing/page.tsx</t>
  </si>
  <si>
    <t>app/(dashboard)/settings/profile/page.tsx</t>
  </si>
  <si>
    <t>app/(dashboard)/settings/security/page.tsx</t>
  </si>
  <si>
    <t>app/(dashboard)/settings/terms/page.tsx</t>
  </si>
  <si>
    <t>app/(dashboard)/admin/page.tsx</t>
  </si>
  <si>
    <t>app/(dashboard)/admin/users/page.tsx</t>
  </si>
  <si>
    <t>app/(dashboard)/admin/fraud-alerts/page.tsx</t>
  </si>
  <si>
    <t>app/(dashboard)/admin/api-usage/page.tsx</t>
  </si>
  <si>
    <t>app/(dashboard)/admin/error-logs/page.tsx</t>
  </si>
  <si>
    <t>app/(dashboard)/admin/disbursements/page.tsx</t>
  </si>
  <si>
    <t>app/(dashboard)/admin/disbursements/accounts/page.tsx</t>
  </si>
  <si>
    <t>app/(dashboard)/admin/disbursements/affiliates/page.tsx</t>
  </si>
  <si>
    <t>app/(dashboard)/admin/disbursements/batches/page.tsx</t>
  </si>
  <si>
    <t>app/(dashboard)/admin/disbursements/transactions/page.tsx</t>
  </si>
  <si>
    <t>app/(dashboard)/admin/disbursements/audit-logs/page.tsx</t>
  </si>
  <si>
    <t>app/(dashboard)/admin/disbursements/config/page.tsx</t>
  </si>
  <si>
    <t>app/(dashboard)/admin/disbursements/[id]/page.tsx</t>
  </si>
  <si>
    <t>app/(dashboard)/admin/disbursements/create/page.tsx</t>
  </si>
  <si>
    <t>app/(dashboard)/admin/disbursements/edit/[id]/page.tsx</t>
  </si>
  <si>
    <t>app/(dashboard)/admin/disbursements/preview/[id]/page.tsx</t>
  </si>
  <si>
    <t>components/dashboard/stats-card.tsx</t>
  </si>
  <si>
    <t>components/dashboard/recent-alerts.tsx</t>
  </si>
  <si>
    <t>components/dashboard/watchlist-widget.tsx</t>
  </si>
  <si>
    <t>components/dashboard/upgrade-prompt.tsx</t>
  </si>
  <si>
    <t>components/layout/header.tsx</t>
  </si>
  <si>
    <t>components/layout/sidebar.tsx</t>
  </si>
  <si>
    <t>components/layout/mobile-nav.tsx</t>
  </si>
  <si>
    <t>components/layout/footer.tsx</t>
  </si>
  <si>
    <t>app/(dashboard)/charts/[symbol]/[timeframe]/trading-chart-client.tsx</t>
  </si>
  <si>
    <t>components/charts/trading-chart.tsx</t>
  </si>
  <si>
    <t>components/charts/pro-indicator-overlay.tsx</t>
  </si>
  <si>
    <t>components/charts/indicator-toggles.tsx</t>
  </si>
  <si>
    <t>components/charts/chart-controls.tsx</t>
  </si>
  <si>
    <t>components/charts/timeframe-selector.tsx</t>
  </si>
  <si>
    <t>components/watchlist/symbol-selector.tsx</t>
  </si>
  <si>
    <t>components/watchlist/timeframe-grid.tsx</t>
  </si>
  <si>
    <t>components/watchlist/watchlist-item.tsx</t>
  </si>
  <si>
    <t>components/alerts/alert-card.tsx</t>
  </si>
  <si>
    <t>components/alerts/alert-form.tsx</t>
  </si>
  <si>
    <t>components/alerts/alert-list.tsx</t>
  </si>
  <si>
    <t>app/(dashboard)/alerts/new/create-alert-client.tsx</t>
  </si>
  <si>
    <t>app/(marketing)/pricing/page.tsx</t>
  </si>
  <si>
    <t>components/billing/subscription-card.tsx</t>
  </si>
  <si>
    <t>components/billing/invoice-list.tsx</t>
  </si>
  <si>
    <t>components/pricing/tier-comparison.tsx</t>
  </si>
  <si>
    <t>components/admin/FraudAlertCard.tsx</t>
  </si>
  <si>
    <t>components/admin/FraudPatternBadge.tsx</t>
  </si>
  <si>
    <t>components/admin/affiliate-filters.tsx</t>
  </si>
  <si>
    <t>components/admin/affiliate-stats-banner.tsx</t>
  </si>
  <si>
    <t>components/admin/affiliate-table.tsx</t>
  </si>
  <si>
    <t>components/admin/code-inventory-chart.tsx</t>
  </si>
  <si>
    <t>components/admin/commission-owings-table.tsx</t>
  </si>
  <si>
    <t>components/admin/distribute-codes-modal.tsx</t>
  </si>
  <si>
    <t>components/admin/pay-commission-modal.tsx</t>
  </si>
  <si>
    <t>components/admin/pnl-breakdown-table.tsx</t>
  </si>
  <si>
    <t>components/admin/pnl-summary-cards.tsx</t>
  </si>
  <si>
    <t>components/admin/pnl-trend-chart.tsx</t>
  </si>
  <si>
    <t>components/admin/sales-performance-table.tsx</t>
  </si>
  <si>
    <t>components/admin/suspend-affiliate-modal.tsx</t>
  </si>
  <si>
    <t>components/notifications/notification-bell.tsx</t>
  </si>
  <si>
    <t>components/notifications/notification-list.tsx</t>
  </si>
  <si>
    <t>app/layout.tsx</t>
  </si>
  <si>
    <t>app/(marketing)/layout.tsx</t>
  </si>
  <si>
    <t>app/(marketing)/page.tsx</t>
  </si>
  <si>
    <t>components/affiliate/stats-card.tsx</t>
  </si>
  <si>
    <t>components/affiliate/code-table.tsx</t>
  </si>
  <si>
    <t>components/affiliate/commission-table.tsx</t>
  </si>
  <si>
    <t>app/affiliate/register/page.tsx</t>
  </si>
  <si>
    <t>app/affiliate/verify/page.tsx</t>
  </si>
  <si>
    <t>app/affiliate/dashboard/page.tsx</t>
  </si>
  <si>
    <t>app/affiliate/dashboard/codes/page.tsx</t>
  </si>
  <si>
    <t>app/affiliate/dashboard/commissions/page.tsx</t>
  </si>
  <si>
    <t>app/affiliate/dashboard/profile/page.tsx</t>
  </si>
  <si>
    <t>app/affiliate/dashboard/profile/payment/page.tsx</t>
  </si>
  <si>
    <t>app/admin/affiliates/page.tsx</t>
  </si>
  <si>
    <t>app/admin/affiliates/[id]/page.tsx</t>
  </si>
  <si>
    <t>app/admin/affiliates/reports/profit-loss/page.tsx</t>
  </si>
  <si>
    <t>app/admin/affiliates/reports/sales-performance/page.tsx</t>
  </si>
  <si>
    <t>app/admin/affiliates/reports/commission-owings/page.tsx</t>
  </si>
  <si>
    <t>app/admin/affiliates/reports/code-inventory/page.tsx</t>
  </si>
  <si>
    <t>app/admin/settings/affiliate/page.tsx</t>
  </si>
  <si>
    <t>components/payments/CountrySelector.tsx</t>
  </si>
  <si>
    <t>components/payments/PlanSelector.tsx</t>
  </si>
  <si>
    <t>components/payments/PaymentMethodSelector.tsx</t>
  </si>
  <si>
    <t>components/payments/PriceDisplay.tsx</t>
  </si>
  <si>
    <t>components/payments/DiscountCodeInput.tsx</t>
  </si>
  <si>
    <t>components/payments/PaymentButton.tsx</t>
  </si>
  <si>
    <t>app/checkout/page.tsx</t>
  </si>
  <si>
    <t>app/(dashboard)/admin/disbursement/layout.tsx</t>
  </si>
  <si>
    <t>app/(dashboard)/admin/disbursement/page.tsx</t>
  </si>
  <si>
    <t>app/(dashboard)/admin/disbursement/affiliates/page.tsx</t>
  </si>
  <si>
    <t>app/(dashboard)/admin/disbursement/batches/page.tsx</t>
  </si>
  <si>
    <t>app/(dashboard)/admin/disbursement/batches/[batchId]/page.tsx</t>
  </si>
  <si>
    <t>app/(dashboard)/admin/disbursement/transactions/page.tsx</t>
  </si>
  <si>
    <t>app/(dashboard)/admin/disbursement/audit/page.tsx</t>
  </si>
  <si>
    <t>app/(dashboard)/admin/disbursement/config/page.tsx</t>
  </si>
  <si>
    <t>app/(dashboard)/admin/disbursement/accounts/page.tsx</t>
  </si>
  <si>
    <t>app/(marketing)/landing-content.tsx</t>
  </si>
  <si>
    <t>app/(dashboard)/dashboard/loading.tsx</t>
  </si>
  <si>
    <t>app/(dashboard)/dashboard/alerts/page.tsx</t>
  </si>
  <si>
    <t>app/(dashboard)/dashboard/alerts/loading.tsx</t>
  </si>
  <si>
    <t>app/(dashboard)/dashboard/alerts/new/page.tsx</t>
  </si>
  <si>
    <t>app/(dashboard)/dashboard/alerts/[id]/page.tsx</t>
  </si>
  <si>
    <t>app/(dashboard)/dashboard/alerts/[id]/edit/page.tsx</t>
  </si>
  <si>
    <t>app/(dashboard)/dashboard/alerts/[id]/loading.tsx</t>
  </si>
  <si>
    <t>app/(dashboard)/dashboard/alerts/[id]/error.tsx</t>
  </si>
  <si>
    <t>app/(dashboard)/dashboard/watchlist/page.tsx</t>
  </si>
  <si>
    <t>app/(dashboard)/dashboard/watchlist/loading.tsx</t>
  </si>
  <si>
    <t>app/(dashboard)/dashboard/subscription/page.tsx</t>
  </si>
  <si>
    <t>app/(dashboard)/dashboard/subscription/loading.tsx</t>
  </si>
  <si>
    <t>app/(dashboard)/dashboard/subscription/upgrade/page.tsx</t>
  </si>
  <si>
    <t>app/(dashboard)/dashboard/subscription/success/page.tsx</t>
  </si>
  <si>
    <t>app/(dashboard)/dashboard/subscription/canceled/page.tsx</t>
  </si>
  <si>
    <t>app/(dashboard)/dashboard/checkout/page.tsx</t>
  </si>
  <si>
    <t>app/(dashboard)/dashboard/checkout/success/page.tsx</t>
  </si>
  <si>
    <t>app/(dashboard)/dashboard/settings/page.tsx</t>
  </si>
  <si>
    <t>app/(dashboard)/dashboard/settings/loading.tsx</t>
  </si>
  <si>
    <t>app/(dashboard)/dashboard/settings/security/page.tsx</t>
  </si>
  <si>
    <t>app/(dashboard)/dashboard/settings/preferences/page.tsx</t>
  </si>
  <si>
    <t>app/(dashboard)/dashboard/settings/account/page.tsx</t>
  </si>
  <si>
    <t>app/(dashboard)/loading.tsx</t>
  </si>
  <si>
    <t>app/(dashboard)/error.tsx</t>
  </si>
  <si>
    <t>app/(admin)/admin/page.tsx</t>
  </si>
  <si>
    <t>app/(admin)/admin/loading.tsx</t>
  </si>
  <si>
    <t>app/(admin)/admin/layout.tsx</t>
  </si>
  <si>
    <t>app/(admin)/admin/users/page.tsx</t>
  </si>
  <si>
    <t>app/(admin)/admin/users/loading.tsx</t>
  </si>
  <si>
    <t>app/(admin)/admin/users/[id]/page.tsx</t>
  </si>
  <si>
    <t>app/(admin)/admin/analytics/page.tsx</t>
  </si>
  <si>
    <t>app/(admin)/admin/analytics/loading.tsx</t>
  </si>
  <si>
    <t>app/(admin)/admin/api-usage/page.tsx</t>
  </si>
  <si>
    <t>app/(admin)/admin/api-usage/loading.tsx</t>
  </si>
  <si>
    <t>app/(admin)/admin/error-logs/page.tsx</t>
  </si>
  <si>
    <t>app/(admin)/admin/fraud/page.tsx</t>
  </si>
  <si>
    <t>app/(admin)/admin/fraud/loading.tsx</t>
  </si>
  <si>
    <t>app/(admin)/admin/fraud/alerts/page.tsx</t>
  </si>
  <si>
    <t>app/(admin)/admin/affiliates/page.tsx</t>
  </si>
  <si>
    <t>app/(admin)/admin/affiliates/loading.tsx</t>
  </si>
  <si>
    <t>app/(admin)/admin/affiliates/[id]/page.tsx</t>
  </si>
  <si>
    <t>app/(admin)/admin/affiliates/[id]/loading.tsx</t>
  </si>
  <si>
    <t>app/(admin)/admin/affiliates/reports/code-inventory/page.tsx</t>
  </si>
  <si>
    <t>app/(admin)/admin/affiliates/reports/commission-owings/page.tsx</t>
  </si>
  <si>
    <t>app/(admin)/admin/affiliates/reports/profit-loss/page.tsx</t>
  </si>
  <si>
    <t>app/(admin)/admin/affiliates/reports/sales-performance/page.tsx</t>
  </si>
  <si>
    <t>app/(admin)/admin/settings/page.tsx</t>
  </si>
  <si>
    <t>app/(admin)/admin/settings/affiliate/page.tsx</t>
  </si>
  <si>
    <t>app/(affiliate)/affiliate/login/page.tsx</t>
  </si>
  <si>
    <t>app/(affiliate)/affiliate/register/page.tsx</t>
  </si>
  <si>
    <t>app/(affiliate)/affiliate/verify-email/page.tsx</t>
  </si>
  <si>
    <t>app/(affiliate)/affiliate/dashboard/page.tsx</t>
  </si>
  <si>
    <t>app/(affiliate)/affiliate/dashboard/loading.tsx</t>
  </si>
  <si>
    <t>app/(affiliate)/affiliate/codes/page.tsx</t>
  </si>
  <si>
    <t>app/(affiliate)/affiliate/codes/loading.tsx</t>
  </si>
  <si>
    <t>app/(affiliate)/affiliate/reports/code-inventory/page.tsx</t>
  </si>
  <si>
    <t>app/(affiliate)/affiliate/reports/commissions/page.tsx</t>
  </si>
  <si>
    <t>app/(affiliate)/affiliate/reports/loading.tsx</t>
  </si>
  <si>
    <t>app/(affiliate)/affiliate/settings/page.tsx</t>
  </si>
  <si>
    <t>app/(affiliate)/affiliate/settings/profile/page.tsx</t>
  </si>
  <si>
    <t>app/(affiliate)/affiliate/settings/payment/page.tsx</t>
  </si>
  <si>
    <t>app/(affiliate)/affiliate/settings/loading.tsx</t>
  </si>
  <si>
    <t>app/(affiliate)/layout.tsx</t>
  </si>
  <si>
    <t>app/(affiliate)/loading.tsx</t>
  </si>
  <si>
    <t>app/(disbursement)/disbursement/page.tsx</t>
  </si>
  <si>
    <t>app/(disbursement)/disbursement/loading.tsx</t>
  </si>
  <si>
    <t>app/(disbursement)/disbursement/config/page.tsx</t>
  </si>
  <si>
    <t>app/(disbursement)/disbursement/batches/page.tsx</t>
  </si>
  <si>
    <t>app/(disbursement)/disbursement/batches/[id]/page.tsx</t>
  </si>
  <si>
    <t>app/(disbursement)/disbursement/transactions/page.tsx</t>
  </si>
  <si>
    <t>app/(disbursement)/disbursement/audit/page.tsx</t>
  </si>
  <si>
    <t>app/(disbursement)/disbursement/affiliates/page.tsx</t>
  </si>
  <si>
    <t>app/(disbursement)/disbursement/affiliates/[id]/page.tsx</t>
  </si>
  <si>
    <t>app/(disbursement)/disbursement/layout.tsx</t>
  </si>
  <si>
    <t>app/(disbursement)/disbursement/error.tsx</t>
  </si>
  <si>
    <t>app/layout.tsx - Root layout</t>
  </si>
  <si>
    <t>app/error.tsx - Global error boundary</t>
  </si>
  <si>
    <t>app/not-found.tsx - 404 page</t>
  </si>
  <si>
    <t>components/alerts/alert-filters.tsx</t>
  </si>
  <si>
    <t>components/alerts/alert-history.tsx</t>
  </si>
  <si>
    <t>components/alerts/alert-notification.tsx</t>
  </si>
  <si>
    <t>components/watchlist/watchlist-panel.tsx</t>
  </si>
  <si>
    <t>components/watchlist/add-to-watchlist.tsx</t>
  </si>
  <si>
    <t>components/watchlist/price-display.tsx</t>
  </si>
  <si>
    <t>components/charts/candlestick-chart.tsx</t>
  </si>
  <si>
    <t>components/charts/line-chart.tsx</t>
  </si>
  <si>
    <t>components/charts/indicator-overlay.tsx</t>
  </si>
  <si>
    <t>components/auth/forgot-password-form.tsx</t>
  </si>
  <si>
    <t>components/auth/reset-password-form.tsx</t>
  </si>
  <si>
    <t>components/auth/two-factor-form.tsx</t>
  </si>
  <si>
    <t>components/layout/main-nav.tsx</t>
  </si>
  <si>
    <t>components/layout/user-nav.tsx</t>
  </si>
  <si>
    <t>components/layout/breadcrumb.tsx</t>
  </si>
  <si>
    <t>components/layout/page-header.tsx</t>
  </si>
  <si>
    <t>components/dashboard/market-overview.tsx</t>
  </si>
  <si>
    <t>components/dashboard/performance-chart.tsx</t>
  </si>
  <si>
    <t>components/dashboard/quick-actions.tsx</t>
  </si>
  <si>
    <t>components/dashboard/notification-center.tsx</t>
  </si>
  <si>
    <t>components/subscription/pricing-card.tsx</t>
  </si>
  <si>
    <t>components/subscription/plan-comparison.tsx</t>
  </si>
  <si>
    <t>components/subscription/upgrade-modal.tsx</t>
  </si>
  <si>
    <t>components/subscription/billing-history.tsx</t>
  </si>
  <si>
    <t>components/payment/checkout-form.tsx</t>
  </si>
  <si>
    <t>components/payment/payment-method-selector.tsx</t>
  </si>
  <si>
    <t>components/payment/stripe-checkout.tsx</t>
  </si>
  <si>
    <t>components/payment/dlocal-checkout.tsx</t>
  </si>
  <si>
    <t>components/payment/invoice-list.tsx</t>
  </si>
  <si>
    <t>components/settings/profile-form.tsx</t>
  </si>
  <si>
    <t>components/settings/password-form.tsx</t>
  </si>
  <si>
    <t>components/settings/preferences-form.tsx</t>
  </si>
  <si>
    <t>components/settings/session-manager.tsx</t>
  </si>
  <si>
    <t>components/settings/account-deletion.tsx</t>
  </si>
  <si>
    <t>components/admin/user-table.tsx</t>
  </si>
  <si>
    <t>components/admin/analytics-dashboard.tsx</t>
  </si>
  <si>
    <t>components/admin/api-usage-chart.tsx</t>
  </si>
  <si>
    <t>components/admin/error-log-viewer.tsx</t>
  </si>
  <si>
    <t>components/admin/fraud-alert-card.tsx</t>
  </si>
  <si>
    <t>components/admin/commission-table.tsx</t>
  </si>
  <si>
    <t>components/admin/settings-form.tsx</t>
  </si>
  <si>
    <t>components/affiliate/stats-overview.tsx</t>
  </si>
  <si>
    <t>components/affiliate/code-list.tsx</t>
  </si>
  <si>
    <t>components/affiliate/commission-chart.tsx</t>
  </si>
  <si>
    <t>components/affiliate/payment-form.tsx</t>
  </si>
  <si>
    <t>components/affiliate/referral-link.tsx</t>
  </si>
  <si>
    <t>components/ui/button.tsx</t>
  </si>
  <si>
    <t>components/ui/input.tsx</t>
  </si>
  <si>
    <t>components/ui/card.tsx</t>
  </si>
  <si>
    <t>components/ui/dialog.tsx</t>
  </si>
  <si>
    <t>components/ui/dropdown-menu.tsx</t>
  </si>
  <si>
    <t>components/ui/select.tsx</t>
  </si>
  <si>
    <t>components/ui/table.tsx</t>
  </si>
  <si>
    <t>components/ui/tabs.tsx</t>
  </si>
  <si>
    <t>components/ui/toast.tsx</t>
  </si>
  <si>
    <t>components/ui/alert.tsx</t>
  </si>
  <si>
    <t>components/ui/badge.tsx</t>
  </si>
  <si>
    <t>components/ui/checkbox.tsx</t>
  </si>
  <si>
    <t>components/ui/label.tsx</t>
  </si>
  <si>
    <t>components/ui/form.tsx</t>
  </si>
  <si>
    <t>components/ui/switch.tsx</t>
  </si>
  <si>
    <t>components/ui/tooltip.tsx</t>
  </si>
  <si>
    <t>components/ui/avatar.tsx</t>
  </si>
  <si>
    <t>components/ui/skeleton.tsx</t>
  </si>
  <si>
    <t>app/error.tsx</t>
  </si>
  <si>
    <t>app/not-found.tsx</t>
  </si>
  <si>
    <t>Frontend UI file inventory from frontend/*</t>
  </si>
  <si>
    <t>Frontend UI file inventory from root directory (Monolith Architecture)</t>
  </si>
  <si>
    <t>Frontend files exist in frontend/* but not in root</t>
  </si>
  <si>
    <t>Frontend files exist in root but not in frontend/*</t>
  </si>
  <si>
    <t xml:space="preserve"> frontend/app/(auth)/forgot-password/page.tsx                                  </t>
  </si>
  <si>
    <t xml:space="preserve"> frontend/app/(auth)/layout.tsx                                                </t>
  </si>
  <si>
    <t xml:space="preserve"> frontend/app/(auth)/loading.tsx                                               </t>
  </si>
  <si>
    <t xml:space="preserve"> frontend/app/(auth)/login/page.tsx                                            </t>
  </si>
  <si>
    <t xml:space="preserve"> frontend/app/(auth)/register/page.tsx                                         </t>
  </si>
  <si>
    <t xml:space="preserve"> frontend/app/(auth)/reset-password/page.tsx                                   </t>
  </si>
  <si>
    <t xml:space="preserve"> frontend/app/(auth)/verify-2fa/page.tsx                                       </t>
  </si>
  <si>
    <t xml:space="preserve"> frontend/app/(auth)/verify-email/page.tsx                                     </t>
  </si>
  <si>
    <t xml:space="preserve"> frontend/app/(auth)/verify-email/pending/page.tsx                             </t>
  </si>
  <si>
    <t xml:space="preserve"> frontend/app/(dashboard)/admin/api-usage/page.tsx                             </t>
  </si>
  <si>
    <t xml:space="preserve"> frontend/app/(dashboard)/admin/disbursement/accounts/page.tsx                 </t>
  </si>
  <si>
    <t xml:space="preserve"> frontend/app/(dashboard)/admin/disbursement/affiliates/page.tsx               </t>
  </si>
  <si>
    <t xml:space="preserve"> frontend/app/(dashboard)/admin/disbursement/audit/page.tsx                    </t>
  </si>
  <si>
    <t xml:space="preserve"> frontend/app/(dashboard)/admin/disbursement/batches/[batchId]/page.tsx        </t>
  </si>
  <si>
    <t xml:space="preserve"> frontend/app/(dashboard)/admin/disbursement/batches/page.tsx                  </t>
  </si>
  <si>
    <t xml:space="preserve"> frontend/app/(dashboard)/admin/disbursement/config/page.tsx                   </t>
  </si>
  <si>
    <t xml:space="preserve"> frontend/app/(dashboard)/admin/disbursement/layout.tsx                        </t>
  </si>
  <si>
    <t xml:space="preserve"> frontend/app/(dashboard)/admin/disbursement/page.tsx                          </t>
  </si>
  <si>
    <t xml:space="preserve"> frontend/app/(dashboard)/admin/disbursement/transactions/page.tsx             </t>
  </si>
  <si>
    <t xml:space="preserve"> frontend/app/(dashboard)/admin/errors/page.tsx                                </t>
  </si>
  <si>
    <t xml:space="preserve"> frontend/app/(dashboard)/admin/fraud-alerts/[id]/page.tsx                     </t>
  </si>
  <si>
    <t xml:space="preserve"> frontend/app/(dashboard)/admin/fraud-alerts/page.tsx                          </t>
  </si>
  <si>
    <t xml:space="preserve"> frontend/app/(dashboard)/admin/layout.tsx                                     </t>
  </si>
  <si>
    <t xml:space="preserve"> frontend/app/(dashboard)/admin/loading.tsx                                    </t>
  </si>
  <si>
    <t xml:space="preserve"> frontend/app/(dashboard)/admin/page.tsx                                       </t>
  </si>
  <si>
    <t xml:space="preserve"> frontend/app/(dashboard)/admin/users/page.tsx                                 </t>
  </si>
  <si>
    <t xml:space="preserve"> frontend/app/(dashboard)/alerts/alerts-client.tsx                             </t>
  </si>
  <si>
    <t xml:space="preserve"> frontend/app/(dashboard)/alerts/loading.tsx                                   </t>
  </si>
  <si>
    <t xml:space="preserve"> frontend/app/(dashboard)/alerts/new/create-alert-client.tsx                   </t>
  </si>
  <si>
    <t xml:space="preserve"> frontend/app/(dashboard)/alerts/new/page.tsx                                  </t>
  </si>
  <si>
    <t xml:space="preserve"> frontend/app/(dashboard)/alerts/page.tsx                                      </t>
  </si>
  <si>
    <t xml:space="preserve"> frontend/app/(dashboard)/charts/[symbol]/[timeframe]/page.tsx                 </t>
  </si>
  <si>
    <t xml:space="preserve"> frontend/app/(dashboard)/charts/[symbol]/[timeframe]/trading-chart-client.tsx </t>
  </si>
  <si>
    <t xml:space="preserve"> frontend/app/(dashboard)/charts/loading.tsx                                   </t>
  </si>
  <si>
    <t xml:space="preserve"> frontend/app/(dashboard)/charts/page.tsx                                      </t>
  </si>
  <si>
    <t xml:space="preserve"> frontend/app/(dashboard)/dashboard/loading.tsx                                </t>
  </si>
  <si>
    <t xml:space="preserve"> frontend/app/(dashboard)/dashboard/page.tsx                                   </t>
  </si>
  <si>
    <t xml:space="preserve"> frontend/app/(dashboard)/layout.tsx                                           </t>
  </si>
  <si>
    <t xml:space="preserve"> frontend/app/(dashboard)/settings/account/page.tsx                            </t>
  </si>
  <si>
    <t xml:space="preserve"> frontend/app/(dashboard)/settings/appearance/page.tsx                         </t>
  </si>
  <si>
    <t xml:space="preserve"> frontend/app/(dashboard)/settings/billing/page.tsx                            </t>
  </si>
  <si>
    <t xml:space="preserve"> frontend/app/(dashboard)/settings/help/page.tsx                               </t>
  </si>
  <si>
    <t xml:space="preserve"> frontend/app/(dashboard)/settings/language/page.tsx                           </t>
  </si>
  <si>
    <t xml:space="preserve"> frontend/app/(dashboard)/settings/layout.tsx                                  </t>
  </si>
  <si>
    <t xml:space="preserve"> frontend/app/(dashboard)/settings/loading.tsx                                 </t>
  </si>
  <si>
    <t xml:space="preserve"> frontend/app/(dashboard)/settings/page.tsx                                    </t>
  </si>
  <si>
    <t xml:space="preserve"> frontend/app/(dashboard)/settings/privacy/page.tsx                            </t>
  </si>
  <si>
    <t xml:space="preserve"> frontend/app/(dashboard)/settings/profile/page.tsx                            </t>
  </si>
  <si>
    <t xml:space="preserve"> frontend/app/(dashboard)/settings/security/page.tsx                           </t>
  </si>
  <si>
    <t xml:space="preserve"> frontend/app/(dashboard)/settings/terms/page.tsx                              </t>
  </si>
  <si>
    <t xml:space="preserve"> frontend/app/(dashboard)/watchlist/page.tsx                                   </t>
  </si>
  <si>
    <t xml:space="preserve"> frontend/app/(dashboard)/watchlist/watchlist-client.tsx                       </t>
  </si>
  <si>
    <t xml:space="preserve"> frontend/app/(marketing)/landing-content.tsx                                  </t>
  </si>
  <si>
    <t xml:space="preserve"> frontend/app/(marketing)/layout.tsx                                           </t>
  </si>
  <si>
    <t xml:space="preserve"> frontend/app/(marketing)/page.tsx                                             </t>
  </si>
  <si>
    <t xml:space="preserve"> frontend/app/(marketing)/pricing/page.tsx                                     </t>
  </si>
  <si>
    <t xml:space="preserve"> frontend/app/admin/affiliates/[id]/page.tsx                                   </t>
  </si>
  <si>
    <t xml:space="preserve"> frontend/app/admin/affiliates/page.tsx                                        </t>
  </si>
  <si>
    <t xml:space="preserve"> frontend/app/admin/affiliates/reports/code-inventory/page.tsx                 </t>
  </si>
  <si>
    <t xml:space="preserve"> frontend/app/admin/affiliates/reports/commission-owings/page.tsx              </t>
  </si>
  <si>
    <t xml:space="preserve"> frontend/app/admin/affiliates/reports/profit-loss/page.tsx                    </t>
  </si>
  <si>
    <t xml:space="preserve"> frontend/app/admin/affiliates/reports/sales-performance/page.tsx              </t>
  </si>
  <si>
    <t xml:space="preserve"> frontend/app/admin/login/page.tsx                                             </t>
  </si>
  <si>
    <t xml:space="preserve"> frontend/app/admin/settings/affiliate/page.tsx                                </t>
  </si>
  <si>
    <t xml:space="preserve"> frontend/app/affiliate/dashboard/codes/page.tsx                               </t>
  </si>
  <si>
    <t xml:space="preserve"> frontend/app/affiliate/dashboard/commissions/page.tsx                         </t>
  </si>
  <si>
    <t xml:space="preserve"> frontend/app/affiliate/dashboard/layout.tsx                                   </t>
  </si>
  <si>
    <t xml:space="preserve"> frontend/app/affiliate/dashboard/page.tsx                                     </t>
  </si>
  <si>
    <t xml:space="preserve"> frontend/app/affiliate/dashboard/profile/page.tsx                             </t>
  </si>
  <si>
    <t xml:space="preserve"> frontend/app/affiliate/dashboard/profile/payment/page.tsx                     </t>
  </si>
  <si>
    <t xml:space="preserve"> frontend/app/affiliate/layout.tsx                                             </t>
  </si>
  <si>
    <t xml:space="preserve"> frontend/app/affiliate/register/layout.tsx                                    </t>
  </si>
  <si>
    <t xml:space="preserve"> frontend/app/affiliate/register/page.tsx                                      </t>
  </si>
  <si>
    <t xml:space="preserve"> frontend/app/affiliate/verify/layout.tsx                                      </t>
  </si>
  <si>
    <t xml:space="preserve"> frontend/app/affiliate/verify/page.tsx                                        </t>
  </si>
  <si>
    <t xml:space="preserve"> frontend/app/api-test/page.tsx                                                </t>
  </si>
  <si>
    <t xml:space="preserve"> frontend/app/checkout/page.tsx                                                </t>
  </si>
  <si>
    <t xml:space="preserve"> frontend/app/error.tsx                                                        </t>
  </si>
  <si>
    <t xml:space="preserve"> frontend/app/layout.tsx                                                       </t>
  </si>
  <si>
    <t xml:space="preserve"> frontend/app/providers.tsx                                                    </t>
  </si>
  <si>
    <t xml:space="preserve"> frontend/components/admin/FraudAlertCard.tsx                                  </t>
  </si>
  <si>
    <t xml:space="preserve"> frontend/components/admin/FraudPatternBadge.tsx                               </t>
  </si>
  <si>
    <t xml:space="preserve"> frontend/components/admin/affiliate-filters.tsx                               </t>
  </si>
  <si>
    <t xml:space="preserve"> frontend/components/admin/affiliate-stats-banner.tsx                          </t>
  </si>
  <si>
    <t xml:space="preserve"> frontend/components/admin/affiliate-table.tsx                                 </t>
  </si>
  <si>
    <t xml:space="preserve"> frontend/components/admin/code-inventory-chart.tsx                            </t>
  </si>
  <si>
    <t xml:space="preserve"> frontend/components/admin/commission-owings-table.tsx                         </t>
  </si>
  <si>
    <t xml:space="preserve"> frontend/components/admin/distribute-codes-modal.tsx                          </t>
  </si>
  <si>
    <t xml:space="preserve"> frontend/components/admin/pay-commission-modal.tsx                            </t>
  </si>
  <si>
    <t xml:space="preserve"> frontend/components/admin/pnl-breakdown-table.tsx                             </t>
  </si>
  <si>
    <t xml:space="preserve"> frontend/components/admin/pnl-summary-cards.tsx                               </t>
  </si>
  <si>
    <t xml:space="preserve"> frontend/components/admin/pnl-trend-chart.tsx                                 </t>
  </si>
  <si>
    <t xml:space="preserve"> frontend/components/admin/sales-performance-table.tsx                         </t>
  </si>
  <si>
    <t xml:space="preserve"> frontend/components/admin/suspend-affiliate-modal.tsx                         </t>
  </si>
  <si>
    <t xml:space="preserve"> frontend/components/affiliate/code-table.tsx                                  </t>
  </si>
  <si>
    <t xml:space="preserve"> frontend/components/affiliate/commission-table.tsx                            </t>
  </si>
  <si>
    <t xml:space="preserve"> frontend/components/affiliate/stats-card.tsx                                  </t>
  </si>
  <si>
    <t xml:space="preserve"> frontend/components/alerts/alert-card.tsx                                     </t>
  </si>
  <si>
    <t xml:space="preserve"> frontend/components/alerts/alert-form.tsx                                     </t>
  </si>
  <si>
    <t xml:space="preserve"> frontend/components/alerts/alert-list.tsx                                     </t>
  </si>
  <si>
    <t xml:space="preserve"> frontend/components/auth/login-form.tsx                                       </t>
  </si>
  <si>
    <t xml:space="preserve"> frontend/components/auth/login-tracker.tsx                                    </t>
  </si>
  <si>
    <t xml:space="preserve"> frontend/components/auth/register-form.tsx                                    </t>
  </si>
  <si>
    <t xml:space="preserve"> frontend/components/auth/social-auth-buttons.tsx                              </t>
  </si>
  <si>
    <t xml:space="preserve"> frontend/components/billing/invoice-list.tsx                                  </t>
  </si>
  <si>
    <t xml:space="preserve"> frontend/components/billing/subscription-card.tsx                             </t>
  </si>
  <si>
    <t xml:space="preserve"> frontend/components/charts/chart-controls.tsx                                 </t>
  </si>
  <si>
    <t xml:space="preserve"> frontend/components/charts/indicator-toggles.tsx                              </t>
  </si>
  <si>
    <t xml:space="preserve"> frontend/components/charts/pro-indicator-overlay.tsx                          </t>
  </si>
  <si>
    <t xml:space="preserve"> frontend/components/charts/timeframe-selector.tsx                             </t>
  </si>
  <si>
    <t xml:space="preserve"> frontend/components/charts/trading-chart.tsx                                  </t>
  </si>
  <si>
    <t xml:space="preserve"> frontend/components/dashboard/recent-alerts.tsx                               </t>
  </si>
  <si>
    <t xml:space="preserve"> frontend/components/dashboard/stats-card.tsx                                  </t>
  </si>
  <si>
    <t xml:space="preserve"> frontend/components/dashboard/upgrade-prompt.tsx                              </t>
  </si>
  <si>
    <t xml:space="preserve"> frontend/components/dashboard/watchlist-widget.tsx                            </t>
  </si>
  <si>
    <t xml:space="preserve"> frontend/components/indicators/indicator-selector.tsx                         </t>
  </si>
  <si>
    <t xml:space="preserve"> frontend/components/layout/footer.tsx                                         </t>
  </si>
  <si>
    <t xml:space="preserve"> frontend/components/layout/header.tsx                                         </t>
  </si>
  <si>
    <t xml:space="preserve"> frontend/components/layout/mobile-nav.tsx                                     </t>
  </si>
  <si>
    <t xml:space="preserve"> frontend/components/layout/sidebar.tsx                                        </t>
  </si>
  <si>
    <t xml:space="preserve"> frontend/components/notifications/notification-bell.tsx                       </t>
  </si>
  <si>
    <t xml:space="preserve"> frontend/components/notifications/notification-list.tsx                       </t>
  </si>
  <si>
    <t xml:space="preserve"> frontend/components/payments/CountrySelector.tsx                              </t>
  </si>
  <si>
    <t xml:space="preserve"> frontend/components/payments/DiscountCodeInput.tsx                            </t>
  </si>
  <si>
    <t xml:space="preserve"> frontend/components/payments/PaymentButton.tsx                                </t>
  </si>
  <si>
    <t xml:space="preserve"> frontend/components/payments/PaymentMethodSelector.tsx                        </t>
  </si>
  <si>
    <t xml:space="preserve"> frontend/components/payments/PlanSelector.tsx                                 </t>
  </si>
  <si>
    <t xml:space="preserve"> frontend/components/payments/PriceDisplay.tsx                                 </t>
  </si>
  <si>
    <t xml:space="preserve"> frontend/components/pricing/tier-comparison.tsx                               </t>
  </si>
  <si>
    <t xml:space="preserve"> frontend/components/providers/theme-provider.tsx                              </t>
  </si>
  <si>
    <t xml:space="preserve"> frontend/components/providers/websocket-provider.tsx                          </t>
  </si>
  <si>
    <t xml:space="preserve"> frontend/components/theme-toggle.tsx                                          </t>
  </si>
  <si>
    <t xml:space="preserve"> frontend/components/ui/alert-dialog.tsx                                       </t>
  </si>
  <si>
    <t xml:space="preserve"> frontend/components/ui/avatar.tsx                                             </t>
  </si>
  <si>
    <t xml:space="preserve"> frontend/components/ui/badge.tsx                                              </t>
  </si>
  <si>
    <t xml:space="preserve"> frontend/components/ui/breadcrumb.tsx                                         </t>
  </si>
  <si>
    <t xml:space="preserve"> frontend/components/ui/button.tsx                                             </t>
  </si>
  <si>
    <t xml:space="preserve"> frontend/components/ui/card.tsx                                               </t>
  </si>
  <si>
    <t xml:space="preserve"> frontend/components/ui/dialog.tsx                                             </t>
  </si>
  <si>
    <t xml:space="preserve"> frontend/components/ui/dropdown-menu.tsx                                      </t>
  </si>
  <si>
    <t xml:space="preserve"> frontend/components/ui/input.tsx                                              </t>
  </si>
  <si>
    <t xml:space="preserve"> frontend/components/ui/label.tsx                                              </t>
  </si>
  <si>
    <t xml:space="preserve"> frontend/components/ui/pagination.tsx                                         </t>
  </si>
  <si>
    <t xml:space="preserve"> frontend/components/ui/popover.tsx                                            </t>
  </si>
  <si>
    <t xml:space="preserve"> frontend/components/ui/progress.tsx                                           </t>
  </si>
  <si>
    <t xml:space="preserve"> frontend/components/ui/scroll-area.tsx                                        </t>
  </si>
  <si>
    <t xml:space="preserve"> frontend/components/ui/select.tsx                                             </t>
  </si>
  <si>
    <t xml:space="preserve"> frontend/components/ui/separator.tsx                                          </t>
  </si>
  <si>
    <t xml:space="preserve"> frontend/components/ui/sheet.tsx                                              </t>
  </si>
  <si>
    <t xml:space="preserve"> frontend/components/ui/skeleton.tsx                                           </t>
  </si>
  <si>
    <t xml:space="preserve"> frontend/components/ui/switch.tsx                                             </t>
  </si>
  <si>
    <t xml:space="preserve"> frontend/components/ui/tabs.tsx                                               </t>
  </si>
  <si>
    <t xml:space="preserve"> frontend/components/ui/toast-container.tsx                                    </t>
  </si>
  <si>
    <t xml:space="preserve"> frontend/components/ui/upgrade-button.tsx                                     </t>
  </si>
  <si>
    <t xml:space="preserve"> frontend/components/watchlist/symbol-selector.tsx                             </t>
  </si>
  <si>
    <t xml:space="preserve"> frontend/components/watchlist/timeframe-grid.tsx                              </t>
  </si>
  <si>
    <t xml:space="preserve"> frontend/components/watchlist/watchlist-item.tsx                              </t>
  </si>
  <si>
    <t xml:space="preserve"> frontend/lib/email/templates/affiliate/code-distributed.tsx                   </t>
  </si>
  <si>
    <t xml:space="preserve"> frontend/lib/email/templates/affiliate/code-used.tsx                          </t>
  </si>
  <si>
    <t xml:space="preserve"> frontend/lib/email/templates/affiliate/monthly-report.tsx                     </t>
  </si>
  <si>
    <t xml:space="preserve"> frontend/lib/email/templates/affiliate/payment-processed.tsx                  </t>
  </si>
  <si>
    <t xml:space="preserve"> frontend/lib/email/templates/affiliate/welcome.tsx                            </t>
  </si>
  <si>
    <t xml:space="preserve"> `app/(auth)/forgot-password/page.tsx`      </t>
  </si>
  <si>
    <t xml:space="preserve"> `app/(auth)/layout.tsx`                    </t>
  </si>
  <si>
    <t xml:space="preserve"> `app/(auth)/login/page.tsx`                </t>
  </si>
  <si>
    <t xml:space="preserve"> `app/(auth)/register/page.tsx`             </t>
  </si>
  <si>
    <t xml:space="preserve"> `app/(auth)/reset-password/page.tsx`       </t>
  </si>
  <si>
    <t xml:space="preserve"> `app/(auth)/verify-2fa/page.tsx`           </t>
  </si>
  <si>
    <t xml:space="preserve"> `app/(auth)/verify-email/page.tsx`         </t>
  </si>
  <si>
    <t xml:space="preserve"> `app/(dashboard)/admin/api-usage/page.tsx`                      </t>
  </si>
  <si>
    <t xml:space="preserve"> `app/(dashboard)/admin/disbursement/accounts/page.tsx`          </t>
  </si>
  <si>
    <t xml:space="preserve"> `app/(dashboard)/admin/disbursement/affiliates/page.tsx`        </t>
  </si>
  <si>
    <t xml:space="preserve"> `app/(dashboard)/admin/disbursement/audit/page.tsx`             </t>
  </si>
  <si>
    <t xml:space="preserve"> `app/(dashboard)/admin/disbursement/batches/page.tsx`           </t>
  </si>
  <si>
    <t xml:space="preserve"> `app/(dashboard)/admin/disbursement/config/page.tsx`            </t>
  </si>
  <si>
    <t xml:space="preserve"> `app/(dashboard)/admin/disbursement/layout.tsx`                 </t>
  </si>
  <si>
    <t xml:space="preserve"> `app/(dashboard)/admin/disbursement/page.tsx`                   </t>
  </si>
  <si>
    <t xml:space="preserve"> `app/(dashboard)/admin/disbursement/transactions/page.tsx`      </t>
  </si>
  <si>
    <t xml:space="preserve"> `app/(dashboard)/admin/errors/page.tsx`                         </t>
  </si>
  <si>
    <t xml:space="preserve"> `app/(dashboard)/admin/fraud-alerts/[id]/page.tsx`              </t>
  </si>
  <si>
    <t xml:space="preserve"> `app/(dashboard)/admin/fraud-alerts/page.tsx`                   </t>
  </si>
  <si>
    <t xml:space="preserve"> `app/(dashboard)/admin/layout.tsx`                              </t>
  </si>
  <si>
    <t xml:space="preserve"> `app/(dashboard)/admin/page.tsx`                                </t>
  </si>
  <si>
    <t xml:space="preserve"> `app/(dashboard)/admin/users/page.tsx`                          </t>
  </si>
  <si>
    <t xml:space="preserve"> `app/(dashboard)/alerts/alerts-client.tsx`           </t>
  </si>
  <si>
    <t xml:space="preserve"> `app/(dashboard)/alerts/new/page.tsx`                </t>
  </si>
  <si>
    <t xml:space="preserve"> `app/(dashboard)/alerts/page.tsx`                    </t>
  </si>
  <si>
    <t xml:space="preserve"> `app/(dashboard)/charts/[symbol]/[timeframe]/page.tsx`                 </t>
  </si>
  <si>
    <t xml:space="preserve"> `app/(dashboard)/charts/page.tsx`                                      </t>
  </si>
  <si>
    <t xml:space="preserve"> `app/(dashboard)/layout.tsx`         </t>
  </si>
  <si>
    <t xml:space="preserve"> `app/(dashboard)/settings/account/page.tsx`    </t>
  </si>
  <si>
    <t xml:space="preserve"> `app/(dashboard)/settings/billing/page.tsx`    </t>
  </si>
  <si>
    <t xml:space="preserve"> `app/(dashboard)/settings/help/page.tsx`       </t>
  </si>
  <si>
    <t xml:space="preserve"> `app/(dashboard)/settings/language/page.tsx`   </t>
  </si>
  <si>
    <t xml:space="preserve"> `app/(dashboard)/settings/layout.tsx`          </t>
  </si>
  <si>
    <t xml:space="preserve"> `app/(dashboard)/settings/page.tsx`            </t>
  </si>
  <si>
    <t xml:space="preserve"> `app/(dashboard)/settings/privacy/page.tsx`    </t>
  </si>
  <si>
    <t xml:space="preserve"> `app/(dashboard)/settings/profile/page.tsx`    </t>
  </si>
  <si>
    <t xml:space="preserve"> `app/(dashboard)/settings/security/page.tsx`   </t>
  </si>
  <si>
    <t xml:space="preserve"> `app/(dashboard)/settings/terms/page.tsx`      </t>
  </si>
  <si>
    <t xml:space="preserve"> `app/(dashboard)/watchlist/page.tsx`             </t>
  </si>
  <si>
    <t xml:space="preserve"> `app/(marketing)/landing-content.tsx` </t>
  </si>
  <si>
    <t xml:space="preserve"> `app/(marketing)/layout.tsx`          </t>
  </si>
  <si>
    <t xml:space="preserve"> `app/(marketing)/page.tsx`            </t>
  </si>
  <si>
    <t xml:space="preserve"> `app/(marketing)/pricing/page.tsx`    </t>
  </si>
  <si>
    <t xml:space="preserve"> `app/admin/affiliates/[id]/page.tsx`                      </t>
  </si>
  <si>
    <t xml:space="preserve"> `app/admin/affiliates/page.tsx`                           </t>
  </si>
  <si>
    <t xml:space="preserve"> `app/admin/affiliates/reports/code-inventory/page.tsx`    </t>
  </si>
  <si>
    <t xml:space="preserve"> `app/admin/affiliates/reports/profit-loss/page.tsx`       </t>
  </si>
  <si>
    <t xml:space="preserve"> `app/admin/login/page.tsx`                                </t>
  </si>
  <si>
    <t xml:space="preserve"> `app/admin/settings/affiliate/page.tsx`                   </t>
  </si>
  <si>
    <t xml:space="preserve"> `app/affiliate/dashboard/codes/page.tsx`           </t>
  </si>
  <si>
    <t xml:space="preserve"> `app/affiliate/dashboard/commissions/page.tsx`     </t>
  </si>
  <si>
    <t xml:space="preserve"> `app/affiliate/dashboard/layout.tsx`               </t>
  </si>
  <si>
    <t xml:space="preserve"> `app/affiliate/dashboard/page.tsx`                 </t>
  </si>
  <si>
    <t xml:space="preserve"> `app/affiliate/dashboard/profile/page.tsx`         </t>
  </si>
  <si>
    <t xml:space="preserve"> `app/affiliate/layout.tsx`                         </t>
  </si>
  <si>
    <t xml:space="preserve"> `app/affiliate/register/layout.tsx`                </t>
  </si>
  <si>
    <t xml:space="preserve"> `app/affiliate/register/page.tsx`                  </t>
  </si>
  <si>
    <t xml:space="preserve"> `app/affiliate/verify/layout.tsx`                  </t>
  </si>
  <si>
    <t xml:space="preserve"> `app/affiliate/verify/page.tsx`                    </t>
  </si>
  <si>
    <t xml:space="preserve"> `app/error.tsx`         </t>
  </si>
  <si>
    <t xml:space="preserve"> `app/layout.tsx`        </t>
  </si>
  <si>
    <t xml:space="preserve"> `app/providers.tsx`     </t>
  </si>
  <si>
    <t xml:space="preserve"> `app/test-api/page.tsx` </t>
  </si>
  <si>
    <t xml:space="preserve"> `components/admin/FraudAlertCard.tsx`          </t>
  </si>
  <si>
    <t xml:space="preserve"> `components/admin/FraudPatternBadge.tsx`       </t>
  </si>
  <si>
    <t xml:space="preserve"> `components/admin/affiliate-filters.tsx`       </t>
  </si>
  <si>
    <t xml:space="preserve"> `components/admin/affiliate-stats-banner.tsx`  </t>
  </si>
  <si>
    <t xml:space="preserve"> `components/admin/affiliate-table.tsx`         </t>
  </si>
  <si>
    <t xml:space="preserve"> `components/admin/code-inventory-chart.tsx`    </t>
  </si>
  <si>
    <t xml:space="preserve"> `components/admin/distribute-codes-modal.tsx`  </t>
  </si>
  <si>
    <t xml:space="preserve"> `components/admin/pay-commission-modal.tsx`    </t>
  </si>
  <si>
    <t xml:space="preserve"> `components/admin/pnl-breakdown-table.tsx`     </t>
  </si>
  <si>
    <t xml:space="preserve"> `components/admin/pnl-summary-cards.tsx`       </t>
  </si>
  <si>
    <t xml:space="preserve"> `components/admin/pnl-trend-chart.tsx`         </t>
  </si>
  <si>
    <t xml:space="preserve"> `components/affiliate/code-table.tsx`       </t>
  </si>
  <si>
    <t xml:space="preserve"> `components/affiliate/stats-card.tsx`       </t>
  </si>
  <si>
    <t xml:space="preserve"> `components/auth/login-form.tsx`          </t>
  </si>
  <si>
    <t xml:space="preserve"> `components/auth/login-tracker.tsx`       </t>
  </si>
  <si>
    <t xml:space="preserve"> `components/auth/register-form.tsx`       </t>
  </si>
  <si>
    <t xml:space="preserve"> `components/billing/invoice-list.tsx`      </t>
  </si>
  <si>
    <t xml:space="preserve"> `components/charts/chart-controls.tsx`        </t>
  </si>
  <si>
    <t xml:space="preserve"> `components/charts/indicator-toggles.tsx`     </t>
  </si>
  <si>
    <t xml:space="preserve"> `components/charts/timeframe-selector.tsx`    </t>
  </si>
  <si>
    <t xml:space="preserve"> `components/charts/trading-chart.tsx`         </t>
  </si>
  <si>
    <t xml:space="preserve"> `components/dashboard/recent-alerts.tsx`    </t>
  </si>
  <si>
    <t xml:space="preserve"> `components/dashboard/stats-card.tsx`       </t>
  </si>
  <si>
    <t xml:space="preserve"> `components/dashboard/upgrade-prompt.tsx`   </t>
  </si>
  <si>
    <t xml:space="preserve"> `components/indicators/indicator-selector.tsx` </t>
  </si>
  <si>
    <t xml:space="preserve"> `components/layout/footer.tsx`     </t>
  </si>
  <si>
    <t xml:space="preserve"> `components/layout/header.tsx`     </t>
  </si>
  <si>
    <t xml:space="preserve"> `components/layout/sidebar.tsx`    </t>
  </si>
  <si>
    <t xml:space="preserve"> `components/payments/CountrySelector.tsx`       </t>
  </si>
  <si>
    <t xml:space="preserve"> `components/payments/DiscountCodeInput.tsx`     </t>
  </si>
  <si>
    <t xml:space="preserve"> `components/payments/PaymentButton.tsx`         </t>
  </si>
  <si>
    <t xml:space="preserve"> `components/payments/PlanSelector.tsx`          </t>
  </si>
  <si>
    <t xml:space="preserve"> `components/payments/PriceDisplay.tsx`          </t>
  </si>
  <si>
    <t xml:space="preserve"> `components/providers/theme-provider.tsx`     </t>
  </si>
  <si>
    <t xml:space="preserve"> `components/providers/websocket-provider.tsx` </t>
  </si>
  <si>
    <t xml:space="preserve"> `components/ui/alert-dialog.tsx`    </t>
  </si>
  <si>
    <t xml:space="preserve"> `components/ui/avatar.tsx`          </t>
  </si>
  <si>
    <t xml:space="preserve"> `components/ui/badge.tsx`           </t>
  </si>
  <si>
    <t xml:space="preserve"> `components/ui/breadcrumb.tsx`      </t>
  </si>
  <si>
    <t xml:space="preserve"> `components/ui/button.tsx`          </t>
  </si>
  <si>
    <t xml:space="preserve"> `components/ui/card.tsx`            </t>
  </si>
  <si>
    <t xml:space="preserve"> `components/ui/dialog.tsx`          </t>
  </si>
  <si>
    <t xml:space="preserve"> `components/ui/dropdown-menu.tsx`   </t>
  </si>
  <si>
    <t xml:space="preserve"> `components/ui/input.tsx`           </t>
  </si>
  <si>
    <t xml:space="preserve"> `components/ui/label.tsx`           </t>
  </si>
  <si>
    <t xml:space="preserve"> `components/ui/pagination.tsx`      </t>
  </si>
  <si>
    <t xml:space="preserve"> `components/ui/popover.tsx`         </t>
  </si>
  <si>
    <t xml:space="preserve"> `components/ui/progress.tsx`        </t>
  </si>
  <si>
    <t xml:space="preserve"> `components/ui/scroll-area.tsx`     </t>
  </si>
  <si>
    <t xml:space="preserve"> `components/ui/select.tsx`          </t>
  </si>
  <si>
    <t xml:space="preserve"> `components/ui/separator.tsx`       </t>
  </si>
  <si>
    <t xml:space="preserve"> `components/ui/sheet.tsx`           </t>
  </si>
  <si>
    <t xml:space="preserve"> `components/ui/skeleton.tsx`        </t>
  </si>
  <si>
    <t xml:space="preserve"> `components/ui/switch.tsx`          </t>
  </si>
  <si>
    <t xml:space="preserve"> `components/ui/tabs.tsx`            </t>
  </si>
  <si>
    <t xml:space="preserve"> `components/ui/toast-container.tsx` </t>
  </si>
  <si>
    <t xml:space="preserve"> `components/ui/upgrade-button.tsx`  </t>
  </si>
  <si>
    <t xml:space="preserve"> `components/watchlist/timeframe-grid.tsx`  </t>
  </si>
  <si>
    <t xml:space="preserve"> `components/watchlist/watchlist-item.tsx`  </t>
  </si>
  <si>
    <t xml:space="preserve"> `components/theme-toggle.tsx` </t>
  </si>
  <si>
    <t xml:space="preserve"> `lib/email/templates/affiliate/code-distributed.tsx`  </t>
  </si>
  <si>
    <t xml:space="preserve"> `lib/email/templates/affiliate/code-used.tsx`         </t>
  </si>
  <si>
    <t xml:space="preserve"> `lib/email/templates/affiliate/monthly-report.tsx`    </t>
  </si>
  <si>
    <t xml:space="preserve"> `lib/email/templates/affiliate/payment-processed.tsx` </t>
  </si>
  <si>
    <t xml:space="preserve"> `lib/email/templates/affiliate/welcome.tsx`           </t>
  </si>
  <si>
    <t xml:space="preserve"> `emails/payment-confirmation.tsx` </t>
  </si>
  <si>
    <t xml:space="preserve"> `emails/payment-failure.tsx` </t>
  </si>
  <si>
    <t xml:space="preserve"> `emails/renewal-reminder.tsx` </t>
  </si>
  <si>
    <t xml:space="preserve"> `emails/subscription-expired.tsx` </t>
  </si>
  <si>
    <t xml:space="preserve"> `__tests__/components/admin/affiliate-filters.test.tsx` </t>
  </si>
  <si>
    <t xml:space="preserve"> `__tests__/components/admin/affiliate-stats-banner.test.tsx` </t>
  </si>
  <si>
    <t xml:space="preserve"> `__tests__/components/admin/code-inventory-chart.test.tsx` </t>
  </si>
  <si>
    <t xml:space="preserve"> `__tests__/components/admin/fraud-alert-card.test.tsx` </t>
  </si>
  <si>
    <t xml:space="preserve"> `__tests__/components/admin/fraud-pattern-badge.test.tsx` </t>
  </si>
  <si>
    <t xml:space="preserve"> `__tests__/components/admin/pnl-breakdown-table.test.tsx` </t>
  </si>
  <si>
    <t xml:space="preserve"> `__tests__/components/admin/pnl-summary-cards.test.tsx` </t>
  </si>
  <si>
    <t xml:space="preserve"> `__tests__/components/admin/sales-performance-table.test.tsx` </t>
  </si>
  <si>
    <t xml:space="preserve"> `__tests__/components/affiliate/code-table.test.tsx` </t>
  </si>
  <si>
    <t xml:space="preserve"> `__tests__/components/affiliate/commission-table.test.tsx` </t>
  </si>
  <si>
    <t xml:space="preserve"> `__tests__/components/affiliate/stats-card.test.tsx` </t>
  </si>
  <si>
    <t xml:space="preserve"> `__tests__/components/charts/indicator-toggles.test.tsx` </t>
  </si>
  <si>
    <t xml:space="preserve"> `__tests__/components/charts/pro-indicator-overlay.test.tsx` </t>
  </si>
  <si>
    <t xml:space="preserve"> `__tests__/components/charts/trading-chart.test.tsx` </t>
  </si>
  <si>
    <t xml:space="preserve"> `__tests__/components/dashboard/recent-alerts.test.tsx` </t>
  </si>
  <si>
    <t xml:space="preserve"> `__tests__/components/dashboard/stats-card.test.tsx` </t>
  </si>
  <si>
    <t xml:space="preserve"> `__tests__/components/dashboard/watchlist-widget.test.tsx` </t>
  </si>
  <si>
    <t xml:space="preserve"> `__tests__/components/layout/header.test.tsx` </t>
  </si>
  <si>
    <t xml:space="preserve"> `__tests__/components/payments/PlanSelector.test.tsx` </t>
  </si>
  <si>
    <t xml:space="preserve"> `__tests__/components/payments/PriceDisplay.test.tsx` </t>
  </si>
  <si>
    <t xml:space="preserve"> `__tests__/components/ui/button.test.tsx` </t>
  </si>
  <si>
    <t xml:space="preserve"> `__tests__/components/ui/card.test.tsx` </t>
  </si>
  <si>
    <t>app/(dashboard)/admin/errors/page.tsx</t>
  </si>
  <si>
    <t>app/(dashboard)/admin/fraud-alerts/[id]/page.tsx</t>
  </si>
  <si>
    <t>app/(dashboard)/admin/layout.tsx</t>
  </si>
  <si>
    <t>app/affiliate/dashboard/layout.tsx</t>
  </si>
  <si>
    <t>app/affiliate/layout.tsx</t>
  </si>
  <si>
    <t>app/affiliate/register/layout.tsx</t>
  </si>
  <si>
    <t>app/affiliate/verify/layout.tsx</t>
  </si>
  <si>
    <t>app/providers.tsx</t>
  </si>
  <si>
    <t>app/test-api/page.tsx</t>
  </si>
  <si>
    <t>components/auth/login-tracker.tsx</t>
  </si>
  <si>
    <t>components/indicators/indicator-selector.tsx</t>
  </si>
  <si>
    <t>components/providers/theme-provider.tsx</t>
  </si>
  <si>
    <t>components/providers/websocket-provider.tsx</t>
  </si>
  <si>
    <t>components/ui/alert-dialog.tsx</t>
  </si>
  <si>
    <t>components/ui/breadcrumb.tsx</t>
  </si>
  <si>
    <t>components/ui/pagination.tsx</t>
  </si>
  <si>
    <t>components/ui/popover.tsx</t>
  </si>
  <si>
    <t>components/ui/progress.tsx</t>
  </si>
  <si>
    <t>components/ui/scroll-area.tsx</t>
  </si>
  <si>
    <t>components/ui/separator.tsx</t>
  </si>
  <si>
    <t>components/ui/sheet.tsx</t>
  </si>
  <si>
    <t>components/ui/toast-container.tsx</t>
  </si>
  <si>
    <t>components/ui/upgrade-button.tsx</t>
  </si>
  <si>
    <t>components/theme-toggle.tsx</t>
  </si>
  <si>
    <t>lib/email/templates/affiliate/code-distributed.tsx</t>
  </si>
  <si>
    <t>lib/email/templates/affiliate/code-used.tsx</t>
  </si>
  <si>
    <t>lib/email/templates/affiliate/monthly-report.tsx</t>
  </si>
  <si>
    <t>lib/email/templates/affiliate/payment-processed.tsx</t>
  </si>
  <si>
    <t>lib/email/templates/affiliate/welcome.tsx</t>
  </si>
  <si>
    <t>emails/payment-confirmation.tsx</t>
  </si>
  <si>
    <t>emails/payment-failure.tsx</t>
  </si>
  <si>
    <t>emails/renewal-reminder.tsx</t>
  </si>
  <si>
    <t>emails/subscription-expired.tsx</t>
  </si>
  <si>
    <t>__tests__/components/admin/affiliate-filters.test.tsx</t>
  </si>
  <si>
    <t>__tests__/components/admin/affiliate-stats-banner.test.tsx</t>
  </si>
  <si>
    <t>__tests__/components/admin/code-inventory-chart.test.tsx</t>
  </si>
  <si>
    <t>__tests__/components/admin/fraud-alert-card.test.tsx</t>
  </si>
  <si>
    <t>__tests__/components/admin/fraud-pattern-badge.test.tsx</t>
  </si>
  <si>
    <t>__tests__/components/admin/pnl-breakdown-table.test.tsx</t>
  </si>
  <si>
    <t>__tests__/components/admin/pnl-summary-cards.test.tsx</t>
  </si>
  <si>
    <t>__tests__/components/admin/sales-performance-table.test.tsx</t>
  </si>
  <si>
    <t>__tests__/components/affiliate/code-table.test.tsx</t>
  </si>
  <si>
    <t>__tests__/components/affiliate/commission-table.test.tsx</t>
  </si>
  <si>
    <t>__tests__/components/affiliate/stats-card.test.tsx</t>
  </si>
  <si>
    <t>__tests__/components/charts/indicator-toggles.test.tsx</t>
  </si>
  <si>
    <t>__tests__/components/charts/pro-indicator-overlay.test.tsx</t>
  </si>
  <si>
    <t>__tests__/components/charts/trading-chart.test.tsx</t>
  </si>
  <si>
    <t>__tests__/components/dashboard/recent-alerts.test.tsx</t>
  </si>
  <si>
    <t>__tests__/components/dashboard/stats-card.test.tsx</t>
  </si>
  <si>
    <t>__tests__/components/dashboard/watchlist-widget.test.tsx</t>
  </si>
  <si>
    <t>__tests__/components/layout/header.test.tsx</t>
  </si>
  <si>
    <t>__tests__/components/payments/PlanSelector.test.tsx</t>
  </si>
  <si>
    <t>__tests__/components/payments/PriceDisplay.test.tsx</t>
  </si>
  <si>
    <t>__tests__/components/ui/button.test.tsx</t>
  </si>
  <si>
    <t>__tests__/components/ui/card.test.tsx</t>
  </si>
  <si>
    <t>FRONTEND</t>
  </si>
  <si>
    <t>MONOLITH</t>
  </si>
  <si>
    <t>app/(dashboard)/admin/loading.tsx</t>
  </si>
  <si>
    <t>app/(dashboard)/alerts/loading.tsx</t>
  </si>
  <si>
    <t>app/(dashboard)/charts/loading.tsx</t>
  </si>
  <si>
    <t>app/(dashboard)/settings/loading.tsx</t>
  </si>
  <si>
    <t>app/api-test/page.tsx</t>
  </si>
  <si>
    <t>Matched</t>
  </si>
  <si>
    <t xml:space="preserve"> frontend/.env.example                                                       </t>
  </si>
  <si>
    <t xml:space="preserve"> frontend/.env.sync-checklist                                                </t>
  </si>
  <si>
    <t xml:space="preserve"> frontend/.eslintrc.json                                                     </t>
  </si>
  <si>
    <t xml:space="preserve"> frontend/.gitignore                                                         </t>
  </si>
  <si>
    <t xml:space="preserve"> frontend/.prettierrc                                                        </t>
  </si>
  <si>
    <t xml:space="preserve"> frontend/app/api/admin/affiliates/[id]/distribute-codes/route.ts            </t>
  </si>
  <si>
    <t xml:space="preserve"> frontend/app/api/admin/affiliates/[id]/reactivate/route.ts                  </t>
  </si>
  <si>
    <t xml:space="preserve"> frontend/app/api/admin/affiliates/[id]/route.ts                             </t>
  </si>
  <si>
    <t xml:space="preserve"> frontend/app/api/admin/affiliates/[id]/suspend/route.ts                     </t>
  </si>
  <si>
    <t xml:space="preserve"> frontend/app/api/admin/affiliates/reports/code-inventory/route.ts           </t>
  </si>
  <si>
    <t xml:space="preserve"> frontend/app/api/admin/affiliates/reports/commission-owings/route.ts        </t>
  </si>
  <si>
    <t xml:space="preserve"> frontend/app/api/admin/affiliates/reports/profit-loss/route.ts              </t>
  </si>
  <si>
    <t xml:space="preserve"> frontend/app/api/admin/affiliates/reports/sales-performance/route.ts        </t>
  </si>
  <si>
    <t xml:space="preserve"> frontend/app/api/admin/affiliates/route.ts                                  </t>
  </si>
  <si>
    <t xml:space="preserve"> frontend/app/api/admin/analytics/route.ts                                   </t>
  </si>
  <si>
    <t xml:space="preserve"> frontend/app/api/admin/api-usage/route.ts                                   </t>
  </si>
  <si>
    <t xml:space="preserve"> frontend/app/api/admin/codes/[code]/cancel/route.ts                         </t>
  </si>
  <si>
    <t xml:space="preserve"> frontend/app/api/admin/commissions/pay/route.ts                             </t>
  </si>
  <si>
    <t xml:space="preserve"> frontend/app/api/admin/error-logs/route.ts                                  </t>
  </si>
  <si>
    <t xml:space="preserve"> frontend/app/api/admin/fraud-alerts/[id]/route.ts                           </t>
  </si>
  <si>
    <t xml:space="preserve"> frontend/app/api/admin/fraud-alerts/route.ts                                </t>
  </si>
  <si>
    <t xml:space="preserve"> frontend/app/api/admin/settings/affiliate/route.ts                          </t>
  </si>
  <si>
    <t xml:space="preserve"> frontend/app/api/admin/users/route.ts                                       </t>
  </si>
  <si>
    <t xml:space="preserve"> frontend/app/api/affiliate/auth/register/route.ts                           </t>
  </si>
  <si>
    <t xml:space="preserve"> frontend/app/api/affiliate/auth/verify-email/route.ts                       </t>
  </si>
  <si>
    <t xml:space="preserve"> frontend/app/api/affiliate/dashboard/code-inventory/route.ts                </t>
  </si>
  <si>
    <t xml:space="preserve"> frontend/app/api/affiliate/dashboard/codes/route.ts                         </t>
  </si>
  <si>
    <t xml:space="preserve"> frontend/app/api/affiliate/dashboard/commission-report/route.ts             </t>
  </si>
  <si>
    <t xml:space="preserve"> frontend/app/api/affiliate/dashboard/stats/route.ts                         </t>
  </si>
  <si>
    <t xml:space="preserve"> frontend/app/api/affiliate/profile/payment/route.ts                         </t>
  </si>
  <si>
    <t xml:space="preserve"> frontend/app/api/affiliate/profile/route.ts                                 </t>
  </si>
  <si>
    <t xml:space="preserve"> frontend/app/api/alerts/[id]/route.ts                                       </t>
  </si>
  <si>
    <t xml:space="preserve"> frontend/app/api/alerts/route.ts                                            </t>
  </si>
  <si>
    <t xml:space="preserve"> frontend/app/api/auth/[...nextauth]/route.ts                                </t>
  </si>
  <si>
    <t xml:space="preserve"> frontend/app/api/auth/forgot-password/route.ts                              </t>
  </si>
  <si>
    <t xml:space="preserve"> frontend/app/api/auth/register/route.ts                                     </t>
  </si>
  <si>
    <t xml:space="preserve"> frontend/app/api/auth/resend-verification/route.ts                          </t>
  </si>
  <si>
    <t xml:space="preserve"> frontend/app/api/auth/reset-password/route.ts                               </t>
  </si>
  <si>
    <t xml:space="preserve"> frontend/app/api/auth/track-login/route.ts                                  </t>
  </si>
  <si>
    <t xml:space="preserve"> frontend/app/api/auth/verify-email/route.ts                                 </t>
  </si>
  <si>
    <t xml:space="preserve"> frontend/app/api/checkout/route.ts                                          </t>
  </si>
  <si>
    <t xml:space="preserve"> frontend/app/api/checkout/validate-code/route.ts                            </t>
  </si>
  <si>
    <t xml:space="preserve"> frontend/app/api/config/affiliate/route.ts                                  </t>
  </si>
  <si>
    <t xml:space="preserve"> frontend/app/api/cron/check-expiring-subscriptions/route.ts                 </t>
  </si>
  <si>
    <t xml:space="preserve"> frontend/app/api/cron/daily-maintenance/route.ts                            </t>
  </si>
  <si>
    <t xml:space="preserve"> frontend/app/api/cron/distribute-codes/route.ts                             </t>
  </si>
  <si>
    <t xml:space="preserve"> frontend/app/api/cron/downgrade-expired-subscriptions/route.ts              </t>
  </si>
  <si>
    <t xml:space="preserve"> frontend/app/api/cron/expire-codes/route.ts                                 </t>
  </si>
  <si>
    <t xml:space="preserve"> frontend/app/api/cron/process-pending-disbursements/route.ts                </t>
  </si>
  <si>
    <t xml:space="preserve"> frontend/app/api/cron/send-monthly-reports/route.ts                         </t>
  </si>
  <si>
    <t xml:space="preserve"> frontend/app/api/cron/sync-riseworks-accounts/route.ts                      </t>
  </si>
  <si>
    <t xml:space="preserve"> frontend/app/api/disbursement/affiliates/[affiliateId]/commissions/route.ts </t>
  </si>
  <si>
    <t xml:space="preserve"> frontend/app/api/disbursement/affiliates/[affiliateId]/route.ts             </t>
  </si>
  <si>
    <t xml:space="preserve"> frontend/app/api/disbursement/affiliates/payable/route.ts                   </t>
  </si>
  <si>
    <t xml:space="preserve"> frontend/app/api/disbursement/audit-logs/route.ts                           </t>
  </si>
  <si>
    <t xml:space="preserve"> frontend/app/api/disbursement/batches/[batchId]/execute/route.ts            </t>
  </si>
  <si>
    <t xml:space="preserve"> frontend/app/api/disbursement/batches/[batchId]/route.ts                    </t>
  </si>
  <si>
    <t xml:space="preserve"> frontend/app/api/disbursement/batches/preview/route.ts                      </t>
  </si>
  <si>
    <t xml:space="preserve"> frontend/app/api/disbursement/batches/route.ts                              </t>
  </si>
  <si>
    <t xml:space="preserve"> frontend/app/api/disbursement/config/route.ts                               </t>
  </si>
  <si>
    <t xml:space="preserve"> frontend/app/api/disbursement/health/route.ts                               </t>
  </si>
  <si>
    <t xml:space="preserve"> frontend/app/api/disbursement/pay/route.ts                                  </t>
  </si>
  <si>
    <t xml:space="preserve"> frontend/app/api/disbursement/reports/affiliate/[affiliateId]/route.ts      </t>
  </si>
  <si>
    <t xml:space="preserve"> frontend/app/api/disbursement/reports/summary/route.ts                      </t>
  </si>
  <si>
    <t xml:space="preserve"> frontend/app/api/disbursement/riseworks/accounts/route.ts                   </t>
  </si>
  <si>
    <t xml:space="preserve"> frontend/app/api/disbursement/riseworks/sync/route.ts                       </t>
  </si>
  <si>
    <t xml:space="preserve"> frontend/app/api/disbursement/transactions/route.ts                         </t>
  </si>
  <si>
    <t xml:space="preserve"> frontend/app/api/invoices/route.ts                                          </t>
  </si>
  <si>
    <t xml:space="preserve"> frontend/app/api/notifications/[id]/read/route.ts                           </t>
  </si>
  <si>
    <t xml:space="preserve"> frontend/app/api/notifications/[id]/route.ts                                </t>
  </si>
  <si>
    <t xml:space="preserve"> frontend/app/api/notifications/route.ts                                     </t>
  </si>
  <si>
    <t xml:space="preserve"> frontend/app/api/payments/dlocal/[paymentId]/route.ts                       </t>
  </si>
  <si>
    <t xml:space="preserve"> frontend/app/api/payments/dlocal/check-three-day-eligibility/route.ts       </t>
  </si>
  <si>
    <t xml:space="preserve"> frontend/app/api/payments/dlocal/convert/route.ts                           </t>
  </si>
  <si>
    <t xml:space="preserve"> frontend/app/api/payments/dlocal/create/route.ts                            </t>
  </si>
  <si>
    <t xml:space="preserve"> frontend/app/api/payments/dlocal/exchange-rate/route.ts                     </t>
  </si>
  <si>
    <t xml:space="preserve"> frontend/app/api/payments/dlocal/methods/route.ts                           </t>
  </si>
  <si>
    <t xml:space="preserve"> frontend/app/api/payments/dlocal/validate-discount/route.ts                 </t>
  </si>
  <si>
    <t xml:space="preserve"> frontend/app/api/subscription/cancel/route.ts                               </t>
  </si>
  <si>
    <t xml:space="preserve"> frontend/app/api/subscription/route.ts                                      </t>
  </si>
  <si>
    <t xml:space="preserve"> frontend/app/api/test/seed/route.ts                                         </t>
  </si>
  <si>
    <t xml:space="preserve"> frontend/app/api/tier/check/[symbol]/route.ts                               </t>
  </si>
  <si>
    <t xml:space="preserve"> frontend/app/api/tier/combinations/route.ts                                 </t>
  </si>
  <si>
    <t xml:space="preserve"> frontend/app/api/tier/symbols/route.ts                                      </t>
  </si>
  <si>
    <t xml:space="preserve"> frontend/app/api/user/2fa/backup-codes/route.ts                             </t>
  </si>
  <si>
    <t xml:space="preserve"> frontend/app/api/user/2fa/disable/route.ts                                  </t>
  </si>
  <si>
    <t xml:space="preserve"> frontend/app/api/user/2fa/setup/route.ts                                    </t>
  </si>
  <si>
    <t xml:space="preserve"> frontend/app/api/user/2fa/verify-setup/route.ts                             </t>
  </si>
  <si>
    <t xml:space="preserve"> frontend/app/api/user/2fa/verify/route.ts                                   </t>
  </si>
  <si>
    <t xml:space="preserve"> frontend/app/api/user/account/deletion-cancel/route.ts                      </t>
  </si>
  <si>
    <t xml:space="preserve"> frontend/app/api/user/account/deletion-confirm/route.ts                     </t>
  </si>
  <si>
    <t xml:space="preserve"> frontend/app/api/user/account/deletion-request/route.ts                     </t>
  </si>
  <si>
    <t xml:space="preserve"> frontend/app/api/user/login-history/route.ts                                </t>
  </si>
  <si>
    <t xml:space="preserve"> frontend/app/api/user/password/route.ts                                     </t>
  </si>
  <si>
    <t xml:space="preserve"> frontend/app/api/user/preferences/route.ts                                  </t>
  </si>
  <si>
    <t xml:space="preserve"> frontend/app/api/user/profile/route.ts                                      </t>
  </si>
  <si>
    <t xml:space="preserve"> frontend/app/api/user/sessions/[id]/route.ts                                </t>
  </si>
  <si>
    <t xml:space="preserve"> frontend/app/api/user/sessions/route.ts                                     </t>
  </si>
  <si>
    <t xml:space="preserve"> frontend/app/api/watchlist/[id]/route.ts                                    </t>
  </si>
  <si>
    <t xml:space="preserve"> frontend/app/api/watchlist/reorder/route.ts                                 </t>
  </si>
  <si>
    <t xml:space="preserve"> frontend/app/api/watchlist/route.ts                                         </t>
  </si>
  <si>
    <t xml:space="preserve"> frontend/app/api/webhooks/dlocal/route.ts                                   </t>
  </si>
  <si>
    <t xml:space="preserve"> frontend/app/api/webhooks/riseworks/route.ts                                </t>
  </si>
  <si>
    <t xml:space="preserve"> frontend/app/api/webhooks/stripe/route.ts                                   </t>
  </si>
  <si>
    <t xml:space="preserve"> frontend/app/globals.css                                                    </t>
  </si>
  <si>
    <t xml:space="preserve"> frontend/components/affiliate/index.ts                                      </t>
  </si>
  <si>
    <t xml:space="preserve"> frontend/components/payments/index.ts                                       </t>
  </si>
  <si>
    <t xml:space="preserve"> frontend/hooks/use-alerts.ts                                                </t>
  </si>
  <si>
    <t xml:space="preserve"> frontend/hooks/use-api-client-example.ts                                    </t>
  </si>
  <si>
    <t xml:space="preserve"> frontend/hooks/use-auth.ts                                                  </t>
  </si>
  <si>
    <t xml:space="preserve"> frontend/hooks/use-indicators.ts                                            </t>
  </si>
  <si>
    <t xml:space="preserve"> frontend/hooks/use-login-tracking.ts                                        </t>
  </si>
  <si>
    <t xml:space="preserve"> frontend/hooks/use-optimistic-mutation.ts                                   </t>
  </si>
  <si>
    <t xml:space="preserve"> frontend/hooks/use-toast.ts                                                 </t>
  </si>
  <si>
    <t xml:space="preserve"> frontend/hooks/use-watchlist.ts                                             </t>
  </si>
  <si>
    <t xml:space="preserve"> frontend/hooks/use-websocket.ts                                             </t>
  </si>
  <si>
    <t xml:space="preserve"> frontend/lib/admin/affiliate-management.ts                                  </t>
  </si>
  <si>
    <t xml:space="preserve"> frontend/lib/admin/code-distribution.ts                                     </t>
  </si>
  <si>
    <t xml:space="preserve"> frontend/lib/admin/pnl-calculator.ts                                        </t>
  </si>
  <si>
    <t xml:space="preserve"> frontend/lib/affiliate/code-generator.ts                                    </t>
  </si>
  <si>
    <t xml:space="preserve"> frontend/lib/affiliate/commission-calculator.ts                             </t>
  </si>
  <si>
    <t xml:space="preserve"> frontend/lib/affiliate/constants.ts                                         </t>
  </si>
  <si>
    <t xml:space="preserve"> frontend/lib/affiliate/registration.ts                                      </t>
  </si>
  <si>
    <t xml:space="preserve"> frontend/lib/affiliate/report-builder.ts                                    </t>
  </si>
  <si>
    <t xml:space="preserve"> frontend/lib/affiliate/types.ts                                             </t>
  </si>
  <si>
    <t xml:space="preserve"> frontend/lib/affiliate/validators.ts                                        </t>
  </si>
  <si>
    <t xml:space="preserve"> frontend/lib/api-client.test.example.ts                                     </t>
  </si>
  <si>
    <t xml:space="preserve"> frontend/lib/api-client.ts                                                  </t>
  </si>
  <si>
    <t xml:space="preserve"> frontend/lib/api/index.ts                                                   </t>
  </si>
  <si>
    <t xml:space="preserve"> frontend/lib/api/mt5-client.ts                                              </t>
  </si>
  <si>
    <t xml:space="preserve"> frontend/lib/api/mt5-transform.ts                                           </t>
  </si>
  <si>
    <t xml:space="preserve"> frontend/lib/auth/auth-options.ts                                           </t>
  </si>
  <si>
    <t xml:space="preserve"> frontend/lib/auth/errors.ts                                                 </t>
  </si>
  <si>
    <t xml:space="preserve"> frontend/lib/auth/permissions.ts                                            </t>
  </si>
  <si>
    <t xml:space="preserve"> frontend/lib/auth/session-tracker.ts                                        </t>
  </si>
  <si>
    <t xml:space="preserve"> frontend/lib/auth/session.ts                                                </t>
  </si>
  <si>
    <t xml:space="preserve"> frontend/lib/auth/two-factor.ts                                             </t>
  </si>
  <si>
    <t xml:space="preserve"> frontend/lib/cache/cache-manager.ts                                         </t>
  </si>
  <si>
    <t xml:space="preserve"> frontend/lib/constants/business-rules.ts                                    </t>
  </si>
  <si>
    <t xml:space="preserve"> frontend/lib/cron/check-expiring-subscriptions.ts                           </t>
  </si>
  <si>
    <t xml:space="preserve"> frontend/lib/cron/downgrade-expired-subscriptions.ts                        </t>
  </si>
  <si>
    <t xml:space="preserve"> frontend/lib/cron/monthly-distribution.ts                                   </t>
  </si>
  <si>
    <t xml:space="preserve"> frontend/lib/csrf.ts                                                        </t>
  </si>
  <si>
    <t xml:space="preserve"> frontend/lib/db/prisma.ts                                                   </t>
  </si>
  <si>
    <t xml:space="preserve"> frontend/lib/db/seed.ts                                                     </t>
  </si>
  <si>
    <t xml:space="preserve"> frontend/lib/disbursement/constants.ts                                      </t>
  </si>
  <si>
    <t xml:space="preserve"> frontend/lib/disbursement/cron/disbursement-processor.ts                    </t>
  </si>
  <si>
    <t xml:space="preserve"> frontend/lib/disbursement/providers/base-provider.ts                        </t>
  </si>
  <si>
    <t xml:space="preserve"> frontend/lib/disbursement/providers/mock-provider.ts                        </t>
  </si>
  <si>
    <t xml:space="preserve"> frontend/lib/disbursement/providers/provider-factory.ts                     </t>
  </si>
  <si>
    <t xml:space="preserve"> frontend/lib/disbursement/providers/rise/amount-converter.ts                </t>
  </si>
  <si>
    <t xml:space="preserve"> frontend/lib/disbursement/providers/rise/rise-provider.ts                   </t>
  </si>
  <si>
    <t xml:space="preserve"> frontend/lib/disbursement/providers/rise/siwe-auth.ts                       </t>
  </si>
  <si>
    <t xml:space="preserve"> frontend/lib/disbursement/providers/rise/webhook-verifier.ts                </t>
  </si>
  <si>
    <t xml:space="preserve"> frontend/lib/disbursement/services/batch-manager.ts                         </t>
  </si>
  <si>
    <t xml:space="preserve"> frontend/lib/disbursement/services/commission-aggregator.ts                 </t>
  </si>
  <si>
    <t xml:space="preserve"> frontend/lib/disbursement/services/payment-orchestrator.ts                  </t>
  </si>
  <si>
    <t xml:space="preserve"> frontend/lib/disbursement/services/payout-calculator.ts                     </t>
  </si>
  <si>
    <t xml:space="preserve"> frontend/lib/disbursement/services/retry-handler.ts                         </t>
  </si>
  <si>
    <t xml:space="preserve"> frontend/lib/disbursement/services/transaction-logger.ts                    </t>
  </si>
  <si>
    <t xml:space="preserve"> frontend/lib/disbursement/services/transaction-service.ts                   </t>
  </si>
  <si>
    <t xml:space="preserve"> frontend/lib/disbursement/webhook/event-processor.ts                        </t>
  </si>
  <si>
    <t xml:space="preserve"> frontend/lib/dlocal/constants.ts                                            </t>
  </si>
  <si>
    <t xml:space="preserve"> frontend/lib/dlocal/currency-converter.service.ts                           </t>
  </si>
  <si>
    <t xml:space="preserve"> frontend/lib/dlocal/dlocal-payment.service.ts                               </t>
  </si>
  <si>
    <t xml:space="preserve"> frontend/lib/dlocal/payment-methods.service.ts                              </t>
  </si>
  <si>
    <t xml:space="preserve"> frontend/lib/dlocal/three-day-validator.service.ts                          </t>
  </si>
  <si>
    <t xml:space="preserve"> frontend/lib/email/email.ts                                                 </t>
  </si>
  <si>
    <t xml:space="preserve"> frontend/lib/email/subscription-emails.ts                                   </t>
  </si>
  <si>
    <t xml:space="preserve"> frontend/lib/errors/api-error.ts                                            </t>
  </si>
  <si>
    <t xml:space="preserve"> frontend/lib/errors/error-handler.ts                                        </t>
  </si>
  <si>
    <t xml:space="preserve"> frontend/lib/errors/error-logger.ts                                         </t>
  </si>
  <si>
    <t xml:space="preserve"> frontend/lib/fraud/fraud-detection.service.ts                               </t>
  </si>
  <si>
    <t xml:space="preserve"> frontend/lib/geo/detect-country.ts                                          </t>
  </si>
  <si>
    <t xml:space="preserve"> frontend/lib/hooks/useAffiliateConfig.ts                                    </t>
  </si>
  <si>
    <t xml:space="preserve"> frontend/lib/jobs/alert-checker.ts                                          </t>
  </si>
  <si>
    <t xml:space="preserve"> frontend/lib/jobs/queue.ts                                                  </t>
  </si>
  <si>
    <t xml:space="preserve"> frontend/lib/logger.ts                                                      </t>
  </si>
  <si>
    <t xml:space="preserve"> frontend/lib/monitoring/system-monitor.ts                                   </t>
  </si>
  <si>
    <t xml:space="preserve"> frontend/lib/preferences/defaults.ts                                        </t>
  </si>
  <si>
    <t xml:space="preserve"> frontend/lib/rate-limit.ts                                                  </t>
  </si>
  <si>
    <t xml:space="preserve"> frontend/lib/redis/client.ts                                                </t>
  </si>
  <si>
    <t xml:space="preserve"> frontend/lib/security/device-detection.ts                                   </t>
  </si>
  <si>
    <t xml:space="preserve"> frontend/lib/stripe/stripe.ts                                               </t>
  </si>
  <si>
    <t xml:space="preserve"> frontend/lib/stripe/webhook-handlers.ts                                     </t>
  </si>
  <si>
    <t xml:space="preserve"> frontend/lib/tier-config.ts                                                 </t>
  </si>
  <si>
    <t xml:space="preserve"> frontend/lib/tier-helpers.ts                                                </t>
  </si>
  <si>
    <t xml:space="preserve"> frontend/lib/tier-validation.ts                                             </t>
  </si>
  <si>
    <t xml:space="preserve"> frontend/lib/tier/constants.ts                                              </t>
  </si>
  <si>
    <t xml:space="preserve"> frontend/lib/tier/index.ts                                                  </t>
  </si>
  <si>
    <t xml:space="preserve"> frontend/lib/tier/validator.ts                                              </t>
  </si>
  <si>
    <t xml:space="preserve"> frontend/lib/tokens.ts                                                      </t>
  </si>
  <si>
    <t xml:space="preserve"> frontend/lib/utils.ts                                                       </t>
  </si>
  <si>
    <t xml:space="preserve"> frontend/lib/utils/constants.ts                                             </t>
  </si>
  <si>
    <t xml:space="preserve"> frontend/lib/utils/formatters.ts                                            </t>
  </si>
  <si>
    <t xml:space="preserve"> frontend/lib/utils/helpers.ts                                               </t>
  </si>
  <si>
    <t xml:space="preserve"> frontend/lib/validations/alert.ts                                           </t>
  </si>
  <si>
    <t xml:space="preserve"> frontend/lib/validations/auth.ts                                            </t>
  </si>
  <si>
    <t xml:space="preserve"> frontend/lib/validations/user.ts                                            </t>
  </si>
  <si>
    <t xml:space="preserve"> frontend/lib/validations/watchlist.ts                                       </t>
  </si>
  <si>
    <t xml:space="preserve"> frontend/lib/websocket/server.ts                                            </t>
  </si>
  <si>
    <t xml:space="preserve"> frontend/next.config.js                                                     </t>
  </si>
  <si>
    <t xml:space="preserve"> frontend/package.json                                                       </t>
  </si>
  <si>
    <t xml:space="preserve"> frontend/postcss.config.js                                                  </t>
  </si>
  <si>
    <t xml:space="preserve"> frontend/prisma/migrations/20251227000000_init/migration.sql                </t>
  </si>
  <si>
    <t xml:space="preserve"> frontend/prisma/schema.prisma                                               </t>
  </si>
  <si>
    <t xml:space="preserve"> frontend/prisma/seed.ts                                                     </t>
  </si>
  <si>
    <t xml:space="preserve"> frontend/public/manifest.json                                               </t>
  </si>
  <si>
    <t xml:space="preserve"> frontend/scripts/verify-auth-config.js                                      </t>
  </si>
  <si>
    <t xml:space="preserve"> frontend/tailwind.config.ts                                                 </t>
  </si>
  <si>
    <t xml:space="preserve"> frontend/tsconfig.json                                                      </t>
  </si>
  <si>
    <t xml:space="preserve"> frontend/types/alert.ts                                                     </t>
  </si>
  <si>
    <t xml:space="preserve"> frontend/types/api.ts                                                       </t>
  </si>
  <si>
    <t xml:space="preserve"> frontend/types/disbursement.ts                                              </t>
  </si>
  <si>
    <t xml:space="preserve"> frontend/types/dlocal.ts                                                    </t>
  </si>
  <si>
    <t xml:space="preserve"> frontend/types/index.ts                                                     </t>
  </si>
  <si>
    <t xml:space="preserve"> frontend/types/indicator.ts                                                 </t>
  </si>
  <si>
    <t xml:space="preserve"> frontend/types/next-auth.d.ts                                               </t>
  </si>
  <si>
    <t xml:space="preserve"> frontend/types/payment.ts                                                   </t>
  </si>
  <si>
    <t xml:space="preserve"> frontend/types/prisma-stubs.d.ts                                            </t>
  </si>
  <si>
    <t xml:space="preserve"> frontend/types/tier.ts                                                      </t>
  </si>
  <si>
    <t xml:space="preserve"> frontend/types/user.ts                                                      </t>
  </si>
  <si>
    <t xml:space="preserve"> frontend/types/watchlist.ts                                                 </t>
  </si>
  <si>
    <t xml:space="preserve"> frontend/vercel.json                                                        </t>
  </si>
  <si>
    <t xml:space="preserve"> `app/api/admin/affiliates/[id]/distribute-codes/route.ts`     </t>
  </si>
  <si>
    <t xml:space="preserve"> `app/api/admin/affiliates/[id]/reactivate/route.ts`           </t>
  </si>
  <si>
    <t xml:space="preserve"> `app/api/admin/affiliates/[id]/route.ts`                      </t>
  </si>
  <si>
    <t xml:space="preserve"> `app/api/admin/affiliates/[id]/suspend/route.ts`              </t>
  </si>
  <si>
    <t xml:space="preserve"> `app/api/admin/affiliates/reports/code-inventory/route.ts`    </t>
  </si>
  <si>
    <t xml:space="preserve"> `app/api/admin/affiliates/reports/commission-owings/route.ts` </t>
  </si>
  <si>
    <t xml:space="preserve"> `app/api/admin/affiliates/reports/profit-loss/route.ts`       </t>
  </si>
  <si>
    <t xml:space="preserve"> `app/api/admin/affiliates/reports/sales-performance/route.ts` </t>
  </si>
  <si>
    <t xml:space="preserve"> `app/api/admin/affiliates/route.ts`                           </t>
  </si>
  <si>
    <t xml:space="preserve"> `app/api/admin/analytics/route.ts`           </t>
  </si>
  <si>
    <t xml:space="preserve"> `app/api/admin/api-usage/route.ts`           </t>
  </si>
  <si>
    <t xml:space="preserve"> `app/api/admin/codes/[code]/cancel/route.ts` </t>
  </si>
  <si>
    <t xml:space="preserve"> `app/api/admin/commissions/pay/route.ts`     </t>
  </si>
  <si>
    <t xml:space="preserve"> `app/api/admin/error-logs/route.ts`          </t>
  </si>
  <si>
    <t xml:space="preserve"> `app/api/admin/fraud-alerts/[id]/route.ts`   </t>
  </si>
  <si>
    <t xml:space="preserve"> `app/api/admin/fraud-alerts/route.ts`        </t>
  </si>
  <si>
    <t xml:space="preserve"> `app/api/admin/settings/affiliate/route.ts`  </t>
  </si>
  <si>
    <t xml:space="preserve"> `app/api/admin/users/route.ts`               </t>
  </si>
  <si>
    <t xml:space="preserve"> `app/api/affiliate/auth/register/route.ts`               </t>
  </si>
  <si>
    <t xml:space="preserve"> `app/api/affiliate/auth/verify-email/route.ts`           </t>
  </si>
  <si>
    <t xml:space="preserve"> `app/api/affiliate/dashboard/code-inventory/route.ts`    </t>
  </si>
  <si>
    <t xml:space="preserve"> `app/api/affiliate/dashboard/codes/route.ts`             </t>
  </si>
  <si>
    <t xml:space="preserve"> `app/api/affiliate/dashboard/commission-report/route.ts` </t>
  </si>
  <si>
    <t xml:space="preserve"> `app/api/affiliate/dashboard/stats/route.ts`             </t>
  </si>
  <si>
    <t xml:space="preserve"> `app/api/affiliate/profile/payment/route.ts`             </t>
  </si>
  <si>
    <t xml:space="preserve"> `app/api/affiliate/profile/route.ts`                     </t>
  </si>
  <si>
    <t xml:space="preserve"> `app/api/alerts/[id]/route.ts` </t>
  </si>
  <si>
    <t xml:space="preserve"> `app/api/alerts/route.ts`      </t>
  </si>
  <si>
    <t xml:space="preserve"> `app/api/auth/[...nextauth]/route.ts`       </t>
  </si>
  <si>
    <t xml:space="preserve"> `app/api/auth/forgot-password/route.ts`     </t>
  </si>
  <si>
    <t xml:space="preserve"> `app/api/auth/register/route.ts`            </t>
  </si>
  <si>
    <t xml:space="preserve"> `app/api/auth/resend-verification/route.ts` </t>
  </si>
  <si>
    <t xml:space="preserve"> `app/api/auth/reset-password/route.ts`      </t>
  </si>
  <si>
    <t xml:space="preserve"> `app/api/auth/track-login/route.ts`         </t>
  </si>
  <si>
    <t xml:space="preserve"> `app/api/auth/verify-email/route.ts`        </t>
  </si>
  <si>
    <t xml:space="preserve"> `app/api/candles/[symbol]/route.ts`       </t>
  </si>
  <si>
    <t xml:space="preserve"> `app/api/checkout/route.ts`               </t>
  </si>
  <si>
    <t xml:space="preserve"> `app/api/checkout/validate-code/route.ts` </t>
  </si>
  <si>
    <t xml:space="preserve"> `app/api/config/affiliate/route.ts`       </t>
  </si>
  <si>
    <t xml:space="preserve"> `app/api/invoices/route.ts`               </t>
  </si>
  <si>
    <t xml:space="preserve"> `app/api/test/seed/route.ts`              </t>
  </si>
  <si>
    <t xml:space="preserve"> `app/api/cron/check-expiring-subscriptions/route.ts`    </t>
  </si>
  <si>
    <t xml:space="preserve"> `app/api/cron/daily-maintenance/route.ts`               </t>
  </si>
  <si>
    <t xml:space="preserve"> `app/api/cron/distribute-codes/route.ts`                </t>
  </si>
  <si>
    <t xml:space="preserve"> `app/api/cron/downgrade-expired-subscriptions/route.ts` </t>
  </si>
  <si>
    <t xml:space="preserve"> `app/api/cron/expire-codes/route.ts`                    </t>
  </si>
  <si>
    <t xml:space="preserve"> `app/api/cron/process-pending-disbursements/route.ts`   </t>
  </si>
  <si>
    <t xml:space="preserve"> `app/api/cron/send-monthly-reports/route.ts`            </t>
  </si>
  <si>
    <t xml:space="preserve"> `app/api/cron/sync-riseworks-accounts/route.ts`         </t>
  </si>
  <si>
    <t xml:space="preserve"> `app/api/disbursement/affiliates/[affiliateId]/commissions/route.ts` </t>
  </si>
  <si>
    <t xml:space="preserve"> `app/api/disbursement/affiliates/[affiliateId]/route.ts`             </t>
  </si>
  <si>
    <t xml:space="preserve"> `app/api/disbursement/affiliates/payable/route.ts`                   </t>
  </si>
  <si>
    <t xml:space="preserve"> `app/api/disbursement/audit-logs/route.ts`                           </t>
  </si>
  <si>
    <t xml:space="preserve"> `app/api/disbursement/batches/[batchId]/execute/route.ts`            </t>
  </si>
  <si>
    <t xml:space="preserve"> `app/api/disbursement/batches/[batchId]/route.ts`                    </t>
  </si>
  <si>
    <t xml:space="preserve"> `app/api/disbursement/batches/preview/route.ts`                      </t>
  </si>
  <si>
    <t xml:space="preserve"> `app/api/disbursement/batches/route.ts`                              </t>
  </si>
  <si>
    <t xml:space="preserve"> `app/api/disbursement/config/route.ts`                               </t>
  </si>
  <si>
    <t xml:space="preserve"> `app/api/disbursement/health/route.ts`                               </t>
  </si>
  <si>
    <t xml:space="preserve"> `app/api/disbursement/pay/route.ts`                                  </t>
  </si>
  <si>
    <t xml:space="preserve"> `app/api/disbursement/reports/affiliate/[affiliateId]/route.ts`      </t>
  </si>
  <si>
    <t xml:space="preserve"> `app/api/disbursement/reports/summary/route.ts`                      </t>
  </si>
  <si>
    <t xml:space="preserve"> `app/api/disbursement/riseworks/accounts/route.ts`                   </t>
  </si>
  <si>
    <t xml:space="preserve"> `app/api/disbursement/riseworks/sync/route.ts`                       </t>
  </si>
  <si>
    <t xml:space="preserve"> `app/api/disbursement/transactions/route.ts`                         </t>
  </si>
  <si>
    <t xml:space="preserve"> `app/api/notifications/[id]/read/route.ts` </t>
  </si>
  <si>
    <t xml:space="preserve"> `app/api/notifications/[id]/route.ts`      </t>
  </si>
  <si>
    <t xml:space="preserve"> `app/api/notifications/route.ts`           </t>
  </si>
  <si>
    <t xml:space="preserve"> `app/api/payments/dlocal/[paymentId]/route.ts`                 </t>
  </si>
  <si>
    <t xml:space="preserve"> `app/api/payments/dlocal/check-three-day-eligibility/route.ts` </t>
  </si>
  <si>
    <t xml:space="preserve"> `app/api/payments/dlocal/convert/route.ts`                     </t>
  </si>
  <si>
    <t xml:space="preserve"> `app/api/payments/dlocal/create/route.ts`                      </t>
  </si>
  <si>
    <t xml:space="preserve"> `app/api/payments/dlocal/exchange-rate/route.ts`               </t>
  </si>
  <si>
    <t xml:space="preserve"> `app/api/payments/dlocal/methods/route.ts`                     </t>
  </si>
  <si>
    <t xml:space="preserve"> `app/api/payments/dlocal/validate-discount/route.ts`           </t>
  </si>
  <si>
    <t xml:space="preserve"> `app/api/subscription/cancel/route.ts` </t>
  </si>
  <si>
    <t xml:space="preserve"> `app/api/subscription/route.ts`        </t>
  </si>
  <si>
    <t xml:space="preserve"> `app/api/tier/check/[symbol]/route.ts` </t>
  </si>
  <si>
    <t xml:space="preserve"> `app/api/tier/combinations/route.ts`   </t>
  </si>
  <si>
    <t xml:space="preserve"> `app/api/tier/symbols/route.ts`        </t>
  </si>
  <si>
    <t xml:space="preserve"> `app/api/user/2fa/backup-codes/route.ts` </t>
  </si>
  <si>
    <t xml:space="preserve"> `app/api/user/2fa/disable/route.ts`      </t>
  </si>
  <si>
    <t xml:space="preserve"> `app/api/user/2fa/setup/route.ts`        </t>
  </si>
  <si>
    <t xml:space="preserve"> `app/api/user/2fa/verify/route.ts`       </t>
  </si>
  <si>
    <t xml:space="preserve"> `app/api/user/2fa/verify-setup/route.ts` </t>
  </si>
  <si>
    <t xml:space="preserve"> `app/api/user/account/deletion-cancel/route.ts`  </t>
  </si>
  <si>
    <t xml:space="preserve"> `app/api/user/account/deletion-confirm/route.ts` </t>
  </si>
  <si>
    <t xml:space="preserve"> `app/api/user/account/deletion-request/route.ts` </t>
  </si>
  <si>
    <t xml:space="preserve"> `app/api/user/login-history/route.ts` </t>
  </si>
  <si>
    <t xml:space="preserve"> `app/api/user/password/route.ts`      </t>
  </si>
  <si>
    <t xml:space="preserve"> `app/api/user/preferences/route.ts`   </t>
  </si>
  <si>
    <t xml:space="preserve"> `app/api/user/profile/route.ts`       </t>
  </si>
  <si>
    <t xml:space="preserve"> `app/api/user/sessions/[id]/route.ts` </t>
  </si>
  <si>
    <t xml:space="preserve"> `app/api/user/sessions/route.ts`      </t>
  </si>
  <si>
    <t xml:space="preserve"> `app/api/watchlist/[id]/route.ts`    </t>
  </si>
  <si>
    <t xml:space="preserve"> `app/api/watchlist/reorder/route.ts` </t>
  </si>
  <si>
    <t xml:space="preserve"> `app/api/watchlist/route.ts`         </t>
  </si>
  <si>
    <t xml:space="preserve"> `app/api/webhooks/dlocal/route.ts`    </t>
  </si>
  <si>
    <t xml:space="preserve"> `app/api/webhooks/riseworks/route.ts` </t>
  </si>
  <si>
    <t xml:space="preserve"> `app/api/webhooks/stripe/route.ts`    </t>
  </si>
  <si>
    <t xml:space="preserve"> `app/globals.css` </t>
  </si>
  <si>
    <t xml:space="preserve"> `components/affiliate/index.ts` </t>
  </si>
  <si>
    <t xml:space="preserve"> `components/payments/index.ts`  </t>
  </si>
  <si>
    <t xml:space="preserve"> `hooks/use-alerts.ts`              </t>
  </si>
  <si>
    <t xml:space="preserve"> `hooks/use-auth.ts`                </t>
  </si>
  <si>
    <t xml:space="preserve"> `hooks/use-indicators.ts`          </t>
  </si>
  <si>
    <t xml:space="preserve"> `hooks/use-login-tracking.ts`      </t>
  </si>
  <si>
    <t xml:space="preserve"> `hooks/use-optimistic-mutation.ts` </t>
  </si>
  <si>
    <t xml:space="preserve"> `hooks/use-toast.ts`               </t>
  </si>
  <si>
    <t xml:space="preserve"> `hooks/use-watchlist.ts`           </t>
  </si>
  <si>
    <t xml:space="preserve"> `hooks/use-websocket.ts`           </t>
  </si>
  <si>
    <t xml:space="preserve"> `lib/admin/affiliate-management.ts` </t>
  </si>
  <si>
    <t xml:space="preserve"> `lib/admin/code-distribution.ts`    </t>
  </si>
  <si>
    <t xml:space="preserve"> `lib/admin/pnl-calculator.ts`       </t>
  </si>
  <si>
    <t xml:space="preserve"> `lib/affiliate/code-generator.ts`        </t>
  </si>
  <si>
    <t xml:space="preserve"> `lib/affiliate/commission-calculator.ts` </t>
  </si>
  <si>
    <t xml:space="preserve"> `lib/affiliate/constants.ts`             </t>
  </si>
  <si>
    <t xml:space="preserve"> `lib/affiliate/registration.ts`          </t>
  </si>
  <si>
    <t xml:space="preserve"> `lib/affiliate/report-builder.ts`        </t>
  </si>
  <si>
    <t xml:space="preserve"> `lib/affiliate/types.ts`                 </t>
  </si>
  <si>
    <t xml:space="preserve"> `lib/affiliate/validators.ts`            </t>
  </si>
  <si>
    <t xml:space="preserve"> `lib/api/index.ts`         </t>
  </si>
  <si>
    <t xml:space="preserve"> `lib/api/mt5-client.ts`    </t>
  </si>
  <si>
    <t xml:space="preserve"> `lib/api/mt5-transform.ts` </t>
  </si>
  <si>
    <t xml:space="preserve"> `lib/auth/auth-options.ts`    </t>
  </si>
  <si>
    <t xml:space="preserve"> `lib/auth/errors.ts`          </t>
  </si>
  <si>
    <t xml:space="preserve"> `lib/auth/permissions.ts`     </t>
  </si>
  <si>
    <t xml:space="preserve"> `lib/auth/session-tracker.ts` </t>
  </si>
  <si>
    <t xml:space="preserve"> `lib/auth/session.ts`         </t>
  </si>
  <si>
    <t xml:space="preserve"> `lib/auth/two-factor.ts`      </t>
  </si>
  <si>
    <t xml:space="preserve"> `lib/cache/cache-manager.ts` </t>
  </si>
  <si>
    <t xml:space="preserve"> `lib/constants/business-rules.ts` </t>
  </si>
  <si>
    <t xml:space="preserve"> `lib/cron/check-expiring-subscriptions.ts`    </t>
  </si>
  <si>
    <t xml:space="preserve"> `lib/cron/downgrade-expired-subscriptions.ts` </t>
  </si>
  <si>
    <t xml:space="preserve"> `lib/cron/monthly-distribution.ts`            </t>
  </si>
  <si>
    <t xml:space="preserve"> `lib/db/prisma.ts` </t>
  </si>
  <si>
    <t xml:space="preserve"> `lib/db/seed.ts`   </t>
  </si>
  <si>
    <t xml:space="preserve"> `lib/disbursement/constants.ts` </t>
  </si>
  <si>
    <t xml:space="preserve"> `lib/disbursement/cron/disbursement-processor.ts` </t>
  </si>
  <si>
    <t xml:space="preserve"> `lib/disbursement/providers/base-provider.ts`         </t>
  </si>
  <si>
    <t xml:space="preserve"> `lib/disbursement/providers/mock-provider.ts`         </t>
  </si>
  <si>
    <t xml:space="preserve"> `lib/disbursement/providers/provider-factory.ts`      </t>
  </si>
  <si>
    <t xml:space="preserve"> `lib/disbursement/providers/rise/amount-converter.ts` </t>
  </si>
  <si>
    <t xml:space="preserve"> `lib/disbursement/providers/rise/rise-provider.ts`    </t>
  </si>
  <si>
    <t xml:space="preserve"> `lib/disbursement/providers/rise/siwe-auth.ts`        </t>
  </si>
  <si>
    <t xml:space="preserve"> `lib/disbursement/providers/rise/webhook-verifier.ts` </t>
  </si>
  <si>
    <t xml:space="preserve"> `lib/disbursement/services/batch-manager.ts`         </t>
  </si>
  <si>
    <t xml:space="preserve"> `lib/disbursement/services/commission-aggregator.ts` </t>
  </si>
  <si>
    <t xml:space="preserve"> `lib/disbursement/services/payment-orchestrator.ts`  </t>
  </si>
  <si>
    <t xml:space="preserve"> `lib/disbursement/services/payout-calculator.ts`     </t>
  </si>
  <si>
    <t xml:space="preserve"> `lib/disbursement/services/retry-handler.ts`         </t>
  </si>
  <si>
    <t xml:space="preserve"> `lib/disbursement/services/transaction-logger.ts`    </t>
  </si>
  <si>
    <t xml:space="preserve"> `lib/disbursement/services/transaction-service.ts`   </t>
  </si>
  <si>
    <t xml:space="preserve"> `lib/disbursement/webhook/event-processor.ts` </t>
  </si>
  <si>
    <t xml:space="preserve"> `lib/dlocal/constants.ts`                   </t>
  </si>
  <si>
    <t xml:space="preserve"> `lib/dlocal/currency-converter.service.ts`  </t>
  </si>
  <si>
    <t xml:space="preserve"> `lib/dlocal/dlocal-payment.service.ts`      </t>
  </si>
  <si>
    <t xml:space="preserve"> `lib/dlocal/payment-methods.service.ts`     </t>
  </si>
  <si>
    <t xml:space="preserve"> `lib/dlocal/three-day-validator.service.ts` </t>
  </si>
  <si>
    <t xml:space="preserve"> `lib/email/email.ts`               </t>
  </si>
  <si>
    <t xml:space="preserve"> `lib/email/subscription-emails.ts` </t>
  </si>
  <si>
    <t xml:space="preserve"> `lib/errors/api-error.ts`     </t>
  </si>
  <si>
    <t xml:space="preserve"> `lib/errors/error-handler.ts` </t>
  </si>
  <si>
    <t xml:space="preserve"> `lib/errors/error-logger.ts`  </t>
  </si>
  <si>
    <t xml:space="preserve"> `lib/fraud/fraud-detection.service.ts` </t>
  </si>
  <si>
    <t xml:space="preserve"> `lib/geo/detect-country.ts` </t>
  </si>
  <si>
    <t xml:space="preserve"> `lib/hooks/useAffiliateConfig.ts` </t>
  </si>
  <si>
    <t xml:space="preserve"> `lib/jobs/alert-checker.ts` </t>
  </si>
  <si>
    <t xml:space="preserve"> `lib/jobs/queue.ts`         </t>
  </si>
  <si>
    <t xml:space="preserve"> `lib/monitoring/system-monitor.ts` </t>
  </si>
  <si>
    <t xml:space="preserve"> `lib/preferences/defaults.ts` </t>
  </si>
  <si>
    <t xml:space="preserve"> `lib/redis/client.ts` </t>
  </si>
  <si>
    <t xml:space="preserve"> `lib/security/device-detection.ts` </t>
  </si>
  <si>
    <t xml:space="preserve"> `lib/stripe/stripe.ts`           </t>
  </si>
  <si>
    <t xml:space="preserve"> `lib/stripe/webhook-handlers.ts` </t>
  </si>
  <si>
    <t xml:space="preserve"> `lib/tier/__tests__/constants.test.ts` </t>
  </si>
  <si>
    <t xml:space="preserve"> `lib/tier/__tests__/validator.test.ts` </t>
  </si>
  <si>
    <t xml:space="preserve"> `lib/tier/constants.ts`                </t>
  </si>
  <si>
    <t xml:space="preserve"> `lib/tier/index.ts`                    </t>
  </si>
  <si>
    <t xml:space="preserve"> `lib/tier/validator.ts`                </t>
  </si>
  <si>
    <t xml:space="preserve"> `lib/utils/constants.ts`  </t>
  </si>
  <si>
    <t xml:space="preserve"> `lib/utils/formatters.ts` </t>
  </si>
  <si>
    <t xml:space="preserve"> `lib/utils/helpers.ts`    </t>
  </si>
  <si>
    <t xml:space="preserve"> `lib/validations/alert.ts`     </t>
  </si>
  <si>
    <t xml:space="preserve"> `lib/validations/auth.ts`      </t>
  </si>
  <si>
    <t xml:space="preserve"> `lib/validations/user.ts`      </t>
  </si>
  <si>
    <t xml:space="preserve"> `lib/validations/watchlist.ts` </t>
  </si>
  <si>
    <t xml:space="preserve"> `lib/websocket/server.ts`            </t>
  </si>
  <si>
    <t xml:space="preserve"> `lib/websocket/use-mt5-websocket.ts` </t>
  </si>
  <si>
    <t xml:space="preserve"> `lib/candle-data-helpers.ts` </t>
  </si>
  <si>
    <t xml:space="preserve"> `lib/csrf.ts`                </t>
  </si>
  <si>
    <t xml:space="preserve"> `lib/logger.ts`              </t>
  </si>
  <si>
    <t xml:space="preserve"> `lib/rate-limit.ts`          </t>
  </si>
  <si>
    <t xml:space="preserve"> `lib/tier-config.ts`         </t>
  </si>
  <si>
    <t xml:space="preserve"> `lib/tier-helpers.ts`        </t>
  </si>
  <si>
    <t xml:space="preserve"> `lib/tier-validation.ts`     </t>
  </si>
  <si>
    <t xml:space="preserve"> `lib/tokens.ts`              </t>
  </si>
  <si>
    <t xml:space="preserve"> `lib/utils.ts`               </t>
  </si>
  <si>
    <t xml:space="preserve"> `prisma/migrations/20251227000000_init/migration.sql` </t>
  </si>
  <si>
    <t xml:space="preserve"> `prisma/schema.prisma`                                </t>
  </si>
  <si>
    <t xml:space="preserve"> `prisma/seed.ts`                                      </t>
  </si>
  <si>
    <t xml:space="preserve"> `types/alert.ts`          </t>
  </si>
  <si>
    <t xml:space="preserve"> `types/api.ts`            </t>
  </si>
  <si>
    <t xml:space="preserve"> `types/disbursement.ts`   </t>
  </si>
  <si>
    <t xml:space="preserve"> `types/dlocal.ts`         </t>
  </si>
  <si>
    <t xml:space="preserve"> `types/index.ts`          </t>
  </si>
  <si>
    <t xml:space="preserve"> `types/indicator.ts`      </t>
  </si>
  <si>
    <t xml:space="preserve"> `types/next-auth.d.ts`    </t>
  </si>
  <si>
    <t xml:space="preserve"> `types/payment.ts`        </t>
  </si>
  <si>
    <t xml:space="preserve"> `types/prisma-stubs.d.ts` </t>
  </si>
  <si>
    <t xml:space="preserve"> `types/tier.ts`           </t>
  </si>
  <si>
    <t xml:space="preserve"> `types/user.ts`           </t>
  </si>
  <si>
    <t xml:space="preserve"> `types/watchlist.ts`      </t>
  </si>
  <si>
    <t xml:space="preserve"> `oauth/claude-code-oauth-integration-task.md` </t>
  </si>
  <si>
    <t xml:space="preserve"> `oauth/google-oauth-implementation-guide.md`  </t>
  </si>
  <si>
    <t xml:space="preserve"> `oauth/oauth-decision-request.md`             </t>
  </si>
  <si>
    <t xml:space="preserve"> `middleware/tier-check.ts` </t>
  </si>
  <si>
    <t xml:space="preserve"> `emails/index.ts` </t>
  </si>
  <si>
    <t xml:space="preserve"> `__tests__/api/admin-affiliates.test.ts`       </t>
  </si>
  <si>
    <t xml:space="preserve"> `__tests__/api/admin-reports.test.ts`          </t>
  </si>
  <si>
    <t xml:space="preserve"> `__tests__/api/admin.test.ts`                  </t>
  </si>
  <si>
    <t xml:space="preserve"> `__tests__/api/affiliate-conversion.test.ts`   </t>
  </si>
  <si>
    <t xml:space="preserve"> `__tests__/api/affiliate-dashboard.test.ts`    </t>
  </si>
  <si>
    <t xml:space="preserve"> `__tests__/api/affiliate-registration.test.ts` </t>
  </si>
  <si>
    <t xml:space="preserve"> `__tests__/api/alerts.test.ts`        </t>
  </si>
  <si>
    <t xml:space="preserve"> `__tests__/api/notifications.test.ts` </t>
  </si>
  <si>
    <t xml:space="preserve"> `__tests__/api/tier.test.ts`          </t>
  </si>
  <si>
    <t xml:space="preserve"> `__tests__/api/user.test.ts`          </t>
  </si>
  <si>
    <t xml:space="preserve"> `__tests__/api/watchlist.test.ts`     </t>
  </si>
  <si>
    <t xml:space="preserve"> `__tests__/api/cron-jobs.test.ts`     </t>
  </si>
  <si>
    <t xml:space="preserve"> `__tests__/api/cron/process-pending.test.ts` </t>
  </si>
  <si>
    <t xml:space="preserve"> `__tests__/api/disbursement/affiliates.test.ts` </t>
  </si>
  <si>
    <t xml:space="preserve"> `__tests__/api/disbursement/audit.test.ts`      </t>
  </si>
  <si>
    <t xml:space="preserve"> `__tests__/api/disbursement/batches.test.ts`    </t>
  </si>
  <si>
    <t xml:space="preserve"> `__tests__/api/disbursement/execute.test.ts`    </t>
  </si>
  <si>
    <t xml:space="preserve"> `__tests__/api/disbursement/health.test.ts`     </t>
  </si>
  <si>
    <t xml:space="preserve"> `__tests__/api/disbursement/pay.test.ts`        </t>
  </si>
  <si>
    <t xml:space="preserve"> `__tests__/api/disbursement/reports.test.ts`    </t>
  </si>
  <si>
    <t xml:space="preserve"> `__tests__/api/webhooks/dlocal/route.test.ts` </t>
  </si>
  <si>
    <t xml:space="preserve"> `__tests__/api/webhooks/riseworks.test.ts`    </t>
  </si>
  <si>
    <t xml:space="preserve"> `__tests__/e2e/dlocal-payment-flow.test.ts` </t>
  </si>
  <si>
    <t xml:space="preserve"> `__tests__/helpers/supertest-setup.ts` </t>
  </si>
  <si>
    <t xml:space="preserve"> `__tests__/hooks/use-toast.test.ts`     </t>
  </si>
  <si>
    <t xml:space="preserve"> `__tests__/hooks/use-websocket.test.ts` </t>
  </si>
  <si>
    <t xml:space="preserve"> `__tests__/integration/api-client-workflow.test.ts`       </t>
  </si>
  <si>
    <t xml:space="preserve"> `__tests__/integration/auth-email-flow.test.ts`           </t>
  </si>
  <si>
    <t xml:space="preserve"> `__tests__/integration/payment-creation.test.ts`          </t>
  </si>
  <si>
    <t xml:space="preserve"> `__tests__/integration/tier1-workflows.test.ts`           </t>
  </si>
  <si>
    <t xml:space="preserve"> `__tests__/integration/tier2-workflows.test.ts`           </t>
  </si>
  <si>
    <t xml:space="preserve"> `__tests__/integration/user-registration-flow.test.ts`    </t>
  </si>
  <si>
    <t xml:space="preserve"> `__tests__/integration/watchlist-management-flow.test.ts` </t>
  </si>
  <si>
    <t xml:space="preserve"> `__tests__/lib/admin/affiliate-management.test.ts` </t>
  </si>
  <si>
    <t xml:space="preserve"> `__tests__/lib/admin/code-distribution.test.ts`    </t>
  </si>
  <si>
    <t xml:space="preserve"> `__tests__/lib/admin/pnl-calculator.test.ts`       </t>
  </si>
  <si>
    <t xml:space="preserve"> `__tests__/lib/affiliate/code-generator.test.ts`        </t>
  </si>
  <si>
    <t xml:space="preserve"> `__tests__/lib/affiliate/commission-calculator.test.ts` </t>
  </si>
  <si>
    <t xml:space="preserve"> `__tests__/lib/affiliate/registration.test.ts`          </t>
  </si>
  <si>
    <t xml:space="preserve"> `__tests__/lib/api/stack-a-client.test.ts` </t>
  </si>
  <si>
    <t xml:space="preserve"> `__tests__/lib/api/stack-b-client.test.ts` </t>
  </si>
  <si>
    <t xml:space="preserve"> `__tests__/lib/auth/errors.test.ts`      </t>
  </si>
  <si>
    <t xml:space="preserve"> `__tests__/lib/auth/permissions.test.ts` </t>
  </si>
  <si>
    <t xml:space="preserve"> `__tests__/lib/auth/session.test.ts`     </t>
  </si>
  <si>
    <t xml:space="preserve"> `__tests__/lib/cron/check-expiring-subscriptions.test.ts`    </t>
  </si>
  <si>
    <t xml:space="preserve"> `__tests__/lib/cron/downgrade-expired-subscriptions.test.ts` </t>
  </si>
  <si>
    <t xml:space="preserve"> `__tests__/lib/cron/monthly-distribution.test.ts`            </t>
  </si>
  <si>
    <t xml:space="preserve"> `__tests__/lib/db/prisma.test.ts` </t>
  </si>
  <si>
    <t xml:space="preserve"> `__tests__/lib/db/seed.test.ts`   </t>
  </si>
  <si>
    <t xml:space="preserve"> `__tests__/lib/disbursement/constants.test.ts`              </t>
  </si>
  <si>
    <t xml:space="preserve"> `__tests__/lib/disbursement/providers/factory.test.ts`      </t>
  </si>
  <si>
    <t xml:space="preserve"> `__tests__/lib/disbursement/providers/mock.test.ts`         </t>
  </si>
  <si>
    <t xml:space="preserve"> `__tests__/lib/disbursement/providers/rise/webhook.test.ts` </t>
  </si>
  <si>
    <t xml:space="preserve"> `__tests__/lib/disbursement/services/aggregator.test.ts`    </t>
  </si>
  <si>
    <t xml:space="preserve"> `__tests__/lib/disbursement/services/batch.test.ts`         </t>
  </si>
  <si>
    <t xml:space="preserve"> `__tests__/lib/disbursement/services/orchestrator.test.ts`  </t>
  </si>
  <si>
    <t xml:space="preserve"> `__tests__/lib/dlocal/constants.test.ts`           </t>
  </si>
  <si>
    <t xml:space="preserve"> `__tests__/lib/dlocal/currency-converter.test.ts`  </t>
  </si>
  <si>
    <t xml:space="preserve"> `__tests__/lib/dlocal/dlocal-payment.test.ts`      </t>
  </si>
  <si>
    <t xml:space="preserve"> `__tests__/lib/dlocal/payment-methods.test.ts`     </t>
  </si>
  <si>
    <t xml:space="preserve"> `__tests__/lib/dlocal/three-day-validator.test.ts` </t>
  </si>
  <si>
    <t xml:space="preserve"> `__tests__/lib/email/email.test.ts` </t>
  </si>
  <si>
    <t xml:space="preserve"> `__tests__/lib/errors/api-error.test.ts`     </t>
  </si>
  <si>
    <t xml:space="preserve"> `__tests__/lib/errors/error-handler.test.ts` </t>
  </si>
  <si>
    <t xml:space="preserve"> `__tests__/lib/geo/detect-country.test.ts` </t>
  </si>
  <si>
    <t xml:space="preserve"> `__tests__/lib/jobs/alert-checker.test.ts` </t>
  </si>
  <si>
    <t xml:space="preserve"> `__tests__/lib/rate-limit.test.ts` </t>
  </si>
  <si>
    <t xml:space="preserve"> `__tests__/lib/stripe/stripe.test.ts`           </t>
  </si>
  <si>
    <t xml:space="preserve"> `__tests__/lib/stripe/webhook-handlers.test.ts` </t>
  </si>
  <si>
    <t xml:space="preserve"> `__tests__/lib/tier-config.test.ts`     </t>
  </si>
  <si>
    <t xml:space="preserve"> `__tests__/lib/tier-helpers.test.ts`    </t>
  </si>
  <si>
    <t xml:space="preserve"> `__tests__/lib/tier-validation.test.ts` </t>
  </si>
  <si>
    <t xml:space="preserve"> `__tests__/lib/tokens.test.ts` </t>
  </si>
  <si>
    <t xml:space="preserve"> `__tests__/lib/utils/constants.test.ts`  </t>
  </si>
  <si>
    <t xml:space="preserve"> `__tests__/lib/utils/formatters.test.ts` </t>
  </si>
  <si>
    <t xml:space="preserve"> `__tests__/lib/utils/helpers.test.ts`    </t>
  </si>
  <si>
    <t xml:space="preserve"> `__tests__/lib/utils.test.ts`            </t>
  </si>
  <si>
    <t xml:space="preserve"> `__tests__/lib/validations/alert.test.ts` </t>
  </si>
  <si>
    <t xml:space="preserve"> `__tests__/lib/validations/auth.test.ts`  </t>
  </si>
  <si>
    <t xml:space="preserve"> `__tests__/types/disbursement.test.ts` </t>
  </si>
  <si>
    <t xml:space="preserve"> `__tests__/types/dlocal.test.ts`       </t>
  </si>
  <si>
    <t xml:space="preserve"> `__tests__/types/types.test.ts`        </t>
  </si>
  <si>
    <t xml:space="preserve"> `__tests__/example.test.ts` </t>
  </si>
  <si>
    <t xml:space="preserve"> `__tests__/setup.ts`        </t>
  </si>
  <si>
    <t>app/api/admin/affiliates/[id]/distribute-codes/route.ts</t>
  </si>
  <si>
    <t>app/api/admin/affiliates/[id]/reactivate/route.ts</t>
  </si>
  <si>
    <t>app/api/admin/affiliates/[id]/route.ts</t>
  </si>
  <si>
    <t>app/api/admin/affiliates/[id]/suspend/route.ts</t>
  </si>
  <si>
    <t>app/api/admin/affiliates/reports/code-inventory/route.ts</t>
  </si>
  <si>
    <t>app/api/admin/affiliates/reports/commission-owings/route.ts</t>
  </si>
  <si>
    <t>app/api/admin/affiliates/reports/profit-loss/route.ts</t>
  </si>
  <si>
    <t>app/api/admin/affiliates/reports/sales-performance/route.ts</t>
  </si>
  <si>
    <t>app/api/admin/affiliates/route.ts</t>
  </si>
  <si>
    <t>app/api/admin/analytics/route.ts</t>
  </si>
  <si>
    <t>app/api/admin/api-usage/route.ts</t>
  </si>
  <si>
    <t>app/api/admin/codes/[code]/cancel/route.ts</t>
  </si>
  <si>
    <t>app/api/admin/commissions/pay/route.ts</t>
  </si>
  <si>
    <t>app/api/admin/error-logs/route.ts</t>
  </si>
  <si>
    <t>app/api/admin/fraud-alerts/[id]/route.ts</t>
  </si>
  <si>
    <t>app/api/admin/fraud-alerts/route.ts</t>
  </si>
  <si>
    <t>app/api/admin/settings/affiliate/route.ts</t>
  </si>
  <si>
    <t>app/api/admin/users/route.ts</t>
  </si>
  <si>
    <t>app/api/affiliate/auth/register/route.ts</t>
  </si>
  <si>
    <t>app/api/affiliate/auth/verify-email/route.ts</t>
  </si>
  <si>
    <t>app/api/affiliate/dashboard/code-inventory/route.ts</t>
  </si>
  <si>
    <t>app/api/affiliate/dashboard/codes/route.ts</t>
  </si>
  <si>
    <t>app/api/affiliate/dashboard/commission-report/route.ts</t>
  </si>
  <si>
    <t>app/api/affiliate/dashboard/stats/route.ts</t>
  </si>
  <si>
    <t>app/api/affiliate/profile/payment/route.ts</t>
  </si>
  <si>
    <t>app/api/affiliate/profile/route.ts</t>
  </si>
  <si>
    <t>app/api/alerts/[id]/route.ts</t>
  </si>
  <si>
    <t>app/api/alerts/route.ts</t>
  </si>
  <si>
    <t>app/api/auth/[...nextauth]/route.ts</t>
  </si>
  <si>
    <t>app/api/auth/forgot-password/route.ts</t>
  </si>
  <si>
    <t>app/api/auth/register/route.ts</t>
  </si>
  <si>
    <t>app/api/auth/resend-verification/route.ts</t>
  </si>
  <si>
    <t>app/api/auth/reset-password/route.ts</t>
  </si>
  <si>
    <t>app/api/auth/track-login/route.ts</t>
  </si>
  <si>
    <t>app/api/auth/verify-email/route.ts</t>
  </si>
  <si>
    <t>app/api/candles/[symbol]/route.ts</t>
  </si>
  <si>
    <t>app/api/checkout/route.ts</t>
  </si>
  <si>
    <t>app/api/checkout/validate-code/route.ts</t>
  </si>
  <si>
    <t>app/api/config/affiliate/route.ts</t>
  </si>
  <si>
    <t>app/api/invoices/route.ts</t>
  </si>
  <si>
    <t>app/api/test/seed/route.ts</t>
  </si>
  <si>
    <t>app/api/cron/check-expiring-subscriptions/route.ts</t>
  </si>
  <si>
    <t>app/api/cron/daily-maintenance/route.ts</t>
  </si>
  <si>
    <t>app/api/cron/distribute-codes/route.ts</t>
  </si>
  <si>
    <t>app/api/cron/downgrade-expired-subscriptions/route.ts</t>
  </si>
  <si>
    <t>app/api/cron/expire-codes/route.ts</t>
  </si>
  <si>
    <t>app/api/cron/process-pending-disbursements/route.ts</t>
  </si>
  <si>
    <t>app/api/cron/send-monthly-reports/route.ts</t>
  </si>
  <si>
    <t>app/api/cron/sync-riseworks-accounts/route.ts</t>
  </si>
  <si>
    <t>app/api/disbursement/affiliates/[affiliateId]/commissions/route.ts</t>
  </si>
  <si>
    <t>app/api/disbursement/affiliates/[affiliateId]/route.ts</t>
  </si>
  <si>
    <t>app/api/disbursement/affiliates/payable/route.ts</t>
  </si>
  <si>
    <t>app/api/disbursement/audit-logs/route.ts</t>
  </si>
  <si>
    <t>app/api/disbursement/batches/[batchId]/execute/route.ts</t>
  </si>
  <si>
    <t>app/api/disbursement/batches/[batchId]/route.ts</t>
  </si>
  <si>
    <t>app/api/disbursement/batches/preview/route.ts</t>
  </si>
  <si>
    <t>app/api/disbursement/batches/route.ts</t>
  </si>
  <si>
    <t>app/api/disbursement/config/route.ts</t>
  </si>
  <si>
    <t>app/api/disbursement/health/route.ts</t>
  </si>
  <si>
    <t>app/api/disbursement/pay/route.ts</t>
  </si>
  <si>
    <t>app/api/disbursement/reports/affiliate/[affiliateId]/route.ts</t>
  </si>
  <si>
    <t>app/api/disbursement/reports/summary/route.ts</t>
  </si>
  <si>
    <t>app/api/disbursement/riseworks/accounts/route.ts</t>
  </si>
  <si>
    <t>app/api/disbursement/riseworks/sync/route.ts</t>
  </si>
  <si>
    <t>app/api/disbursement/transactions/route.ts</t>
  </si>
  <si>
    <t>app/api/notifications/[id]/read/route.ts</t>
  </si>
  <si>
    <t>app/api/notifications/[id]/route.ts</t>
  </si>
  <si>
    <t>app/api/notifications/route.ts</t>
  </si>
  <si>
    <t>app/api/payments/dlocal/[paymentId]/route.ts</t>
  </si>
  <si>
    <t>app/api/payments/dlocal/check-three-day-eligibility/route.ts</t>
  </si>
  <si>
    <t>app/api/payments/dlocal/convert/route.ts</t>
  </si>
  <si>
    <t>app/api/payments/dlocal/create/route.ts</t>
  </si>
  <si>
    <t>app/api/payments/dlocal/exchange-rate/route.ts</t>
  </si>
  <si>
    <t>app/api/payments/dlocal/methods/route.ts</t>
  </si>
  <si>
    <t>app/api/payments/dlocal/validate-discount/route.ts</t>
  </si>
  <si>
    <t>app/api/subscription/cancel/route.ts</t>
  </si>
  <si>
    <t>app/api/subscription/route.ts</t>
  </si>
  <si>
    <t>app/api/tier/check/[symbol]/route.ts</t>
  </si>
  <si>
    <t>app/api/tier/combinations/route.ts</t>
  </si>
  <si>
    <t>app/api/tier/symbols/route.ts</t>
  </si>
  <si>
    <t>app/api/user/2fa/backup-codes/route.ts</t>
  </si>
  <si>
    <t>app/api/user/2fa/disable/route.ts</t>
  </si>
  <si>
    <t>app/api/user/2fa/setup/route.ts</t>
  </si>
  <si>
    <t>app/api/user/2fa/verify/route.ts</t>
  </si>
  <si>
    <t>app/api/user/2fa/verify-setup/route.ts</t>
  </si>
  <si>
    <t>app/api/user/account/deletion-cancel/route.ts</t>
  </si>
  <si>
    <t>app/api/user/account/deletion-confirm/route.ts</t>
  </si>
  <si>
    <t>app/api/user/account/deletion-request/route.ts</t>
  </si>
  <si>
    <t>app/api/user/login-history/route.ts</t>
  </si>
  <si>
    <t>app/api/user/password/route.ts</t>
  </si>
  <si>
    <t>app/api/user/preferences/route.ts</t>
  </si>
  <si>
    <t>app/api/user/profile/route.ts</t>
  </si>
  <si>
    <t>app/api/user/sessions/[id]/route.ts</t>
  </si>
  <si>
    <t>app/api/user/sessions/route.ts</t>
  </si>
  <si>
    <t>app/api/watchlist/[id]/route.ts</t>
  </si>
  <si>
    <t>app/api/watchlist/reorder/route.ts</t>
  </si>
  <si>
    <t>app/api/watchlist/route.ts</t>
  </si>
  <si>
    <t>app/api/webhooks/dlocal/route.ts</t>
  </si>
  <si>
    <t>app/api/webhooks/riseworks/route.ts</t>
  </si>
  <si>
    <t>app/api/webhooks/stripe/route.ts</t>
  </si>
  <si>
    <t>app/globals.css</t>
  </si>
  <si>
    <t>components/affiliate/index.ts</t>
  </si>
  <si>
    <t>components/payments/index.ts</t>
  </si>
  <si>
    <t>hooks/use-alerts.ts</t>
  </si>
  <si>
    <t>hooks/use-auth.ts</t>
  </si>
  <si>
    <t>hooks/use-indicators.ts</t>
  </si>
  <si>
    <t>hooks/use-login-tracking.ts</t>
  </si>
  <si>
    <t>hooks/use-optimistic-mutation.ts</t>
  </si>
  <si>
    <t>hooks/use-toast.ts</t>
  </si>
  <si>
    <t>hooks/use-watchlist.ts</t>
  </si>
  <si>
    <t>hooks/use-websocket.ts</t>
  </si>
  <si>
    <t>lib/admin/affiliate-management.ts</t>
  </si>
  <si>
    <t>lib/admin/code-distribution.ts</t>
  </si>
  <si>
    <t>lib/admin/pnl-calculator.ts</t>
  </si>
  <si>
    <t>lib/affiliate/code-generator.ts</t>
  </si>
  <si>
    <t>lib/affiliate/commission-calculator.ts</t>
  </si>
  <si>
    <t>lib/affiliate/constants.ts</t>
  </si>
  <si>
    <t>lib/affiliate/registration.ts</t>
  </si>
  <si>
    <t>lib/affiliate/report-builder.ts</t>
  </si>
  <si>
    <t>lib/affiliate/types.ts</t>
  </si>
  <si>
    <t>lib/affiliate/validators.ts</t>
  </si>
  <si>
    <t>lib/api/index.ts</t>
  </si>
  <si>
    <t>lib/api/mt5-client.ts</t>
  </si>
  <si>
    <t>lib/api/mt5-transform.ts</t>
  </si>
  <si>
    <t>lib/auth/auth-options.ts</t>
  </si>
  <si>
    <t>lib/auth/errors.ts</t>
  </si>
  <si>
    <t>lib/auth/permissions.ts</t>
  </si>
  <si>
    <t>lib/auth/session-tracker.ts</t>
  </si>
  <si>
    <t>lib/auth/session.ts</t>
  </si>
  <si>
    <t>lib/auth/two-factor.ts</t>
  </si>
  <si>
    <t>lib/cache/cache-manager.ts</t>
  </si>
  <si>
    <t>lib/constants/business-rules.ts</t>
  </si>
  <si>
    <t>lib/cron/check-expiring-subscriptions.ts</t>
  </si>
  <si>
    <t>lib/cron/downgrade-expired-subscriptions.ts</t>
  </si>
  <si>
    <t>lib/cron/monthly-distribution.ts</t>
  </si>
  <si>
    <t>lib/db/prisma.ts</t>
  </si>
  <si>
    <t>lib/db/seed.ts</t>
  </si>
  <si>
    <t>lib/disbursement/constants.ts</t>
  </si>
  <si>
    <t>lib/disbursement/cron/disbursement-processor.ts</t>
  </si>
  <si>
    <t>lib/disbursement/providers/base-provider.ts</t>
  </si>
  <si>
    <t>lib/disbursement/providers/mock-provider.ts</t>
  </si>
  <si>
    <t>lib/disbursement/providers/provider-factory.ts</t>
  </si>
  <si>
    <t>lib/disbursement/providers/rise/amount-converter.ts</t>
  </si>
  <si>
    <t>lib/disbursement/providers/rise/rise-provider.ts</t>
  </si>
  <si>
    <t>lib/disbursement/providers/rise/siwe-auth.ts</t>
  </si>
  <si>
    <t>lib/disbursement/providers/rise/webhook-verifier.ts</t>
  </si>
  <si>
    <t>lib/disbursement/services/batch-manager.ts</t>
  </si>
  <si>
    <t>lib/disbursement/services/commission-aggregator.ts</t>
  </si>
  <si>
    <t>lib/disbursement/services/payment-orchestrator.ts</t>
  </si>
  <si>
    <t>lib/disbursement/services/payout-calculator.ts</t>
  </si>
  <si>
    <t>lib/disbursement/services/retry-handler.ts</t>
  </si>
  <si>
    <t>lib/disbursement/services/transaction-logger.ts</t>
  </si>
  <si>
    <t>lib/disbursement/services/transaction-service.ts</t>
  </si>
  <si>
    <t>lib/disbursement/webhook/event-processor.ts</t>
  </si>
  <si>
    <t>lib/dlocal/constants.ts</t>
  </si>
  <si>
    <t>lib/dlocal/currency-converter.service.ts</t>
  </si>
  <si>
    <t>lib/dlocal/dlocal-payment.service.ts</t>
  </si>
  <si>
    <t>lib/dlocal/payment-methods.service.ts</t>
  </si>
  <si>
    <t>lib/dlocal/three-day-validator.service.ts</t>
  </si>
  <si>
    <t>lib/email/email.ts</t>
  </si>
  <si>
    <t>lib/email/subscription-emails.ts</t>
  </si>
  <si>
    <t>lib/errors/api-error.ts</t>
  </si>
  <si>
    <t>lib/errors/error-handler.ts</t>
  </si>
  <si>
    <t>lib/errors/error-logger.ts</t>
  </si>
  <si>
    <t>lib/fraud/fraud-detection.service.ts</t>
  </si>
  <si>
    <t>lib/geo/detect-country.ts</t>
  </si>
  <si>
    <t>lib/hooks/useAffiliateConfig.ts</t>
  </si>
  <si>
    <t>lib/jobs/alert-checker.ts</t>
  </si>
  <si>
    <t>lib/jobs/queue.ts</t>
  </si>
  <si>
    <t>lib/monitoring/system-monitor.ts</t>
  </si>
  <si>
    <t>lib/preferences/defaults.ts</t>
  </si>
  <si>
    <t>lib/redis/client.ts</t>
  </si>
  <si>
    <t>lib/security/device-detection.ts</t>
  </si>
  <si>
    <t>lib/stripe/stripe.ts</t>
  </si>
  <si>
    <t>lib/stripe/webhook-handlers.ts</t>
  </si>
  <si>
    <t>lib/tier/__tests__/constants.test.ts</t>
  </si>
  <si>
    <t>lib/tier/__tests__/validator.test.ts</t>
  </si>
  <si>
    <t>lib/tier/constants.ts</t>
  </si>
  <si>
    <t>lib/tier/index.ts</t>
  </si>
  <si>
    <t>lib/tier/validator.ts</t>
  </si>
  <si>
    <t>lib/utils/constants.ts</t>
  </si>
  <si>
    <t>lib/utils/formatters.ts</t>
  </si>
  <si>
    <t>lib/utils/helpers.ts</t>
  </si>
  <si>
    <t>lib/validations/alert.ts</t>
  </si>
  <si>
    <t>lib/validations/auth.ts</t>
  </si>
  <si>
    <t>lib/validations/user.ts</t>
  </si>
  <si>
    <t>lib/validations/watchlist.ts</t>
  </si>
  <si>
    <t>lib/websocket/server.ts</t>
  </si>
  <si>
    <t>lib/websocket/use-mt5-websocket.ts</t>
  </si>
  <si>
    <t>lib/candle-data-helpers.ts</t>
  </si>
  <si>
    <t>lib/csrf.ts</t>
  </si>
  <si>
    <t>lib/logger.ts</t>
  </si>
  <si>
    <t>lib/rate-limit.ts</t>
  </si>
  <si>
    <t>lib/tier-config.ts</t>
  </si>
  <si>
    <t>lib/tier-helpers.ts</t>
  </si>
  <si>
    <t>lib/tier-validation.ts</t>
  </si>
  <si>
    <t>lib/tokens.ts</t>
  </si>
  <si>
    <t>lib/utils.ts</t>
  </si>
  <si>
    <t>prisma/migrations/20251227000000_init/migration.sql</t>
  </si>
  <si>
    <t>prisma/schema.prisma</t>
  </si>
  <si>
    <t>prisma/seed.ts</t>
  </si>
  <si>
    <t>types/alert.ts</t>
  </si>
  <si>
    <t>types/api.ts</t>
  </si>
  <si>
    <t>types/disbursement.ts</t>
  </si>
  <si>
    <t>types/dlocal.ts</t>
  </si>
  <si>
    <t>types/index.ts</t>
  </si>
  <si>
    <t>types/indicator.ts</t>
  </si>
  <si>
    <t>types/next-auth.d.ts</t>
  </si>
  <si>
    <t>types/payment.ts</t>
  </si>
  <si>
    <t>types/prisma-stubs.d.ts</t>
  </si>
  <si>
    <t>types/tier.ts</t>
  </si>
  <si>
    <t>types/user.ts</t>
  </si>
  <si>
    <t>types/watchlist.ts</t>
  </si>
  <si>
    <t>middleware/tier-check.ts</t>
  </si>
  <si>
    <t>emails/index.ts</t>
  </si>
  <si>
    <t>__tests__/api/admin-affiliates.test.ts</t>
  </si>
  <si>
    <t>__tests__/api/admin-reports.test.ts</t>
  </si>
  <si>
    <t>__tests__/api/admin.test.ts</t>
  </si>
  <si>
    <t>__tests__/api/affiliate-conversion.test.ts</t>
  </si>
  <si>
    <t>__tests__/api/affiliate-dashboard.test.ts</t>
  </si>
  <si>
    <t>__tests__/api/affiliate-registration.test.ts</t>
  </si>
  <si>
    <t>__tests__/api/alerts.test.ts</t>
  </si>
  <si>
    <t>__tests__/api/notifications.test.ts</t>
  </si>
  <si>
    <t>__tests__/api/tier.test.ts</t>
  </si>
  <si>
    <t>__tests__/api/user.test.ts</t>
  </si>
  <si>
    <t>__tests__/api/watchlist.test.ts</t>
  </si>
  <si>
    <t>__tests__/api/cron-jobs.test.ts</t>
  </si>
  <si>
    <t>__tests__/api/cron/process-pending.test.ts</t>
  </si>
  <si>
    <t>__tests__/api/disbursement/affiliates.test.ts</t>
  </si>
  <si>
    <t>__tests__/api/disbursement/audit.test.ts</t>
  </si>
  <si>
    <t>__tests__/api/disbursement/batches.test.ts</t>
  </si>
  <si>
    <t>__tests__/api/disbursement/execute.test.ts</t>
  </si>
  <si>
    <t>__tests__/api/disbursement/health.test.ts</t>
  </si>
  <si>
    <t>__tests__/api/disbursement/pay.test.ts</t>
  </si>
  <si>
    <t>__tests__/api/disbursement/reports.test.ts</t>
  </si>
  <si>
    <t>__tests__/api/webhooks/dlocal/route.test.ts</t>
  </si>
  <si>
    <t>__tests__/api/webhooks/riseworks.test.ts</t>
  </si>
  <si>
    <t>__tests__/e2e/dlocal-payment-flow.test.ts</t>
  </si>
  <si>
    <t>__tests__/helpers/supertest-setup.ts</t>
  </si>
  <si>
    <t>__tests__/hooks/use-toast.test.ts</t>
  </si>
  <si>
    <t>__tests__/hooks/use-websocket.test.ts</t>
  </si>
  <si>
    <t>__tests__/integration/api-client-workflow.test.ts</t>
  </si>
  <si>
    <t>__tests__/integration/auth-email-flow.test.ts</t>
  </si>
  <si>
    <t>__tests__/integration/payment-creation.test.ts</t>
  </si>
  <si>
    <t>__tests__/integration/tier1-workflows.test.ts</t>
  </si>
  <si>
    <t>__tests__/integration/tier2-workflows.test.ts</t>
  </si>
  <si>
    <t>__tests__/integration/user-registration-flow.test.ts</t>
  </si>
  <si>
    <t>__tests__/integration/watchlist-management-flow.test.ts</t>
  </si>
  <si>
    <t>__tests__/lib/admin/affiliate-management.test.ts</t>
  </si>
  <si>
    <t>__tests__/lib/admin/code-distribution.test.ts</t>
  </si>
  <si>
    <t>__tests__/lib/admin/pnl-calculator.test.ts</t>
  </si>
  <si>
    <t>__tests__/lib/affiliate/code-generator.test.ts</t>
  </si>
  <si>
    <t>__tests__/lib/affiliate/commission-calculator.test.ts</t>
  </si>
  <si>
    <t>__tests__/lib/affiliate/registration.test.ts</t>
  </si>
  <si>
    <t>__tests__/lib/api/stack-a-client.test.ts</t>
  </si>
  <si>
    <t>__tests__/lib/api/stack-b-client.test.ts</t>
  </si>
  <si>
    <t>__tests__/lib/auth/errors.test.ts</t>
  </si>
  <si>
    <t>__tests__/lib/auth/permissions.test.ts</t>
  </si>
  <si>
    <t>__tests__/lib/auth/session.test.ts</t>
  </si>
  <si>
    <t>__tests__/lib/cron/check-expiring-subscriptions.test.ts</t>
  </si>
  <si>
    <t>__tests__/lib/cron/downgrade-expired-subscriptions.test.ts</t>
  </si>
  <si>
    <t>__tests__/lib/cron/monthly-distribution.test.ts</t>
  </si>
  <si>
    <t>__tests__/lib/db/prisma.test.ts</t>
  </si>
  <si>
    <t>__tests__/lib/db/seed.test.ts</t>
  </si>
  <si>
    <t>__tests__/lib/disbursement/constants.test.ts</t>
  </si>
  <si>
    <t>__tests__/lib/disbursement/providers/factory.test.ts</t>
  </si>
  <si>
    <t>__tests__/lib/disbursement/providers/mock.test.ts</t>
  </si>
  <si>
    <t>__tests__/lib/disbursement/providers/rise/webhook.test.ts</t>
  </si>
  <si>
    <t>__tests__/lib/disbursement/services/aggregator.test.ts</t>
  </si>
  <si>
    <t>__tests__/lib/disbursement/services/batch.test.ts</t>
  </si>
  <si>
    <t>__tests__/lib/disbursement/services/orchestrator.test.ts</t>
  </si>
  <si>
    <t>__tests__/lib/dlocal/constants.test.ts</t>
  </si>
  <si>
    <t>__tests__/lib/dlocal/currency-converter.test.ts</t>
  </si>
  <si>
    <t>__tests__/lib/dlocal/dlocal-payment.test.ts</t>
  </si>
  <si>
    <t>__tests__/lib/dlocal/payment-methods.test.ts</t>
  </si>
  <si>
    <t>__tests__/lib/dlocal/three-day-validator.test.ts</t>
  </si>
  <si>
    <t>__tests__/lib/email/email.test.ts</t>
  </si>
  <si>
    <t>__tests__/lib/errors/api-error.test.ts</t>
  </si>
  <si>
    <t>__tests__/lib/errors/error-handler.test.ts</t>
  </si>
  <si>
    <t>__tests__/lib/geo/detect-country.test.ts</t>
  </si>
  <si>
    <t>__tests__/lib/jobs/alert-checker.test.ts</t>
  </si>
  <si>
    <t>__tests__/lib/rate-limit.test.ts</t>
  </si>
  <si>
    <t>__tests__/lib/stripe/stripe.test.ts</t>
  </si>
  <si>
    <t>__tests__/lib/stripe/webhook-handlers.test.ts</t>
  </si>
  <si>
    <t>__tests__/lib/tier-config.test.ts</t>
  </si>
  <si>
    <t>__tests__/lib/tier-helpers.test.ts</t>
  </si>
  <si>
    <t>__tests__/lib/tier-validation.test.ts</t>
  </si>
  <si>
    <t>__tests__/lib/tokens.test.ts</t>
  </si>
  <si>
    <t>__tests__/lib/utils/constants.test.ts</t>
  </si>
  <si>
    <t>__tests__/lib/utils/formatters.test.ts</t>
  </si>
  <si>
    <t>__tests__/lib/utils/helpers.test.ts</t>
  </si>
  <si>
    <t>__tests__/lib/utils.test.ts</t>
  </si>
  <si>
    <t>__tests__/lib/validations/alert.test.ts</t>
  </si>
  <si>
    <t>__tests__/lib/validations/auth.test.ts</t>
  </si>
  <si>
    <t>__tests__/types/disbursement.test.ts</t>
  </si>
  <si>
    <t>__tests__/types/dlocal.test.ts</t>
  </si>
  <si>
    <t>__tests__/types/types.test.ts</t>
  </si>
  <si>
    <t>__tests__/example.test.ts</t>
  </si>
  <si>
    <t>__tests__/setup.ts</t>
  </si>
  <si>
    <t>hooks/use-api-client-example.ts</t>
  </si>
  <si>
    <t>lib/api-client.test.example.ts</t>
  </si>
  <si>
    <t>lib/api-client.ts</t>
  </si>
  <si>
    <t>next.config.js</t>
  </si>
  <si>
    <t>package.json</t>
  </si>
  <si>
    <t>postcss.config.js</t>
  </si>
  <si>
    <t>public/manifest.json</t>
  </si>
  <si>
    <t>scripts/verify-auth-config.js</t>
  </si>
  <si>
    <t>tailwind.config.ts</t>
  </si>
  <si>
    <t>tsconfig.json</t>
  </si>
  <si>
    <t>vercel.json</t>
  </si>
  <si>
    <t>mt5-service/.env.example</t>
  </si>
  <si>
    <t>mt5-service/Dockerfile</t>
  </si>
  <si>
    <t>mt5-service/requirements.txt</t>
  </si>
  <si>
    <t>mt5-service/requirements-dev.txt</t>
  </si>
  <si>
    <t>mt5-service/run.py</t>
  </si>
  <si>
    <t>mt5-service/app/__init__.py</t>
  </si>
  <si>
    <t>mt5-service/app/websocket.py</t>
  </si>
  <si>
    <t>mt5-service/app/routes/__init__.py</t>
  </si>
  <si>
    <t>mt5-service/app/routes/admin.py</t>
  </si>
  <si>
    <t>mt5-service/app/routes/indicators.py</t>
  </si>
  <si>
    <t>mt5-service/app/services/__init__.py</t>
  </si>
  <si>
    <t>mt5-service/app/services/health_monitor.py</t>
  </si>
  <si>
    <t>mt5-service/app/services/indicator_reader.py</t>
  </si>
  <si>
    <t>mt5-service/app/services/mt5_connection_pool.py</t>
  </si>
  <si>
    <t>mt5-service/app/services/tier_service.py</t>
  </si>
  <si>
    <t>mt5-service/app/utils/__init__.py</t>
  </si>
  <si>
    <t>mt5-service/app/utils/constants.py</t>
  </si>
  <si>
    <t>mt5-service/app/utils/symbol_resolver.py</t>
  </si>
  <si>
    <t>mt5-service/config/mt5_terminals.json</t>
  </si>
  <si>
    <t>mt5-service/config/mt5_terminals_test.json</t>
  </si>
  <si>
    <t>mt5-service/tests/conftest.py</t>
  </si>
  <si>
    <t>mt5-service/tests/mock_mt5_server.py</t>
  </si>
  <si>
    <t>mt5-service/tests/test_connection_pool.py</t>
  </si>
  <si>
    <t>mt5-service/tests/test_indicators.py</t>
  </si>
  <si>
    <t>mt5-service/tests/test_mt5_integration.py</t>
  </si>
  <si>
    <t>mt5-service/tests/test_symbol_resolver.py</t>
  </si>
  <si>
    <t>prisma/migrations/**</t>
  </si>
  <si>
    <t>lib/email/templates/affiliate/*.tsx</t>
  </si>
  <si>
    <t>mt5-service/.dockerignore</t>
  </si>
  <si>
    <t>app/(dashboard)/**/*.tsx files</t>
  </si>
  <si>
    <t>app/admin/**/*.tsx files</t>
  </si>
  <si>
    <t>app/affiliate/**/*.tsx files</t>
  </si>
  <si>
    <t>components/admin/ (14 files)</t>
  </si>
  <si>
    <t>components/affiliate/ (3 files)</t>
  </si>
  <si>
    <t>components/alerts/ (3 files)</t>
  </si>
  <si>
    <t>components/auth/ (4 files)</t>
  </si>
  <si>
    <t>components/billing/ (2 files)</t>
  </si>
  <si>
    <t>components/charts/ (5 files)</t>
  </si>
  <si>
    <t>components/dashboard/ (4 files)</t>
  </si>
  <si>
    <t>components/indicators/ (1 file)</t>
  </si>
  <si>
    <t>components/layout/ (4 files)</t>
  </si>
  <si>
    <t>components/notifications/ (2 files)</t>
  </si>
  <si>
    <t>components/payments/ (6 files)</t>
  </si>
  <si>
    <t>components/pricing/ (1 file)</t>
  </si>
  <si>
    <t>components/providers/ (2 files)</t>
  </si>
  <si>
    <t>components/ui/ (22 files)</t>
  </si>
  <si>
    <t>components/watchlist/ (3 files)</t>
  </si>
  <si>
    <t>components/theme-toggle.tsx (1 file)</t>
  </si>
  <si>
    <t>BACKEND</t>
  </si>
  <si>
    <t>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</si>
</sst>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8AAD2-20FB-40F4-B2D6-338D13E6764F}">
  <dimension ref="A1:C174"/>
  <sheetViews>
    <sheetView workbookViewId="0">
      <selection activeCell="C3" sqref="C3"/>
    </sheetView>
  </sheetViews>
  <sheetFormatPr defaultRowHeight="14.4" x14ac:dyDescent="0.55000000000000004"/>
  <cols>
    <col min="2" max="2" width="54" bestFit="1" customWidth="1"/>
    <col min="3" max="3" width="55.15625" customWidth="1"/>
  </cols>
  <sheetData>
    <row r="1" spans="1:3" ht="18.3" x14ac:dyDescent="0.7">
      <c r="A1" s="2" t="s">
        <v>323</v>
      </c>
    </row>
    <row r="3" spans="1:3" x14ac:dyDescent="0.55000000000000004">
      <c r="A3" s="3">
        <v>1</v>
      </c>
      <c r="B3" t="s">
        <v>0</v>
      </c>
      <c r="C3" t="str">
        <f>"frontend/" &amp; B3</f>
        <v>frontend/app/(auth)/login/page.tsx</v>
      </c>
    </row>
    <row r="4" spans="1:3" x14ac:dyDescent="0.55000000000000004">
      <c r="A4" s="3">
        <f>A3+1</f>
        <v>2</v>
      </c>
      <c r="B4" t="s">
        <v>1</v>
      </c>
      <c r="C4" t="str">
        <f t="shared" ref="C4:C67" si="0">"frontend/" &amp; B4</f>
        <v>frontend/app/(auth)/register/page.tsx</v>
      </c>
    </row>
    <row r="5" spans="1:3" x14ac:dyDescent="0.55000000000000004">
      <c r="A5" s="3">
        <f t="shared" ref="A5:A68" si="1">A4+1</f>
        <v>3</v>
      </c>
      <c r="B5" t="s">
        <v>2</v>
      </c>
      <c r="C5" t="str">
        <f t="shared" si="0"/>
        <v>frontend/app/(auth)/forgot-password/page.tsx</v>
      </c>
    </row>
    <row r="6" spans="1:3" x14ac:dyDescent="0.55000000000000004">
      <c r="A6" s="3">
        <f t="shared" si="1"/>
        <v>4</v>
      </c>
      <c r="B6" t="s">
        <v>3</v>
      </c>
      <c r="C6" t="str">
        <f t="shared" si="0"/>
        <v>frontend/app/(auth)/reset-password/page.tsx</v>
      </c>
    </row>
    <row r="7" spans="1:3" x14ac:dyDescent="0.55000000000000004">
      <c r="A7" s="3">
        <f t="shared" si="1"/>
        <v>5</v>
      </c>
      <c r="B7" t="s">
        <v>4</v>
      </c>
      <c r="C7" t="str">
        <f t="shared" si="0"/>
        <v>frontend/app/(auth)/verify-email/page.tsx</v>
      </c>
    </row>
    <row r="8" spans="1:3" x14ac:dyDescent="0.55000000000000004">
      <c r="A8" s="3">
        <f t="shared" si="1"/>
        <v>6</v>
      </c>
      <c r="B8" t="s">
        <v>5</v>
      </c>
      <c r="C8" t="str">
        <f t="shared" si="0"/>
        <v>frontend/app/(auth)/verify-email/pending/page.tsx</v>
      </c>
    </row>
    <row r="9" spans="1:3" x14ac:dyDescent="0.55000000000000004">
      <c r="A9" s="3">
        <f t="shared" si="1"/>
        <v>7</v>
      </c>
      <c r="B9" t="s">
        <v>6</v>
      </c>
      <c r="C9" t="str">
        <f t="shared" si="0"/>
        <v>frontend/app/(auth)/verify-2fa/page.tsx</v>
      </c>
    </row>
    <row r="10" spans="1:3" x14ac:dyDescent="0.55000000000000004">
      <c r="A10" s="3">
        <f t="shared" si="1"/>
        <v>8</v>
      </c>
      <c r="B10" t="s">
        <v>7</v>
      </c>
      <c r="C10" t="str">
        <f t="shared" si="0"/>
        <v>frontend/app/(auth)/layout.tsx</v>
      </c>
    </row>
    <row r="11" spans="1:3" x14ac:dyDescent="0.55000000000000004">
      <c r="A11" s="3">
        <f t="shared" si="1"/>
        <v>9</v>
      </c>
      <c r="B11" t="s">
        <v>8</v>
      </c>
      <c r="C11" t="str">
        <f t="shared" si="0"/>
        <v>frontend/app/(auth)/loading.tsx</v>
      </c>
    </row>
    <row r="12" spans="1:3" x14ac:dyDescent="0.55000000000000004">
      <c r="A12" s="3">
        <f t="shared" si="1"/>
        <v>10</v>
      </c>
      <c r="B12" t="s">
        <v>144</v>
      </c>
      <c r="C12" t="str">
        <f t="shared" si="0"/>
        <v>frontend/app/(marketing)/page.tsx</v>
      </c>
    </row>
    <row r="13" spans="1:3" x14ac:dyDescent="0.55000000000000004">
      <c r="A13" s="3">
        <f t="shared" si="1"/>
        <v>11</v>
      </c>
      <c r="B13" t="s">
        <v>122</v>
      </c>
      <c r="C13" t="str">
        <f t="shared" si="0"/>
        <v>frontend/app/(marketing)/pricing/page.tsx</v>
      </c>
    </row>
    <row r="14" spans="1:3" x14ac:dyDescent="0.55000000000000004">
      <c r="A14" s="3">
        <f t="shared" si="1"/>
        <v>12</v>
      </c>
      <c r="B14" t="s">
        <v>143</v>
      </c>
      <c r="C14" t="str">
        <f t="shared" si="0"/>
        <v>frontend/app/(marketing)/layout.tsx</v>
      </c>
    </row>
    <row r="15" spans="1:3" x14ac:dyDescent="0.55000000000000004">
      <c r="A15" s="3">
        <f t="shared" si="1"/>
        <v>13</v>
      </c>
      <c r="B15" t="s">
        <v>178</v>
      </c>
      <c r="C15" t="str">
        <f t="shared" si="0"/>
        <v>frontend/app/(marketing)/landing-content.tsx</v>
      </c>
    </row>
    <row r="16" spans="1:3" x14ac:dyDescent="0.55000000000000004">
      <c r="A16" s="3">
        <f t="shared" si="1"/>
        <v>14</v>
      </c>
      <c r="B16" t="s">
        <v>69</v>
      </c>
      <c r="C16" t="str">
        <f t="shared" si="0"/>
        <v>frontend/app/(dashboard)/dashboard/page.tsx</v>
      </c>
    </row>
    <row r="17" spans="1:3" x14ac:dyDescent="0.55000000000000004">
      <c r="A17" s="3">
        <f t="shared" si="1"/>
        <v>15</v>
      </c>
      <c r="B17" t="s">
        <v>179</v>
      </c>
      <c r="C17" t="str">
        <f t="shared" si="0"/>
        <v>frontend/app/(dashboard)/dashboard/loading.tsx</v>
      </c>
    </row>
    <row r="18" spans="1:3" x14ac:dyDescent="0.55000000000000004">
      <c r="A18" s="3">
        <f t="shared" si="1"/>
        <v>16</v>
      </c>
      <c r="B18" t="s">
        <v>180</v>
      </c>
      <c r="C18" t="str">
        <f t="shared" si="0"/>
        <v>frontend/app/(dashboard)/dashboard/alerts/page.tsx</v>
      </c>
    </row>
    <row r="19" spans="1:3" x14ac:dyDescent="0.55000000000000004">
      <c r="A19" s="3">
        <f t="shared" si="1"/>
        <v>17</v>
      </c>
      <c r="B19" t="s">
        <v>181</v>
      </c>
      <c r="C19" t="str">
        <f t="shared" si="0"/>
        <v>frontend/app/(dashboard)/dashboard/alerts/loading.tsx</v>
      </c>
    </row>
    <row r="20" spans="1:3" x14ac:dyDescent="0.55000000000000004">
      <c r="A20" s="3">
        <f t="shared" si="1"/>
        <v>18</v>
      </c>
      <c r="B20" t="s">
        <v>182</v>
      </c>
      <c r="C20" t="str">
        <f t="shared" si="0"/>
        <v>frontend/app/(dashboard)/dashboard/alerts/new/page.tsx</v>
      </c>
    </row>
    <row r="21" spans="1:3" x14ac:dyDescent="0.55000000000000004">
      <c r="A21" s="3">
        <f t="shared" si="1"/>
        <v>19</v>
      </c>
      <c r="B21" t="s">
        <v>183</v>
      </c>
      <c r="C21" t="str">
        <f t="shared" si="0"/>
        <v>frontend/app/(dashboard)/dashboard/alerts/[id]/page.tsx</v>
      </c>
    </row>
    <row r="22" spans="1:3" x14ac:dyDescent="0.55000000000000004">
      <c r="A22" s="3">
        <f t="shared" si="1"/>
        <v>20</v>
      </c>
      <c r="B22" t="s">
        <v>184</v>
      </c>
      <c r="C22" t="str">
        <f t="shared" si="0"/>
        <v>frontend/app/(dashboard)/dashboard/alerts/[id]/edit/page.tsx</v>
      </c>
    </row>
    <row r="23" spans="1:3" x14ac:dyDescent="0.55000000000000004">
      <c r="A23" s="3">
        <f t="shared" si="1"/>
        <v>21</v>
      </c>
      <c r="B23" t="s">
        <v>185</v>
      </c>
      <c r="C23" t="str">
        <f t="shared" si="0"/>
        <v>frontend/app/(dashboard)/dashboard/alerts/[id]/loading.tsx</v>
      </c>
    </row>
    <row r="24" spans="1:3" x14ac:dyDescent="0.55000000000000004">
      <c r="A24" s="3">
        <f t="shared" si="1"/>
        <v>22</v>
      </c>
      <c r="B24" t="s">
        <v>186</v>
      </c>
      <c r="C24" t="str">
        <f t="shared" si="0"/>
        <v>frontend/app/(dashboard)/dashboard/alerts/[id]/error.tsx</v>
      </c>
    </row>
    <row r="25" spans="1:3" x14ac:dyDescent="0.55000000000000004">
      <c r="A25" s="3">
        <f t="shared" si="1"/>
        <v>23</v>
      </c>
      <c r="B25" t="s">
        <v>187</v>
      </c>
      <c r="C25" t="str">
        <f t="shared" si="0"/>
        <v>frontend/app/(dashboard)/dashboard/watchlist/page.tsx</v>
      </c>
    </row>
    <row r="26" spans="1:3" x14ac:dyDescent="0.55000000000000004">
      <c r="A26" s="3">
        <f t="shared" si="1"/>
        <v>24</v>
      </c>
      <c r="B26" t="s">
        <v>188</v>
      </c>
      <c r="C26" t="str">
        <f t="shared" si="0"/>
        <v>frontend/app/(dashboard)/dashboard/watchlist/loading.tsx</v>
      </c>
    </row>
    <row r="27" spans="1:3" x14ac:dyDescent="0.55000000000000004">
      <c r="A27" s="3">
        <f t="shared" si="1"/>
        <v>25</v>
      </c>
      <c r="B27" t="s">
        <v>189</v>
      </c>
      <c r="C27" t="str">
        <f t="shared" si="0"/>
        <v>frontend/app/(dashboard)/dashboard/subscription/page.tsx</v>
      </c>
    </row>
    <row r="28" spans="1:3" x14ac:dyDescent="0.55000000000000004">
      <c r="A28" s="3">
        <f t="shared" si="1"/>
        <v>26</v>
      </c>
      <c r="B28" t="s">
        <v>190</v>
      </c>
      <c r="C28" t="str">
        <f t="shared" si="0"/>
        <v>frontend/app/(dashboard)/dashboard/subscription/loading.tsx</v>
      </c>
    </row>
    <row r="29" spans="1:3" x14ac:dyDescent="0.55000000000000004">
      <c r="A29" s="3">
        <f t="shared" si="1"/>
        <v>27</v>
      </c>
      <c r="B29" t="s">
        <v>191</v>
      </c>
      <c r="C29" t="str">
        <f t="shared" si="0"/>
        <v>frontend/app/(dashboard)/dashboard/subscription/upgrade/page.tsx</v>
      </c>
    </row>
    <row r="30" spans="1:3" x14ac:dyDescent="0.55000000000000004">
      <c r="A30" s="3">
        <f t="shared" si="1"/>
        <v>28</v>
      </c>
      <c r="B30" t="s">
        <v>192</v>
      </c>
      <c r="C30" t="str">
        <f t="shared" si="0"/>
        <v>frontend/app/(dashboard)/dashboard/subscription/success/page.tsx</v>
      </c>
    </row>
    <row r="31" spans="1:3" x14ac:dyDescent="0.55000000000000004">
      <c r="A31" s="3">
        <f t="shared" si="1"/>
        <v>29</v>
      </c>
      <c r="B31" t="s">
        <v>193</v>
      </c>
      <c r="C31" t="str">
        <f t="shared" si="0"/>
        <v>frontend/app/(dashboard)/dashboard/subscription/canceled/page.tsx</v>
      </c>
    </row>
    <row r="32" spans="1:3" x14ac:dyDescent="0.55000000000000004">
      <c r="A32" s="3">
        <f t="shared" si="1"/>
        <v>30</v>
      </c>
      <c r="B32" t="s">
        <v>194</v>
      </c>
      <c r="C32" t="str">
        <f t="shared" si="0"/>
        <v>frontend/app/(dashboard)/dashboard/checkout/page.tsx</v>
      </c>
    </row>
    <row r="33" spans="1:3" x14ac:dyDescent="0.55000000000000004">
      <c r="A33" s="3">
        <f t="shared" si="1"/>
        <v>31</v>
      </c>
      <c r="B33" t="s">
        <v>195</v>
      </c>
      <c r="C33" t="str">
        <f t="shared" si="0"/>
        <v>frontend/app/(dashboard)/dashboard/checkout/success/page.tsx</v>
      </c>
    </row>
    <row r="34" spans="1:3" x14ac:dyDescent="0.55000000000000004">
      <c r="A34" s="3">
        <f t="shared" si="1"/>
        <v>32</v>
      </c>
      <c r="B34" t="s">
        <v>196</v>
      </c>
      <c r="C34" t="str">
        <f t="shared" si="0"/>
        <v>frontend/app/(dashboard)/dashboard/settings/page.tsx</v>
      </c>
    </row>
    <row r="35" spans="1:3" x14ac:dyDescent="0.55000000000000004">
      <c r="A35" s="3">
        <f t="shared" si="1"/>
        <v>33</v>
      </c>
      <c r="B35" t="s">
        <v>197</v>
      </c>
      <c r="C35" t="str">
        <f t="shared" si="0"/>
        <v>frontend/app/(dashboard)/dashboard/settings/loading.tsx</v>
      </c>
    </row>
    <row r="36" spans="1:3" x14ac:dyDescent="0.55000000000000004">
      <c r="A36" s="3">
        <f t="shared" si="1"/>
        <v>34</v>
      </c>
      <c r="B36" t="s">
        <v>198</v>
      </c>
      <c r="C36" t="str">
        <f t="shared" si="0"/>
        <v>frontend/app/(dashboard)/dashboard/settings/security/page.tsx</v>
      </c>
    </row>
    <row r="37" spans="1:3" x14ac:dyDescent="0.55000000000000004">
      <c r="A37" s="3">
        <f t="shared" si="1"/>
        <v>35</v>
      </c>
      <c r="B37" t="s">
        <v>199</v>
      </c>
      <c r="C37" t="str">
        <f t="shared" si="0"/>
        <v>frontend/app/(dashboard)/dashboard/settings/preferences/page.tsx</v>
      </c>
    </row>
    <row r="38" spans="1:3" x14ac:dyDescent="0.55000000000000004">
      <c r="A38" s="3">
        <f t="shared" si="1"/>
        <v>36</v>
      </c>
      <c r="B38" t="s">
        <v>200</v>
      </c>
      <c r="C38" t="str">
        <f t="shared" si="0"/>
        <v>frontend/app/(dashboard)/dashboard/settings/account/page.tsx</v>
      </c>
    </row>
    <row r="39" spans="1:3" x14ac:dyDescent="0.55000000000000004">
      <c r="A39" s="3">
        <f t="shared" si="1"/>
        <v>37</v>
      </c>
      <c r="B39" t="s">
        <v>68</v>
      </c>
      <c r="C39" t="str">
        <f t="shared" si="0"/>
        <v>frontend/app/(dashboard)/layout.tsx</v>
      </c>
    </row>
    <row r="40" spans="1:3" x14ac:dyDescent="0.55000000000000004">
      <c r="A40" s="3">
        <f t="shared" si="1"/>
        <v>38</v>
      </c>
      <c r="B40" t="s">
        <v>201</v>
      </c>
      <c r="C40" t="str">
        <f t="shared" si="0"/>
        <v>frontend/app/(dashboard)/loading.tsx</v>
      </c>
    </row>
    <row r="41" spans="1:3" x14ac:dyDescent="0.55000000000000004">
      <c r="A41" s="3">
        <f t="shared" si="1"/>
        <v>39</v>
      </c>
      <c r="B41" t="s">
        <v>202</v>
      </c>
      <c r="C41" t="str">
        <f t="shared" si="0"/>
        <v>frontend/app/(dashboard)/error.tsx</v>
      </c>
    </row>
    <row r="42" spans="1:3" x14ac:dyDescent="0.55000000000000004">
      <c r="A42" s="3">
        <f t="shared" si="1"/>
        <v>40</v>
      </c>
      <c r="B42" t="s">
        <v>203</v>
      </c>
      <c r="C42" t="str">
        <f t="shared" si="0"/>
        <v>frontend/app/(admin)/admin/page.tsx</v>
      </c>
    </row>
    <row r="43" spans="1:3" x14ac:dyDescent="0.55000000000000004">
      <c r="A43" s="3">
        <f t="shared" si="1"/>
        <v>41</v>
      </c>
      <c r="B43" t="s">
        <v>204</v>
      </c>
      <c r="C43" t="str">
        <f t="shared" si="0"/>
        <v>frontend/app/(admin)/admin/loading.tsx</v>
      </c>
    </row>
    <row r="44" spans="1:3" x14ac:dyDescent="0.55000000000000004">
      <c r="A44" s="3">
        <f t="shared" si="1"/>
        <v>42</v>
      </c>
      <c r="B44" t="s">
        <v>205</v>
      </c>
      <c r="C44" t="str">
        <f t="shared" si="0"/>
        <v>frontend/app/(admin)/admin/layout.tsx</v>
      </c>
    </row>
    <row r="45" spans="1:3" x14ac:dyDescent="0.55000000000000004">
      <c r="A45" s="3">
        <f t="shared" si="1"/>
        <v>43</v>
      </c>
      <c r="B45" t="s">
        <v>206</v>
      </c>
      <c r="C45" t="str">
        <f t="shared" si="0"/>
        <v>frontend/app/(admin)/admin/users/page.tsx</v>
      </c>
    </row>
    <row r="46" spans="1:3" x14ac:dyDescent="0.55000000000000004">
      <c r="A46" s="3">
        <f t="shared" si="1"/>
        <v>44</v>
      </c>
      <c r="B46" t="s">
        <v>207</v>
      </c>
      <c r="C46" t="str">
        <f t="shared" si="0"/>
        <v>frontend/app/(admin)/admin/users/loading.tsx</v>
      </c>
    </row>
    <row r="47" spans="1:3" x14ac:dyDescent="0.55000000000000004">
      <c r="A47" s="3">
        <f t="shared" si="1"/>
        <v>45</v>
      </c>
      <c r="B47" t="s">
        <v>208</v>
      </c>
      <c r="C47" t="str">
        <f t="shared" si="0"/>
        <v>frontend/app/(admin)/admin/users/[id]/page.tsx</v>
      </c>
    </row>
    <row r="48" spans="1:3" x14ac:dyDescent="0.55000000000000004">
      <c r="A48" s="3">
        <f t="shared" si="1"/>
        <v>46</v>
      </c>
      <c r="B48" t="s">
        <v>209</v>
      </c>
      <c r="C48" t="str">
        <f t="shared" si="0"/>
        <v>frontend/app/(admin)/admin/analytics/page.tsx</v>
      </c>
    </row>
    <row r="49" spans="1:3" x14ac:dyDescent="0.55000000000000004">
      <c r="A49" s="3">
        <f t="shared" si="1"/>
        <v>47</v>
      </c>
      <c r="B49" t="s">
        <v>210</v>
      </c>
      <c r="C49" t="str">
        <f t="shared" si="0"/>
        <v>frontend/app/(admin)/admin/analytics/loading.tsx</v>
      </c>
    </row>
    <row r="50" spans="1:3" x14ac:dyDescent="0.55000000000000004">
      <c r="A50" s="3">
        <f t="shared" si="1"/>
        <v>48</v>
      </c>
      <c r="B50" t="s">
        <v>211</v>
      </c>
      <c r="C50" t="str">
        <f t="shared" si="0"/>
        <v>frontend/app/(admin)/admin/api-usage/page.tsx</v>
      </c>
    </row>
    <row r="51" spans="1:3" x14ac:dyDescent="0.55000000000000004">
      <c r="A51" s="3">
        <f t="shared" si="1"/>
        <v>49</v>
      </c>
      <c r="B51" t="s">
        <v>212</v>
      </c>
      <c r="C51" t="str">
        <f t="shared" si="0"/>
        <v>frontend/app/(admin)/admin/api-usage/loading.tsx</v>
      </c>
    </row>
    <row r="52" spans="1:3" x14ac:dyDescent="0.55000000000000004">
      <c r="A52" s="3">
        <f t="shared" si="1"/>
        <v>50</v>
      </c>
      <c r="B52" t="s">
        <v>213</v>
      </c>
      <c r="C52" t="str">
        <f t="shared" si="0"/>
        <v>frontend/app/(admin)/admin/error-logs/page.tsx</v>
      </c>
    </row>
    <row r="53" spans="1:3" x14ac:dyDescent="0.55000000000000004">
      <c r="A53" s="3">
        <f t="shared" si="1"/>
        <v>51</v>
      </c>
      <c r="B53" t="s">
        <v>214</v>
      </c>
      <c r="C53" t="str">
        <f t="shared" si="0"/>
        <v>frontend/app/(admin)/admin/fraud/page.tsx</v>
      </c>
    </row>
    <row r="54" spans="1:3" x14ac:dyDescent="0.55000000000000004">
      <c r="A54" s="3">
        <f t="shared" si="1"/>
        <v>52</v>
      </c>
      <c r="B54" t="s">
        <v>215</v>
      </c>
      <c r="C54" t="str">
        <f t="shared" si="0"/>
        <v>frontend/app/(admin)/admin/fraud/loading.tsx</v>
      </c>
    </row>
    <row r="55" spans="1:3" x14ac:dyDescent="0.55000000000000004">
      <c r="A55" s="3">
        <f t="shared" si="1"/>
        <v>53</v>
      </c>
      <c r="B55" t="s">
        <v>216</v>
      </c>
      <c r="C55" t="str">
        <f t="shared" si="0"/>
        <v>frontend/app/(admin)/admin/fraud/alerts/page.tsx</v>
      </c>
    </row>
    <row r="56" spans="1:3" x14ac:dyDescent="0.55000000000000004">
      <c r="A56" s="3">
        <f t="shared" si="1"/>
        <v>54</v>
      </c>
      <c r="B56" t="s">
        <v>217</v>
      </c>
      <c r="C56" t="str">
        <f t="shared" si="0"/>
        <v>frontend/app/(admin)/admin/affiliates/page.tsx</v>
      </c>
    </row>
    <row r="57" spans="1:3" x14ac:dyDescent="0.55000000000000004">
      <c r="A57" s="3">
        <f t="shared" si="1"/>
        <v>55</v>
      </c>
      <c r="B57" t="s">
        <v>218</v>
      </c>
      <c r="C57" t="str">
        <f t="shared" si="0"/>
        <v>frontend/app/(admin)/admin/affiliates/loading.tsx</v>
      </c>
    </row>
    <row r="58" spans="1:3" x14ac:dyDescent="0.55000000000000004">
      <c r="A58" s="3">
        <f t="shared" si="1"/>
        <v>56</v>
      </c>
      <c r="B58" t="s">
        <v>219</v>
      </c>
      <c r="C58" t="str">
        <f t="shared" si="0"/>
        <v>frontend/app/(admin)/admin/affiliates/[id]/page.tsx</v>
      </c>
    </row>
    <row r="59" spans="1:3" x14ac:dyDescent="0.55000000000000004">
      <c r="A59" s="3">
        <f t="shared" si="1"/>
        <v>57</v>
      </c>
      <c r="B59" t="s">
        <v>220</v>
      </c>
      <c r="C59" t="str">
        <f t="shared" si="0"/>
        <v>frontend/app/(admin)/admin/affiliates/[id]/loading.tsx</v>
      </c>
    </row>
    <row r="60" spans="1:3" x14ac:dyDescent="0.55000000000000004">
      <c r="A60" s="3">
        <f t="shared" si="1"/>
        <v>58</v>
      </c>
      <c r="B60" t="s">
        <v>221</v>
      </c>
      <c r="C60" t="str">
        <f t="shared" si="0"/>
        <v>frontend/app/(admin)/admin/affiliates/reports/code-inventory/page.tsx</v>
      </c>
    </row>
    <row r="61" spans="1:3" x14ac:dyDescent="0.55000000000000004">
      <c r="A61" s="3">
        <f t="shared" si="1"/>
        <v>59</v>
      </c>
      <c r="B61" t="s">
        <v>222</v>
      </c>
      <c r="C61" t="str">
        <f t="shared" si="0"/>
        <v>frontend/app/(admin)/admin/affiliates/reports/commission-owings/page.tsx</v>
      </c>
    </row>
    <row r="62" spans="1:3" x14ac:dyDescent="0.55000000000000004">
      <c r="A62" s="3">
        <f t="shared" si="1"/>
        <v>60</v>
      </c>
      <c r="B62" t="s">
        <v>223</v>
      </c>
      <c r="C62" t="str">
        <f t="shared" si="0"/>
        <v>frontend/app/(admin)/admin/affiliates/reports/profit-loss/page.tsx</v>
      </c>
    </row>
    <row r="63" spans="1:3" x14ac:dyDescent="0.55000000000000004">
      <c r="A63" s="3">
        <f t="shared" si="1"/>
        <v>61</v>
      </c>
      <c r="B63" t="s">
        <v>224</v>
      </c>
      <c r="C63" t="str">
        <f t="shared" si="0"/>
        <v>frontend/app/(admin)/admin/affiliates/reports/sales-performance/page.tsx</v>
      </c>
    </row>
    <row r="64" spans="1:3" x14ac:dyDescent="0.55000000000000004">
      <c r="A64" s="3">
        <f t="shared" si="1"/>
        <v>62</v>
      </c>
      <c r="B64" t="s">
        <v>225</v>
      </c>
      <c r="C64" t="str">
        <f t="shared" si="0"/>
        <v>frontend/app/(admin)/admin/settings/page.tsx</v>
      </c>
    </row>
    <row r="65" spans="1:3" x14ac:dyDescent="0.55000000000000004">
      <c r="A65" s="3">
        <f t="shared" si="1"/>
        <v>63</v>
      </c>
      <c r="B65" t="s">
        <v>226</v>
      </c>
      <c r="C65" t="str">
        <f t="shared" si="0"/>
        <v>frontend/app/(admin)/admin/settings/affiliate/page.tsx</v>
      </c>
    </row>
    <row r="66" spans="1:3" x14ac:dyDescent="0.55000000000000004">
      <c r="A66" s="3">
        <f t="shared" si="1"/>
        <v>64</v>
      </c>
      <c r="B66" t="s">
        <v>227</v>
      </c>
      <c r="C66" t="str">
        <f t="shared" si="0"/>
        <v>frontend/app/(affiliate)/affiliate/login/page.tsx</v>
      </c>
    </row>
    <row r="67" spans="1:3" x14ac:dyDescent="0.55000000000000004">
      <c r="A67" s="3">
        <f t="shared" si="1"/>
        <v>65</v>
      </c>
      <c r="B67" t="s">
        <v>228</v>
      </c>
      <c r="C67" t="str">
        <f t="shared" si="0"/>
        <v>frontend/app/(affiliate)/affiliate/register/page.tsx</v>
      </c>
    </row>
    <row r="68" spans="1:3" x14ac:dyDescent="0.55000000000000004">
      <c r="A68" s="3">
        <f t="shared" si="1"/>
        <v>66</v>
      </c>
      <c r="B68" t="s">
        <v>229</v>
      </c>
      <c r="C68" t="str">
        <f t="shared" ref="C68:C131" si="2">"frontend/" &amp; B68</f>
        <v>frontend/app/(affiliate)/affiliate/verify-email/page.tsx</v>
      </c>
    </row>
    <row r="69" spans="1:3" x14ac:dyDescent="0.55000000000000004">
      <c r="A69" s="3">
        <f t="shared" ref="A69:A132" si="3">A68+1</f>
        <v>67</v>
      </c>
      <c r="B69" t="s">
        <v>230</v>
      </c>
      <c r="C69" t="str">
        <f t="shared" si="2"/>
        <v>frontend/app/(affiliate)/affiliate/dashboard/page.tsx</v>
      </c>
    </row>
    <row r="70" spans="1:3" x14ac:dyDescent="0.55000000000000004">
      <c r="A70" s="3">
        <f t="shared" si="3"/>
        <v>68</v>
      </c>
      <c r="B70" t="s">
        <v>231</v>
      </c>
      <c r="C70" t="str">
        <f t="shared" si="2"/>
        <v>frontend/app/(affiliate)/affiliate/dashboard/loading.tsx</v>
      </c>
    </row>
    <row r="71" spans="1:3" x14ac:dyDescent="0.55000000000000004">
      <c r="A71" s="3">
        <f t="shared" si="3"/>
        <v>69</v>
      </c>
      <c r="B71" t="s">
        <v>232</v>
      </c>
      <c r="C71" t="str">
        <f t="shared" si="2"/>
        <v>frontend/app/(affiliate)/affiliate/codes/page.tsx</v>
      </c>
    </row>
    <row r="72" spans="1:3" x14ac:dyDescent="0.55000000000000004">
      <c r="A72" s="3">
        <f t="shared" si="3"/>
        <v>70</v>
      </c>
      <c r="B72" t="s">
        <v>233</v>
      </c>
      <c r="C72" t="str">
        <f t="shared" si="2"/>
        <v>frontend/app/(affiliate)/affiliate/codes/loading.tsx</v>
      </c>
    </row>
    <row r="73" spans="1:3" x14ac:dyDescent="0.55000000000000004">
      <c r="A73" s="3">
        <f t="shared" si="3"/>
        <v>71</v>
      </c>
      <c r="B73" t="s">
        <v>234</v>
      </c>
      <c r="C73" t="str">
        <f t="shared" si="2"/>
        <v>frontend/app/(affiliate)/affiliate/reports/code-inventory/page.tsx</v>
      </c>
    </row>
    <row r="74" spans="1:3" x14ac:dyDescent="0.55000000000000004">
      <c r="A74" s="3">
        <f t="shared" si="3"/>
        <v>72</v>
      </c>
      <c r="B74" t="s">
        <v>235</v>
      </c>
      <c r="C74" t="str">
        <f t="shared" si="2"/>
        <v>frontend/app/(affiliate)/affiliate/reports/commissions/page.tsx</v>
      </c>
    </row>
    <row r="75" spans="1:3" x14ac:dyDescent="0.55000000000000004">
      <c r="A75" s="3">
        <f t="shared" si="3"/>
        <v>73</v>
      </c>
      <c r="B75" t="s">
        <v>236</v>
      </c>
      <c r="C75" t="str">
        <f t="shared" si="2"/>
        <v>frontend/app/(affiliate)/affiliate/reports/loading.tsx</v>
      </c>
    </row>
    <row r="76" spans="1:3" x14ac:dyDescent="0.55000000000000004">
      <c r="A76" s="3">
        <f t="shared" si="3"/>
        <v>74</v>
      </c>
      <c r="B76" t="s">
        <v>237</v>
      </c>
      <c r="C76" t="str">
        <f t="shared" si="2"/>
        <v>frontend/app/(affiliate)/affiliate/settings/page.tsx</v>
      </c>
    </row>
    <row r="77" spans="1:3" x14ac:dyDescent="0.55000000000000004">
      <c r="A77" s="3">
        <f t="shared" si="3"/>
        <v>75</v>
      </c>
      <c r="B77" t="s">
        <v>238</v>
      </c>
      <c r="C77" t="str">
        <f t="shared" si="2"/>
        <v>frontend/app/(affiliate)/affiliate/settings/profile/page.tsx</v>
      </c>
    </row>
    <row r="78" spans="1:3" x14ac:dyDescent="0.55000000000000004">
      <c r="A78" s="3">
        <f t="shared" si="3"/>
        <v>76</v>
      </c>
      <c r="B78" t="s">
        <v>239</v>
      </c>
      <c r="C78" t="str">
        <f t="shared" si="2"/>
        <v>frontend/app/(affiliate)/affiliate/settings/payment/page.tsx</v>
      </c>
    </row>
    <row r="79" spans="1:3" x14ac:dyDescent="0.55000000000000004">
      <c r="A79" s="3">
        <f t="shared" si="3"/>
        <v>77</v>
      </c>
      <c r="B79" t="s">
        <v>240</v>
      </c>
      <c r="C79" t="str">
        <f t="shared" si="2"/>
        <v>frontend/app/(affiliate)/affiliate/settings/loading.tsx</v>
      </c>
    </row>
    <row r="80" spans="1:3" x14ac:dyDescent="0.55000000000000004">
      <c r="A80" s="3">
        <f t="shared" si="3"/>
        <v>78</v>
      </c>
      <c r="B80" t="s">
        <v>241</v>
      </c>
      <c r="C80" t="str">
        <f t="shared" si="2"/>
        <v>frontend/app/(affiliate)/layout.tsx</v>
      </c>
    </row>
    <row r="81" spans="1:3" x14ac:dyDescent="0.55000000000000004">
      <c r="A81" s="3">
        <f t="shared" si="3"/>
        <v>79</v>
      </c>
      <c r="B81" t="s">
        <v>242</v>
      </c>
      <c r="C81" t="str">
        <f t="shared" si="2"/>
        <v>frontend/app/(affiliate)/loading.tsx</v>
      </c>
    </row>
    <row r="82" spans="1:3" x14ac:dyDescent="0.55000000000000004">
      <c r="A82" s="3">
        <f t="shared" si="3"/>
        <v>80</v>
      </c>
      <c r="B82" t="s">
        <v>243</v>
      </c>
      <c r="C82" t="str">
        <f t="shared" si="2"/>
        <v>frontend/app/(disbursement)/disbursement/page.tsx</v>
      </c>
    </row>
    <row r="83" spans="1:3" x14ac:dyDescent="0.55000000000000004">
      <c r="A83" s="3">
        <f t="shared" si="3"/>
        <v>81</v>
      </c>
      <c r="B83" t="s">
        <v>244</v>
      </c>
      <c r="C83" t="str">
        <f t="shared" si="2"/>
        <v>frontend/app/(disbursement)/disbursement/loading.tsx</v>
      </c>
    </row>
    <row r="84" spans="1:3" x14ac:dyDescent="0.55000000000000004">
      <c r="A84" s="3">
        <f t="shared" si="3"/>
        <v>82</v>
      </c>
      <c r="B84" t="s">
        <v>245</v>
      </c>
      <c r="C84" t="str">
        <f t="shared" si="2"/>
        <v>frontend/app/(disbursement)/disbursement/config/page.tsx</v>
      </c>
    </row>
    <row r="85" spans="1:3" x14ac:dyDescent="0.55000000000000004">
      <c r="A85" s="3">
        <f t="shared" si="3"/>
        <v>83</v>
      </c>
      <c r="B85" t="s">
        <v>246</v>
      </c>
      <c r="C85" t="str">
        <f t="shared" si="2"/>
        <v>frontend/app/(disbursement)/disbursement/batches/page.tsx</v>
      </c>
    </row>
    <row r="86" spans="1:3" x14ac:dyDescent="0.55000000000000004">
      <c r="A86" s="3">
        <f t="shared" si="3"/>
        <v>84</v>
      </c>
      <c r="B86" t="s">
        <v>247</v>
      </c>
      <c r="C86" t="str">
        <f t="shared" si="2"/>
        <v>frontend/app/(disbursement)/disbursement/batches/[id]/page.tsx</v>
      </c>
    </row>
    <row r="87" spans="1:3" x14ac:dyDescent="0.55000000000000004">
      <c r="A87" s="3">
        <f t="shared" si="3"/>
        <v>85</v>
      </c>
      <c r="B87" t="s">
        <v>248</v>
      </c>
      <c r="C87" t="str">
        <f t="shared" si="2"/>
        <v>frontend/app/(disbursement)/disbursement/transactions/page.tsx</v>
      </c>
    </row>
    <row r="88" spans="1:3" x14ac:dyDescent="0.55000000000000004">
      <c r="A88" s="3">
        <f t="shared" si="3"/>
        <v>86</v>
      </c>
      <c r="B88" t="s">
        <v>249</v>
      </c>
      <c r="C88" t="str">
        <f t="shared" si="2"/>
        <v>frontend/app/(disbursement)/disbursement/audit/page.tsx</v>
      </c>
    </row>
    <row r="89" spans="1:3" x14ac:dyDescent="0.55000000000000004">
      <c r="A89" s="3">
        <f t="shared" si="3"/>
        <v>87</v>
      </c>
      <c r="B89" t="s">
        <v>250</v>
      </c>
      <c r="C89" t="str">
        <f t="shared" si="2"/>
        <v>frontend/app/(disbursement)/disbursement/affiliates/page.tsx</v>
      </c>
    </row>
    <row r="90" spans="1:3" x14ac:dyDescent="0.55000000000000004">
      <c r="A90" s="3">
        <f t="shared" si="3"/>
        <v>88</v>
      </c>
      <c r="B90" t="s">
        <v>251</v>
      </c>
      <c r="C90" t="str">
        <f t="shared" si="2"/>
        <v>frontend/app/(disbursement)/disbursement/affiliates/[id]/page.tsx</v>
      </c>
    </row>
    <row r="91" spans="1:3" x14ac:dyDescent="0.55000000000000004">
      <c r="A91" s="3">
        <f t="shared" si="3"/>
        <v>89</v>
      </c>
      <c r="B91" t="s">
        <v>252</v>
      </c>
      <c r="C91" t="str">
        <f t="shared" si="2"/>
        <v>frontend/app/(disbursement)/disbursement/layout.tsx</v>
      </c>
    </row>
    <row r="92" spans="1:3" x14ac:dyDescent="0.55000000000000004">
      <c r="A92" s="3">
        <f t="shared" si="3"/>
        <v>90</v>
      </c>
      <c r="B92" t="s">
        <v>253</v>
      </c>
      <c r="C92" t="str">
        <f t="shared" si="2"/>
        <v>frontend/app/(disbursement)/disbursement/error.tsx</v>
      </c>
    </row>
    <row r="93" spans="1:3" x14ac:dyDescent="0.55000000000000004">
      <c r="A93" s="3">
        <f t="shared" si="3"/>
        <v>91</v>
      </c>
      <c r="B93" t="s">
        <v>254</v>
      </c>
      <c r="C93" t="str">
        <f t="shared" si="2"/>
        <v>frontend/app/layout.tsx - Root layout</v>
      </c>
    </row>
    <row r="94" spans="1:3" x14ac:dyDescent="0.55000000000000004">
      <c r="A94" s="3">
        <f t="shared" si="3"/>
        <v>92</v>
      </c>
      <c r="B94" t="s">
        <v>255</v>
      </c>
      <c r="C94" t="str">
        <f t="shared" si="2"/>
        <v>frontend/app/error.tsx - Global error boundary</v>
      </c>
    </row>
    <row r="95" spans="1:3" x14ac:dyDescent="0.55000000000000004">
      <c r="A95" s="3">
        <f t="shared" si="3"/>
        <v>93</v>
      </c>
      <c r="B95" t="s">
        <v>256</v>
      </c>
      <c r="C95" t="str">
        <f t="shared" si="2"/>
        <v>frontend/app/not-found.tsx - 404 page</v>
      </c>
    </row>
    <row r="96" spans="1:3" x14ac:dyDescent="0.55000000000000004">
      <c r="A96" s="3">
        <f t="shared" si="3"/>
        <v>94</v>
      </c>
      <c r="B96" t="s">
        <v>120</v>
      </c>
      <c r="C96" t="str">
        <f t="shared" si="2"/>
        <v>frontend/components/alerts/alert-list.tsx</v>
      </c>
    </row>
    <row r="97" spans="1:3" x14ac:dyDescent="0.55000000000000004">
      <c r="A97" s="3">
        <f t="shared" si="3"/>
        <v>95</v>
      </c>
      <c r="B97" t="s">
        <v>118</v>
      </c>
      <c r="C97" t="str">
        <f t="shared" si="2"/>
        <v>frontend/components/alerts/alert-card.tsx</v>
      </c>
    </row>
    <row r="98" spans="1:3" x14ac:dyDescent="0.55000000000000004">
      <c r="A98" s="3">
        <f t="shared" si="3"/>
        <v>96</v>
      </c>
      <c r="B98" t="s">
        <v>119</v>
      </c>
      <c r="C98" t="str">
        <f t="shared" si="2"/>
        <v>frontend/components/alerts/alert-form.tsx</v>
      </c>
    </row>
    <row r="99" spans="1:3" x14ac:dyDescent="0.55000000000000004">
      <c r="A99" s="3">
        <f t="shared" si="3"/>
        <v>97</v>
      </c>
      <c r="B99" t="s">
        <v>257</v>
      </c>
      <c r="C99" t="str">
        <f t="shared" si="2"/>
        <v>frontend/components/alerts/alert-filters.tsx</v>
      </c>
    </row>
    <row r="100" spans="1:3" x14ac:dyDescent="0.55000000000000004">
      <c r="A100" s="3">
        <f t="shared" si="3"/>
        <v>98</v>
      </c>
      <c r="B100" t="s">
        <v>258</v>
      </c>
      <c r="C100" t="str">
        <f t="shared" si="2"/>
        <v>frontend/components/alerts/alert-history.tsx</v>
      </c>
    </row>
    <row r="101" spans="1:3" x14ac:dyDescent="0.55000000000000004">
      <c r="A101" s="3">
        <f t="shared" si="3"/>
        <v>99</v>
      </c>
      <c r="B101" t="s">
        <v>259</v>
      </c>
      <c r="C101" t="str">
        <f t="shared" si="2"/>
        <v>frontend/components/alerts/alert-notification.tsx</v>
      </c>
    </row>
    <row r="102" spans="1:3" x14ac:dyDescent="0.55000000000000004">
      <c r="A102" s="3">
        <f t="shared" si="3"/>
        <v>100</v>
      </c>
      <c r="B102" t="s">
        <v>260</v>
      </c>
      <c r="C102" t="str">
        <f t="shared" si="2"/>
        <v>frontend/components/watchlist/watchlist-panel.tsx</v>
      </c>
    </row>
    <row r="103" spans="1:3" x14ac:dyDescent="0.55000000000000004">
      <c r="A103" s="3">
        <f t="shared" si="3"/>
        <v>101</v>
      </c>
      <c r="B103" t="s">
        <v>117</v>
      </c>
      <c r="C103" t="str">
        <f t="shared" si="2"/>
        <v>frontend/components/watchlist/watchlist-item.tsx</v>
      </c>
    </row>
    <row r="104" spans="1:3" x14ac:dyDescent="0.55000000000000004">
      <c r="A104" s="3">
        <f t="shared" si="3"/>
        <v>102</v>
      </c>
      <c r="B104" t="s">
        <v>261</v>
      </c>
      <c r="C104" t="str">
        <f t="shared" si="2"/>
        <v>frontend/components/watchlist/add-to-watchlist.tsx</v>
      </c>
    </row>
    <row r="105" spans="1:3" x14ac:dyDescent="0.55000000000000004">
      <c r="A105" s="3">
        <f t="shared" si="3"/>
        <v>103</v>
      </c>
      <c r="B105" t="s">
        <v>262</v>
      </c>
      <c r="C105" t="str">
        <f t="shared" si="2"/>
        <v>frontend/components/watchlist/price-display.tsx</v>
      </c>
    </row>
    <row r="106" spans="1:3" x14ac:dyDescent="0.55000000000000004">
      <c r="A106" s="3">
        <f t="shared" si="3"/>
        <v>104</v>
      </c>
      <c r="B106" t="s">
        <v>263</v>
      </c>
      <c r="C106" t="str">
        <f t="shared" si="2"/>
        <v>frontend/components/charts/candlestick-chart.tsx</v>
      </c>
    </row>
    <row r="107" spans="1:3" x14ac:dyDescent="0.55000000000000004">
      <c r="A107" s="3">
        <f t="shared" si="3"/>
        <v>105</v>
      </c>
      <c r="B107" t="s">
        <v>264</v>
      </c>
      <c r="C107" t="str">
        <f t="shared" si="2"/>
        <v>frontend/components/charts/line-chart.tsx</v>
      </c>
    </row>
    <row r="108" spans="1:3" x14ac:dyDescent="0.55000000000000004">
      <c r="A108" s="3">
        <f t="shared" si="3"/>
        <v>106</v>
      </c>
      <c r="B108" t="s">
        <v>265</v>
      </c>
      <c r="C108" t="str">
        <f t="shared" si="2"/>
        <v>frontend/components/charts/indicator-overlay.tsx</v>
      </c>
    </row>
    <row r="109" spans="1:3" x14ac:dyDescent="0.55000000000000004">
      <c r="A109" s="3">
        <f t="shared" si="3"/>
        <v>107</v>
      </c>
      <c r="B109" t="s">
        <v>114</v>
      </c>
      <c r="C109" t="str">
        <f t="shared" si="2"/>
        <v>frontend/components/charts/timeframe-selector.tsx</v>
      </c>
    </row>
    <row r="110" spans="1:3" x14ac:dyDescent="0.55000000000000004">
      <c r="A110" s="3">
        <f t="shared" si="3"/>
        <v>108</v>
      </c>
      <c r="B110" t="s">
        <v>113</v>
      </c>
      <c r="C110" t="str">
        <f t="shared" si="2"/>
        <v>frontend/components/charts/chart-controls.tsx</v>
      </c>
    </row>
    <row r="111" spans="1:3" x14ac:dyDescent="0.55000000000000004">
      <c r="A111" s="3">
        <f t="shared" si="3"/>
        <v>109</v>
      </c>
      <c r="B111" t="s">
        <v>66</v>
      </c>
      <c r="C111" t="str">
        <f t="shared" si="2"/>
        <v>frontend/components/auth/login-form.tsx</v>
      </c>
    </row>
    <row r="112" spans="1:3" x14ac:dyDescent="0.55000000000000004">
      <c r="A112" s="3">
        <f t="shared" si="3"/>
        <v>110</v>
      </c>
      <c r="B112" t="s">
        <v>65</v>
      </c>
      <c r="C112" t="str">
        <f t="shared" si="2"/>
        <v>frontend/components/auth/register-form.tsx</v>
      </c>
    </row>
    <row r="113" spans="1:3" x14ac:dyDescent="0.55000000000000004">
      <c r="A113" s="3">
        <f t="shared" si="3"/>
        <v>111</v>
      </c>
      <c r="B113" t="s">
        <v>266</v>
      </c>
      <c r="C113" t="str">
        <f t="shared" si="2"/>
        <v>frontend/components/auth/forgot-password-form.tsx</v>
      </c>
    </row>
    <row r="114" spans="1:3" x14ac:dyDescent="0.55000000000000004">
      <c r="A114" s="3">
        <f t="shared" si="3"/>
        <v>112</v>
      </c>
      <c r="B114" t="s">
        <v>267</v>
      </c>
      <c r="C114" t="str">
        <f t="shared" si="2"/>
        <v>frontend/components/auth/reset-password-form.tsx</v>
      </c>
    </row>
    <row r="115" spans="1:3" x14ac:dyDescent="0.55000000000000004">
      <c r="A115" s="3">
        <f t="shared" si="3"/>
        <v>113</v>
      </c>
      <c r="B115" t="s">
        <v>268</v>
      </c>
      <c r="C115" t="str">
        <f t="shared" si="2"/>
        <v>frontend/components/auth/two-factor-form.tsx</v>
      </c>
    </row>
    <row r="116" spans="1:3" x14ac:dyDescent="0.55000000000000004">
      <c r="A116" s="3">
        <f t="shared" si="3"/>
        <v>114</v>
      </c>
      <c r="B116" t="s">
        <v>105</v>
      </c>
      <c r="C116" t="str">
        <f t="shared" si="2"/>
        <v>frontend/components/layout/header.tsx</v>
      </c>
    </row>
    <row r="117" spans="1:3" x14ac:dyDescent="0.55000000000000004">
      <c r="A117" s="3">
        <f t="shared" si="3"/>
        <v>115</v>
      </c>
      <c r="B117" t="s">
        <v>106</v>
      </c>
      <c r="C117" t="str">
        <f t="shared" si="2"/>
        <v>frontend/components/layout/sidebar.tsx</v>
      </c>
    </row>
    <row r="118" spans="1:3" x14ac:dyDescent="0.55000000000000004">
      <c r="A118" s="3">
        <f t="shared" si="3"/>
        <v>116</v>
      </c>
      <c r="B118" t="s">
        <v>108</v>
      </c>
      <c r="C118" t="str">
        <f t="shared" si="2"/>
        <v>frontend/components/layout/footer.tsx</v>
      </c>
    </row>
    <row r="119" spans="1:3" x14ac:dyDescent="0.55000000000000004">
      <c r="A119" s="3">
        <f t="shared" si="3"/>
        <v>117</v>
      </c>
      <c r="B119" t="s">
        <v>269</v>
      </c>
      <c r="C119" t="str">
        <f t="shared" si="2"/>
        <v>frontend/components/layout/main-nav.tsx</v>
      </c>
    </row>
    <row r="120" spans="1:3" x14ac:dyDescent="0.55000000000000004">
      <c r="A120" s="3">
        <f t="shared" si="3"/>
        <v>118</v>
      </c>
      <c r="B120" t="s">
        <v>270</v>
      </c>
      <c r="C120" t="str">
        <f t="shared" si="2"/>
        <v>frontend/components/layout/user-nav.tsx</v>
      </c>
    </row>
    <row r="121" spans="1:3" x14ac:dyDescent="0.55000000000000004">
      <c r="A121" s="3">
        <f t="shared" si="3"/>
        <v>119</v>
      </c>
      <c r="B121" t="s">
        <v>107</v>
      </c>
      <c r="C121" t="str">
        <f t="shared" si="2"/>
        <v>frontend/components/layout/mobile-nav.tsx</v>
      </c>
    </row>
    <row r="122" spans="1:3" x14ac:dyDescent="0.55000000000000004">
      <c r="A122" s="3">
        <f t="shared" si="3"/>
        <v>120</v>
      </c>
      <c r="B122" t="s">
        <v>271</v>
      </c>
      <c r="C122" t="str">
        <f t="shared" si="2"/>
        <v>frontend/components/layout/breadcrumb.tsx</v>
      </c>
    </row>
    <row r="123" spans="1:3" x14ac:dyDescent="0.55000000000000004">
      <c r="A123" s="3">
        <f t="shared" si="3"/>
        <v>121</v>
      </c>
      <c r="B123" t="s">
        <v>272</v>
      </c>
      <c r="C123" t="str">
        <f t="shared" si="2"/>
        <v>frontend/components/layout/page-header.tsx</v>
      </c>
    </row>
    <row r="124" spans="1:3" x14ac:dyDescent="0.55000000000000004">
      <c r="A124" s="3">
        <f t="shared" si="3"/>
        <v>122</v>
      </c>
      <c r="B124" t="s">
        <v>101</v>
      </c>
      <c r="C124" t="str">
        <f t="shared" si="2"/>
        <v>frontend/components/dashboard/stats-card.tsx</v>
      </c>
    </row>
    <row r="125" spans="1:3" x14ac:dyDescent="0.55000000000000004">
      <c r="A125" s="3">
        <f t="shared" si="3"/>
        <v>123</v>
      </c>
      <c r="B125" t="s">
        <v>102</v>
      </c>
      <c r="C125" t="str">
        <f t="shared" si="2"/>
        <v>frontend/components/dashboard/recent-alerts.tsx</v>
      </c>
    </row>
    <row r="126" spans="1:3" x14ac:dyDescent="0.55000000000000004">
      <c r="A126" s="3">
        <f t="shared" si="3"/>
        <v>124</v>
      </c>
      <c r="B126" t="s">
        <v>273</v>
      </c>
      <c r="C126" t="str">
        <f t="shared" si="2"/>
        <v>frontend/components/dashboard/market-overview.tsx</v>
      </c>
    </row>
    <row r="127" spans="1:3" x14ac:dyDescent="0.55000000000000004">
      <c r="A127" s="3">
        <f t="shared" si="3"/>
        <v>125</v>
      </c>
      <c r="B127" t="s">
        <v>274</v>
      </c>
      <c r="C127" t="str">
        <f t="shared" si="2"/>
        <v>frontend/components/dashboard/performance-chart.tsx</v>
      </c>
    </row>
    <row r="128" spans="1:3" x14ac:dyDescent="0.55000000000000004">
      <c r="A128" s="3">
        <f t="shared" si="3"/>
        <v>126</v>
      </c>
      <c r="B128" t="s">
        <v>275</v>
      </c>
      <c r="C128" t="str">
        <f t="shared" si="2"/>
        <v>frontend/components/dashboard/quick-actions.tsx</v>
      </c>
    </row>
    <row r="129" spans="1:3" x14ac:dyDescent="0.55000000000000004">
      <c r="A129" s="3">
        <f t="shared" si="3"/>
        <v>127</v>
      </c>
      <c r="B129" t="s">
        <v>276</v>
      </c>
      <c r="C129" t="str">
        <f t="shared" si="2"/>
        <v>frontend/components/dashboard/notification-center.tsx</v>
      </c>
    </row>
    <row r="130" spans="1:3" x14ac:dyDescent="0.55000000000000004">
      <c r="A130" s="3">
        <f t="shared" si="3"/>
        <v>128</v>
      </c>
      <c r="B130" t="s">
        <v>277</v>
      </c>
      <c r="C130" t="str">
        <f t="shared" si="2"/>
        <v>frontend/components/subscription/pricing-card.tsx</v>
      </c>
    </row>
    <row r="131" spans="1:3" x14ac:dyDescent="0.55000000000000004">
      <c r="A131" s="3">
        <f t="shared" si="3"/>
        <v>129</v>
      </c>
      <c r="B131" t="s">
        <v>278</v>
      </c>
      <c r="C131" t="str">
        <f t="shared" si="2"/>
        <v>frontend/components/subscription/plan-comparison.tsx</v>
      </c>
    </row>
    <row r="132" spans="1:3" x14ac:dyDescent="0.55000000000000004">
      <c r="A132" s="3">
        <f t="shared" si="3"/>
        <v>130</v>
      </c>
      <c r="B132" t="s">
        <v>279</v>
      </c>
      <c r="C132" t="str">
        <f t="shared" ref="C132:C174" si="4">"frontend/" &amp; B132</f>
        <v>frontend/components/subscription/upgrade-modal.tsx</v>
      </c>
    </row>
    <row r="133" spans="1:3" x14ac:dyDescent="0.55000000000000004">
      <c r="A133" s="3">
        <f t="shared" ref="A133:A174" si="5">A132+1</f>
        <v>131</v>
      </c>
      <c r="B133" t="s">
        <v>280</v>
      </c>
      <c r="C133" t="str">
        <f t="shared" si="4"/>
        <v>frontend/components/subscription/billing-history.tsx</v>
      </c>
    </row>
    <row r="134" spans="1:3" x14ac:dyDescent="0.55000000000000004">
      <c r="A134" s="3">
        <f t="shared" si="5"/>
        <v>132</v>
      </c>
      <c r="B134" t="s">
        <v>281</v>
      </c>
      <c r="C134" t="str">
        <f t="shared" si="4"/>
        <v>frontend/components/payment/checkout-form.tsx</v>
      </c>
    </row>
    <row r="135" spans="1:3" x14ac:dyDescent="0.55000000000000004">
      <c r="A135" s="3">
        <f t="shared" si="5"/>
        <v>133</v>
      </c>
      <c r="B135" t="s">
        <v>282</v>
      </c>
      <c r="C135" t="str">
        <f t="shared" si="4"/>
        <v>frontend/components/payment/payment-method-selector.tsx</v>
      </c>
    </row>
    <row r="136" spans="1:3" x14ac:dyDescent="0.55000000000000004">
      <c r="A136" s="3">
        <f t="shared" si="5"/>
        <v>134</v>
      </c>
      <c r="B136" t="s">
        <v>283</v>
      </c>
      <c r="C136" t="str">
        <f t="shared" si="4"/>
        <v>frontend/components/payment/stripe-checkout.tsx</v>
      </c>
    </row>
    <row r="137" spans="1:3" x14ac:dyDescent="0.55000000000000004">
      <c r="A137" s="3">
        <f t="shared" si="5"/>
        <v>135</v>
      </c>
      <c r="B137" t="s">
        <v>284</v>
      </c>
      <c r="C137" t="str">
        <f t="shared" si="4"/>
        <v>frontend/components/payment/dlocal-checkout.tsx</v>
      </c>
    </row>
    <row r="138" spans="1:3" x14ac:dyDescent="0.55000000000000004">
      <c r="A138" s="3">
        <f t="shared" si="5"/>
        <v>136</v>
      </c>
      <c r="B138" t="s">
        <v>285</v>
      </c>
      <c r="C138" t="str">
        <f t="shared" si="4"/>
        <v>frontend/components/payment/invoice-list.tsx</v>
      </c>
    </row>
    <row r="139" spans="1:3" x14ac:dyDescent="0.55000000000000004">
      <c r="A139" s="3">
        <f t="shared" si="5"/>
        <v>137</v>
      </c>
      <c r="B139" t="s">
        <v>286</v>
      </c>
      <c r="C139" t="str">
        <f t="shared" si="4"/>
        <v>frontend/components/settings/profile-form.tsx</v>
      </c>
    </row>
    <row r="140" spans="1:3" x14ac:dyDescent="0.55000000000000004">
      <c r="A140" s="3">
        <f t="shared" si="5"/>
        <v>138</v>
      </c>
      <c r="B140" t="s">
        <v>287</v>
      </c>
      <c r="C140" t="str">
        <f t="shared" si="4"/>
        <v>frontend/components/settings/password-form.tsx</v>
      </c>
    </row>
    <row r="141" spans="1:3" x14ac:dyDescent="0.55000000000000004">
      <c r="A141" s="3">
        <f t="shared" si="5"/>
        <v>139</v>
      </c>
      <c r="B141" t="s">
        <v>288</v>
      </c>
      <c r="C141" t="str">
        <f t="shared" si="4"/>
        <v>frontend/components/settings/preferences-form.tsx</v>
      </c>
    </row>
    <row r="142" spans="1:3" x14ac:dyDescent="0.55000000000000004">
      <c r="A142" s="3">
        <f t="shared" si="5"/>
        <v>140</v>
      </c>
      <c r="B142" t="s">
        <v>289</v>
      </c>
      <c r="C142" t="str">
        <f t="shared" si="4"/>
        <v>frontend/components/settings/session-manager.tsx</v>
      </c>
    </row>
    <row r="143" spans="1:3" x14ac:dyDescent="0.55000000000000004">
      <c r="A143" s="3">
        <f t="shared" si="5"/>
        <v>141</v>
      </c>
      <c r="B143" t="s">
        <v>290</v>
      </c>
      <c r="C143" t="str">
        <f t="shared" si="4"/>
        <v>frontend/components/settings/account-deletion.tsx</v>
      </c>
    </row>
    <row r="144" spans="1:3" x14ac:dyDescent="0.55000000000000004">
      <c r="A144" s="3">
        <f t="shared" si="5"/>
        <v>142</v>
      </c>
      <c r="B144" t="s">
        <v>291</v>
      </c>
      <c r="C144" t="str">
        <f t="shared" si="4"/>
        <v>frontend/components/admin/user-table.tsx</v>
      </c>
    </row>
    <row r="145" spans="1:3" x14ac:dyDescent="0.55000000000000004">
      <c r="A145" s="3">
        <f t="shared" si="5"/>
        <v>143</v>
      </c>
      <c r="B145" t="s">
        <v>292</v>
      </c>
      <c r="C145" t="str">
        <f t="shared" si="4"/>
        <v>frontend/components/admin/analytics-dashboard.tsx</v>
      </c>
    </row>
    <row r="146" spans="1:3" x14ac:dyDescent="0.55000000000000004">
      <c r="A146" s="3">
        <f t="shared" si="5"/>
        <v>144</v>
      </c>
      <c r="B146" t="s">
        <v>293</v>
      </c>
      <c r="C146" t="str">
        <f t="shared" si="4"/>
        <v>frontend/components/admin/api-usage-chart.tsx</v>
      </c>
    </row>
    <row r="147" spans="1:3" x14ac:dyDescent="0.55000000000000004">
      <c r="A147" s="3">
        <f t="shared" si="5"/>
        <v>145</v>
      </c>
      <c r="B147" t="s">
        <v>294</v>
      </c>
      <c r="C147" t="str">
        <f t="shared" si="4"/>
        <v>frontend/components/admin/error-log-viewer.tsx</v>
      </c>
    </row>
    <row r="148" spans="1:3" x14ac:dyDescent="0.55000000000000004">
      <c r="A148" s="3">
        <f t="shared" si="5"/>
        <v>146</v>
      </c>
      <c r="B148" t="s">
        <v>295</v>
      </c>
      <c r="C148" t="str">
        <f t="shared" si="4"/>
        <v>frontend/components/admin/fraud-alert-card.tsx</v>
      </c>
    </row>
    <row r="149" spans="1:3" x14ac:dyDescent="0.55000000000000004">
      <c r="A149" s="3">
        <f t="shared" si="5"/>
        <v>147</v>
      </c>
      <c r="B149" t="s">
        <v>130</v>
      </c>
      <c r="C149" t="str">
        <f t="shared" si="4"/>
        <v>frontend/components/admin/affiliate-table.tsx</v>
      </c>
    </row>
    <row r="150" spans="1:3" x14ac:dyDescent="0.55000000000000004">
      <c r="A150" s="3">
        <f t="shared" si="5"/>
        <v>148</v>
      </c>
      <c r="B150" t="s">
        <v>296</v>
      </c>
      <c r="C150" t="str">
        <f t="shared" si="4"/>
        <v>frontend/components/admin/commission-table.tsx</v>
      </c>
    </row>
    <row r="151" spans="1:3" x14ac:dyDescent="0.55000000000000004">
      <c r="A151" s="3">
        <f t="shared" si="5"/>
        <v>149</v>
      </c>
      <c r="B151" t="s">
        <v>297</v>
      </c>
      <c r="C151" t="str">
        <f t="shared" si="4"/>
        <v>frontend/components/admin/settings-form.tsx</v>
      </c>
    </row>
    <row r="152" spans="1:3" x14ac:dyDescent="0.55000000000000004">
      <c r="A152" s="3">
        <f t="shared" si="5"/>
        <v>150</v>
      </c>
      <c r="B152" t="s">
        <v>298</v>
      </c>
      <c r="C152" t="str">
        <f t="shared" si="4"/>
        <v>frontend/components/affiliate/stats-overview.tsx</v>
      </c>
    </row>
    <row r="153" spans="1:3" x14ac:dyDescent="0.55000000000000004">
      <c r="A153" s="3">
        <f t="shared" si="5"/>
        <v>151</v>
      </c>
      <c r="B153" t="s">
        <v>299</v>
      </c>
      <c r="C153" t="str">
        <f t="shared" si="4"/>
        <v>frontend/components/affiliate/code-list.tsx</v>
      </c>
    </row>
    <row r="154" spans="1:3" x14ac:dyDescent="0.55000000000000004">
      <c r="A154" s="3">
        <f t="shared" si="5"/>
        <v>152</v>
      </c>
      <c r="B154" t="s">
        <v>300</v>
      </c>
      <c r="C154" t="str">
        <f t="shared" si="4"/>
        <v>frontend/components/affiliate/commission-chart.tsx</v>
      </c>
    </row>
    <row r="155" spans="1:3" x14ac:dyDescent="0.55000000000000004">
      <c r="A155" s="3">
        <f t="shared" si="5"/>
        <v>153</v>
      </c>
      <c r="B155" t="s">
        <v>301</v>
      </c>
      <c r="C155" t="str">
        <f t="shared" si="4"/>
        <v>frontend/components/affiliate/payment-form.tsx</v>
      </c>
    </row>
    <row r="156" spans="1:3" x14ac:dyDescent="0.55000000000000004">
      <c r="A156" s="3">
        <f t="shared" si="5"/>
        <v>154</v>
      </c>
      <c r="B156" t="s">
        <v>302</v>
      </c>
      <c r="C156" t="str">
        <f t="shared" si="4"/>
        <v>frontend/components/affiliate/referral-link.tsx</v>
      </c>
    </row>
    <row r="157" spans="1:3" x14ac:dyDescent="0.55000000000000004">
      <c r="A157" s="3">
        <f t="shared" si="5"/>
        <v>155</v>
      </c>
      <c r="B157" t="s">
        <v>303</v>
      </c>
      <c r="C157" t="str">
        <f t="shared" si="4"/>
        <v>frontend/components/ui/button.tsx</v>
      </c>
    </row>
    <row r="158" spans="1:3" x14ac:dyDescent="0.55000000000000004">
      <c r="A158" s="3">
        <f t="shared" si="5"/>
        <v>156</v>
      </c>
      <c r="B158" t="s">
        <v>304</v>
      </c>
      <c r="C158" t="str">
        <f t="shared" si="4"/>
        <v>frontend/components/ui/input.tsx</v>
      </c>
    </row>
    <row r="159" spans="1:3" x14ac:dyDescent="0.55000000000000004">
      <c r="A159" s="3">
        <f t="shared" si="5"/>
        <v>157</v>
      </c>
      <c r="B159" t="s">
        <v>305</v>
      </c>
      <c r="C159" t="str">
        <f t="shared" si="4"/>
        <v>frontend/components/ui/card.tsx</v>
      </c>
    </row>
    <row r="160" spans="1:3" x14ac:dyDescent="0.55000000000000004">
      <c r="A160" s="3">
        <f t="shared" si="5"/>
        <v>158</v>
      </c>
      <c r="B160" t="s">
        <v>306</v>
      </c>
      <c r="C160" t="str">
        <f t="shared" si="4"/>
        <v>frontend/components/ui/dialog.tsx</v>
      </c>
    </row>
    <row r="161" spans="1:3" x14ac:dyDescent="0.55000000000000004">
      <c r="A161" s="3">
        <f t="shared" si="5"/>
        <v>159</v>
      </c>
      <c r="B161" t="s">
        <v>307</v>
      </c>
      <c r="C161" t="str">
        <f t="shared" si="4"/>
        <v>frontend/components/ui/dropdown-menu.tsx</v>
      </c>
    </row>
    <row r="162" spans="1:3" x14ac:dyDescent="0.55000000000000004">
      <c r="A162" s="3">
        <f t="shared" si="5"/>
        <v>160</v>
      </c>
      <c r="B162" t="s">
        <v>308</v>
      </c>
      <c r="C162" t="str">
        <f t="shared" si="4"/>
        <v>frontend/components/ui/select.tsx</v>
      </c>
    </row>
    <row r="163" spans="1:3" x14ac:dyDescent="0.55000000000000004">
      <c r="A163" s="3">
        <f t="shared" si="5"/>
        <v>161</v>
      </c>
      <c r="B163" t="s">
        <v>309</v>
      </c>
      <c r="C163" t="str">
        <f t="shared" si="4"/>
        <v>frontend/components/ui/table.tsx</v>
      </c>
    </row>
    <row r="164" spans="1:3" x14ac:dyDescent="0.55000000000000004">
      <c r="A164" s="3">
        <f t="shared" si="5"/>
        <v>162</v>
      </c>
      <c r="B164" t="s">
        <v>310</v>
      </c>
      <c r="C164" t="str">
        <f t="shared" si="4"/>
        <v>frontend/components/ui/tabs.tsx</v>
      </c>
    </row>
    <row r="165" spans="1:3" x14ac:dyDescent="0.55000000000000004">
      <c r="A165" s="3">
        <f t="shared" si="5"/>
        <v>163</v>
      </c>
      <c r="B165" t="s">
        <v>311</v>
      </c>
      <c r="C165" t="str">
        <f t="shared" si="4"/>
        <v>frontend/components/ui/toast.tsx</v>
      </c>
    </row>
    <row r="166" spans="1:3" x14ac:dyDescent="0.55000000000000004">
      <c r="A166" s="3">
        <f t="shared" si="5"/>
        <v>164</v>
      </c>
      <c r="B166" t="s">
        <v>312</v>
      </c>
      <c r="C166" t="str">
        <f t="shared" si="4"/>
        <v>frontend/components/ui/alert.tsx</v>
      </c>
    </row>
    <row r="167" spans="1:3" x14ac:dyDescent="0.55000000000000004">
      <c r="A167" s="3">
        <f t="shared" si="5"/>
        <v>165</v>
      </c>
      <c r="B167" t="s">
        <v>313</v>
      </c>
      <c r="C167" t="str">
        <f t="shared" si="4"/>
        <v>frontend/components/ui/badge.tsx</v>
      </c>
    </row>
    <row r="168" spans="1:3" x14ac:dyDescent="0.55000000000000004">
      <c r="A168" s="3">
        <f t="shared" si="5"/>
        <v>166</v>
      </c>
      <c r="B168" t="s">
        <v>314</v>
      </c>
      <c r="C168" t="str">
        <f t="shared" si="4"/>
        <v>frontend/components/ui/checkbox.tsx</v>
      </c>
    </row>
    <row r="169" spans="1:3" x14ac:dyDescent="0.55000000000000004">
      <c r="A169" s="3">
        <f t="shared" si="5"/>
        <v>167</v>
      </c>
      <c r="B169" t="s">
        <v>315</v>
      </c>
      <c r="C169" t="str">
        <f t="shared" si="4"/>
        <v>frontend/components/ui/label.tsx</v>
      </c>
    </row>
    <row r="170" spans="1:3" x14ac:dyDescent="0.55000000000000004">
      <c r="A170" s="3">
        <f t="shared" si="5"/>
        <v>168</v>
      </c>
      <c r="B170" t="s">
        <v>316</v>
      </c>
      <c r="C170" t="str">
        <f t="shared" si="4"/>
        <v>frontend/components/ui/form.tsx</v>
      </c>
    </row>
    <row r="171" spans="1:3" x14ac:dyDescent="0.55000000000000004">
      <c r="A171" s="3">
        <f t="shared" si="5"/>
        <v>169</v>
      </c>
      <c r="B171" t="s">
        <v>317</v>
      </c>
      <c r="C171" t="str">
        <f t="shared" si="4"/>
        <v>frontend/components/ui/switch.tsx</v>
      </c>
    </row>
    <row r="172" spans="1:3" x14ac:dyDescent="0.55000000000000004">
      <c r="A172" s="3">
        <f t="shared" si="5"/>
        <v>170</v>
      </c>
      <c r="B172" t="s">
        <v>318</v>
      </c>
      <c r="C172" t="str">
        <f t="shared" si="4"/>
        <v>frontend/components/ui/tooltip.tsx</v>
      </c>
    </row>
    <row r="173" spans="1:3" x14ac:dyDescent="0.55000000000000004">
      <c r="A173" s="3">
        <f t="shared" si="5"/>
        <v>171</v>
      </c>
      <c r="B173" t="s">
        <v>319</v>
      </c>
      <c r="C173" t="str">
        <f t="shared" si="4"/>
        <v>frontend/components/ui/avatar.tsx</v>
      </c>
    </row>
    <row r="174" spans="1:3" x14ac:dyDescent="0.55000000000000004">
      <c r="A174" s="3">
        <f t="shared" si="5"/>
        <v>172</v>
      </c>
      <c r="B174" t="s">
        <v>320</v>
      </c>
      <c r="C174" t="str">
        <f t="shared" si="4"/>
        <v>frontend/components/ui/skeleton.tsx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515F6-FCD8-4DAD-B994-0E46760FC5E6}">
  <sheetPr>
    <tabColor rgb="FFFFFF00"/>
  </sheetPr>
  <dimension ref="A1:E128"/>
  <sheetViews>
    <sheetView workbookViewId="0">
      <selection activeCell="C3" sqref="C3"/>
    </sheetView>
  </sheetViews>
  <sheetFormatPr defaultRowHeight="14.4" x14ac:dyDescent="0.55000000000000004"/>
  <cols>
    <col min="2" max="2" width="10.26171875" customWidth="1"/>
    <col min="3" max="3" width="66.20703125" customWidth="1"/>
    <col min="4" max="4" width="19.1015625" bestFit="1" customWidth="1"/>
    <col min="5" max="5" width="17.9453125" bestFit="1" customWidth="1"/>
  </cols>
  <sheetData>
    <row r="1" spans="1:5" ht="18.3" x14ac:dyDescent="0.7">
      <c r="A1" s="2" t="s">
        <v>324</v>
      </c>
    </row>
    <row r="3" spans="1:5" x14ac:dyDescent="0.55000000000000004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55000000000000004">
      <c r="A4" t="s">
        <v>14</v>
      </c>
      <c r="B4" t="s">
        <v>15</v>
      </c>
      <c r="C4" t="s">
        <v>16</v>
      </c>
      <c r="D4" t="s">
        <v>17</v>
      </c>
      <c r="E4" t="s">
        <v>16</v>
      </c>
    </row>
    <row r="5" spans="1:5" x14ac:dyDescent="0.55000000000000004">
      <c r="A5">
        <v>1</v>
      </c>
      <c r="B5" t="s">
        <v>18</v>
      </c>
      <c r="C5" t="s">
        <v>7</v>
      </c>
      <c r="D5" t="s">
        <v>19</v>
      </c>
      <c r="E5" t="s">
        <v>20</v>
      </c>
    </row>
    <row r="6" spans="1:5" x14ac:dyDescent="0.55000000000000004">
      <c r="A6">
        <v>2</v>
      </c>
      <c r="B6" t="s">
        <v>18</v>
      </c>
      <c r="C6" t="s">
        <v>0</v>
      </c>
      <c r="D6" t="s">
        <v>20</v>
      </c>
      <c r="E6" t="s">
        <v>20</v>
      </c>
    </row>
    <row r="7" spans="1:5" x14ac:dyDescent="0.55000000000000004">
      <c r="A7">
        <v>3</v>
      </c>
      <c r="B7" t="s">
        <v>18</v>
      </c>
      <c r="C7" t="s">
        <v>1</v>
      </c>
      <c r="D7" t="s">
        <v>20</v>
      </c>
      <c r="E7" t="s">
        <v>20</v>
      </c>
    </row>
    <row r="8" spans="1:5" x14ac:dyDescent="0.55000000000000004">
      <c r="A8">
        <v>4</v>
      </c>
      <c r="B8" t="s">
        <v>18</v>
      </c>
      <c r="C8" t="s">
        <v>4</v>
      </c>
      <c r="D8" t="s">
        <v>20</v>
      </c>
      <c r="E8" t="s">
        <v>20</v>
      </c>
    </row>
    <row r="9" spans="1:5" x14ac:dyDescent="0.55000000000000004">
      <c r="A9">
        <v>5</v>
      </c>
      <c r="B9" t="s">
        <v>18</v>
      </c>
      <c r="C9" t="s">
        <v>5</v>
      </c>
      <c r="D9" t="s">
        <v>19</v>
      </c>
      <c r="E9" t="s">
        <v>20</v>
      </c>
    </row>
    <row r="10" spans="1:5" x14ac:dyDescent="0.55000000000000004">
      <c r="A10">
        <v>6</v>
      </c>
      <c r="B10" t="s">
        <v>18</v>
      </c>
      <c r="C10" t="s">
        <v>2</v>
      </c>
      <c r="D10" t="s">
        <v>20</v>
      </c>
      <c r="E10" t="s">
        <v>20</v>
      </c>
    </row>
    <row r="11" spans="1:5" x14ac:dyDescent="0.55000000000000004">
      <c r="A11">
        <v>7</v>
      </c>
      <c r="B11" t="s">
        <v>18</v>
      </c>
      <c r="C11" t="s">
        <v>3</v>
      </c>
      <c r="D11" t="s">
        <v>20</v>
      </c>
      <c r="E11" t="s">
        <v>20</v>
      </c>
    </row>
    <row r="12" spans="1:5" x14ac:dyDescent="0.55000000000000004">
      <c r="A12">
        <v>8</v>
      </c>
      <c r="B12" t="s">
        <v>18</v>
      </c>
      <c r="C12" t="s">
        <v>64</v>
      </c>
      <c r="D12" t="s">
        <v>20</v>
      </c>
      <c r="E12" t="s">
        <v>20</v>
      </c>
    </row>
    <row r="13" spans="1:5" x14ac:dyDescent="0.55000000000000004">
      <c r="A13">
        <v>9</v>
      </c>
      <c r="B13" t="s">
        <v>18</v>
      </c>
      <c r="C13" t="s">
        <v>65</v>
      </c>
      <c r="D13" t="s">
        <v>20</v>
      </c>
      <c r="E13" t="s">
        <v>20</v>
      </c>
    </row>
    <row r="14" spans="1:5" x14ac:dyDescent="0.55000000000000004">
      <c r="A14">
        <v>10</v>
      </c>
      <c r="B14" t="s">
        <v>18</v>
      </c>
      <c r="C14" t="s">
        <v>66</v>
      </c>
      <c r="D14" t="s">
        <v>20</v>
      </c>
      <c r="E14" t="s">
        <v>20</v>
      </c>
    </row>
    <row r="15" spans="1:5" x14ac:dyDescent="0.55000000000000004">
      <c r="A15">
        <v>11</v>
      </c>
      <c r="B15" t="s">
        <v>18</v>
      </c>
      <c r="C15" t="s">
        <v>67</v>
      </c>
      <c r="D15" t="s">
        <v>20</v>
      </c>
      <c r="E15" t="s">
        <v>19</v>
      </c>
    </row>
    <row r="16" spans="1:5" x14ac:dyDescent="0.55000000000000004">
      <c r="A16">
        <v>12</v>
      </c>
      <c r="B16" t="s">
        <v>23</v>
      </c>
      <c r="C16" t="s">
        <v>68</v>
      </c>
      <c r="D16" t="s">
        <v>20</v>
      </c>
      <c r="E16" t="s">
        <v>20</v>
      </c>
    </row>
    <row r="17" spans="1:5" x14ac:dyDescent="0.55000000000000004">
      <c r="A17">
        <v>13</v>
      </c>
      <c r="B17" t="s">
        <v>23</v>
      </c>
      <c r="C17" t="s">
        <v>69</v>
      </c>
      <c r="D17" t="s">
        <v>20</v>
      </c>
      <c r="E17" t="s">
        <v>20</v>
      </c>
    </row>
    <row r="18" spans="1:5" x14ac:dyDescent="0.55000000000000004">
      <c r="A18">
        <v>14</v>
      </c>
      <c r="B18" t="s">
        <v>23</v>
      </c>
      <c r="C18" t="s">
        <v>70</v>
      </c>
      <c r="D18" t="s">
        <v>20</v>
      </c>
      <c r="E18" t="s">
        <v>20</v>
      </c>
    </row>
    <row r="19" spans="1:5" x14ac:dyDescent="0.55000000000000004">
      <c r="A19">
        <v>15</v>
      </c>
      <c r="B19" t="s">
        <v>23</v>
      </c>
      <c r="C19" t="s">
        <v>71</v>
      </c>
      <c r="D19" t="s">
        <v>20</v>
      </c>
      <c r="E19" t="s">
        <v>20</v>
      </c>
    </row>
    <row r="20" spans="1:5" x14ac:dyDescent="0.55000000000000004">
      <c r="A20">
        <v>16</v>
      </c>
      <c r="B20" t="s">
        <v>23</v>
      </c>
      <c r="C20" t="s">
        <v>72</v>
      </c>
      <c r="D20" t="s">
        <v>20</v>
      </c>
      <c r="E20" t="s">
        <v>20</v>
      </c>
    </row>
    <row r="21" spans="1:5" x14ac:dyDescent="0.55000000000000004">
      <c r="A21">
        <v>17</v>
      </c>
      <c r="B21" t="s">
        <v>23</v>
      </c>
      <c r="C21" t="s">
        <v>73</v>
      </c>
      <c r="D21" t="s">
        <v>20</v>
      </c>
      <c r="E21" t="s">
        <v>20</v>
      </c>
    </row>
    <row r="22" spans="1:5" x14ac:dyDescent="0.55000000000000004">
      <c r="A22">
        <v>18</v>
      </c>
      <c r="B22" t="s">
        <v>23</v>
      </c>
      <c r="C22" t="s">
        <v>74</v>
      </c>
      <c r="D22" t="s">
        <v>20</v>
      </c>
      <c r="E22" t="s">
        <v>20</v>
      </c>
    </row>
    <row r="23" spans="1:5" x14ac:dyDescent="0.55000000000000004">
      <c r="A23">
        <v>19</v>
      </c>
      <c r="B23" t="s">
        <v>23</v>
      </c>
      <c r="C23" t="s">
        <v>75</v>
      </c>
      <c r="D23" t="s">
        <v>20</v>
      </c>
      <c r="E23" t="s">
        <v>20</v>
      </c>
    </row>
    <row r="24" spans="1:5" x14ac:dyDescent="0.55000000000000004">
      <c r="A24">
        <v>20</v>
      </c>
      <c r="B24" t="s">
        <v>23</v>
      </c>
      <c r="C24" t="s">
        <v>76</v>
      </c>
      <c r="D24" t="s">
        <v>20</v>
      </c>
      <c r="E24" t="s">
        <v>20</v>
      </c>
    </row>
    <row r="25" spans="1:5" x14ac:dyDescent="0.55000000000000004">
      <c r="A25">
        <v>21</v>
      </c>
      <c r="B25" t="s">
        <v>23</v>
      </c>
      <c r="C25" t="s">
        <v>77</v>
      </c>
      <c r="D25" t="s">
        <v>20</v>
      </c>
      <c r="E25" t="s">
        <v>20</v>
      </c>
    </row>
    <row r="26" spans="1:5" x14ac:dyDescent="0.55000000000000004">
      <c r="A26">
        <v>22</v>
      </c>
      <c r="B26" t="s">
        <v>23</v>
      </c>
      <c r="C26" t="s">
        <v>78</v>
      </c>
      <c r="D26" t="s">
        <v>20</v>
      </c>
      <c r="E26" t="s">
        <v>20</v>
      </c>
    </row>
    <row r="27" spans="1:5" x14ac:dyDescent="0.55000000000000004">
      <c r="A27">
        <v>23</v>
      </c>
      <c r="B27" t="s">
        <v>23</v>
      </c>
      <c r="C27" t="s">
        <v>79</v>
      </c>
      <c r="D27" t="s">
        <v>20</v>
      </c>
      <c r="E27" t="s">
        <v>20</v>
      </c>
    </row>
    <row r="28" spans="1:5" x14ac:dyDescent="0.55000000000000004">
      <c r="A28">
        <v>24</v>
      </c>
      <c r="B28" t="s">
        <v>23</v>
      </c>
      <c r="C28" t="s">
        <v>80</v>
      </c>
      <c r="D28" t="s">
        <v>20</v>
      </c>
      <c r="E28" t="s">
        <v>20</v>
      </c>
    </row>
    <row r="29" spans="1:5" x14ac:dyDescent="0.55000000000000004">
      <c r="A29">
        <v>25</v>
      </c>
      <c r="B29" t="s">
        <v>23</v>
      </c>
      <c r="C29" t="s">
        <v>81</v>
      </c>
      <c r="D29" t="s">
        <v>20</v>
      </c>
      <c r="E29" t="s">
        <v>20</v>
      </c>
    </row>
    <row r="30" spans="1:5" x14ac:dyDescent="0.55000000000000004">
      <c r="A30">
        <v>26</v>
      </c>
      <c r="B30" t="s">
        <v>23</v>
      </c>
      <c r="C30" t="s">
        <v>62</v>
      </c>
      <c r="D30" t="s">
        <v>20</v>
      </c>
      <c r="E30" t="s">
        <v>20</v>
      </c>
    </row>
    <row r="31" spans="1:5" x14ac:dyDescent="0.55000000000000004">
      <c r="A31">
        <v>27</v>
      </c>
      <c r="B31" t="s">
        <v>23</v>
      </c>
      <c r="C31" t="s">
        <v>61</v>
      </c>
      <c r="D31" t="s">
        <v>20</v>
      </c>
      <c r="E31" t="s">
        <v>20</v>
      </c>
    </row>
    <row r="32" spans="1:5" x14ac:dyDescent="0.55000000000000004">
      <c r="A32">
        <v>28</v>
      </c>
      <c r="B32" t="s">
        <v>23</v>
      </c>
      <c r="C32" t="s">
        <v>63</v>
      </c>
      <c r="D32" t="s">
        <v>20</v>
      </c>
      <c r="E32" t="s">
        <v>20</v>
      </c>
    </row>
    <row r="33" spans="1:5" x14ac:dyDescent="0.55000000000000004">
      <c r="A33">
        <v>29</v>
      </c>
      <c r="B33" t="s">
        <v>23</v>
      </c>
      <c r="C33" t="s">
        <v>82</v>
      </c>
      <c r="D33" t="s">
        <v>20</v>
      </c>
      <c r="E33" t="s">
        <v>20</v>
      </c>
    </row>
    <row r="34" spans="1:5" x14ac:dyDescent="0.55000000000000004">
      <c r="A34">
        <v>30</v>
      </c>
      <c r="B34" t="s">
        <v>23</v>
      </c>
      <c r="C34" t="s">
        <v>83</v>
      </c>
      <c r="D34" t="s">
        <v>20</v>
      </c>
      <c r="E34" t="s">
        <v>20</v>
      </c>
    </row>
    <row r="35" spans="1:5" x14ac:dyDescent="0.55000000000000004">
      <c r="A35">
        <v>31</v>
      </c>
      <c r="B35" t="s">
        <v>23</v>
      </c>
      <c r="C35" t="s">
        <v>84</v>
      </c>
      <c r="D35" t="s">
        <v>19</v>
      </c>
      <c r="E35" t="s">
        <v>20</v>
      </c>
    </row>
    <row r="36" spans="1:5" x14ac:dyDescent="0.55000000000000004">
      <c r="A36">
        <v>32</v>
      </c>
      <c r="B36" t="s">
        <v>23</v>
      </c>
      <c r="C36" t="s">
        <v>85</v>
      </c>
      <c r="D36" t="s">
        <v>20</v>
      </c>
      <c r="E36" t="s">
        <v>20</v>
      </c>
    </row>
    <row r="37" spans="1:5" x14ac:dyDescent="0.55000000000000004">
      <c r="A37">
        <v>33</v>
      </c>
      <c r="B37" t="s">
        <v>23</v>
      </c>
      <c r="C37" t="s">
        <v>86</v>
      </c>
      <c r="D37" t="s">
        <v>20</v>
      </c>
      <c r="E37" t="s">
        <v>20</v>
      </c>
    </row>
    <row r="38" spans="1:5" x14ac:dyDescent="0.55000000000000004">
      <c r="A38">
        <v>34</v>
      </c>
      <c r="B38" t="s">
        <v>23</v>
      </c>
      <c r="C38" t="s">
        <v>87</v>
      </c>
      <c r="D38" t="s">
        <v>20</v>
      </c>
      <c r="E38" t="s">
        <v>20</v>
      </c>
    </row>
    <row r="39" spans="1:5" x14ac:dyDescent="0.55000000000000004">
      <c r="A39">
        <v>35</v>
      </c>
      <c r="B39" t="s">
        <v>23</v>
      </c>
      <c r="C39" t="s">
        <v>88</v>
      </c>
      <c r="D39" t="s">
        <v>20</v>
      </c>
      <c r="E39" t="s">
        <v>20</v>
      </c>
    </row>
    <row r="40" spans="1:5" x14ac:dyDescent="0.55000000000000004">
      <c r="A40">
        <v>36</v>
      </c>
      <c r="B40" t="s">
        <v>23</v>
      </c>
      <c r="C40" t="s">
        <v>89</v>
      </c>
      <c r="D40" t="s">
        <v>20</v>
      </c>
      <c r="E40" t="s">
        <v>20</v>
      </c>
    </row>
    <row r="41" spans="1:5" x14ac:dyDescent="0.55000000000000004">
      <c r="A41">
        <v>37</v>
      </c>
      <c r="B41" t="s">
        <v>23</v>
      </c>
      <c r="C41" t="s">
        <v>90</v>
      </c>
      <c r="D41" t="s">
        <v>20</v>
      </c>
      <c r="E41" t="s">
        <v>20</v>
      </c>
    </row>
    <row r="42" spans="1:5" x14ac:dyDescent="0.55000000000000004">
      <c r="A42">
        <v>38</v>
      </c>
      <c r="B42" t="s">
        <v>23</v>
      </c>
      <c r="C42" t="s">
        <v>91</v>
      </c>
      <c r="D42" t="s">
        <v>20</v>
      </c>
      <c r="E42" t="s">
        <v>20</v>
      </c>
    </row>
    <row r="43" spans="1:5" x14ac:dyDescent="0.55000000000000004">
      <c r="A43">
        <v>39</v>
      </c>
      <c r="B43" t="s">
        <v>23</v>
      </c>
      <c r="C43" t="s">
        <v>92</v>
      </c>
      <c r="D43" t="s">
        <v>20</v>
      </c>
      <c r="E43" t="s">
        <v>20</v>
      </c>
    </row>
    <row r="44" spans="1:5" x14ac:dyDescent="0.55000000000000004">
      <c r="A44">
        <v>40</v>
      </c>
      <c r="B44" t="s">
        <v>23</v>
      </c>
      <c r="C44" t="s">
        <v>93</v>
      </c>
      <c r="D44" t="s">
        <v>20</v>
      </c>
      <c r="E44" t="s">
        <v>20</v>
      </c>
    </row>
    <row r="45" spans="1:5" x14ac:dyDescent="0.55000000000000004">
      <c r="A45">
        <v>41</v>
      </c>
      <c r="B45" t="s">
        <v>23</v>
      </c>
      <c r="C45" t="s">
        <v>94</v>
      </c>
      <c r="D45" t="s">
        <v>20</v>
      </c>
      <c r="E45" t="s">
        <v>20</v>
      </c>
    </row>
    <row r="46" spans="1:5" x14ac:dyDescent="0.55000000000000004">
      <c r="A46">
        <v>42</v>
      </c>
      <c r="B46" t="s">
        <v>23</v>
      </c>
      <c r="C46" t="s">
        <v>95</v>
      </c>
      <c r="D46" t="s">
        <v>20</v>
      </c>
      <c r="E46" t="s">
        <v>20</v>
      </c>
    </row>
    <row r="47" spans="1:5" x14ac:dyDescent="0.55000000000000004">
      <c r="A47">
        <v>43</v>
      </c>
      <c r="B47" t="s">
        <v>23</v>
      </c>
      <c r="C47" t="s">
        <v>96</v>
      </c>
      <c r="D47" t="s">
        <v>20</v>
      </c>
      <c r="E47" t="s">
        <v>20</v>
      </c>
    </row>
    <row r="48" spans="1:5" x14ac:dyDescent="0.55000000000000004">
      <c r="A48">
        <v>44</v>
      </c>
      <c r="B48" t="s">
        <v>23</v>
      </c>
      <c r="C48" t="s">
        <v>97</v>
      </c>
      <c r="D48" t="s">
        <v>20</v>
      </c>
      <c r="E48" t="s">
        <v>20</v>
      </c>
    </row>
    <row r="49" spans="1:5" x14ac:dyDescent="0.55000000000000004">
      <c r="A49">
        <v>45</v>
      </c>
      <c r="B49" t="s">
        <v>23</v>
      </c>
      <c r="C49" t="s">
        <v>98</v>
      </c>
      <c r="D49" t="s">
        <v>20</v>
      </c>
      <c r="E49" t="s">
        <v>20</v>
      </c>
    </row>
    <row r="50" spans="1:5" x14ac:dyDescent="0.55000000000000004">
      <c r="A50">
        <v>46</v>
      </c>
      <c r="B50" t="s">
        <v>23</v>
      </c>
      <c r="C50" t="s">
        <v>99</v>
      </c>
      <c r="D50" t="s">
        <v>20</v>
      </c>
      <c r="E50" t="s">
        <v>20</v>
      </c>
    </row>
    <row r="51" spans="1:5" x14ac:dyDescent="0.55000000000000004">
      <c r="A51">
        <v>47</v>
      </c>
      <c r="B51" t="s">
        <v>23</v>
      </c>
      <c r="C51" t="s">
        <v>100</v>
      </c>
      <c r="D51" t="s">
        <v>19</v>
      </c>
      <c r="E51" t="s">
        <v>20</v>
      </c>
    </row>
    <row r="52" spans="1:5" x14ac:dyDescent="0.55000000000000004">
      <c r="A52">
        <v>48</v>
      </c>
      <c r="B52" t="s">
        <v>23</v>
      </c>
      <c r="C52" t="s">
        <v>101</v>
      </c>
      <c r="D52" t="s">
        <v>19</v>
      </c>
      <c r="E52" t="s">
        <v>20</v>
      </c>
    </row>
    <row r="53" spans="1:5" x14ac:dyDescent="0.55000000000000004">
      <c r="A53">
        <v>49</v>
      </c>
      <c r="B53" t="s">
        <v>23</v>
      </c>
      <c r="C53" t="s">
        <v>102</v>
      </c>
      <c r="D53" t="s">
        <v>20</v>
      </c>
      <c r="E53" t="s">
        <v>20</v>
      </c>
    </row>
    <row r="54" spans="1:5" x14ac:dyDescent="0.55000000000000004">
      <c r="A54">
        <v>50</v>
      </c>
      <c r="B54" t="s">
        <v>23</v>
      </c>
      <c r="C54" t="s">
        <v>103</v>
      </c>
      <c r="D54" t="s">
        <v>20</v>
      </c>
      <c r="E54" t="s">
        <v>20</v>
      </c>
    </row>
    <row r="55" spans="1:5" x14ac:dyDescent="0.55000000000000004">
      <c r="A55">
        <v>51</v>
      </c>
      <c r="B55" t="s">
        <v>23</v>
      </c>
      <c r="C55" t="s">
        <v>104</v>
      </c>
      <c r="D55" t="s">
        <v>20</v>
      </c>
      <c r="E55" t="s">
        <v>20</v>
      </c>
    </row>
    <row r="56" spans="1:5" x14ac:dyDescent="0.55000000000000004">
      <c r="A56">
        <v>52</v>
      </c>
      <c r="B56" t="s">
        <v>23</v>
      </c>
      <c r="C56" t="s">
        <v>105</v>
      </c>
      <c r="D56" t="s">
        <v>20</v>
      </c>
      <c r="E56" t="s">
        <v>20</v>
      </c>
    </row>
    <row r="57" spans="1:5" x14ac:dyDescent="0.55000000000000004">
      <c r="A57">
        <v>53</v>
      </c>
      <c r="B57" t="s">
        <v>23</v>
      </c>
      <c r="C57" t="s">
        <v>106</v>
      </c>
      <c r="D57" t="s">
        <v>20</v>
      </c>
      <c r="E57" t="s">
        <v>20</v>
      </c>
    </row>
    <row r="58" spans="1:5" x14ac:dyDescent="0.55000000000000004">
      <c r="A58">
        <v>54</v>
      </c>
      <c r="B58" t="s">
        <v>23</v>
      </c>
      <c r="C58" t="s">
        <v>107</v>
      </c>
      <c r="D58" t="s">
        <v>20</v>
      </c>
      <c r="E58" t="s">
        <v>20</v>
      </c>
    </row>
    <row r="59" spans="1:5" x14ac:dyDescent="0.55000000000000004">
      <c r="A59">
        <v>55</v>
      </c>
      <c r="B59" t="s">
        <v>23</v>
      </c>
      <c r="C59" t="s">
        <v>108</v>
      </c>
      <c r="D59" t="s">
        <v>19</v>
      </c>
      <c r="E59" t="s">
        <v>20</v>
      </c>
    </row>
    <row r="60" spans="1:5" x14ac:dyDescent="0.55000000000000004">
      <c r="A60">
        <v>56</v>
      </c>
      <c r="B60" t="s">
        <v>29</v>
      </c>
      <c r="C60" t="s">
        <v>109</v>
      </c>
      <c r="D60" t="s">
        <v>20</v>
      </c>
      <c r="E60" t="s">
        <v>20</v>
      </c>
    </row>
    <row r="61" spans="1:5" x14ac:dyDescent="0.55000000000000004">
      <c r="A61">
        <v>57</v>
      </c>
      <c r="B61" t="s">
        <v>29</v>
      </c>
      <c r="C61" t="s">
        <v>110</v>
      </c>
      <c r="D61" t="s">
        <v>20</v>
      </c>
      <c r="E61" t="s">
        <v>20</v>
      </c>
    </row>
    <row r="62" spans="1:5" x14ac:dyDescent="0.55000000000000004">
      <c r="A62">
        <v>58</v>
      </c>
      <c r="B62" t="s">
        <v>29</v>
      </c>
      <c r="C62" t="s">
        <v>111</v>
      </c>
      <c r="D62" t="s">
        <v>20</v>
      </c>
      <c r="E62" t="s">
        <v>20</v>
      </c>
    </row>
    <row r="63" spans="1:5" x14ac:dyDescent="0.55000000000000004">
      <c r="A63">
        <v>59</v>
      </c>
      <c r="B63" t="s">
        <v>29</v>
      </c>
      <c r="C63" t="s">
        <v>112</v>
      </c>
      <c r="D63" t="s">
        <v>20</v>
      </c>
      <c r="E63" t="s">
        <v>20</v>
      </c>
    </row>
    <row r="64" spans="1:5" x14ac:dyDescent="0.55000000000000004">
      <c r="A64">
        <v>60</v>
      </c>
      <c r="B64" t="s">
        <v>29</v>
      </c>
      <c r="C64" t="s">
        <v>113</v>
      </c>
      <c r="D64" t="s">
        <v>20</v>
      </c>
      <c r="E64" t="s">
        <v>20</v>
      </c>
    </row>
    <row r="65" spans="1:5" x14ac:dyDescent="0.55000000000000004">
      <c r="A65">
        <v>61</v>
      </c>
      <c r="B65" t="s">
        <v>29</v>
      </c>
      <c r="C65" t="s">
        <v>114</v>
      </c>
      <c r="D65" t="s">
        <v>20</v>
      </c>
      <c r="E65" t="s">
        <v>20</v>
      </c>
    </row>
    <row r="66" spans="1:5" x14ac:dyDescent="0.55000000000000004">
      <c r="A66">
        <v>62</v>
      </c>
      <c r="B66" t="s">
        <v>32</v>
      </c>
      <c r="C66" t="s">
        <v>115</v>
      </c>
      <c r="D66" t="s">
        <v>20</v>
      </c>
      <c r="E66" t="s">
        <v>20</v>
      </c>
    </row>
    <row r="67" spans="1:5" x14ac:dyDescent="0.55000000000000004">
      <c r="A67">
        <v>63</v>
      </c>
      <c r="B67" t="s">
        <v>32</v>
      </c>
      <c r="C67" t="s">
        <v>116</v>
      </c>
      <c r="D67" t="s">
        <v>20</v>
      </c>
      <c r="E67" t="s">
        <v>20</v>
      </c>
    </row>
    <row r="68" spans="1:5" x14ac:dyDescent="0.55000000000000004">
      <c r="A68">
        <v>64</v>
      </c>
      <c r="B68" t="s">
        <v>32</v>
      </c>
      <c r="C68" t="s">
        <v>117</v>
      </c>
      <c r="D68" t="s">
        <v>20</v>
      </c>
      <c r="E68" t="s">
        <v>20</v>
      </c>
    </row>
    <row r="69" spans="1:5" x14ac:dyDescent="0.55000000000000004">
      <c r="A69">
        <v>65</v>
      </c>
      <c r="B69" t="s">
        <v>34</v>
      </c>
      <c r="C69" t="s">
        <v>118</v>
      </c>
      <c r="D69" t="s">
        <v>20</v>
      </c>
      <c r="E69" t="s">
        <v>20</v>
      </c>
    </row>
    <row r="70" spans="1:5" x14ac:dyDescent="0.55000000000000004">
      <c r="A70">
        <v>66</v>
      </c>
      <c r="B70" t="s">
        <v>34</v>
      </c>
      <c r="C70" t="s">
        <v>119</v>
      </c>
      <c r="D70" t="s">
        <v>20</v>
      </c>
      <c r="E70" t="s">
        <v>20</v>
      </c>
    </row>
    <row r="71" spans="1:5" x14ac:dyDescent="0.55000000000000004">
      <c r="A71">
        <v>67</v>
      </c>
      <c r="B71" t="s">
        <v>34</v>
      </c>
      <c r="C71" t="s">
        <v>120</v>
      </c>
      <c r="D71" t="s">
        <v>20</v>
      </c>
      <c r="E71" t="s">
        <v>20</v>
      </c>
    </row>
    <row r="72" spans="1:5" x14ac:dyDescent="0.55000000000000004">
      <c r="A72">
        <v>68</v>
      </c>
      <c r="B72" t="s">
        <v>34</v>
      </c>
      <c r="C72" t="s">
        <v>121</v>
      </c>
      <c r="D72" t="s">
        <v>20</v>
      </c>
      <c r="E72" t="s">
        <v>20</v>
      </c>
    </row>
    <row r="73" spans="1:5" x14ac:dyDescent="0.55000000000000004">
      <c r="A73">
        <v>69</v>
      </c>
      <c r="B73" t="s">
        <v>39</v>
      </c>
      <c r="C73" t="s">
        <v>122</v>
      </c>
      <c r="D73" t="s">
        <v>20</v>
      </c>
      <c r="E73" t="s">
        <v>20</v>
      </c>
    </row>
    <row r="74" spans="1:5" x14ac:dyDescent="0.55000000000000004">
      <c r="A74">
        <v>70</v>
      </c>
      <c r="B74" t="s">
        <v>39</v>
      </c>
      <c r="C74" t="s">
        <v>123</v>
      </c>
      <c r="D74" t="s">
        <v>20</v>
      </c>
      <c r="E74" t="s">
        <v>20</v>
      </c>
    </row>
    <row r="75" spans="1:5" x14ac:dyDescent="0.55000000000000004">
      <c r="A75">
        <v>71</v>
      </c>
      <c r="B75" t="s">
        <v>39</v>
      </c>
      <c r="C75" t="s">
        <v>124</v>
      </c>
      <c r="D75" t="s">
        <v>19</v>
      </c>
      <c r="E75" t="s">
        <v>20</v>
      </c>
    </row>
    <row r="76" spans="1:5" x14ac:dyDescent="0.55000000000000004">
      <c r="A76">
        <v>72</v>
      </c>
      <c r="B76" t="s">
        <v>39</v>
      </c>
      <c r="C76" t="s">
        <v>125</v>
      </c>
      <c r="D76" t="s">
        <v>19</v>
      </c>
      <c r="E76" t="s">
        <v>20</v>
      </c>
    </row>
    <row r="77" spans="1:5" x14ac:dyDescent="0.55000000000000004">
      <c r="A77">
        <v>73</v>
      </c>
      <c r="B77" t="s">
        <v>42</v>
      </c>
      <c r="C77" t="s">
        <v>126</v>
      </c>
      <c r="D77" t="s">
        <v>20</v>
      </c>
      <c r="E77" t="s">
        <v>20</v>
      </c>
    </row>
    <row r="78" spans="1:5" x14ac:dyDescent="0.55000000000000004">
      <c r="A78">
        <v>74</v>
      </c>
      <c r="B78" t="s">
        <v>42</v>
      </c>
      <c r="C78" t="s">
        <v>127</v>
      </c>
      <c r="D78" t="s">
        <v>19</v>
      </c>
      <c r="E78" t="s">
        <v>20</v>
      </c>
    </row>
    <row r="79" spans="1:5" x14ac:dyDescent="0.55000000000000004">
      <c r="A79">
        <v>75</v>
      </c>
      <c r="B79" t="s">
        <v>42</v>
      </c>
      <c r="C79" t="s">
        <v>128</v>
      </c>
      <c r="D79" t="s">
        <v>20</v>
      </c>
      <c r="E79" t="s">
        <v>20</v>
      </c>
    </row>
    <row r="80" spans="1:5" x14ac:dyDescent="0.55000000000000004">
      <c r="A80">
        <v>76</v>
      </c>
      <c r="B80" t="s">
        <v>42</v>
      </c>
      <c r="C80" t="s">
        <v>129</v>
      </c>
      <c r="D80" t="s">
        <v>19</v>
      </c>
      <c r="E80" t="s">
        <v>20</v>
      </c>
    </row>
    <row r="81" spans="1:5" x14ac:dyDescent="0.55000000000000004">
      <c r="A81">
        <v>77</v>
      </c>
      <c r="B81" t="s">
        <v>42</v>
      </c>
      <c r="C81" t="s">
        <v>130</v>
      </c>
      <c r="D81" t="s">
        <v>20</v>
      </c>
      <c r="E81" t="s">
        <v>20</v>
      </c>
    </row>
    <row r="82" spans="1:5" x14ac:dyDescent="0.55000000000000004">
      <c r="A82">
        <v>78</v>
      </c>
      <c r="B82" t="s">
        <v>42</v>
      </c>
      <c r="C82" t="s">
        <v>131</v>
      </c>
      <c r="D82" t="s">
        <v>19</v>
      </c>
      <c r="E82" t="s">
        <v>20</v>
      </c>
    </row>
    <row r="83" spans="1:5" x14ac:dyDescent="0.55000000000000004">
      <c r="A83">
        <v>79</v>
      </c>
      <c r="B83" t="s">
        <v>42</v>
      </c>
      <c r="C83" t="s">
        <v>132</v>
      </c>
      <c r="D83" t="s">
        <v>20</v>
      </c>
      <c r="E83" t="s">
        <v>20</v>
      </c>
    </row>
    <row r="84" spans="1:5" x14ac:dyDescent="0.55000000000000004">
      <c r="A84">
        <v>80</v>
      </c>
      <c r="B84" t="s">
        <v>42</v>
      </c>
      <c r="C84" t="s">
        <v>133</v>
      </c>
      <c r="D84" t="s">
        <v>20</v>
      </c>
      <c r="E84" t="s">
        <v>20</v>
      </c>
    </row>
    <row r="85" spans="1:5" x14ac:dyDescent="0.55000000000000004">
      <c r="A85">
        <v>81</v>
      </c>
      <c r="B85" t="s">
        <v>42</v>
      </c>
      <c r="C85" t="s">
        <v>134</v>
      </c>
      <c r="D85" t="s">
        <v>20</v>
      </c>
      <c r="E85" t="s">
        <v>20</v>
      </c>
    </row>
    <row r="86" spans="1:5" x14ac:dyDescent="0.55000000000000004">
      <c r="A86">
        <v>82</v>
      </c>
      <c r="B86" t="s">
        <v>42</v>
      </c>
      <c r="C86" t="s">
        <v>135</v>
      </c>
      <c r="D86" t="s">
        <v>19</v>
      </c>
      <c r="E86" t="s">
        <v>20</v>
      </c>
    </row>
    <row r="87" spans="1:5" x14ac:dyDescent="0.55000000000000004">
      <c r="A87">
        <v>83</v>
      </c>
      <c r="B87" t="s">
        <v>42</v>
      </c>
      <c r="C87" t="s">
        <v>136</v>
      </c>
      <c r="D87" t="s">
        <v>19</v>
      </c>
      <c r="E87" t="s">
        <v>20</v>
      </c>
    </row>
    <row r="88" spans="1:5" x14ac:dyDescent="0.55000000000000004">
      <c r="A88">
        <v>84</v>
      </c>
      <c r="B88" t="s">
        <v>42</v>
      </c>
      <c r="C88" t="s">
        <v>137</v>
      </c>
      <c r="D88" t="s">
        <v>19</v>
      </c>
      <c r="E88" t="s">
        <v>20</v>
      </c>
    </row>
    <row r="89" spans="1:5" x14ac:dyDescent="0.55000000000000004">
      <c r="A89">
        <v>85</v>
      </c>
      <c r="B89" t="s">
        <v>42</v>
      </c>
      <c r="C89" t="s">
        <v>138</v>
      </c>
      <c r="D89" t="s">
        <v>19</v>
      </c>
      <c r="E89" t="s">
        <v>20</v>
      </c>
    </row>
    <row r="90" spans="1:5" x14ac:dyDescent="0.55000000000000004">
      <c r="A90">
        <v>86</v>
      </c>
      <c r="B90" t="s">
        <v>42</v>
      </c>
      <c r="C90" t="s">
        <v>139</v>
      </c>
      <c r="D90" t="s">
        <v>20</v>
      </c>
      <c r="E90" t="s">
        <v>20</v>
      </c>
    </row>
    <row r="91" spans="1:5" x14ac:dyDescent="0.55000000000000004">
      <c r="A91">
        <v>87</v>
      </c>
      <c r="B91" t="s">
        <v>46</v>
      </c>
      <c r="C91" t="s">
        <v>140</v>
      </c>
      <c r="D91" t="s">
        <v>20</v>
      </c>
      <c r="E91" t="s">
        <v>20</v>
      </c>
    </row>
    <row r="92" spans="1:5" x14ac:dyDescent="0.55000000000000004">
      <c r="A92">
        <v>88</v>
      </c>
      <c r="B92" t="s">
        <v>46</v>
      </c>
      <c r="C92" t="s">
        <v>141</v>
      </c>
      <c r="D92" t="s">
        <v>20</v>
      </c>
      <c r="E92" t="s">
        <v>20</v>
      </c>
    </row>
    <row r="93" spans="1:5" x14ac:dyDescent="0.55000000000000004">
      <c r="A93">
        <v>89</v>
      </c>
      <c r="B93" t="s">
        <v>49</v>
      </c>
      <c r="C93" t="s">
        <v>142</v>
      </c>
      <c r="D93" t="s">
        <v>19</v>
      </c>
      <c r="E93" t="s">
        <v>20</v>
      </c>
    </row>
    <row r="94" spans="1:5" x14ac:dyDescent="0.55000000000000004">
      <c r="A94">
        <v>90</v>
      </c>
      <c r="B94" t="s">
        <v>49</v>
      </c>
      <c r="C94" t="s">
        <v>143</v>
      </c>
      <c r="D94" t="s">
        <v>19</v>
      </c>
      <c r="E94" t="s">
        <v>20</v>
      </c>
    </row>
    <row r="95" spans="1:5" x14ac:dyDescent="0.55000000000000004">
      <c r="A95">
        <v>91</v>
      </c>
      <c r="B95" t="s">
        <v>49</v>
      </c>
      <c r="C95" t="s">
        <v>144</v>
      </c>
      <c r="D95" t="s">
        <v>20</v>
      </c>
      <c r="E95" t="s">
        <v>20</v>
      </c>
    </row>
    <row r="96" spans="1:5" x14ac:dyDescent="0.55000000000000004">
      <c r="A96">
        <v>92</v>
      </c>
      <c r="B96" t="s">
        <v>50</v>
      </c>
      <c r="C96" t="s">
        <v>145</v>
      </c>
      <c r="D96" t="s">
        <v>19</v>
      </c>
      <c r="E96" t="s">
        <v>20</v>
      </c>
    </row>
    <row r="97" spans="1:5" x14ac:dyDescent="0.55000000000000004">
      <c r="A97">
        <v>93</v>
      </c>
      <c r="B97" t="s">
        <v>50</v>
      </c>
      <c r="C97" t="s">
        <v>146</v>
      </c>
      <c r="D97" t="s">
        <v>20</v>
      </c>
      <c r="E97" t="s">
        <v>20</v>
      </c>
    </row>
    <row r="98" spans="1:5" x14ac:dyDescent="0.55000000000000004">
      <c r="A98">
        <v>94</v>
      </c>
      <c r="B98" t="s">
        <v>50</v>
      </c>
      <c r="C98" t="s">
        <v>147</v>
      </c>
      <c r="D98" t="s">
        <v>19</v>
      </c>
      <c r="E98" t="s">
        <v>20</v>
      </c>
    </row>
    <row r="99" spans="1:5" x14ac:dyDescent="0.55000000000000004">
      <c r="A99">
        <v>95</v>
      </c>
      <c r="B99" t="s">
        <v>50</v>
      </c>
      <c r="C99" t="s">
        <v>148</v>
      </c>
      <c r="D99" t="s">
        <v>20</v>
      </c>
      <c r="E99" t="s">
        <v>20</v>
      </c>
    </row>
    <row r="100" spans="1:5" x14ac:dyDescent="0.55000000000000004">
      <c r="A100">
        <v>96</v>
      </c>
      <c r="B100" t="s">
        <v>50</v>
      </c>
      <c r="C100" t="s">
        <v>149</v>
      </c>
      <c r="D100" t="s">
        <v>20</v>
      </c>
      <c r="E100" t="s">
        <v>20</v>
      </c>
    </row>
    <row r="101" spans="1:5" x14ac:dyDescent="0.55000000000000004">
      <c r="A101">
        <v>97</v>
      </c>
      <c r="B101" t="s">
        <v>50</v>
      </c>
      <c r="C101" t="s">
        <v>150</v>
      </c>
      <c r="D101" t="s">
        <v>20</v>
      </c>
      <c r="E101" t="s">
        <v>20</v>
      </c>
    </row>
    <row r="102" spans="1:5" x14ac:dyDescent="0.55000000000000004">
      <c r="A102">
        <v>98</v>
      </c>
      <c r="B102" t="s">
        <v>50</v>
      </c>
      <c r="C102" t="s">
        <v>151</v>
      </c>
      <c r="D102" t="s">
        <v>20</v>
      </c>
      <c r="E102" t="s">
        <v>20</v>
      </c>
    </row>
    <row r="103" spans="1:5" x14ac:dyDescent="0.55000000000000004">
      <c r="A103">
        <v>99</v>
      </c>
      <c r="B103" t="s">
        <v>50</v>
      </c>
      <c r="C103" t="s">
        <v>152</v>
      </c>
      <c r="D103" t="s">
        <v>20</v>
      </c>
      <c r="E103" t="s">
        <v>20</v>
      </c>
    </row>
    <row r="104" spans="1:5" x14ac:dyDescent="0.55000000000000004">
      <c r="A104">
        <v>100</v>
      </c>
      <c r="B104" t="s">
        <v>50</v>
      </c>
      <c r="C104" t="s">
        <v>153</v>
      </c>
      <c r="D104" t="s">
        <v>20</v>
      </c>
      <c r="E104" t="s">
        <v>20</v>
      </c>
    </row>
    <row r="105" spans="1:5" x14ac:dyDescent="0.55000000000000004">
      <c r="A105">
        <v>101</v>
      </c>
      <c r="B105" t="s">
        <v>50</v>
      </c>
      <c r="C105" t="s">
        <v>154</v>
      </c>
      <c r="D105" t="s">
        <v>20</v>
      </c>
      <c r="E105" t="s">
        <v>20</v>
      </c>
    </row>
    <row r="106" spans="1:5" x14ac:dyDescent="0.55000000000000004">
      <c r="A106">
        <v>102</v>
      </c>
      <c r="B106" t="s">
        <v>53</v>
      </c>
      <c r="C106" t="s">
        <v>155</v>
      </c>
      <c r="D106" t="s">
        <v>20</v>
      </c>
      <c r="E106" t="s">
        <v>20</v>
      </c>
    </row>
    <row r="107" spans="1:5" x14ac:dyDescent="0.55000000000000004">
      <c r="A107">
        <v>103</v>
      </c>
      <c r="B107" t="s">
        <v>53</v>
      </c>
      <c r="C107" t="s">
        <v>156</v>
      </c>
      <c r="D107" t="s">
        <v>20</v>
      </c>
      <c r="E107" t="s">
        <v>20</v>
      </c>
    </row>
    <row r="108" spans="1:5" x14ac:dyDescent="0.55000000000000004">
      <c r="A108">
        <v>104</v>
      </c>
      <c r="B108" t="s">
        <v>53</v>
      </c>
      <c r="C108" t="s">
        <v>157</v>
      </c>
      <c r="D108" t="s">
        <v>20</v>
      </c>
      <c r="E108" t="s">
        <v>20</v>
      </c>
    </row>
    <row r="109" spans="1:5" x14ac:dyDescent="0.55000000000000004">
      <c r="A109">
        <v>105</v>
      </c>
      <c r="B109" t="s">
        <v>53</v>
      </c>
      <c r="C109" t="s">
        <v>158</v>
      </c>
      <c r="D109" t="s">
        <v>20</v>
      </c>
      <c r="E109" t="s">
        <v>20</v>
      </c>
    </row>
    <row r="110" spans="1:5" x14ac:dyDescent="0.55000000000000004">
      <c r="A110">
        <v>106</v>
      </c>
      <c r="B110" t="s">
        <v>53</v>
      </c>
      <c r="C110" t="s">
        <v>159</v>
      </c>
      <c r="D110" t="s">
        <v>20</v>
      </c>
      <c r="E110" t="s">
        <v>20</v>
      </c>
    </row>
    <row r="111" spans="1:5" x14ac:dyDescent="0.55000000000000004">
      <c r="A111">
        <v>107</v>
      </c>
      <c r="B111" t="s">
        <v>53</v>
      </c>
      <c r="C111" t="s">
        <v>160</v>
      </c>
      <c r="D111" t="s">
        <v>20</v>
      </c>
      <c r="E111" t="s">
        <v>20</v>
      </c>
    </row>
    <row r="112" spans="1:5" x14ac:dyDescent="0.55000000000000004">
      <c r="A112">
        <v>108</v>
      </c>
      <c r="B112" t="s">
        <v>53</v>
      </c>
      <c r="C112" t="s">
        <v>161</v>
      </c>
      <c r="D112" t="s">
        <v>20</v>
      </c>
      <c r="E112" t="s">
        <v>20</v>
      </c>
    </row>
    <row r="113" spans="1:5" x14ac:dyDescent="0.55000000000000004">
      <c r="A113">
        <v>109</v>
      </c>
      <c r="B113" t="s">
        <v>56</v>
      </c>
      <c r="C113" t="s">
        <v>162</v>
      </c>
      <c r="D113" t="s">
        <v>20</v>
      </c>
      <c r="E113" t="s">
        <v>20</v>
      </c>
    </row>
    <row r="114" spans="1:5" x14ac:dyDescent="0.55000000000000004">
      <c r="A114">
        <v>110</v>
      </c>
      <c r="B114" t="s">
        <v>56</v>
      </c>
      <c r="C114" t="s">
        <v>163</v>
      </c>
      <c r="D114" t="s">
        <v>20</v>
      </c>
      <c r="E114" t="s">
        <v>20</v>
      </c>
    </row>
    <row r="115" spans="1:5" x14ac:dyDescent="0.55000000000000004">
      <c r="A115">
        <v>111</v>
      </c>
      <c r="B115" t="s">
        <v>56</v>
      </c>
      <c r="C115" t="s">
        <v>164</v>
      </c>
      <c r="D115" t="s">
        <v>20</v>
      </c>
      <c r="E115" t="s">
        <v>20</v>
      </c>
    </row>
    <row r="116" spans="1:5" x14ac:dyDescent="0.55000000000000004">
      <c r="A116">
        <v>112</v>
      </c>
      <c r="B116" t="s">
        <v>56</v>
      </c>
      <c r="C116" t="s">
        <v>165</v>
      </c>
      <c r="D116" t="s">
        <v>19</v>
      </c>
      <c r="E116" t="s">
        <v>20</v>
      </c>
    </row>
    <row r="117" spans="1:5" x14ac:dyDescent="0.55000000000000004">
      <c r="A117">
        <v>113</v>
      </c>
      <c r="B117" t="s">
        <v>56</v>
      </c>
      <c r="C117" t="s">
        <v>166</v>
      </c>
      <c r="D117" t="s">
        <v>20</v>
      </c>
      <c r="E117" t="s">
        <v>20</v>
      </c>
    </row>
    <row r="118" spans="1:5" x14ac:dyDescent="0.55000000000000004">
      <c r="A118">
        <v>114</v>
      </c>
      <c r="B118" t="s">
        <v>56</v>
      </c>
      <c r="C118" t="s">
        <v>167</v>
      </c>
      <c r="D118" t="s">
        <v>20</v>
      </c>
      <c r="E118" t="s">
        <v>19</v>
      </c>
    </row>
    <row r="119" spans="1:5" x14ac:dyDescent="0.55000000000000004">
      <c r="A119">
        <v>115</v>
      </c>
      <c r="B119" t="s">
        <v>56</v>
      </c>
      <c r="C119" t="s">
        <v>168</v>
      </c>
      <c r="D119" t="s">
        <v>20</v>
      </c>
      <c r="E119" t="s">
        <v>20</v>
      </c>
    </row>
    <row r="120" spans="1:5" x14ac:dyDescent="0.55000000000000004">
      <c r="A120">
        <v>116</v>
      </c>
      <c r="B120" t="s">
        <v>59</v>
      </c>
      <c r="C120" t="s">
        <v>169</v>
      </c>
      <c r="D120" t="s">
        <v>20</v>
      </c>
      <c r="E120" t="s">
        <v>20</v>
      </c>
    </row>
    <row r="121" spans="1:5" x14ac:dyDescent="0.55000000000000004">
      <c r="A121">
        <v>117</v>
      </c>
      <c r="B121" t="s">
        <v>59</v>
      </c>
      <c r="C121" t="s">
        <v>170</v>
      </c>
      <c r="D121" t="s">
        <v>20</v>
      </c>
      <c r="E121" t="s">
        <v>20</v>
      </c>
    </row>
    <row r="122" spans="1:5" x14ac:dyDescent="0.55000000000000004">
      <c r="A122">
        <v>118</v>
      </c>
      <c r="B122" t="s">
        <v>59</v>
      </c>
      <c r="C122" t="s">
        <v>171</v>
      </c>
      <c r="D122" t="s">
        <v>20</v>
      </c>
      <c r="E122" t="s">
        <v>20</v>
      </c>
    </row>
    <row r="123" spans="1:5" x14ac:dyDescent="0.55000000000000004">
      <c r="A123">
        <v>119</v>
      </c>
      <c r="B123" t="s">
        <v>59</v>
      </c>
      <c r="C123" t="s">
        <v>172</v>
      </c>
      <c r="D123" t="s">
        <v>20</v>
      </c>
      <c r="E123" t="s">
        <v>20</v>
      </c>
    </row>
    <row r="124" spans="1:5" x14ac:dyDescent="0.55000000000000004">
      <c r="A124">
        <v>120</v>
      </c>
      <c r="B124" t="s">
        <v>59</v>
      </c>
      <c r="C124" t="s">
        <v>173</v>
      </c>
      <c r="D124" t="s">
        <v>20</v>
      </c>
      <c r="E124" t="s">
        <v>20</v>
      </c>
    </row>
    <row r="125" spans="1:5" x14ac:dyDescent="0.55000000000000004">
      <c r="A125">
        <v>121</v>
      </c>
      <c r="B125" t="s">
        <v>59</v>
      </c>
      <c r="C125" t="s">
        <v>174</v>
      </c>
      <c r="D125" t="s">
        <v>20</v>
      </c>
      <c r="E125" t="s">
        <v>20</v>
      </c>
    </row>
    <row r="126" spans="1:5" x14ac:dyDescent="0.55000000000000004">
      <c r="A126">
        <v>122</v>
      </c>
      <c r="B126" t="s">
        <v>59</v>
      </c>
      <c r="C126" t="s">
        <v>175</v>
      </c>
      <c r="D126" t="s">
        <v>20</v>
      </c>
      <c r="E126" t="s">
        <v>20</v>
      </c>
    </row>
    <row r="127" spans="1:5" x14ac:dyDescent="0.55000000000000004">
      <c r="A127">
        <v>123</v>
      </c>
      <c r="B127" t="s">
        <v>59</v>
      </c>
      <c r="C127" t="s">
        <v>176</v>
      </c>
      <c r="D127" t="s">
        <v>20</v>
      </c>
      <c r="E127" t="s">
        <v>20</v>
      </c>
    </row>
    <row r="128" spans="1:5" x14ac:dyDescent="0.55000000000000004">
      <c r="A128">
        <v>124</v>
      </c>
      <c r="B128" t="s">
        <v>59</v>
      </c>
      <c r="C128" t="s">
        <v>177</v>
      </c>
      <c r="D128" t="s">
        <v>20</v>
      </c>
      <c r="E128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F9523-F050-4547-999B-C8519CF5456B}">
  <dimension ref="B2:B125"/>
  <sheetViews>
    <sheetView topLeftCell="A58" workbookViewId="0">
      <selection activeCell="C3" sqref="C3"/>
    </sheetView>
  </sheetViews>
  <sheetFormatPr defaultRowHeight="14.4" x14ac:dyDescent="0.55000000000000004"/>
  <sheetData>
    <row r="2" spans="2:2" x14ac:dyDescent="0.55000000000000004">
      <c r="B2" t="s">
        <v>2</v>
      </c>
    </row>
    <row r="3" spans="2:2" x14ac:dyDescent="0.55000000000000004">
      <c r="B3" t="s">
        <v>7</v>
      </c>
    </row>
    <row r="4" spans="2:2" x14ac:dyDescent="0.55000000000000004">
      <c r="B4" t="s">
        <v>0</v>
      </c>
    </row>
    <row r="5" spans="2:2" x14ac:dyDescent="0.55000000000000004">
      <c r="B5" t="s">
        <v>1</v>
      </c>
    </row>
    <row r="6" spans="2:2" x14ac:dyDescent="0.55000000000000004">
      <c r="B6" t="s">
        <v>3</v>
      </c>
    </row>
    <row r="7" spans="2:2" x14ac:dyDescent="0.55000000000000004">
      <c r="B7" t="s">
        <v>4</v>
      </c>
    </row>
    <row r="8" spans="2:2" x14ac:dyDescent="0.55000000000000004">
      <c r="B8" t="s">
        <v>5</v>
      </c>
    </row>
    <row r="9" spans="2:2" x14ac:dyDescent="0.55000000000000004">
      <c r="B9" t="s">
        <v>88</v>
      </c>
    </row>
    <row r="10" spans="2:2" x14ac:dyDescent="0.55000000000000004">
      <c r="B10" t="s">
        <v>177</v>
      </c>
    </row>
    <row r="11" spans="2:2" x14ac:dyDescent="0.55000000000000004">
      <c r="B11" t="s">
        <v>171</v>
      </c>
    </row>
    <row r="12" spans="2:2" x14ac:dyDescent="0.55000000000000004">
      <c r="B12" t="s">
        <v>175</v>
      </c>
    </row>
    <row r="13" spans="2:2" x14ac:dyDescent="0.55000000000000004">
      <c r="B13" t="s">
        <v>173</v>
      </c>
    </row>
    <row r="14" spans="2:2" x14ac:dyDescent="0.55000000000000004">
      <c r="B14" t="s">
        <v>172</v>
      </c>
    </row>
    <row r="15" spans="2:2" x14ac:dyDescent="0.55000000000000004">
      <c r="B15" t="s">
        <v>176</v>
      </c>
    </row>
    <row r="16" spans="2:2" x14ac:dyDescent="0.55000000000000004">
      <c r="B16" t="s">
        <v>169</v>
      </c>
    </row>
    <row r="17" spans="2:2" x14ac:dyDescent="0.55000000000000004">
      <c r="B17" t="s">
        <v>170</v>
      </c>
    </row>
    <row r="18" spans="2:2" x14ac:dyDescent="0.55000000000000004">
      <c r="B18" t="s">
        <v>174</v>
      </c>
    </row>
    <row r="19" spans="2:2" x14ac:dyDescent="0.55000000000000004">
      <c r="B19" t="s">
        <v>97</v>
      </c>
    </row>
    <row r="20" spans="2:2" x14ac:dyDescent="0.55000000000000004">
      <c r="B20" t="s">
        <v>91</v>
      </c>
    </row>
    <row r="21" spans="2:2" x14ac:dyDescent="0.55000000000000004">
      <c r="B21" t="s">
        <v>92</v>
      </c>
    </row>
    <row r="22" spans="2:2" x14ac:dyDescent="0.55000000000000004">
      <c r="B22" t="s">
        <v>95</v>
      </c>
    </row>
    <row r="23" spans="2:2" x14ac:dyDescent="0.55000000000000004">
      <c r="B23" t="s">
        <v>93</v>
      </c>
    </row>
    <row r="24" spans="2:2" x14ac:dyDescent="0.55000000000000004">
      <c r="B24" t="s">
        <v>96</v>
      </c>
    </row>
    <row r="25" spans="2:2" x14ac:dyDescent="0.55000000000000004">
      <c r="B25" t="s">
        <v>98</v>
      </c>
    </row>
    <row r="26" spans="2:2" x14ac:dyDescent="0.55000000000000004">
      <c r="B26" t="s">
        <v>99</v>
      </c>
    </row>
    <row r="27" spans="2:2" x14ac:dyDescent="0.55000000000000004">
      <c r="B27" t="s">
        <v>90</v>
      </c>
    </row>
    <row r="28" spans="2:2" x14ac:dyDescent="0.55000000000000004">
      <c r="B28" t="s">
        <v>100</v>
      </c>
    </row>
    <row r="29" spans="2:2" x14ac:dyDescent="0.55000000000000004">
      <c r="B29" t="s">
        <v>94</v>
      </c>
    </row>
    <row r="30" spans="2:2" x14ac:dyDescent="0.55000000000000004">
      <c r="B30" t="s">
        <v>89</v>
      </c>
    </row>
    <row r="31" spans="2:2" x14ac:dyDescent="0.55000000000000004">
      <c r="B31" t="s">
        <v>87</v>
      </c>
    </row>
    <row r="32" spans="2:2" x14ac:dyDescent="0.55000000000000004">
      <c r="B32" t="s">
        <v>85</v>
      </c>
    </row>
    <row r="33" spans="2:2" x14ac:dyDescent="0.55000000000000004">
      <c r="B33" t="s">
        <v>86</v>
      </c>
    </row>
    <row r="34" spans="2:2" x14ac:dyDescent="0.55000000000000004">
      <c r="B34" t="s">
        <v>72</v>
      </c>
    </row>
    <row r="35" spans="2:2" x14ac:dyDescent="0.55000000000000004">
      <c r="B35" t="s">
        <v>121</v>
      </c>
    </row>
    <row r="36" spans="2:2" x14ac:dyDescent="0.55000000000000004">
      <c r="B36" t="s">
        <v>71</v>
      </c>
    </row>
    <row r="37" spans="2:2" x14ac:dyDescent="0.55000000000000004">
      <c r="B37" t="s">
        <v>70</v>
      </c>
    </row>
    <row r="38" spans="2:2" x14ac:dyDescent="0.55000000000000004">
      <c r="B38" t="s">
        <v>76</v>
      </c>
    </row>
    <row r="39" spans="2:2" x14ac:dyDescent="0.55000000000000004">
      <c r="B39" t="s">
        <v>109</v>
      </c>
    </row>
    <row r="40" spans="2:2" x14ac:dyDescent="0.55000000000000004">
      <c r="B40" t="s">
        <v>75</v>
      </c>
    </row>
    <row r="41" spans="2:2" x14ac:dyDescent="0.55000000000000004">
      <c r="B41" t="s">
        <v>69</v>
      </c>
    </row>
    <row r="42" spans="2:2" x14ac:dyDescent="0.55000000000000004">
      <c r="B42" t="s">
        <v>68</v>
      </c>
    </row>
    <row r="43" spans="2:2" x14ac:dyDescent="0.55000000000000004">
      <c r="B43" t="s">
        <v>79</v>
      </c>
    </row>
    <row r="44" spans="2:2" x14ac:dyDescent="0.55000000000000004">
      <c r="B44" t="s">
        <v>80</v>
      </c>
    </row>
    <row r="45" spans="2:2" x14ac:dyDescent="0.55000000000000004">
      <c r="B45" t="s">
        <v>81</v>
      </c>
    </row>
    <row r="46" spans="2:2" x14ac:dyDescent="0.55000000000000004">
      <c r="B46" t="s">
        <v>62</v>
      </c>
    </row>
    <row r="47" spans="2:2" x14ac:dyDescent="0.55000000000000004">
      <c r="B47" t="s">
        <v>61</v>
      </c>
    </row>
    <row r="48" spans="2:2" x14ac:dyDescent="0.55000000000000004">
      <c r="B48" t="s">
        <v>77</v>
      </c>
    </row>
    <row r="49" spans="2:2" x14ac:dyDescent="0.55000000000000004">
      <c r="B49" t="s">
        <v>78</v>
      </c>
    </row>
    <row r="50" spans="2:2" x14ac:dyDescent="0.55000000000000004">
      <c r="B50" t="s">
        <v>63</v>
      </c>
    </row>
    <row r="51" spans="2:2" x14ac:dyDescent="0.55000000000000004">
      <c r="B51" t="s">
        <v>82</v>
      </c>
    </row>
    <row r="52" spans="2:2" x14ac:dyDescent="0.55000000000000004">
      <c r="B52" t="s">
        <v>83</v>
      </c>
    </row>
    <row r="53" spans="2:2" x14ac:dyDescent="0.55000000000000004">
      <c r="B53" t="s">
        <v>84</v>
      </c>
    </row>
    <row r="54" spans="2:2" x14ac:dyDescent="0.55000000000000004">
      <c r="B54" t="s">
        <v>73</v>
      </c>
    </row>
    <row r="55" spans="2:2" x14ac:dyDescent="0.55000000000000004">
      <c r="B55" t="s">
        <v>74</v>
      </c>
    </row>
    <row r="56" spans="2:2" x14ac:dyDescent="0.55000000000000004">
      <c r="B56" t="s">
        <v>143</v>
      </c>
    </row>
    <row r="57" spans="2:2" x14ac:dyDescent="0.55000000000000004">
      <c r="B57" t="s">
        <v>144</v>
      </c>
    </row>
    <row r="58" spans="2:2" x14ac:dyDescent="0.55000000000000004">
      <c r="B58" t="s">
        <v>122</v>
      </c>
    </row>
    <row r="59" spans="2:2" x14ac:dyDescent="0.55000000000000004">
      <c r="B59" t="s">
        <v>156</v>
      </c>
    </row>
    <row r="60" spans="2:2" x14ac:dyDescent="0.55000000000000004">
      <c r="B60" t="s">
        <v>155</v>
      </c>
    </row>
    <row r="61" spans="2:2" x14ac:dyDescent="0.55000000000000004">
      <c r="B61" t="s">
        <v>160</v>
      </c>
    </row>
    <row r="62" spans="2:2" x14ac:dyDescent="0.55000000000000004">
      <c r="B62" t="s">
        <v>159</v>
      </c>
    </row>
    <row r="63" spans="2:2" x14ac:dyDescent="0.55000000000000004">
      <c r="B63" t="s">
        <v>157</v>
      </c>
    </row>
    <row r="64" spans="2:2" x14ac:dyDescent="0.55000000000000004">
      <c r="B64" t="s">
        <v>158</v>
      </c>
    </row>
    <row r="65" spans="2:2" x14ac:dyDescent="0.55000000000000004">
      <c r="B65" t="s">
        <v>64</v>
      </c>
    </row>
    <row r="66" spans="2:2" x14ac:dyDescent="0.55000000000000004">
      <c r="B66" t="s">
        <v>161</v>
      </c>
    </row>
    <row r="67" spans="2:2" x14ac:dyDescent="0.55000000000000004">
      <c r="B67" t="s">
        <v>151</v>
      </c>
    </row>
    <row r="68" spans="2:2" x14ac:dyDescent="0.55000000000000004">
      <c r="B68" t="s">
        <v>152</v>
      </c>
    </row>
    <row r="69" spans="2:2" x14ac:dyDescent="0.55000000000000004">
      <c r="B69" t="s">
        <v>150</v>
      </c>
    </row>
    <row r="70" spans="2:2" x14ac:dyDescent="0.55000000000000004">
      <c r="B70" t="s">
        <v>153</v>
      </c>
    </row>
    <row r="71" spans="2:2" x14ac:dyDescent="0.55000000000000004">
      <c r="B71" t="s">
        <v>154</v>
      </c>
    </row>
    <row r="72" spans="2:2" x14ac:dyDescent="0.55000000000000004">
      <c r="B72" t="s">
        <v>148</v>
      </c>
    </row>
    <row r="73" spans="2:2" x14ac:dyDescent="0.55000000000000004">
      <c r="B73" t="s">
        <v>149</v>
      </c>
    </row>
    <row r="74" spans="2:2" x14ac:dyDescent="0.55000000000000004">
      <c r="B74" t="s">
        <v>168</v>
      </c>
    </row>
    <row r="75" spans="2:2" x14ac:dyDescent="0.55000000000000004">
      <c r="B75" t="s">
        <v>142</v>
      </c>
    </row>
    <row r="76" spans="2:2" x14ac:dyDescent="0.55000000000000004">
      <c r="B76" t="s">
        <v>128</v>
      </c>
    </row>
    <row r="77" spans="2:2" x14ac:dyDescent="0.55000000000000004">
      <c r="B77" t="s">
        <v>129</v>
      </c>
    </row>
    <row r="78" spans="2:2" x14ac:dyDescent="0.55000000000000004">
      <c r="B78" t="s">
        <v>130</v>
      </c>
    </row>
    <row r="79" spans="2:2" x14ac:dyDescent="0.55000000000000004">
      <c r="B79" t="s">
        <v>131</v>
      </c>
    </row>
    <row r="80" spans="2:2" x14ac:dyDescent="0.55000000000000004">
      <c r="B80" t="s">
        <v>132</v>
      </c>
    </row>
    <row r="81" spans="2:2" x14ac:dyDescent="0.55000000000000004">
      <c r="B81" t="s">
        <v>133</v>
      </c>
    </row>
    <row r="82" spans="2:2" x14ac:dyDescent="0.55000000000000004">
      <c r="B82" t="s">
        <v>126</v>
      </c>
    </row>
    <row r="83" spans="2:2" x14ac:dyDescent="0.55000000000000004">
      <c r="B83" t="s">
        <v>127</v>
      </c>
    </row>
    <row r="84" spans="2:2" x14ac:dyDescent="0.55000000000000004">
      <c r="B84" t="s">
        <v>134</v>
      </c>
    </row>
    <row r="85" spans="2:2" x14ac:dyDescent="0.55000000000000004">
      <c r="B85" t="s">
        <v>135</v>
      </c>
    </row>
    <row r="86" spans="2:2" x14ac:dyDescent="0.55000000000000004">
      <c r="B86" t="s">
        <v>136</v>
      </c>
    </row>
    <row r="87" spans="2:2" x14ac:dyDescent="0.55000000000000004">
      <c r="B87" t="s">
        <v>137</v>
      </c>
    </row>
    <row r="88" spans="2:2" x14ac:dyDescent="0.55000000000000004">
      <c r="B88" t="s">
        <v>138</v>
      </c>
    </row>
    <row r="89" spans="2:2" x14ac:dyDescent="0.55000000000000004">
      <c r="B89" t="s">
        <v>139</v>
      </c>
    </row>
    <row r="90" spans="2:2" x14ac:dyDescent="0.55000000000000004">
      <c r="B90" t="s">
        <v>146</v>
      </c>
    </row>
    <row r="91" spans="2:2" x14ac:dyDescent="0.55000000000000004">
      <c r="B91" t="s">
        <v>147</v>
      </c>
    </row>
    <row r="92" spans="2:2" x14ac:dyDescent="0.55000000000000004">
      <c r="B92" t="s">
        <v>145</v>
      </c>
    </row>
    <row r="93" spans="2:2" x14ac:dyDescent="0.55000000000000004">
      <c r="B93" t="s">
        <v>118</v>
      </c>
    </row>
    <row r="94" spans="2:2" x14ac:dyDescent="0.55000000000000004">
      <c r="B94" t="s">
        <v>119</v>
      </c>
    </row>
    <row r="95" spans="2:2" x14ac:dyDescent="0.55000000000000004">
      <c r="B95" t="s">
        <v>120</v>
      </c>
    </row>
    <row r="96" spans="2:2" x14ac:dyDescent="0.55000000000000004">
      <c r="B96" t="s">
        <v>66</v>
      </c>
    </row>
    <row r="97" spans="2:2" x14ac:dyDescent="0.55000000000000004">
      <c r="B97" t="s">
        <v>65</v>
      </c>
    </row>
    <row r="98" spans="2:2" x14ac:dyDescent="0.55000000000000004">
      <c r="B98" t="s">
        <v>67</v>
      </c>
    </row>
    <row r="99" spans="2:2" x14ac:dyDescent="0.55000000000000004">
      <c r="B99" t="s">
        <v>124</v>
      </c>
    </row>
    <row r="100" spans="2:2" x14ac:dyDescent="0.55000000000000004">
      <c r="B100" t="s">
        <v>123</v>
      </c>
    </row>
    <row r="101" spans="2:2" x14ac:dyDescent="0.55000000000000004">
      <c r="B101" t="s">
        <v>113</v>
      </c>
    </row>
    <row r="102" spans="2:2" x14ac:dyDescent="0.55000000000000004">
      <c r="B102" t="s">
        <v>112</v>
      </c>
    </row>
    <row r="103" spans="2:2" x14ac:dyDescent="0.55000000000000004">
      <c r="B103" t="s">
        <v>111</v>
      </c>
    </row>
    <row r="104" spans="2:2" x14ac:dyDescent="0.55000000000000004">
      <c r="B104" t="s">
        <v>114</v>
      </c>
    </row>
    <row r="105" spans="2:2" x14ac:dyDescent="0.55000000000000004">
      <c r="B105" t="s">
        <v>110</v>
      </c>
    </row>
    <row r="106" spans="2:2" x14ac:dyDescent="0.55000000000000004">
      <c r="B106" t="s">
        <v>102</v>
      </c>
    </row>
    <row r="107" spans="2:2" x14ac:dyDescent="0.55000000000000004">
      <c r="B107" t="s">
        <v>101</v>
      </c>
    </row>
    <row r="108" spans="2:2" x14ac:dyDescent="0.55000000000000004">
      <c r="B108" t="s">
        <v>104</v>
      </c>
    </row>
    <row r="109" spans="2:2" x14ac:dyDescent="0.55000000000000004">
      <c r="B109" t="s">
        <v>103</v>
      </c>
    </row>
    <row r="110" spans="2:2" x14ac:dyDescent="0.55000000000000004">
      <c r="B110" t="s">
        <v>108</v>
      </c>
    </row>
    <row r="111" spans="2:2" x14ac:dyDescent="0.55000000000000004">
      <c r="B111" t="s">
        <v>105</v>
      </c>
    </row>
    <row r="112" spans="2:2" x14ac:dyDescent="0.55000000000000004">
      <c r="B112" t="s">
        <v>107</v>
      </c>
    </row>
    <row r="113" spans="2:2" x14ac:dyDescent="0.55000000000000004">
      <c r="B113" t="s">
        <v>106</v>
      </c>
    </row>
    <row r="114" spans="2:2" x14ac:dyDescent="0.55000000000000004">
      <c r="B114" t="s">
        <v>140</v>
      </c>
    </row>
    <row r="115" spans="2:2" x14ac:dyDescent="0.55000000000000004">
      <c r="B115" t="s">
        <v>141</v>
      </c>
    </row>
    <row r="116" spans="2:2" x14ac:dyDescent="0.55000000000000004">
      <c r="B116" t="s">
        <v>162</v>
      </c>
    </row>
    <row r="117" spans="2:2" x14ac:dyDescent="0.55000000000000004">
      <c r="B117" t="s">
        <v>166</v>
      </c>
    </row>
    <row r="118" spans="2:2" x14ac:dyDescent="0.55000000000000004">
      <c r="B118" t="s">
        <v>167</v>
      </c>
    </row>
    <row r="119" spans="2:2" x14ac:dyDescent="0.55000000000000004">
      <c r="B119" t="s">
        <v>164</v>
      </c>
    </row>
    <row r="120" spans="2:2" x14ac:dyDescent="0.55000000000000004">
      <c r="B120" t="s">
        <v>163</v>
      </c>
    </row>
    <row r="121" spans="2:2" x14ac:dyDescent="0.55000000000000004">
      <c r="B121" t="s">
        <v>165</v>
      </c>
    </row>
    <row r="122" spans="2:2" x14ac:dyDescent="0.55000000000000004">
      <c r="B122" t="s">
        <v>125</v>
      </c>
    </row>
    <row r="123" spans="2:2" x14ac:dyDescent="0.55000000000000004">
      <c r="B123" t="s">
        <v>115</v>
      </c>
    </row>
    <row r="124" spans="2:2" x14ac:dyDescent="0.55000000000000004">
      <c r="B124" t="s">
        <v>116</v>
      </c>
    </row>
    <row r="125" spans="2:2" x14ac:dyDescent="0.55000000000000004">
      <c r="B125" t="s">
        <v>117</v>
      </c>
    </row>
  </sheetData>
  <sortState xmlns:xlrd2="http://schemas.microsoft.com/office/spreadsheetml/2017/richdata2" ref="B2:B125">
    <sortCondition ref="B2:B12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05B11-87C2-44E8-894B-52C6C36A30D4}">
  <dimension ref="A1:B296"/>
  <sheetViews>
    <sheetView topLeftCell="A277" workbookViewId="0">
      <selection activeCell="C3" sqref="C3"/>
    </sheetView>
  </sheetViews>
  <sheetFormatPr defaultRowHeight="14.4" x14ac:dyDescent="0.55000000000000004"/>
  <cols>
    <col min="1" max="1" width="56.3671875" bestFit="1" customWidth="1"/>
  </cols>
  <sheetData>
    <row r="1" spans="1:2" x14ac:dyDescent="0.55000000000000004">
      <c r="A1" t="s">
        <v>220</v>
      </c>
      <c r="B1" t="b">
        <f>RIGHT(A1, 4)=".tsx"</f>
        <v>1</v>
      </c>
    </row>
    <row r="2" spans="1:2" x14ac:dyDescent="0.55000000000000004">
      <c r="A2" t="s">
        <v>219</v>
      </c>
      <c r="B2" t="b">
        <f t="shared" ref="B2:B65" si="0">RIGHT(A2, 4)=".tsx"</f>
        <v>1</v>
      </c>
    </row>
    <row r="3" spans="1:2" x14ac:dyDescent="0.55000000000000004">
      <c r="A3" t="s">
        <v>218</v>
      </c>
      <c r="B3" t="b">
        <f t="shared" si="0"/>
        <v>1</v>
      </c>
    </row>
    <row r="4" spans="1:2" x14ac:dyDescent="0.55000000000000004">
      <c r="A4" t="s">
        <v>217</v>
      </c>
      <c r="B4" t="b">
        <f t="shared" si="0"/>
        <v>1</v>
      </c>
    </row>
    <row r="5" spans="1:2" x14ac:dyDescent="0.55000000000000004">
      <c r="A5" t="s">
        <v>221</v>
      </c>
      <c r="B5" t="b">
        <f t="shared" si="0"/>
        <v>1</v>
      </c>
    </row>
    <row r="6" spans="1:2" x14ac:dyDescent="0.55000000000000004">
      <c r="A6" t="s">
        <v>222</v>
      </c>
      <c r="B6" t="b">
        <f t="shared" si="0"/>
        <v>1</v>
      </c>
    </row>
    <row r="7" spans="1:2" x14ac:dyDescent="0.55000000000000004">
      <c r="A7" t="s">
        <v>223</v>
      </c>
      <c r="B7" t="b">
        <f t="shared" si="0"/>
        <v>1</v>
      </c>
    </row>
    <row r="8" spans="1:2" x14ac:dyDescent="0.55000000000000004">
      <c r="A8" t="s">
        <v>224</v>
      </c>
      <c r="B8" t="b">
        <f t="shared" si="0"/>
        <v>1</v>
      </c>
    </row>
    <row r="9" spans="1:2" x14ac:dyDescent="0.55000000000000004">
      <c r="A9" t="s">
        <v>210</v>
      </c>
      <c r="B9" t="b">
        <f t="shared" si="0"/>
        <v>1</v>
      </c>
    </row>
    <row r="10" spans="1:2" x14ac:dyDescent="0.55000000000000004">
      <c r="A10" t="s">
        <v>209</v>
      </c>
      <c r="B10" t="b">
        <f t="shared" si="0"/>
        <v>1</v>
      </c>
    </row>
    <row r="11" spans="1:2" x14ac:dyDescent="0.55000000000000004">
      <c r="A11" t="s">
        <v>212</v>
      </c>
      <c r="B11" t="b">
        <f t="shared" si="0"/>
        <v>1</v>
      </c>
    </row>
    <row r="12" spans="1:2" x14ac:dyDescent="0.55000000000000004">
      <c r="A12" t="s">
        <v>211</v>
      </c>
      <c r="B12" t="b">
        <f t="shared" si="0"/>
        <v>1</v>
      </c>
    </row>
    <row r="13" spans="1:2" x14ac:dyDescent="0.55000000000000004">
      <c r="A13" t="s">
        <v>213</v>
      </c>
      <c r="B13" t="b">
        <f t="shared" si="0"/>
        <v>1</v>
      </c>
    </row>
    <row r="14" spans="1:2" x14ac:dyDescent="0.55000000000000004">
      <c r="A14" t="s">
        <v>216</v>
      </c>
      <c r="B14" t="b">
        <f t="shared" si="0"/>
        <v>1</v>
      </c>
    </row>
    <row r="15" spans="1:2" x14ac:dyDescent="0.55000000000000004">
      <c r="A15" t="s">
        <v>215</v>
      </c>
      <c r="B15" t="b">
        <f t="shared" si="0"/>
        <v>1</v>
      </c>
    </row>
    <row r="16" spans="1:2" x14ac:dyDescent="0.55000000000000004">
      <c r="A16" t="s">
        <v>214</v>
      </c>
      <c r="B16" t="b">
        <f t="shared" si="0"/>
        <v>1</v>
      </c>
    </row>
    <row r="17" spans="1:2" x14ac:dyDescent="0.55000000000000004">
      <c r="A17" t="s">
        <v>205</v>
      </c>
      <c r="B17" t="b">
        <f t="shared" si="0"/>
        <v>1</v>
      </c>
    </row>
    <row r="18" spans="1:2" x14ac:dyDescent="0.55000000000000004">
      <c r="A18" t="s">
        <v>204</v>
      </c>
      <c r="B18" t="b">
        <f t="shared" si="0"/>
        <v>1</v>
      </c>
    </row>
    <row r="19" spans="1:2" x14ac:dyDescent="0.55000000000000004">
      <c r="A19" t="s">
        <v>203</v>
      </c>
      <c r="B19" t="b">
        <f t="shared" si="0"/>
        <v>1</v>
      </c>
    </row>
    <row r="20" spans="1:2" x14ac:dyDescent="0.55000000000000004">
      <c r="A20" t="s">
        <v>226</v>
      </c>
      <c r="B20" t="b">
        <f t="shared" si="0"/>
        <v>1</v>
      </c>
    </row>
    <row r="21" spans="1:2" x14ac:dyDescent="0.55000000000000004">
      <c r="A21" t="s">
        <v>225</v>
      </c>
      <c r="B21" t="b">
        <f t="shared" si="0"/>
        <v>1</v>
      </c>
    </row>
    <row r="22" spans="1:2" x14ac:dyDescent="0.55000000000000004">
      <c r="A22" t="s">
        <v>208</v>
      </c>
      <c r="B22" t="b">
        <f t="shared" si="0"/>
        <v>1</v>
      </c>
    </row>
    <row r="23" spans="1:2" x14ac:dyDescent="0.55000000000000004">
      <c r="A23" t="s">
        <v>207</v>
      </c>
      <c r="B23" t="b">
        <f t="shared" si="0"/>
        <v>1</v>
      </c>
    </row>
    <row r="24" spans="1:2" x14ac:dyDescent="0.55000000000000004">
      <c r="A24" t="s">
        <v>206</v>
      </c>
      <c r="B24" t="b">
        <f t="shared" si="0"/>
        <v>1</v>
      </c>
    </row>
    <row r="25" spans="1:2" x14ac:dyDescent="0.55000000000000004">
      <c r="A25" t="s">
        <v>233</v>
      </c>
      <c r="B25" t="b">
        <f t="shared" si="0"/>
        <v>1</v>
      </c>
    </row>
    <row r="26" spans="1:2" x14ac:dyDescent="0.55000000000000004">
      <c r="A26" t="s">
        <v>232</v>
      </c>
      <c r="B26" t="b">
        <f t="shared" si="0"/>
        <v>1</v>
      </c>
    </row>
    <row r="27" spans="1:2" x14ac:dyDescent="0.55000000000000004">
      <c r="A27" t="s">
        <v>231</v>
      </c>
      <c r="B27" t="b">
        <f t="shared" si="0"/>
        <v>1</v>
      </c>
    </row>
    <row r="28" spans="1:2" x14ac:dyDescent="0.55000000000000004">
      <c r="A28" t="s">
        <v>230</v>
      </c>
      <c r="B28" t="b">
        <f t="shared" si="0"/>
        <v>1</v>
      </c>
    </row>
    <row r="29" spans="1:2" x14ac:dyDescent="0.55000000000000004">
      <c r="A29" t="s">
        <v>227</v>
      </c>
      <c r="B29" t="b">
        <f t="shared" si="0"/>
        <v>1</v>
      </c>
    </row>
    <row r="30" spans="1:2" x14ac:dyDescent="0.55000000000000004">
      <c r="A30" t="s">
        <v>228</v>
      </c>
      <c r="B30" t="b">
        <f t="shared" si="0"/>
        <v>1</v>
      </c>
    </row>
    <row r="31" spans="1:2" x14ac:dyDescent="0.55000000000000004">
      <c r="A31" t="s">
        <v>234</v>
      </c>
      <c r="B31" t="b">
        <f t="shared" si="0"/>
        <v>1</v>
      </c>
    </row>
    <row r="32" spans="1:2" x14ac:dyDescent="0.55000000000000004">
      <c r="A32" t="s">
        <v>235</v>
      </c>
      <c r="B32" t="b">
        <f t="shared" si="0"/>
        <v>1</v>
      </c>
    </row>
    <row r="33" spans="1:2" x14ac:dyDescent="0.55000000000000004">
      <c r="A33" t="s">
        <v>236</v>
      </c>
      <c r="B33" t="b">
        <f t="shared" si="0"/>
        <v>1</v>
      </c>
    </row>
    <row r="34" spans="1:2" x14ac:dyDescent="0.55000000000000004">
      <c r="A34" t="s">
        <v>240</v>
      </c>
      <c r="B34" t="b">
        <f t="shared" si="0"/>
        <v>1</v>
      </c>
    </row>
    <row r="35" spans="1:2" x14ac:dyDescent="0.55000000000000004">
      <c r="A35" t="s">
        <v>237</v>
      </c>
      <c r="B35" t="b">
        <f t="shared" si="0"/>
        <v>1</v>
      </c>
    </row>
    <row r="36" spans="1:2" x14ac:dyDescent="0.55000000000000004">
      <c r="A36" t="s">
        <v>239</v>
      </c>
      <c r="B36" t="b">
        <f t="shared" si="0"/>
        <v>1</v>
      </c>
    </row>
    <row r="37" spans="1:2" x14ac:dyDescent="0.55000000000000004">
      <c r="A37" t="s">
        <v>238</v>
      </c>
      <c r="B37" t="b">
        <f t="shared" si="0"/>
        <v>1</v>
      </c>
    </row>
    <row r="38" spans="1:2" x14ac:dyDescent="0.55000000000000004">
      <c r="A38" t="s">
        <v>229</v>
      </c>
      <c r="B38" t="b">
        <f t="shared" si="0"/>
        <v>1</v>
      </c>
    </row>
    <row r="39" spans="1:2" x14ac:dyDescent="0.55000000000000004">
      <c r="A39" t="s">
        <v>241</v>
      </c>
      <c r="B39" t="b">
        <f t="shared" si="0"/>
        <v>1</v>
      </c>
    </row>
    <row r="40" spans="1:2" x14ac:dyDescent="0.55000000000000004">
      <c r="A40" t="s">
        <v>242</v>
      </c>
      <c r="B40" t="b">
        <f t="shared" si="0"/>
        <v>1</v>
      </c>
    </row>
    <row r="41" spans="1:2" x14ac:dyDescent="0.55000000000000004">
      <c r="A41" t="s">
        <v>2</v>
      </c>
      <c r="B41" t="b">
        <f t="shared" si="0"/>
        <v>1</v>
      </c>
    </row>
    <row r="42" spans="1:2" x14ac:dyDescent="0.55000000000000004">
      <c r="A42" s="1" t="s">
        <v>2</v>
      </c>
      <c r="B42" t="b">
        <f t="shared" si="0"/>
        <v>1</v>
      </c>
    </row>
    <row r="43" spans="1:2" x14ac:dyDescent="0.55000000000000004">
      <c r="A43" t="s">
        <v>7</v>
      </c>
      <c r="B43" t="b">
        <f t="shared" si="0"/>
        <v>1</v>
      </c>
    </row>
    <row r="44" spans="1:2" x14ac:dyDescent="0.55000000000000004">
      <c r="A44" s="1" t="s">
        <v>7</v>
      </c>
      <c r="B44" t="b">
        <f t="shared" si="0"/>
        <v>1</v>
      </c>
    </row>
    <row r="45" spans="1:2" x14ac:dyDescent="0.55000000000000004">
      <c r="A45" t="s">
        <v>8</v>
      </c>
      <c r="B45" t="b">
        <f t="shared" si="0"/>
        <v>1</v>
      </c>
    </row>
    <row r="46" spans="1:2" x14ac:dyDescent="0.55000000000000004">
      <c r="A46" t="s">
        <v>0</v>
      </c>
      <c r="B46" t="b">
        <f t="shared" si="0"/>
        <v>1</v>
      </c>
    </row>
    <row r="47" spans="1:2" x14ac:dyDescent="0.55000000000000004">
      <c r="A47" s="1" t="s">
        <v>0</v>
      </c>
      <c r="B47" t="b">
        <f t="shared" si="0"/>
        <v>1</v>
      </c>
    </row>
    <row r="48" spans="1:2" x14ac:dyDescent="0.55000000000000004">
      <c r="A48" t="s">
        <v>1</v>
      </c>
      <c r="B48" t="b">
        <f t="shared" si="0"/>
        <v>1</v>
      </c>
    </row>
    <row r="49" spans="1:2" x14ac:dyDescent="0.55000000000000004">
      <c r="A49" s="1" t="s">
        <v>1</v>
      </c>
      <c r="B49" t="b">
        <f t="shared" si="0"/>
        <v>1</v>
      </c>
    </row>
    <row r="50" spans="1:2" x14ac:dyDescent="0.55000000000000004">
      <c r="A50" t="s">
        <v>3</v>
      </c>
      <c r="B50" t="b">
        <f t="shared" si="0"/>
        <v>1</v>
      </c>
    </row>
    <row r="51" spans="1:2" x14ac:dyDescent="0.55000000000000004">
      <c r="A51" s="1" t="s">
        <v>3</v>
      </c>
      <c r="B51" t="b">
        <f t="shared" si="0"/>
        <v>1</v>
      </c>
    </row>
    <row r="52" spans="1:2" x14ac:dyDescent="0.55000000000000004">
      <c r="A52" t="s">
        <v>6</v>
      </c>
      <c r="B52" t="b">
        <f t="shared" si="0"/>
        <v>1</v>
      </c>
    </row>
    <row r="53" spans="1:2" x14ac:dyDescent="0.55000000000000004">
      <c r="A53" t="s">
        <v>4</v>
      </c>
      <c r="B53" t="b">
        <f t="shared" si="0"/>
        <v>1</v>
      </c>
    </row>
    <row r="54" spans="1:2" x14ac:dyDescent="0.55000000000000004">
      <c r="A54" s="1" t="s">
        <v>4</v>
      </c>
      <c r="B54" t="b">
        <f t="shared" si="0"/>
        <v>1</v>
      </c>
    </row>
    <row r="55" spans="1:2" x14ac:dyDescent="0.55000000000000004">
      <c r="A55" t="s">
        <v>5</v>
      </c>
      <c r="B55" t="b">
        <f>RIGHT(A55, 4)=".tsx"</f>
        <v>1</v>
      </c>
    </row>
    <row r="56" spans="1:2" x14ac:dyDescent="0.55000000000000004">
      <c r="A56" s="1" t="s">
        <v>5</v>
      </c>
      <c r="B56" t="b">
        <f t="shared" si="0"/>
        <v>1</v>
      </c>
    </row>
    <row r="57" spans="1:2" x14ac:dyDescent="0.55000000000000004">
      <c r="A57" s="1" t="s">
        <v>88</v>
      </c>
      <c r="B57" t="b">
        <f t="shared" si="0"/>
        <v>1</v>
      </c>
    </row>
    <row r="58" spans="1:2" x14ac:dyDescent="0.55000000000000004">
      <c r="A58" s="1" t="s">
        <v>177</v>
      </c>
      <c r="B58" t="b">
        <f t="shared" si="0"/>
        <v>1</v>
      </c>
    </row>
    <row r="59" spans="1:2" x14ac:dyDescent="0.55000000000000004">
      <c r="A59" s="1" t="s">
        <v>171</v>
      </c>
      <c r="B59" t="b">
        <f t="shared" si="0"/>
        <v>1</v>
      </c>
    </row>
    <row r="60" spans="1:2" x14ac:dyDescent="0.55000000000000004">
      <c r="A60" s="1" t="s">
        <v>175</v>
      </c>
      <c r="B60" t="b">
        <f t="shared" si="0"/>
        <v>1</v>
      </c>
    </row>
    <row r="61" spans="1:2" x14ac:dyDescent="0.55000000000000004">
      <c r="A61" s="1" t="s">
        <v>173</v>
      </c>
      <c r="B61" t="b">
        <f t="shared" si="0"/>
        <v>1</v>
      </c>
    </row>
    <row r="62" spans="1:2" x14ac:dyDescent="0.55000000000000004">
      <c r="A62" s="1" t="s">
        <v>172</v>
      </c>
      <c r="B62" t="b">
        <f t="shared" si="0"/>
        <v>1</v>
      </c>
    </row>
    <row r="63" spans="1:2" x14ac:dyDescent="0.55000000000000004">
      <c r="A63" s="1" t="s">
        <v>176</v>
      </c>
      <c r="B63" t="b">
        <f t="shared" si="0"/>
        <v>1</v>
      </c>
    </row>
    <row r="64" spans="1:2" x14ac:dyDescent="0.55000000000000004">
      <c r="A64" s="1" t="s">
        <v>169</v>
      </c>
      <c r="B64" t="b">
        <f t="shared" si="0"/>
        <v>1</v>
      </c>
    </row>
    <row r="65" spans="1:2" x14ac:dyDescent="0.55000000000000004">
      <c r="A65" s="1" t="s">
        <v>170</v>
      </c>
      <c r="B65" t="b">
        <f t="shared" si="0"/>
        <v>1</v>
      </c>
    </row>
    <row r="66" spans="1:2" x14ac:dyDescent="0.55000000000000004">
      <c r="A66" s="1" t="s">
        <v>174</v>
      </c>
      <c r="B66" t="b">
        <f t="shared" ref="B66:B78" si="1">RIGHT(A66, 4)=".tsx"</f>
        <v>1</v>
      </c>
    </row>
    <row r="67" spans="1:2" x14ac:dyDescent="0.55000000000000004">
      <c r="A67" s="1" t="s">
        <v>97</v>
      </c>
      <c r="B67" t="b">
        <f t="shared" si="1"/>
        <v>1</v>
      </c>
    </row>
    <row r="68" spans="1:2" x14ac:dyDescent="0.55000000000000004">
      <c r="A68" s="1" t="s">
        <v>91</v>
      </c>
      <c r="B68" t="b">
        <f t="shared" si="1"/>
        <v>1</v>
      </c>
    </row>
    <row r="69" spans="1:2" x14ac:dyDescent="0.55000000000000004">
      <c r="A69" s="1" t="s">
        <v>92</v>
      </c>
      <c r="B69" t="b">
        <f t="shared" si="1"/>
        <v>1</v>
      </c>
    </row>
    <row r="70" spans="1:2" x14ac:dyDescent="0.55000000000000004">
      <c r="A70" s="1" t="s">
        <v>95</v>
      </c>
      <c r="B70" t="b">
        <f t="shared" si="1"/>
        <v>1</v>
      </c>
    </row>
    <row r="71" spans="1:2" x14ac:dyDescent="0.55000000000000004">
      <c r="A71" s="1" t="s">
        <v>93</v>
      </c>
      <c r="B71" t="b">
        <f t="shared" si="1"/>
        <v>1</v>
      </c>
    </row>
    <row r="72" spans="1:2" x14ac:dyDescent="0.55000000000000004">
      <c r="A72" s="1" t="s">
        <v>96</v>
      </c>
      <c r="B72" t="b">
        <f t="shared" si="1"/>
        <v>1</v>
      </c>
    </row>
    <row r="73" spans="1:2" x14ac:dyDescent="0.55000000000000004">
      <c r="A73" s="1" t="s">
        <v>98</v>
      </c>
      <c r="B73" t="b">
        <f t="shared" si="1"/>
        <v>1</v>
      </c>
    </row>
    <row r="74" spans="1:2" x14ac:dyDescent="0.55000000000000004">
      <c r="A74" s="1" t="s">
        <v>99</v>
      </c>
      <c r="B74" t="b">
        <f t="shared" si="1"/>
        <v>1</v>
      </c>
    </row>
    <row r="75" spans="1:2" x14ac:dyDescent="0.55000000000000004">
      <c r="A75" s="1" t="s">
        <v>90</v>
      </c>
      <c r="B75" t="b">
        <f t="shared" si="1"/>
        <v>1</v>
      </c>
    </row>
    <row r="76" spans="1:2" x14ac:dyDescent="0.55000000000000004">
      <c r="A76" s="1" t="s">
        <v>100</v>
      </c>
      <c r="B76" t="b">
        <f t="shared" si="1"/>
        <v>1</v>
      </c>
    </row>
    <row r="77" spans="1:2" x14ac:dyDescent="0.55000000000000004">
      <c r="A77" s="1" t="s">
        <v>94</v>
      </c>
      <c r="B77" t="b">
        <f t="shared" si="1"/>
        <v>1</v>
      </c>
    </row>
    <row r="78" spans="1:2" x14ac:dyDescent="0.55000000000000004">
      <c r="A78" s="1" t="s">
        <v>89</v>
      </c>
      <c r="B78" t="b">
        <f t="shared" si="1"/>
        <v>1</v>
      </c>
    </row>
    <row r="79" spans="1:2" x14ac:dyDescent="0.55000000000000004">
      <c r="A79" s="1" t="s">
        <v>87</v>
      </c>
      <c r="B79" t="b">
        <f>RIGHT(A79, 4)=".tsx"</f>
        <v>1</v>
      </c>
    </row>
    <row r="80" spans="1:2" x14ac:dyDescent="0.55000000000000004">
      <c r="A80" s="1" t="s">
        <v>85</v>
      </c>
      <c r="B80" t="b">
        <f t="shared" ref="B80:B90" si="2">RIGHT(A80, 4)=".tsx"</f>
        <v>1</v>
      </c>
    </row>
    <row r="81" spans="1:2" x14ac:dyDescent="0.55000000000000004">
      <c r="A81" s="1" t="s">
        <v>86</v>
      </c>
      <c r="B81" t="b">
        <f t="shared" si="2"/>
        <v>1</v>
      </c>
    </row>
    <row r="82" spans="1:2" x14ac:dyDescent="0.55000000000000004">
      <c r="A82" s="1" t="s">
        <v>72</v>
      </c>
      <c r="B82" t="b">
        <f t="shared" si="2"/>
        <v>1</v>
      </c>
    </row>
    <row r="83" spans="1:2" x14ac:dyDescent="0.55000000000000004">
      <c r="A83" s="1" t="s">
        <v>121</v>
      </c>
      <c r="B83" t="b">
        <f t="shared" si="2"/>
        <v>1</v>
      </c>
    </row>
    <row r="84" spans="1:2" x14ac:dyDescent="0.55000000000000004">
      <c r="A84" s="1" t="s">
        <v>71</v>
      </c>
      <c r="B84" t="b">
        <f t="shared" si="2"/>
        <v>1</v>
      </c>
    </row>
    <row r="85" spans="1:2" x14ac:dyDescent="0.55000000000000004">
      <c r="A85" s="1" t="s">
        <v>70</v>
      </c>
      <c r="B85" t="b">
        <f t="shared" si="2"/>
        <v>1</v>
      </c>
    </row>
    <row r="86" spans="1:2" x14ac:dyDescent="0.55000000000000004">
      <c r="A86" s="1" t="s">
        <v>76</v>
      </c>
      <c r="B86" t="b">
        <f t="shared" si="2"/>
        <v>1</v>
      </c>
    </row>
    <row r="87" spans="1:2" x14ac:dyDescent="0.55000000000000004">
      <c r="A87" s="1" t="s">
        <v>109</v>
      </c>
      <c r="B87" t="b">
        <f t="shared" si="2"/>
        <v>1</v>
      </c>
    </row>
    <row r="88" spans="1:2" x14ac:dyDescent="0.55000000000000004">
      <c r="A88" s="1" t="s">
        <v>75</v>
      </c>
      <c r="B88" t="b">
        <f t="shared" si="2"/>
        <v>1</v>
      </c>
    </row>
    <row r="89" spans="1:2" x14ac:dyDescent="0.55000000000000004">
      <c r="A89" t="s">
        <v>184</v>
      </c>
      <c r="B89" t="b">
        <f t="shared" si="2"/>
        <v>1</v>
      </c>
    </row>
    <row r="90" spans="1:2" x14ac:dyDescent="0.55000000000000004">
      <c r="A90" t="s">
        <v>186</v>
      </c>
      <c r="B90" t="b">
        <f t="shared" si="2"/>
        <v>1</v>
      </c>
    </row>
    <row r="91" spans="1:2" x14ac:dyDescent="0.55000000000000004">
      <c r="A91" t="s">
        <v>185</v>
      </c>
      <c r="B91" t="b">
        <f>RIGHT(A91, 4)=".tsx"</f>
        <v>1</v>
      </c>
    </row>
    <row r="92" spans="1:2" x14ac:dyDescent="0.55000000000000004">
      <c r="A92" t="s">
        <v>183</v>
      </c>
      <c r="B92" t="b">
        <f t="shared" ref="B92:B106" si="3">RIGHT(A92, 4)=".tsx"</f>
        <v>1</v>
      </c>
    </row>
    <row r="93" spans="1:2" x14ac:dyDescent="0.55000000000000004">
      <c r="A93" t="s">
        <v>181</v>
      </c>
      <c r="B93" t="b">
        <f t="shared" si="3"/>
        <v>1</v>
      </c>
    </row>
    <row r="94" spans="1:2" x14ac:dyDescent="0.55000000000000004">
      <c r="A94" t="s">
        <v>182</v>
      </c>
      <c r="B94" t="b">
        <f t="shared" si="3"/>
        <v>1</v>
      </c>
    </row>
    <row r="95" spans="1:2" x14ac:dyDescent="0.55000000000000004">
      <c r="A95" t="s">
        <v>180</v>
      </c>
      <c r="B95" t="b">
        <f t="shared" si="3"/>
        <v>1</v>
      </c>
    </row>
    <row r="96" spans="1:2" x14ac:dyDescent="0.55000000000000004">
      <c r="A96" t="s">
        <v>194</v>
      </c>
      <c r="B96" t="b">
        <f t="shared" si="3"/>
        <v>1</v>
      </c>
    </row>
    <row r="97" spans="1:2" x14ac:dyDescent="0.55000000000000004">
      <c r="A97" t="s">
        <v>195</v>
      </c>
      <c r="B97" t="b">
        <f t="shared" si="3"/>
        <v>1</v>
      </c>
    </row>
    <row r="98" spans="1:2" x14ac:dyDescent="0.55000000000000004">
      <c r="A98" t="s">
        <v>179</v>
      </c>
      <c r="B98" t="b">
        <f t="shared" si="3"/>
        <v>1</v>
      </c>
    </row>
    <row r="99" spans="1:2" x14ac:dyDescent="0.55000000000000004">
      <c r="A99" t="s">
        <v>69</v>
      </c>
      <c r="B99" t="b">
        <f t="shared" si="3"/>
        <v>1</v>
      </c>
    </row>
    <row r="100" spans="1:2" x14ac:dyDescent="0.55000000000000004">
      <c r="A100" s="1" t="s">
        <v>69</v>
      </c>
      <c r="B100" t="b">
        <f t="shared" si="3"/>
        <v>1</v>
      </c>
    </row>
    <row r="101" spans="1:2" x14ac:dyDescent="0.55000000000000004">
      <c r="A101" t="s">
        <v>200</v>
      </c>
      <c r="B101" t="b">
        <f t="shared" si="3"/>
        <v>1</v>
      </c>
    </row>
    <row r="102" spans="1:2" x14ac:dyDescent="0.55000000000000004">
      <c r="A102" t="s">
        <v>197</v>
      </c>
      <c r="B102" t="b">
        <f t="shared" si="3"/>
        <v>1</v>
      </c>
    </row>
    <row r="103" spans="1:2" x14ac:dyDescent="0.55000000000000004">
      <c r="A103" t="s">
        <v>196</v>
      </c>
      <c r="B103" t="b">
        <f t="shared" si="3"/>
        <v>1</v>
      </c>
    </row>
    <row r="104" spans="1:2" x14ac:dyDescent="0.55000000000000004">
      <c r="A104" t="s">
        <v>199</v>
      </c>
      <c r="B104" t="b">
        <f t="shared" si="3"/>
        <v>1</v>
      </c>
    </row>
    <row r="105" spans="1:2" x14ac:dyDescent="0.55000000000000004">
      <c r="A105" t="s">
        <v>198</v>
      </c>
      <c r="B105" t="b">
        <f t="shared" si="3"/>
        <v>1</v>
      </c>
    </row>
    <row r="106" spans="1:2" x14ac:dyDescent="0.55000000000000004">
      <c r="A106" t="s">
        <v>193</v>
      </c>
      <c r="B106" t="b">
        <f t="shared" si="3"/>
        <v>1</v>
      </c>
    </row>
    <row r="107" spans="1:2" x14ac:dyDescent="0.55000000000000004">
      <c r="A107" t="s">
        <v>190</v>
      </c>
      <c r="B107" t="b">
        <f>RIGHT(A107, 4)=".tsx"</f>
        <v>1</v>
      </c>
    </row>
    <row r="108" spans="1:2" x14ac:dyDescent="0.55000000000000004">
      <c r="A108" t="s">
        <v>189</v>
      </c>
      <c r="B108" t="b">
        <f t="shared" ref="B108:B122" si="4">RIGHT(A108, 4)=".tsx"</f>
        <v>1</v>
      </c>
    </row>
    <row r="109" spans="1:2" x14ac:dyDescent="0.55000000000000004">
      <c r="A109" t="s">
        <v>192</v>
      </c>
      <c r="B109" t="b">
        <f t="shared" si="4"/>
        <v>1</v>
      </c>
    </row>
    <row r="110" spans="1:2" x14ac:dyDescent="0.55000000000000004">
      <c r="A110" t="s">
        <v>191</v>
      </c>
      <c r="B110" t="b">
        <f t="shared" si="4"/>
        <v>1</v>
      </c>
    </row>
    <row r="111" spans="1:2" x14ac:dyDescent="0.55000000000000004">
      <c r="A111" t="s">
        <v>188</v>
      </c>
      <c r="B111" t="b">
        <f t="shared" si="4"/>
        <v>1</v>
      </c>
    </row>
    <row r="112" spans="1:2" x14ac:dyDescent="0.55000000000000004">
      <c r="A112" t="s">
        <v>187</v>
      </c>
      <c r="B112" t="b">
        <f t="shared" si="4"/>
        <v>1</v>
      </c>
    </row>
    <row r="113" spans="1:2" x14ac:dyDescent="0.55000000000000004">
      <c r="A113" t="s">
        <v>202</v>
      </c>
      <c r="B113" t="b">
        <f t="shared" si="4"/>
        <v>1</v>
      </c>
    </row>
    <row r="114" spans="1:2" x14ac:dyDescent="0.55000000000000004">
      <c r="A114" t="s">
        <v>68</v>
      </c>
      <c r="B114" t="b">
        <f t="shared" si="4"/>
        <v>1</v>
      </c>
    </row>
    <row r="115" spans="1:2" x14ac:dyDescent="0.55000000000000004">
      <c r="A115" s="1" t="s">
        <v>68</v>
      </c>
      <c r="B115" t="b">
        <f t="shared" si="4"/>
        <v>1</v>
      </c>
    </row>
    <row r="116" spans="1:2" x14ac:dyDescent="0.55000000000000004">
      <c r="A116" t="s">
        <v>201</v>
      </c>
      <c r="B116" t="b">
        <f t="shared" si="4"/>
        <v>1</v>
      </c>
    </row>
    <row r="117" spans="1:2" x14ac:dyDescent="0.55000000000000004">
      <c r="A117" s="1" t="s">
        <v>79</v>
      </c>
      <c r="B117" t="b">
        <f t="shared" si="4"/>
        <v>1</v>
      </c>
    </row>
    <row r="118" spans="1:2" x14ac:dyDescent="0.55000000000000004">
      <c r="A118" s="1" t="s">
        <v>80</v>
      </c>
      <c r="B118" t="b">
        <f t="shared" si="4"/>
        <v>1</v>
      </c>
    </row>
    <row r="119" spans="1:2" x14ac:dyDescent="0.55000000000000004">
      <c r="A119" s="1" t="s">
        <v>81</v>
      </c>
      <c r="B119" t="b">
        <f t="shared" si="4"/>
        <v>1</v>
      </c>
    </row>
    <row r="120" spans="1:2" x14ac:dyDescent="0.55000000000000004">
      <c r="A120" s="1" t="s">
        <v>62</v>
      </c>
      <c r="B120" t="b">
        <f t="shared" si="4"/>
        <v>1</v>
      </c>
    </row>
    <row r="121" spans="1:2" x14ac:dyDescent="0.55000000000000004">
      <c r="A121" s="1" t="s">
        <v>61</v>
      </c>
      <c r="B121" t="b">
        <f t="shared" si="4"/>
        <v>1</v>
      </c>
    </row>
    <row r="122" spans="1:2" x14ac:dyDescent="0.55000000000000004">
      <c r="A122" s="1" t="s">
        <v>77</v>
      </c>
      <c r="B122" t="b">
        <f t="shared" si="4"/>
        <v>1</v>
      </c>
    </row>
    <row r="123" spans="1:2" x14ac:dyDescent="0.55000000000000004">
      <c r="A123" s="1" t="s">
        <v>78</v>
      </c>
      <c r="B123" t="b">
        <f>RIGHT(A123, 4)=".tsx"</f>
        <v>1</v>
      </c>
    </row>
    <row r="124" spans="1:2" x14ac:dyDescent="0.55000000000000004">
      <c r="A124" s="1" t="s">
        <v>63</v>
      </c>
      <c r="B124" t="b">
        <f t="shared" ref="B124:B146" si="5">RIGHT(A124, 4)=".tsx"</f>
        <v>1</v>
      </c>
    </row>
    <row r="125" spans="1:2" x14ac:dyDescent="0.55000000000000004">
      <c r="A125" s="1" t="s">
        <v>82</v>
      </c>
      <c r="B125" t="b">
        <f t="shared" si="5"/>
        <v>1</v>
      </c>
    </row>
    <row r="126" spans="1:2" x14ac:dyDescent="0.55000000000000004">
      <c r="A126" s="1" t="s">
        <v>83</v>
      </c>
      <c r="B126" t="b">
        <f t="shared" si="5"/>
        <v>1</v>
      </c>
    </row>
    <row r="127" spans="1:2" x14ac:dyDescent="0.55000000000000004">
      <c r="A127" s="1" t="s">
        <v>84</v>
      </c>
      <c r="B127" t="b">
        <f t="shared" si="5"/>
        <v>1</v>
      </c>
    </row>
    <row r="128" spans="1:2" x14ac:dyDescent="0.55000000000000004">
      <c r="A128" s="1" t="s">
        <v>73</v>
      </c>
      <c r="B128" t="b">
        <f t="shared" si="5"/>
        <v>1</v>
      </c>
    </row>
    <row r="129" spans="1:2" x14ac:dyDescent="0.55000000000000004">
      <c r="A129" s="1" t="s">
        <v>74</v>
      </c>
      <c r="B129" t="b">
        <f t="shared" si="5"/>
        <v>1</v>
      </c>
    </row>
    <row r="130" spans="1:2" x14ac:dyDescent="0.55000000000000004">
      <c r="A130" t="s">
        <v>251</v>
      </c>
      <c r="B130" t="b">
        <f t="shared" si="5"/>
        <v>1</v>
      </c>
    </row>
    <row r="131" spans="1:2" x14ac:dyDescent="0.55000000000000004">
      <c r="A131" t="s">
        <v>250</v>
      </c>
      <c r="B131" t="b">
        <f t="shared" si="5"/>
        <v>1</v>
      </c>
    </row>
    <row r="132" spans="1:2" x14ac:dyDescent="0.55000000000000004">
      <c r="A132" t="s">
        <v>249</v>
      </c>
      <c r="B132" t="b">
        <f t="shared" si="5"/>
        <v>1</v>
      </c>
    </row>
    <row r="133" spans="1:2" x14ac:dyDescent="0.55000000000000004">
      <c r="A133" t="s">
        <v>247</v>
      </c>
      <c r="B133" t="b">
        <f t="shared" si="5"/>
        <v>1</v>
      </c>
    </row>
    <row r="134" spans="1:2" x14ac:dyDescent="0.55000000000000004">
      <c r="A134" t="s">
        <v>246</v>
      </c>
      <c r="B134" t="b">
        <f t="shared" si="5"/>
        <v>1</v>
      </c>
    </row>
    <row r="135" spans="1:2" x14ac:dyDescent="0.55000000000000004">
      <c r="A135" t="s">
        <v>245</v>
      </c>
      <c r="B135" t="b">
        <f t="shared" si="5"/>
        <v>1</v>
      </c>
    </row>
    <row r="136" spans="1:2" x14ac:dyDescent="0.55000000000000004">
      <c r="A136" t="s">
        <v>253</v>
      </c>
      <c r="B136" t="b">
        <f t="shared" si="5"/>
        <v>1</v>
      </c>
    </row>
    <row r="137" spans="1:2" x14ac:dyDescent="0.55000000000000004">
      <c r="A137" t="s">
        <v>252</v>
      </c>
      <c r="B137" t="b">
        <f t="shared" si="5"/>
        <v>1</v>
      </c>
    </row>
    <row r="138" spans="1:2" x14ac:dyDescent="0.55000000000000004">
      <c r="A138" t="s">
        <v>244</v>
      </c>
      <c r="B138" t="b">
        <f t="shared" si="5"/>
        <v>1</v>
      </c>
    </row>
    <row r="139" spans="1:2" x14ac:dyDescent="0.55000000000000004">
      <c r="A139" t="s">
        <v>243</v>
      </c>
      <c r="B139" t="b">
        <f t="shared" si="5"/>
        <v>1</v>
      </c>
    </row>
    <row r="140" spans="1:2" x14ac:dyDescent="0.55000000000000004">
      <c r="A140" t="s">
        <v>248</v>
      </c>
      <c r="B140" t="b">
        <f t="shared" si="5"/>
        <v>1</v>
      </c>
    </row>
    <row r="141" spans="1:2" x14ac:dyDescent="0.55000000000000004">
      <c r="A141" t="s">
        <v>178</v>
      </c>
      <c r="B141" t="b">
        <f t="shared" si="5"/>
        <v>1</v>
      </c>
    </row>
    <row r="142" spans="1:2" x14ac:dyDescent="0.55000000000000004">
      <c r="A142" t="s">
        <v>143</v>
      </c>
      <c r="B142" t="b">
        <f t="shared" si="5"/>
        <v>1</v>
      </c>
    </row>
    <row r="143" spans="1:2" x14ac:dyDescent="0.55000000000000004">
      <c r="A143" s="1" t="s">
        <v>143</v>
      </c>
      <c r="B143" t="b">
        <f t="shared" si="5"/>
        <v>1</v>
      </c>
    </row>
    <row r="144" spans="1:2" x14ac:dyDescent="0.55000000000000004">
      <c r="A144" t="s">
        <v>144</v>
      </c>
      <c r="B144" t="b">
        <f t="shared" si="5"/>
        <v>1</v>
      </c>
    </row>
    <row r="145" spans="1:2" x14ac:dyDescent="0.55000000000000004">
      <c r="A145" s="1" t="s">
        <v>144</v>
      </c>
      <c r="B145" t="b">
        <f t="shared" si="5"/>
        <v>1</v>
      </c>
    </row>
    <row r="146" spans="1:2" x14ac:dyDescent="0.55000000000000004">
      <c r="A146" t="s">
        <v>122</v>
      </c>
      <c r="B146" t="b">
        <f t="shared" si="5"/>
        <v>1</v>
      </c>
    </row>
    <row r="147" spans="1:2" x14ac:dyDescent="0.55000000000000004">
      <c r="A147" s="1" t="s">
        <v>122</v>
      </c>
      <c r="B147" t="b">
        <f>RIGHT(A147, 4)=".tsx"</f>
        <v>1</v>
      </c>
    </row>
    <row r="148" spans="1:2" x14ac:dyDescent="0.55000000000000004">
      <c r="A148" s="1" t="s">
        <v>156</v>
      </c>
      <c r="B148" t="b">
        <f t="shared" ref="B148:B177" si="6">RIGHT(A148, 4)=".tsx"</f>
        <v>1</v>
      </c>
    </row>
    <row r="149" spans="1:2" x14ac:dyDescent="0.55000000000000004">
      <c r="A149" s="1" t="s">
        <v>155</v>
      </c>
      <c r="B149" t="b">
        <f t="shared" si="6"/>
        <v>1</v>
      </c>
    </row>
    <row r="150" spans="1:2" x14ac:dyDescent="0.55000000000000004">
      <c r="A150" s="1" t="s">
        <v>160</v>
      </c>
      <c r="B150" t="b">
        <f t="shared" si="6"/>
        <v>1</v>
      </c>
    </row>
    <row r="151" spans="1:2" x14ac:dyDescent="0.55000000000000004">
      <c r="A151" s="1" t="s">
        <v>159</v>
      </c>
      <c r="B151" t="b">
        <f t="shared" si="6"/>
        <v>1</v>
      </c>
    </row>
    <row r="152" spans="1:2" x14ac:dyDescent="0.55000000000000004">
      <c r="A152" s="1" t="s">
        <v>157</v>
      </c>
      <c r="B152" t="b">
        <f t="shared" si="6"/>
        <v>1</v>
      </c>
    </row>
    <row r="153" spans="1:2" x14ac:dyDescent="0.55000000000000004">
      <c r="A153" s="1" t="s">
        <v>158</v>
      </c>
      <c r="B153" t="b">
        <f t="shared" si="6"/>
        <v>1</v>
      </c>
    </row>
    <row r="154" spans="1:2" x14ac:dyDescent="0.55000000000000004">
      <c r="A154" s="1" t="s">
        <v>64</v>
      </c>
      <c r="B154" t="b">
        <f t="shared" si="6"/>
        <v>1</v>
      </c>
    </row>
    <row r="155" spans="1:2" x14ac:dyDescent="0.55000000000000004">
      <c r="A155" s="1" t="s">
        <v>161</v>
      </c>
      <c r="B155" t="b">
        <f t="shared" si="6"/>
        <v>1</v>
      </c>
    </row>
    <row r="156" spans="1:2" x14ac:dyDescent="0.55000000000000004">
      <c r="A156" s="1" t="s">
        <v>151</v>
      </c>
      <c r="B156" t="b">
        <f t="shared" si="6"/>
        <v>1</v>
      </c>
    </row>
    <row r="157" spans="1:2" x14ac:dyDescent="0.55000000000000004">
      <c r="A157" s="1" t="s">
        <v>152</v>
      </c>
      <c r="B157" t="b">
        <f t="shared" si="6"/>
        <v>1</v>
      </c>
    </row>
    <row r="158" spans="1:2" x14ac:dyDescent="0.55000000000000004">
      <c r="A158" s="1" t="s">
        <v>150</v>
      </c>
      <c r="B158" t="b">
        <f t="shared" si="6"/>
        <v>1</v>
      </c>
    </row>
    <row r="159" spans="1:2" x14ac:dyDescent="0.55000000000000004">
      <c r="A159" s="1" t="s">
        <v>153</v>
      </c>
      <c r="B159" t="b">
        <f t="shared" si="6"/>
        <v>1</v>
      </c>
    </row>
    <row r="160" spans="1:2" x14ac:dyDescent="0.55000000000000004">
      <c r="A160" s="1" t="s">
        <v>154</v>
      </c>
      <c r="B160" t="b">
        <f t="shared" si="6"/>
        <v>1</v>
      </c>
    </row>
    <row r="161" spans="1:2" x14ac:dyDescent="0.55000000000000004">
      <c r="A161" s="1" t="s">
        <v>148</v>
      </c>
      <c r="B161" t="b">
        <f t="shared" si="6"/>
        <v>1</v>
      </c>
    </row>
    <row r="162" spans="1:2" x14ac:dyDescent="0.55000000000000004">
      <c r="A162" s="1" t="s">
        <v>149</v>
      </c>
      <c r="B162" t="b">
        <f t="shared" si="6"/>
        <v>1</v>
      </c>
    </row>
    <row r="163" spans="1:2" x14ac:dyDescent="0.55000000000000004">
      <c r="A163" s="1" t="s">
        <v>168</v>
      </c>
      <c r="B163" t="b">
        <f t="shared" si="6"/>
        <v>1</v>
      </c>
    </row>
    <row r="164" spans="1:2" x14ac:dyDescent="0.55000000000000004">
      <c r="A164" t="s">
        <v>321</v>
      </c>
      <c r="B164" t="b">
        <f t="shared" si="6"/>
        <v>1</v>
      </c>
    </row>
    <row r="165" spans="1:2" x14ac:dyDescent="0.55000000000000004">
      <c r="A165" s="1" t="s">
        <v>142</v>
      </c>
      <c r="B165" t="b">
        <f t="shared" si="6"/>
        <v>1</v>
      </c>
    </row>
    <row r="166" spans="1:2" x14ac:dyDescent="0.55000000000000004">
      <c r="A166" t="s">
        <v>142</v>
      </c>
      <c r="B166" t="b">
        <f t="shared" si="6"/>
        <v>1</v>
      </c>
    </row>
    <row r="167" spans="1:2" x14ac:dyDescent="0.55000000000000004">
      <c r="A167" t="s">
        <v>322</v>
      </c>
      <c r="B167" t="b">
        <f t="shared" si="6"/>
        <v>1</v>
      </c>
    </row>
    <row r="168" spans="1:2" x14ac:dyDescent="0.55000000000000004">
      <c r="A168" s="1" t="s">
        <v>128</v>
      </c>
      <c r="B168" t="b">
        <f t="shared" si="6"/>
        <v>1</v>
      </c>
    </row>
    <row r="169" spans="1:2" x14ac:dyDescent="0.55000000000000004">
      <c r="A169" s="1" t="s">
        <v>129</v>
      </c>
      <c r="B169" t="b">
        <f t="shared" si="6"/>
        <v>1</v>
      </c>
    </row>
    <row r="170" spans="1:2" x14ac:dyDescent="0.55000000000000004">
      <c r="A170" t="s">
        <v>130</v>
      </c>
      <c r="B170" t="b">
        <f t="shared" si="6"/>
        <v>1</v>
      </c>
    </row>
    <row r="171" spans="1:2" x14ac:dyDescent="0.55000000000000004">
      <c r="A171" s="1" t="s">
        <v>130</v>
      </c>
      <c r="B171" t="b">
        <f t="shared" si="6"/>
        <v>1</v>
      </c>
    </row>
    <row r="172" spans="1:2" x14ac:dyDescent="0.55000000000000004">
      <c r="A172" t="s">
        <v>292</v>
      </c>
      <c r="B172" t="b">
        <f t="shared" si="6"/>
        <v>1</v>
      </c>
    </row>
    <row r="173" spans="1:2" x14ac:dyDescent="0.55000000000000004">
      <c r="A173" t="s">
        <v>293</v>
      </c>
      <c r="B173" t="b">
        <f t="shared" si="6"/>
        <v>1</v>
      </c>
    </row>
    <row r="174" spans="1:2" x14ac:dyDescent="0.55000000000000004">
      <c r="A174" s="1" t="s">
        <v>131</v>
      </c>
      <c r="B174" t="b">
        <f t="shared" si="6"/>
        <v>1</v>
      </c>
    </row>
    <row r="175" spans="1:2" x14ac:dyDescent="0.55000000000000004">
      <c r="A175" s="1" t="s">
        <v>132</v>
      </c>
      <c r="B175" t="b">
        <f t="shared" si="6"/>
        <v>1</v>
      </c>
    </row>
    <row r="176" spans="1:2" x14ac:dyDescent="0.55000000000000004">
      <c r="A176" t="s">
        <v>296</v>
      </c>
      <c r="B176" t="b">
        <f t="shared" si="6"/>
        <v>1</v>
      </c>
    </row>
    <row r="177" spans="1:2" x14ac:dyDescent="0.55000000000000004">
      <c r="A177" s="1" t="s">
        <v>133</v>
      </c>
      <c r="B177" t="b">
        <f t="shared" si="6"/>
        <v>1</v>
      </c>
    </row>
    <row r="178" spans="1:2" x14ac:dyDescent="0.55000000000000004">
      <c r="A178" t="s">
        <v>294</v>
      </c>
      <c r="B178" t="b">
        <f>RIGHT(A178, 4)=".tsx"</f>
        <v>1</v>
      </c>
    </row>
    <row r="179" spans="1:2" x14ac:dyDescent="0.55000000000000004">
      <c r="A179" s="1" t="s">
        <v>126</v>
      </c>
      <c r="B179" t="b">
        <f t="shared" ref="B179:B192" si="7">RIGHT(A179, 4)=".tsx"</f>
        <v>1</v>
      </c>
    </row>
    <row r="180" spans="1:2" x14ac:dyDescent="0.55000000000000004">
      <c r="A180" t="s">
        <v>295</v>
      </c>
      <c r="B180" t="b">
        <f t="shared" si="7"/>
        <v>1</v>
      </c>
    </row>
    <row r="181" spans="1:2" x14ac:dyDescent="0.55000000000000004">
      <c r="A181" s="1" t="s">
        <v>127</v>
      </c>
      <c r="B181" t="b">
        <f t="shared" si="7"/>
        <v>1</v>
      </c>
    </row>
    <row r="182" spans="1:2" x14ac:dyDescent="0.55000000000000004">
      <c r="A182" s="1" t="s">
        <v>134</v>
      </c>
      <c r="B182" t="b">
        <f t="shared" si="7"/>
        <v>1</v>
      </c>
    </row>
    <row r="183" spans="1:2" x14ac:dyDescent="0.55000000000000004">
      <c r="A183" s="1" t="s">
        <v>135</v>
      </c>
      <c r="B183" t="b">
        <f t="shared" si="7"/>
        <v>1</v>
      </c>
    </row>
    <row r="184" spans="1:2" x14ac:dyDescent="0.55000000000000004">
      <c r="A184" s="1" t="s">
        <v>136</v>
      </c>
      <c r="B184" t="b">
        <f t="shared" si="7"/>
        <v>1</v>
      </c>
    </row>
    <row r="185" spans="1:2" x14ac:dyDescent="0.55000000000000004">
      <c r="A185" s="1" t="s">
        <v>137</v>
      </c>
      <c r="B185" t="b">
        <f t="shared" si="7"/>
        <v>1</v>
      </c>
    </row>
    <row r="186" spans="1:2" x14ac:dyDescent="0.55000000000000004">
      <c r="A186" s="1" t="s">
        <v>138</v>
      </c>
      <c r="B186" t="b">
        <f t="shared" si="7"/>
        <v>1</v>
      </c>
    </row>
    <row r="187" spans="1:2" x14ac:dyDescent="0.55000000000000004">
      <c r="A187" t="s">
        <v>297</v>
      </c>
      <c r="B187" t="b">
        <f t="shared" si="7"/>
        <v>1</v>
      </c>
    </row>
    <row r="188" spans="1:2" x14ac:dyDescent="0.55000000000000004">
      <c r="A188" s="1" t="s">
        <v>139</v>
      </c>
      <c r="B188" t="b">
        <f t="shared" si="7"/>
        <v>1</v>
      </c>
    </row>
    <row r="189" spans="1:2" x14ac:dyDescent="0.55000000000000004">
      <c r="A189" t="s">
        <v>291</v>
      </c>
      <c r="B189" t="b">
        <f t="shared" si="7"/>
        <v>1</v>
      </c>
    </row>
    <row r="190" spans="1:2" x14ac:dyDescent="0.55000000000000004">
      <c r="A190" t="s">
        <v>299</v>
      </c>
      <c r="B190" t="b">
        <f t="shared" si="7"/>
        <v>1</v>
      </c>
    </row>
    <row r="191" spans="1:2" x14ac:dyDescent="0.55000000000000004">
      <c r="A191" s="1" t="s">
        <v>146</v>
      </c>
      <c r="B191" t="b">
        <f t="shared" si="7"/>
        <v>1</v>
      </c>
    </row>
    <row r="192" spans="1:2" x14ac:dyDescent="0.55000000000000004">
      <c r="A192" t="s">
        <v>300</v>
      </c>
      <c r="B192" t="b">
        <f t="shared" si="7"/>
        <v>1</v>
      </c>
    </row>
    <row r="193" spans="1:2" x14ac:dyDescent="0.55000000000000004">
      <c r="A193" s="1" t="s">
        <v>147</v>
      </c>
      <c r="B193" t="b">
        <f>RIGHT(A193, 4)=".tsx"</f>
        <v>1</v>
      </c>
    </row>
    <row r="194" spans="1:2" x14ac:dyDescent="0.55000000000000004">
      <c r="A194" t="s">
        <v>301</v>
      </c>
      <c r="B194" t="b">
        <f t="shared" ref="B194:B257" si="8">RIGHT(A194, 4)=".tsx"</f>
        <v>1</v>
      </c>
    </row>
    <row r="195" spans="1:2" x14ac:dyDescent="0.55000000000000004">
      <c r="A195" t="s">
        <v>302</v>
      </c>
      <c r="B195" t="b">
        <f t="shared" si="8"/>
        <v>1</v>
      </c>
    </row>
    <row r="196" spans="1:2" x14ac:dyDescent="0.55000000000000004">
      <c r="A196" s="1" t="s">
        <v>145</v>
      </c>
      <c r="B196" t="b">
        <f t="shared" si="8"/>
        <v>1</v>
      </c>
    </row>
    <row r="197" spans="1:2" x14ac:dyDescent="0.55000000000000004">
      <c r="A197" t="s">
        <v>298</v>
      </c>
      <c r="B197" t="b">
        <f t="shared" si="8"/>
        <v>1</v>
      </c>
    </row>
    <row r="198" spans="1:2" x14ac:dyDescent="0.55000000000000004">
      <c r="A198" t="s">
        <v>118</v>
      </c>
      <c r="B198" t="b">
        <f t="shared" si="8"/>
        <v>1</v>
      </c>
    </row>
    <row r="199" spans="1:2" x14ac:dyDescent="0.55000000000000004">
      <c r="A199" s="1" t="s">
        <v>118</v>
      </c>
      <c r="B199" t="b">
        <f t="shared" si="8"/>
        <v>1</v>
      </c>
    </row>
    <row r="200" spans="1:2" x14ac:dyDescent="0.55000000000000004">
      <c r="A200" t="s">
        <v>257</v>
      </c>
      <c r="B200" t="b">
        <f t="shared" si="8"/>
        <v>1</v>
      </c>
    </row>
    <row r="201" spans="1:2" x14ac:dyDescent="0.55000000000000004">
      <c r="A201" t="s">
        <v>119</v>
      </c>
      <c r="B201" t="b">
        <f t="shared" si="8"/>
        <v>1</v>
      </c>
    </row>
    <row r="202" spans="1:2" x14ac:dyDescent="0.55000000000000004">
      <c r="A202" s="1" t="s">
        <v>119</v>
      </c>
      <c r="B202" t="b">
        <f t="shared" si="8"/>
        <v>1</v>
      </c>
    </row>
    <row r="203" spans="1:2" x14ac:dyDescent="0.55000000000000004">
      <c r="A203" t="s">
        <v>258</v>
      </c>
      <c r="B203" t="b">
        <f t="shared" si="8"/>
        <v>1</v>
      </c>
    </row>
    <row r="204" spans="1:2" x14ac:dyDescent="0.55000000000000004">
      <c r="A204" t="s">
        <v>120</v>
      </c>
      <c r="B204" t="b">
        <f t="shared" si="8"/>
        <v>1</v>
      </c>
    </row>
    <row r="205" spans="1:2" x14ac:dyDescent="0.55000000000000004">
      <c r="A205" s="1" t="s">
        <v>120</v>
      </c>
      <c r="B205" t="b">
        <f t="shared" si="8"/>
        <v>1</v>
      </c>
    </row>
    <row r="206" spans="1:2" x14ac:dyDescent="0.55000000000000004">
      <c r="A206" t="s">
        <v>259</v>
      </c>
      <c r="B206" t="b">
        <f t="shared" si="8"/>
        <v>1</v>
      </c>
    </row>
    <row r="207" spans="1:2" x14ac:dyDescent="0.55000000000000004">
      <c r="A207" t="s">
        <v>266</v>
      </c>
      <c r="B207" t="b">
        <f t="shared" si="8"/>
        <v>1</v>
      </c>
    </row>
    <row r="208" spans="1:2" x14ac:dyDescent="0.55000000000000004">
      <c r="A208" t="s">
        <v>66</v>
      </c>
      <c r="B208" t="b">
        <f t="shared" si="8"/>
        <v>1</v>
      </c>
    </row>
    <row r="209" spans="1:2" x14ac:dyDescent="0.55000000000000004">
      <c r="A209" s="1" t="s">
        <v>66</v>
      </c>
      <c r="B209" t="b">
        <f t="shared" si="8"/>
        <v>1</v>
      </c>
    </row>
    <row r="210" spans="1:2" x14ac:dyDescent="0.55000000000000004">
      <c r="A210" t="s">
        <v>65</v>
      </c>
      <c r="B210" t="b">
        <f t="shared" si="8"/>
        <v>1</v>
      </c>
    </row>
    <row r="211" spans="1:2" x14ac:dyDescent="0.55000000000000004">
      <c r="A211" s="1" t="s">
        <v>65</v>
      </c>
      <c r="B211" t="b">
        <f t="shared" si="8"/>
        <v>1</v>
      </c>
    </row>
    <row r="212" spans="1:2" x14ac:dyDescent="0.55000000000000004">
      <c r="A212" t="s">
        <v>267</v>
      </c>
      <c r="B212" t="b">
        <f t="shared" si="8"/>
        <v>1</v>
      </c>
    </row>
    <row r="213" spans="1:2" x14ac:dyDescent="0.55000000000000004">
      <c r="A213" s="1" t="s">
        <v>67</v>
      </c>
      <c r="B213" t="b">
        <f t="shared" si="8"/>
        <v>1</v>
      </c>
    </row>
    <row r="214" spans="1:2" x14ac:dyDescent="0.55000000000000004">
      <c r="A214" t="s">
        <v>268</v>
      </c>
      <c r="B214" t="b">
        <f t="shared" si="8"/>
        <v>1</v>
      </c>
    </row>
    <row r="215" spans="1:2" x14ac:dyDescent="0.55000000000000004">
      <c r="A215" s="1" t="s">
        <v>124</v>
      </c>
      <c r="B215" t="b">
        <f t="shared" si="8"/>
        <v>1</v>
      </c>
    </row>
    <row r="216" spans="1:2" x14ac:dyDescent="0.55000000000000004">
      <c r="A216" s="1" t="s">
        <v>123</v>
      </c>
      <c r="B216" t="b">
        <f t="shared" si="8"/>
        <v>1</v>
      </c>
    </row>
    <row r="217" spans="1:2" x14ac:dyDescent="0.55000000000000004">
      <c r="A217" t="s">
        <v>263</v>
      </c>
      <c r="B217" t="b">
        <f t="shared" si="8"/>
        <v>1</v>
      </c>
    </row>
    <row r="218" spans="1:2" x14ac:dyDescent="0.55000000000000004">
      <c r="A218" t="s">
        <v>113</v>
      </c>
      <c r="B218" t="b">
        <f t="shared" si="8"/>
        <v>1</v>
      </c>
    </row>
    <row r="219" spans="1:2" x14ac:dyDescent="0.55000000000000004">
      <c r="A219" s="1" t="s">
        <v>113</v>
      </c>
      <c r="B219" t="b">
        <f t="shared" si="8"/>
        <v>1</v>
      </c>
    </row>
    <row r="220" spans="1:2" x14ac:dyDescent="0.55000000000000004">
      <c r="A220" t="s">
        <v>265</v>
      </c>
      <c r="B220" t="b">
        <f t="shared" si="8"/>
        <v>1</v>
      </c>
    </row>
    <row r="221" spans="1:2" x14ac:dyDescent="0.55000000000000004">
      <c r="A221" s="1" t="s">
        <v>112</v>
      </c>
      <c r="B221" t="b">
        <f t="shared" si="8"/>
        <v>1</v>
      </c>
    </row>
    <row r="222" spans="1:2" x14ac:dyDescent="0.55000000000000004">
      <c r="A222" t="s">
        <v>264</v>
      </c>
      <c r="B222" t="b">
        <f t="shared" si="8"/>
        <v>1</v>
      </c>
    </row>
    <row r="223" spans="1:2" x14ac:dyDescent="0.55000000000000004">
      <c r="A223" s="1" t="s">
        <v>111</v>
      </c>
      <c r="B223" t="b">
        <f t="shared" si="8"/>
        <v>1</v>
      </c>
    </row>
    <row r="224" spans="1:2" x14ac:dyDescent="0.55000000000000004">
      <c r="A224" t="s">
        <v>114</v>
      </c>
      <c r="B224" t="b">
        <f t="shared" si="8"/>
        <v>1</v>
      </c>
    </row>
    <row r="225" spans="1:2" x14ac:dyDescent="0.55000000000000004">
      <c r="A225" s="1" t="s">
        <v>114</v>
      </c>
      <c r="B225" t="b">
        <f t="shared" si="8"/>
        <v>1</v>
      </c>
    </row>
    <row r="226" spans="1:2" x14ac:dyDescent="0.55000000000000004">
      <c r="A226" s="1" t="s">
        <v>110</v>
      </c>
      <c r="B226" t="b">
        <f t="shared" si="8"/>
        <v>1</v>
      </c>
    </row>
    <row r="227" spans="1:2" x14ac:dyDescent="0.55000000000000004">
      <c r="A227" t="s">
        <v>273</v>
      </c>
      <c r="B227" t="b">
        <f t="shared" si="8"/>
        <v>1</v>
      </c>
    </row>
    <row r="228" spans="1:2" x14ac:dyDescent="0.55000000000000004">
      <c r="A228" t="s">
        <v>276</v>
      </c>
      <c r="B228" t="b">
        <f t="shared" si="8"/>
        <v>1</v>
      </c>
    </row>
    <row r="229" spans="1:2" x14ac:dyDescent="0.55000000000000004">
      <c r="A229" t="s">
        <v>274</v>
      </c>
      <c r="B229" t="b">
        <f t="shared" si="8"/>
        <v>1</v>
      </c>
    </row>
    <row r="230" spans="1:2" x14ac:dyDescent="0.55000000000000004">
      <c r="A230" t="s">
        <v>275</v>
      </c>
      <c r="B230" t="b">
        <f t="shared" si="8"/>
        <v>1</v>
      </c>
    </row>
    <row r="231" spans="1:2" x14ac:dyDescent="0.55000000000000004">
      <c r="A231" t="s">
        <v>102</v>
      </c>
      <c r="B231" t="b">
        <f t="shared" si="8"/>
        <v>1</v>
      </c>
    </row>
    <row r="232" spans="1:2" x14ac:dyDescent="0.55000000000000004">
      <c r="A232" s="1" t="s">
        <v>102</v>
      </c>
      <c r="B232" t="b">
        <f t="shared" si="8"/>
        <v>1</v>
      </c>
    </row>
    <row r="233" spans="1:2" x14ac:dyDescent="0.55000000000000004">
      <c r="A233" t="s">
        <v>101</v>
      </c>
      <c r="B233" t="b">
        <f t="shared" si="8"/>
        <v>1</v>
      </c>
    </row>
    <row r="234" spans="1:2" x14ac:dyDescent="0.55000000000000004">
      <c r="A234" s="1" t="s">
        <v>101</v>
      </c>
      <c r="B234" t="b">
        <f t="shared" si="8"/>
        <v>1</v>
      </c>
    </row>
    <row r="235" spans="1:2" x14ac:dyDescent="0.55000000000000004">
      <c r="A235" s="1" t="s">
        <v>104</v>
      </c>
      <c r="B235" t="b">
        <f t="shared" si="8"/>
        <v>1</v>
      </c>
    </row>
    <row r="236" spans="1:2" x14ac:dyDescent="0.55000000000000004">
      <c r="A236" s="1" t="s">
        <v>103</v>
      </c>
      <c r="B236" t="b">
        <f t="shared" si="8"/>
        <v>1</v>
      </c>
    </row>
    <row r="237" spans="1:2" x14ac:dyDescent="0.55000000000000004">
      <c r="A237" t="s">
        <v>271</v>
      </c>
      <c r="B237" t="b">
        <f t="shared" si="8"/>
        <v>1</v>
      </c>
    </row>
    <row r="238" spans="1:2" x14ac:dyDescent="0.55000000000000004">
      <c r="A238" t="s">
        <v>108</v>
      </c>
      <c r="B238" t="b">
        <f t="shared" si="8"/>
        <v>1</v>
      </c>
    </row>
    <row r="239" spans="1:2" x14ac:dyDescent="0.55000000000000004">
      <c r="A239" s="1" t="s">
        <v>108</v>
      </c>
      <c r="B239" t="b">
        <f t="shared" si="8"/>
        <v>1</v>
      </c>
    </row>
    <row r="240" spans="1:2" x14ac:dyDescent="0.55000000000000004">
      <c r="A240" t="s">
        <v>105</v>
      </c>
      <c r="B240" t="b">
        <f t="shared" si="8"/>
        <v>1</v>
      </c>
    </row>
    <row r="241" spans="1:2" x14ac:dyDescent="0.55000000000000004">
      <c r="A241" s="1" t="s">
        <v>105</v>
      </c>
      <c r="B241" t="b">
        <f t="shared" si="8"/>
        <v>1</v>
      </c>
    </row>
    <row r="242" spans="1:2" x14ac:dyDescent="0.55000000000000004">
      <c r="A242" t="s">
        <v>269</v>
      </c>
      <c r="B242" t="b">
        <f t="shared" si="8"/>
        <v>1</v>
      </c>
    </row>
    <row r="243" spans="1:2" x14ac:dyDescent="0.55000000000000004">
      <c r="A243" t="s">
        <v>107</v>
      </c>
      <c r="B243" t="b">
        <f t="shared" si="8"/>
        <v>1</v>
      </c>
    </row>
    <row r="244" spans="1:2" x14ac:dyDescent="0.55000000000000004">
      <c r="A244" s="1" t="s">
        <v>107</v>
      </c>
      <c r="B244" t="b">
        <f t="shared" si="8"/>
        <v>1</v>
      </c>
    </row>
    <row r="245" spans="1:2" x14ac:dyDescent="0.55000000000000004">
      <c r="A245" t="s">
        <v>272</v>
      </c>
      <c r="B245" t="b">
        <f t="shared" si="8"/>
        <v>1</v>
      </c>
    </row>
    <row r="246" spans="1:2" x14ac:dyDescent="0.55000000000000004">
      <c r="A246" t="s">
        <v>106</v>
      </c>
      <c r="B246" t="b">
        <f t="shared" si="8"/>
        <v>1</v>
      </c>
    </row>
    <row r="247" spans="1:2" x14ac:dyDescent="0.55000000000000004">
      <c r="A247" s="1" t="s">
        <v>106</v>
      </c>
      <c r="B247" t="b">
        <f>RIGHT(A247, 4)=".tsx"</f>
        <v>1</v>
      </c>
    </row>
    <row r="248" spans="1:2" x14ac:dyDescent="0.55000000000000004">
      <c r="A248" t="s">
        <v>270</v>
      </c>
      <c r="B248" t="b">
        <f t="shared" si="8"/>
        <v>1</v>
      </c>
    </row>
    <row r="249" spans="1:2" x14ac:dyDescent="0.55000000000000004">
      <c r="A249" s="1" t="s">
        <v>140</v>
      </c>
      <c r="B249" t="b">
        <f t="shared" si="8"/>
        <v>1</v>
      </c>
    </row>
    <row r="250" spans="1:2" x14ac:dyDescent="0.55000000000000004">
      <c r="A250" s="1" t="s">
        <v>141</v>
      </c>
      <c r="B250" t="b">
        <f t="shared" si="8"/>
        <v>1</v>
      </c>
    </row>
    <row r="251" spans="1:2" x14ac:dyDescent="0.55000000000000004">
      <c r="A251" t="s">
        <v>281</v>
      </c>
      <c r="B251" t="b">
        <f t="shared" si="8"/>
        <v>1</v>
      </c>
    </row>
    <row r="252" spans="1:2" x14ac:dyDescent="0.55000000000000004">
      <c r="A252" t="s">
        <v>284</v>
      </c>
      <c r="B252" t="b">
        <f t="shared" si="8"/>
        <v>1</v>
      </c>
    </row>
    <row r="253" spans="1:2" x14ac:dyDescent="0.55000000000000004">
      <c r="A253" t="s">
        <v>285</v>
      </c>
      <c r="B253" t="b">
        <f t="shared" si="8"/>
        <v>1</v>
      </c>
    </row>
    <row r="254" spans="1:2" x14ac:dyDescent="0.55000000000000004">
      <c r="A254" t="s">
        <v>282</v>
      </c>
      <c r="B254" t="b">
        <f t="shared" si="8"/>
        <v>1</v>
      </c>
    </row>
    <row r="255" spans="1:2" x14ac:dyDescent="0.55000000000000004">
      <c r="A255" t="s">
        <v>283</v>
      </c>
      <c r="B255" t="b">
        <f t="shared" si="8"/>
        <v>1</v>
      </c>
    </row>
    <row r="256" spans="1:2" x14ac:dyDescent="0.55000000000000004">
      <c r="A256" s="1" t="s">
        <v>162</v>
      </c>
      <c r="B256" t="b">
        <f t="shared" si="8"/>
        <v>1</v>
      </c>
    </row>
    <row r="257" spans="1:2" x14ac:dyDescent="0.55000000000000004">
      <c r="A257" s="1" t="s">
        <v>166</v>
      </c>
      <c r="B257" t="b">
        <f t="shared" si="8"/>
        <v>1</v>
      </c>
    </row>
    <row r="258" spans="1:2" x14ac:dyDescent="0.55000000000000004">
      <c r="A258" s="1" t="s">
        <v>167</v>
      </c>
      <c r="B258" t="b">
        <f t="shared" ref="B258:B270" si="9">RIGHT(A258, 4)=".tsx"</f>
        <v>1</v>
      </c>
    </row>
    <row r="259" spans="1:2" x14ac:dyDescent="0.55000000000000004">
      <c r="A259" s="1" t="s">
        <v>164</v>
      </c>
      <c r="B259" t="b">
        <f t="shared" si="9"/>
        <v>1</v>
      </c>
    </row>
    <row r="260" spans="1:2" x14ac:dyDescent="0.55000000000000004">
      <c r="A260" s="1" t="s">
        <v>163</v>
      </c>
      <c r="B260" t="b">
        <f t="shared" si="9"/>
        <v>1</v>
      </c>
    </row>
    <row r="261" spans="1:2" x14ac:dyDescent="0.55000000000000004">
      <c r="A261" s="1" t="s">
        <v>165</v>
      </c>
      <c r="B261" t="b">
        <f t="shared" si="9"/>
        <v>1</v>
      </c>
    </row>
    <row r="262" spans="1:2" x14ac:dyDescent="0.55000000000000004">
      <c r="A262" s="1" t="s">
        <v>125</v>
      </c>
      <c r="B262" t="b">
        <f t="shared" si="9"/>
        <v>1</v>
      </c>
    </row>
    <row r="263" spans="1:2" x14ac:dyDescent="0.55000000000000004">
      <c r="A263" t="s">
        <v>290</v>
      </c>
      <c r="B263" t="b">
        <f t="shared" si="9"/>
        <v>1</v>
      </c>
    </row>
    <row r="264" spans="1:2" x14ac:dyDescent="0.55000000000000004">
      <c r="A264" t="s">
        <v>287</v>
      </c>
      <c r="B264" t="b">
        <f t="shared" si="9"/>
        <v>1</v>
      </c>
    </row>
    <row r="265" spans="1:2" x14ac:dyDescent="0.55000000000000004">
      <c r="A265" t="s">
        <v>288</v>
      </c>
      <c r="B265" t="b">
        <f t="shared" si="9"/>
        <v>1</v>
      </c>
    </row>
    <row r="266" spans="1:2" x14ac:dyDescent="0.55000000000000004">
      <c r="A266" t="s">
        <v>286</v>
      </c>
      <c r="B266" t="b">
        <f t="shared" si="9"/>
        <v>1</v>
      </c>
    </row>
    <row r="267" spans="1:2" x14ac:dyDescent="0.55000000000000004">
      <c r="A267" t="s">
        <v>289</v>
      </c>
      <c r="B267" t="b">
        <f t="shared" si="9"/>
        <v>1</v>
      </c>
    </row>
    <row r="268" spans="1:2" x14ac:dyDescent="0.55000000000000004">
      <c r="A268" t="s">
        <v>280</v>
      </c>
      <c r="B268" t="b">
        <f t="shared" si="9"/>
        <v>1</v>
      </c>
    </row>
    <row r="269" spans="1:2" x14ac:dyDescent="0.55000000000000004">
      <c r="A269" t="s">
        <v>278</v>
      </c>
      <c r="B269" t="b">
        <f t="shared" si="9"/>
        <v>1</v>
      </c>
    </row>
    <row r="270" spans="1:2" x14ac:dyDescent="0.55000000000000004">
      <c r="A270" t="s">
        <v>277</v>
      </c>
      <c r="B270" t="b">
        <f t="shared" si="9"/>
        <v>1</v>
      </c>
    </row>
    <row r="271" spans="1:2" x14ac:dyDescent="0.55000000000000004">
      <c r="A271" t="s">
        <v>279</v>
      </c>
      <c r="B271" t="b">
        <f>RIGHT(A271, 4)=".tsx"</f>
        <v>1</v>
      </c>
    </row>
    <row r="272" spans="1:2" x14ac:dyDescent="0.55000000000000004">
      <c r="A272" t="s">
        <v>312</v>
      </c>
      <c r="B272" t="b">
        <f t="shared" ref="B272:B282" si="10">RIGHT(A272, 4)=".tsx"</f>
        <v>1</v>
      </c>
    </row>
    <row r="273" spans="1:2" x14ac:dyDescent="0.55000000000000004">
      <c r="A273" t="s">
        <v>319</v>
      </c>
      <c r="B273" t="b">
        <f t="shared" si="10"/>
        <v>1</v>
      </c>
    </row>
    <row r="274" spans="1:2" x14ac:dyDescent="0.55000000000000004">
      <c r="A274" t="s">
        <v>313</v>
      </c>
      <c r="B274" t="b">
        <f t="shared" si="10"/>
        <v>1</v>
      </c>
    </row>
    <row r="275" spans="1:2" x14ac:dyDescent="0.55000000000000004">
      <c r="A275" t="s">
        <v>303</v>
      </c>
      <c r="B275" t="b">
        <f t="shared" si="10"/>
        <v>1</v>
      </c>
    </row>
    <row r="276" spans="1:2" x14ac:dyDescent="0.55000000000000004">
      <c r="A276" t="s">
        <v>305</v>
      </c>
      <c r="B276" t="b">
        <f t="shared" si="10"/>
        <v>1</v>
      </c>
    </row>
    <row r="277" spans="1:2" x14ac:dyDescent="0.55000000000000004">
      <c r="A277" t="s">
        <v>314</v>
      </c>
      <c r="B277" t="b">
        <f t="shared" si="10"/>
        <v>1</v>
      </c>
    </row>
    <row r="278" spans="1:2" x14ac:dyDescent="0.55000000000000004">
      <c r="A278" t="s">
        <v>306</v>
      </c>
      <c r="B278" t="b">
        <f t="shared" si="10"/>
        <v>1</v>
      </c>
    </row>
    <row r="279" spans="1:2" x14ac:dyDescent="0.55000000000000004">
      <c r="A279" t="s">
        <v>307</v>
      </c>
      <c r="B279" t="b">
        <f t="shared" si="10"/>
        <v>1</v>
      </c>
    </row>
    <row r="280" spans="1:2" x14ac:dyDescent="0.55000000000000004">
      <c r="A280" t="s">
        <v>316</v>
      </c>
      <c r="B280" t="b">
        <f t="shared" si="10"/>
        <v>1</v>
      </c>
    </row>
    <row r="281" spans="1:2" x14ac:dyDescent="0.55000000000000004">
      <c r="A281" t="s">
        <v>304</v>
      </c>
      <c r="B281" t="b">
        <f t="shared" si="10"/>
        <v>1</v>
      </c>
    </row>
    <row r="282" spans="1:2" x14ac:dyDescent="0.55000000000000004">
      <c r="A282" t="s">
        <v>315</v>
      </c>
      <c r="B282" t="b">
        <f t="shared" si="10"/>
        <v>1</v>
      </c>
    </row>
    <row r="283" spans="1:2" x14ac:dyDescent="0.55000000000000004">
      <c r="A283" t="s">
        <v>308</v>
      </c>
      <c r="B283" t="b">
        <f>RIGHT(A283, 4)=".tsx"</f>
        <v>1</v>
      </c>
    </row>
    <row r="284" spans="1:2" x14ac:dyDescent="0.55000000000000004">
      <c r="A284" t="s">
        <v>320</v>
      </c>
      <c r="B284" t="b">
        <f t="shared" ref="B284:B296" si="11">RIGHT(A284, 4)=".tsx"</f>
        <v>1</v>
      </c>
    </row>
    <row r="285" spans="1:2" x14ac:dyDescent="0.55000000000000004">
      <c r="A285" t="s">
        <v>317</v>
      </c>
      <c r="B285" t="b">
        <f t="shared" si="11"/>
        <v>1</v>
      </c>
    </row>
    <row r="286" spans="1:2" x14ac:dyDescent="0.55000000000000004">
      <c r="A286" t="s">
        <v>309</v>
      </c>
      <c r="B286" t="b">
        <f t="shared" si="11"/>
        <v>1</v>
      </c>
    </row>
    <row r="287" spans="1:2" x14ac:dyDescent="0.55000000000000004">
      <c r="A287" t="s">
        <v>310</v>
      </c>
      <c r="B287" t="b">
        <f t="shared" si="11"/>
        <v>1</v>
      </c>
    </row>
    <row r="288" spans="1:2" x14ac:dyDescent="0.55000000000000004">
      <c r="A288" t="s">
        <v>311</v>
      </c>
      <c r="B288" t="b">
        <f t="shared" si="11"/>
        <v>1</v>
      </c>
    </row>
    <row r="289" spans="1:2" x14ac:dyDescent="0.55000000000000004">
      <c r="A289" t="s">
        <v>318</v>
      </c>
      <c r="B289" t="b">
        <f t="shared" si="11"/>
        <v>1</v>
      </c>
    </row>
    <row r="290" spans="1:2" x14ac:dyDescent="0.55000000000000004">
      <c r="A290" t="s">
        <v>261</v>
      </c>
      <c r="B290" t="b">
        <f t="shared" si="11"/>
        <v>1</v>
      </c>
    </row>
    <row r="291" spans="1:2" x14ac:dyDescent="0.55000000000000004">
      <c r="A291" t="s">
        <v>262</v>
      </c>
      <c r="B291" t="b">
        <f t="shared" si="11"/>
        <v>1</v>
      </c>
    </row>
    <row r="292" spans="1:2" x14ac:dyDescent="0.55000000000000004">
      <c r="A292" s="1" t="s">
        <v>115</v>
      </c>
      <c r="B292" t="b">
        <f t="shared" si="11"/>
        <v>1</v>
      </c>
    </row>
    <row r="293" spans="1:2" x14ac:dyDescent="0.55000000000000004">
      <c r="A293" s="1" t="s">
        <v>116</v>
      </c>
      <c r="B293" t="b">
        <f t="shared" si="11"/>
        <v>1</v>
      </c>
    </row>
    <row r="294" spans="1:2" x14ac:dyDescent="0.55000000000000004">
      <c r="A294" t="s">
        <v>117</v>
      </c>
      <c r="B294" t="b">
        <f t="shared" si="11"/>
        <v>1</v>
      </c>
    </row>
    <row r="295" spans="1:2" x14ac:dyDescent="0.55000000000000004">
      <c r="A295" s="1" t="s">
        <v>117</v>
      </c>
      <c r="B295" t="b">
        <f t="shared" si="11"/>
        <v>1</v>
      </c>
    </row>
    <row r="296" spans="1:2" x14ac:dyDescent="0.55000000000000004">
      <c r="A296" t="s">
        <v>260</v>
      </c>
      <c r="B296" t="b">
        <f t="shared" si="11"/>
        <v>1</v>
      </c>
    </row>
  </sheetData>
  <sortState xmlns:xlrd2="http://schemas.microsoft.com/office/spreadsheetml/2017/richdata2" ref="A1:A296">
    <sortCondition ref="A1:A296"/>
  </sortState>
  <conditionalFormatting sqref="B1:B1048576">
    <cfRule type="containsText" dxfId="1" priority="1" operator="containsText" text="TRUE">
      <formula>NOT(ISERROR(SEARCH("TRUE",B1)))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D397D-A835-42EB-90B8-AE9C2450334A}">
  <dimension ref="A1:E144"/>
  <sheetViews>
    <sheetView topLeftCell="A130" workbookViewId="0">
      <selection activeCell="C3" sqref="C3"/>
    </sheetView>
  </sheetViews>
  <sheetFormatPr defaultRowHeight="14.4" x14ac:dyDescent="0.55000000000000004"/>
  <cols>
    <col min="2" max="2" width="54" bestFit="1" customWidth="1"/>
    <col min="3" max="3" width="54" customWidth="1"/>
    <col min="5" max="5" width="61.734375" bestFit="1" customWidth="1"/>
  </cols>
  <sheetData>
    <row r="1" spans="1:5" ht="18.3" x14ac:dyDescent="0.7">
      <c r="A1" s="2" t="s">
        <v>325</v>
      </c>
    </row>
    <row r="3" spans="1:5" x14ac:dyDescent="0.55000000000000004">
      <c r="B3" t="s">
        <v>220</v>
      </c>
      <c r="D3">
        <v>1</v>
      </c>
      <c r="E3" t="str">
        <f>"frontend/" &amp; B3</f>
        <v>frontend/app/(admin)/admin/affiliates/[id]/loading.tsx</v>
      </c>
    </row>
    <row r="4" spans="1:5" x14ac:dyDescent="0.55000000000000004">
      <c r="B4" t="s">
        <v>219</v>
      </c>
      <c r="D4">
        <f>D3+1</f>
        <v>2</v>
      </c>
      <c r="E4" t="str">
        <f t="shared" ref="E4:E67" si="0">"frontend/" &amp; B4</f>
        <v>frontend/app/(admin)/admin/affiliates/[id]/page.tsx</v>
      </c>
    </row>
    <row r="5" spans="1:5" x14ac:dyDescent="0.55000000000000004">
      <c r="B5" t="s">
        <v>218</v>
      </c>
      <c r="D5">
        <f t="shared" ref="D5:D68" si="1">D4+1</f>
        <v>3</v>
      </c>
      <c r="E5" t="str">
        <f t="shared" si="0"/>
        <v>frontend/app/(admin)/admin/affiliates/loading.tsx</v>
      </c>
    </row>
    <row r="6" spans="1:5" x14ac:dyDescent="0.55000000000000004">
      <c r="B6" t="s">
        <v>217</v>
      </c>
      <c r="D6">
        <f t="shared" si="1"/>
        <v>4</v>
      </c>
      <c r="E6" t="str">
        <f t="shared" si="0"/>
        <v>frontend/app/(admin)/admin/affiliates/page.tsx</v>
      </c>
    </row>
    <row r="7" spans="1:5" x14ac:dyDescent="0.55000000000000004">
      <c r="B7" t="s">
        <v>221</v>
      </c>
      <c r="D7">
        <f t="shared" si="1"/>
        <v>5</v>
      </c>
      <c r="E7" t="str">
        <f t="shared" si="0"/>
        <v>frontend/app/(admin)/admin/affiliates/reports/code-inventory/page.tsx</v>
      </c>
    </row>
    <row r="8" spans="1:5" x14ac:dyDescent="0.55000000000000004">
      <c r="B8" t="s">
        <v>222</v>
      </c>
      <c r="D8">
        <f t="shared" si="1"/>
        <v>6</v>
      </c>
      <c r="E8" t="str">
        <f t="shared" si="0"/>
        <v>frontend/app/(admin)/admin/affiliates/reports/commission-owings/page.tsx</v>
      </c>
    </row>
    <row r="9" spans="1:5" x14ac:dyDescent="0.55000000000000004">
      <c r="B9" t="s">
        <v>223</v>
      </c>
      <c r="D9">
        <f t="shared" si="1"/>
        <v>7</v>
      </c>
      <c r="E9" t="str">
        <f t="shared" si="0"/>
        <v>frontend/app/(admin)/admin/affiliates/reports/profit-loss/page.tsx</v>
      </c>
    </row>
    <row r="10" spans="1:5" x14ac:dyDescent="0.55000000000000004">
      <c r="B10" t="s">
        <v>224</v>
      </c>
      <c r="D10">
        <f t="shared" si="1"/>
        <v>8</v>
      </c>
      <c r="E10" t="str">
        <f t="shared" si="0"/>
        <v>frontend/app/(admin)/admin/affiliates/reports/sales-performance/page.tsx</v>
      </c>
    </row>
    <row r="11" spans="1:5" x14ac:dyDescent="0.55000000000000004">
      <c r="B11" t="s">
        <v>210</v>
      </c>
      <c r="D11">
        <f t="shared" si="1"/>
        <v>9</v>
      </c>
      <c r="E11" t="str">
        <f t="shared" si="0"/>
        <v>frontend/app/(admin)/admin/analytics/loading.tsx</v>
      </c>
    </row>
    <row r="12" spans="1:5" x14ac:dyDescent="0.55000000000000004">
      <c r="B12" t="s">
        <v>209</v>
      </c>
      <c r="D12">
        <f t="shared" si="1"/>
        <v>10</v>
      </c>
      <c r="E12" t="str">
        <f t="shared" si="0"/>
        <v>frontend/app/(admin)/admin/analytics/page.tsx</v>
      </c>
    </row>
    <row r="13" spans="1:5" x14ac:dyDescent="0.55000000000000004">
      <c r="B13" t="s">
        <v>212</v>
      </c>
      <c r="D13">
        <f t="shared" si="1"/>
        <v>11</v>
      </c>
      <c r="E13" t="str">
        <f t="shared" si="0"/>
        <v>frontend/app/(admin)/admin/api-usage/loading.tsx</v>
      </c>
    </row>
    <row r="14" spans="1:5" x14ac:dyDescent="0.55000000000000004">
      <c r="B14" t="s">
        <v>211</v>
      </c>
      <c r="D14">
        <f t="shared" si="1"/>
        <v>12</v>
      </c>
      <c r="E14" t="str">
        <f t="shared" si="0"/>
        <v>frontend/app/(admin)/admin/api-usage/page.tsx</v>
      </c>
    </row>
    <row r="15" spans="1:5" x14ac:dyDescent="0.55000000000000004">
      <c r="B15" t="s">
        <v>213</v>
      </c>
      <c r="D15">
        <f t="shared" si="1"/>
        <v>13</v>
      </c>
      <c r="E15" t="str">
        <f t="shared" si="0"/>
        <v>frontend/app/(admin)/admin/error-logs/page.tsx</v>
      </c>
    </row>
    <row r="16" spans="1:5" x14ac:dyDescent="0.55000000000000004">
      <c r="B16" t="s">
        <v>216</v>
      </c>
      <c r="D16">
        <f t="shared" si="1"/>
        <v>14</v>
      </c>
      <c r="E16" t="str">
        <f t="shared" si="0"/>
        <v>frontend/app/(admin)/admin/fraud/alerts/page.tsx</v>
      </c>
    </row>
    <row r="17" spans="2:5" x14ac:dyDescent="0.55000000000000004">
      <c r="B17" t="s">
        <v>215</v>
      </c>
      <c r="D17">
        <f t="shared" si="1"/>
        <v>15</v>
      </c>
      <c r="E17" t="str">
        <f t="shared" si="0"/>
        <v>frontend/app/(admin)/admin/fraud/loading.tsx</v>
      </c>
    </row>
    <row r="18" spans="2:5" x14ac:dyDescent="0.55000000000000004">
      <c r="B18" t="s">
        <v>214</v>
      </c>
      <c r="D18">
        <f t="shared" si="1"/>
        <v>16</v>
      </c>
      <c r="E18" t="str">
        <f t="shared" si="0"/>
        <v>frontend/app/(admin)/admin/fraud/page.tsx</v>
      </c>
    </row>
    <row r="19" spans="2:5" x14ac:dyDescent="0.55000000000000004">
      <c r="B19" t="s">
        <v>205</v>
      </c>
      <c r="D19">
        <f t="shared" si="1"/>
        <v>17</v>
      </c>
      <c r="E19" t="str">
        <f t="shared" si="0"/>
        <v>frontend/app/(admin)/admin/layout.tsx</v>
      </c>
    </row>
    <row r="20" spans="2:5" x14ac:dyDescent="0.55000000000000004">
      <c r="B20" t="s">
        <v>204</v>
      </c>
      <c r="D20">
        <f t="shared" si="1"/>
        <v>18</v>
      </c>
      <c r="E20" t="str">
        <f t="shared" si="0"/>
        <v>frontend/app/(admin)/admin/loading.tsx</v>
      </c>
    </row>
    <row r="21" spans="2:5" x14ac:dyDescent="0.55000000000000004">
      <c r="B21" t="s">
        <v>203</v>
      </c>
      <c r="D21">
        <f t="shared" si="1"/>
        <v>19</v>
      </c>
      <c r="E21" t="str">
        <f t="shared" si="0"/>
        <v>frontend/app/(admin)/admin/page.tsx</v>
      </c>
    </row>
    <row r="22" spans="2:5" x14ac:dyDescent="0.55000000000000004">
      <c r="B22" t="s">
        <v>226</v>
      </c>
      <c r="D22">
        <f t="shared" si="1"/>
        <v>20</v>
      </c>
      <c r="E22" t="str">
        <f t="shared" si="0"/>
        <v>frontend/app/(admin)/admin/settings/affiliate/page.tsx</v>
      </c>
    </row>
    <row r="23" spans="2:5" x14ac:dyDescent="0.55000000000000004">
      <c r="B23" t="s">
        <v>225</v>
      </c>
      <c r="D23">
        <f t="shared" si="1"/>
        <v>21</v>
      </c>
      <c r="E23" t="str">
        <f t="shared" si="0"/>
        <v>frontend/app/(admin)/admin/settings/page.tsx</v>
      </c>
    </row>
    <row r="24" spans="2:5" x14ac:dyDescent="0.55000000000000004">
      <c r="B24" t="s">
        <v>208</v>
      </c>
      <c r="D24">
        <f t="shared" si="1"/>
        <v>22</v>
      </c>
      <c r="E24" t="str">
        <f t="shared" si="0"/>
        <v>frontend/app/(admin)/admin/users/[id]/page.tsx</v>
      </c>
    </row>
    <row r="25" spans="2:5" x14ac:dyDescent="0.55000000000000004">
      <c r="B25" t="s">
        <v>207</v>
      </c>
      <c r="D25">
        <f t="shared" si="1"/>
        <v>23</v>
      </c>
      <c r="E25" t="str">
        <f t="shared" si="0"/>
        <v>frontend/app/(admin)/admin/users/loading.tsx</v>
      </c>
    </row>
    <row r="26" spans="2:5" x14ac:dyDescent="0.55000000000000004">
      <c r="B26" t="s">
        <v>206</v>
      </c>
      <c r="D26">
        <f t="shared" si="1"/>
        <v>24</v>
      </c>
      <c r="E26" t="str">
        <f t="shared" si="0"/>
        <v>frontend/app/(admin)/admin/users/page.tsx</v>
      </c>
    </row>
    <row r="27" spans="2:5" x14ac:dyDescent="0.55000000000000004">
      <c r="B27" t="s">
        <v>233</v>
      </c>
      <c r="D27">
        <f t="shared" si="1"/>
        <v>25</v>
      </c>
      <c r="E27" t="str">
        <f t="shared" si="0"/>
        <v>frontend/app/(affiliate)/affiliate/codes/loading.tsx</v>
      </c>
    </row>
    <row r="28" spans="2:5" x14ac:dyDescent="0.55000000000000004">
      <c r="B28" t="s">
        <v>232</v>
      </c>
      <c r="D28">
        <f t="shared" si="1"/>
        <v>26</v>
      </c>
      <c r="E28" t="str">
        <f t="shared" si="0"/>
        <v>frontend/app/(affiliate)/affiliate/codes/page.tsx</v>
      </c>
    </row>
    <row r="29" spans="2:5" x14ac:dyDescent="0.55000000000000004">
      <c r="B29" t="s">
        <v>231</v>
      </c>
      <c r="D29">
        <f t="shared" si="1"/>
        <v>27</v>
      </c>
      <c r="E29" t="str">
        <f t="shared" si="0"/>
        <v>frontend/app/(affiliate)/affiliate/dashboard/loading.tsx</v>
      </c>
    </row>
    <row r="30" spans="2:5" x14ac:dyDescent="0.55000000000000004">
      <c r="B30" t="s">
        <v>230</v>
      </c>
      <c r="D30">
        <f t="shared" si="1"/>
        <v>28</v>
      </c>
      <c r="E30" t="str">
        <f t="shared" si="0"/>
        <v>frontend/app/(affiliate)/affiliate/dashboard/page.tsx</v>
      </c>
    </row>
    <row r="31" spans="2:5" x14ac:dyDescent="0.55000000000000004">
      <c r="B31" t="s">
        <v>227</v>
      </c>
      <c r="D31">
        <f t="shared" si="1"/>
        <v>29</v>
      </c>
      <c r="E31" t="str">
        <f t="shared" si="0"/>
        <v>frontend/app/(affiliate)/affiliate/login/page.tsx</v>
      </c>
    </row>
    <row r="32" spans="2:5" x14ac:dyDescent="0.55000000000000004">
      <c r="B32" t="s">
        <v>228</v>
      </c>
      <c r="D32">
        <f t="shared" si="1"/>
        <v>30</v>
      </c>
      <c r="E32" t="str">
        <f t="shared" si="0"/>
        <v>frontend/app/(affiliate)/affiliate/register/page.tsx</v>
      </c>
    </row>
    <row r="33" spans="2:5" x14ac:dyDescent="0.55000000000000004">
      <c r="B33" t="s">
        <v>234</v>
      </c>
      <c r="D33">
        <f t="shared" si="1"/>
        <v>31</v>
      </c>
      <c r="E33" t="str">
        <f t="shared" si="0"/>
        <v>frontend/app/(affiliate)/affiliate/reports/code-inventory/page.tsx</v>
      </c>
    </row>
    <row r="34" spans="2:5" x14ac:dyDescent="0.55000000000000004">
      <c r="B34" t="s">
        <v>235</v>
      </c>
      <c r="D34">
        <f t="shared" si="1"/>
        <v>32</v>
      </c>
      <c r="E34" t="str">
        <f t="shared" si="0"/>
        <v>frontend/app/(affiliate)/affiliate/reports/commissions/page.tsx</v>
      </c>
    </row>
    <row r="35" spans="2:5" x14ac:dyDescent="0.55000000000000004">
      <c r="B35" t="s">
        <v>236</v>
      </c>
      <c r="D35">
        <f t="shared" si="1"/>
        <v>33</v>
      </c>
      <c r="E35" t="str">
        <f t="shared" si="0"/>
        <v>frontend/app/(affiliate)/affiliate/reports/loading.tsx</v>
      </c>
    </row>
    <row r="36" spans="2:5" x14ac:dyDescent="0.55000000000000004">
      <c r="B36" t="s">
        <v>240</v>
      </c>
      <c r="D36">
        <f t="shared" si="1"/>
        <v>34</v>
      </c>
      <c r="E36" t="str">
        <f t="shared" si="0"/>
        <v>frontend/app/(affiliate)/affiliate/settings/loading.tsx</v>
      </c>
    </row>
    <row r="37" spans="2:5" x14ac:dyDescent="0.55000000000000004">
      <c r="B37" t="s">
        <v>237</v>
      </c>
      <c r="D37">
        <f t="shared" si="1"/>
        <v>35</v>
      </c>
      <c r="E37" t="str">
        <f t="shared" si="0"/>
        <v>frontend/app/(affiliate)/affiliate/settings/page.tsx</v>
      </c>
    </row>
    <row r="38" spans="2:5" x14ac:dyDescent="0.55000000000000004">
      <c r="B38" t="s">
        <v>239</v>
      </c>
      <c r="D38">
        <f t="shared" si="1"/>
        <v>36</v>
      </c>
      <c r="E38" t="str">
        <f t="shared" si="0"/>
        <v>frontend/app/(affiliate)/affiliate/settings/payment/page.tsx</v>
      </c>
    </row>
    <row r="39" spans="2:5" x14ac:dyDescent="0.55000000000000004">
      <c r="B39" t="s">
        <v>238</v>
      </c>
      <c r="D39">
        <f t="shared" si="1"/>
        <v>37</v>
      </c>
      <c r="E39" t="str">
        <f t="shared" si="0"/>
        <v>frontend/app/(affiliate)/affiliate/settings/profile/page.tsx</v>
      </c>
    </row>
    <row r="40" spans="2:5" x14ac:dyDescent="0.55000000000000004">
      <c r="B40" t="s">
        <v>229</v>
      </c>
      <c r="D40">
        <f t="shared" si="1"/>
        <v>38</v>
      </c>
      <c r="E40" t="str">
        <f t="shared" si="0"/>
        <v>frontend/app/(affiliate)/affiliate/verify-email/page.tsx</v>
      </c>
    </row>
    <row r="41" spans="2:5" x14ac:dyDescent="0.55000000000000004">
      <c r="B41" t="s">
        <v>241</v>
      </c>
      <c r="D41">
        <f t="shared" si="1"/>
        <v>39</v>
      </c>
      <c r="E41" t="str">
        <f t="shared" si="0"/>
        <v>frontend/app/(affiliate)/layout.tsx</v>
      </c>
    </row>
    <row r="42" spans="2:5" x14ac:dyDescent="0.55000000000000004">
      <c r="B42" t="s">
        <v>242</v>
      </c>
      <c r="D42">
        <f t="shared" si="1"/>
        <v>40</v>
      </c>
      <c r="E42" t="str">
        <f t="shared" si="0"/>
        <v>frontend/app/(affiliate)/loading.tsx</v>
      </c>
    </row>
    <row r="43" spans="2:5" x14ac:dyDescent="0.55000000000000004">
      <c r="B43" t="s">
        <v>8</v>
      </c>
      <c r="D43">
        <f t="shared" si="1"/>
        <v>41</v>
      </c>
      <c r="E43" t="str">
        <f t="shared" si="0"/>
        <v>frontend/app/(auth)/loading.tsx</v>
      </c>
    </row>
    <row r="44" spans="2:5" x14ac:dyDescent="0.55000000000000004">
      <c r="B44" t="s">
        <v>6</v>
      </c>
      <c r="D44">
        <f t="shared" si="1"/>
        <v>42</v>
      </c>
      <c r="E44" t="str">
        <f t="shared" si="0"/>
        <v>frontend/app/(auth)/verify-2fa/page.tsx</v>
      </c>
    </row>
    <row r="45" spans="2:5" x14ac:dyDescent="0.55000000000000004">
      <c r="B45" t="s">
        <v>184</v>
      </c>
      <c r="D45">
        <f t="shared" si="1"/>
        <v>43</v>
      </c>
      <c r="E45" t="str">
        <f t="shared" si="0"/>
        <v>frontend/app/(dashboard)/dashboard/alerts/[id]/edit/page.tsx</v>
      </c>
    </row>
    <row r="46" spans="2:5" x14ac:dyDescent="0.55000000000000004">
      <c r="B46" t="s">
        <v>186</v>
      </c>
      <c r="D46">
        <f t="shared" si="1"/>
        <v>44</v>
      </c>
      <c r="E46" t="str">
        <f t="shared" si="0"/>
        <v>frontend/app/(dashboard)/dashboard/alerts/[id]/error.tsx</v>
      </c>
    </row>
    <row r="47" spans="2:5" x14ac:dyDescent="0.55000000000000004">
      <c r="B47" t="s">
        <v>185</v>
      </c>
      <c r="D47">
        <f t="shared" si="1"/>
        <v>45</v>
      </c>
      <c r="E47" t="str">
        <f t="shared" si="0"/>
        <v>frontend/app/(dashboard)/dashboard/alerts/[id]/loading.tsx</v>
      </c>
    </row>
    <row r="48" spans="2:5" x14ac:dyDescent="0.55000000000000004">
      <c r="B48" t="s">
        <v>183</v>
      </c>
      <c r="D48">
        <f t="shared" si="1"/>
        <v>46</v>
      </c>
      <c r="E48" t="str">
        <f t="shared" si="0"/>
        <v>frontend/app/(dashboard)/dashboard/alerts/[id]/page.tsx</v>
      </c>
    </row>
    <row r="49" spans="2:5" x14ac:dyDescent="0.55000000000000004">
      <c r="B49" t="s">
        <v>181</v>
      </c>
      <c r="D49">
        <f t="shared" si="1"/>
        <v>47</v>
      </c>
      <c r="E49" t="str">
        <f t="shared" si="0"/>
        <v>frontend/app/(dashboard)/dashboard/alerts/loading.tsx</v>
      </c>
    </row>
    <row r="50" spans="2:5" x14ac:dyDescent="0.55000000000000004">
      <c r="B50" t="s">
        <v>182</v>
      </c>
      <c r="D50">
        <f t="shared" si="1"/>
        <v>48</v>
      </c>
      <c r="E50" t="str">
        <f t="shared" si="0"/>
        <v>frontend/app/(dashboard)/dashboard/alerts/new/page.tsx</v>
      </c>
    </row>
    <row r="51" spans="2:5" x14ac:dyDescent="0.55000000000000004">
      <c r="B51" t="s">
        <v>180</v>
      </c>
      <c r="D51">
        <f t="shared" si="1"/>
        <v>49</v>
      </c>
      <c r="E51" t="str">
        <f t="shared" si="0"/>
        <v>frontend/app/(dashboard)/dashboard/alerts/page.tsx</v>
      </c>
    </row>
    <row r="52" spans="2:5" x14ac:dyDescent="0.55000000000000004">
      <c r="B52" t="s">
        <v>194</v>
      </c>
      <c r="D52">
        <f t="shared" si="1"/>
        <v>50</v>
      </c>
      <c r="E52" t="str">
        <f t="shared" si="0"/>
        <v>frontend/app/(dashboard)/dashboard/checkout/page.tsx</v>
      </c>
    </row>
    <row r="53" spans="2:5" x14ac:dyDescent="0.55000000000000004">
      <c r="B53" t="s">
        <v>195</v>
      </c>
      <c r="D53">
        <f t="shared" si="1"/>
        <v>51</v>
      </c>
      <c r="E53" t="str">
        <f t="shared" si="0"/>
        <v>frontend/app/(dashboard)/dashboard/checkout/success/page.tsx</v>
      </c>
    </row>
    <row r="54" spans="2:5" x14ac:dyDescent="0.55000000000000004">
      <c r="B54" t="s">
        <v>179</v>
      </c>
      <c r="D54">
        <f t="shared" si="1"/>
        <v>52</v>
      </c>
      <c r="E54" t="str">
        <f t="shared" si="0"/>
        <v>frontend/app/(dashboard)/dashboard/loading.tsx</v>
      </c>
    </row>
    <row r="55" spans="2:5" x14ac:dyDescent="0.55000000000000004">
      <c r="B55" t="s">
        <v>200</v>
      </c>
      <c r="D55">
        <f t="shared" si="1"/>
        <v>53</v>
      </c>
      <c r="E55" t="str">
        <f t="shared" si="0"/>
        <v>frontend/app/(dashboard)/dashboard/settings/account/page.tsx</v>
      </c>
    </row>
    <row r="56" spans="2:5" x14ac:dyDescent="0.55000000000000004">
      <c r="B56" t="s">
        <v>197</v>
      </c>
      <c r="D56">
        <f t="shared" si="1"/>
        <v>54</v>
      </c>
      <c r="E56" t="str">
        <f t="shared" si="0"/>
        <v>frontend/app/(dashboard)/dashboard/settings/loading.tsx</v>
      </c>
    </row>
    <row r="57" spans="2:5" x14ac:dyDescent="0.55000000000000004">
      <c r="B57" t="s">
        <v>196</v>
      </c>
      <c r="D57">
        <f t="shared" si="1"/>
        <v>55</v>
      </c>
      <c r="E57" t="str">
        <f t="shared" si="0"/>
        <v>frontend/app/(dashboard)/dashboard/settings/page.tsx</v>
      </c>
    </row>
    <row r="58" spans="2:5" x14ac:dyDescent="0.55000000000000004">
      <c r="B58" t="s">
        <v>199</v>
      </c>
      <c r="D58">
        <f t="shared" si="1"/>
        <v>56</v>
      </c>
      <c r="E58" t="str">
        <f t="shared" si="0"/>
        <v>frontend/app/(dashboard)/dashboard/settings/preferences/page.tsx</v>
      </c>
    </row>
    <row r="59" spans="2:5" x14ac:dyDescent="0.55000000000000004">
      <c r="B59" t="s">
        <v>198</v>
      </c>
      <c r="D59">
        <f t="shared" si="1"/>
        <v>57</v>
      </c>
      <c r="E59" t="str">
        <f t="shared" si="0"/>
        <v>frontend/app/(dashboard)/dashboard/settings/security/page.tsx</v>
      </c>
    </row>
    <row r="60" spans="2:5" x14ac:dyDescent="0.55000000000000004">
      <c r="B60" t="s">
        <v>193</v>
      </c>
      <c r="D60">
        <f t="shared" si="1"/>
        <v>58</v>
      </c>
      <c r="E60" t="str">
        <f t="shared" si="0"/>
        <v>frontend/app/(dashboard)/dashboard/subscription/canceled/page.tsx</v>
      </c>
    </row>
    <row r="61" spans="2:5" x14ac:dyDescent="0.55000000000000004">
      <c r="B61" t="s">
        <v>190</v>
      </c>
      <c r="D61">
        <f t="shared" si="1"/>
        <v>59</v>
      </c>
      <c r="E61" t="str">
        <f t="shared" si="0"/>
        <v>frontend/app/(dashboard)/dashboard/subscription/loading.tsx</v>
      </c>
    </row>
    <row r="62" spans="2:5" x14ac:dyDescent="0.55000000000000004">
      <c r="B62" t="s">
        <v>189</v>
      </c>
      <c r="D62">
        <f t="shared" si="1"/>
        <v>60</v>
      </c>
      <c r="E62" t="str">
        <f t="shared" si="0"/>
        <v>frontend/app/(dashboard)/dashboard/subscription/page.tsx</v>
      </c>
    </row>
    <row r="63" spans="2:5" x14ac:dyDescent="0.55000000000000004">
      <c r="B63" t="s">
        <v>192</v>
      </c>
      <c r="D63">
        <f t="shared" si="1"/>
        <v>61</v>
      </c>
      <c r="E63" t="str">
        <f t="shared" si="0"/>
        <v>frontend/app/(dashboard)/dashboard/subscription/success/page.tsx</v>
      </c>
    </row>
    <row r="64" spans="2:5" x14ac:dyDescent="0.55000000000000004">
      <c r="B64" t="s">
        <v>191</v>
      </c>
      <c r="D64">
        <f t="shared" si="1"/>
        <v>62</v>
      </c>
      <c r="E64" t="str">
        <f t="shared" si="0"/>
        <v>frontend/app/(dashboard)/dashboard/subscription/upgrade/page.tsx</v>
      </c>
    </row>
    <row r="65" spans="2:5" x14ac:dyDescent="0.55000000000000004">
      <c r="B65" t="s">
        <v>188</v>
      </c>
      <c r="D65">
        <f t="shared" si="1"/>
        <v>63</v>
      </c>
      <c r="E65" t="str">
        <f t="shared" si="0"/>
        <v>frontend/app/(dashboard)/dashboard/watchlist/loading.tsx</v>
      </c>
    </row>
    <row r="66" spans="2:5" x14ac:dyDescent="0.55000000000000004">
      <c r="B66" t="s">
        <v>187</v>
      </c>
      <c r="D66">
        <f t="shared" si="1"/>
        <v>64</v>
      </c>
      <c r="E66" t="str">
        <f t="shared" si="0"/>
        <v>frontend/app/(dashboard)/dashboard/watchlist/page.tsx</v>
      </c>
    </row>
    <row r="67" spans="2:5" x14ac:dyDescent="0.55000000000000004">
      <c r="B67" t="s">
        <v>202</v>
      </c>
      <c r="D67">
        <f t="shared" si="1"/>
        <v>65</v>
      </c>
      <c r="E67" t="str">
        <f t="shared" si="0"/>
        <v>frontend/app/(dashboard)/error.tsx</v>
      </c>
    </row>
    <row r="68" spans="2:5" x14ac:dyDescent="0.55000000000000004">
      <c r="B68" t="s">
        <v>201</v>
      </c>
      <c r="D68">
        <f t="shared" si="1"/>
        <v>66</v>
      </c>
      <c r="E68" t="str">
        <f t="shared" ref="E68:E131" si="2">"frontend/" &amp; B68</f>
        <v>frontend/app/(dashboard)/loading.tsx</v>
      </c>
    </row>
    <row r="69" spans="2:5" x14ac:dyDescent="0.55000000000000004">
      <c r="B69" t="s">
        <v>251</v>
      </c>
      <c r="D69">
        <f t="shared" ref="D69:D132" si="3">D68+1</f>
        <v>67</v>
      </c>
      <c r="E69" t="str">
        <f t="shared" si="2"/>
        <v>frontend/app/(disbursement)/disbursement/affiliates/[id]/page.tsx</v>
      </c>
    </row>
    <row r="70" spans="2:5" x14ac:dyDescent="0.55000000000000004">
      <c r="B70" t="s">
        <v>250</v>
      </c>
      <c r="D70">
        <f t="shared" si="3"/>
        <v>68</v>
      </c>
      <c r="E70" t="str">
        <f t="shared" si="2"/>
        <v>frontend/app/(disbursement)/disbursement/affiliates/page.tsx</v>
      </c>
    </row>
    <row r="71" spans="2:5" x14ac:dyDescent="0.55000000000000004">
      <c r="B71" t="s">
        <v>249</v>
      </c>
      <c r="D71">
        <f t="shared" si="3"/>
        <v>69</v>
      </c>
      <c r="E71" t="str">
        <f t="shared" si="2"/>
        <v>frontend/app/(disbursement)/disbursement/audit/page.tsx</v>
      </c>
    </row>
    <row r="72" spans="2:5" x14ac:dyDescent="0.55000000000000004">
      <c r="B72" t="s">
        <v>247</v>
      </c>
      <c r="D72">
        <f t="shared" si="3"/>
        <v>70</v>
      </c>
      <c r="E72" t="str">
        <f t="shared" si="2"/>
        <v>frontend/app/(disbursement)/disbursement/batches/[id]/page.tsx</v>
      </c>
    </row>
    <row r="73" spans="2:5" x14ac:dyDescent="0.55000000000000004">
      <c r="B73" t="s">
        <v>246</v>
      </c>
      <c r="D73">
        <f t="shared" si="3"/>
        <v>71</v>
      </c>
      <c r="E73" t="str">
        <f t="shared" si="2"/>
        <v>frontend/app/(disbursement)/disbursement/batches/page.tsx</v>
      </c>
    </row>
    <row r="74" spans="2:5" x14ac:dyDescent="0.55000000000000004">
      <c r="B74" t="s">
        <v>245</v>
      </c>
      <c r="D74">
        <f t="shared" si="3"/>
        <v>72</v>
      </c>
      <c r="E74" t="str">
        <f t="shared" si="2"/>
        <v>frontend/app/(disbursement)/disbursement/config/page.tsx</v>
      </c>
    </row>
    <row r="75" spans="2:5" x14ac:dyDescent="0.55000000000000004">
      <c r="B75" t="s">
        <v>253</v>
      </c>
      <c r="D75">
        <f t="shared" si="3"/>
        <v>73</v>
      </c>
      <c r="E75" t="str">
        <f t="shared" si="2"/>
        <v>frontend/app/(disbursement)/disbursement/error.tsx</v>
      </c>
    </row>
    <row r="76" spans="2:5" x14ac:dyDescent="0.55000000000000004">
      <c r="B76" t="s">
        <v>252</v>
      </c>
      <c r="D76">
        <f t="shared" si="3"/>
        <v>74</v>
      </c>
      <c r="E76" t="str">
        <f t="shared" si="2"/>
        <v>frontend/app/(disbursement)/disbursement/layout.tsx</v>
      </c>
    </row>
    <row r="77" spans="2:5" x14ac:dyDescent="0.55000000000000004">
      <c r="B77" t="s">
        <v>244</v>
      </c>
      <c r="D77">
        <f t="shared" si="3"/>
        <v>75</v>
      </c>
      <c r="E77" t="str">
        <f t="shared" si="2"/>
        <v>frontend/app/(disbursement)/disbursement/loading.tsx</v>
      </c>
    </row>
    <row r="78" spans="2:5" x14ac:dyDescent="0.55000000000000004">
      <c r="B78" t="s">
        <v>243</v>
      </c>
      <c r="D78">
        <f t="shared" si="3"/>
        <v>76</v>
      </c>
      <c r="E78" t="str">
        <f t="shared" si="2"/>
        <v>frontend/app/(disbursement)/disbursement/page.tsx</v>
      </c>
    </row>
    <row r="79" spans="2:5" x14ac:dyDescent="0.55000000000000004">
      <c r="B79" t="s">
        <v>248</v>
      </c>
      <c r="D79">
        <f t="shared" si="3"/>
        <v>77</v>
      </c>
      <c r="E79" t="str">
        <f t="shared" si="2"/>
        <v>frontend/app/(disbursement)/disbursement/transactions/page.tsx</v>
      </c>
    </row>
    <row r="80" spans="2:5" x14ac:dyDescent="0.55000000000000004">
      <c r="B80" t="s">
        <v>178</v>
      </c>
      <c r="D80">
        <f t="shared" si="3"/>
        <v>78</v>
      </c>
      <c r="E80" t="str">
        <f t="shared" si="2"/>
        <v>frontend/app/(marketing)/landing-content.tsx</v>
      </c>
    </row>
    <row r="81" spans="2:5" x14ac:dyDescent="0.55000000000000004">
      <c r="B81" t="s">
        <v>321</v>
      </c>
      <c r="D81">
        <f t="shared" si="3"/>
        <v>79</v>
      </c>
      <c r="E81" t="str">
        <f t="shared" si="2"/>
        <v>frontend/app/error.tsx</v>
      </c>
    </row>
    <row r="82" spans="2:5" x14ac:dyDescent="0.55000000000000004">
      <c r="B82" t="s">
        <v>322</v>
      </c>
      <c r="D82">
        <f t="shared" si="3"/>
        <v>80</v>
      </c>
      <c r="E82" t="str">
        <f t="shared" si="2"/>
        <v>frontend/app/not-found.tsx</v>
      </c>
    </row>
    <row r="83" spans="2:5" x14ac:dyDescent="0.55000000000000004">
      <c r="B83" t="s">
        <v>292</v>
      </c>
      <c r="D83">
        <f t="shared" si="3"/>
        <v>81</v>
      </c>
      <c r="E83" t="str">
        <f t="shared" si="2"/>
        <v>frontend/components/admin/analytics-dashboard.tsx</v>
      </c>
    </row>
    <row r="84" spans="2:5" x14ac:dyDescent="0.55000000000000004">
      <c r="B84" t="s">
        <v>293</v>
      </c>
      <c r="D84">
        <f t="shared" si="3"/>
        <v>82</v>
      </c>
      <c r="E84" t="str">
        <f t="shared" si="2"/>
        <v>frontend/components/admin/api-usage-chart.tsx</v>
      </c>
    </row>
    <row r="85" spans="2:5" x14ac:dyDescent="0.55000000000000004">
      <c r="B85" t="s">
        <v>296</v>
      </c>
      <c r="D85">
        <f t="shared" si="3"/>
        <v>83</v>
      </c>
      <c r="E85" t="str">
        <f t="shared" si="2"/>
        <v>frontend/components/admin/commission-table.tsx</v>
      </c>
    </row>
    <row r="86" spans="2:5" x14ac:dyDescent="0.55000000000000004">
      <c r="B86" t="s">
        <v>294</v>
      </c>
      <c r="D86">
        <f t="shared" si="3"/>
        <v>84</v>
      </c>
      <c r="E86" t="str">
        <f t="shared" si="2"/>
        <v>frontend/components/admin/error-log-viewer.tsx</v>
      </c>
    </row>
    <row r="87" spans="2:5" x14ac:dyDescent="0.55000000000000004">
      <c r="B87" t="s">
        <v>295</v>
      </c>
      <c r="D87">
        <f t="shared" si="3"/>
        <v>85</v>
      </c>
      <c r="E87" t="str">
        <f t="shared" si="2"/>
        <v>frontend/components/admin/fraud-alert-card.tsx</v>
      </c>
    </row>
    <row r="88" spans="2:5" x14ac:dyDescent="0.55000000000000004">
      <c r="B88" t="s">
        <v>297</v>
      </c>
      <c r="D88">
        <f t="shared" si="3"/>
        <v>86</v>
      </c>
      <c r="E88" t="str">
        <f t="shared" si="2"/>
        <v>frontend/components/admin/settings-form.tsx</v>
      </c>
    </row>
    <row r="89" spans="2:5" x14ac:dyDescent="0.55000000000000004">
      <c r="B89" t="s">
        <v>291</v>
      </c>
      <c r="D89">
        <f t="shared" si="3"/>
        <v>87</v>
      </c>
      <c r="E89" t="str">
        <f t="shared" si="2"/>
        <v>frontend/components/admin/user-table.tsx</v>
      </c>
    </row>
    <row r="90" spans="2:5" x14ac:dyDescent="0.55000000000000004">
      <c r="B90" t="s">
        <v>299</v>
      </c>
      <c r="D90">
        <f t="shared" si="3"/>
        <v>88</v>
      </c>
      <c r="E90" t="str">
        <f t="shared" si="2"/>
        <v>frontend/components/affiliate/code-list.tsx</v>
      </c>
    </row>
    <row r="91" spans="2:5" x14ac:dyDescent="0.55000000000000004">
      <c r="B91" t="s">
        <v>301</v>
      </c>
      <c r="D91">
        <f t="shared" si="3"/>
        <v>89</v>
      </c>
      <c r="E91" t="str">
        <f t="shared" si="2"/>
        <v>frontend/components/affiliate/payment-form.tsx</v>
      </c>
    </row>
    <row r="92" spans="2:5" x14ac:dyDescent="0.55000000000000004">
      <c r="B92" t="s">
        <v>302</v>
      </c>
      <c r="D92">
        <f t="shared" si="3"/>
        <v>90</v>
      </c>
      <c r="E92" t="str">
        <f t="shared" si="2"/>
        <v>frontend/components/affiliate/referral-link.tsx</v>
      </c>
    </row>
    <row r="93" spans="2:5" x14ac:dyDescent="0.55000000000000004">
      <c r="B93" t="s">
        <v>298</v>
      </c>
      <c r="D93">
        <f t="shared" si="3"/>
        <v>91</v>
      </c>
      <c r="E93" t="str">
        <f t="shared" si="2"/>
        <v>frontend/components/affiliate/stats-overview.tsx</v>
      </c>
    </row>
    <row r="94" spans="2:5" x14ac:dyDescent="0.55000000000000004">
      <c r="B94" t="s">
        <v>257</v>
      </c>
      <c r="D94">
        <f t="shared" si="3"/>
        <v>92</v>
      </c>
      <c r="E94" t="str">
        <f t="shared" si="2"/>
        <v>frontend/components/alerts/alert-filters.tsx</v>
      </c>
    </row>
    <row r="95" spans="2:5" x14ac:dyDescent="0.55000000000000004">
      <c r="B95" t="s">
        <v>258</v>
      </c>
      <c r="D95">
        <f t="shared" si="3"/>
        <v>93</v>
      </c>
      <c r="E95" t="str">
        <f t="shared" si="2"/>
        <v>frontend/components/alerts/alert-history.tsx</v>
      </c>
    </row>
    <row r="96" spans="2:5" x14ac:dyDescent="0.55000000000000004">
      <c r="B96" t="s">
        <v>259</v>
      </c>
      <c r="D96">
        <f t="shared" si="3"/>
        <v>94</v>
      </c>
      <c r="E96" t="str">
        <f t="shared" si="2"/>
        <v>frontend/components/alerts/alert-notification.tsx</v>
      </c>
    </row>
    <row r="97" spans="2:5" x14ac:dyDescent="0.55000000000000004">
      <c r="B97" t="s">
        <v>266</v>
      </c>
      <c r="D97">
        <f t="shared" si="3"/>
        <v>95</v>
      </c>
      <c r="E97" t="str">
        <f t="shared" si="2"/>
        <v>frontend/components/auth/forgot-password-form.tsx</v>
      </c>
    </row>
    <row r="98" spans="2:5" x14ac:dyDescent="0.55000000000000004">
      <c r="B98" t="s">
        <v>267</v>
      </c>
      <c r="D98">
        <f t="shared" si="3"/>
        <v>96</v>
      </c>
      <c r="E98" t="str">
        <f t="shared" si="2"/>
        <v>frontend/components/auth/reset-password-form.tsx</v>
      </c>
    </row>
    <row r="99" spans="2:5" x14ac:dyDescent="0.55000000000000004">
      <c r="B99" t="s">
        <v>263</v>
      </c>
      <c r="D99">
        <f t="shared" si="3"/>
        <v>97</v>
      </c>
      <c r="E99" t="str">
        <f t="shared" si="2"/>
        <v>frontend/components/charts/candlestick-chart.tsx</v>
      </c>
    </row>
    <row r="100" spans="2:5" x14ac:dyDescent="0.55000000000000004">
      <c r="B100" t="s">
        <v>265</v>
      </c>
      <c r="D100">
        <f t="shared" si="3"/>
        <v>98</v>
      </c>
      <c r="E100" t="str">
        <f t="shared" si="2"/>
        <v>frontend/components/charts/indicator-overlay.tsx</v>
      </c>
    </row>
    <row r="101" spans="2:5" x14ac:dyDescent="0.55000000000000004">
      <c r="B101" t="s">
        <v>264</v>
      </c>
      <c r="D101">
        <f t="shared" si="3"/>
        <v>99</v>
      </c>
      <c r="E101" t="str">
        <f t="shared" si="2"/>
        <v>frontend/components/charts/line-chart.tsx</v>
      </c>
    </row>
    <row r="102" spans="2:5" x14ac:dyDescent="0.55000000000000004">
      <c r="B102" t="s">
        <v>273</v>
      </c>
      <c r="D102">
        <f t="shared" si="3"/>
        <v>100</v>
      </c>
      <c r="E102" t="str">
        <f t="shared" si="2"/>
        <v>frontend/components/dashboard/market-overview.tsx</v>
      </c>
    </row>
    <row r="103" spans="2:5" x14ac:dyDescent="0.55000000000000004">
      <c r="B103" t="s">
        <v>276</v>
      </c>
      <c r="D103">
        <f t="shared" si="3"/>
        <v>101</v>
      </c>
      <c r="E103" t="str">
        <f t="shared" si="2"/>
        <v>frontend/components/dashboard/notification-center.tsx</v>
      </c>
    </row>
    <row r="104" spans="2:5" x14ac:dyDescent="0.55000000000000004">
      <c r="B104" t="s">
        <v>274</v>
      </c>
      <c r="D104">
        <f t="shared" si="3"/>
        <v>102</v>
      </c>
      <c r="E104" t="str">
        <f t="shared" si="2"/>
        <v>frontend/components/dashboard/performance-chart.tsx</v>
      </c>
    </row>
    <row r="105" spans="2:5" x14ac:dyDescent="0.55000000000000004">
      <c r="B105" t="s">
        <v>275</v>
      </c>
      <c r="D105">
        <f t="shared" si="3"/>
        <v>103</v>
      </c>
      <c r="E105" t="str">
        <f t="shared" si="2"/>
        <v>frontend/components/dashboard/quick-actions.tsx</v>
      </c>
    </row>
    <row r="106" spans="2:5" x14ac:dyDescent="0.55000000000000004">
      <c r="B106" t="s">
        <v>271</v>
      </c>
      <c r="D106">
        <f t="shared" si="3"/>
        <v>104</v>
      </c>
      <c r="E106" t="str">
        <f t="shared" si="2"/>
        <v>frontend/components/layout/breadcrumb.tsx</v>
      </c>
    </row>
    <row r="107" spans="2:5" x14ac:dyDescent="0.55000000000000004">
      <c r="B107" t="s">
        <v>269</v>
      </c>
      <c r="D107">
        <f t="shared" si="3"/>
        <v>105</v>
      </c>
      <c r="E107" t="str">
        <f t="shared" si="2"/>
        <v>frontend/components/layout/main-nav.tsx</v>
      </c>
    </row>
    <row r="108" spans="2:5" x14ac:dyDescent="0.55000000000000004">
      <c r="B108" t="s">
        <v>272</v>
      </c>
      <c r="D108">
        <f t="shared" si="3"/>
        <v>106</v>
      </c>
      <c r="E108" t="str">
        <f t="shared" si="2"/>
        <v>frontend/components/layout/page-header.tsx</v>
      </c>
    </row>
    <row r="109" spans="2:5" x14ac:dyDescent="0.55000000000000004">
      <c r="B109" t="s">
        <v>270</v>
      </c>
      <c r="D109">
        <f t="shared" si="3"/>
        <v>107</v>
      </c>
      <c r="E109" t="str">
        <f t="shared" si="2"/>
        <v>frontend/components/layout/user-nav.tsx</v>
      </c>
    </row>
    <row r="110" spans="2:5" x14ac:dyDescent="0.55000000000000004">
      <c r="B110" t="s">
        <v>281</v>
      </c>
      <c r="D110">
        <f t="shared" si="3"/>
        <v>108</v>
      </c>
      <c r="E110" t="str">
        <f t="shared" si="2"/>
        <v>frontend/components/payment/checkout-form.tsx</v>
      </c>
    </row>
    <row r="111" spans="2:5" x14ac:dyDescent="0.55000000000000004">
      <c r="B111" t="s">
        <v>284</v>
      </c>
      <c r="D111">
        <f t="shared" si="3"/>
        <v>109</v>
      </c>
      <c r="E111" t="str">
        <f t="shared" si="2"/>
        <v>frontend/components/payment/dlocal-checkout.tsx</v>
      </c>
    </row>
    <row r="112" spans="2:5" x14ac:dyDescent="0.55000000000000004">
      <c r="B112" t="s">
        <v>285</v>
      </c>
      <c r="D112">
        <f t="shared" si="3"/>
        <v>110</v>
      </c>
      <c r="E112" t="str">
        <f t="shared" si="2"/>
        <v>frontend/components/payment/invoice-list.tsx</v>
      </c>
    </row>
    <row r="113" spans="2:5" x14ac:dyDescent="0.55000000000000004">
      <c r="B113" t="s">
        <v>282</v>
      </c>
      <c r="D113">
        <f t="shared" si="3"/>
        <v>111</v>
      </c>
      <c r="E113" t="str">
        <f t="shared" si="2"/>
        <v>frontend/components/payment/payment-method-selector.tsx</v>
      </c>
    </row>
    <row r="114" spans="2:5" x14ac:dyDescent="0.55000000000000004">
      <c r="B114" t="s">
        <v>283</v>
      </c>
      <c r="D114">
        <f t="shared" si="3"/>
        <v>112</v>
      </c>
      <c r="E114" t="str">
        <f t="shared" si="2"/>
        <v>frontend/components/payment/stripe-checkout.tsx</v>
      </c>
    </row>
    <row r="115" spans="2:5" x14ac:dyDescent="0.55000000000000004">
      <c r="B115" t="s">
        <v>290</v>
      </c>
      <c r="D115">
        <f t="shared" si="3"/>
        <v>113</v>
      </c>
      <c r="E115" t="str">
        <f t="shared" si="2"/>
        <v>frontend/components/settings/account-deletion.tsx</v>
      </c>
    </row>
    <row r="116" spans="2:5" x14ac:dyDescent="0.55000000000000004">
      <c r="B116" t="s">
        <v>287</v>
      </c>
      <c r="D116">
        <f t="shared" si="3"/>
        <v>114</v>
      </c>
      <c r="E116" t="str">
        <f t="shared" si="2"/>
        <v>frontend/components/settings/password-form.tsx</v>
      </c>
    </row>
    <row r="117" spans="2:5" x14ac:dyDescent="0.55000000000000004">
      <c r="B117" t="s">
        <v>288</v>
      </c>
      <c r="D117">
        <f t="shared" si="3"/>
        <v>115</v>
      </c>
      <c r="E117" t="str">
        <f t="shared" si="2"/>
        <v>frontend/components/settings/preferences-form.tsx</v>
      </c>
    </row>
    <row r="118" spans="2:5" x14ac:dyDescent="0.55000000000000004">
      <c r="B118" t="s">
        <v>286</v>
      </c>
      <c r="D118">
        <f t="shared" si="3"/>
        <v>116</v>
      </c>
      <c r="E118" t="str">
        <f t="shared" si="2"/>
        <v>frontend/components/settings/profile-form.tsx</v>
      </c>
    </row>
    <row r="119" spans="2:5" x14ac:dyDescent="0.55000000000000004">
      <c r="B119" t="s">
        <v>289</v>
      </c>
      <c r="D119">
        <f t="shared" si="3"/>
        <v>117</v>
      </c>
      <c r="E119" t="str">
        <f t="shared" si="2"/>
        <v>frontend/components/settings/session-manager.tsx</v>
      </c>
    </row>
    <row r="120" spans="2:5" x14ac:dyDescent="0.55000000000000004">
      <c r="B120" t="s">
        <v>280</v>
      </c>
      <c r="D120">
        <f t="shared" si="3"/>
        <v>118</v>
      </c>
      <c r="E120" t="str">
        <f t="shared" si="2"/>
        <v>frontend/components/subscription/billing-history.tsx</v>
      </c>
    </row>
    <row r="121" spans="2:5" x14ac:dyDescent="0.55000000000000004">
      <c r="B121" t="s">
        <v>278</v>
      </c>
      <c r="D121">
        <f t="shared" si="3"/>
        <v>119</v>
      </c>
      <c r="E121" t="str">
        <f t="shared" si="2"/>
        <v>frontend/components/subscription/plan-comparison.tsx</v>
      </c>
    </row>
    <row r="122" spans="2:5" x14ac:dyDescent="0.55000000000000004">
      <c r="B122" t="s">
        <v>277</v>
      </c>
      <c r="D122">
        <f t="shared" si="3"/>
        <v>120</v>
      </c>
      <c r="E122" t="str">
        <f t="shared" si="2"/>
        <v>frontend/components/subscription/pricing-card.tsx</v>
      </c>
    </row>
    <row r="123" spans="2:5" x14ac:dyDescent="0.55000000000000004">
      <c r="B123" t="s">
        <v>279</v>
      </c>
      <c r="D123">
        <f t="shared" si="3"/>
        <v>121</v>
      </c>
      <c r="E123" t="str">
        <f t="shared" si="2"/>
        <v>frontend/components/subscription/upgrade-modal.tsx</v>
      </c>
    </row>
    <row r="124" spans="2:5" x14ac:dyDescent="0.55000000000000004">
      <c r="B124" t="s">
        <v>312</v>
      </c>
      <c r="D124">
        <f t="shared" si="3"/>
        <v>122</v>
      </c>
      <c r="E124" t="str">
        <f t="shared" si="2"/>
        <v>frontend/components/ui/alert.tsx</v>
      </c>
    </row>
    <row r="125" spans="2:5" x14ac:dyDescent="0.55000000000000004">
      <c r="B125" t="s">
        <v>319</v>
      </c>
      <c r="D125">
        <f t="shared" si="3"/>
        <v>123</v>
      </c>
      <c r="E125" t="str">
        <f t="shared" si="2"/>
        <v>frontend/components/ui/avatar.tsx</v>
      </c>
    </row>
    <row r="126" spans="2:5" x14ac:dyDescent="0.55000000000000004">
      <c r="B126" t="s">
        <v>313</v>
      </c>
      <c r="D126">
        <f t="shared" si="3"/>
        <v>124</v>
      </c>
      <c r="E126" t="str">
        <f t="shared" si="2"/>
        <v>frontend/components/ui/badge.tsx</v>
      </c>
    </row>
    <row r="127" spans="2:5" x14ac:dyDescent="0.55000000000000004">
      <c r="B127" t="s">
        <v>303</v>
      </c>
      <c r="D127">
        <f t="shared" si="3"/>
        <v>125</v>
      </c>
      <c r="E127" t="str">
        <f t="shared" si="2"/>
        <v>frontend/components/ui/button.tsx</v>
      </c>
    </row>
    <row r="128" spans="2:5" x14ac:dyDescent="0.55000000000000004">
      <c r="B128" t="s">
        <v>305</v>
      </c>
      <c r="D128">
        <f t="shared" si="3"/>
        <v>126</v>
      </c>
      <c r="E128" t="str">
        <f t="shared" si="2"/>
        <v>frontend/components/ui/card.tsx</v>
      </c>
    </row>
    <row r="129" spans="2:5" x14ac:dyDescent="0.55000000000000004">
      <c r="B129" t="s">
        <v>314</v>
      </c>
      <c r="D129">
        <f t="shared" si="3"/>
        <v>127</v>
      </c>
      <c r="E129" t="str">
        <f t="shared" si="2"/>
        <v>frontend/components/ui/checkbox.tsx</v>
      </c>
    </row>
    <row r="130" spans="2:5" x14ac:dyDescent="0.55000000000000004">
      <c r="B130" t="s">
        <v>306</v>
      </c>
      <c r="D130">
        <f t="shared" si="3"/>
        <v>128</v>
      </c>
      <c r="E130" t="str">
        <f t="shared" si="2"/>
        <v>frontend/components/ui/dialog.tsx</v>
      </c>
    </row>
    <row r="131" spans="2:5" x14ac:dyDescent="0.55000000000000004">
      <c r="B131" t="s">
        <v>307</v>
      </c>
      <c r="D131">
        <f t="shared" si="3"/>
        <v>129</v>
      </c>
      <c r="E131" t="str">
        <f t="shared" si="2"/>
        <v>frontend/components/ui/dropdown-menu.tsx</v>
      </c>
    </row>
    <row r="132" spans="2:5" x14ac:dyDescent="0.55000000000000004">
      <c r="B132" t="s">
        <v>316</v>
      </c>
      <c r="D132">
        <f t="shared" si="3"/>
        <v>130</v>
      </c>
      <c r="E132" t="str">
        <f t="shared" ref="E132:E144" si="4">"frontend/" &amp; B132</f>
        <v>frontend/components/ui/form.tsx</v>
      </c>
    </row>
    <row r="133" spans="2:5" x14ac:dyDescent="0.55000000000000004">
      <c r="B133" t="s">
        <v>304</v>
      </c>
      <c r="D133">
        <f t="shared" ref="D133:D144" si="5">D132+1</f>
        <v>131</v>
      </c>
      <c r="E133" t="str">
        <f t="shared" si="4"/>
        <v>frontend/components/ui/input.tsx</v>
      </c>
    </row>
    <row r="134" spans="2:5" x14ac:dyDescent="0.55000000000000004">
      <c r="B134" t="s">
        <v>315</v>
      </c>
      <c r="D134">
        <f t="shared" si="5"/>
        <v>132</v>
      </c>
      <c r="E134" t="str">
        <f t="shared" si="4"/>
        <v>frontend/components/ui/label.tsx</v>
      </c>
    </row>
    <row r="135" spans="2:5" x14ac:dyDescent="0.55000000000000004">
      <c r="B135" t="s">
        <v>308</v>
      </c>
      <c r="D135">
        <f t="shared" si="5"/>
        <v>133</v>
      </c>
      <c r="E135" t="str">
        <f t="shared" si="4"/>
        <v>frontend/components/ui/select.tsx</v>
      </c>
    </row>
    <row r="136" spans="2:5" x14ac:dyDescent="0.55000000000000004">
      <c r="B136" t="s">
        <v>320</v>
      </c>
      <c r="D136">
        <f t="shared" si="5"/>
        <v>134</v>
      </c>
      <c r="E136" t="str">
        <f t="shared" si="4"/>
        <v>frontend/components/ui/skeleton.tsx</v>
      </c>
    </row>
    <row r="137" spans="2:5" x14ac:dyDescent="0.55000000000000004">
      <c r="B137" t="s">
        <v>317</v>
      </c>
      <c r="D137">
        <f t="shared" si="5"/>
        <v>135</v>
      </c>
      <c r="E137" t="str">
        <f t="shared" si="4"/>
        <v>frontend/components/ui/switch.tsx</v>
      </c>
    </row>
    <row r="138" spans="2:5" x14ac:dyDescent="0.55000000000000004">
      <c r="B138" t="s">
        <v>309</v>
      </c>
      <c r="D138">
        <f t="shared" si="5"/>
        <v>136</v>
      </c>
      <c r="E138" t="str">
        <f t="shared" si="4"/>
        <v>frontend/components/ui/table.tsx</v>
      </c>
    </row>
    <row r="139" spans="2:5" x14ac:dyDescent="0.55000000000000004">
      <c r="B139" t="s">
        <v>310</v>
      </c>
      <c r="D139">
        <f t="shared" si="5"/>
        <v>137</v>
      </c>
      <c r="E139" t="str">
        <f t="shared" si="4"/>
        <v>frontend/components/ui/tabs.tsx</v>
      </c>
    </row>
    <row r="140" spans="2:5" x14ac:dyDescent="0.55000000000000004">
      <c r="B140" t="s">
        <v>311</v>
      </c>
      <c r="D140">
        <f t="shared" si="5"/>
        <v>138</v>
      </c>
      <c r="E140" t="str">
        <f t="shared" si="4"/>
        <v>frontend/components/ui/toast.tsx</v>
      </c>
    </row>
    <row r="141" spans="2:5" x14ac:dyDescent="0.55000000000000004">
      <c r="B141" t="s">
        <v>318</v>
      </c>
      <c r="D141">
        <f t="shared" si="5"/>
        <v>139</v>
      </c>
      <c r="E141" t="str">
        <f t="shared" si="4"/>
        <v>frontend/components/ui/tooltip.tsx</v>
      </c>
    </row>
    <row r="142" spans="2:5" x14ac:dyDescent="0.55000000000000004">
      <c r="B142" t="s">
        <v>261</v>
      </c>
      <c r="D142">
        <f t="shared" si="5"/>
        <v>140</v>
      </c>
      <c r="E142" t="str">
        <f t="shared" si="4"/>
        <v>frontend/components/watchlist/add-to-watchlist.tsx</v>
      </c>
    </row>
    <row r="143" spans="2:5" x14ac:dyDescent="0.55000000000000004">
      <c r="B143" t="s">
        <v>262</v>
      </c>
      <c r="D143">
        <f t="shared" si="5"/>
        <v>141</v>
      </c>
      <c r="E143" t="str">
        <f t="shared" si="4"/>
        <v>frontend/components/watchlist/price-display.tsx</v>
      </c>
    </row>
    <row r="144" spans="2:5" x14ac:dyDescent="0.55000000000000004">
      <c r="B144" t="s">
        <v>260</v>
      </c>
      <c r="D144">
        <f t="shared" si="5"/>
        <v>142</v>
      </c>
      <c r="E144" t="str">
        <f t="shared" si="4"/>
        <v>frontend/components/watchlist/watchlist-panel.tsx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91D0A-2153-4FFA-BD07-33E5CD689FFC}">
  <dimension ref="A1:B99"/>
  <sheetViews>
    <sheetView workbookViewId="0">
      <selection activeCell="C3" sqref="C3"/>
    </sheetView>
  </sheetViews>
  <sheetFormatPr defaultRowHeight="14.4" x14ac:dyDescent="0.55000000000000004"/>
  <cols>
    <col min="2" max="2" width="56.3671875" bestFit="1" customWidth="1"/>
  </cols>
  <sheetData>
    <row r="1" spans="1:2" ht="18.3" x14ac:dyDescent="0.7">
      <c r="A1" s="2" t="s">
        <v>326</v>
      </c>
    </row>
    <row r="2" spans="1:2" ht="18.3" x14ac:dyDescent="0.7">
      <c r="A2" s="2"/>
    </row>
    <row r="3" spans="1:2" x14ac:dyDescent="0.55000000000000004">
      <c r="A3">
        <v>1</v>
      </c>
      <c r="B3" t="s">
        <v>88</v>
      </c>
    </row>
    <row r="4" spans="1:2" x14ac:dyDescent="0.55000000000000004">
      <c r="A4">
        <f>A3+1</f>
        <v>2</v>
      </c>
      <c r="B4" t="s">
        <v>177</v>
      </c>
    </row>
    <row r="5" spans="1:2" x14ac:dyDescent="0.55000000000000004">
      <c r="A5">
        <f t="shared" ref="A5:A68" si="0">A4+1</f>
        <v>3</v>
      </c>
      <c r="B5" t="s">
        <v>171</v>
      </c>
    </row>
    <row r="6" spans="1:2" x14ac:dyDescent="0.55000000000000004">
      <c r="A6">
        <f t="shared" si="0"/>
        <v>4</v>
      </c>
      <c r="B6" t="s">
        <v>175</v>
      </c>
    </row>
    <row r="7" spans="1:2" x14ac:dyDescent="0.55000000000000004">
      <c r="A7">
        <f t="shared" si="0"/>
        <v>5</v>
      </c>
      <c r="B7" t="s">
        <v>173</v>
      </c>
    </row>
    <row r="8" spans="1:2" x14ac:dyDescent="0.55000000000000004">
      <c r="A8">
        <f t="shared" si="0"/>
        <v>6</v>
      </c>
      <c r="B8" t="s">
        <v>172</v>
      </c>
    </row>
    <row r="9" spans="1:2" x14ac:dyDescent="0.55000000000000004">
      <c r="A9">
        <f t="shared" si="0"/>
        <v>7</v>
      </c>
      <c r="B9" t="s">
        <v>176</v>
      </c>
    </row>
    <row r="10" spans="1:2" x14ac:dyDescent="0.55000000000000004">
      <c r="A10">
        <f t="shared" si="0"/>
        <v>8</v>
      </c>
      <c r="B10" t="s">
        <v>169</v>
      </c>
    </row>
    <row r="11" spans="1:2" x14ac:dyDescent="0.55000000000000004">
      <c r="A11">
        <f t="shared" si="0"/>
        <v>9</v>
      </c>
      <c r="B11" t="s">
        <v>170</v>
      </c>
    </row>
    <row r="12" spans="1:2" x14ac:dyDescent="0.55000000000000004">
      <c r="A12">
        <f t="shared" si="0"/>
        <v>10</v>
      </c>
      <c r="B12" t="s">
        <v>174</v>
      </c>
    </row>
    <row r="13" spans="1:2" x14ac:dyDescent="0.55000000000000004">
      <c r="A13">
        <f t="shared" si="0"/>
        <v>11</v>
      </c>
      <c r="B13" t="s">
        <v>97</v>
      </c>
    </row>
    <row r="14" spans="1:2" x14ac:dyDescent="0.55000000000000004">
      <c r="A14">
        <f t="shared" si="0"/>
        <v>12</v>
      </c>
      <c r="B14" t="s">
        <v>91</v>
      </c>
    </row>
    <row r="15" spans="1:2" x14ac:dyDescent="0.55000000000000004">
      <c r="A15">
        <f t="shared" si="0"/>
        <v>13</v>
      </c>
      <c r="B15" t="s">
        <v>92</v>
      </c>
    </row>
    <row r="16" spans="1:2" x14ac:dyDescent="0.55000000000000004">
      <c r="A16">
        <f t="shared" si="0"/>
        <v>14</v>
      </c>
      <c r="B16" t="s">
        <v>95</v>
      </c>
    </row>
    <row r="17" spans="1:2" x14ac:dyDescent="0.55000000000000004">
      <c r="A17">
        <f t="shared" si="0"/>
        <v>15</v>
      </c>
      <c r="B17" t="s">
        <v>93</v>
      </c>
    </row>
    <row r="18" spans="1:2" x14ac:dyDescent="0.55000000000000004">
      <c r="A18">
        <f t="shared" si="0"/>
        <v>16</v>
      </c>
      <c r="B18" t="s">
        <v>96</v>
      </c>
    </row>
    <row r="19" spans="1:2" x14ac:dyDescent="0.55000000000000004">
      <c r="A19">
        <f t="shared" si="0"/>
        <v>17</v>
      </c>
      <c r="B19" t="s">
        <v>98</v>
      </c>
    </row>
    <row r="20" spans="1:2" x14ac:dyDescent="0.55000000000000004">
      <c r="A20">
        <f t="shared" si="0"/>
        <v>18</v>
      </c>
      <c r="B20" t="s">
        <v>99</v>
      </c>
    </row>
    <row r="21" spans="1:2" x14ac:dyDescent="0.55000000000000004">
      <c r="A21">
        <f t="shared" si="0"/>
        <v>19</v>
      </c>
      <c r="B21" t="s">
        <v>90</v>
      </c>
    </row>
    <row r="22" spans="1:2" x14ac:dyDescent="0.55000000000000004">
      <c r="A22">
        <f t="shared" si="0"/>
        <v>20</v>
      </c>
      <c r="B22" t="s">
        <v>100</v>
      </c>
    </row>
    <row r="23" spans="1:2" x14ac:dyDescent="0.55000000000000004">
      <c r="A23">
        <f t="shared" si="0"/>
        <v>21</v>
      </c>
      <c r="B23" t="s">
        <v>94</v>
      </c>
    </row>
    <row r="24" spans="1:2" x14ac:dyDescent="0.55000000000000004">
      <c r="A24">
        <f t="shared" si="0"/>
        <v>22</v>
      </c>
      <c r="B24" t="s">
        <v>89</v>
      </c>
    </row>
    <row r="25" spans="1:2" x14ac:dyDescent="0.55000000000000004">
      <c r="A25">
        <f t="shared" si="0"/>
        <v>23</v>
      </c>
      <c r="B25" t="s">
        <v>87</v>
      </c>
    </row>
    <row r="26" spans="1:2" x14ac:dyDescent="0.55000000000000004">
      <c r="A26">
        <f t="shared" si="0"/>
        <v>24</v>
      </c>
      <c r="B26" t="s">
        <v>85</v>
      </c>
    </row>
    <row r="27" spans="1:2" x14ac:dyDescent="0.55000000000000004">
      <c r="A27">
        <f t="shared" si="0"/>
        <v>25</v>
      </c>
      <c r="B27" t="s">
        <v>86</v>
      </c>
    </row>
    <row r="28" spans="1:2" x14ac:dyDescent="0.55000000000000004">
      <c r="A28">
        <f t="shared" si="0"/>
        <v>26</v>
      </c>
      <c r="B28" t="s">
        <v>72</v>
      </c>
    </row>
    <row r="29" spans="1:2" x14ac:dyDescent="0.55000000000000004">
      <c r="A29">
        <f t="shared" si="0"/>
        <v>27</v>
      </c>
      <c r="B29" t="s">
        <v>121</v>
      </c>
    </row>
    <row r="30" spans="1:2" x14ac:dyDescent="0.55000000000000004">
      <c r="A30">
        <f t="shared" si="0"/>
        <v>28</v>
      </c>
      <c r="B30" t="s">
        <v>71</v>
      </c>
    </row>
    <row r="31" spans="1:2" x14ac:dyDescent="0.55000000000000004">
      <c r="A31">
        <f t="shared" si="0"/>
        <v>29</v>
      </c>
      <c r="B31" t="s">
        <v>70</v>
      </c>
    </row>
    <row r="32" spans="1:2" x14ac:dyDescent="0.55000000000000004">
      <c r="A32">
        <f t="shared" si="0"/>
        <v>30</v>
      </c>
      <c r="B32" t="s">
        <v>76</v>
      </c>
    </row>
    <row r="33" spans="1:2" x14ac:dyDescent="0.55000000000000004">
      <c r="A33">
        <f t="shared" si="0"/>
        <v>31</v>
      </c>
      <c r="B33" t="s">
        <v>109</v>
      </c>
    </row>
    <row r="34" spans="1:2" x14ac:dyDescent="0.55000000000000004">
      <c r="A34">
        <f t="shared" si="0"/>
        <v>32</v>
      </c>
      <c r="B34" t="s">
        <v>75</v>
      </c>
    </row>
    <row r="35" spans="1:2" x14ac:dyDescent="0.55000000000000004">
      <c r="A35">
        <f t="shared" si="0"/>
        <v>33</v>
      </c>
      <c r="B35" t="s">
        <v>79</v>
      </c>
    </row>
    <row r="36" spans="1:2" x14ac:dyDescent="0.55000000000000004">
      <c r="A36">
        <f t="shared" si="0"/>
        <v>34</v>
      </c>
      <c r="B36" t="s">
        <v>80</v>
      </c>
    </row>
    <row r="37" spans="1:2" x14ac:dyDescent="0.55000000000000004">
      <c r="A37">
        <f t="shared" si="0"/>
        <v>35</v>
      </c>
      <c r="B37" t="s">
        <v>81</v>
      </c>
    </row>
    <row r="38" spans="1:2" x14ac:dyDescent="0.55000000000000004">
      <c r="A38">
        <f t="shared" si="0"/>
        <v>36</v>
      </c>
      <c r="B38" t="s">
        <v>62</v>
      </c>
    </row>
    <row r="39" spans="1:2" x14ac:dyDescent="0.55000000000000004">
      <c r="A39">
        <f t="shared" si="0"/>
        <v>37</v>
      </c>
      <c r="B39" t="s">
        <v>61</v>
      </c>
    </row>
    <row r="40" spans="1:2" x14ac:dyDescent="0.55000000000000004">
      <c r="A40">
        <f t="shared" si="0"/>
        <v>38</v>
      </c>
      <c r="B40" t="s">
        <v>77</v>
      </c>
    </row>
    <row r="41" spans="1:2" x14ac:dyDescent="0.55000000000000004">
      <c r="A41">
        <f t="shared" si="0"/>
        <v>39</v>
      </c>
      <c r="B41" t="s">
        <v>78</v>
      </c>
    </row>
    <row r="42" spans="1:2" x14ac:dyDescent="0.55000000000000004">
      <c r="A42">
        <f t="shared" si="0"/>
        <v>40</v>
      </c>
      <c r="B42" t="s">
        <v>63</v>
      </c>
    </row>
    <row r="43" spans="1:2" x14ac:dyDescent="0.55000000000000004">
      <c r="A43">
        <f t="shared" si="0"/>
        <v>41</v>
      </c>
      <c r="B43" t="s">
        <v>82</v>
      </c>
    </row>
    <row r="44" spans="1:2" x14ac:dyDescent="0.55000000000000004">
      <c r="A44">
        <f t="shared" si="0"/>
        <v>42</v>
      </c>
      <c r="B44" t="s">
        <v>83</v>
      </c>
    </row>
    <row r="45" spans="1:2" x14ac:dyDescent="0.55000000000000004">
      <c r="A45">
        <f t="shared" si="0"/>
        <v>43</v>
      </c>
      <c r="B45" t="s">
        <v>84</v>
      </c>
    </row>
    <row r="46" spans="1:2" x14ac:dyDescent="0.55000000000000004">
      <c r="A46">
        <f t="shared" si="0"/>
        <v>44</v>
      </c>
      <c r="B46" t="s">
        <v>73</v>
      </c>
    </row>
    <row r="47" spans="1:2" x14ac:dyDescent="0.55000000000000004">
      <c r="A47">
        <f t="shared" si="0"/>
        <v>45</v>
      </c>
      <c r="B47" t="s">
        <v>74</v>
      </c>
    </row>
    <row r="48" spans="1:2" x14ac:dyDescent="0.55000000000000004">
      <c r="A48">
        <f t="shared" si="0"/>
        <v>46</v>
      </c>
      <c r="B48" t="s">
        <v>156</v>
      </c>
    </row>
    <row r="49" spans="1:2" x14ac:dyDescent="0.55000000000000004">
      <c r="A49">
        <f t="shared" si="0"/>
        <v>47</v>
      </c>
      <c r="B49" t="s">
        <v>155</v>
      </c>
    </row>
    <row r="50" spans="1:2" x14ac:dyDescent="0.55000000000000004">
      <c r="A50">
        <f t="shared" si="0"/>
        <v>48</v>
      </c>
      <c r="B50" t="s">
        <v>160</v>
      </c>
    </row>
    <row r="51" spans="1:2" x14ac:dyDescent="0.55000000000000004">
      <c r="A51">
        <f t="shared" si="0"/>
        <v>49</v>
      </c>
      <c r="B51" t="s">
        <v>159</v>
      </c>
    </row>
    <row r="52" spans="1:2" x14ac:dyDescent="0.55000000000000004">
      <c r="A52">
        <f t="shared" si="0"/>
        <v>50</v>
      </c>
      <c r="B52" t="s">
        <v>157</v>
      </c>
    </row>
    <row r="53" spans="1:2" x14ac:dyDescent="0.55000000000000004">
      <c r="A53">
        <f t="shared" si="0"/>
        <v>51</v>
      </c>
      <c r="B53" t="s">
        <v>158</v>
      </c>
    </row>
    <row r="54" spans="1:2" x14ac:dyDescent="0.55000000000000004">
      <c r="A54">
        <f t="shared" si="0"/>
        <v>52</v>
      </c>
      <c r="B54" t="s">
        <v>64</v>
      </c>
    </row>
    <row r="55" spans="1:2" x14ac:dyDescent="0.55000000000000004">
      <c r="A55">
        <f t="shared" si="0"/>
        <v>53</v>
      </c>
      <c r="B55" t="s">
        <v>161</v>
      </c>
    </row>
    <row r="56" spans="1:2" x14ac:dyDescent="0.55000000000000004">
      <c r="A56">
        <f t="shared" si="0"/>
        <v>54</v>
      </c>
      <c r="B56" t="s">
        <v>151</v>
      </c>
    </row>
    <row r="57" spans="1:2" x14ac:dyDescent="0.55000000000000004">
      <c r="A57">
        <f t="shared" si="0"/>
        <v>55</v>
      </c>
      <c r="B57" t="s">
        <v>152</v>
      </c>
    </row>
    <row r="58" spans="1:2" x14ac:dyDescent="0.55000000000000004">
      <c r="A58">
        <f t="shared" si="0"/>
        <v>56</v>
      </c>
      <c r="B58" t="s">
        <v>150</v>
      </c>
    </row>
    <row r="59" spans="1:2" x14ac:dyDescent="0.55000000000000004">
      <c r="A59">
        <f t="shared" si="0"/>
        <v>57</v>
      </c>
      <c r="B59" t="s">
        <v>153</v>
      </c>
    </row>
    <row r="60" spans="1:2" x14ac:dyDescent="0.55000000000000004">
      <c r="A60">
        <f t="shared" si="0"/>
        <v>58</v>
      </c>
      <c r="B60" t="s">
        <v>154</v>
      </c>
    </row>
    <row r="61" spans="1:2" x14ac:dyDescent="0.55000000000000004">
      <c r="A61">
        <f t="shared" si="0"/>
        <v>59</v>
      </c>
      <c r="B61" t="s">
        <v>148</v>
      </c>
    </row>
    <row r="62" spans="1:2" x14ac:dyDescent="0.55000000000000004">
      <c r="A62">
        <f t="shared" si="0"/>
        <v>60</v>
      </c>
      <c r="B62" t="s">
        <v>149</v>
      </c>
    </row>
    <row r="63" spans="1:2" x14ac:dyDescent="0.55000000000000004">
      <c r="A63">
        <f t="shared" si="0"/>
        <v>61</v>
      </c>
      <c r="B63" t="s">
        <v>168</v>
      </c>
    </row>
    <row r="64" spans="1:2" x14ac:dyDescent="0.55000000000000004">
      <c r="A64">
        <f t="shared" si="0"/>
        <v>62</v>
      </c>
      <c r="B64" t="s">
        <v>142</v>
      </c>
    </row>
    <row r="65" spans="1:2" x14ac:dyDescent="0.55000000000000004">
      <c r="A65">
        <f t="shared" si="0"/>
        <v>63</v>
      </c>
      <c r="B65" t="s">
        <v>128</v>
      </c>
    </row>
    <row r="66" spans="1:2" x14ac:dyDescent="0.55000000000000004">
      <c r="A66">
        <f t="shared" si="0"/>
        <v>64</v>
      </c>
      <c r="B66" t="s">
        <v>129</v>
      </c>
    </row>
    <row r="67" spans="1:2" x14ac:dyDescent="0.55000000000000004">
      <c r="A67">
        <f t="shared" si="0"/>
        <v>65</v>
      </c>
      <c r="B67" t="s">
        <v>131</v>
      </c>
    </row>
    <row r="68" spans="1:2" x14ac:dyDescent="0.55000000000000004">
      <c r="A68">
        <f t="shared" si="0"/>
        <v>66</v>
      </c>
      <c r="B68" t="s">
        <v>132</v>
      </c>
    </row>
    <row r="69" spans="1:2" x14ac:dyDescent="0.55000000000000004">
      <c r="A69">
        <f t="shared" ref="A69:A99" si="1">A68+1</f>
        <v>67</v>
      </c>
      <c r="B69" t="s">
        <v>133</v>
      </c>
    </row>
    <row r="70" spans="1:2" x14ac:dyDescent="0.55000000000000004">
      <c r="A70">
        <f t="shared" si="1"/>
        <v>68</v>
      </c>
      <c r="B70" t="s">
        <v>126</v>
      </c>
    </row>
    <row r="71" spans="1:2" x14ac:dyDescent="0.55000000000000004">
      <c r="A71">
        <f t="shared" si="1"/>
        <v>69</v>
      </c>
      <c r="B71" t="s">
        <v>127</v>
      </c>
    </row>
    <row r="72" spans="1:2" x14ac:dyDescent="0.55000000000000004">
      <c r="A72">
        <f t="shared" si="1"/>
        <v>70</v>
      </c>
      <c r="B72" t="s">
        <v>134</v>
      </c>
    </row>
    <row r="73" spans="1:2" x14ac:dyDescent="0.55000000000000004">
      <c r="A73">
        <f t="shared" si="1"/>
        <v>71</v>
      </c>
      <c r="B73" t="s">
        <v>135</v>
      </c>
    </row>
    <row r="74" spans="1:2" x14ac:dyDescent="0.55000000000000004">
      <c r="A74">
        <f t="shared" si="1"/>
        <v>72</v>
      </c>
      <c r="B74" t="s">
        <v>136</v>
      </c>
    </row>
    <row r="75" spans="1:2" x14ac:dyDescent="0.55000000000000004">
      <c r="A75">
        <f t="shared" si="1"/>
        <v>73</v>
      </c>
      <c r="B75" t="s">
        <v>137</v>
      </c>
    </row>
    <row r="76" spans="1:2" x14ac:dyDescent="0.55000000000000004">
      <c r="A76">
        <f t="shared" si="1"/>
        <v>74</v>
      </c>
      <c r="B76" t="s">
        <v>138</v>
      </c>
    </row>
    <row r="77" spans="1:2" x14ac:dyDescent="0.55000000000000004">
      <c r="A77">
        <f t="shared" si="1"/>
        <v>75</v>
      </c>
      <c r="B77" t="s">
        <v>139</v>
      </c>
    </row>
    <row r="78" spans="1:2" x14ac:dyDescent="0.55000000000000004">
      <c r="A78">
        <f t="shared" si="1"/>
        <v>76</v>
      </c>
      <c r="B78" t="s">
        <v>146</v>
      </c>
    </row>
    <row r="79" spans="1:2" x14ac:dyDescent="0.55000000000000004">
      <c r="A79">
        <f t="shared" si="1"/>
        <v>77</v>
      </c>
      <c r="B79" t="s">
        <v>147</v>
      </c>
    </row>
    <row r="80" spans="1:2" x14ac:dyDescent="0.55000000000000004">
      <c r="A80">
        <f t="shared" si="1"/>
        <v>78</v>
      </c>
      <c r="B80" t="s">
        <v>145</v>
      </c>
    </row>
    <row r="81" spans="1:2" x14ac:dyDescent="0.55000000000000004">
      <c r="A81">
        <f t="shared" si="1"/>
        <v>79</v>
      </c>
      <c r="B81" t="s">
        <v>67</v>
      </c>
    </row>
    <row r="82" spans="1:2" x14ac:dyDescent="0.55000000000000004">
      <c r="A82">
        <f t="shared" si="1"/>
        <v>80</v>
      </c>
      <c r="B82" t="s">
        <v>124</v>
      </c>
    </row>
    <row r="83" spans="1:2" x14ac:dyDescent="0.55000000000000004">
      <c r="A83">
        <f t="shared" si="1"/>
        <v>81</v>
      </c>
      <c r="B83" t="s">
        <v>123</v>
      </c>
    </row>
    <row r="84" spans="1:2" x14ac:dyDescent="0.55000000000000004">
      <c r="A84">
        <f t="shared" si="1"/>
        <v>82</v>
      </c>
      <c r="B84" t="s">
        <v>112</v>
      </c>
    </row>
    <row r="85" spans="1:2" x14ac:dyDescent="0.55000000000000004">
      <c r="A85">
        <f t="shared" si="1"/>
        <v>83</v>
      </c>
      <c r="B85" t="s">
        <v>111</v>
      </c>
    </row>
    <row r="86" spans="1:2" x14ac:dyDescent="0.55000000000000004">
      <c r="A86">
        <f t="shared" si="1"/>
        <v>84</v>
      </c>
      <c r="B86" t="s">
        <v>110</v>
      </c>
    </row>
    <row r="87" spans="1:2" x14ac:dyDescent="0.55000000000000004">
      <c r="A87">
        <f t="shared" si="1"/>
        <v>85</v>
      </c>
      <c r="B87" t="s">
        <v>104</v>
      </c>
    </row>
    <row r="88" spans="1:2" x14ac:dyDescent="0.55000000000000004">
      <c r="A88">
        <f t="shared" si="1"/>
        <v>86</v>
      </c>
      <c r="B88" t="s">
        <v>103</v>
      </c>
    </row>
    <row r="89" spans="1:2" x14ac:dyDescent="0.55000000000000004">
      <c r="A89">
        <f t="shared" si="1"/>
        <v>87</v>
      </c>
      <c r="B89" t="s">
        <v>140</v>
      </c>
    </row>
    <row r="90" spans="1:2" x14ac:dyDescent="0.55000000000000004">
      <c r="A90">
        <f t="shared" si="1"/>
        <v>88</v>
      </c>
      <c r="B90" t="s">
        <v>141</v>
      </c>
    </row>
    <row r="91" spans="1:2" x14ac:dyDescent="0.55000000000000004">
      <c r="A91">
        <f t="shared" si="1"/>
        <v>89</v>
      </c>
      <c r="B91" t="s">
        <v>162</v>
      </c>
    </row>
    <row r="92" spans="1:2" x14ac:dyDescent="0.55000000000000004">
      <c r="A92">
        <f t="shared" si="1"/>
        <v>90</v>
      </c>
      <c r="B92" t="s">
        <v>166</v>
      </c>
    </row>
    <row r="93" spans="1:2" x14ac:dyDescent="0.55000000000000004">
      <c r="A93">
        <f t="shared" si="1"/>
        <v>91</v>
      </c>
      <c r="B93" t="s">
        <v>167</v>
      </c>
    </row>
    <row r="94" spans="1:2" x14ac:dyDescent="0.55000000000000004">
      <c r="A94">
        <f t="shared" si="1"/>
        <v>92</v>
      </c>
      <c r="B94" t="s">
        <v>164</v>
      </c>
    </row>
    <row r="95" spans="1:2" x14ac:dyDescent="0.55000000000000004">
      <c r="A95">
        <f t="shared" si="1"/>
        <v>93</v>
      </c>
      <c r="B95" t="s">
        <v>163</v>
      </c>
    </row>
    <row r="96" spans="1:2" x14ac:dyDescent="0.55000000000000004">
      <c r="A96">
        <f t="shared" si="1"/>
        <v>94</v>
      </c>
      <c r="B96" t="s">
        <v>165</v>
      </c>
    </row>
    <row r="97" spans="1:2" x14ac:dyDescent="0.55000000000000004">
      <c r="A97">
        <f t="shared" si="1"/>
        <v>95</v>
      </c>
      <c r="B97" t="s">
        <v>125</v>
      </c>
    </row>
    <row r="98" spans="1:2" x14ac:dyDescent="0.55000000000000004">
      <c r="A98">
        <f t="shared" si="1"/>
        <v>96</v>
      </c>
      <c r="B98" t="s">
        <v>115</v>
      </c>
    </row>
    <row r="99" spans="1:2" x14ac:dyDescent="0.55000000000000004">
      <c r="A99">
        <f t="shared" si="1"/>
        <v>97</v>
      </c>
      <c r="B99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EB410-DC41-4A4F-8E54-604E7DF47231}">
  <dimension ref="F1:I162"/>
  <sheetViews>
    <sheetView workbookViewId="0">
      <selection activeCell="C3" sqref="C3"/>
    </sheetView>
  </sheetViews>
  <sheetFormatPr defaultRowHeight="14.4" x14ac:dyDescent="0.55000000000000004"/>
  <cols>
    <col min="7" max="7" width="64.9453125" bestFit="1" customWidth="1"/>
    <col min="9" max="9" width="59.3125" customWidth="1"/>
  </cols>
  <sheetData>
    <row r="1" spans="6:9" x14ac:dyDescent="0.55000000000000004">
      <c r="F1">
        <v>1</v>
      </c>
      <c r="G1" t="s">
        <v>327</v>
      </c>
      <c r="H1">
        <v>1</v>
      </c>
      <c r="I1" t="str">
        <f>REPLACE(G1, 1, 10, "")</f>
        <v xml:space="preserve">app/(auth)/forgot-password/page.tsx                                  </v>
      </c>
    </row>
    <row r="2" spans="6:9" x14ac:dyDescent="0.55000000000000004">
      <c r="F2">
        <v>2</v>
      </c>
      <c r="G2" t="s">
        <v>328</v>
      </c>
      <c r="H2">
        <f>H1+1</f>
        <v>2</v>
      </c>
      <c r="I2" t="str">
        <f t="shared" ref="I2:I65" si="0">REPLACE(G2, 1, 10, "")</f>
        <v xml:space="preserve">app/(auth)/layout.tsx                                                </v>
      </c>
    </row>
    <row r="3" spans="6:9" x14ac:dyDescent="0.55000000000000004">
      <c r="F3">
        <v>3</v>
      </c>
      <c r="G3" t="s">
        <v>329</v>
      </c>
      <c r="H3">
        <f t="shared" ref="H3:H66" si="1">H2+1</f>
        <v>3</v>
      </c>
      <c r="I3" t="str">
        <f t="shared" si="0"/>
        <v xml:space="preserve">app/(auth)/loading.tsx                                               </v>
      </c>
    </row>
    <row r="4" spans="6:9" x14ac:dyDescent="0.55000000000000004">
      <c r="F4">
        <v>4</v>
      </c>
      <c r="G4" t="s">
        <v>330</v>
      </c>
      <c r="H4">
        <f t="shared" si="1"/>
        <v>4</v>
      </c>
      <c r="I4" t="str">
        <f t="shared" si="0"/>
        <v xml:space="preserve">app/(auth)/login/page.tsx                                            </v>
      </c>
    </row>
    <row r="5" spans="6:9" x14ac:dyDescent="0.55000000000000004">
      <c r="F5">
        <v>5</v>
      </c>
      <c r="G5" t="s">
        <v>331</v>
      </c>
      <c r="H5">
        <f t="shared" si="1"/>
        <v>5</v>
      </c>
      <c r="I5" t="str">
        <f t="shared" si="0"/>
        <v xml:space="preserve">app/(auth)/register/page.tsx                                         </v>
      </c>
    </row>
    <row r="6" spans="6:9" x14ac:dyDescent="0.55000000000000004">
      <c r="F6">
        <v>6</v>
      </c>
      <c r="G6" t="s">
        <v>332</v>
      </c>
      <c r="H6">
        <f t="shared" si="1"/>
        <v>6</v>
      </c>
      <c r="I6" t="str">
        <f t="shared" si="0"/>
        <v xml:space="preserve">app/(auth)/reset-password/page.tsx                                   </v>
      </c>
    </row>
    <row r="7" spans="6:9" x14ac:dyDescent="0.55000000000000004">
      <c r="F7">
        <v>7</v>
      </c>
      <c r="G7" t="s">
        <v>333</v>
      </c>
      <c r="H7">
        <f t="shared" si="1"/>
        <v>7</v>
      </c>
      <c r="I7" t="str">
        <f t="shared" si="0"/>
        <v xml:space="preserve">app/(auth)/verify-2fa/page.tsx                                       </v>
      </c>
    </row>
    <row r="8" spans="6:9" x14ac:dyDescent="0.55000000000000004">
      <c r="F8">
        <v>8</v>
      </c>
      <c r="G8" t="s">
        <v>334</v>
      </c>
      <c r="H8">
        <f t="shared" si="1"/>
        <v>8</v>
      </c>
      <c r="I8" t="str">
        <f t="shared" si="0"/>
        <v xml:space="preserve">app/(auth)/verify-email/page.tsx                                     </v>
      </c>
    </row>
    <row r="9" spans="6:9" x14ac:dyDescent="0.55000000000000004">
      <c r="F9">
        <v>9</v>
      </c>
      <c r="G9" t="s">
        <v>335</v>
      </c>
      <c r="H9">
        <f t="shared" si="1"/>
        <v>9</v>
      </c>
      <c r="I9" t="str">
        <f t="shared" si="0"/>
        <v xml:space="preserve">app/(auth)/verify-email/pending/page.tsx                             </v>
      </c>
    </row>
    <row r="10" spans="6:9" x14ac:dyDescent="0.55000000000000004">
      <c r="F10">
        <v>10</v>
      </c>
      <c r="G10" t="s">
        <v>336</v>
      </c>
      <c r="H10">
        <f t="shared" si="1"/>
        <v>10</v>
      </c>
      <c r="I10" t="str">
        <f t="shared" si="0"/>
        <v xml:space="preserve">app/(dashboard)/admin/api-usage/page.tsx                             </v>
      </c>
    </row>
    <row r="11" spans="6:9" x14ac:dyDescent="0.55000000000000004">
      <c r="F11">
        <v>11</v>
      </c>
      <c r="G11" t="s">
        <v>337</v>
      </c>
      <c r="H11">
        <f t="shared" si="1"/>
        <v>11</v>
      </c>
      <c r="I11" t="str">
        <f t="shared" si="0"/>
        <v xml:space="preserve">app/(dashboard)/admin/disbursement/accounts/page.tsx                 </v>
      </c>
    </row>
    <row r="12" spans="6:9" x14ac:dyDescent="0.55000000000000004">
      <c r="F12">
        <v>12</v>
      </c>
      <c r="G12" t="s">
        <v>338</v>
      </c>
      <c r="H12">
        <f t="shared" si="1"/>
        <v>12</v>
      </c>
      <c r="I12" t="str">
        <f t="shared" si="0"/>
        <v xml:space="preserve">app/(dashboard)/admin/disbursement/affiliates/page.tsx               </v>
      </c>
    </row>
    <row r="13" spans="6:9" x14ac:dyDescent="0.55000000000000004">
      <c r="F13">
        <v>13</v>
      </c>
      <c r="G13" t="s">
        <v>339</v>
      </c>
      <c r="H13">
        <f t="shared" si="1"/>
        <v>13</v>
      </c>
      <c r="I13" t="str">
        <f t="shared" si="0"/>
        <v xml:space="preserve">app/(dashboard)/admin/disbursement/audit/page.tsx                    </v>
      </c>
    </row>
    <row r="14" spans="6:9" x14ac:dyDescent="0.55000000000000004">
      <c r="F14">
        <v>14</v>
      </c>
      <c r="G14" t="s">
        <v>340</v>
      </c>
      <c r="H14">
        <f t="shared" si="1"/>
        <v>14</v>
      </c>
      <c r="I14" t="str">
        <f t="shared" si="0"/>
        <v xml:space="preserve">app/(dashboard)/admin/disbursement/batches/[batchId]/page.tsx        </v>
      </c>
    </row>
    <row r="15" spans="6:9" x14ac:dyDescent="0.55000000000000004">
      <c r="F15">
        <v>15</v>
      </c>
      <c r="G15" t="s">
        <v>341</v>
      </c>
      <c r="H15">
        <f t="shared" si="1"/>
        <v>15</v>
      </c>
      <c r="I15" t="str">
        <f t="shared" si="0"/>
        <v xml:space="preserve">app/(dashboard)/admin/disbursement/batches/page.tsx                  </v>
      </c>
    </row>
    <row r="16" spans="6:9" x14ac:dyDescent="0.55000000000000004">
      <c r="F16">
        <v>16</v>
      </c>
      <c r="G16" t="s">
        <v>342</v>
      </c>
      <c r="H16">
        <f t="shared" si="1"/>
        <v>16</v>
      </c>
      <c r="I16" t="str">
        <f t="shared" si="0"/>
        <v xml:space="preserve">app/(dashboard)/admin/disbursement/config/page.tsx                   </v>
      </c>
    </row>
    <row r="17" spans="6:9" x14ac:dyDescent="0.55000000000000004">
      <c r="F17">
        <v>17</v>
      </c>
      <c r="G17" t="s">
        <v>343</v>
      </c>
      <c r="H17">
        <f t="shared" si="1"/>
        <v>17</v>
      </c>
      <c r="I17" t="str">
        <f t="shared" si="0"/>
        <v xml:space="preserve">app/(dashboard)/admin/disbursement/layout.tsx                        </v>
      </c>
    </row>
    <row r="18" spans="6:9" x14ac:dyDescent="0.55000000000000004">
      <c r="F18">
        <v>18</v>
      </c>
      <c r="G18" t="s">
        <v>344</v>
      </c>
      <c r="H18">
        <f t="shared" si="1"/>
        <v>18</v>
      </c>
      <c r="I18" t="str">
        <f t="shared" si="0"/>
        <v xml:space="preserve">app/(dashboard)/admin/disbursement/page.tsx                          </v>
      </c>
    </row>
    <row r="19" spans="6:9" x14ac:dyDescent="0.55000000000000004">
      <c r="F19">
        <v>19</v>
      </c>
      <c r="G19" t="s">
        <v>345</v>
      </c>
      <c r="H19">
        <f t="shared" si="1"/>
        <v>19</v>
      </c>
      <c r="I19" t="str">
        <f t="shared" si="0"/>
        <v xml:space="preserve">app/(dashboard)/admin/disbursement/transactions/page.tsx             </v>
      </c>
    </row>
    <row r="20" spans="6:9" x14ac:dyDescent="0.55000000000000004">
      <c r="F20">
        <v>20</v>
      </c>
      <c r="G20" t="s">
        <v>346</v>
      </c>
      <c r="H20">
        <f t="shared" si="1"/>
        <v>20</v>
      </c>
      <c r="I20" t="str">
        <f t="shared" si="0"/>
        <v xml:space="preserve">app/(dashboard)/admin/errors/page.tsx                                </v>
      </c>
    </row>
    <row r="21" spans="6:9" x14ac:dyDescent="0.55000000000000004">
      <c r="F21">
        <v>21</v>
      </c>
      <c r="G21" t="s">
        <v>347</v>
      </c>
      <c r="H21">
        <f t="shared" si="1"/>
        <v>21</v>
      </c>
      <c r="I21" t="str">
        <f t="shared" si="0"/>
        <v xml:space="preserve">app/(dashboard)/admin/fraud-alerts/[id]/page.tsx                     </v>
      </c>
    </row>
    <row r="22" spans="6:9" x14ac:dyDescent="0.55000000000000004">
      <c r="F22">
        <v>22</v>
      </c>
      <c r="G22" t="s">
        <v>348</v>
      </c>
      <c r="H22">
        <f t="shared" si="1"/>
        <v>22</v>
      </c>
      <c r="I22" t="str">
        <f t="shared" si="0"/>
        <v xml:space="preserve">app/(dashboard)/admin/fraud-alerts/page.tsx                          </v>
      </c>
    </row>
    <row r="23" spans="6:9" x14ac:dyDescent="0.55000000000000004">
      <c r="F23">
        <v>23</v>
      </c>
      <c r="G23" t="s">
        <v>349</v>
      </c>
      <c r="H23">
        <f t="shared" si="1"/>
        <v>23</v>
      </c>
      <c r="I23" t="str">
        <f t="shared" si="0"/>
        <v xml:space="preserve">app/(dashboard)/admin/layout.tsx                                     </v>
      </c>
    </row>
    <row r="24" spans="6:9" x14ac:dyDescent="0.55000000000000004">
      <c r="F24">
        <v>24</v>
      </c>
      <c r="G24" t="s">
        <v>350</v>
      </c>
      <c r="H24">
        <f t="shared" si="1"/>
        <v>24</v>
      </c>
      <c r="I24" t="str">
        <f t="shared" si="0"/>
        <v xml:space="preserve">app/(dashboard)/admin/loading.tsx                                    </v>
      </c>
    </row>
    <row r="25" spans="6:9" x14ac:dyDescent="0.55000000000000004">
      <c r="F25">
        <v>25</v>
      </c>
      <c r="G25" t="s">
        <v>351</v>
      </c>
      <c r="H25">
        <f t="shared" si="1"/>
        <v>25</v>
      </c>
      <c r="I25" t="str">
        <f t="shared" si="0"/>
        <v xml:space="preserve">app/(dashboard)/admin/page.tsx                                       </v>
      </c>
    </row>
    <row r="26" spans="6:9" x14ac:dyDescent="0.55000000000000004">
      <c r="F26">
        <v>26</v>
      </c>
      <c r="G26" t="s">
        <v>352</v>
      </c>
      <c r="H26">
        <f t="shared" si="1"/>
        <v>26</v>
      </c>
      <c r="I26" t="str">
        <f t="shared" si="0"/>
        <v xml:space="preserve">app/(dashboard)/admin/users/page.tsx                                 </v>
      </c>
    </row>
    <row r="27" spans="6:9" x14ac:dyDescent="0.55000000000000004">
      <c r="F27">
        <v>27</v>
      </c>
      <c r="G27" t="s">
        <v>353</v>
      </c>
      <c r="H27">
        <f t="shared" si="1"/>
        <v>27</v>
      </c>
      <c r="I27" t="str">
        <f t="shared" si="0"/>
        <v xml:space="preserve">app/(dashboard)/alerts/alerts-client.tsx                             </v>
      </c>
    </row>
    <row r="28" spans="6:9" x14ac:dyDescent="0.55000000000000004">
      <c r="F28">
        <v>28</v>
      </c>
      <c r="G28" t="s">
        <v>354</v>
      </c>
      <c r="H28">
        <f t="shared" si="1"/>
        <v>28</v>
      </c>
      <c r="I28" t="str">
        <f t="shared" si="0"/>
        <v xml:space="preserve">app/(dashboard)/alerts/loading.tsx                                   </v>
      </c>
    </row>
    <row r="29" spans="6:9" x14ac:dyDescent="0.55000000000000004">
      <c r="F29">
        <v>29</v>
      </c>
      <c r="G29" t="s">
        <v>355</v>
      </c>
      <c r="H29">
        <f t="shared" si="1"/>
        <v>29</v>
      </c>
      <c r="I29" t="str">
        <f t="shared" si="0"/>
        <v xml:space="preserve">app/(dashboard)/alerts/new/create-alert-client.tsx                   </v>
      </c>
    </row>
    <row r="30" spans="6:9" x14ac:dyDescent="0.55000000000000004">
      <c r="F30">
        <v>30</v>
      </c>
      <c r="G30" t="s">
        <v>356</v>
      </c>
      <c r="H30">
        <f t="shared" si="1"/>
        <v>30</v>
      </c>
      <c r="I30" t="str">
        <f t="shared" si="0"/>
        <v xml:space="preserve">app/(dashboard)/alerts/new/page.tsx                                  </v>
      </c>
    </row>
    <row r="31" spans="6:9" x14ac:dyDescent="0.55000000000000004">
      <c r="F31">
        <v>31</v>
      </c>
      <c r="G31" t="s">
        <v>357</v>
      </c>
      <c r="H31">
        <f t="shared" si="1"/>
        <v>31</v>
      </c>
      <c r="I31" t="str">
        <f t="shared" si="0"/>
        <v xml:space="preserve">app/(dashboard)/alerts/page.tsx                                      </v>
      </c>
    </row>
    <row r="32" spans="6:9" x14ac:dyDescent="0.55000000000000004">
      <c r="F32">
        <v>32</v>
      </c>
      <c r="G32" t="s">
        <v>358</v>
      </c>
      <c r="H32">
        <f t="shared" si="1"/>
        <v>32</v>
      </c>
      <c r="I32" t="str">
        <f t="shared" si="0"/>
        <v xml:space="preserve">app/(dashboard)/charts/[symbol]/[timeframe]/page.tsx                 </v>
      </c>
    </row>
    <row r="33" spans="6:9" x14ac:dyDescent="0.55000000000000004">
      <c r="F33">
        <v>33</v>
      </c>
      <c r="G33" t="s">
        <v>359</v>
      </c>
      <c r="H33">
        <f t="shared" si="1"/>
        <v>33</v>
      </c>
      <c r="I33" t="str">
        <f t="shared" si="0"/>
        <v xml:space="preserve">app/(dashboard)/charts/[symbol]/[timeframe]/trading-chart-client.tsx </v>
      </c>
    </row>
    <row r="34" spans="6:9" x14ac:dyDescent="0.55000000000000004">
      <c r="F34">
        <v>34</v>
      </c>
      <c r="G34" t="s">
        <v>360</v>
      </c>
      <c r="H34">
        <f t="shared" si="1"/>
        <v>34</v>
      </c>
      <c r="I34" t="str">
        <f t="shared" si="0"/>
        <v xml:space="preserve">app/(dashboard)/charts/loading.tsx                                   </v>
      </c>
    </row>
    <row r="35" spans="6:9" x14ac:dyDescent="0.55000000000000004">
      <c r="F35">
        <v>35</v>
      </c>
      <c r="G35" t="s">
        <v>361</v>
      </c>
      <c r="H35">
        <f t="shared" si="1"/>
        <v>35</v>
      </c>
      <c r="I35" t="str">
        <f t="shared" si="0"/>
        <v xml:space="preserve">app/(dashboard)/charts/page.tsx                                      </v>
      </c>
    </row>
    <row r="36" spans="6:9" x14ac:dyDescent="0.55000000000000004">
      <c r="F36">
        <v>36</v>
      </c>
      <c r="G36" t="s">
        <v>362</v>
      </c>
      <c r="H36">
        <f t="shared" si="1"/>
        <v>36</v>
      </c>
      <c r="I36" t="str">
        <f t="shared" si="0"/>
        <v xml:space="preserve">app/(dashboard)/dashboard/loading.tsx                                </v>
      </c>
    </row>
    <row r="37" spans="6:9" x14ac:dyDescent="0.55000000000000004">
      <c r="F37">
        <v>37</v>
      </c>
      <c r="G37" t="s">
        <v>363</v>
      </c>
      <c r="H37">
        <f t="shared" si="1"/>
        <v>37</v>
      </c>
      <c r="I37" t="str">
        <f t="shared" si="0"/>
        <v xml:space="preserve">app/(dashboard)/dashboard/page.tsx                                   </v>
      </c>
    </row>
    <row r="38" spans="6:9" x14ac:dyDescent="0.55000000000000004">
      <c r="F38">
        <v>38</v>
      </c>
      <c r="G38" t="s">
        <v>364</v>
      </c>
      <c r="H38">
        <f t="shared" si="1"/>
        <v>38</v>
      </c>
      <c r="I38" t="str">
        <f t="shared" si="0"/>
        <v xml:space="preserve">app/(dashboard)/layout.tsx                                           </v>
      </c>
    </row>
    <row r="39" spans="6:9" x14ac:dyDescent="0.55000000000000004">
      <c r="F39">
        <v>39</v>
      </c>
      <c r="G39" t="s">
        <v>365</v>
      </c>
      <c r="H39">
        <f t="shared" si="1"/>
        <v>39</v>
      </c>
      <c r="I39" t="str">
        <f t="shared" si="0"/>
        <v xml:space="preserve">app/(dashboard)/settings/account/page.tsx                            </v>
      </c>
    </row>
    <row r="40" spans="6:9" x14ac:dyDescent="0.55000000000000004">
      <c r="F40">
        <v>40</v>
      </c>
      <c r="G40" t="s">
        <v>366</v>
      </c>
      <c r="H40">
        <f t="shared" si="1"/>
        <v>40</v>
      </c>
      <c r="I40" t="str">
        <f t="shared" si="0"/>
        <v xml:space="preserve">app/(dashboard)/settings/appearance/page.tsx                         </v>
      </c>
    </row>
    <row r="41" spans="6:9" x14ac:dyDescent="0.55000000000000004">
      <c r="F41">
        <v>41</v>
      </c>
      <c r="G41" t="s">
        <v>367</v>
      </c>
      <c r="H41">
        <f t="shared" si="1"/>
        <v>41</v>
      </c>
      <c r="I41" t="str">
        <f t="shared" si="0"/>
        <v xml:space="preserve">app/(dashboard)/settings/billing/page.tsx                            </v>
      </c>
    </row>
    <row r="42" spans="6:9" x14ac:dyDescent="0.55000000000000004">
      <c r="F42">
        <v>42</v>
      </c>
      <c r="G42" t="s">
        <v>368</v>
      </c>
      <c r="H42">
        <f t="shared" si="1"/>
        <v>42</v>
      </c>
      <c r="I42" t="str">
        <f t="shared" si="0"/>
        <v xml:space="preserve">app/(dashboard)/settings/help/page.tsx                               </v>
      </c>
    </row>
    <row r="43" spans="6:9" x14ac:dyDescent="0.55000000000000004">
      <c r="F43">
        <v>43</v>
      </c>
      <c r="G43" t="s">
        <v>369</v>
      </c>
      <c r="H43">
        <f t="shared" si="1"/>
        <v>43</v>
      </c>
      <c r="I43" t="str">
        <f t="shared" si="0"/>
        <v xml:space="preserve">app/(dashboard)/settings/language/page.tsx                           </v>
      </c>
    </row>
    <row r="44" spans="6:9" x14ac:dyDescent="0.55000000000000004">
      <c r="F44">
        <v>44</v>
      </c>
      <c r="G44" t="s">
        <v>370</v>
      </c>
      <c r="H44">
        <f t="shared" si="1"/>
        <v>44</v>
      </c>
      <c r="I44" t="str">
        <f t="shared" si="0"/>
        <v xml:space="preserve">app/(dashboard)/settings/layout.tsx                                  </v>
      </c>
    </row>
    <row r="45" spans="6:9" x14ac:dyDescent="0.55000000000000004">
      <c r="F45">
        <v>45</v>
      </c>
      <c r="G45" t="s">
        <v>371</v>
      </c>
      <c r="H45">
        <f t="shared" si="1"/>
        <v>45</v>
      </c>
      <c r="I45" t="str">
        <f t="shared" si="0"/>
        <v xml:space="preserve">app/(dashboard)/settings/loading.tsx                                 </v>
      </c>
    </row>
    <row r="46" spans="6:9" x14ac:dyDescent="0.55000000000000004">
      <c r="F46">
        <v>46</v>
      </c>
      <c r="G46" t="s">
        <v>372</v>
      </c>
      <c r="H46">
        <f t="shared" si="1"/>
        <v>46</v>
      </c>
      <c r="I46" t="str">
        <f t="shared" si="0"/>
        <v xml:space="preserve">app/(dashboard)/settings/page.tsx                                    </v>
      </c>
    </row>
    <row r="47" spans="6:9" x14ac:dyDescent="0.55000000000000004">
      <c r="F47">
        <v>47</v>
      </c>
      <c r="G47" t="s">
        <v>373</v>
      </c>
      <c r="H47">
        <f t="shared" si="1"/>
        <v>47</v>
      </c>
      <c r="I47" t="str">
        <f t="shared" si="0"/>
        <v xml:space="preserve">app/(dashboard)/settings/privacy/page.tsx                            </v>
      </c>
    </row>
    <row r="48" spans="6:9" x14ac:dyDescent="0.55000000000000004">
      <c r="F48">
        <v>48</v>
      </c>
      <c r="G48" t="s">
        <v>374</v>
      </c>
      <c r="H48">
        <f t="shared" si="1"/>
        <v>48</v>
      </c>
      <c r="I48" t="str">
        <f t="shared" si="0"/>
        <v xml:space="preserve">app/(dashboard)/settings/profile/page.tsx                            </v>
      </c>
    </row>
    <row r="49" spans="6:9" x14ac:dyDescent="0.55000000000000004">
      <c r="F49">
        <v>49</v>
      </c>
      <c r="G49" t="s">
        <v>375</v>
      </c>
      <c r="H49">
        <f t="shared" si="1"/>
        <v>49</v>
      </c>
      <c r="I49" t="str">
        <f t="shared" si="0"/>
        <v xml:space="preserve">app/(dashboard)/settings/security/page.tsx                           </v>
      </c>
    </row>
    <row r="50" spans="6:9" x14ac:dyDescent="0.55000000000000004">
      <c r="F50">
        <v>50</v>
      </c>
      <c r="G50" t="s">
        <v>376</v>
      </c>
      <c r="H50">
        <f t="shared" si="1"/>
        <v>50</v>
      </c>
      <c r="I50" t="str">
        <f t="shared" si="0"/>
        <v xml:space="preserve">app/(dashboard)/settings/terms/page.tsx                              </v>
      </c>
    </row>
    <row r="51" spans="6:9" x14ac:dyDescent="0.55000000000000004">
      <c r="F51">
        <v>51</v>
      </c>
      <c r="G51" t="s">
        <v>377</v>
      </c>
      <c r="H51">
        <f t="shared" si="1"/>
        <v>51</v>
      </c>
      <c r="I51" t="str">
        <f t="shared" si="0"/>
        <v xml:space="preserve">app/(dashboard)/watchlist/page.tsx                                   </v>
      </c>
    </row>
    <row r="52" spans="6:9" x14ac:dyDescent="0.55000000000000004">
      <c r="F52">
        <v>52</v>
      </c>
      <c r="G52" t="s">
        <v>378</v>
      </c>
      <c r="H52">
        <f t="shared" si="1"/>
        <v>52</v>
      </c>
      <c r="I52" t="str">
        <f t="shared" si="0"/>
        <v xml:space="preserve">app/(dashboard)/watchlist/watchlist-client.tsx                       </v>
      </c>
    </row>
    <row r="53" spans="6:9" x14ac:dyDescent="0.55000000000000004">
      <c r="F53">
        <v>53</v>
      </c>
      <c r="G53" t="s">
        <v>379</v>
      </c>
      <c r="H53">
        <f t="shared" si="1"/>
        <v>53</v>
      </c>
      <c r="I53" t="str">
        <f t="shared" si="0"/>
        <v xml:space="preserve">app/(marketing)/landing-content.tsx                                  </v>
      </c>
    </row>
    <row r="54" spans="6:9" x14ac:dyDescent="0.55000000000000004">
      <c r="F54">
        <v>54</v>
      </c>
      <c r="G54" t="s">
        <v>380</v>
      </c>
      <c r="H54">
        <f t="shared" si="1"/>
        <v>54</v>
      </c>
      <c r="I54" t="str">
        <f t="shared" si="0"/>
        <v xml:space="preserve">app/(marketing)/layout.tsx                                           </v>
      </c>
    </row>
    <row r="55" spans="6:9" x14ac:dyDescent="0.55000000000000004">
      <c r="F55">
        <v>55</v>
      </c>
      <c r="G55" t="s">
        <v>381</v>
      </c>
      <c r="H55">
        <f t="shared" si="1"/>
        <v>55</v>
      </c>
      <c r="I55" t="str">
        <f t="shared" si="0"/>
        <v xml:space="preserve">app/(marketing)/page.tsx                                             </v>
      </c>
    </row>
    <row r="56" spans="6:9" x14ac:dyDescent="0.55000000000000004">
      <c r="F56">
        <v>56</v>
      </c>
      <c r="G56" t="s">
        <v>382</v>
      </c>
      <c r="H56">
        <f t="shared" si="1"/>
        <v>56</v>
      </c>
      <c r="I56" t="str">
        <f t="shared" si="0"/>
        <v xml:space="preserve">app/(marketing)/pricing/page.tsx                                     </v>
      </c>
    </row>
    <row r="57" spans="6:9" x14ac:dyDescent="0.55000000000000004">
      <c r="F57">
        <v>57</v>
      </c>
      <c r="G57" t="s">
        <v>383</v>
      </c>
      <c r="H57">
        <f t="shared" si="1"/>
        <v>57</v>
      </c>
      <c r="I57" t="str">
        <f t="shared" si="0"/>
        <v xml:space="preserve">app/admin/affiliates/[id]/page.tsx                                   </v>
      </c>
    </row>
    <row r="58" spans="6:9" x14ac:dyDescent="0.55000000000000004">
      <c r="F58">
        <v>58</v>
      </c>
      <c r="G58" t="s">
        <v>384</v>
      </c>
      <c r="H58">
        <f t="shared" si="1"/>
        <v>58</v>
      </c>
      <c r="I58" t="str">
        <f t="shared" si="0"/>
        <v xml:space="preserve">app/admin/affiliates/page.tsx                                        </v>
      </c>
    </row>
    <row r="59" spans="6:9" x14ac:dyDescent="0.55000000000000004">
      <c r="F59">
        <v>59</v>
      </c>
      <c r="G59" t="s">
        <v>385</v>
      </c>
      <c r="H59">
        <f t="shared" si="1"/>
        <v>59</v>
      </c>
      <c r="I59" t="str">
        <f t="shared" si="0"/>
        <v xml:space="preserve">app/admin/affiliates/reports/code-inventory/page.tsx                 </v>
      </c>
    </row>
    <row r="60" spans="6:9" x14ac:dyDescent="0.55000000000000004">
      <c r="F60">
        <v>60</v>
      </c>
      <c r="G60" t="s">
        <v>386</v>
      </c>
      <c r="H60">
        <f t="shared" si="1"/>
        <v>60</v>
      </c>
      <c r="I60" t="str">
        <f t="shared" si="0"/>
        <v xml:space="preserve">app/admin/affiliates/reports/commission-owings/page.tsx              </v>
      </c>
    </row>
    <row r="61" spans="6:9" x14ac:dyDescent="0.55000000000000004">
      <c r="F61">
        <v>61</v>
      </c>
      <c r="G61" t="s">
        <v>387</v>
      </c>
      <c r="H61">
        <f t="shared" si="1"/>
        <v>61</v>
      </c>
      <c r="I61" t="str">
        <f t="shared" si="0"/>
        <v xml:space="preserve">app/admin/affiliates/reports/profit-loss/page.tsx                    </v>
      </c>
    </row>
    <row r="62" spans="6:9" x14ac:dyDescent="0.55000000000000004">
      <c r="F62">
        <v>62</v>
      </c>
      <c r="G62" t="s">
        <v>388</v>
      </c>
      <c r="H62">
        <f t="shared" si="1"/>
        <v>62</v>
      </c>
      <c r="I62" t="str">
        <f t="shared" si="0"/>
        <v xml:space="preserve">app/admin/affiliates/reports/sales-performance/page.tsx              </v>
      </c>
    </row>
    <row r="63" spans="6:9" x14ac:dyDescent="0.55000000000000004">
      <c r="F63">
        <v>63</v>
      </c>
      <c r="G63" t="s">
        <v>389</v>
      </c>
      <c r="H63">
        <f t="shared" si="1"/>
        <v>63</v>
      </c>
      <c r="I63" t="str">
        <f t="shared" si="0"/>
        <v xml:space="preserve">app/admin/login/page.tsx                                             </v>
      </c>
    </row>
    <row r="64" spans="6:9" x14ac:dyDescent="0.55000000000000004">
      <c r="F64">
        <v>64</v>
      </c>
      <c r="G64" t="s">
        <v>390</v>
      </c>
      <c r="H64">
        <f t="shared" si="1"/>
        <v>64</v>
      </c>
      <c r="I64" t="str">
        <f t="shared" si="0"/>
        <v xml:space="preserve">app/admin/settings/affiliate/page.tsx                                </v>
      </c>
    </row>
    <row r="65" spans="6:9" x14ac:dyDescent="0.55000000000000004">
      <c r="F65">
        <v>65</v>
      </c>
      <c r="G65" t="s">
        <v>391</v>
      </c>
      <c r="H65">
        <f t="shared" si="1"/>
        <v>65</v>
      </c>
      <c r="I65" t="str">
        <f t="shared" si="0"/>
        <v xml:space="preserve">app/affiliate/dashboard/codes/page.tsx                               </v>
      </c>
    </row>
    <row r="66" spans="6:9" x14ac:dyDescent="0.55000000000000004">
      <c r="F66">
        <v>66</v>
      </c>
      <c r="G66" t="s">
        <v>392</v>
      </c>
      <c r="H66">
        <f t="shared" si="1"/>
        <v>66</v>
      </c>
      <c r="I66" t="str">
        <f t="shared" ref="I66:I129" si="2">REPLACE(G66, 1, 10, "")</f>
        <v xml:space="preserve">app/affiliate/dashboard/commissions/page.tsx                         </v>
      </c>
    </row>
    <row r="67" spans="6:9" x14ac:dyDescent="0.55000000000000004">
      <c r="F67">
        <v>67</v>
      </c>
      <c r="G67" t="s">
        <v>393</v>
      </c>
      <c r="H67">
        <f t="shared" ref="H67:H130" si="3">H66+1</f>
        <v>67</v>
      </c>
      <c r="I67" t="str">
        <f t="shared" si="2"/>
        <v xml:space="preserve">app/affiliate/dashboard/layout.tsx                                   </v>
      </c>
    </row>
    <row r="68" spans="6:9" x14ac:dyDescent="0.55000000000000004">
      <c r="F68">
        <v>68</v>
      </c>
      <c r="G68" t="s">
        <v>394</v>
      </c>
      <c r="H68">
        <f t="shared" si="3"/>
        <v>68</v>
      </c>
      <c r="I68" t="str">
        <f t="shared" si="2"/>
        <v xml:space="preserve">app/affiliate/dashboard/page.tsx                                     </v>
      </c>
    </row>
    <row r="69" spans="6:9" x14ac:dyDescent="0.55000000000000004">
      <c r="F69">
        <v>69</v>
      </c>
      <c r="G69" t="s">
        <v>395</v>
      </c>
      <c r="H69">
        <f t="shared" si="3"/>
        <v>69</v>
      </c>
      <c r="I69" t="str">
        <f t="shared" si="2"/>
        <v xml:space="preserve">app/affiliate/dashboard/profile/page.tsx                             </v>
      </c>
    </row>
    <row r="70" spans="6:9" x14ac:dyDescent="0.55000000000000004">
      <c r="F70">
        <v>70</v>
      </c>
      <c r="G70" t="s">
        <v>396</v>
      </c>
      <c r="H70">
        <f t="shared" si="3"/>
        <v>70</v>
      </c>
      <c r="I70" t="str">
        <f t="shared" si="2"/>
        <v xml:space="preserve">app/affiliate/dashboard/profile/payment/page.tsx                     </v>
      </c>
    </row>
    <row r="71" spans="6:9" x14ac:dyDescent="0.55000000000000004">
      <c r="F71">
        <v>71</v>
      </c>
      <c r="G71" t="s">
        <v>397</v>
      </c>
      <c r="H71">
        <f t="shared" si="3"/>
        <v>71</v>
      </c>
      <c r="I71" t="str">
        <f t="shared" si="2"/>
        <v xml:space="preserve">app/affiliate/layout.tsx                                             </v>
      </c>
    </row>
    <row r="72" spans="6:9" x14ac:dyDescent="0.55000000000000004">
      <c r="F72">
        <v>72</v>
      </c>
      <c r="G72" t="s">
        <v>398</v>
      </c>
      <c r="H72">
        <f t="shared" si="3"/>
        <v>72</v>
      </c>
      <c r="I72" t="str">
        <f t="shared" si="2"/>
        <v xml:space="preserve">app/affiliate/register/layout.tsx                                    </v>
      </c>
    </row>
    <row r="73" spans="6:9" x14ac:dyDescent="0.55000000000000004">
      <c r="F73">
        <v>73</v>
      </c>
      <c r="G73" t="s">
        <v>399</v>
      </c>
      <c r="H73">
        <f t="shared" si="3"/>
        <v>73</v>
      </c>
      <c r="I73" t="str">
        <f t="shared" si="2"/>
        <v xml:space="preserve">app/affiliate/register/page.tsx                                      </v>
      </c>
    </row>
    <row r="74" spans="6:9" x14ac:dyDescent="0.55000000000000004">
      <c r="F74">
        <v>74</v>
      </c>
      <c r="G74" t="s">
        <v>400</v>
      </c>
      <c r="H74">
        <f t="shared" si="3"/>
        <v>74</v>
      </c>
      <c r="I74" t="str">
        <f t="shared" si="2"/>
        <v xml:space="preserve">app/affiliate/verify/layout.tsx                                      </v>
      </c>
    </row>
    <row r="75" spans="6:9" x14ac:dyDescent="0.55000000000000004">
      <c r="F75">
        <v>75</v>
      </c>
      <c r="G75" t="s">
        <v>401</v>
      </c>
      <c r="H75">
        <f t="shared" si="3"/>
        <v>75</v>
      </c>
      <c r="I75" t="str">
        <f t="shared" si="2"/>
        <v xml:space="preserve">app/affiliate/verify/page.tsx                                        </v>
      </c>
    </row>
    <row r="76" spans="6:9" x14ac:dyDescent="0.55000000000000004">
      <c r="F76">
        <v>76</v>
      </c>
      <c r="G76" t="s">
        <v>402</v>
      </c>
      <c r="H76">
        <f t="shared" si="3"/>
        <v>76</v>
      </c>
      <c r="I76" t="str">
        <f t="shared" si="2"/>
        <v xml:space="preserve">app/api-test/page.tsx                                                </v>
      </c>
    </row>
    <row r="77" spans="6:9" x14ac:dyDescent="0.55000000000000004">
      <c r="F77">
        <v>77</v>
      </c>
      <c r="G77" t="s">
        <v>403</v>
      </c>
      <c r="H77">
        <f t="shared" si="3"/>
        <v>77</v>
      </c>
      <c r="I77" t="str">
        <f t="shared" si="2"/>
        <v xml:space="preserve">app/checkout/page.tsx                                                </v>
      </c>
    </row>
    <row r="78" spans="6:9" x14ac:dyDescent="0.55000000000000004">
      <c r="F78">
        <v>78</v>
      </c>
      <c r="G78" t="s">
        <v>404</v>
      </c>
      <c r="H78">
        <f t="shared" si="3"/>
        <v>78</v>
      </c>
      <c r="I78" t="str">
        <f t="shared" si="2"/>
        <v xml:space="preserve">app/error.tsx                                                        </v>
      </c>
    </row>
    <row r="79" spans="6:9" x14ac:dyDescent="0.55000000000000004">
      <c r="F79">
        <v>79</v>
      </c>
      <c r="G79" t="s">
        <v>405</v>
      </c>
      <c r="H79">
        <f t="shared" si="3"/>
        <v>79</v>
      </c>
      <c r="I79" t="str">
        <f t="shared" si="2"/>
        <v xml:space="preserve">app/layout.tsx                                                       </v>
      </c>
    </row>
    <row r="80" spans="6:9" x14ac:dyDescent="0.55000000000000004">
      <c r="F80">
        <v>80</v>
      </c>
      <c r="G80" t="s">
        <v>406</v>
      </c>
      <c r="H80">
        <f t="shared" si="3"/>
        <v>80</v>
      </c>
      <c r="I80" t="str">
        <f t="shared" si="2"/>
        <v xml:space="preserve">app/providers.tsx                                                    </v>
      </c>
    </row>
    <row r="81" spans="6:9" x14ac:dyDescent="0.55000000000000004">
      <c r="F81">
        <v>81</v>
      </c>
      <c r="G81" t="s">
        <v>407</v>
      </c>
      <c r="H81">
        <f t="shared" si="3"/>
        <v>81</v>
      </c>
      <c r="I81" t="str">
        <f t="shared" si="2"/>
        <v xml:space="preserve">components/admin/FraudAlertCard.tsx                                  </v>
      </c>
    </row>
    <row r="82" spans="6:9" x14ac:dyDescent="0.55000000000000004">
      <c r="F82">
        <v>82</v>
      </c>
      <c r="G82" t="s">
        <v>408</v>
      </c>
      <c r="H82">
        <f t="shared" si="3"/>
        <v>82</v>
      </c>
      <c r="I82" t="str">
        <f t="shared" si="2"/>
        <v xml:space="preserve">components/admin/FraudPatternBadge.tsx                               </v>
      </c>
    </row>
    <row r="83" spans="6:9" x14ac:dyDescent="0.55000000000000004">
      <c r="F83">
        <v>83</v>
      </c>
      <c r="G83" t="s">
        <v>409</v>
      </c>
      <c r="H83">
        <f t="shared" si="3"/>
        <v>83</v>
      </c>
      <c r="I83" t="str">
        <f t="shared" si="2"/>
        <v xml:space="preserve">components/admin/affiliate-filters.tsx                               </v>
      </c>
    </row>
    <row r="84" spans="6:9" x14ac:dyDescent="0.55000000000000004">
      <c r="F84">
        <v>84</v>
      </c>
      <c r="G84" t="s">
        <v>410</v>
      </c>
      <c r="H84">
        <f t="shared" si="3"/>
        <v>84</v>
      </c>
      <c r="I84" t="str">
        <f t="shared" si="2"/>
        <v xml:space="preserve">components/admin/affiliate-stats-banner.tsx                          </v>
      </c>
    </row>
    <row r="85" spans="6:9" x14ac:dyDescent="0.55000000000000004">
      <c r="F85">
        <v>85</v>
      </c>
      <c r="G85" t="s">
        <v>411</v>
      </c>
      <c r="H85">
        <f t="shared" si="3"/>
        <v>85</v>
      </c>
      <c r="I85" t="str">
        <f t="shared" si="2"/>
        <v xml:space="preserve">components/admin/affiliate-table.tsx                                 </v>
      </c>
    </row>
    <row r="86" spans="6:9" x14ac:dyDescent="0.55000000000000004">
      <c r="F86">
        <v>86</v>
      </c>
      <c r="G86" t="s">
        <v>412</v>
      </c>
      <c r="H86">
        <f t="shared" si="3"/>
        <v>86</v>
      </c>
      <c r="I86" t="str">
        <f t="shared" si="2"/>
        <v xml:space="preserve">components/admin/code-inventory-chart.tsx                            </v>
      </c>
    </row>
    <row r="87" spans="6:9" x14ac:dyDescent="0.55000000000000004">
      <c r="F87">
        <v>87</v>
      </c>
      <c r="G87" t="s">
        <v>413</v>
      </c>
      <c r="H87">
        <f t="shared" si="3"/>
        <v>87</v>
      </c>
      <c r="I87" t="str">
        <f t="shared" si="2"/>
        <v xml:space="preserve">components/admin/commission-owings-table.tsx                         </v>
      </c>
    </row>
    <row r="88" spans="6:9" x14ac:dyDescent="0.55000000000000004">
      <c r="F88">
        <v>88</v>
      </c>
      <c r="G88" t="s">
        <v>414</v>
      </c>
      <c r="H88">
        <f t="shared" si="3"/>
        <v>88</v>
      </c>
      <c r="I88" t="str">
        <f t="shared" si="2"/>
        <v xml:space="preserve">components/admin/distribute-codes-modal.tsx                          </v>
      </c>
    </row>
    <row r="89" spans="6:9" x14ac:dyDescent="0.55000000000000004">
      <c r="F89">
        <v>89</v>
      </c>
      <c r="G89" t="s">
        <v>415</v>
      </c>
      <c r="H89">
        <f t="shared" si="3"/>
        <v>89</v>
      </c>
      <c r="I89" t="str">
        <f t="shared" si="2"/>
        <v xml:space="preserve">components/admin/pay-commission-modal.tsx                            </v>
      </c>
    </row>
    <row r="90" spans="6:9" x14ac:dyDescent="0.55000000000000004">
      <c r="F90">
        <v>90</v>
      </c>
      <c r="G90" t="s">
        <v>416</v>
      </c>
      <c r="H90">
        <f t="shared" si="3"/>
        <v>90</v>
      </c>
      <c r="I90" t="str">
        <f t="shared" si="2"/>
        <v xml:space="preserve">components/admin/pnl-breakdown-table.tsx                             </v>
      </c>
    </row>
    <row r="91" spans="6:9" x14ac:dyDescent="0.55000000000000004">
      <c r="F91">
        <v>91</v>
      </c>
      <c r="G91" t="s">
        <v>417</v>
      </c>
      <c r="H91">
        <f t="shared" si="3"/>
        <v>91</v>
      </c>
      <c r="I91" t="str">
        <f t="shared" si="2"/>
        <v xml:space="preserve">components/admin/pnl-summary-cards.tsx                               </v>
      </c>
    </row>
    <row r="92" spans="6:9" x14ac:dyDescent="0.55000000000000004">
      <c r="F92">
        <v>92</v>
      </c>
      <c r="G92" t="s">
        <v>418</v>
      </c>
      <c r="H92">
        <f t="shared" si="3"/>
        <v>92</v>
      </c>
      <c r="I92" t="str">
        <f t="shared" si="2"/>
        <v xml:space="preserve">components/admin/pnl-trend-chart.tsx                                 </v>
      </c>
    </row>
    <row r="93" spans="6:9" x14ac:dyDescent="0.55000000000000004">
      <c r="F93">
        <v>93</v>
      </c>
      <c r="G93" t="s">
        <v>419</v>
      </c>
      <c r="H93">
        <f t="shared" si="3"/>
        <v>93</v>
      </c>
      <c r="I93" t="str">
        <f t="shared" si="2"/>
        <v xml:space="preserve">components/admin/sales-performance-table.tsx                         </v>
      </c>
    </row>
    <row r="94" spans="6:9" x14ac:dyDescent="0.55000000000000004">
      <c r="F94">
        <v>94</v>
      </c>
      <c r="G94" t="s">
        <v>420</v>
      </c>
      <c r="H94">
        <f t="shared" si="3"/>
        <v>94</v>
      </c>
      <c r="I94" t="str">
        <f t="shared" si="2"/>
        <v xml:space="preserve">components/admin/suspend-affiliate-modal.tsx                         </v>
      </c>
    </row>
    <row r="95" spans="6:9" x14ac:dyDescent="0.55000000000000004">
      <c r="F95">
        <v>95</v>
      </c>
      <c r="G95" t="s">
        <v>421</v>
      </c>
      <c r="H95">
        <f t="shared" si="3"/>
        <v>95</v>
      </c>
      <c r="I95" t="str">
        <f t="shared" si="2"/>
        <v xml:space="preserve">components/affiliate/code-table.tsx                                  </v>
      </c>
    </row>
    <row r="96" spans="6:9" x14ac:dyDescent="0.55000000000000004">
      <c r="F96">
        <v>96</v>
      </c>
      <c r="G96" t="s">
        <v>422</v>
      </c>
      <c r="H96">
        <f t="shared" si="3"/>
        <v>96</v>
      </c>
      <c r="I96" t="str">
        <f t="shared" si="2"/>
        <v xml:space="preserve">components/affiliate/commission-table.tsx                            </v>
      </c>
    </row>
    <row r="97" spans="6:9" x14ac:dyDescent="0.55000000000000004">
      <c r="F97">
        <v>97</v>
      </c>
      <c r="G97" t="s">
        <v>423</v>
      </c>
      <c r="H97">
        <f t="shared" si="3"/>
        <v>97</v>
      </c>
      <c r="I97" t="str">
        <f t="shared" si="2"/>
        <v xml:space="preserve">components/affiliate/stats-card.tsx                                  </v>
      </c>
    </row>
    <row r="98" spans="6:9" x14ac:dyDescent="0.55000000000000004">
      <c r="F98">
        <v>98</v>
      </c>
      <c r="G98" t="s">
        <v>424</v>
      </c>
      <c r="H98">
        <f t="shared" si="3"/>
        <v>98</v>
      </c>
      <c r="I98" t="str">
        <f t="shared" si="2"/>
        <v xml:space="preserve">components/alerts/alert-card.tsx                                     </v>
      </c>
    </row>
    <row r="99" spans="6:9" x14ac:dyDescent="0.55000000000000004">
      <c r="F99">
        <v>99</v>
      </c>
      <c r="G99" t="s">
        <v>425</v>
      </c>
      <c r="H99">
        <f t="shared" si="3"/>
        <v>99</v>
      </c>
      <c r="I99" t="str">
        <f t="shared" si="2"/>
        <v xml:space="preserve">components/alerts/alert-form.tsx                                     </v>
      </c>
    </row>
    <row r="100" spans="6:9" x14ac:dyDescent="0.55000000000000004">
      <c r="F100">
        <v>100</v>
      </c>
      <c r="G100" t="s">
        <v>426</v>
      </c>
      <c r="H100">
        <f t="shared" si="3"/>
        <v>100</v>
      </c>
      <c r="I100" t="str">
        <f t="shared" si="2"/>
        <v xml:space="preserve">components/alerts/alert-list.tsx                                     </v>
      </c>
    </row>
    <row r="101" spans="6:9" x14ac:dyDescent="0.55000000000000004">
      <c r="F101">
        <v>101</v>
      </c>
      <c r="G101" t="s">
        <v>427</v>
      </c>
      <c r="H101">
        <f t="shared" si="3"/>
        <v>101</v>
      </c>
      <c r="I101" t="str">
        <f t="shared" si="2"/>
        <v xml:space="preserve">components/auth/login-form.tsx                                       </v>
      </c>
    </row>
    <row r="102" spans="6:9" x14ac:dyDescent="0.55000000000000004">
      <c r="F102">
        <v>102</v>
      </c>
      <c r="G102" t="s">
        <v>428</v>
      </c>
      <c r="H102">
        <f t="shared" si="3"/>
        <v>102</v>
      </c>
      <c r="I102" t="str">
        <f t="shared" si="2"/>
        <v xml:space="preserve">components/auth/login-tracker.tsx                                    </v>
      </c>
    </row>
    <row r="103" spans="6:9" x14ac:dyDescent="0.55000000000000004">
      <c r="F103">
        <v>103</v>
      </c>
      <c r="G103" t="s">
        <v>429</v>
      </c>
      <c r="H103">
        <f t="shared" si="3"/>
        <v>103</v>
      </c>
      <c r="I103" t="str">
        <f t="shared" si="2"/>
        <v xml:space="preserve">components/auth/register-form.tsx                                    </v>
      </c>
    </row>
    <row r="104" spans="6:9" x14ac:dyDescent="0.55000000000000004">
      <c r="F104">
        <v>104</v>
      </c>
      <c r="G104" t="s">
        <v>430</v>
      </c>
      <c r="H104">
        <f t="shared" si="3"/>
        <v>104</v>
      </c>
      <c r="I104" t="str">
        <f t="shared" si="2"/>
        <v xml:space="preserve">components/auth/social-auth-buttons.tsx                              </v>
      </c>
    </row>
    <row r="105" spans="6:9" x14ac:dyDescent="0.55000000000000004">
      <c r="F105">
        <v>105</v>
      </c>
      <c r="G105" t="s">
        <v>431</v>
      </c>
      <c r="H105">
        <f t="shared" si="3"/>
        <v>105</v>
      </c>
      <c r="I105" t="str">
        <f t="shared" si="2"/>
        <v xml:space="preserve">components/billing/invoice-list.tsx                                  </v>
      </c>
    </row>
    <row r="106" spans="6:9" x14ac:dyDescent="0.55000000000000004">
      <c r="F106">
        <v>106</v>
      </c>
      <c r="G106" t="s">
        <v>432</v>
      </c>
      <c r="H106">
        <f t="shared" si="3"/>
        <v>106</v>
      </c>
      <c r="I106" t="str">
        <f t="shared" si="2"/>
        <v xml:space="preserve">components/billing/subscription-card.tsx                             </v>
      </c>
    </row>
    <row r="107" spans="6:9" x14ac:dyDescent="0.55000000000000004">
      <c r="F107">
        <v>107</v>
      </c>
      <c r="G107" t="s">
        <v>433</v>
      </c>
      <c r="H107">
        <f t="shared" si="3"/>
        <v>107</v>
      </c>
      <c r="I107" t="str">
        <f t="shared" si="2"/>
        <v xml:space="preserve">components/charts/chart-controls.tsx                                 </v>
      </c>
    </row>
    <row r="108" spans="6:9" x14ac:dyDescent="0.55000000000000004">
      <c r="F108">
        <v>108</v>
      </c>
      <c r="G108" t="s">
        <v>434</v>
      </c>
      <c r="H108">
        <f t="shared" si="3"/>
        <v>108</v>
      </c>
      <c r="I108" t="str">
        <f t="shared" si="2"/>
        <v xml:space="preserve">components/charts/indicator-toggles.tsx                              </v>
      </c>
    </row>
    <row r="109" spans="6:9" x14ac:dyDescent="0.55000000000000004">
      <c r="F109">
        <v>109</v>
      </c>
      <c r="G109" t="s">
        <v>435</v>
      </c>
      <c r="H109">
        <f t="shared" si="3"/>
        <v>109</v>
      </c>
      <c r="I109" t="str">
        <f t="shared" si="2"/>
        <v xml:space="preserve">components/charts/pro-indicator-overlay.tsx                          </v>
      </c>
    </row>
    <row r="110" spans="6:9" x14ac:dyDescent="0.55000000000000004">
      <c r="F110">
        <v>110</v>
      </c>
      <c r="G110" t="s">
        <v>436</v>
      </c>
      <c r="H110">
        <f t="shared" si="3"/>
        <v>110</v>
      </c>
      <c r="I110" t="str">
        <f t="shared" si="2"/>
        <v xml:space="preserve">components/charts/timeframe-selector.tsx                             </v>
      </c>
    </row>
    <row r="111" spans="6:9" x14ac:dyDescent="0.55000000000000004">
      <c r="F111">
        <v>111</v>
      </c>
      <c r="G111" t="s">
        <v>437</v>
      </c>
      <c r="H111">
        <f t="shared" si="3"/>
        <v>111</v>
      </c>
      <c r="I111" t="str">
        <f t="shared" si="2"/>
        <v xml:space="preserve">components/charts/trading-chart.tsx                                  </v>
      </c>
    </row>
    <row r="112" spans="6:9" x14ac:dyDescent="0.55000000000000004">
      <c r="F112">
        <v>112</v>
      </c>
      <c r="G112" t="s">
        <v>438</v>
      </c>
      <c r="H112">
        <f t="shared" si="3"/>
        <v>112</v>
      </c>
      <c r="I112" t="str">
        <f t="shared" si="2"/>
        <v xml:space="preserve">components/dashboard/recent-alerts.tsx                               </v>
      </c>
    </row>
    <row r="113" spans="6:9" x14ac:dyDescent="0.55000000000000004">
      <c r="F113">
        <v>113</v>
      </c>
      <c r="G113" t="s">
        <v>439</v>
      </c>
      <c r="H113">
        <f t="shared" si="3"/>
        <v>113</v>
      </c>
      <c r="I113" t="str">
        <f t="shared" si="2"/>
        <v xml:space="preserve">components/dashboard/stats-card.tsx                                  </v>
      </c>
    </row>
    <row r="114" spans="6:9" x14ac:dyDescent="0.55000000000000004">
      <c r="F114">
        <v>114</v>
      </c>
      <c r="G114" t="s">
        <v>440</v>
      </c>
      <c r="H114">
        <f t="shared" si="3"/>
        <v>114</v>
      </c>
      <c r="I114" t="str">
        <f t="shared" si="2"/>
        <v xml:space="preserve">components/dashboard/upgrade-prompt.tsx                              </v>
      </c>
    </row>
    <row r="115" spans="6:9" x14ac:dyDescent="0.55000000000000004">
      <c r="F115">
        <v>115</v>
      </c>
      <c r="G115" t="s">
        <v>441</v>
      </c>
      <c r="H115">
        <f t="shared" si="3"/>
        <v>115</v>
      </c>
      <c r="I115" t="str">
        <f t="shared" si="2"/>
        <v xml:space="preserve">components/dashboard/watchlist-widget.tsx                            </v>
      </c>
    </row>
    <row r="116" spans="6:9" x14ac:dyDescent="0.55000000000000004">
      <c r="F116">
        <v>116</v>
      </c>
      <c r="G116" t="s">
        <v>442</v>
      </c>
      <c r="H116">
        <f t="shared" si="3"/>
        <v>116</v>
      </c>
      <c r="I116" t="str">
        <f t="shared" si="2"/>
        <v xml:space="preserve">components/indicators/indicator-selector.tsx                         </v>
      </c>
    </row>
    <row r="117" spans="6:9" x14ac:dyDescent="0.55000000000000004">
      <c r="F117">
        <v>117</v>
      </c>
      <c r="G117" t="s">
        <v>443</v>
      </c>
      <c r="H117">
        <f t="shared" si="3"/>
        <v>117</v>
      </c>
      <c r="I117" t="str">
        <f t="shared" si="2"/>
        <v xml:space="preserve">components/layout/footer.tsx                                         </v>
      </c>
    </row>
    <row r="118" spans="6:9" x14ac:dyDescent="0.55000000000000004">
      <c r="F118">
        <v>118</v>
      </c>
      <c r="G118" t="s">
        <v>444</v>
      </c>
      <c r="H118">
        <f t="shared" si="3"/>
        <v>118</v>
      </c>
      <c r="I118" t="str">
        <f t="shared" si="2"/>
        <v xml:space="preserve">components/layout/header.tsx                                         </v>
      </c>
    </row>
    <row r="119" spans="6:9" x14ac:dyDescent="0.55000000000000004">
      <c r="F119">
        <v>119</v>
      </c>
      <c r="G119" t="s">
        <v>445</v>
      </c>
      <c r="H119">
        <f t="shared" si="3"/>
        <v>119</v>
      </c>
      <c r="I119" t="str">
        <f t="shared" si="2"/>
        <v xml:space="preserve">components/layout/mobile-nav.tsx                                     </v>
      </c>
    </row>
    <row r="120" spans="6:9" x14ac:dyDescent="0.55000000000000004">
      <c r="F120">
        <v>120</v>
      </c>
      <c r="G120" t="s">
        <v>446</v>
      </c>
      <c r="H120">
        <f t="shared" si="3"/>
        <v>120</v>
      </c>
      <c r="I120" t="str">
        <f t="shared" si="2"/>
        <v xml:space="preserve">components/layout/sidebar.tsx                                        </v>
      </c>
    </row>
    <row r="121" spans="6:9" x14ac:dyDescent="0.55000000000000004">
      <c r="F121">
        <v>121</v>
      </c>
      <c r="G121" t="s">
        <v>447</v>
      </c>
      <c r="H121">
        <f t="shared" si="3"/>
        <v>121</v>
      </c>
      <c r="I121" t="str">
        <f t="shared" si="2"/>
        <v xml:space="preserve">components/notifications/notification-bell.tsx                       </v>
      </c>
    </row>
    <row r="122" spans="6:9" x14ac:dyDescent="0.55000000000000004">
      <c r="F122">
        <v>122</v>
      </c>
      <c r="G122" t="s">
        <v>448</v>
      </c>
      <c r="H122">
        <f t="shared" si="3"/>
        <v>122</v>
      </c>
      <c r="I122" t="str">
        <f t="shared" si="2"/>
        <v xml:space="preserve">components/notifications/notification-list.tsx                       </v>
      </c>
    </row>
    <row r="123" spans="6:9" x14ac:dyDescent="0.55000000000000004">
      <c r="F123">
        <v>123</v>
      </c>
      <c r="G123" t="s">
        <v>449</v>
      </c>
      <c r="H123">
        <f t="shared" si="3"/>
        <v>123</v>
      </c>
      <c r="I123" t="str">
        <f t="shared" si="2"/>
        <v xml:space="preserve">components/payments/CountrySelector.tsx                              </v>
      </c>
    </row>
    <row r="124" spans="6:9" x14ac:dyDescent="0.55000000000000004">
      <c r="F124">
        <v>124</v>
      </c>
      <c r="G124" t="s">
        <v>450</v>
      </c>
      <c r="H124">
        <f t="shared" si="3"/>
        <v>124</v>
      </c>
      <c r="I124" t="str">
        <f t="shared" si="2"/>
        <v xml:space="preserve">components/payments/DiscountCodeInput.tsx                            </v>
      </c>
    </row>
    <row r="125" spans="6:9" x14ac:dyDescent="0.55000000000000004">
      <c r="F125">
        <v>125</v>
      </c>
      <c r="G125" t="s">
        <v>451</v>
      </c>
      <c r="H125">
        <f t="shared" si="3"/>
        <v>125</v>
      </c>
      <c r="I125" t="str">
        <f t="shared" si="2"/>
        <v xml:space="preserve">components/payments/PaymentButton.tsx                                </v>
      </c>
    </row>
    <row r="126" spans="6:9" x14ac:dyDescent="0.55000000000000004">
      <c r="F126">
        <v>126</v>
      </c>
      <c r="G126" t="s">
        <v>452</v>
      </c>
      <c r="H126">
        <f t="shared" si="3"/>
        <v>126</v>
      </c>
      <c r="I126" t="str">
        <f t="shared" si="2"/>
        <v xml:space="preserve">components/payments/PaymentMethodSelector.tsx                        </v>
      </c>
    </row>
    <row r="127" spans="6:9" x14ac:dyDescent="0.55000000000000004">
      <c r="F127">
        <v>127</v>
      </c>
      <c r="G127" t="s">
        <v>453</v>
      </c>
      <c r="H127">
        <f t="shared" si="3"/>
        <v>127</v>
      </c>
      <c r="I127" t="str">
        <f t="shared" si="2"/>
        <v xml:space="preserve">components/payments/PlanSelector.tsx                                 </v>
      </c>
    </row>
    <row r="128" spans="6:9" x14ac:dyDescent="0.55000000000000004">
      <c r="F128">
        <v>128</v>
      </c>
      <c r="G128" t="s">
        <v>454</v>
      </c>
      <c r="H128">
        <f t="shared" si="3"/>
        <v>128</v>
      </c>
      <c r="I128" t="str">
        <f t="shared" si="2"/>
        <v xml:space="preserve">components/payments/PriceDisplay.tsx                                 </v>
      </c>
    </row>
    <row r="129" spans="6:9" x14ac:dyDescent="0.55000000000000004">
      <c r="F129">
        <v>129</v>
      </c>
      <c r="G129" t="s">
        <v>455</v>
      </c>
      <c r="H129">
        <f t="shared" si="3"/>
        <v>129</v>
      </c>
      <c r="I129" t="str">
        <f t="shared" si="2"/>
        <v xml:space="preserve">components/pricing/tier-comparison.tsx                               </v>
      </c>
    </row>
    <row r="130" spans="6:9" x14ac:dyDescent="0.55000000000000004">
      <c r="F130">
        <v>130</v>
      </c>
      <c r="G130" t="s">
        <v>456</v>
      </c>
      <c r="H130">
        <f t="shared" si="3"/>
        <v>130</v>
      </c>
      <c r="I130" t="str">
        <f t="shared" ref="I130:I162" si="4">REPLACE(G130, 1, 10, "")</f>
        <v xml:space="preserve">components/providers/theme-provider.tsx                              </v>
      </c>
    </row>
    <row r="131" spans="6:9" x14ac:dyDescent="0.55000000000000004">
      <c r="F131">
        <v>131</v>
      </c>
      <c r="G131" t="s">
        <v>457</v>
      </c>
      <c r="H131">
        <f t="shared" ref="H131:H162" si="5">H130+1</f>
        <v>131</v>
      </c>
      <c r="I131" t="str">
        <f t="shared" si="4"/>
        <v xml:space="preserve">components/providers/websocket-provider.tsx                          </v>
      </c>
    </row>
    <row r="132" spans="6:9" x14ac:dyDescent="0.55000000000000004">
      <c r="F132">
        <v>132</v>
      </c>
      <c r="G132" t="s">
        <v>458</v>
      </c>
      <c r="H132">
        <f t="shared" si="5"/>
        <v>132</v>
      </c>
      <c r="I132" t="str">
        <f t="shared" si="4"/>
        <v xml:space="preserve">components/theme-toggle.tsx                                          </v>
      </c>
    </row>
    <row r="133" spans="6:9" x14ac:dyDescent="0.55000000000000004">
      <c r="F133">
        <v>133</v>
      </c>
      <c r="G133" t="s">
        <v>459</v>
      </c>
      <c r="H133">
        <f t="shared" si="5"/>
        <v>133</v>
      </c>
      <c r="I133" t="str">
        <f t="shared" si="4"/>
        <v xml:space="preserve">components/ui/alert-dialog.tsx                                       </v>
      </c>
    </row>
    <row r="134" spans="6:9" x14ac:dyDescent="0.55000000000000004">
      <c r="F134">
        <v>134</v>
      </c>
      <c r="G134" t="s">
        <v>460</v>
      </c>
      <c r="H134">
        <f t="shared" si="5"/>
        <v>134</v>
      </c>
      <c r="I134" t="str">
        <f t="shared" si="4"/>
        <v xml:space="preserve">components/ui/avatar.tsx                                             </v>
      </c>
    </row>
    <row r="135" spans="6:9" x14ac:dyDescent="0.55000000000000004">
      <c r="F135">
        <v>135</v>
      </c>
      <c r="G135" t="s">
        <v>461</v>
      </c>
      <c r="H135">
        <f t="shared" si="5"/>
        <v>135</v>
      </c>
      <c r="I135" t="str">
        <f t="shared" si="4"/>
        <v xml:space="preserve">components/ui/badge.tsx                                              </v>
      </c>
    </row>
    <row r="136" spans="6:9" x14ac:dyDescent="0.55000000000000004">
      <c r="F136">
        <v>136</v>
      </c>
      <c r="G136" t="s">
        <v>462</v>
      </c>
      <c r="H136">
        <f t="shared" si="5"/>
        <v>136</v>
      </c>
      <c r="I136" t="str">
        <f t="shared" si="4"/>
        <v xml:space="preserve">components/ui/breadcrumb.tsx                                         </v>
      </c>
    </row>
    <row r="137" spans="6:9" x14ac:dyDescent="0.55000000000000004">
      <c r="F137">
        <v>137</v>
      </c>
      <c r="G137" t="s">
        <v>463</v>
      </c>
      <c r="H137">
        <f t="shared" si="5"/>
        <v>137</v>
      </c>
      <c r="I137" t="str">
        <f t="shared" si="4"/>
        <v xml:space="preserve">components/ui/button.tsx                                             </v>
      </c>
    </row>
    <row r="138" spans="6:9" x14ac:dyDescent="0.55000000000000004">
      <c r="F138">
        <v>138</v>
      </c>
      <c r="G138" t="s">
        <v>464</v>
      </c>
      <c r="H138">
        <f t="shared" si="5"/>
        <v>138</v>
      </c>
      <c r="I138" t="str">
        <f t="shared" si="4"/>
        <v xml:space="preserve">components/ui/card.tsx                                               </v>
      </c>
    </row>
    <row r="139" spans="6:9" x14ac:dyDescent="0.55000000000000004">
      <c r="F139">
        <v>139</v>
      </c>
      <c r="G139" t="s">
        <v>465</v>
      </c>
      <c r="H139">
        <f t="shared" si="5"/>
        <v>139</v>
      </c>
      <c r="I139" t="str">
        <f t="shared" si="4"/>
        <v xml:space="preserve">components/ui/dialog.tsx                                             </v>
      </c>
    </row>
    <row r="140" spans="6:9" x14ac:dyDescent="0.55000000000000004">
      <c r="F140">
        <v>140</v>
      </c>
      <c r="G140" t="s">
        <v>466</v>
      </c>
      <c r="H140">
        <f t="shared" si="5"/>
        <v>140</v>
      </c>
      <c r="I140" t="str">
        <f t="shared" si="4"/>
        <v xml:space="preserve">components/ui/dropdown-menu.tsx                                      </v>
      </c>
    </row>
    <row r="141" spans="6:9" x14ac:dyDescent="0.55000000000000004">
      <c r="F141">
        <v>141</v>
      </c>
      <c r="G141" t="s">
        <v>467</v>
      </c>
      <c r="H141">
        <f t="shared" si="5"/>
        <v>141</v>
      </c>
      <c r="I141" t="str">
        <f t="shared" si="4"/>
        <v xml:space="preserve">components/ui/input.tsx                                              </v>
      </c>
    </row>
    <row r="142" spans="6:9" x14ac:dyDescent="0.55000000000000004">
      <c r="F142">
        <v>142</v>
      </c>
      <c r="G142" t="s">
        <v>468</v>
      </c>
      <c r="H142">
        <f t="shared" si="5"/>
        <v>142</v>
      </c>
      <c r="I142" t="str">
        <f t="shared" si="4"/>
        <v xml:space="preserve">components/ui/label.tsx                                              </v>
      </c>
    </row>
    <row r="143" spans="6:9" x14ac:dyDescent="0.55000000000000004">
      <c r="F143">
        <v>143</v>
      </c>
      <c r="G143" t="s">
        <v>469</v>
      </c>
      <c r="H143">
        <f t="shared" si="5"/>
        <v>143</v>
      </c>
      <c r="I143" t="str">
        <f t="shared" si="4"/>
        <v xml:space="preserve">components/ui/pagination.tsx                                         </v>
      </c>
    </row>
    <row r="144" spans="6:9" x14ac:dyDescent="0.55000000000000004">
      <c r="F144">
        <v>144</v>
      </c>
      <c r="G144" t="s">
        <v>470</v>
      </c>
      <c r="H144">
        <f t="shared" si="5"/>
        <v>144</v>
      </c>
      <c r="I144" t="str">
        <f t="shared" si="4"/>
        <v xml:space="preserve">components/ui/popover.tsx                                            </v>
      </c>
    </row>
    <row r="145" spans="6:9" x14ac:dyDescent="0.55000000000000004">
      <c r="F145">
        <v>145</v>
      </c>
      <c r="G145" t="s">
        <v>471</v>
      </c>
      <c r="H145">
        <f t="shared" si="5"/>
        <v>145</v>
      </c>
      <c r="I145" t="str">
        <f t="shared" si="4"/>
        <v xml:space="preserve">components/ui/progress.tsx                                           </v>
      </c>
    </row>
    <row r="146" spans="6:9" x14ac:dyDescent="0.55000000000000004">
      <c r="F146">
        <v>146</v>
      </c>
      <c r="G146" t="s">
        <v>472</v>
      </c>
      <c r="H146">
        <f t="shared" si="5"/>
        <v>146</v>
      </c>
      <c r="I146" t="str">
        <f t="shared" si="4"/>
        <v xml:space="preserve">components/ui/scroll-area.tsx                                        </v>
      </c>
    </row>
    <row r="147" spans="6:9" x14ac:dyDescent="0.55000000000000004">
      <c r="F147">
        <v>147</v>
      </c>
      <c r="G147" t="s">
        <v>473</v>
      </c>
      <c r="H147">
        <f t="shared" si="5"/>
        <v>147</v>
      </c>
      <c r="I147" t="str">
        <f t="shared" si="4"/>
        <v xml:space="preserve">components/ui/select.tsx                                             </v>
      </c>
    </row>
    <row r="148" spans="6:9" x14ac:dyDescent="0.55000000000000004">
      <c r="F148">
        <v>148</v>
      </c>
      <c r="G148" t="s">
        <v>474</v>
      </c>
      <c r="H148">
        <f t="shared" si="5"/>
        <v>148</v>
      </c>
      <c r="I148" t="str">
        <f t="shared" si="4"/>
        <v xml:space="preserve">components/ui/separator.tsx                                          </v>
      </c>
    </row>
    <row r="149" spans="6:9" x14ac:dyDescent="0.55000000000000004">
      <c r="F149">
        <v>149</v>
      </c>
      <c r="G149" t="s">
        <v>475</v>
      </c>
      <c r="H149">
        <f t="shared" si="5"/>
        <v>149</v>
      </c>
      <c r="I149" t="str">
        <f t="shared" si="4"/>
        <v xml:space="preserve">components/ui/sheet.tsx                                              </v>
      </c>
    </row>
    <row r="150" spans="6:9" x14ac:dyDescent="0.55000000000000004">
      <c r="F150">
        <v>150</v>
      </c>
      <c r="G150" t="s">
        <v>476</v>
      </c>
      <c r="H150">
        <f t="shared" si="5"/>
        <v>150</v>
      </c>
      <c r="I150" t="str">
        <f t="shared" si="4"/>
        <v xml:space="preserve">components/ui/skeleton.tsx                                           </v>
      </c>
    </row>
    <row r="151" spans="6:9" x14ac:dyDescent="0.55000000000000004">
      <c r="F151">
        <v>151</v>
      </c>
      <c r="G151" t="s">
        <v>477</v>
      </c>
      <c r="H151">
        <f t="shared" si="5"/>
        <v>151</v>
      </c>
      <c r="I151" t="str">
        <f t="shared" si="4"/>
        <v xml:space="preserve">components/ui/switch.tsx                                             </v>
      </c>
    </row>
    <row r="152" spans="6:9" x14ac:dyDescent="0.55000000000000004">
      <c r="F152">
        <v>152</v>
      </c>
      <c r="G152" t="s">
        <v>478</v>
      </c>
      <c r="H152">
        <f t="shared" si="5"/>
        <v>152</v>
      </c>
      <c r="I152" t="str">
        <f t="shared" si="4"/>
        <v xml:space="preserve">components/ui/tabs.tsx                                               </v>
      </c>
    </row>
    <row r="153" spans="6:9" x14ac:dyDescent="0.55000000000000004">
      <c r="F153">
        <v>153</v>
      </c>
      <c r="G153" t="s">
        <v>479</v>
      </c>
      <c r="H153">
        <f t="shared" si="5"/>
        <v>153</v>
      </c>
      <c r="I153" t="str">
        <f t="shared" si="4"/>
        <v xml:space="preserve">components/ui/toast-container.tsx                                    </v>
      </c>
    </row>
    <row r="154" spans="6:9" x14ac:dyDescent="0.55000000000000004">
      <c r="F154">
        <v>154</v>
      </c>
      <c r="G154" t="s">
        <v>480</v>
      </c>
      <c r="H154">
        <f t="shared" si="5"/>
        <v>154</v>
      </c>
      <c r="I154" t="str">
        <f t="shared" si="4"/>
        <v xml:space="preserve">components/ui/upgrade-button.tsx                                     </v>
      </c>
    </row>
    <row r="155" spans="6:9" x14ac:dyDescent="0.55000000000000004">
      <c r="F155">
        <v>155</v>
      </c>
      <c r="G155" t="s">
        <v>481</v>
      </c>
      <c r="H155">
        <f t="shared" si="5"/>
        <v>155</v>
      </c>
      <c r="I155" t="str">
        <f t="shared" si="4"/>
        <v xml:space="preserve">components/watchlist/symbol-selector.tsx                             </v>
      </c>
    </row>
    <row r="156" spans="6:9" x14ac:dyDescent="0.55000000000000004">
      <c r="F156">
        <v>156</v>
      </c>
      <c r="G156" t="s">
        <v>482</v>
      </c>
      <c r="H156">
        <f t="shared" si="5"/>
        <v>156</v>
      </c>
      <c r="I156" t="str">
        <f t="shared" si="4"/>
        <v xml:space="preserve">components/watchlist/timeframe-grid.tsx                              </v>
      </c>
    </row>
    <row r="157" spans="6:9" x14ac:dyDescent="0.55000000000000004">
      <c r="F157">
        <v>157</v>
      </c>
      <c r="G157" t="s">
        <v>483</v>
      </c>
      <c r="H157">
        <f t="shared" si="5"/>
        <v>157</v>
      </c>
      <c r="I157" t="str">
        <f t="shared" si="4"/>
        <v xml:space="preserve">components/watchlist/watchlist-item.tsx                              </v>
      </c>
    </row>
    <row r="158" spans="6:9" x14ac:dyDescent="0.55000000000000004">
      <c r="F158">
        <v>158</v>
      </c>
      <c r="G158" t="s">
        <v>484</v>
      </c>
      <c r="H158">
        <f t="shared" si="5"/>
        <v>158</v>
      </c>
      <c r="I158" t="str">
        <f t="shared" si="4"/>
        <v xml:space="preserve">lib/email/templates/affiliate/code-distributed.tsx                   </v>
      </c>
    </row>
    <row r="159" spans="6:9" x14ac:dyDescent="0.55000000000000004">
      <c r="F159">
        <v>159</v>
      </c>
      <c r="G159" t="s">
        <v>485</v>
      </c>
      <c r="H159">
        <f t="shared" si="5"/>
        <v>159</v>
      </c>
      <c r="I159" t="str">
        <f t="shared" si="4"/>
        <v xml:space="preserve">lib/email/templates/affiliate/code-used.tsx                          </v>
      </c>
    </row>
    <row r="160" spans="6:9" x14ac:dyDescent="0.55000000000000004">
      <c r="F160">
        <v>160</v>
      </c>
      <c r="G160" t="s">
        <v>486</v>
      </c>
      <c r="H160">
        <f t="shared" si="5"/>
        <v>160</v>
      </c>
      <c r="I160" t="str">
        <f t="shared" si="4"/>
        <v xml:space="preserve">lib/email/templates/affiliate/monthly-report.tsx                     </v>
      </c>
    </row>
    <row r="161" spans="6:9" x14ac:dyDescent="0.55000000000000004">
      <c r="F161">
        <v>161</v>
      </c>
      <c r="G161" t="s">
        <v>487</v>
      </c>
      <c r="H161">
        <f t="shared" si="5"/>
        <v>161</v>
      </c>
      <c r="I161" t="str">
        <f t="shared" si="4"/>
        <v xml:space="preserve">lib/email/templates/affiliate/payment-processed.tsx                  </v>
      </c>
    </row>
    <row r="162" spans="6:9" x14ac:dyDescent="0.55000000000000004">
      <c r="F162">
        <v>162</v>
      </c>
      <c r="G162" t="s">
        <v>488</v>
      </c>
      <c r="H162">
        <f t="shared" si="5"/>
        <v>162</v>
      </c>
      <c r="I162" t="str">
        <f t="shared" si="4"/>
        <v xml:space="preserve">lib/email/templates/affiliate/welcome.tsx                            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7BEA2-38E5-47B6-ADC8-A39F5D4CD531}">
  <dimension ref="C1:L182"/>
  <sheetViews>
    <sheetView topLeftCell="A166" workbookViewId="0">
      <selection activeCell="C3" sqref="C3"/>
    </sheetView>
  </sheetViews>
  <sheetFormatPr defaultRowHeight="14.4" x14ac:dyDescent="0.55000000000000004"/>
  <sheetData>
    <row r="1" spans="3:12" x14ac:dyDescent="0.55000000000000004">
      <c r="C1">
        <v>1</v>
      </c>
      <c r="D1" t="s">
        <v>489</v>
      </c>
      <c r="K1">
        <v>1</v>
      </c>
      <c r="L1" t="str">
        <f>TRIM(SUBSTITUTE(SUBSTITUTE(D1, LEFT(D1, FIND("app/", D1)-1), ""), "`", ""))</f>
        <v>app/(auth)/forgot-password/page.tsx</v>
      </c>
    </row>
    <row r="2" spans="3:12" x14ac:dyDescent="0.55000000000000004">
      <c r="C2">
        <v>2</v>
      </c>
      <c r="D2" t="s">
        <v>490</v>
      </c>
      <c r="K2">
        <f>K1+1</f>
        <v>2</v>
      </c>
      <c r="L2" t="str">
        <f t="shared" ref="L2:L65" si="0">TRIM(SUBSTITUTE(SUBSTITUTE(D2, LEFT(D2, FIND("app/", D2)-1), ""), "`", ""))</f>
        <v>app/(auth)/layout.tsx</v>
      </c>
    </row>
    <row r="3" spans="3:12" x14ac:dyDescent="0.55000000000000004">
      <c r="C3">
        <v>3</v>
      </c>
      <c r="D3" t="s">
        <v>491</v>
      </c>
      <c r="K3">
        <f t="shared" ref="K3:K66" si="1">K2+1</f>
        <v>3</v>
      </c>
      <c r="L3" t="str">
        <f t="shared" si="0"/>
        <v>app/(auth)/login/page.tsx</v>
      </c>
    </row>
    <row r="4" spans="3:12" x14ac:dyDescent="0.55000000000000004">
      <c r="C4">
        <v>4</v>
      </c>
      <c r="D4" t="s">
        <v>492</v>
      </c>
      <c r="K4">
        <f t="shared" si="1"/>
        <v>4</v>
      </c>
      <c r="L4" t="str">
        <f t="shared" si="0"/>
        <v>app/(auth)/register/page.tsx</v>
      </c>
    </row>
    <row r="5" spans="3:12" x14ac:dyDescent="0.55000000000000004">
      <c r="C5">
        <v>5</v>
      </c>
      <c r="D5" t="s">
        <v>493</v>
      </c>
      <c r="K5">
        <f t="shared" si="1"/>
        <v>5</v>
      </c>
      <c r="L5" t="str">
        <f t="shared" si="0"/>
        <v>app/(auth)/reset-password/page.tsx</v>
      </c>
    </row>
    <row r="6" spans="3:12" x14ac:dyDescent="0.55000000000000004">
      <c r="C6">
        <v>6</v>
      </c>
      <c r="D6" t="s">
        <v>494</v>
      </c>
      <c r="K6">
        <f t="shared" si="1"/>
        <v>6</v>
      </c>
      <c r="L6" t="str">
        <f t="shared" si="0"/>
        <v>app/(auth)/verify-2fa/page.tsx</v>
      </c>
    </row>
    <row r="7" spans="3:12" x14ac:dyDescent="0.55000000000000004">
      <c r="C7">
        <v>7</v>
      </c>
      <c r="D7" t="s">
        <v>495</v>
      </c>
      <c r="K7">
        <f t="shared" si="1"/>
        <v>7</v>
      </c>
      <c r="L7" t="str">
        <f t="shared" si="0"/>
        <v>app/(auth)/verify-email/page.tsx</v>
      </c>
    </row>
    <row r="8" spans="3:12" x14ac:dyDescent="0.55000000000000004">
      <c r="C8">
        <v>8</v>
      </c>
      <c r="D8" t="s">
        <v>21</v>
      </c>
      <c r="K8">
        <f t="shared" si="1"/>
        <v>8</v>
      </c>
      <c r="L8" t="str">
        <f t="shared" si="0"/>
        <v>app/(auth)/verify-email/pending/page.tsx</v>
      </c>
    </row>
    <row r="9" spans="3:12" x14ac:dyDescent="0.55000000000000004">
      <c r="C9">
        <v>9</v>
      </c>
      <c r="D9" t="s">
        <v>496</v>
      </c>
      <c r="K9">
        <f t="shared" si="1"/>
        <v>9</v>
      </c>
      <c r="L9" t="str">
        <f t="shared" si="0"/>
        <v>app/(dashboard)/admin/api-usage/page.tsx</v>
      </c>
    </row>
    <row r="10" spans="3:12" x14ac:dyDescent="0.55000000000000004">
      <c r="C10">
        <v>10</v>
      </c>
      <c r="D10" t="s">
        <v>497</v>
      </c>
      <c r="K10">
        <f t="shared" si="1"/>
        <v>10</v>
      </c>
      <c r="L10" t="str">
        <f t="shared" si="0"/>
        <v>app/(dashboard)/admin/disbursement/accounts/page.tsx</v>
      </c>
    </row>
    <row r="11" spans="3:12" x14ac:dyDescent="0.55000000000000004">
      <c r="C11">
        <v>11</v>
      </c>
      <c r="D11" t="s">
        <v>498</v>
      </c>
      <c r="K11">
        <f t="shared" si="1"/>
        <v>11</v>
      </c>
      <c r="L11" t="str">
        <f t="shared" si="0"/>
        <v>app/(dashboard)/admin/disbursement/affiliates/page.tsx</v>
      </c>
    </row>
    <row r="12" spans="3:12" x14ac:dyDescent="0.55000000000000004">
      <c r="C12">
        <v>12</v>
      </c>
      <c r="D12" t="s">
        <v>499</v>
      </c>
      <c r="K12">
        <f t="shared" si="1"/>
        <v>12</v>
      </c>
      <c r="L12" t="str">
        <f t="shared" si="0"/>
        <v>app/(dashboard)/admin/disbursement/audit/page.tsx</v>
      </c>
    </row>
    <row r="13" spans="3:12" x14ac:dyDescent="0.55000000000000004">
      <c r="C13">
        <v>13</v>
      </c>
      <c r="D13" t="s">
        <v>60</v>
      </c>
      <c r="K13">
        <f t="shared" si="1"/>
        <v>13</v>
      </c>
      <c r="L13" t="str">
        <f t="shared" si="0"/>
        <v>app/(dashboard)/admin/disbursement/batches/[batchId]/page.tsx</v>
      </c>
    </row>
    <row r="14" spans="3:12" x14ac:dyDescent="0.55000000000000004">
      <c r="C14">
        <v>14</v>
      </c>
      <c r="D14" t="s">
        <v>500</v>
      </c>
      <c r="K14">
        <f t="shared" si="1"/>
        <v>14</v>
      </c>
      <c r="L14" t="str">
        <f t="shared" si="0"/>
        <v>app/(dashboard)/admin/disbursement/batches/page.tsx</v>
      </c>
    </row>
    <row r="15" spans="3:12" x14ac:dyDescent="0.55000000000000004">
      <c r="C15">
        <v>15</v>
      </c>
      <c r="D15" t="s">
        <v>501</v>
      </c>
      <c r="K15">
        <f t="shared" si="1"/>
        <v>15</v>
      </c>
      <c r="L15" t="str">
        <f t="shared" si="0"/>
        <v>app/(dashboard)/admin/disbursement/config/page.tsx</v>
      </c>
    </row>
    <row r="16" spans="3:12" x14ac:dyDescent="0.55000000000000004">
      <c r="C16">
        <v>16</v>
      </c>
      <c r="D16" t="s">
        <v>502</v>
      </c>
      <c r="K16">
        <f t="shared" si="1"/>
        <v>16</v>
      </c>
      <c r="L16" t="str">
        <f t="shared" si="0"/>
        <v>app/(dashboard)/admin/disbursement/layout.tsx</v>
      </c>
    </row>
    <row r="17" spans="3:12" x14ac:dyDescent="0.55000000000000004">
      <c r="C17">
        <v>17</v>
      </c>
      <c r="D17" t="s">
        <v>503</v>
      </c>
      <c r="K17">
        <f t="shared" si="1"/>
        <v>17</v>
      </c>
      <c r="L17" t="str">
        <f t="shared" si="0"/>
        <v>app/(dashboard)/admin/disbursement/page.tsx</v>
      </c>
    </row>
    <row r="18" spans="3:12" x14ac:dyDescent="0.55000000000000004">
      <c r="C18">
        <v>18</v>
      </c>
      <c r="D18" t="s">
        <v>504</v>
      </c>
      <c r="K18">
        <f t="shared" si="1"/>
        <v>18</v>
      </c>
      <c r="L18" t="str">
        <f t="shared" si="0"/>
        <v>app/(dashboard)/admin/disbursement/transactions/page.tsx</v>
      </c>
    </row>
    <row r="19" spans="3:12" x14ac:dyDescent="0.55000000000000004">
      <c r="C19">
        <v>19</v>
      </c>
      <c r="D19" t="s">
        <v>505</v>
      </c>
      <c r="K19">
        <f t="shared" si="1"/>
        <v>19</v>
      </c>
      <c r="L19" t="str">
        <f t="shared" si="0"/>
        <v>app/(dashboard)/admin/errors/page.tsx</v>
      </c>
    </row>
    <row r="20" spans="3:12" x14ac:dyDescent="0.55000000000000004">
      <c r="C20">
        <v>20</v>
      </c>
      <c r="D20" t="s">
        <v>506</v>
      </c>
      <c r="K20">
        <f t="shared" si="1"/>
        <v>20</v>
      </c>
      <c r="L20" t="str">
        <f t="shared" si="0"/>
        <v>app/(dashboard)/admin/fraud-alerts/[id]/page.tsx</v>
      </c>
    </row>
    <row r="21" spans="3:12" x14ac:dyDescent="0.55000000000000004">
      <c r="C21">
        <v>21</v>
      </c>
      <c r="D21" t="s">
        <v>507</v>
      </c>
      <c r="K21">
        <f t="shared" si="1"/>
        <v>21</v>
      </c>
      <c r="L21" t="str">
        <f t="shared" si="0"/>
        <v>app/(dashboard)/admin/fraud-alerts/page.tsx</v>
      </c>
    </row>
    <row r="22" spans="3:12" x14ac:dyDescent="0.55000000000000004">
      <c r="C22">
        <v>22</v>
      </c>
      <c r="D22" t="s">
        <v>508</v>
      </c>
      <c r="K22">
        <f t="shared" si="1"/>
        <v>22</v>
      </c>
      <c r="L22" t="str">
        <f t="shared" si="0"/>
        <v>app/(dashboard)/admin/layout.tsx</v>
      </c>
    </row>
    <row r="23" spans="3:12" x14ac:dyDescent="0.55000000000000004">
      <c r="C23">
        <v>23</v>
      </c>
      <c r="D23" t="s">
        <v>509</v>
      </c>
      <c r="K23">
        <f t="shared" si="1"/>
        <v>23</v>
      </c>
      <c r="L23" t="str">
        <f t="shared" si="0"/>
        <v>app/(dashboard)/admin/page.tsx</v>
      </c>
    </row>
    <row r="24" spans="3:12" x14ac:dyDescent="0.55000000000000004">
      <c r="C24">
        <v>24</v>
      </c>
      <c r="D24" t="s">
        <v>510</v>
      </c>
      <c r="K24">
        <f t="shared" si="1"/>
        <v>24</v>
      </c>
      <c r="L24" t="str">
        <f t="shared" si="0"/>
        <v>app/(dashboard)/admin/users/page.tsx</v>
      </c>
    </row>
    <row r="25" spans="3:12" x14ac:dyDescent="0.55000000000000004">
      <c r="C25">
        <v>25</v>
      </c>
      <c r="D25" t="s">
        <v>511</v>
      </c>
      <c r="K25">
        <f t="shared" si="1"/>
        <v>25</v>
      </c>
      <c r="L25" t="str">
        <f t="shared" si="0"/>
        <v>app/(dashboard)/alerts/alerts-client.tsx</v>
      </c>
    </row>
    <row r="26" spans="3:12" x14ac:dyDescent="0.55000000000000004">
      <c r="C26">
        <v>26</v>
      </c>
      <c r="D26" t="s">
        <v>38</v>
      </c>
      <c r="K26">
        <f t="shared" si="1"/>
        <v>26</v>
      </c>
      <c r="L26" t="str">
        <f t="shared" si="0"/>
        <v>app/(dashboard)/alerts/new/create-alert-client.tsx</v>
      </c>
    </row>
    <row r="27" spans="3:12" x14ac:dyDescent="0.55000000000000004">
      <c r="C27">
        <v>27</v>
      </c>
      <c r="D27" t="s">
        <v>512</v>
      </c>
      <c r="K27">
        <f t="shared" si="1"/>
        <v>27</v>
      </c>
      <c r="L27" t="str">
        <f t="shared" si="0"/>
        <v>app/(dashboard)/alerts/new/page.tsx</v>
      </c>
    </row>
    <row r="28" spans="3:12" x14ac:dyDescent="0.55000000000000004">
      <c r="C28">
        <v>28</v>
      </c>
      <c r="D28" t="s">
        <v>513</v>
      </c>
      <c r="K28">
        <f t="shared" si="1"/>
        <v>28</v>
      </c>
      <c r="L28" t="str">
        <f t="shared" si="0"/>
        <v>app/(dashboard)/alerts/page.tsx</v>
      </c>
    </row>
    <row r="29" spans="3:12" x14ac:dyDescent="0.55000000000000004">
      <c r="C29">
        <v>29</v>
      </c>
      <c r="D29" t="s">
        <v>514</v>
      </c>
      <c r="K29">
        <f t="shared" si="1"/>
        <v>29</v>
      </c>
      <c r="L29" t="str">
        <f t="shared" si="0"/>
        <v>app/(dashboard)/charts/[symbol]/[timeframe]/page.tsx</v>
      </c>
    </row>
    <row r="30" spans="3:12" x14ac:dyDescent="0.55000000000000004">
      <c r="C30">
        <v>30</v>
      </c>
      <c r="D30" t="s">
        <v>30</v>
      </c>
      <c r="K30">
        <f t="shared" si="1"/>
        <v>30</v>
      </c>
      <c r="L30" t="str">
        <f t="shared" si="0"/>
        <v>app/(dashboard)/charts/[symbol]/[timeframe]/trading-chart-client.tsx</v>
      </c>
    </row>
    <row r="31" spans="3:12" x14ac:dyDescent="0.55000000000000004">
      <c r="C31">
        <v>31</v>
      </c>
      <c r="D31" t="s">
        <v>515</v>
      </c>
      <c r="K31">
        <f t="shared" si="1"/>
        <v>31</v>
      </c>
      <c r="L31" t="str">
        <f t="shared" si="0"/>
        <v>app/(dashboard)/charts/page.tsx</v>
      </c>
    </row>
    <row r="32" spans="3:12" x14ac:dyDescent="0.55000000000000004">
      <c r="C32">
        <v>32</v>
      </c>
      <c r="D32" t="s">
        <v>24</v>
      </c>
      <c r="K32">
        <f t="shared" si="1"/>
        <v>32</v>
      </c>
      <c r="L32" t="str">
        <f t="shared" si="0"/>
        <v>app/(dashboard)/dashboard/page.tsx</v>
      </c>
    </row>
    <row r="33" spans="3:12" x14ac:dyDescent="0.55000000000000004">
      <c r="C33">
        <v>33</v>
      </c>
      <c r="D33" t="s">
        <v>516</v>
      </c>
      <c r="K33">
        <f t="shared" si="1"/>
        <v>33</v>
      </c>
      <c r="L33" t="str">
        <f t="shared" si="0"/>
        <v>app/(dashboard)/layout.tsx</v>
      </c>
    </row>
    <row r="34" spans="3:12" x14ac:dyDescent="0.55000000000000004">
      <c r="C34">
        <v>34</v>
      </c>
      <c r="D34" t="s">
        <v>517</v>
      </c>
      <c r="K34">
        <f t="shared" si="1"/>
        <v>34</v>
      </c>
      <c r="L34" t="str">
        <f t="shared" si="0"/>
        <v>app/(dashboard)/settings/account/page.tsx</v>
      </c>
    </row>
    <row r="35" spans="3:12" x14ac:dyDescent="0.55000000000000004">
      <c r="C35">
        <v>35</v>
      </c>
      <c r="D35" t="s">
        <v>26</v>
      </c>
      <c r="K35">
        <f t="shared" si="1"/>
        <v>35</v>
      </c>
      <c r="L35" t="str">
        <f t="shared" si="0"/>
        <v>app/(dashboard)/settings/appearance/page.tsx</v>
      </c>
    </row>
    <row r="36" spans="3:12" x14ac:dyDescent="0.55000000000000004">
      <c r="C36">
        <v>36</v>
      </c>
      <c r="D36" t="s">
        <v>518</v>
      </c>
      <c r="K36">
        <f t="shared" si="1"/>
        <v>36</v>
      </c>
      <c r="L36" t="str">
        <f t="shared" si="0"/>
        <v>app/(dashboard)/settings/billing/page.tsx</v>
      </c>
    </row>
    <row r="37" spans="3:12" x14ac:dyDescent="0.55000000000000004">
      <c r="C37">
        <v>37</v>
      </c>
      <c r="D37" t="s">
        <v>519</v>
      </c>
      <c r="K37">
        <f t="shared" si="1"/>
        <v>37</v>
      </c>
      <c r="L37" t="str">
        <f t="shared" si="0"/>
        <v>app/(dashboard)/settings/help/page.tsx</v>
      </c>
    </row>
    <row r="38" spans="3:12" x14ac:dyDescent="0.55000000000000004">
      <c r="C38">
        <v>38</v>
      </c>
      <c r="D38" t="s">
        <v>520</v>
      </c>
      <c r="K38">
        <f t="shared" si="1"/>
        <v>38</v>
      </c>
      <c r="L38" t="str">
        <f t="shared" si="0"/>
        <v>app/(dashboard)/settings/language/page.tsx</v>
      </c>
    </row>
    <row r="39" spans="3:12" x14ac:dyDescent="0.55000000000000004">
      <c r="C39">
        <v>39</v>
      </c>
      <c r="D39" t="s">
        <v>521</v>
      </c>
      <c r="K39">
        <f t="shared" si="1"/>
        <v>39</v>
      </c>
      <c r="L39" t="str">
        <f t="shared" si="0"/>
        <v>app/(dashboard)/settings/layout.tsx</v>
      </c>
    </row>
    <row r="40" spans="3:12" x14ac:dyDescent="0.55000000000000004">
      <c r="C40">
        <v>40</v>
      </c>
      <c r="D40" t="s">
        <v>522</v>
      </c>
      <c r="K40">
        <f t="shared" si="1"/>
        <v>40</v>
      </c>
      <c r="L40" t="str">
        <f t="shared" si="0"/>
        <v>app/(dashboard)/settings/page.tsx</v>
      </c>
    </row>
    <row r="41" spans="3:12" x14ac:dyDescent="0.55000000000000004">
      <c r="C41">
        <v>41</v>
      </c>
      <c r="D41" t="s">
        <v>523</v>
      </c>
      <c r="K41">
        <f t="shared" si="1"/>
        <v>41</v>
      </c>
      <c r="L41" t="str">
        <f t="shared" si="0"/>
        <v>app/(dashboard)/settings/privacy/page.tsx</v>
      </c>
    </row>
    <row r="42" spans="3:12" x14ac:dyDescent="0.55000000000000004">
      <c r="C42">
        <v>42</v>
      </c>
      <c r="D42" t="s">
        <v>524</v>
      </c>
      <c r="K42">
        <f t="shared" si="1"/>
        <v>42</v>
      </c>
      <c r="L42" t="str">
        <f t="shared" si="0"/>
        <v>app/(dashboard)/settings/profile/page.tsx</v>
      </c>
    </row>
    <row r="43" spans="3:12" x14ac:dyDescent="0.55000000000000004">
      <c r="C43">
        <v>43</v>
      </c>
      <c r="D43" t="s">
        <v>525</v>
      </c>
      <c r="K43">
        <f t="shared" si="1"/>
        <v>43</v>
      </c>
      <c r="L43" t="str">
        <f t="shared" si="0"/>
        <v>app/(dashboard)/settings/security/page.tsx</v>
      </c>
    </row>
    <row r="44" spans="3:12" x14ac:dyDescent="0.55000000000000004">
      <c r="C44">
        <v>44</v>
      </c>
      <c r="D44" t="s">
        <v>526</v>
      </c>
      <c r="K44">
        <f t="shared" si="1"/>
        <v>44</v>
      </c>
      <c r="L44" t="str">
        <f t="shared" si="0"/>
        <v>app/(dashboard)/settings/terms/page.tsx</v>
      </c>
    </row>
    <row r="45" spans="3:12" x14ac:dyDescent="0.55000000000000004">
      <c r="C45">
        <v>45</v>
      </c>
      <c r="D45" t="s">
        <v>527</v>
      </c>
      <c r="K45">
        <f t="shared" si="1"/>
        <v>45</v>
      </c>
      <c r="L45" t="str">
        <f t="shared" si="0"/>
        <v>app/(dashboard)/watchlist/page.tsx</v>
      </c>
    </row>
    <row r="46" spans="3:12" x14ac:dyDescent="0.55000000000000004">
      <c r="C46">
        <v>46</v>
      </c>
      <c r="D46" t="s">
        <v>25</v>
      </c>
      <c r="K46">
        <f t="shared" si="1"/>
        <v>46</v>
      </c>
      <c r="L46" t="str">
        <f t="shared" si="0"/>
        <v>app/(dashboard)/watchlist/watchlist-client.tsx</v>
      </c>
    </row>
    <row r="47" spans="3:12" x14ac:dyDescent="0.55000000000000004">
      <c r="C47">
        <v>47</v>
      </c>
      <c r="D47" t="s">
        <v>528</v>
      </c>
      <c r="K47">
        <f t="shared" si="1"/>
        <v>47</v>
      </c>
      <c r="L47" t="str">
        <f t="shared" si="0"/>
        <v>app/(marketing)/landing-content.tsx</v>
      </c>
    </row>
    <row r="48" spans="3:12" x14ac:dyDescent="0.55000000000000004">
      <c r="C48">
        <v>48</v>
      </c>
      <c r="D48" t="s">
        <v>529</v>
      </c>
      <c r="K48">
        <f t="shared" si="1"/>
        <v>48</v>
      </c>
      <c r="L48" t="str">
        <f t="shared" si="0"/>
        <v>app/(marketing)/layout.tsx</v>
      </c>
    </row>
    <row r="49" spans="3:12" x14ac:dyDescent="0.55000000000000004">
      <c r="C49">
        <v>49</v>
      </c>
      <c r="D49" t="s">
        <v>530</v>
      </c>
      <c r="K49">
        <f t="shared" si="1"/>
        <v>49</v>
      </c>
      <c r="L49" t="str">
        <f t="shared" si="0"/>
        <v>app/(marketing)/page.tsx</v>
      </c>
    </row>
    <row r="50" spans="3:12" x14ac:dyDescent="0.55000000000000004">
      <c r="C50">
        <v>50</v>
      </c>
      <c r="D50" t="s">
        <v>531</v>
      </c>
      <c r="K50">
        <f t="shared" si="1"/>
        <v>50</v>
      </c>
      <c r="L50" t="str">
        <f t="shared" si="0"/>
        <v>app/(marketing)/pricing/page.tsx</v>
      </c>
    </row>
    <row r="51" spans="3:12" x14ac:dyDescent="0.55000000000000004">
      <c r="C51">
        <v>51</v>
      </c>
      <c r="D51" t="s">
        <v>532</v>
      </c>
      <c r="K51">
        <f t="shared" si="1"/>
        <v>51</v>
      </c>
      <c r="L51" t="str">
        <f t="shared" si="0"/>
        <v>app/admin/affiliates/[id]/page.tsx</v>
      </c>
    </row>
    <row r="52" spans="3:12" x14ac:dyDescent="0.55000000000000004">
      <c r="C52">
        <v>52</v>
      </c>
      <c r="D52" t="s">
        <v>533</v>
      </c>
      <c r="K52">
        <f t="shared" si="1"/>
        <v>52</v>
      </c>
      <c r="L52" t="str">
        <f t="shared" si="0"/>
        <v>app/admin/affiliates/page.tsx</v>
      </c>
    </row>
    <row r="53" spans="3:12" x14ac:dyDescent="0.55000000000000004">
      <c r="C53">
        <v>53</v>
      </c>
      <c r="D53" t="s">
        <v>534</v>
      </c>
      <c r="K53">
        <f t="shared" si="1"/>
        <v>53</v>
      </c>
      <c r="L53" t="str">
        <f t="shared" si="0"/>
        <v>app/admin/affiliates/reports/code-inventory/page.tsx</v>
      </c>
    </row>
    <row r="54" spans="3:12" x14ac:dyDescent="0.55000000000000004">
      <c r="C54">
        <v>54</v>
      </c>
      <c r="D54" t="s">
        <v>55</v>
      </c>
      <c r="K54">
        <f t="shared" si="1"/>
        <v>54</v>
      </c>
      <c r="L54" t="str">
        <f t="shared" si="0"/>
        <v>app/admin/affiliates/reports/commission-owings/page.tsx</v>
      </c>
    </row>
    <row r="55" spans="3:12" x14ac:dyDescent="0.55000000000000004">
      <c r="C55">
        <v>55</v>
      </c>
      <c r="D55" t="s">
        <v>535</v>
      </c>
      <c r="K55">
        <f t="shared" si="1"/>
        <v>55</v>
      </c>
      <c r="L55" t="str">
        <f t="shared" si="0"/>
        <v>app/admin/affiliates/reports/profit-loss/page.tsx</v>
      </c>
    </row>
    <row r="56" spans="3:12" x14ac:dyDescent="0.55000000000000004">
      <c r="C56">
        <v>56</v>
      </c>
      <c r="D56" t="s">
        <v>54</v>
      </c>
      <c r="K56">
        <f t="shared" si="1"/>
        <v>56</v>
      </c>
      <c r="L56" t="str">
        <f t="shared" si="0"/>
        <v>app/admin/affiliates/reports/sales-performance/page.tsx</v>
      </c>
    </row>
    <row r="57" spans="3:12" x14ac:dyDescent="0.55000000000000004">
      <c r="C57">
        <v>57</v>
      </c>
      <c r="D57" t="s">
        <v>536</v>
      </c>
      <c r="K57">
        <f t="shared" si="1"/>
        <v>57</v>
      </c>
      <c r="L57" t="str">
        <f t="shared" si="0"/>
        <v>app/admin/login/page.tsx</v>
      </c>
    </row>
    <row r="58" spans="3:12" x14ac:dyDescent="0.55000000000000004">
      <c r="C58">
        <v>58</v>
      </c>
      <c r="D58" t="s">
        <v>537</v>
      </c>
      <c r="K58">
        <f t="shared" si="1"/>
        <v>58</v>
      </c>
      <c r="L58" t="str">
        <f t="shared" si="0"/>
        <v>app/admin/settings/affiliate/page.tsx</v>
      </c>
    </row>
    <row r="59" spans="3:12" x14ac:dyDescent="0.55000000000000004">
      <c r="C59">
        <v>59</v>
      </c>
      <c r="D59" t="s">
        <v>538</v>
      </c>
      <c r="K59">
        <f t="shared" si="1"/>
        <v>59</v>
      </c>
      <c r="L59" t="str">
        <f t="shared" si="0"/>
        <v>app/affiliate/dashboard/codes/page.tsx</v>
      </c>
    </row>
    <row r="60" spans="3:12" x14ac:dyDescent="0.55000000000000004">
      <c r="C60">
        <v>60</v>
      </c>
      <c r="D60" t="s">
        <v>539</v>
      </c>
      <c r="K60">
        <f t="shared" si="1"/>
        <v>60</v>
      </c>
      <c r="L60" t="str">
        <f t="shared" si="0"/>
        <v>app/affiliate/dashboard/commissions/page.tsx</v>
      </c>
    </row>
    <row r="61" spans="3:12" x14ac:dyDescent="0.55000000000000004">
      <c r="C61">
        <v>61</v>
      </c>
      <c r="D61" t="s">
        <v>540</v>
      </c>
      <c r="K61">
        <f t="shared" si="1"/>
        <v>61</v>
      </c>
      <c r="L61" t="str">
        <f t="shared" si="0"/>
        <v>app/affiliate/dashboard/layout.tsx</v>
      </c>
    </row>
    <row r="62" spans="3:12" x14ac:dyDescent="0.55000000000000004">
      <c r="C62">
        <v>62</v>
      </c>
      <c r="D62" t="s">
        <v>541</v>
      </c>
      <c r="K62">
        <f t="shared" si="1"/>
        <v>62</v>
      </c>
      <c r="L62" t="str">
        <f t="shared" si="0"/>
        <v>app/affiliate/dashboard/page.tsx</v>
      </c>
    </row>
    <row r="63" spans="3:12" x14ac:dyDescent="0.55000000000000004">
      <c r="C63">
        <v>63</v>
      </c>
      <c r="D63" t="s">
        <v>542</v>
      </c>
      <c r="K63">
        <f t="shared" si="1"/>
        <v>63</v>
      </c>
      <c r="L63" t="str">
        <f t="shared" si="0"/>
        <v>app/affiliate/dashboard/profile/page.tsx</v>
      </c>
    </row>
    <row r="64" spans="3:12" x14ac:dyDescent="0.55000000000000004">
      <c r="C64">
        <v>64</v>
      </c>
      <c r="D64" t="s">
        <v>52</v>
      </c>
      <c r="K64">
        <f t="shared" si="1"/>
        <v>64</v>
      </c>
      <c r="L64" t="str">
        <f t="shared" si="0"/>
        <v>app/affiliate/dashboard/profile/payment/page.tsx</v>
      </c>
    </row>
    <row r="65" spans="3:12" x14ac:dyDescent="0.55000000000000004">
      <c r="C65">
        <v>65</v>
      </c>
      <c r="D65" t="s">
        <v>543</v>
      </c>
      <c r="K65">
        <f t="shared" si="1"/>
        <v>65</v>
      </c>
      <c r="L65" t="str">
        <f t="shared" si="0"/>
        <v>app/affiliate/layout.tsx</v>
      </c>
    </row>
    <row r="66" spans="3:12" x14ac:dyDescent="0.55000000000000004">
      <c r="C66">
        <v>66</v>
      </c>
      <c r="D66" t="s">
        <v>544</v>
      </c>
      <c r="K66">
        <f t="shared" si="1"/>
        <v>66</v>
      </c>
      <c r="L66" t="str">
        <f t="shared" ref="L66:L74" si="2">TRIM(SUBSTITUTE(SUBSTITUTE(D66, LEFT(D66, FIND("app/", D66)-1), ""), "`", ""))</f>
        <v>app/affiliate/register/layout.tsx</v>
      </c>
    </row>
    <row r="67" spans="3:12" x14ac:dyDescent="0.55000000000000004">
      <c r="C67">
        <v>67</v>
      </c>
      <c r="D67" t="s">
        <v>545</v>
      </c>
      <c r="K67">
        <f t="shared" ref="K67:K130" si="3">K66+1</f>
        <v>67</v>
      </c>
      <c r="L67" t="str">
        <f t="shared" si="2"/>
        <v>app/affiliate/register/page.tsx</v>
      </c>
    </row>
    <row r="68" spans="3:12" x14ac:dyDescent="0.55000000000000004">
      <c r="C68">
        <v>68</v>
      </c>
      <c r="D68" t="s">
        <v>546</v>
      </c>
      <c r="K68">
        <f t="shared" si="3"/>
        <v>68</v>
      </c>
      <c r="L68" t="str">
        <f t="shared" si="2"/>
        <v>app/affiliate/verify/layout.tsx</v>
      </c>
    </row>
    <row r="69" spans="3:12" x14ac:dyDescent="0.55000000000000004">
      <c r="C69">
        <v>69</v>
      </c>
      <c r="D69" t="s">
        <v>547</v>
      </c>
      <c r="K69">
        <f t="shared" si="3"/>
        <v>69</v>
      </c>
      <c r="L69" t="str">
        <f t="shared" si="2"/>
        <v>app/affiliate/verify/page.tsx</v>
      </c>
    </row>
    <row r="70" spans="3:12" x14ac:dyDescent="0.55000000000000004">
      <c r="C70">
        <v>70</v>
      </c>
      <c r="D70" t="s">
        <v>58</v>
      </c>
      <c r="K70">
        <f t="shared" si="3"/>
        <v>70</v>
      </c>
      <c r="L70" t="str">
        <f t="shared" si="2"/>
        <v>app/checkout/page.tsx</v>
      </c>
    </row>
    <row r="71" spans="3:12" x14ac:dyDescent="0.55000000000000004">
      <c r="C71">
        <v>71</v>
      </c>
      <c r="D71" t="s">
        <v>548</v>
      </c>
      <c r="K71">
        <f t="shared" si="3"/>
        <v>71</v>
      </c>
      <c r="L71" t="str">
        <f t="shared" si="2"/>
        <v>app/error.tsx</v>
      </c>
    </row>
    <row r="72" spans="3:12" x14ac:dyDescent="0.55000000000000004">
      <c r="C72">
        <v>72</v>
      </c>
      <c r="D72" t="s">
        <v>549</v>
      </c>
      <c r="K72">
        <f t="shared" si="3"/>
        <v>72</v>
      </c>
      <c r="L72" t="str">
        <f t="shared" si="2"/>
        <v>app/layout.tsx</v>
      </c>
    </row>
    <row r="73" spans="3:12" x14ac:dyDescent="0.55000000000000004">
      <c r="C73">
        <v>73</v>
      </c>
      <c r="D73" t="s">
        <v>550</v>
      </c>
      <c r="K73">
        <f t="shared" si="3"/>
        <v>73</v>
      </c>
      <c r="L73" t="str">
        <f t="shared" si="2"/>
        <v>app/providers.tsx</v>
      </c>
    </row>
    <row r="74" spans="3:12" x14ac:dyDescent="0.55000000000000004">
      <c r="C74">
        <v>74</v>
      </c>
      <c r="D74" t="s">
        <v>551</v>
      </c>
      <c r="K74">
        <f t="shared" si="3"/>
        <v>74</v>
      </c>
      <c r="L74" t="str">
        <f t="shared" si="2"/>
        <v>app/test-api/page.tsx</v>
      </c>
    </row>
    <row r="75" spans="3:12" x14ac:dyDescent="0.55000000000000004">
      <c r="C75">
        <v>1</v>
      </c>
      <c r="D75" t="s">
        <v>552</v>
      </c>
      <c r="K75">
        <f t="shared" si="3"/>
        <v>75</v>
      </c>
      <c r="L75" t="str">
        <f>TRIM(SUBSTITUTE(SUBSTITUTE(D75, LEFT(D75, FIND("components/", D75)-1), ""), "`", ""))</f>
        <v>components/admin/FraudAlertCard.tsx</v>
      </c>
    </row>
    <row r="76" spans="3:12" x14ac:dyDescent="0.55000000000000004">
      <c r="C76">
        <v>2</v>
      </c>
      <c r="D76" t="s">
        <v>553</v>
      </c>
      <c r="K76">
        <f t="shared" si="3"/>
        <v>76</v>
      </c>
      <c r="L76" t="str">
        <f t="shared" ref="L76:L139" si="4">TRIM(SUBSTITUTE(SUBSTITUTE(D76, LEFT(D76, FIND("components/", D76)-1), ""), "`", ""))</f>
        <v>components/admin/FraudPatternBadge.tsx</v>
      </c>
    </row>
    <row r="77" spans="3:12" x14ac:dyDescent="0.55000000000000004">
      <c r="C77">
        <v>3</v>
      </c>
      <c r="D77" t="s">
        <v>554</v>
      </c>
      <c r="K77">
        <f t="shared" si="3"/>
        <v>77</v>
      </c>
      <c r="L77" t="str">
        <f t="shared" si="4"/>
        <v>components/admin/affiliate-filters.tsx</v>
      </c>
    </row>
    <row r="78" spans="3:12" x14ac:dyDescent="0.55000000000000004">
      <c r="C78">
        <v>4</v>
      </c>
      <c r="D78" t="s">
        <v>555</v>
      </c>
      <c r="K78">
        <f t="shared" si="3"/>
        <v>78</v>
      </c>
      <c r="L78" t="str">
        <f t="shared" si="4"/>
        <v>components/admin/affiliate-stats-banner.tsx</v>
      </c>
    </row>
    <row r="79" spans="3:12" x14ac:dyDescent="0.55000000000000004">
      <c r="C79">
        <v>5</v>
      </c>
      <c r="D79" t="s">
        <v>556</v>
      </c>
      <c r="K79">
        <f t="shared" si="3"/>
        <v>79</v>
      </c>
      <c r="L79" t="str">
        <f t="shared" si="4"/>
        <v>components/admin/affiliate-table.tsx</v>
      </c>
    </row>
    <row r="80" spans="3:12" x14ac:dyDescent="0.55000000000000004">
      <c r="C80">
        <v>6</v>
      </c>
      <c r="D80" t="s">
        <v>557</v>
      </c>
      <c r="K80">
        <f t="shared" si="3"/>
        <v>80</v>
      </c>
      <c r="L80" t="str">
        <f t="shared" si="4"/>
        <v>components/admin/code-inventory-chart.tsx</v>
      </c>
    </row>
    <row r="81" spans="3:12" x14ac:dyDescent="0.55000000000000004">
      <c r="C81">
        <v>7</v>
      </c>
      <c r="D81" t="s">
        <v>43</v>
      </c>
      <c r="K81">
        <f t="shared" si="3"/>
        <v>81</v>
      </c>
      <c r="L81" t="str">
        <f t="shared" si="4"/>
        <v>components/admin/commission-owings-table.tsx</v>
      </c>
    </row>
    <row r="82" spans="3:12" x14ac:dyDescent="0.55000000000000004">
      <c r="C82">
        <v>8</v>
      </c>
      <c r="D82" t="s">
        <v>558</v>
      </c>
      <c r="K82">
        <f t="shared" si="3"/>
        <v>82</v>
      </c>
      <c r="L82" t="str">
        <f t="shared" si="4"/>
        <v>components/admin/distribute-codes-modal.tsx</v>
      </c>
    </row>
    <row r="83" spans="3:12" x14ac:dyDescent="0.55000000000000004">
      <c r="C83">
        <v>9</v>
      </c>
      <c r="D83" t="s">
        <v>559</v>
      </c>
      <c r="K83">
        <f t="shared" si="3"/>
        <v>83</v>
      </c>
      <c r="L83" t="str">
        <f t="shared" si="4"/>
        <v>components/admin/pay-commission-modal.tsx</v>
      </c>
    </row>
    <row r="84" spans="3:12" x14ac:dyDescent="0.55000000000000004">
      <c r="C84">
        <v>10</v>
      </c>
      <c r="D84" t="s">
        <v>560</v>
      </c>
      <c r="K84">
        <f t="shared" si="3"/>
        <v>84</v>
      </c>
      <c r="L84" t="str">
        <f t="shared" si="4"/>
        <v>components/admin/pnl-breakdown-table.tsx</v>
      </c>
    </row>
    <row r="85" spans="3:12" x14ac:dyDescent="0.55000000000000004">
      <c r="C85">
        <v>11</v>
      </c>
      <c r="D85" t="s">
        <v>561</v>
      </c>
      <c r="K85">
        <f t="shared" si="3"/>
        <v>85</v>
      </c>
      <c r="L85" t="str">
        <f t="shared" si="4"/>
        <v>components/admin/pnl-summary-cards.tsx</v>
      </c>
    </row>
    <row r="86" spans="3:12" x14ac:dyDescent="0.55000000000000004">
      <c r="C86">
        <v>12</v>
      </c>
      <c r="D86" t="s">
        <v>562</v>
      </c>
      <c r="K86">
        <f t="shared" si="3"/>
        <v>86</v>
      </c>
      <c r="L86" t="str">
        <f t="shared" si="4"/>
        <v>components/admin/pnl-trend-chart.tsx</v>
      </c>
    </row>
    <row r="87" spans="3:12" x14ac:dyDescent="0.55000000000000004">
      <c r="C87">
        <v>13</v>
      </c>
      <c r="D87" t="s">
        <v>44</v>
      </c>
      <c r="K87">
        <f t="shared" si="3"/>
        <v>87</v>
      </c>
      <c r="L87" t="str">
        <f t="shared" si="4"/>
        <v>components/admin/sales-performance-table.tsx</v>
      </c>
    </row>
    <row r="88" spans="3:12" x14ac:dyDescent="0.55000000000000004">
      <c r="C88">
        <v>14</v>
      </c>
      <c r="D88" t="s">
        <v>45</v>
      </c>
      <c r="K88">
        <f t="shared" si="3"/>
        <v>88</v>
      </c>
      <c r="L88" t="str">
        <f t="shared" si="4"/>
        <v>components/admin/suspend-affiliate-modal.tsx</v>
      </c>
    </row>
    <row r="89" spans="3:12" x14ac:dyDescent="0.55000000000000004">
      <c r="C89">
        <v>15</v>
      </c>
      <c r="D89" t="s">
        <v>563</v>
      </c>
      <c r="K89">
        <f t="shared" si="3"/>
        <v>89</v>
      </c>
      <c r="L89" t="str">
        <f t="shared" si="4"/>
        <v>components/affiliate/code-table.tsx</v>
      </c>
    </row>
    <row r="90" spans="3:12" x14ac:dyDescent="0.55000000000000004">
      <c r="C90">
        <v>16</v>
      </c>
      <c r="D90" t="s">
        <v>51</v>
      </c>
      <c r="K90">
        <f t="shared" si="3"/>
        <v>90</v>
      </c>
      <c r="L90" t="str">
        <f t="shared" si="4"/>
        <v>components/affiliate/commission-table.tsx</v>
      </c>
    </row>
    <row r="91" spans="3:12" x14ac:dyDescent="0.55000000000000004">
      <c r="C91">
        <v>17</v>
      </c>
      <c r="D91" t="s">
        <v>564</v>
      </c>
      <c r="K91">
        <f t="shared" si="3"/>
        <v>91</v>
      </c>
      <c r="L91" t="str">
        <f t="shared" si="4"/>
        <v>components/affiliate/stats-card.tsx</v>
      </c>
    </row>
    <row r="92" spans="3:12" x14ac:dyDescent="0.55000000000000004">
      <c r="C92">
        <v>18</v>
      </c>
      <c r="D92" t="s">
        <v>35</v>
      </c>
      <c r="K92">
        <f t="shared" si="3"/>
        <v>92</v>
      </c>
      <c r="L92" t="str">
        <f t="shared" si="4"/>
        <v>components/alerts/alert-card.tsx</v>
      </c>
    </row>
    <row r="93" spans="3:12" x14ac:dyDescent="0.55000000000000004">
      <c r="C93">
        <v>19</v>
      </c>
      <c r="D93" t="s">
        <v>36</v>
      </c>
      <c r="K93">
        <f t="shared" si="3"/>
        <v>93</v>
      </c>
      <c r="L93" t="str">
        <f t="shared" si="4"/>
        <v>components/alerts/alert-form.tsx</v>
      </c>
    </row>
    <row r="94" spans="3:12" x14ac:dyDescent="0.55000000000000004">
      <c r="C94">
        <v>20</v>
      </c>
      <c r="D94" t="s">
        <v>37</v>
      </c>
      <c r="K94">
        <f t="shared" si="3"/>
        <v>94</v>
      </c>
      <c r="L94" t="str">
        <f t="shared" si="4"/>
        <v>components/alerts/alert-list.tsx</v>
      </c>
    </row>
    <row r="95" spans="3:12" x14ac:dyDescent="0.55000000000000004">
      <c r="C95">
        <v>21</v>
      </c>
      <c r="D95" t="s">
        <v>565</v>
      </c>
      <c r="K95">
        <f t="shared" si="3"/>
        <v>95</v>
      </c>
      <c r="L95" t="str">
        <f t="shared" si="4"/>
        <v>components/auth/login-form.tsx</v>
      </c>
    </row>
    <row r="96" spans="3:12" x14ac:dyDescent="0.55000000000000004">
      <c r="C96">
        <v>22</v>
      </c>
      <c r="D96" t="s">
        <v>566</v>
      </c>
      <c r="K96">
        <f t="shared" si="3"/>
        <v>96</v>
      </c>
      <c r="L96" t="str">
        <f t="shared" si="4"/>
        <v>components/auth/login-tracker.tsx</v>
      </c>
    </row>
    <row r="97" spans="3:12" x14ac:dyDescent="0.55000000000000004">
      <c r="C97">
        <v>23</v>
      </c>
      <c r="D97" t="s">
        <v>567</v>
      </c>
      <c r="K97">
        <f t="shared" si="3"/>
        <v>97</v>
      </c>
      <c r="L97" t="str">
        <f t="shared" si="4"/>
        <v>components/auth/register-form.tsx</v>
      </c>
    </row>
    <row r="98" spans="3:12" x14ac:dyDescent="0.55000000000000004">
      <c r="C98">
        <v>24</v>
      </c>
      <c r="D98" t="s">
        <v>22</v>
      </c>
      <c r="K98">
        <f t="shared" si="3"/>
        <v>98</v>
      </c>
      <c r="L98" t="str">
        <f t="shared" si="4"/>
        <v>components/auth/social-auth-buttons.tsx</v>
      </c>
    </row>
    <row r="99" spans="3:12" x14ac:dyDescent="0.55000000000000004">
      <c r="C99">
        <v>25</v>
      </c>
      <c r="D99" t="s">
        <v>568</v>
      </c>
      <c r="K99">
        <f t="shared" si="3"/>
        <v>99</v>
      </c>
      <c r="L99" t="str">
        <f t="shared" si="4"/>
        <v>components/billing/invoice-list.tsx</v>
      </c>
    </row>
    <row r="100" spans="3:12" x14ac:dyDescent="0.55000000000000004">
      <c r="C100">
        <v>26</v>
      </c>
      <c r="D100" t="s">
        <v>40</v>
      </c>
      <c r="K100">
        <f t="shared" si="3"/>
        <v>100</v>
      </c>
      <c r="L100" t="str">
        <f t="shared" si="4"/>
        <v>components/billing/subscription-card.tsx</v>
      </c>
    </row>
    <row r="101" spans="3:12" x14ac:dyDescent="0.55000000000000004">
      <c r="C101">
        <v>27</v>
      </c>
      <c r="D101" t="s">
        <v>569</v>
      </c>
      <c r="K101">
        <f t="shared" si="3"/>
        <v>101</v>
      </c>
      <c r="L101" t="str">
        <f t="shared" si="4"/>
        <v>components/charts/chart-controls.tsx</v>
      </c>
    </row>
    <row r="102" spans="3:12" x14ac:dyDescent="0.55000000000000004">
      <c r="C102">
        <v>28</v>
      </c>
      <c r="D102" t="s">
        <v>570</v>
      </c>
      <c r="K102">
        <f t="shared" si="3"/>
        <v>102</v>
      </c>
      <c r="L102" t="str">
        <f t="shared" si="4"/>
        <v>components/charts/indicator-toggles.tsx</v>
      </c>
    </row>
    <row r="103" spans="3:12" x14ac:dyDescent="0.55000000000000004">
      <c r="C103">
        <v>29</v>
      </c>
      <c r="D103" t="s">
        <v>31</v>
      </c>
      <c r="K103">
        <f t="shared" si="3"/>
        <v>103</v>
      </c>
      <c r="L103" t="str">
        <f t="shared" si="4"/>
        <v>components/charts/pro-indicator-overlay.tsx</v>
      </c>
    </row>
    <row r="104" spans="3:12" x14ac:dyDescent="0.55000000000000004">
      <c r="C104">
        <v>30</v>
      </c>
      <c r="D104" t="s">
        <v>571</v>
      </c>
      <c r="K104">
        <f t="shared" si="3"/>
        <v>104</v>
      </c>
      <c r="L104" t="str">
        <f t="shared" si="4"/>
        <v>components/charts/timeframe-selector.tsx</v>
      </c>
    </row>
    <row r="105" spans="3:12" x14ac:dyDescent="0.55000000000000004">
      <c r="C105">
        <v>31</v>
      </c>
      <c r="D105" t="s">
        <v>572</v>
      </c>
      <c r="K105">
        <f t="shared" si="3"/>
        <v>105</v>
      </c>
      <c r="L105" t="str">
        <f t="shared" si="4"/>
        <v>components/charts/trading-chart.tsx</v>
      </c>
    </row>
    <row r="106" spans="3:12" x14ac:dyDescent="0.55000000000000004">
      <c r="C106">
        <v>32</v>
      </c>
      <c r="D106" t="s">
        <v>573</v>
      </c>
      <c r="K106">
        <f t="shared" si="3"/>
        <v>106</v>
      </c>
      <c r="L106" t="str">
        <f t="shared" si="4"/>
        <v>components/dashboard/recent-alerts.tsx</v>
      </c>
    </row>
    <row r="107" spans="3:12" x14ac:dyDescent="0.55000000000000004">
      <c r="C107">
        <v>33</v>
      </c>
      <c r="D107" t="s">
        <v>574</v>
      </c>
      <c r="K107">
        <f t="shared" si="3"/>
        <v>107</v>
      </c>
      <c r="L107" t="str">
        <f t="shared" si="4"/>
        <v>components/dashboard/stats-card.tsx</v>
      </c>
    </row>
    <row r="108" spans="3:12" x14ac:dyDescent="0.55000000000000004">
      <c r="C108">
        <v>34</v>
      </c>
      <c r="D108" t="s">
        <v>575</v>
      </c>
      <c r="K108">
        <f t="shared" si="3"/>
        <v>108</v>
      </c>
      <c r="L108" t="str">
        <f t="shared" si="4"/>
        <v>components/dashboard/upgrade-prompt.tsx</v>
      </c>
    </row>
    <row r="109" spans="3:12" x14ac:dyDescent="0.55000000000000004">
      <c r="C109">
        <v>35</v>
      </c>
      <c r="D109" t="s">
        <v>27</v>
      </c>
      <c r="K109">
        <f t="shared" si="3"/>
        <v>109</v>
      </c>
      <c r="L109" t="str">
        <f t="shared" si="4"/>
        <v>components/dashboard/watchlist-widget.tsx</v>
      </c>
    </row>
    <row r="110" spans="3:12" x14ac:dyDescent="0.55000000000000004">
      <c r="C110">
        <v>36</v>
      </c>
      <c r="D110" t="s">
        <v>576</v>
      </c>
      <c r="K110">
        <f t="shared" si="3"/>
        <v>110</v>
      </c>
      <c r="L110" t="str">
        <f t="shared" si="4"/>
        <v>components/indicators/indicator-selector.tsx</v>
      </c>
    </row>
    <row r="111" spans="3:12" x14ac:dyDescent="0.55000000000000004">
      <c r="C111">
        <v>37</v>
      </c>
      <c r="D111" t="s">
        <v>577</v>
      </c>
      <c r="K111">
        <f t="shared" si="3"/>
        <v>111</v>
      </c>
      <c r="L111" t="str">
        <f t="shared" si="4"/>
        <v>components/layout/footer.tsx</v>
      </c>
    </row>
    <row r="112" spans="3:12" x14ac:dyDescent="0.55000000000000004">
      <c r="C112">
        <v>38</v>
      </c>
      <c r="D112" t="s">
        <v>578</v>
      </c>
      <c r="K112">
        <f t="shared" si="3"/>
        <v>112</v>
      </c>
      <c r="L112" t="str">
        <f t="shared" si="4"/>
        <v>components/layout/header.tsx</v>
      </c>
    </row>
    <row r="113" spans="3:12" x14ac:dyDescent="0.55000000000000004">
      <c r="C113">
        <v>39</v>
      </c>
      <c r="D113" t="s">
        <v>28</v>
      </c>
      <c r="K113">
        <f t="shared" si="3"/>
        <v>113</v>
      </c>
      <c r="L113" t="str">
        <f t="shared" si="4"/>
        <v>components/layout/mobile-nav.tsx</v>
      </c>
    </row>
    <row r="114" spans="3:12" x14ac:dyDescent="0.55000000000000004">
      <c r="C114">
        <v>40</v>
      </c>
      <c r="D114" t="s">
        <v>579</v>
      </c>
      <c r="K114">
        <f t="shared" si="3"/>
        <v>114</v>
      </c>
      <c r="L114" t="str">
        <f t="shared" si="4"/>
        <v>components/layout/sidebar.tsx</v>
      </c>
    </row>
    <row r="115" spans="3:12" x14ac:dyDescent="0.55000000000000004">
      <c r="C115">
        <v>41</v>
      </c>
      <c r="D115" t="s">
        <v>47</v>
      </c>
      <c r="K115">
        <f t="shared" si="3"/>
        <v>115</v>
      </c>
      <c r="L115" t="str">
        <f t="shared" si="4"/>
        <v>components/notifications/notification-bell.tsx</v>
      </c>
    </row>
    <row r="116" spans="3:12" x14ac:dyDescent="0.55000000000000004">
      <c r="C116">
        <v>42</v>
      </c>
      <c r="D116" t="s">
        <v>48</v>
      </c>
      <c r="K116">
        <f t="shared" si="3"/>
        <v>116</v>
      </c>
      <c r="L116" t="str">
        <f t="shared" si="4"/>
        <v>components/notifications/notification-list.tsx</v>
      </c>
    </row>
    <row r="117" spans="3:12" x14ac:dyDescent="0.55000000000000004">
      <c r="C117">
        <v>43</v>
      </c>
      <c r="D117" t="s">
        <v>580</v>
      </c>
      <c r="K117">
        <f t="shared" si="3"/>
        <v>117</v>
      </c>
      <c r="L117" t="str">
        <f t="shared" si="4"/>
        <v>components/payments/CountrySelector.tsx</v>
      </c>
    </row>
    <row r="118" spans="3:12" x14ac:dyDescent="0.55000000000000004">
      <c r="C118">
        <v>44</v>
      </c>
      <c r="D118" t="s">
        <v>581</v>
      </c>
      <c r="K118">
        <f t="shared" si="3"/>
        <v>118</v>
      </c>
      <c r="L118" t="str">
        <f t="shared" si="4"/>
        <v>components/payments/DiscountCodeInput.tsx</v>
      </c>
    </row>
    <row r="119" spans="3:12" x14ac:dyDescent="0.55000000000000004">
      <c r="C119">
        <v>45</v>
      </c>
      <c r="D119" t="s">
        <v>582</v>
      </c>
      <c r="K119">
        <f t="shared" si="3"/>
        <v>119</v>
      </c>
      <c r="L119" t="str">
        <f t="shared" si="4"/>
        <v>components/payments/PaymentButton.tsx</v>
      </c>
    </row>
    <row r="120" spans="3:12" x14ac:dyDescent="0.55000000000000004">
      <c r="C120">
        <v>46</v>
      </c>
      <c r="D120" t="s">
        <v>57</v>
      </c>
      <c r="K120">
        <f t="shared" si="3"/>
        <v>120</v>
      </c>
      <c r="L120" t="str">
        <f t="shared" si="4"/>
        <v>components/payments/PaymentMethodSelector.tsx</v>
      </c>
    </row>
    <row r="121" spans="3:12" x14ac:dyDescent="0.55000000000000004">
      <c r="C121">
        <v>47</v>
      </c>
      <c r="D121" t="s">
        <v>583</v>
      </c>
      <c r="K121">
        <f t="shared" si="3"/>
        <v>121</v>
      </c>
      <c r="L121" t="str">
        <f t="shared" si="4"/>
        <v>components/payments/PlanSelector.tsx</v>
      </c>
    </row>
    <row r="122" spans="3:12" x14ac:dyDescent="0.55000000000000004">
      <c r="C122">
        <v>48</v>
      </c>
      <c r="D122" t="s">
        <v>584</v>
      </c>
      <c r="K122">
        <f t="shared" si="3"/>
        <v>122</v>
      </c>
      <c r="L122" t="str">
        <f t="shared" si="4"/>
        <v>components/payments/PriceDisplay.tsx</v>
      </c>
    </row>
    <row r="123" spans="3:12" x14ac:dyDescent="0.55000000000000004">
      <c r="C123">
        <v>49</v>
      </c>
      <c r="D123" t="s">
        <v>41</v>
      </c>
      <c r="K123">
        <f t="shared" si="3"/>
        <v>123</v>
      </c>
      <c r="L123" t="str">
        <f t="shared" si="4"/>
        <v>components/pricing/tier-comparison.tsx</v>
      </c>
    </row>
    <row r="124" spans="3:12" x14ac:dyDescent="0.55000000000000004">
      <c r="C124">
        <v>50</v>
      </c>
      <c r="D124" t="s">
        <v>585</v>
      </c>
      <c r="K124">
        <f t="shared" si="3"/>
        <v>124</v>
      </c>
      <c r="L124" t="str">
        <f t="shared" si="4"/>
        <v>components/providers/theme-provider.tsx</v>
      </c>
    </row>
    <row r="125" spans="3:12" x14ac:dyDescent="0.55000000000000004">
      <c r="C125">
        <v>51</v>
      </c>
      <c r="D125" t="s">
        <v>586</v>
      </c>
      <c r="K125">
        <f t="shared" si="3"/>
        <v>125</v>
      </c>
      <c r="L125" t="str">
        <f t="shared" si="4"/>
        <v>components/providers/websocket-provider.tsx</v>
      </c>
    </row>
    <row r="126" spans="3:12" x14ac:dyDescent="0.55000000000000004">
      <c r="C126">
        <v>52</v>
      </c>
      <c r="D126" t="s">
        <v>587</v>
      </c>
      <c r="K126">
        <f t="shared" si="3"/>
        <v>126</v>
      </c>
      <c r="L126" t="str">
        <f t="shared" si="4"/>
        <v>components/ui/alert-dialog.tsx</v>
      </c>
    </row>
    <row r="127" spans="3:12" x14ac:dyDescent="0.55000000000000004">
      <c r="C127">
        <v>53</v>
      </c>
      <c r="D127" t="s">
        <v>588</v>
      </c>
      <c r="K127">
        <f t="shared" si="3"/>
        <v>127</v>
      </c>
      <c r="L127" t="str">
        <f t="shared" si="4"/>
        <v>components/ui/avatar.tsx</v>
      </c>
    </row>
    <row r="128" spans="3:12" x14ac:dyDescent="0.55000000000000004">
      <c r="C128">
        <v>54</v>
      </c>
      <c r="D128" t="s">
        <v>589</v>
      </c>
      <c r="K128">
        <f t="shared" si="3"/>
        <v>128</v>
      </c>
      <c r="L128" t="str">
        <f t="shared" si="4"/>
        <v>components/ui/badge.tsx</v>
      </c>
    </row>
    <row r="129" spans="3:12" x14ac:dyDescent="0.55000000000000004">
      <c r="C129">
        <v>55</v>
      </c>
      <c r="D129" t="s">
        <v>590</v>
      </c>
      <c r="K129">
        <f t="shared" si="3"/>
        <v>129</v>
      </c>
      <c r="L129" t="str">
        <f t="shared" si="4"/>
        <v>components/ui/breadcrumb.tsx</v>
      </c>
    </row>
    <row r="130" spans="3:12" x14ac:dyDescent="0.55000000000000004">
      <c r="C130">
        <v>56</v>
      </c>
      <c r="D130" t="s">
        <v>591</v>
      </c>
      <c r="K130">
        <f t="shared" si="3"/>
        <v>130</v>
      </c>
      <c r="L130" t="str">
        <f t="shared" si="4"/>
        <v>components/ui/button.tsx</v>
      </c>
    </row>
    <row r="131" spans="3:12" x14ac:dyDescent="0.55000000000000004">
      <c r="C131">
        <v>57</v>
      </c>
      <c r="D131" t="s">
        <v>592</v>
      </c>
      <c r="K131">
        <f t="shared" ref="K131:K182" si="5">K130+1</f>
        <v>131</v>
      </c>
      <c r="L131" t="str">
        <f t="shared" si="4"/>
        <v>components/ui/card.tsx</v>
      </c>
    </row>
    <row r="132" spans="3:12" x14ac:dyDescent="0.55000000000000004">
      <c r="C132">
        <v>58</v>
      </c>
      <c r="D132" t="s">
        <v>593</v>
      </c>
      <c r="K132">
        <f t="shared" si="5"/>
        <v>132</v>
      </c>
      <c r="L132" t="str">
        <f t="shared" si="4"/>
        <v>components/ui/dialog.tsx</v>
      </c>
    </row>
    <row r="133" spans="3:12" x14ac:dyDescent="0.55000000000000004">
      <c r="C133">
        <v>59</v>
      </c>
      <c r="D133" t="s">
        <v>594</v>
      </c>
      <c r="K133">
        <f t="shared" si="5"/>
        <v>133</v>
      </c>
      <c r="L133" t="str">
        <f t="shared" si="4"/>
        <v>components/ui/dropdown-menu.tsx</v>
      </c>
    </row>
    <row r="134" spans="3:12" x14ac:dyDescent="0.55000000000000004">
      <c r="C134">
        <v>60</v>
      </c>
      <c r="D134" t="s">
        <v>595</v>
      </c>
      <c r="K134">
        <f t="shared" si="5"/>
        <v>134</v>
      </c>
      <c r="L134" t="str">
        <f t="shared" si="4"/>
        <v>components/ui/input.tsx</v>
      </c>
    </row>
    <row r="135" spans="3:12" x14ac:dyDescent="0.55000000000000004">
      <c r="C135">
        <v>61</v>
      </c>
      <c r="D135" t="s">
        <v>596</v>
      </c>
      <c r="K135">
        <f t="shared" si="5"/>
        <v>135</v>
      </c>
      <c r="L135" t="str">
        <f t="shared" si="4"/>
        <v>components/ui/label.tsx</v>
      </c>
    </row>
    <row r="136" spans="3:12" x14ac:dyDescent="0.55000000000000004">
      <c r="C136">
        <v>62</v>
      </c>
      <c r="D136" t="s">
        <v>597</v>
      </c>
      <c r="K136">
        <f t="shared" si="5"/>
        <v>136</v>
      </c>
      <c r="L136" t="str">
        <f t="shared" si="4"/>
        <v>components/ui/pagination.tsx</v>
      </c>
    </row>
    <row r="137" spans="3:12" x14ac:dyDescent="0.55000000000000004">
      <c r="C137">
        <v>63</v>
      </c>
      <c r="D137" t="s">
        <v>598</v>
      </c>
      <c r="K137">
        <f t="shared" si="5"/>
        <v>137</v>
      </c>
      <c r="L137" t="str">
        <f t="shared" si="4"/>
        <v>components/ui/popover.tsx</v>
      </c>
    </row>
    <row r="138" spans="3:12" x14ac:dyDescent="0.55000000000000004">
      <c r="C138">
        <v>64</v>
      </c>
      <c r="D138" t="s">
        <v>599</v>
      </c>
      <c r="K138">
        <f t="shared" si="5"/>
        <v>138</v>
      </c>
      <c r="L138" t="str">
        <f t="shared" si="4"/>
        <v>components/ui/progress.tsx</v>
      </c>
    </row>
    <row r="139" spans="3:12" x14ac:dyDescent="0.55000000000000004">
      <c r="C139">
        <v>65</v>
      </c>
      <c r="D139" t="s">
        <v>600</v>
      </c>
      <c r="K139">
        <f t="shared" si="5"/>
        <v>139</v>
      </c>
      <c r="L139" t="str">
        <f t="shared" si="4"/>
        <v>components/ui/scroll-area.tsx</v>
      </c>
    </row>
    <row r="140" spans="3:12" x14ac:dyDescent="0.55000000000000004">
      <c r="C140">
        <v>66</v>
      </c>
      <c r="D140" t="s">
        <v>601</v>
      </c>
      <c r="K140">
        <f t="shared" si="5"/>
        <v>140</v>
      </c>
      <c r="L140" t="str">
        <f t="shared" ref="L140:L151" si="6">TRIM(SUBSTITUTE(SUBSTITUTE(D140, LEFT(D140, FIND("components/", D140)-1), ""), "`", ""))</f>
        <v>components/ui/select.tsx</v>
      </c>
    </row>
    <row r="141" spans="3:12" x14ac:dyDescent="0.55000000000000004">
      <c r="C141">
        <v>67</v>
      </c>
      <c r="D141" t="s">
        <v>602</v>
      </c>
      <c r="K141">
        <f t="shared" si="5"/>
        <v>141</v>
      </c>
      <c r="L141" t="str">
        <f t="shared" si="6"/>
        <v>components/ui/separator.tsx</v>
      </c>
    </row>
    <row r="142" spans="3:12" x14ac:dyDescent="0.55000000000000004">
      <c r="C142">
        <v>68</v>
      </c>
      <c r="D142" t="s">
        <v>603</v>
      </c>
      <c r="K142">
        <f t="shared" si="5"/>
        <v>142</v>
      </c>
      <c r="L142" t="str">
        <f t="shared" si="6"/>
        <v>components/ui/sheet.tsx</v>
      </c>
    </row>
    <row r="143" spans="3:12" x14ac:dyDescent="0.55000000000000004">
      <c r="C143">
        <v>69</v>
      </c>
      <c r="D143" t="s">
        <v>604</v>
      </c>
      <c r="K143">
        <f t="shared" si="5"/>
        <v>143</v>
      </c>
      <c r="L143" t="str">
        <f t="shared" si="6"/>
        <v>components/ui/skeleton.tsx</v>
      </c>
    </row>
    <row r="144" spans="3:12" x14ac:dyDescent="0.55000000000000004">
      <c r="C144">
        <v>70</v>
      </c>
      <c r="D144" t="s">
        <v>605</v>
      </c>
      <c r="K144">
        <f t="shared" si="5"/>
        <v>144</v>
      </c>
      <c r="L144" t="str">
        <f t="shared" si="6"/>
        <v>components/ui/switch.tsx</v>
      </c>
    </row>
    <row r="145" spans="3:12" x14ac:dyDescent="0.55000000000000004">
      <c r="C145">
        <v>71</v>
      </c>
      <c r="D145" t="s">
        <v>606</v>
      </c>
      <c r="K145">
        <f t="shared" si="5"/>
        <v>145</v>
      </c>
      <c r="L145" t="str">
        <f t="shared" si="6"/>
        <v>components/ui/tabs.tsx</v>
      </c>
    </row>
    <row r="146" spans="3:12" x14ac:dyDescent="0.55000000000000004">
      <c r="C146">
        <v>72</v>
      </c>
      <c r="D146" t="s">
        <v>607</v>
      </c>
      <c r="K146">
        <f t="shared" si="5"/>
        <v>146</v>
      </c>
      <c r="L146" t="str">
        <f t="shared" si="6"/>
        <v>components/ui/toast-container.tsx</v>
      </c>
    </row>
    <row r="147" spans="3:12" x14ac:dyDescent="0.55000000000000004">
      <c r="C147">
        <v>73</v>
      </c>
      <c r="D147" t="s">
        <v>608</v>
      </c>
      <c r="K147">
        <f t="shared" si="5"/>
        <v>147</v>
      </c>
      <c r="L147" t="str">
        <f t="shared" si="6"/>
        <v>components/ui/upgrade-button.tsx</v>
      </c>
    </row>
    <row r="148" spans="3:12" x14ac:dyDescent="0.55000000000000004">
      <c r="C148">
        <v>74</v>
      </c>
      <c r="D148" t="s">
        <v>33</v>
      </c>
      <c r="K148">
        <f t="shared" si="5"/>
        <v>148</v>
      </c>
      <c r="L148" t="str">
        <f t="shared" si="6"/>
        <v>components/watchlist/symbol-selector.tsx</v>
      </c>
    </row>
    <row r="149" spans="3:12" x14ac:dyDescent="0.55000000000000004">
      <c r="C149">
        <v>75</v>
      </c>
      <c r="D149" t="s">
        <v>609</v>
      </c>
      <c r="K149">
        <f t="shared" si="5"/>
        <v>149</v>
      </c>
      <c r="L149" t="str">
        <f t="shared" si="6"/>
        <v>components/watchlist/timeframe-grid.tsx</v>
      </c>
    </row>
    <row r="150" spans="3:12" x14ac:dyDescent="0.55000000000000004">
      <c r="C150">
        <v>76</v>
      </c>
      <c r="D150" t="s">
        <v>610</v>
      </c>
      <c r="K150">
        <f t="shared" si="5"/>
        <v>150</v>
      </c>
      <c r="L150" t="str">
        <f t="shared" si="6"/>
        <v>components/watchlist/watchlist-item.tsx</v>
      </c>
    </row>
    <row r="151" spans="3:12" x14ac:dyDescent="0.55000000000000004">
      <c r="C151">
        <v>77</v>
      </c>
      <c r="D151" t="s">
        <v>611</v>
      </c>
      <c r="K151">
        <f t="shared" si="5"/>
        <v>151</v>
      </c>
      <c r="L151" t="str">
        <f t="shared" si="6"/>
        <v>components/theme-toggle.tsx</v>
      </c>
    </row>
    <row r="152" spans="3:12" x14ac:dyDescent="0.55000000000000004">
      <c r="C152">
        <v>1</v>
      </c>
      <c r="D152" t="s">
        <v>612</v>
      </c>
      <c r="K152">
        <f t="shared" si="5"/>
        <v>152</v>
      </c>
      <c r="L152" t="str">
        <f>TRIM(SUBSTITUTE(SUBSTITUTE(D152, LEFT(D152, FIND("lib/", D152)-1), ""), "`", ""))</f>
        <v>lib/email/templates/affiliate/code-distributed.tsx</v>
      </c>
    </row>
    <row r="153" spans="3:12" x14ac:dyDescent="0.55000000000000004">
      <c r="C153">
        <v>2</v>
      </c>
      <c r="D153" t="s">
        <v>613</v>
      </c>
      <c r="K153">
        <f t="shared" si="5"/>
        <v>153</v>
      </c>
      <c r="L153" t="str">
        <f t="shared" ref="L153:L156" si="7">TRIM(SUBSTITUTE(SUBSTITUTE(D153, LEFT(D153, FIND("lib/", D153)-1), ""), "`", ""))</f>
        <v>lib/email/templates/affiliate/code-used.tsx</v>
      </c>
    </row>
    <row r="154" spans="3:12" x14ac:dyDescent="0.55000000000000004">
      <c r="C154">
        <v>3</v>
      </c>
      <c r="D154" t="s">
        <v>614</v>
      </c>
      <c r="K154">
        <f t="shared" si="5"/>
        <v>154</v>
      </c>
      <c r="L154" t="str">
        <f t="shared" si="7"/>
        <v>lib/email/templates/affiliate/monthly-report.tsx</v>
      </c>
    </row>
    <row r="155" spans="3:12" x14ac:dyDescent="0.55000000000000004">
      <c r="C155">
        <v>4</v>
      </c>
      <c r="D155" t="s">
        <v>615</v>
      </c>
      <c r="K155">
        <f t="shared" si="5"/>
        <v>155</v>
      </c>
      <c r="L155" t="str">
        <f t="shared" si="7"/>
        <v>lib/email/templates/affiliate/payment-processed.tsx</v>
      </c>
    </row>
    <row r="156" spans="3:12" x14ac:dyDescent="0.55000000000000004">
      <c r="C156">
        <v>5</v>
      </c>
      <c r="D156" t="s">
        <v>616</v>
      </c>
      <c r="K156">
        <f t="shared" si="5"/>
        <v>156</v>
      </c>
      <c r="L156" t="str">
        <f t="shared" si="7"/>
        <v>lib/email/templates/affiliate/welcome.tsx</v>
      </c>
    </row>
    <row r="157" spans="3:12" x14ac:dyDescent="0.55000000000000004">
      <c r="C157">
        <v>1</v>
      </c>
      <c r="D157" t="s">
        <v>617</v>
      </c>
      <c r="K157">
        <f t="shared" si="5"/>
        <v>157</v>
      </c>
      <c r="L157" t="str">
        <f>TRIM(SUBSTITUTE(SUBSTITUTE(D157, LEFT(D157, FIND("emails/", D157)-1), ""), "`", ""))</f>
        <v>emails/payment-confirmation.tsx</v>
      </c>
    </row>
    <row r="158" spans="3:12" x14ac:dyDescent="0.55000000000000004">
      <c r="C158">
        <v>2</v>
      </c>
      <c r="D158" t="s">
        <v>618</v>
      </c>
      <c r="K158">
        <f t="shared" si="5"/>
        <v>158</v>
      </c>
      <c r="L158" t="str">
        <f t="shared" ref="L158:L160" si="8">TRIM(SUBSTITUTE(SUBSTITUTE(D158, LEFT(D158, FIND("emails/", D158)-1), ""), "`", ""))</f>
        <v>emails/payment-failure.tsx</v>
      </c>
    </row>
    <row r="159" spans="3:12" x14ac:dyDescent="0.55000000000000004">
      <c r="C159">
        <v>3</v>
      </c>
      <c r="D159" t="s">
        <v>619</v>
      </c>
      <c r="K159">
        <f t="shared" si="5"/>
        <v>159</v>
      </c>
      <c r="L159" t="str">
        <f t="shared" si="8"/>
        <v>emails/renewal-reminder.tsx</v>
      </c>
    </row>
    <row r="160" spans="3:12" x14ac:dyDescent="0.55000000000000004">
      <c r="C160">
        <v>4</v>
      </c>
      <c r="D160" t="s">
        <v>620</v>
      </c>
      <c r="K160">
        <f t="shared" si="5"/>
        <v>160</v>
      </c>
      <c r="L160" t="str">
        <f t="shared" si="8"/>
        <v>emails/subscription-expired.tsx</v>
      </c>
    </row>
    <row r="161" spans="3:12" x14ac:dyDescent="0.55000000000000004">
      <c r="C161">
        <v>1</v>
      </c>
      <c r="D161" t="s">
        <v>621</v>
      </c>
      <c r="K161">
        <f t="shared" si="5"/>
        <v>161</v>
      </c>
      <c r="L161" t="str">
        <f>TRIM(SUBSTITUTE(SUBSTITUTE(D161, LEFT(D161, FIND("__tests__/", D161)-1), ""), "`", ""))</f>
        <v>__tests__/components/admin/affiliate-filters.test.tsx</v>
      </c>
    </row>
    <row r="162" spans="3:12" x14ac:dyDescent="0.55000000000000004">
      <c r="C162">
        <v>2</v>
      </c>
      <c r="D162" t="s">
        <v>622</v>
      </c>
      <c r="K162">
        <f t="shared" si="5"/>
        <v>162</v>
      </c>
      <c r="L162" t="str">
        <f t="shared" ref="L162:L182" si="9">TRIM(SUBSTITUTE(SUBSTITUTE(D162, LEFT(D162, FIND("__tests__/", D162)-1), ""), "`", ""))</f>
        <v>__tests__/components/admin/affiliate-stats-banner.test.tsx</v>
      </c>
    </row>
    <row r="163" spans="3:12" x14ac:dyDescent="0.55000000000000004">
      <c r="C163">
        <v>3</v>
      </c>
      <c r="D163" t="s">
        <v>623</v>
      </c>
      <c r="K163">
        <f t="shared" si="5"/>
        <v>163</v>
      </c>
      <c r="L163" t="str">
        <f t="shared" si="9"/>
        <v>__tests__/components/admin/code-inventory-chart.test.tsx</v>
      </c>
    </row>
    <row r="164" spans="3:12" x14ac:dyDescent="0.55000000000000004">
      <c r="C164">
        <v>4</v>
      </c>
      <c r="D164" t="s">
        <v>624</v>
      </c>
      <c r="K164">
        <f t="shared" si="5"/>
        <v>164</v>
      </c>
      <c r="L164" t="str">
        <f t="shared" si="9"/>
        <v>__tests__/components/admin/fraud-alert-card.test.tsx</v>
      </c>
    </row>
    <row r="165" spans="3:12" x14ac:dyDescent="0.55000000000000004">
      <c r="C165">
        <v>5</v>
      </c>
      <c r="D165" t="s">
        <v>625</v>
      </c>
      <c r="K165">
        <f t="shared" si="5"/>
        <v>165</v>
      </c>
      <c r="L165" t="str">
        <f t="shared" si="9"/>
        <v>__tests__/components/admin/fraud-pattern-badge.test.tsx</v>
      </c>
    </row>
    <row r="166" spans="3:12" x14ac:dyDescent="0.55000000000000004">
      <c r="C166">
        <v>6</v>
      </c>
      <c r="D166" t="s">
        <v>626</v>
      </c>
      <c r="K166">
        <f t="shared" si="5"/>
        <v>166</v>
      </c>
      <c r="L166" t="str">
        <f t="shared" si="9"/>
        <v>__tests__/components/admin/pnl-breakdown-table.test.tsx</v>
      </c>
    </row>
    <row r="167" spans="3:12" x14ac:dyDescent="0.55000000000000004">
      <c r="C167">
        <v>7</v>
      </c>
      <c r="D167" t="s">
        <v>627</v>
      </c>
      <c r="K167">
        <f t="shared" si="5"/>
        <v>167</v>
      </c>
      <c r="L167" t="str">
        <f t="shared" si="9"/>
        <v>__tests__/components/admin/pnl-summary-cards.test.tsx</v>
      </c>
    </row>
    <row r="168" spans="3:12" x14ac:dyDescent="0.55000000000000004">
      <c r="C168">
        <v>8</v>
      </c>
      <c r="D168" t="s">
        <v>628</v>
      </c>
      <c r="K168">
        <f t="shared" si="5"/>
        <v>168</v>
      </c>
      <c r="L168" t="str">
        <f t="shared" si="9"/>
        <v>__tests__/components/admin/sales-performance-table.test.tsx</v>
      </c>
    </row>
    <row r="169" spans="3:12" x14ac:dyDescent="0.55000000000000004">
      <c r="C169">
        <v>9</v>
      </c>
      <c r="D169" t="s">
        <v>629</v>
      </c>
      <c r="K169">
        <f t="shared" si="5"/>
        <v>169</v>
      </c>
      <c r="L169" t="str">
        <f t="shared" si="9"/>
        <v>__tests__/components/affiliate/code-table.test.tsx</v>
      </c>
    </row>
    <row r="170" spans="3:12" x14ac:dyDescent="0.55000000000000004">
      <c r="C170">
        <v>10</v>
      </c>
      <c r="D170" t="s">
        <v>630</v>
      </c>
      <c r="K170">
        <f t="shared" si="5"/>
        <v>170</v>
      </c>
      <c r="L170" t="str">
        <f t="shared" si="9"/>
        <v>__tests__/components/affiliate/commission-table.test.tsx</v>
      </c>
    </row>
    <row r="171" spans="3:12" x14ac:dyDescent="0.55000000000000004">
      <c r="C171">
        <v>11</v>
      </c>
      <c r="D171" t="s">
        <v>631</v>
      </c>
      <c r="K171">
        <f t="shared" si="5"/>
        <v>171</v>
      </c>
      <c r="L171" t="str">
        <f t="shared" si="9"/>
        <v>__tests__/components/affiliate/stats-card.test.tsx</v>
      </c>
    </row>
    <row r="172" spans="3:12" x14ac:dyDescent="0.55000000000000004">
      <c r="C172">
        <v>12</v>
      </c>
      <c r="D172" t="s">
        <v>632</v>
      </c>
      <c r="K172">
        <f t="shared" si="5"/>
        <v>172</v>
      </c>
      <c r="L172" t="str">
        <f t="shared" si="9"/>
        <v>__tests__/components/charts/indicator-toggles.test.tsx</v>
      </c>
    </row>
    <row r="173" spans="3:12" x14ac:dyDescent="0.55000000000000004">
      <c r="C173">
        <v>13</v>
      </c>
      <c r="D173" t="s">
        <v>633</v>
      </c>
      <c r="K173">
        <f t="shared" si="5"/>
        <v>173</v>
      </c>
      <c r="L173" t="str">
        <f t="shared" si="9"/>
        <v>__tests__/components/charts/pro-indicator-overlay.test.tsx</v>
      </c>
    </row>
    <row r="174" spans="3:12" x14ac:dyDescent="0.55000000000000004">
      <c r="C174">
        <v>14</v>
      </c>
      <c r="D174" t="s">
        <v>634</v>
      </c>
      <c r="K174">
        <f t="shared" si="5"/>
        <v>174</v>
      </c>
      <c r="L174" t="str">
        <f t="shared" si="9"/>
        <v>__tests__/components/charts/trading-chart.test.tsx</v>
      </c>
    </row>
    <row r="175" spans="3:12" x14ac:dyDescent="0.55000000000000004">
      <c r="C175">
        <v>15</v>
      </c>
      <c r="D175" t="s">
        <v>635</v>
      </c>
      <c r="K175">
        <f t="shared" si="5"/>
        <v>175</v>
      </c>
      <c r="L175" t="str">
        <f t="shared" si="9"/>
        <v>__tests__/components/dashboard/recent-alerts.test.tsx</v>
      </c>
    </row>
    <row r="176" spans="3:12" x14ac:dyDescent="0.55000000000000004">
      <c r="C176">
        <v>16</v>
      </c>
      <c r="D176" t="s">
        <v>636</v>
      </c>
      <c r="K176">
        <f t="shared" si="5"/>
        <v>176</v>
      </c>
      <c r="L176" t="str">
        <f t="shared" si="9"/>
        <v>__tests__/components/dashboard/stats-card.test.tsx</v>
      </c>
    </row>
    <row r="177" spans="3:12" x14ac:dyDescent="0.55000000000000004">
      <c r="C177">
        <v>17</v>
      </c>
      <c r="D177" t="s">
        <v>637</v>
      </c>
      <c r="K177">
        <f t="shared" si="5"/>
        <v>177</v>
      </c>
      <c r="L177" t="str">
        <f t="shared" si="9"/>
        <v>__tests__/components/dashboard/watchlist-widget.test.tsx</v>
      </c>
    </row>
    <row r="178" spans="3:12" x14ac:dyDescent="0.55000000000000004">
      <c r="C178">
        <v>18</v>
      </c>
      <c r="D178" t="s">
        <v>638</v>
      </c>
      <c r="K178">
        <f t="shared" si="5"/>
        <v>178</v>
      </c>
      <c r="L178" t="str">
        <f t="shared" si="9"/>
        <v>__tests__/components/layout/header.test.tsx</v>
      </c>
    </row>
    <row r="179" spans="3:12" x14ac:dyDescent="0.55000000000000004">
      <c r="C179">
        <v>19</v>
      </c>
      <c r="D179" t="s">
        <v>639</v>
      </c>
      <c r="K179">
        <f t="shared" si="5"/>
        <v>179</v>
      </c>
      <c r="L179" t="str">
        <f t="shared" si="9"/>
        <v>__tests__/components/payments/PlanSelector.test.tsx</v>
      </c>
    </row>
    <row r="180" spans="3:12" x14ac:dyDescent="0.55000000000000004">
      <c r="C180">
        <v>20</v>
      </c>
      <c r="D180" t="s">
        <v>640</v>
      </c>
      <c r="K180">
        <f t="shared" si="5"/>
        <v>180</v>
      </c>
      <c r="L180" t="str">
        <f t="shared" si="9"/>
        <v>__tests__/components/payments/PriceDisplay.test.tsx</v>
      </c>
    </row>
    <row r="181" spans="3:12" x14ac:dyDescent="0.55000000000000004">
      <c r="C181">
        <v>21</v>
      </c>
      <c r="D181" t="s">
        <v>641</v>
      </c>
      <c r="K181">
        <f t="shared" si="5"/>
        <v>181</v>
      </c>
      <c r="L181" t="str">
        <f t="shared" si="9"/>
        <v>__tests__/components/ui/button.test.tsx</v>
      </c>
    </row>
    <row r="182" spans="3:12" x14ac:dyDescent="0.55000000000000004">
      <c r="C182">
        <v>22</v>
      </c>
      <c r="D182" t="s">
        <v>642</v>
      </c>
      <c r="K182">
        <f t="shared" si="5"/>
        <v>182</v>
      </c>
      <c r="L182" t="str">
        <f t="shared" si="9"/>
        <v>__tests__/components/ui/card.test.tsx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C43A-B0AF-44B1-B81D-8FF8CBA1FC13}">
  <sheetPr>
    <tabColor rgb="FF7030A0"/>
  </sheetPr>
  <dimension ref="B1:H190"/>
  <sheetViews>
    <sheetView topLeftCell="A111" workbookViewId="0">
      <selection activeCell="C199" sqref="C199"/>
    </sheetView>
  </sheetViews>
  <sheetFormatPr defaultRowHeight="14.4" x14ac:dyDescent="0.55000000000000004"/>
  <cols>
    <col min="3" max="3" width="57.578125" bestFit="1" customWidth="1"/>
    <col min="4" max="4" width="2.578125" customWidth="1"/>
    <col min="5" max="5" width="5.89453125" customWidth="1"/>
    <col min="6" max="6" width="56.5234375" customWidth="1"/>
    <col min="7" max="7" width="3.1015625" customWidth="1"/>
  </cols>
  <sheetData>
    <row r="1" spans="2:8" x14ac:dyDescent="0.55000000000000004">
      <c r="C1" t="s">
        <v>698</v>
      </c>
      <c r="F1" t="s">
        <v>699</v>
      </c>
      <c r="H1" t="s">
        <v>705</v>
      </c>
    </row>
    <row r="2" spans="2:8" x14ac:dyDescent="0.55000000000000004">
      <c r="B2">
        <v>1</v>
      </c>
      <c r="C2" s="1"/>
      <c r="E2">
        <v>1</v>
      </c>
      <c r="F2" t="s">
        <v>676</v>
      </c>
      <c r="H2" t="b">
        <f t="shared" ref="H2:H23" si="0">C2=F2</f>
        <v>0</v>
      </c>
    </row>
    <row r="3" spans="2:8" x14ac:dyDescent="0.55000000000000004">
      <c r="B3">
        <f>B2+1</f>
        <v>2</v>
      </c>
      <c r="C3" s="1"/>
      <c r="E3">
        <f>E2+1</f>
        <v>2</v>
      </c>
      <c r="F3" t="s">
        <v>677</v>
      </c>
      <c r="H3" t="b">
        <f t="shared" si="0"/>
        <v>0</v>
      </c>
    </row>
    <row r="4" spans="2:8" x14ac:dyDescent="0.55000000000000004">
      <c r="B4">
        <f t="shared" ref="B4:B67" si="1">B3+1</f>
        <v>3</v>
      </c>
      <c r="C4" s="1"/>
      <c r="E4">
        <f t="shared" ref="E4:E67" si="2">E3+1</f>
        <v>3</v>
      </c>
      <c r="F4" t="s">
        <v>678</v>
      </c>
      <c r="H4" t="b">
        <f t="shared" si="0"/>
        <v>0</v>
      </c>
    </row>
    <row r="5" spans="2:8" x14ac:dyDescent="0.55000000000000004">
      <c r="B5">
        <f t="shared" si="1"/>
        <v>4</v>
      </c>
      <c r="C5" s="1"/>
      <c r="E5">
        <f t="shared" si="2"/>
        <v>4</v>
      </c>
      <c r="F5" t="s">
        <v>679</v>
      </c>
      <c r="H5" t="b">
        <f t="shared" si="0"/>
        <v>0</v>
      </c>
    </row>
    <row r="6" spans="2:8" x14ac:dyDescent="0.55000000000000004">
      <c r="B6">
        <f t="shared" si="1"/>
        <v>5</v>
      </c>
      <c r="C6" s="1"/>
      <c r="E6">
        <f t="shared" si="2"/>
        <v>5</v>
      </c>
      <c r="F6" t="s">
        <v>680</v>
      </c>
      <c r="H6" t="b">
        <f t="shared" si="0"/>
        <v>0</v>
      </c>
    </row>
    <row r="7" spans="2:8" x14ac:dyDescent="0.55000000000000004">
      <c r="B7">
        <f t="shared" si="1"/>
        <v>6</v>
      </c>
      <c r="C7" s="1"/>
      <c r="E7">
        <f t="shared" si="2"/>
        <v>6</v>
      </c>
      <c r="F7" t="s">
        <v>681</v>
      </c>
      <c r="H7" t="b">
        <f t="shared" si="0"/>
        <v>0</v>
      </c>
    </row>
    <row r="8" spans="2:8" x14ac:dyDescent="0.55000000000000004">
      <c r="B8">
        <f t="shared" si="1"/>
        <v>7</v>
      </c>
      <c r="C8" s="1"/>
      <c r="E8">
        <f t="shared" si="2"/>
        <v>7</v>
      </c>
      <c r="F8" t="s">
        <v>682</v>
      </c>
      <c r="H8" t="b">
        <f t="shared" si="0"/>
        <v>0</v>
      </c>
    </row>
    <row r="9" spans="2:8" x14ac:dyDescent="0.55000000000000004">
      <c r="B9">
        <f t="shared" si="1"/>
        <v>8</v>
      </c>
      <c r="C9" s="1"/>
      <c r="E9">
        <f t="shared" si="2"/>
        <v>8</v>
      </c>
      <c r="F9" t="s">
        <v>683</v>
      </c>
      <c r="H9" t="b">
        <f t="shared" si="0"/>
        <v>0</v>
      </c>
    </row>
    <row r="10" spans="2:8" x14ac:dyDescent="0.55000000000000004">
      <c r="B10">
        <f t="shared" si="1"/>
        <v>9</v>
      </c>
      <c r="C10" s="1"/>
      <c r="E10">
        <f t="shared" si="2"/>
        <v>9</v>
      </c>
      <c r="F10" t="s">
        <v>684</v>
      </c>
      <c r="H10" t="b">
        <f t="shared" si="0"/>
        <v>0</v>
      </c>
    </row>
    <row r="11" spans="2:8" x14ac:dyDescent="0.55000000000000004">
      <c r="B11">
        <f t="shared" si="1"/>
        <v>10</v>
      </c>
      <c r="C11" s="1"/>
      <c r="E11">
        <f t="shared" si="2"/>
        <v>10</v>
      </c>
      <c r="F11" t="s">
        <v>685</v>
      </c>
      <c r="H11" t="b">
        <f t="shared" si="0"/>
        <v>0</v>
      </c>
    </row>
    <row r="12" spans="2:8" x14ac:dyDescent="0.55000000000000004">
      <c r="B12">
        <f t="shared" si="1"/>
        <v>11</v>
      </c>
      <c r="C12" s="1"/>
      <c r="E12">
        <f t="shared" si="2"/>
        <v>11</v>
      </c>
      <c r="F12" t="s">
        <v>686</v>
      </c>
      <c r="H12" t="b">
        <f t="shared" si="0"/>
        <v>0</v>
      </c>
    </row>
    <row r="13" spans="2:8" x14ac:dyDescent="0.55000000000000004">
      <c r="B13">
        <f t="shared" si="1"/>
        <v>12</v>
      </c>
      <c r="C13" s="1"/>
      <c r="E13">
        <f t="shared" si="2"/>
        <v>12</v>
      </c>
      <c r="F13" t="s">
        <v>687</v>
      </c>
      <c r="H13" t="b">
        <f t="shared" si="0"/>
        <v>0</v>
      </c>
    </row>
    <row r="14" spans="2:8" x14ac:dyDescent="0.55000000000000004">
      <c r="B14">
        <f t="shared" si="1"/>
        <v>13</v>
      </c>
      <c r="C14" s="1"/>
      <c r="E14">
        <f t="shared" si="2"/>
        <v>13</v>
      </c>
      <c r="F14" t="s">
        <v>688</v>
      </c>
      <c r="H14" t="b">
        <f t="shared" si="0"/>
        <v>0</v>
      </c>
    </row>
    <row r="15" spans="2:8" x14ac:dyDescent="0.55000000000000004">
      <c r="B15">
        <f t="shared" si="1"/>
        <v>14</v>
      </c>
      <c r="C15" s="1"/>
      <c r="E15">
        <f t="shared" si="2"/>
        <v>14</v>
      </c>
      <c r="F15" t="s">
        <v>689</v>
      </c>
      <c r="H15" t="b">
        <f t="shared" si="0"/>
        <v>0</v>
      </c>
    </row>
    <row r="16" spans="2:8" x14ac:dyDescent="0.55000000000000004">
      <c r="B16">
        <f t="shared" si="1"/>
        <v>15</v>
      </c>
      <c r="C16" s="1"/>
      <c r="E16">
        <f t="shared" si="2"/>
        <v>15</v>
      </c>
      <c r="F16" t="s">
        <v>690</v>
      </c>
      <c r="H16" t="b">
        <f t="shared" si="0"/>
        <v>0</v>
      </c>
    </row>
    <row r="17" spans="2:8" x14ac:dyDescent="0.55000000000000004">
      <c r="B17">
        <f t="shared" si="1"/>
        <v>16</v>
      </c>
      <c r="C17" s="1"/>
      <c r="E17">
        <f t="shared" si="2"/>
        <v>16</v>
      </c>
      <c r="F17" t="s">
        <v>691</v>
      </c>
      <c r="H17" t="b">
        <f t="shared" si="0"/>
        <v>0</v>
      </c>
    </row>
    <row r="18" spans="2:8" x14ac:dyDescent="0.55000000000000004">
      <c r="B18">
        <f t="shared" si="1"/>
        <v>17</v>
      </c>
      <c r="C18" s="1"/>
      <c r="E18">
        <f t="shared" si="2"/>
        <v>17</v>
      </c>
      <c r="F18" t="s">
        <v>692</v>
      </c>
      <c r="H18" t="b">
        <f t="shared" si="0"/>
        <v>0</v>
      </c>
    </row>
    <row r="19" spans="2:8" x14ac:dyDescent="0.55000000000000004">
      <c r="B19">
        <f t="shared" si="1"/>
        <v>18</v>
      </c>
      <c r="C19" s="1"/>
      <c r="E19">
        <f t="shared" si="2"/>
        <v>18</v>
      </c>
      <c r="F19" t="s">
        <v>693</v>
      </c>
      <c r="H19" t="b">
        <f t="shared" si="0"/>
        <v>0</v>
      </c>
    </row>
    <row r="20" spans="2:8" x14ac:dyDescent="0.55000000000000004">
      <c r="B20">
        <f t="shared" si="1"/>
        <v>19</v>
      </c>
      <c r="C20" s="1"/>
      <c r="E20">
        <f t="shared" si="2"/>
        <v>19</v>
      </c>
      <c r="F20" t="s">
        <v>694</v>
      </c>
      <c r="H20" t="b">
        <f t="shared" si="0"/>
        <v>0</v>
      </c>
    </row>
    <row r="21" spans="2:8" x14ac:dyDescent="0.55000000000000004">
      <c r="B21">
        <f t="shared" si="1"/>
        <v>20</v>
      </c>
      <c r="C21" s="1"/>
      <c r="E21">
        <f t="shared" si="2"/>
        <v>20</v>
      </c>
      <c r="F21" t="s">
        <v>695</v>
      </c>
      <c r="H21" t="b">
        <f t="shared" si="0"/>
        <v>0</v>
      </c>
    </row>
    <row r="22" spans="2:8" x14ac:dyDescent="0.55000000000000004">
      <c r="B22">
        <f t="shared" si="1"/>
        <v>21</v>
      </c>
      <c r="C22" s="1"/>
      <c r="E22">
        <f t="shared" si="2"/>
        <v>21</v>
      </c>
      <c r="F22" t="s">
        <v>696</v>
      </c>
      <c r="H22" t="b">
        <f t="shared" si="0"/>
        <v>0</v>
      </c>
    </row>
    <row r="23" spans="2:8" x14ac:dyDescent="0.55000000000000004">
      <c r="B23">
        <f t="shared" si="1"/>
        <v>22</v>
      </c>
      <c r="C23" s="1"/>
      <c r="E23">
        <f t="shared" si="2"/>
        <v>22</v>
      </c>
      <c r="F23" t="s">
        <v>697</v>
      </c>
      <c r="H23" t="b">
        <f t="shared" si="0"/>
        <v>0</v>
      </c>
    </row>
    <row r="24" spans="2:8" x14ac:dyDescent="0.55000000000000004">
      <c r="B24">
        <f t="shared" si="1"/>
        <v>23</v>
      </c>
      <c r="C24" s="5" t="s">
        <v>2</v>
      </c>
      <c r="E24">
        <f t="shared" si="2"/>
        <v>23</v>
      </c>
      <c r="F24" t="s">
        <v>2</v>
      </c>
      <c r="H24" t="b">
        <f>C24=F24</f>
        <v>1</v>
      </c>
    </row>
    <row r="25" spans="2:8" x14ac:dyDescent="0.55000000000000004">
      <c r="B25">
        <f t="shared" si="1"/>
        <v>24</v>
      </c>
      <c r="C25" s="5" t="s">
        <v>7</v>
      </c>
      <c r="E25">
        <f t="shared" si="2"/>
        <v>24</v>
      </c>
      <c r="F25" t="s">
        <v>7</v>
      </c>
      <c r="H25" t="b">
        <f>C25=F25</f>
        <v>1</v>
      </c>
    </row>
    <row r="26" spans="2:8" x14ac:dyDescent="0.55000000000000004">
      <c r="B26">
        <f t="shared" si="1"/>
        <v>25</v>
      </c>
      <c r="C26" s="5" t="s">
        <v>8</v>
      </c>
      <c r="E26">
        <f t="shared" si="2"/>
        <v>25</v>
      </c>
      <c r="H26" t="b">
        <f t="shared" ref="H26:H89" si="3">C26=F26</f>
        <v>0</v>
      </c>
    </row>
    <row r="27" spans="2:8" x14ac:dyDescent="0.55000000000000004">
      <c r="B27">
        <f t="shared" si="1"/>
        <v>26</v>
      </c>
      <c r="C27" s="5" t="s">
        <v>0</v>
      </c>
      <c r="E27">
        <f t="shared" si="2"/>
        <v>26</v>
      </c>
      <c r="F27" t="s">
        <v>0</v>
      </c>
      <c r="H27" t="b">
        <f t="shared" si="3"/>
        <v>1</v>
      </c>
    </row>
    <row r="28" spans="2:8" x14ac:dyDescent="0.55000000000000004">
      <c r="B28">
        <f t="shared" si="1"/>
        <v>27</v>
      </c>
      <c r="C28" s="5" t="s">
        <v>1</v>
      </c>
      <c r="E28">
        <f t="shared" si="2"/>
        <v>27</v>
      </c>
      <c r="F28" t="s">
        <v>1</v>
      </c>
      <c r="H28" t="b">
        <f t="shared" si="3"/>
        <v>1</v>
      </c>
    </row>
    <row r="29" spans="2:8" x14ac:dyDescent="0.55000000000000004">
      <c r="B29">
        <f t="shared" si="1"/>
        <v>28</v>
      </c>
      <c r="C29" s="5" t="s">
        <v>3</v>
      </c>
      <c r="E29">
        <f t="shared" si="2"/>
        <v>28</v>
      </c>
      <c r="F29" t="s">
        <v>3</v>
      </c>
      <c r="H29" t="b">
        <f t="shared" si="3"/>
        <v>1</v>
      </c>
    </row>
    <row r="30" spans="2:8" x14ac:dyDescent="0.55000000000000004">
      <c r="B30">
        <f t="shared" si="1"/>
        <v>29</v>
      </c>
      <c r="C30" s="5" t="s">
        <v>6</v>
      </c>
      <c r="E30">
        <f t="shared" si="2"/>
        <v>29</v>
      </c>
      <c r="F30" t="s">
        <v>6</v>
      </c>
      <c r="H30" t="b">
        <f t="shared" si="3"/>
        <v>1</v>
      </c>
    </row>
    <row r="31" spans="2:8" x14ac:dyDescent="0.55000000000000004">
      <c r="B31">
        <f t="shared" si="1"/>
        <v>30</v>
      </c>
      <c r="C31" s="5" t="s">
        <v>4</v>
      </c>
      <c r="E31">
        <f t="shared" si="2"/>
        <v>30</v>
      </c>
      <c r="F31" t="s">
        <v>4</v>
      </c>
      <c r="H31" t="b">
        <f t="shared" si="3"/>
        <v>1</v>
      </c>
    </row>
    <row r="32" spans="2:8" x14ac:dyDescent="0.55000000000000004">
      <c r="B32">
        <f t="shared" si="1"/>
        <v>31</v>
      </c>
      <c r="C32" s="5" t="s">
        <v>5</v>
      </c>
      <c r="E32">
        <f t="shared" si="2"/>
        <v>31</v>
      </c>
      <c r="F32" t="s">
        <v>5</v>
      </c>
      <c r="H32" t="b">
        <f t="shared" si="3"/>
        <v>1</v>
      </c>
    </row>
    <row r="33" spans="2:8" x14ac:dyDescent="0.55000000000000004">
      <c r="B33">
        <f t="shared" si="1"/>
        <v>32</v>
      </c>
      <c r="C33" t="s">
        <v>88</v>
      </c>
      <c r="E33">
        <f t="shared" si="2"/>
        <v>32</v>
      </c>
      <c r="F33" t="s">
        <v>88</v>
      </c>
      <c r="H33" t="b">
        <f t="shared" si="3"/>
        <v>1</v>
      </c>
    </row>
    <row r="34" spans="2:8" x14ac:dyDescent="0.55000000000000004">
      <c r="B34">
        <f t="shared" si="1"/>
        <v>33</v>
      </c>
      <c r="C34" t="s">
        <v>177</v>
      </c>
      <c r="E34">
        <f t="shared" si="2"/>
        <v>33</v>
      </c>
      <c r="F34" t="s">
        <v>177</v>
      </c>
      <c r="H34" t="b">
        <f t="shared" si="3"/>
        <v>1</v>
      </c>
    </row>
    <row r="35" spans="2:8" x14ac:dyDescent="0.55000000000000004">
      <c r="B35">
        <f t="shared" si="1"/>
        <v>34</v>
      </c>
      <c r="C35" t="s">
        <v>171</v>
      </c>
      <c r="E35">
        <f t="shared" si="2"/>
        <v>34</v>
      </c>
      <c r="F35" t="s">
        <v>171</v>
      </c>
      <c r="H35" t="b">
        <f t="shared" si="3"/>
        <v>1</v>
      </c>
    </row>
    <row r="36" spans="2:8" x14ac:dyDescent="0.55000000000000004">
      <c r="B36">
        <f t="shared" si="1"/>
        <v>35</v>
      </c>
      <c r="C36" t="s">
        <v>175</v>
      </c>
      <c r="E36">
        <f t="shared" si="2"/>
        <v>35</v>
      </c>
      <c r="F36" t="s">
        <v>175</v>
      </c>
      <c r="H36" t="b">
        <f t="shared" si="3"/>
        <v>1</v>
      </c>
    </row>
    <row r="37" spans="2:8" x14ac:dyDescent="0.55000000000000004">
      <c r="B37">
        <f t="shared" si="1"/>
        <v>36</v>
      </c>
      <c r="C37" t="s">
        <v>173</v>
      </c>
      <c r="E37">
        <f t="shared" si="2"/>
        <v>36</v>
      </c>
      <c r="F37" t="s">
        <v>173</v>
      </c>
      <c r="H37" t="b">
        <f t="shared" si="3"/>
        <v>1</v>
      </c>
    </row>
    <row r="38" spans="2:8" x14ac:dyDescent="0.55000000000000004">
      <c r="B38">
        <f t="shared" si="1"/>
        <v>37</v>
      </c>
      <c r="C38" t="s">
        <v>172</v>
      </c>
      <c r="E38">
        <f t="shared" si="2"/>
        <v>37</v>
      </c>
      <c r="F38" t="s">
        <v>172</v>
      </c>
      <c r="H38" t="b">
        <f t="shared" si="3"/>
        <v>1</v>
      </c>
    </row>
    <row r="39" spans="2:8" x14ac:dyDescent="0.55000000000000004">
      <c r="B39">
        <f t="shared" si="1"/>
        <v>38</v>
      </c>
      <c r="C39" t="s">
        <v>176</v>
      </c>
      <c r="E39">
        <f t="shared" si="2"/>
        <v>38</v>
      </c>
      <c r="F39" t="s">
        <v>176</v>
      </c>
      <c r="H39" t="b">
        <f t="shared" si="3"/>
        <v>1</v>
      </c>
    </row>
    <row r="40" spans="2:8" x14ac:dyDescent="0.55000000000000004">
      <c r="B40">
        <f t="shared" si="1"/>
        <v>39</v>
      </c>
      <c r="C40" t="s">
        <v>169</v>
      </c>
      <c r="E40">
        <f t="shared" si="2"/>
        <v>39</v>
      </c>
      <c r="F40" t="s">
        <v>169</v>
      </c>
      <c r="H40" t="b">
        <f t="shared" si="3"/>
        <v>1</v>
      </c>
    </row>
    <row r="41" spans="2:8" x14ac:dyDescent="0.55000000000000004">
      <c r="B41">
        <f t="shared" si="1"/>
        <v>40</v>
      </c>
      <c r="C41" t="s">
        <v>170</v>
      </c>
      <c r="E41">
        <f t="shared" si="2"/>
        <v>40</v>
      </c>
      <c r="F41" t="s">
        <v>170</v>
      </c>
      <c r="H41" t="b">
        <f t="shared" si="3"/>
        <v>1</v>
      </c>
    </row>
    <row r="42" spans="2:8" x14ac:dyDescent="0.55000000000000004">
      <c r="B42">
        <f t="shared" si="1"/>
        <v>41</v>
      </c>
      <c r="C42" t="s">
        <v>174</v>
      </c>
      <c r="E42">
        <f t="shared" si="2"/>
        <v>41</v>
      </c>
      <c r="F42" t="s">
        <v>174</v>
      </c>
      <c r="H42" t="b">
        <f t="shared" si="3"/>
        <v>1</v>
      </c>
    </row>
    <row r="43" spans="2:8" x14ac:dyDescent="0.55000000000000004">
      <c r="B43">
        <f t="shared" si="1"/>
        <v>42</v>
      </c>
      <c r="C43" t="s">
        <v>643</v>
      </c>
      <c r="E43">
        <f t="shared" si="2"/>
        <v>42</v>
      </c>
      <c r="F43" t="s">
        <v>643</v>
      </c>
      <c r="H43" t="b">
        <f t="shared" si="3"/>
        <v>1</v>
      </c>
    </row>
    <row r="44" spans="2:8" x14ac:dyDescent="0.55000000000000004">
      <c r="B44">
        <f t="shared" si="1"/>
        <v>43</v>
      </c>
      <c r="C44" t="s">
        <v>644</v>
      </c>
      <c r="E44">
        <f t="shared" si="2"/>
        <v>43</v>
      </c>
      <c r="F44" t="s">
        <v>644</v>
      </c>
      <c r="H44" t="b">
        <f t="shared" si="3"/>
        <v>1</v>
      </c>
    </row>
    <row r="45" spans="2:8" x14ac:dyDescent="0.55000000000000004">
      <c r="B45">
        <f t="shared" si="1"/>
        <v>44</v>
      </c>
      <c r="C45" t="s">
        <v>87</v>
      </c>
      <c r="E45">
        <f t="shared" si="2"/>
        <v>44</v>
      </c>
      <c r="F45" t="s">
        <v>87</v>
      </c>
      <c r="H45" t="b">
        <f t="shared" si="3"/>
        <v>1</v>
      </c>
    </row>
    <row r="46" spans="2:8" x14ac:dyDescent="0.55000000000000004">
      <c r="B46">
        <f t="shared" si="1"/>
        <v>45</v>
      </c>
      <c r="C46" t="s">
        <v>645</v>
      </c>
      <c r="E46">
        <f t="shared" si="2"/>
        <v>45</v>
      </c>
      <c r="F46" t="s">
        <v>645</v>
      </c>
      <c r="H46" t="b">
        <f t="shared" si="3"/>
        <v>1</v>
      </c>
    </row>
    <row r="47" spans="2:8" x14ac:dyDescent="0.55000000000000004">
      <c r="B47">
        <f t="shared" si="1"/>
        <v>46</v>
      </c>
      <c r="C47" t="s">
        <v>700</v>
      </c>
      <c r="E47">
        <f t="shared" si="2"/>
        <v>46</v>
      </c>
      <c r="H47" t="b">
        <f t="shared" si="3"/>
        <v>0</v>
      </c>
    </row>
    <row r="48" spans="2:8" x14ac:dyDescent="0.55000000000000004">
      <c r="B48">
        <f t="shared" si="1"/>
        <v>47</v>
      </c>
      <c r="C48" t="s">
        <v>85</v>
      </c>
      <c r="E48">
        <f t="shared" si="2"/>
        <v>47</v>
      </c>
      <c r="F48" t="s">
        <v>85</v>
      </c>
      <c r="H48" t="b">
        <f t="shared" si="3"/>
        <v>1</v>
      </c>
    </row>
    <row r="49" spans="2:8" x14ac:dyDescent="0.55000000000000004">
      <c r="B49">
        <f t="shared" si="1"/>
        <v>48</v>
      </c>
      <c r="C49" t="s">
        <v>86</v>
      </c>
      <c r="E49">
        <f t="shared" si="2"/>
        <v>48</v>
      </c>
      <c r="F49" t="s">
        <v>86</v>
      </c>
      <c r="H49" t="b">
        <f t="shared" si="3"/>
        <v>1</v>
      </c>
    </row>
    <row r="50" spans="2:8" x14ac:dyDescent="0.55000000000000004">
      <c r="B50">
        <f t="shared" si="1"/>
        <v>49</v>
      </c>
      <c r="C50" t="s">
        <v>72</v>
      </c>
      <c r="E50">
        <f t="shared" si="2"/>
        <v>49</v>
      </c>
      <c r="F50" t="s">
        <v>72</v>
      </c>
      <c r="H50" t="b">
        <f t="shared" si="3"/>
        <v>1</v>
      </c>
    </row>
    <row r="51" spans="2:8" x14ac:dyDescent="0.55000000000000004">
      <c r="B51">
        <f t="shared" si="1"/>
        <v>50</v>
      </c>
      <c r="C51" t="s">
        <v>701</v>
      </c>
      <c r="E51">
        <f t="shared" si="2"/>
        <v>50</v>
      </c>
      <c r="H51" t="b">
        <f t="shared" si="3"/>
        <v>0</v>
      </c>
    </row>
    <row r="52" spans="2:8" x14ac:dyDescent="0.55000000000000004">
      <c r="B52">
        <f t="shared" si="1"/>
        <v>51</v>
      </c>
      <c r="C52" t="s">
        <v>121</v>
      </c>
      <c r="E52">
        <f t="shared" si="2"/>
        <v>51</v>
      </c>
      <c r="F52" t="s">
        <v>121</v>
      </c>
      <c r="H52" t="b">
        <f t="shared" si="3"/>
        <v>1</v>
      </c>
    </row>
    <row r="53" spans="2:8" x14ac:dyDescent="0.55000000000000004">
      <c r="B53">
        <f t="shared" si="1"/>
        <v>52</v>
      </c>
      <c r="C53" t="s">
        <v>71</v>
      </c>
      <c r="E53">
        <f t="shared" si="2"/>
        <v>52</v>
      </c>
      <c r="F53" t="s">
        <v>71</v>
      </c>
      <c r="H53" t="b">
        <f t="shared" si="3"/>
        <v>1</v>
      </c>
    </row>
    <row r="54" spans="2:8" x14ac:dyDescent="0.55000000000000004">
      <c r="B54">
        <f t="shared" si="1"/>
        <v>53</v>
      </c>
      <c r="C54" t="s">
        <v>70</v>
      </c>
      <c r="E54">
        <f t="shared" si="2"/>
        <v>53</v>
      </c>
      <c r="F54" t="s">
        <v>70</v>
      </c>
      <c r="H54" t="b">
        <f t="shared" si="3"/>
        <v>1</v>
      </c>
    </row>
    <row r="55" spans="2:8" x14ac:dyDescent="0.55000000000000004">
      <c r="B55">
        <f t="shared" si="1"/>
        <v>54</v>
      </c>
      <c r="C55" t="s">
        <v>76</v>
      </c>
      <c r="E55">
        <f t="shared" si="2"/>
        <v>54</v>
      </c>
      <c r="F55" t="s">
        <v>76</v>
      </c>
      <c r="H55" t="b">
        <f t="shared" si="3"/>
        <v>1</v>
      </c>
    </row>
    <row r="56" spans="2:8" x14ac:dyDescent="0.55000000000000004">
      <c r="B56">
        <f t="shared" si="1"/>
        <v>55</v>
      </c>
      <c r="C56" t="s">
        <v>109</v>
      </c>
      <c r="E56">
        <f t="shared" si="2"/>
        <v>55</v>
      </c>
      <c r="F56" t="s">
        <v>109</v>
      </c>
      <c r="H56" t="b">
        <f t="shared" si="3"/>
        <v>1</v>
      </c>
    </row>
    <row r="57" spans="2:8" x14ac:dyDescent="0.55000000000000004">
      <c r="B57">
        <f t="shared" si="1"/>
        <v>56</v>
      </c>
      <c r="C57" t="s">
        <v>702</v>
      </c>
      <c r="E57">
        <f t="shared" si="2"/>
        <v>56</v>
      </c>
      <c r="H57" t="b">
        <f t="shared" si="3"/>
        <v>0</v>
      </c>
    </row>
    <row r="58" spans="2:8" x14ac:dyDescent="0.55000000000000004">
      <c r="B58">
        <f t="shared" si="1"/>
        <v>57</v>
      </c>
      <c r="C58" t="s">
        <v>75</v>
      </c>
      <c r="E58">
        <f t="shared" si="2"/>
        <v>57</v>
      </c>
      <c r="F58" t="s">
        <v>75</v>
      </c>
      <c r="H58" t="b">
        <f t="shared" si="3"/>
        <v>1</v>
      </c>
    </row>
    <row r="59" spans="2:8" x14ac:dyDescent="0.55000000000000004">
      <c r="B59">
        <f t="shared" si="1"/>
        <v>58</v>
      </c>
      <c r="C59" t="s">
        <v>179</v>
      </c>
      <c r="E59">
        <f t="shared" si="2"/>
        <v>58</v>
      </c>
      <c r="H59" t="b">
        <f t="shared" si="3"/>
        <v>0</v>
      </c>
    </row>
    <row r="60" spans="2:8" x14ac:dyDescent="0.55000000000000004">
      <c r="B60">
        <f t="shared" si="1"/>
        <v>59</v>
      </c>
      <c r="C60" t="s">
        <v>69</v>
      </c>
      <c r="E60">
        <f t="shared" si="2"/>
        <v>59</v>
      </c>
      <c r="F60" t="s">
        <v>69</v>
      </c>
      <c r="H60" t="b">
        <f t="shared" si="3"/>
        <v>1</v>
      </c>
    </row>
    <row r="61" spans="2:8" x14ac:dyDescent="0.55000000000000004">
      <c r="B61">
        <f t="shared" si="1"/>
        <v>60</v>
      </c>
      <c r="C61" t="s">
        <v>68</v>
      </c>
      <c r="E61">
        <f t="shared" si="2"/>
        <v>60</v>
      </c>
      <c r="F61" t="s">
        <v>68</v>
      </c>
      <c r="H61" t="b">
        <f t="shared" si="3"/>
        <v>1</v>
      </c>
    </row>
    <row r="62" spans="2:8" x14ac:dyDescent="0.55000000000000004">
      <c r="B62">
        <f t="shared" si="1"/>
        <v>61</v>
      </c>
      <c r="C62" t="s">
        <v>79</v>
      </c>
      <c r="E62">
        <f t="shared" si="2"/>
        <v>61</v>
      </c>
      <c r="F62" t="s">
        <v>79</v>
      </c>
      <c r="H62" t="b">
        <f t="shared" si="3"/>
        <v>1</v>
      </c>
    </row>
    <row r="63" spans="2:8" x14ac:dyDescent="0.55000000000000004">
      <c r="B63">
        <f t="shared" si="1"/>
        <v>62</v>
      </c>
      <c r="C63" t="s">
        <v>80</v>
      </c>
      <c r="E63">
        <f t="shared" si="2"/>
        <v>62</v>
      </c>
      <c r="F63" t="s">
        <v>80</v>
      </c>
      <c r="H63" t="b">
        <f t="shared" si="3"/>
        <v>1</v>
      </c>
    </row>
    <row r="64" spans="2:8" x14ac:dyDescent="0.55000000000000004">
      <c r="B64">
        <f t="shared" si="1"/>
        <v>63</v>
      </c>
      <c r="C64" t="s">
        <v>81</v>
      </c>
      <c r="E64">
        <f t="shared" si="2"/>
        <v>63</v>
      </c>
      <c r="F64" t="s">
        <v>81</v>
      </c>
      <c r="H64" t="b">
        <f t="shared" si="3"/>
        <v>1</v>
      </c>
    </row>
    <row r="65" spans="2:8" x14ac:dyDescent="0.55000000000000004">
      <c r="B65">
        <f t="shared" si="1"/>
        <v>64</v>
      </c>
      <c r="C65" t="s">
        <v>62</v>
      </c>
      <c r="E65">
        <f t="shared" si="2"/>
        <v>64</v>
      </c>
      <c r="F65" t="s">
        <v>62</v>
      </c>
      <c r="H65" t="b">
        <f t="shared" si="3"/>
        <v>1</v>
      </c>
    </row>
    <row r="66" spans="2:8" x14ac:dyDescent="0.55000000000000004">
      <c r="B66">
        <f t="shared" si="1"/>
        <v>65</v>
      </c>
      <c r="C66" t="s">
        <v>61</v>
      </c>
      <c r="E66">
        <f t="shared" si="2"/>
        <v>65</v>
      </c>
      <c r="F66" t="s">
        <v>61</v>
      </c>
      <c r="H66" t="b">
        <f t="shared" si="3"/>
        <v>1</v>
      </c>
    </row>
    <row r="67" spans="2:8" x14ac:dyDescent="0.55000000000000004">
      <c r="B67">
        <f t="shared" si="1"/>
        <v>66</v>
      </c>
      <c r="C67" t="s">
        <v>77</v>
      </c>
      <c r="E67">
        <f t="shared" si="2"/>
        <v>66</v>
      </c>
      <c r="F67" t="s">
        <v>77</v>
      </c>
      <c r="H67" t="b">
        <f t="shared" si="3"/>
        <v>1</v>
      </c>
    </row>
    <row r="68" spans="2:8" x14ac:dyDescent="0.55000000000000004">
      <c r="B68">
        <f t="shared" ref="B68:B131" si="4">B67+1</f>
        <v>67</v>
      </c>
      <c r="C68" t="s">
        <v>703</v>
      </c>
      <c r="E68">
        <f t="shared" ref="E68:E131" si="5">E67+1</f>
        <v>67</v>
      </c>
      <c r="H68" t="b">
        <f t="shared" si="3"/>
        <v>0</v>
      </c>
    </row>
    <row r="69" spans="2:8" x14ac:dyDescent="0.55000000000000004">
      <c r="B69">
        <f t="shared" si="4"/>
        <v>68</v>
      </c>
      <c r="C69" t="s">
        <v>78</v>
      </c>
      <c r="E69">
        <f t="shared" si="5"/>
        <v>68</v>
      </c>
      <c r="F69" t="s">
        <v>78</v>
      </c>
      <c r="H69" t="b">
        <f t="shared" si="3"/>
        <v>1</v>
      </c>
    </row>
    <row r="70" spans="2:8" x14ac:dyDescent="0.55000000000000004">
      <c r="B70">
        <f t="shared" si="4"/>
        <v>69</v>
      </c>
      <c r="C70" t="s">
        <v>63</v>
      </c>
      <c r="E70">
        <f t="shared" si="5"/>
        <v>69</v>
      </c>
      <c r="F70" t="s">
        <v>63</v>
      </c>
      <c r="H70" t="b">
        <f t="shared" si="3"/>
        <v>1</v>
      </c>
    </row>
    <row r="71" spans="2:8" x14ac:dyDescent="0.55000000000000004">
      <c r="B71">
        <f t="shared" si="4"/>
        <v>70</v>
      </c>
      <c r="C71" t="s">
        <v>82</v>
      </c>
      <c r="E71">
        <f t="shared" si="5"/>
        <v>70</v>
      </c>
      <c r="F71" t="s">
        <v>82</v>
      </c>
      <c r="H71" t="b">
        <f t="shared" si="3"/>
        <v>1</v>
      </c>
    </row>
    <row r="72" spans="2:8" x14ac:dyDescent="0.55000000000000004">
      <c r="B72">
        <f t="shared" si="4"/>
        <v>71</v>
      </c>
      <c r="C72" t="s">
        <v>83</v>
      </c>
      <c r="E72">
        <f t="shared" si="5"/>
        <v>71</v>
      </c>
      <c r="F72" t="s">
        <v>83</v>
      </c>
      <c r="H72" t="b">
        <f t="shared" si="3"/>
        <v>1</v>
      </c>
    </row>
    <row r="73" spans="2:8" x14ac:dyDescent="0.55000000000000004">
      <c r="B73">
        <f t="shared" si="4"/>
        <v>72</v>
      </c>
      <c r="C73" t="s">
        <v>84</v>
      </c>
      <c r="E73">
        <f t="shared" si="5"/>
        <v>72</v>
      </c>
      <c r="F73" t="s">
        <v>84</v>
      </c>
      <c r="H73" t="b">
        <f t="shared" si="3"/>
        <v>1</v>
      </c>
    </row>
    <row r="74" spans="2:8" x14ac:dyDescent="0.55000000000000004">
      <c r="B74">
        <f t="shared" si="4"/>
        <v>73</v>
      </c>
      <c r="C74" t="s">
        <v>73</v>
      </c>
      <c r="E74">
        <f t="shared" si="5"/>
        <v>73</v>
      </c>
      <c r="F74" t="s">
        <v>73</v>
      </c>
      <c r="H74" t="b">
        <f t="shared" si="3"/>
        <v>1</v>
      </c>
    </row>
    <row r="75" spans="2:8" x14ac:dyDescent="0.55000000000000004">
      <c r="B75">
        <f t="shared" si="4"/>
        <v>74</v>
      </c>
      <c r="C75" t="s">
        <v>74</v>
      </c>
      <c r="E75">
        <f t="shared" si="5"/>
        <v>74</v>
      </c>
      <c r="F75" t="s">
        <v>74</v>
      </c>
      <c r="H75" t="b">
        <f t="shared" si="3"/>
        <v>1</v>
      </c>
    </row>
    <row r="76" spans="2:8" x14ac:dyDescent="0.55000000000000004">
      <c r="B76">
        <f t="shared" si="4"/>
        <v>75</v>
      </c>
      <c r="C76" t="s">
        <v>178</v>
      </c>
      <c r="E76">
        <f t="shared" si="5"/>
        <v>75</v>
      </c>
      <c r="F76" t="s">
        <v>178</v>
      </c>
      <c r="H76" t="b">
        <f t="shared" si="3"/>
        <v>1</v>
      </c>
    </row>
    <row r="77" spans="2:8" x14ac:dyDescent="0.55000000000000004">
      <c r="B77">
        <f t="shared" si="4"/>
        <v>76</v>
      </c>
      <c r="C77" t="s">
        <v>143</v>
      </c>
      <c r="E77">
        <f t="shared" si="5"/>
        <v>76</v>
      </c>
      <c r="F77" t="s">
        <v>143</v>
      </c>
      <c r="H77" t="b">
        <f t="shared" si="3"/>
        <v>1</v>
      </c>
    </row>
    <row r="78" spans="2:8" x14ac:dyDescent="0.55000000000000004">
      <c r="B78">
        <f t="shared" si="4"/>
        <v>77</v>
      </c>
      <c r="C78" t="s">
        <v>144</v>
      </c>
      <c r="E78">
        <f t="shared" si="5"/>
        <v>77</v>
      </c>
      <c r="F78" t="s">
        <v>144</v>
      </c>
      <c r="H78" t="b">
        <f t="shared" si="3"/>
        <v>1</v>
      </c>
    </row>
    <row r="79" spans="2:8" x14ac:dyDescent="0.55000000000000004">
      <c r="B79">
        <f t="shared" si="4"/>
        <v>78</v>
      </c>
      <c r="C79" t="s">
        <v>122</v>
      </c>
      <c r="E79">
        <f t="shared" si="5"/>
        <v>78</v>
      </c>
      <c r="F79" t="s">
        <v>122</v>
      </c>
      <c r="H79" t="b">
        <f t="shared" si="3"/>
        <v>1</v>
      </c>
    </row>
    <row r="80" spans="2:8" x14ac:dyDescent="0.55000000000000004">
      <c r="B80">
        <f t="shared" si="4"/>
        <v>79</v>
      </c>
      <c r="C80" t="s">
        <v>156</v>
      </c>
      <c r="E80">
        <f t="shared" si="5"/>
        <v>79</v>
      </c>
      <c r="F80" t="s">
        <v>156</v>
      </c>
      <c r="H80" t="b">
        <f t="shared" si="3"/>
        <v>1</v>
      </c>
    </row>
    <row r="81" spans="2:8" x14ac:dyDescent="0.55000000000000004">
      <c r="B81">
        <f t="shared" si="4"/>
        <v>80</v>
      </c>
      <c r="C81" t="s">
        <v>155</v>
      </c>
      <c r="E81">
        <f t="shared" si="5"/>
        <v>80</v>
      </c>
      <c r="F81" t="s">
        <v>155</v>
      </c>
      <c r="H81" t="b">
        <f t="shared" si="3"/>
        <v>1</v>
      </c>
    </row>
    <row r="82" spans="2:8" x14ac:dyDescent="0.55000000000000004">
      <c r="B82">
        <f t="shared" si="4"/>
        <v>81</v>
      </c>
      <c r="C82" t="s">
        <v>160</v>
      </c>
      <c r="E82">
        <f t="shared" si="5"/>
        <v>81</v>
      </c>
      <c r="F82" t="s">
        <v>160</v>
      </c>
      <c r="H82" t="b">
        <f t="shared" si="3"/>
        <v>1</v>
      </c>
    </row>
    <row r="83" spans="2:8" x14ac:dyDescent="0.55000000000000004">
      <c r="B83">
        <f t="shared" si="4"/>
        <v>82</v>
      </c>
      <c r="C83" t="s">
        <v>159</v>
      </c>
      <c r="E83">
        <f t="shared" si="5"/>
        <v>82</v>
      </c>
      <c r="F83" t="s">
        <v>159</v>
      </c>
      <c r="H83" t="b">
        <f t="shared" si="3"/>
        <v>1</v>
      </c>
    </row>
    <row r="84" spans="2:8" x14ac:dyDescent="0.55000000000000004">
      <c r="B84">
        <f t="shared" si="4"/>
        <v>83</v>
      </c>
      <c r="C84" t="s">
        <v>157</v>
      </c>
      <c r="E84">
        <f t="shared" si="5"/>
        <v>83</v>
      </c>
      <c r="F84" t="s">
        <v>157</v>
      </c>
      <c r="H84" t="b">
        <f t="shared" si="3"/>
        <v>1</v>
      </c>
    </row>
    <row r="85" spans="2:8" x14ac:dyDescent="0.55000000000000004">
      <c r="B85">
        <f t="shared" si="4"/>
        <v>84</v>
      </c>
      <c r="C85" t="s">
        <v>158</v>
      </c>
      <c r="E85">
        <f t="shared" si="5"/>
        <v>84</v>
      </c>
      <c r="F85" t="s">
        <v>158</v>
      </c>
      <c r="H85" t="b">
        <f t="shared" si="3"/>
        <v>1</v>
      </c>
    </row>
    <row r="86" spans="2:8" x14ac:dyDescent="0.55000000000000004">
      <c r="B86">
        <f t="shared" si="4"/>
        <v>85</v>
      </c>
      <c r="C86" t="s">
        <v>64</v>
      </c>
      <c r="E86">
        <f t="shared" si="5"/>
        <v>85</v>
      </c>
      <c r="F86" t="s">
        <v>64</v>
      </c>
      <c r="H86" t="b">
        <f t="shared" si="3"/>
        <v>1</v>
      </c>
    </row>
    <row r="87" spans="2:8" x14ac:dyDescent="0.55000000000000004">
      <c r="B87">
        <f t="shared" si="4"/>
        <v>86</v>
      </c>
      <c r="C87" t="s">
        <v>161</v>
      </c>
      <c r="E87">
        <f t="shared" si="5"/>
        <v>86</v>
      </c>
      <c r="F87" t="s">
        <v>161</v>
      </c>
      <c r="H87" t="b">
        <f t="shared" si="3"/>
        <v>1</v>
      </c>
    </row>
    <row r="88" spans="2:8" x14ac:dyDescent="0.55000000000000004">
      <c r="B88">
        <f t="shared" si="4"/>
        <v>87</v>
      </c>
      <c r="C88" t="s">
        <v>151</v>
      </c>
      <c r="E88">
        <f t="shared" si="5"/>
        <v>87</v>
      </c>
      <c r="F88" t="s">
        <v>151</v>
      </c>
      <c r="H88" t="b">
        <f t="shared" si="3"/>
        <v>1</v>
      </c>
    </row>
    <row r="89" spans="2:8" x14ac:dyDescent="0.55000000000000004">
      <c r="B89">
        <f t="shared" si="4"/>
        <v>88</v>
      </c>
      <c r="C89" t="s">
        <v>152</v>
      </c>
      <c r="E89">
        <f t="shared" si="5"/>
        <v>88</v>
      </c>
      <c r="F89" t="s">
        <v>152</v>
      </c>
      <c r="H89" t="b">
        <f t="shared" si="3"/>
        <v>1</v>
      </c>
    </row>
    <row r="90" spans="2:8" x14ac:dyDescent="0.55000000000000004">
      <c r="B90">
        <f t="shared" si="4"/>
        <v>89</v>
      </c>
      <c r="C90" t="s">
        <v>646</v>
      </c>
      <c r="E90">
        <f t="shared" si="5"/>
        <v>89</v>
      </c>
      <c r="F90" t="s">
        <v>646</v>
      </c>
      <c r="H90" t="b">
        <f t="shared" ref="H90:H121" si="6">C90=F90</f>
        <v>1</v>
      </c>
    </row>
    <row r="91" spans="2:8" x14ac:dyDescent="0.55000000000000004">
      <c r="B91">
        <f t="shared" si="4"/>
        <v>90</v>
      </c>
      <c r="C91" t="s">
        <v>150</v>
      </c>
      <c r="E91">
        <f t="shared" si="5"/>
        <v>90</v>
      </c>
      <c r="F91" t="s">
        <v>150</v>
      </c>
      <c r="H91" t="b">
        <f t="shared" si="6"/>
        <v>1</v>
      </c>
    </row>
    <row r="92" spans="2:8" x14ac:dyDescent="0.55000000000000004">
      <c r="B92">
        <f t="shared" si="4"/>
        <v>91</v>
      </c>
      <c r="C92" t="s">
        <v>153</v>
      </c>
      <c r="E92">
        <f t="shared" si="5"/>
        <v>91</v>
      </c>
      <c r="F92" t="s">
        <v>153</v>
      </c>
      <c r="H92" t="b">
        <f t="shared" si="6"/>
        <v>1</v>
      </c>
    </row>
    <row r="93" spans="2:8" x14ac:dyDescent="0.55000000000000004">
      <c r="B93">
        <f t="shared" si="4"/>
        <v>92</v>
      </c>
      <c r="C93" t="s">
        <v>154</v>
      </c>
      <c r="E93">
        <f t="shared" si="5"/>
        <v>92</v>
      </c>
      <c r="F93" t="s">
        <v>154</v>
      </c>
      <c r="H93" t="b">
        <f t="shared" si="6"/>
        <v>1</v>
      </c>
    </row>
    <row r="94" spans="2:8" x14ac:dyDescent="0.55000000000000004">
      <c r="B94">
        <f t="shared" si="4"/>
        <v>93</v>
      </c>
      <c r="C94" t="s">
        <v>647</v>
      </c>
      <c r="E94">
        <f t="shared" si="5"/>
        <v>93</v>
      </c>
      <c r="F94" t="s">
        <v>647</v>
      </c>
      <c r="H94" t="b">
        <f t="shared" si="6"/>
        <v>1</v>
      </c>
    </row>
    <row r="95" spans="2:8" x14ac:dyDescent="0.55000000000000004">
      <c r="B95">
        <f t="shared" si="4"/>
        <v>94</v>
      </c>
      <c r="C95" t="s">
        <v>648</v>
      </c>
      <c r="E95">
        <f t="shared" si="5"/>
        <v>94</v>
      </c>
      <c r="F95" t="s">
        <v>648</v>
      </c>
      <c r="H95" t="b">
        <f t="shared" si="6"/>
        <v>1</v>
      </c>
    </row>
    <row r="96" spans="2:8" x14ac:dyDescent="0.55000000000000004">
      <c r="B96">
        <f t="shared" si="4"/>
        <v>95</v>
      </c>
      <c r="C96" t="s">
        <v>148</v>
      </c>
      <c r="E96">
        <f t="shared" si="5"/>
        <v>95</v>
      </c>
      <c r="F96" t="s">
        <v>148</v>
      </c>
      <c r="H96" t="b">
        <f t="shared" si="6"/>
        <v>1</v>
      </c>
    </row>
    <row r="97" spans="2:8" x14ac:dyDescent="0.55000000000000004">
      <c r="B97">
        <f t="shared" si="4"/>
        <v>96</v>
      </c>
      <c r="C97" t="s">
        <v>649</v>
      </c>
      <c r="E97">
        <f t="shared" si="5"/>
        <v>96</v>
      </c>
      <c r="F97" t="s">
        <v>649</v>
      </c>
      <c r="H97" t="b">
        <f t="shared" si="6"/>
        <v>1</v>
      </c>
    </row>
    <row r="98" spans="2:8" x14ac:dyDescent="0.55000000000000004">
      <c r="B98">
        <f t="shared" si="4"/>
        <v>97</v>
      </c>
      <c r="C98" t="s">
        <v>149</v>
      </c>
      <c r="E98">
        <f t="shared" si="5"/>
        <v>97</v>
      </c>
      <c r="F98" t="s">
        <v>149</v>
      </c>
      <c r="H98" t="b">
        <f t="shared" si="6"/>
        <v>1</v>
      </c>
    </row>
    <row r="99" spans="2:8" x14ac:dyDescent="0.55000000000000004">
      <c r="B99">
        <f t="shared" si="4"/>
        <v>98</v>
      </c>
      <c r="C99" t="s">
        <v>704</v>
      </c>
      <c r="E99">
        <f t="shared" si="5"/>
        <v>98</v>
      </c>
      <c r="H99" t="b">
        <f t="shared" si="6"/>
        <v>0</v>
      </c>
    </row>
    <row r="100" spans="2:8" x14ac:dyDescent="0.55000000000000004">
      <c r="B100">
        <f t="shared" si="4"/>
        <v>99</v>
      </c>
      <c r="C100" t="s">
        <v>168</v>
      </c>
      <c r="E100">
        <f t="shared" si="5"/>
        <v>99</v>
      </c>
      <c r="F100" t="s">
        <v>168</v>
      </c>
      <c r="H100" t="b">
        <f t="shared" si="6"/>
        <v>1</v>
      </c>
    </row>
    <row r="101" spans="2:8" x14ac:dyDescent="0.55000000000000004">
      <c r="B101">
        <f t="shared" si="4"/>
        <v>100</v>
      </c>
      <c r="C101" t="s">
        <v>321</v>
      </c>
      <c r="E101">
        <f t="shared" si="5"/>
        <v>100</v>
      </c>
      <c r="F101" t="s">
        <v>321</v>
      </c>
      <c r="H101" t="b">
        <f t="shared" si="6"/>
        <v>1</v>
      </c>
    </row>
    <row r="102" spans="2:8" x14ac:dyDescent="0.55000000000000004">
      <c r="B102">
        <f t="shared" si="4"/>
        <v>101</v>
      </c>
      <c r="C102" t="s">
        <v>142</v>
      </c>
      <c r="E102">
        <f t="shared" si="5"/>
        <v>101</v>
      </c>
      <c r="F102" t="s">
        <v>142</v>
      </c>
      <c r="H102" t="b">
        <f t="shared" si="6"/>
        <v>1</v>
      </c>
    </row>
    <row r="103" spans="2:8" x14ac:dyDescent="0.55000000000000004">
      <c r="B103">
        <f t="shared" si="4"/>
        <v>102</v>
      </c>
      <c r="C103" t="s">
        <v>650</v>
      </c>
      <c r="E103">
        <f t="shared" si="5"/>
        <v>102</v>
      </c>
      <c r="F103" t="s">
        <v>650</v>
      </c>
      <c r="H103" t="b">
        <f t="shared" si="6"/>
        <v>1</v>
      </c>
    </row>
    <row r="104" spans="2:8" x14ac:dyDescent="0.55000000000000004">
      <c r="B104">
        <f t="shared" si="4"/>
        <v>103</v>
      </c>
      <c r="C104" s="1"/>
      <c r="E104">
        <f t="shared" si="5"/>
        <v>103</v>
      </c>
      <c r="F104" t="s">
        <v>651</v>
      </c>
      <c r="H104" t="b">
        <f t="shared" si="6"/>
        <v>0</v>
      </c>
    </row>
    <row r="105" spans="2:8" x14ac:dyDescent="0.55000000000000004">
      <c r="B105">
        <f t="shared" si="4"/>
        <v>104</v>
      </c>
      <c r="C105" t="s">
        <v>128</v>
      </c>
      <c r="E105">
        <f t="shared" si="5"/>
        <v>104</v>
      </c>
      <c r="F105" t="s">
        <v>128</v>
      </c>
      <c r="H105" t="b">
        <f t="shared" si="6"/>
        <v>1</v>
      </c>
    </row>
    <row r="106" spans="2:8" x14ac:dyDescent="0.55000000000000004">
      <c r="B106">
        <f t="shared" si="4"/>
        <v>105</v>
      </c>
      <c r="C106" t="s">
        <v>129</v>
      </c>
      <c r="E106">
        <f t="shared" si="5"/>
        <v>105</v>
      </c>
      <c r="F106" t="s">
        <v>129</v>
      </c>
      <c r="H106" t="b">
        <f t="shared" si="6"/>
        <v>1</v>
      </c>
    </row>
    <row r="107" spans="2:8" x14ac:dyDescent="0.55000000000000004">
      <c r="B107">
        <f t="shared" si="4"/>
        <v>106</v>
      </c>
      <c r="C107" t="s">
        <v>130</v>
      </c>
      <c r="E107">
        <f t="shared" si="5"/>
        <v>106</v>
      </c>
      <c r="F107" t="s">
        <v>130</v>
      </c>
      <c r="H107" t="b">
        <f t="shared" si="6"/>
        <v>1</v>
      </c>
    </row>
    <row r="108" spans="2:8" x14ac:dyDescent="0.55000000000000004">
      <c r="B108">
        <f t="shared" si="4"/>
        <v>107</v>
      </c>
      <c r="C108" t="s">
        <v>131</v>
      </c>
      <c r="E108">
        <f t="shared" si="5"/>
        <v>107</v>
      </c>
      <c r="F108" t="s">
        <v>131</v>
      </c>
      <c r="H108" t="b">
        <f t="shared" si="6"/>
        <v>1</v>
      </c>
    </row>
    <row r="109" spans="2:8" x14ac:dyDescent="0.55000000000000004">
      <c r="B109">
        <f t="shared" si="4"/>
        <v>108</v>
      </c>
      <c r="C109" t="s">
        <v>132</v>
      </c>
      <c r="E109">
        <f t="shared" si="5"/>
        <v>108</v>
      </c>
      <c r="F109" t="s">
        <v>132</v>
      </c>
      <c r="H109" t="b">
        <f t="shared" si="6"/>
        <v>1</v>
      </c>
    </row>
    <row r="110" spans="2:8" x14ac:dyDescent="0.55000000000000004">
      <c r="B110">
        <f t="shared" si="4"/>
        <v>109</v>
      </c>
      <c r="C110" t="s">
        <v>133</v>
      </c>
      <c r="E110">
        <f t="shared" si="5"/>
        <v>109</v>
      </c>
      <c r="F110" t="s">
        <v>133</v>
      </c>
      <c r="H110" t="b">
        <f t="shared" si="6"/>
        <v>1</v>
      </c>
    </row>
    <row r="111" spans="2:8" x14ac:dyDescent="0.55000000000000004">
      <c r="B111">
        <f t="shared" si="4"/>
        <v>110</v>
      </c>
      <c r="C111" t="s">
        <v>126</v>
      </c>
      <c r="E111">
        <f t="shared" si="5"/>
        <v>110</v>
      </c>
      <c r="F111" t="s">
        <v>126</v>
      </c>
      <c r="H111" t="b">
        <f t="shared" si="6"/>
        <v>1</v>
      </c>
    </row>
    <row r="112" spans="2:8" x14ac:dyDescent="0.55000000000000004">
      <c r="B112">
        <f t="shared" si="4"/>
        <v>111</v>
      </c>
      <c r="C112" t="s">
        <v>127</v>
      </c>
      <c r="E112">
        <f t="shared" si="5"/>
        <v>111</v>
      </c>
      <c r="F112" t="s">
        <v>127</v>
      </c>
      <c r="H112" t="b">
        <f t="shared" si="6"/>
        <v>1</v>
      </c>
    </row>
    <row r="113" spans="2:8" x14ac:dyDescent="0.55000000000000004">
      <c r="B113">
        <f t="shared" si="4"/>
        <v>112</v>
      </c>
      <c r="C113" t="s">
        <v>134</v>
      </c>
      <c r="E113">
        <f t="shared" si="5"/>
        <v>112</v>
      </c>
      <c r="F113" t="s">
        <v>134</v>
      </c>
      <c r="H113" t="b">
        <f t="shared" si="6"/>
        <v>1</v>
      </c>
    </row>
    <row r="114" spans="2:8" x14ac:dyDescent="0.55000000000000004">
      <c r="B114">
        <f t="shared" si="4"/>
        <v>113</v>
      </c>
      <c r="C114" t="s">
        <v>135</v>
      </c>
      <c r="E114">
        <f t="shared" si="5"/>
        <v>113</v>
      </c>
      <c r="F114" t="s">
        <v>135</v>
      </c>
      <c r="H114" t="b">
        <f t="shared" si="6"/>
        <v>1</v>
      </c>
    </row>
    <row r="115" spans="2:8" x14ac:dyDescent="0.55000000000000004">
      <c r="B115">
        <f t="shared" si="4"/>
        <v>114</v>
      </c>
      <c r="C115" t="s">
        <v>136</v>
      </c>
      <c r="E115">
        <f t="shared" si="5"/>
        <v>114</v>
      </c>
      <c r="F115" t="s">
        <v>136</v>
      </c>
      <c r="H115" t="b">
        <f t="shared" si="6"/>
        <v>1</v>
      </c>
    </row>
    <row r="116" spans="2:8" x14ac:dyDescent="0.55000000000000004">
      <c r="B116">
        <f t="shared" si="4"/>
        <v>115</v>
      </c>
      <c r="C116" t="s">
        <v>137</v>
      </c>
      <c r="E116">
        <f t="shared" si="5"/>
        <v>115</v>
      </c>
      <c r="F116" t="s">
        <v>137</v>
      </c>
      <c r="H116" t="b">
        <f t="shared" si="6"/>
        <v>1</v>
      </c>
    </row>
    <row r="117" spans="2:8" x14ac:dyDescent="0.55000000000000004">
      <c r="B117">
        <f t="shared" si="4"/>
        <v>116</v>
      </c>
      <c r="C117" t="s">
        <v>138</v>
      </c>
      <c r="E117">
        <f t="shared" si="5"/>
        <v>116</v>
      </c>
      <c r="F117" t="s">
        <v>138</v>
      </c>
      <c r="H117" t="b">
        <f t="shared" si="6"/>
        <v>1</v>
      </c>
    </row>
    <row r="118" spans="2:8" x14ac:dyDescent="0.55000000000000004">
      <c r="B118">
        <f t="shared" si="4"/>
        <v>117</v>
      </c>
      <c r="C118" t="s">
        <v>139</v>
      </c>
      <c r="E118">
        <f t="shared" si="5"/>
        <v>117</v>
      </c>
      <c r="F118" t="s">
        <v>139</v>
      </c>
      <c r="H118" t="b">
        <f t="shared" si="6"/>
        <v>1</v>
      </c>
    </row>
    <row r="119" spans="2:8" x14ac:dyDescent="0.55000000000000004">
      <c r="B119">
        <f t="shared" si="4"/>
        <v>118</v>
      </c>
      <c r="C119" t="s">
        <v>146</v>
      </c>
      <c r="E119">
        <f t="shared" si="5"/>
        <v>118</v>
      </c>
      <c r="F119" t="s">
        <v>146</v>
      </c>
      <c r="H119" t="b">
        <f t="shared" si="6"/>
        <v>1</v>
      </c>
    </row>
    <row r="120" spans="2:8" x14ac:dyDescent="0.55000000000000004">
      <c r="B120">
        <f t="shared" si="4"/>
        <v>119</v>
      </c>
      <c r="C120" t="s">
        <v>147</v>
      </c>
      <c r="E120">
        <f t="shared" si="5"/>
        <v>119</v>
      </c>
      <c r="F120" t="s">
        <v>147</v>
      </c>
      <c r="H120" t="b">
        <f t="shared" si="6"/>
        <v>1</v>
      </c>
    </row>
    <row r="121" spans="2:8" x14ac:dyDescent="0.55000000000000004">
      <c r="B121">
        <f t="shared" si="4"/>
        <v>120</v>
      </c>
      <c r="C121" t="s">
        <v>145</v>
      </c>
      <c r="E121">
        <f t="shared" si="5"/>
        <v>120</v>
      </c>
      <c r="F121" t="s">
        <v>145</v>
      </c>
      <c r="H121" t="b">
        <f t="shared" si="6"/>
        <v>1</v>
      </c>
    </row>
    <row r="122" spans="2:8" x14ac:dyDescent="0.55000000000000004">
      <c r="B122">
        <f t="shared" si="4"/>
        <v>121</v>
      </c>
      <c r="C122" t="s">
        <v>118</v>
      </c>
      <c r="E122">
        <f t="shared" si="5"/>
        <v>121</v>
      </c>
      <c r="F122" t="s">
        <v>118</v>
      </c>
      <c r="H122" t="b">
        <f t="shared" ref="H122:H153" si="7">C122=F122</f>
        <v>1</v>
      </c>
    </row>
    <row r="123" spans="2:8" x14ac:dyDescent="0.55000000000000004">
      <c r="B123">
        <f t="shared" si="4"/>
        <v>122</v>
      </c>
      <c r="C123" t="s">
        <v>119</v>
      </c>
      <c r="E123">
        <f t="shared" si="5"/>
        <v>122</v>
      </c>
      <c r="F123" t="s">
        <v>119</v>
      </c>
      <c r="H123" t="b">
        <f t="shared" si="7"/>
        <v>1</v>
      </c>
    </row>
    <row r="124" spans="2:8" x14ac:dyDescent="0.55000000000000004">
      <c r="B124">
        <f t="shared" si="4"/>
        <v>123</v>
      </c>
      <c r="C124" t="s">
        <v>120</v>
      </c>
      <c r="E124">
        <f t="shared" si="5"/>
        <v>123</v>
      </c>
      <c r="F124" t="s">
        <v>120</v>
      </c>
      <c r="H124" t="b">
        <f t="shared" si="7"/>
        <v>1</v>
      </c>
    </row>
    <row r="125" spans="2:8" x14ac:dyDescent="0.55000000000000004">
      <c r="B125">
        <f t="shared" si="4"/>
        <v>124</v>
      </c>
      <c r="C125" s="5" t="s">
        <v>66</v>
      </c>
      <c r="E125">
        <f t="shared" si="5"/>
        <v>124</v>
      </c>
      <c r="F125" t="s">
        <v>66</v>
      </c>
      <c r="H125" t="b">
        <f t="shared" si="7"/>
        <v>1</v>
      </c>
    </row>
    <row r="126" spans="2:8" x14ac:dyDescent="0.55000000000000004">
      <c r="B126">
        <f t="shared" si="4"/>
        <v>125</v>
      </c>
      <c r="C126" s="5" t="s">
        <v>652</v>
      </c>
      <c r="E126">
        <f t="shared" si="5"/>
        <v>125</v>
      </c>
      <c r="F126" t="s">
        <v>652</v>
      </c>
      <c r="H126" t="b">
        <f t="shared" si="7"/>
        <v>1</v>
      </c>
    </row>
    <row r="127" spans="2:8" x14ac:dyDescent="0.55000000000000004">
      <c r="B127">
        <f t="shared" si="4"/>
        <v>126</v>
      </c>
      <c r="C127" s="5" t="s">
        <v>65</v>
      </c>
      <c r="E127">
        <f t="shared" si="5"/>
        <v>126</v>
      </c>
      <c r="F127" t="s">
        <v>65</v>
      </c>
      <c r="H127" t="b">
        <f t="shared" si="7"/>
        <v>1</v>
      </c>
    </row>
    <row r="128" spans="2:8" x14ac:dyDescent="0.55000000000000004">
      <c r="B128">
        <f t="shared" si="4"/>
        <v>127</v>
      </c>
      <c r="C128" s="5" t="s">
        <v>67</v>
      </c>
      <c r="E128">
        <f t="shared" si="5"/>
        <v>127</v>
      </c>
      <c r="F128" t="s">
        <v>67</v>
      </c>
      <c r="H128" t="b">
        <f t="shared" si="7"/>
        <v>1</v>
      </c>
    </row>
    <row r="129" spans="2:8" x14ac:dyDescent="0.55000000000000004">
      <c r="B129">
        <f t="shared" si="4"/>
        <v>128</v>
      </c>
      <c r="C129" t="s">
        <v>124</v>
      </c>
      <c r="E129">
        <f t="shared" si="5"/>
        <v>128</v>
      </c>
      <c r="F129" t="s">
        <v>124</v>
      </c>
      <c r="H129" t="b">
        <f t="shared" si="7"/>
        <v>1</v>
      </c>
    </row>
    <row r="130" spans="2:8" x14ac:dyDescent="0.55000000000000004">
      <c r="B130">
        <f t="shared" si="4"/>
        <v>129</v>
      </c>
      <c r="C130" t="s">
        <v>123</v>
      </c>
      <c r="E130">
        <f t="shared" si="5"/>
        <v>129</v>
      </c>
      <c r="F130" t="s">
        <v>123</v>
      </c>
      <c r="H130" t="b">
        <f t="shared" si="7"/>
        <v>1</v>
      </c>
    </row>
    <row r="131" spans="2:8" x14ac:dyDescent="0.55000000000000004">
      <c r="B131">
        <f t="shared" si="4"/>
        <v>130</v>
      </c>
      <c r="C131" t="s">
        <v>113</v>
      </c>
      <c r="E131">
        <f t="shared" si="5"/>
        <v>130</v>
      </c>
      <c r="F131" t="s">
        <v>113</v>
      </c>
      <c r="H131" t="b">
        <f t="shared" si="7"/>
        <v>1</v>
      </c>
    </row>
    <row r="132" spans="2:8" x14ac:dyDescent="0.55000000000000004">
      <c r="B132">
        <f t="shared" ref="B132:B190" si="8">B131+1</f>
        <v>131</v>
      </c>
      <c r="C132" t="s">
        <v>112</v>
      </c>
      <c r="E132">
        <f t="shared" ref="E132:E190" si="9">E131+1</f>
        <v>131</v>
      </c>
      <c r="F132" t="s">
        <v>112</v>
      </c>
      <c r="H132" t="b">
        <f t="shared" si="7"/>
        <v>1</v>
      </c>
    </row>
    <row r="133" spans="2:8" x14ac:dyDescent="0.55000000000000004">
      <c r="B133">
        <f t="shared" si="8"/>
        <v>132</v>
      </c>
      <c r="C133" t="s">
        <v>111</v>
      </c>
      <c r="E133">
        <f t="shared" si="9"/>
        <v>132</v>
      </c>
      <c r="F133" t="s">
        <v>111</v>
      </c>
      <c r="H133" t="b">
        <f t="shared" si="7"/>
        <v>1</v>
      </c>
    </row>
    <row r="134" spans="2:8" x14ac:dyDescent="0.55000000000000004">
      <c r="B134">
        <f t="shared" si="8"/>
        <v>133</v>
      </c>
      <c r="C134" t="s">
        <v>114</v>
      </c>
      <c r="E134">
        <f t="shared" si="9"/>
        <v>133</v>
      </c>
      <c r="F134" t="s">
        <v>114</v>
      </c>
      <c r="H134" t="b">
        <f t="shared" si="7"/>
        <v>1</v>
      </c>
    </row>
    <row r="135" spans="2:8" x14ac:dyDescent="0.55000000000000004">
      <c r="B135">
        <f t="shared" si="8"/>
        <v>134</v>
      </c>
      <c r="C135" t="s">
        <v>110</v>
      </c>
      <c r="E135">
        <f t="shared" si="9"/>
        <v>134</v>
      </c>
      <c r="F135" t="s">
        <v>110</v>
      </c>
      <c r="H135" t="b">
        <f t="shared" si="7"/>
        <v>1</v>
      </c>
    </row>
    <row r="136" spans="2:8" x14ac:dyDescent="0.55000000000000004">
      <c r="B136">
        <f t="shared" si="8"/>
        <v>135</v>
      </c>
      <c r="C136" t="s">
        <v>102</v>
      </c>
      <c r="E136">
        <f t="shared" si="9"/>
        <v>135</v>
      </c>
      <c r="F136" t="s">
        <v>102</v>
      </c>
      <c r="H136" t="b">
        <f t="shared" si="7"/>
        <v>1</v>
      </c>
    </row>
    <row r="137" spans="2:8" x14ac:dyDescent="0.55000000000000004">
      <c r="B137">
        <f t="shared" si="8"/>
        <v>136</v>
      </c>
      <c r="C137" t="s">
        <v>101</v>
      </c>
      <c r="E137">
        <f t="shared" si="9"/>
        <v>136</v>
      </c>
      <c r="F137" t="s">
        <v>101</v>
      </c>
      <c r="H137" t="b">
        <f t="shared" si="7"/>
        <v>1</v>
      </c>
    </row>
    <row r="138" spans="2:8" x14ac:dyDescent="0.55000000000000004">
      <c r="B138">
        <f t="shared" si="8"/>
        <v>137</v>
      </c>
      <c r="C138" t="s">
        <v>104</v>
      </c>
      <c r="E138">
        <f t="shared" si="9"/>
        <v>137</v>
      </c>
      <c r="F138" t="s">
        <v>104</v>
      </c>
      <c r="H138" t="b">
        <f t="shared" si="7"/>
        <v>1</v>
      </c>
    </row>
    <row r="139" spans="2:8" x14ac:dyDescent="0.55000000000000004">
      <c r="B139">
        <f t="shared" si="8"/>
        <v>138</v>
      </c>
      <c r="C139" t="s">
        <v>103</v>
      </c>
      <c r="E139">
        <f t="shared" si="9"/>
        <v>138</v>
      </c>
      <c r="F139" t="s">
        <v>103</v>
      </c>
      <c r="H139" t="b">
        <f t="shared" si="7"/>
        <v>1</v>
      </c>
    </row>
    <row r="140" spans="2:8" x14ac:dyDescent="0.55000000000000004">
      <c r="B140">
        <f t="shared" si="8"/>
        <v>139</v>
      </c>
      <c r="C140" t="s">
        <v>653</v>
      </c>
      <c r="E140">
        <f t="shared" si="9"/>
        <v>139</v>
      </c>
      <c r="F140" t="s">
        <v>653</v>
      </c>
      <c r="H140" t="b">
        <f t="shared" si="7"/>
        <v>1</v>
      </c>
    </row>
    <row r="141" spans="2:8" x14ac:dyDescent="0.55000000000000004">
      <c r="B141">
        <f t="shared" si="8"/>
        <v>140</v>
      </c>
      <c r="C141" t="s">
        <v>108</v>
      </c>
      <c r="E141">
        <f t="shared" si="9"/>
        <v>140</v>
      </c>
      <c r="F141" t="s">
        <v>108</v>
      </c>
      <c r="H141" t="b">
        <f t="shared" si="7"/>
        <v>1</v>
      </c>
    </row>
    <row r="142" spans="2:8" x14ac:dyDescent="0.55000000000000004">
      <c r="B142">
        <f t="shared" si="8"/>
        <v>141</v>
      </c>
      <c r="C142" t="s">
        <v>105</v>
      </c>
      <c r="E142">
        <f t="shared" si="9"/>
        <v>141</v>
      </c>
      <c r="F142" t="s">
        <v>105</v>
      </c>
      <c r="H142" t="b">
        <f t="shared" si="7"/>
        <v>1</v>
      </c>
    </row>
    <row r="143" spans="2:8" x14ac:dyDescent="0.55000000000000004">
      <c r="B143">
        <f t="shared" si="8"/>
        <v>142</v>
      </c>
      <c r="C143" t="s">
        <v>107</v>
      </c>
      <c r="E143">
        <f t="shared" si="9"/>
        <v>142</v>
      </c>
      <c r="F143" t="s">
        <v>107</v>
      </c>
      <c r="H143" t="b">
        <f t="shared" si="7"/>
        <v>1</v>
      </c>
    </row>
    <row r="144" spans="2:8" x14ac:dyDescent="0.55000000000000004">
      <c r="B144">
        <f t="shared" si="8"/>
        <v>143</v>
      </c>
      <c r="C144" t="s">
        <v>106</v>
      </c>
      <c r="E144">
        <f t="shared" si="9"/>
        <v>143</v>
      </c>
      <c r="F144" t="s">
        <v>106</v>
      </c>
      <c r="H144" t="b">
        <f t="shared" si="7"/>
        <v>1</v>
      </c>
    </row>
    <row r="145" spans="2:8" x14ac:dyDescent="0.55000000000000004">
      <c r="B145">
        <f t="shared" si="8"/>
        <v>144</v>
      </c>
      <c r="C145" t="s">
        <v>140</v>
      </c>
      <c r="E145">
        <f t="shared" si="9"/>
        <v>144</v>
      </c>
      <c r="F145" t="s">
        <v>140</v>
      </c>
      <c r="H145" t="b">
        <f t="shared" si="7"/>
        <v>1</v>
      </c>
    </row>
    <row r="146" spans="2:8" x14ac:dyDescent="0.55000000000000004">
      <c r="B146">
        <f t="shared" si="8"/>
        <v>145</v>
      </c>
      <c r="C146" t="s">
        <v>141</v>
      </c>
      <c r="E146">
        <f t="shared" si="9"/>
        <v>145</v>
      </c>
      <c r="F146" t="s">
        <v>141</v>
      </c>
      <c r="H146" t="b">
        <f t="shared" si="7"/>
        <v>1</v>
      </c>
    </row>
    <row r="147" spans="2:8" x14ac:dyDescent="0.55000000000000004">
      <c r="B147">
        <f t="shared" si="8"/>
        <v>146</v>
      </c>
      <c r="C147" t="s">
        <v>162</v>
      </c>
      <c r="E147">
        <f t="shared" si="9"/>
        <v>146</v>
      </c>
      <c r="F147" t="s">
        <v>162</v>
      </c>
      <c r="H147" t="b">
        <f t="shared" si="7"/>
        <v>1</v>
      </c>
    </row>
    <row r="148" spans="2:8" x14ac:dyDescent="0.55000000000000004">
      <c r="B148">
        <f t="shared" si="8"/>
        <v>147</v>
      </c>
      <c r="C148" t="s">
        <v>166</v>
      </c>
      <c r="E148">
        <f t="shared" si="9"/>
        <v>147</v>
      </c>
      <c r="F148" t="s">
        <v>166</v>
      </c>
      <c r="H148" t="b">
        <f t="shared" si="7"/>
        <v>1</v>
      </c>
    </row>
    <row r="149" spans="2:8" x14ac:dyDescent="0.55000000000000004">
      <c r="B149">
        <f t="shared" si="8"/>
        <v>148</v>
      </c>
      <c r="C149" t="s">
        <v>167</v>
      </c>
      <c r="E149">
        <f t="shared" si="9"/>
        <v>148</v>
      </c>
      <c r="F149" t="s">
        <v>167</v>
      </c>
      <c r="H149" t="b">
        <f t="shared" si="7"/>
        <v>1</v>
      </c>
    </row>
    <row r="150" spans="2:8" x14ac:dyDescent="0.55000000000000004">
      <c r="B150">
        <f t="shared" si="8"/>
        <v>149</v>
      </c>
      <c r="C150" t="s">
        <v>164</v>
      </c>
      <c r="E150">
        <f t="shared" si="9"/>
        <v>149</v>
      </c>
      <c r="F150" t="s">
        <v>164</v>
      </c>
      <c r="H150" t="b">
        <f t="shared" si="7"/>
        <v>1</v>
      </c>
    </row>
    <row r="151" spans="2:8" x14ac:dyDescent="0.55000000000000004">
      <c r="B151">
        <f t="shared" si="8"/>
        <v>150</v>
      </c>
      <c r="C151" t="s">
        <v>163</v>
      </c>
      <c r="E151">
        <f t="shared" si="9"/>
        <v>150</v>
      </c>
      <c r="F151" t="s">
        <v>163</v>
      </c>
      <c r="H151" t="b">
        <f t="shared" si="7"/>
        <v>1</v>
      </c>
    </row>
    <row r="152" spans="2:8" x14ac:dyDescent="0.55000000000000004">
      <c r="B152">
        <f t="shared" si="8"/>
        <v>151</v>
      </c>
      <c r="C152" t="s">
        <v>165</v>
      </c>
      <c r="E152">
        <f t="shared" si="9"/>
        <v>151</v>
      </c>
      <c r="F152" t="s">
        <v>165</v>
      </c>
      <c r="H152" t="b">
        <f t="shared" si="7"/>
        <v>1</v>
      </c>
    </row>
    <row r="153" spans="2:8" x14ac:dyDescent="0.55000000000000004">
      <c r="B153">
        <f t="shared" si="8"/>
        <v>152</v>
      </c>
      <c r="C153" t="s">
        <v>125</v>
      </c>
      <c r="E153">
        <f t="shared" si="9"/>
        <v>152</v>
      </c>
      <c r="F153" t="s">
        <v>125</v>
      </c>
      <c r="H153" t="b">
        <f t="shared" si="7"/>
        <v>1</v>
      </c>
    </row>
    <row r="154" spans="2:8" x14ac:dyDescent="0.55000000000000004">
      <c r="B154">
        <f t="shared" si="8"/>
        <v>153</v>
      </c>
      <c r="C154" t="s">
        <v>654</v>
      </c>
      <c r="E154">
        <f t="shared" si="9"/>
        <v>153</v>
      </c>
      <c r="F154" t="s">
        <v>654</v>
      </c>
      <c r="H154" t="b">
        <f t="shared" ref="H154:H190" si="10">C154=F154</f>
        <v>1</v>
      </c>
    </row>
    <row r="155" spans="2:8" x14ac:dyDescent="0.55000000000000004">
      <c r="B155">
        <f t="shared" si="8"/>
        <v>154</v>
      </c>
      <c r="C155" t="s">
        <v>655</v>
      </c>
      <c r="E155">
        <f t="shared" si="9"/>
        <v>154</v>
      </c>
      <c r="F155" t="s">
        <v>655</v>
      </c>
      <c r="H155" t="b">
        <f t="shared" si="10"/>
        <v>1</v>
      </c>
    </row>
    <row r="156" spans="2:8" x14ac:dyDescent="0.55000000000000004">
      <c r="B156">
        <f t="shared" si="8"/>
        <v>155</v>
      </c>
      <c r="C156" t="s">
        <v>666</v>
      </c>
      <c r="E156">
        <f t="shared" si="9"/>
        <v>155</v>
      </c>
      <c r="F156" t="s">
        <v>666</v>
      </c>
      <c r="H156" t="b">
        <f t="shared" si="10"/>
        <v>1</v>
      </c>
    </row>
    <row r="157" spans="2:8" x14ac:dyDescent="0.55000000000000004">
      <c r="B157">
        <f t="shared" si="8"/>
        <v>156</v>
      </c>
      <c r="C157" t="s">
        <v>656</v>
      </c>
      <c r="E157">
        <f t="shared" si="9"/>
        <v>156</v>
      </c>
      <c r="F157" t="s">
        <v>656</v>
      </c>
      <c r="H157" t="b">
        <f t="shared" si="10"/>
        <v>1</v>
      </c>
    </row>
    <row r="158" spans="2:8" x14ac:dyDescent="0.55000000000000004">
      <c r="B158">
        <f t="shared" si="8"/>
        <v>157</v>
      </c>
      <c r="C158" t="s">
        <v>319</v>
      </c>
      <c r="E158">
        <f t="shared" si="9"/>
        <v>157</v>
      </c>
      <c r="F158" t="s">
        <v>319</v>
      </c>
      <c r="H158" t="b">
        <f t="shared" si="10"/>
        <v>1</v>
      </c>
    </row>
    <row r="159" spans="2:8" x14ac:dyDescent="0.55000000000000004">
      <c r="B159">
        <f t="shared" si="8"/>
        <v>158</v>
      </c>
      <c r="C159" t="s">
        <v>313</v>
      </c>
      <c r="E159">
        <f t="shared" si="9"/>
        <v>158</v>
      </c>
      <c r="F159" t="s">
        <v>313</v>
      </c>
      <c r="H159" t="b">
        <f t="shared" si="10"/>
        <v>1</v>
      </c>
    </row>
    <row r="160" spans="2:8" x14ac:dyDescent="0.55000000000000004">
      <c r="B160">
        <f t="shared" si="8"/>
        <v>159</v>
      </c>
      <c r="C160" t="s">
        <v>657</v>
      </c>
      <c r="E160">
        <f t="shared" si="9"/>
        <v>159</v>
      </c>
      <c r="F160" t="s">
        <v>657</v>
      </c>
      <c r="H160" t="b">
        <f t="shared" si="10"/>
        <v>1</v>
      </c>
    </row>
    <row r="161" spans="2:8" x14ac:dyDescent="0.55000000000000004">
      <c r="B161">
        <f t="shared" si="8"/>
        <v>160</v>
      </c>
      <c r="C161" t="s">
        <v>303</v>
      </c>
      <c r="E161">
        <f t="shared" si="9"/>
        <v>160</v>
      </c>
      <c r="F161" t="s">
        <v>303</v>
      </c>
      <c r="H161" t="b">
        <f t="shared" si="10"/>
        <v>1</v>
      </c>
    </row>
    <row r="162" spans="2:8" x14ac:dyDescent="0.55000000000000004">
      <c r="B162">
        <f t="shared" si="8"/>
        <v>161</v>
      </c>
      <c r="C162" t="s">
        <v>305</v>
      </c>
      <c r="E162">
        <f t="shared" si="9"/>
        <v>161</v>
      </c>
      <c r="F162" t="s">
        <v>305</v>
      </c>
      <c r="H162" t="b">
        <f t="shared" si="10"/>
        <v>1</v>
      </c>
    </row>
    <row r="163" spans="2:8" x14ac:dyDescent="0.55000000000000004">
      <c r="B163">
        <f t="shared" si="8"/>
        <v>162</v>
      </c>
      <c r="C163" t="s">
        <v>306</v>
      </c>
      <c r="E163">
        <f t="shared" si="9"/>
        <v>162</v>
      </c>
      <c r="F163" t="s">
        <v>306</v>
      </c>
      <c r="H163" t="b">
        <f t="shared" si="10"/>
        <v>1</v>
      </c>
    </row>
    <row r="164" spans="2:8" x14ac:dyDescent="0.55000000000000004">
      <c r="B164">
        <f t="shared" si="8"/>
        <v>163</v>
      </c>
      <c r="C164" t="s">
        <v>307</v>
      </c>
      <c r="E164">
        <f t="shared" si="9"/>
        <v>163</v>
      </c>
      <c r="F164" t="s">
        <v>307</v>
      </c>
      <c r="H164" t="b">
        <f t="shared" si="10"/>
        <v>1</v>
      </c>
    </row>
    <row r="165" spans="2:8" x14ac:dyDescent="0.55000000000000004">
      <c r="B165">
        <f t="shared" si="8"/>
        <v>164</v>
      </c>
      <c r="C165" t="s">
        <v>304</v>
      </c>
      <c r="E165">
        <f t="shared" si="9"/>
        <v>164</v>
      </c>
      <c r="F165" t="s">
        <v>304</v>
      </c>
      <c r="H165" t="b">
        <f t="shared" si="10"/>
        <v>1</v>
      </c>
    </row>
    <row r="166" spans="2:8" x14ac:dyDescent="0.55000000000000004">
      <c r="B166">
        <f t="shared" si="8"/>
        <v>165</v>
      </c>
      <c r="C166" t="s">
        <v>315</v>
      </c>
      <c r="E166">
        <f t="shared" si="9"/>
        <v>165</v>
      </c>
      <c r="F166" t="s">
        <v>315</v>
      </c>
      <c r="H166" t="b">
        <f t="shared" si="10"/>
        <v>1</v>
      </c>
    </row>
    <row r="167" spans="2:8" x14ac:dyDescent="0.55000000000000004">
      <c r="B167">
        <f t="shared" si="8"/>
        <v>166</v>
      </c>
      <c r="C167" t="s">
        <v>658</v>
      </c>
      <c r="E167">
        <f t="shared" si="9"/>
        <v>166</v>
      </c>
      <c r="F167" t="s">
        <v>658</v>
      </c>
      <c r="H167" t="b">
        <f t="shared" si="10"/>
        <v>1</v>
      </c>
    </row>
    <row r="168" spans="2:8" x14ac:dyDescent="0.55000000000000004">
      <c r="B168">
        <f t="shared" si="8"/>
        <v>167</v>
      </c>
      <c r="C168" t="s">
        <v>659</v>
      </c>
      <c r="E168">
        <f t="shared" si="9"/>
        <v>167</v>
      </c>
      <c r="F168" t="s">
        <v>659</v>
      </c>
      <c r="H168" t="b">
        <f t="shared" si="10"/>
        <v>1</v>
      </c>
    </row>
    <row r="169" spans="2:8" x14ac:dyDescent="0.55000000000000004">
      <c r="B169">
        <f t="shared" si="8"/>
        <v>168</v>
      </c>
      <c r="C169" t="s">
        <v>660</v>
      </c>
      <c r="E169">
        <f t="shared" si="9"/>
        <v>168</v>
      </c>
      <c r="F169" t="s">
        <v>660</v>
      </c>
      <c r="H169" t="b">
        <f t="shared" si="10"/>
        <v>1</v>
      </c>
    </row>
    <row r="170" spans="2:8" x14ac:dyDescent="0.55000000000000004">
      <c r="B170">
        <f t="shared" si="8"/>
        <v>169</v>
      </c>
      <c r="C170" t="s">
        <v>661</v>
      </c>
      <c r="E170">
        <f t="shared" si="9"/>
        <v>169</v>
      </c>
      <c r="F170" t="s">
        <v>661</v>
      </c>
      <c r="H170" t="b">
        <f t="shared" si="10"/>
        <v>1</v>
      </c>
    </row>
    <row r="171" spans="2:8" x14ac:dyDescent="0.55000000000000004">
      <c r="B171">
        <f t="shared" si="8"/>
        <v>170</v>
      </c>
      <c r="C171" t="s">
        <v>308</v>
      </c>
      <c r="E171">
        <f t="shared" si="9"/>
        <v>170</v>
      </c>
      <c r="F171" t="s">
        <v>308</v>
      </c>
      <c r="H171" t="b">
        <f t="shared" si="10"/>
        <v>1</v>
      </c>
    </row>
    <row r="172" spans="2:8" x14ac:dyDescent="0.55000000000000004">
      <c r="B172">
        <f t="shared" si="8"/>
        <v>171</v>
      </c>
      <c r="C172" t="s">
        <v>662</v>
      </c>
      <c r="E172">
        <f t="shared" si="9"/>
        <v>171</v>
      </c>
      <c r="F172" t="s">
        <v>662</v>
      </c>
      <c r="H172" t="b">
        <f t="shared" si="10"/>
        <v>1</v>
      </c>
    </row>
    <row r="173" spans="2:8" x14ac:dyDescent="0.55000000000000004">
      <c r="B173">
        <f t="shared" si="8"/>
        <v>172</v>
      </c>
      <c r="C173" t="s">
        <v>663</v>
      </c>
      <c r="E173">
        <f t="shared" si="9"/>
        <v>172</v>
      </c>
      <c r="F173" t="s">
        <v>663</v>
      </c>
      <c r="H173" t="b">
        <f t="shared" si="10"/>
        <v>1</v>
      </c>
    </row>
    <row r="174" spans="2:8" x14ac:dyDescent="0.55000000000000004">
      <c r="B174">
        <f t="shared" si="8"/>
        <v>173</v>
      </c>
      <c r="C174" t="s">
        <v>320</v>
      </c>
      <c r="E174">
        <f t="shared" si="9"/>
        <v>173</v>
      </c>
      <c r="F174" t="s">
        <v>320</v>
      </c>
      <c r="H174" t="b">
        <f t="shared" si="10"/>
        <v>1</v>
      </c>
    </row>
    <row r="175" spans="2:8" x14ac:dyDescent="0.55000000000000004">
      <c r="B175">
        <f t="shared" si="8"/>
        <v>174</v>
      </c>
      <c r="C175" t="s">
        <v>317</v>
      </c>
      <c r="E175">
        <f t="shared" si="9"/>
        <v>174</v>
      </c>
      <c r="F175" t="s">
        <v>317</v>
      </c>
      <c r="H175" t="b">
        <f t="shared" si="10"/>
        <v>1</v>
      </c>
    </row>
    <row r="176" spans="2:8" x14ac:dyDescent="0.55000000000000004">
      <c r="B176">
        <f t="shared" si="8"/>
        <v>175</v>
      </c>
      <c r="C176" t="s">
        <v>310</v>
      </c>
      <c r="E176">
        <f t="shared" si="9"/>
        <v>175</v>
      </c>
      <c r="F176" t="s">
        <v>310</v>
      </c>
      <c r="H176" t="b">
        <f t="shared" si="10"/>
        <v>1</v>
      </c>
    </row>
    <row r="177" spans="2:8" x14ac:dyDescent="0.55000000000000004">
      <c r="B177">
        <f t="shared" si="8"/>
        <v>176</v>
      </c>
      <c r="C177" t="s">
        <v>664</v>
      </c>
      <c r="E177">
        <f t="shared" si="9"/>
        <v>176</v>
      </c>
      <c r="F177" t="s">
        <v>664</v>
      </c>
      <c r="H177" t="b">
        <f t="shared" si="10"/>
        <v>1</v>
      </c>
    </row>
    <row r="178" spans="2:8" x14ac:dyDescent="0.55000000000000004">
      <c r="B178">
        <f t="shared" si="8"/>
        <v>177</v>
      </c>
      <c r="C178" t="s">
        <v>665</v>
      </c>
      <c r="E178">
        <f t="shared" si="9"/>
        <v>177</v>
      </c>
      <c r="F178" t="s">
        <v>665</v>
      </c>
      <c r="H178" t="b">
        <f t="shared" si="10"/>
        <v>1</v>
      </c>
    </row>
    <row r="179" spans="2:8" x14ac:dyDescent="0.55000000000000004">
      <c r="B179">
        <f t="shared" si="8"/>
        <v>178</v>
      </c>
      <c r="C179" t="s">
        <v>115</v>
      </c>
      <c r="E179">
        <f t="shared" si="9"/>
        <v>178</v>
      </c>
      <c r="F179" t="s">
        <v>115</v>
      </c>
      <c r="H179" t="b">
        <f t="shared" si="10"/>
        <v>1</v>
      </c>
    </row>
    <row r="180" spans="2:8" x14ac:dyDescent="0.55000000000000004">
      <c r="B180">
        <f t="shared" si="8"/>
        <v>179</v>
      </c>
      <c r="C180" t="s">
        <v>116</v>
      </c>
      <c r="E180">
        <f t="shared" si="9"/>
        <v>179</v>
      </c>
      <c r="F180" t="s">
        <v>116</v>
      </c>
      <c r="H180" t="b">
        <f t="shared" si="10"/>
        <v>1</v>
      </c>
    </row>
    <row r="181" spans="2:8" x14ac:dyDescent="0.55000000000000004">
      <c r="B181">
        <f t="shared" si="8"/>
        <v>180</v>
      </c>
      <c r="C181" t="s">
        <v>117</v>
      </c>
      <c r="E181">
        <f t="shared" si="9"/>
        <v>180</v>
      </c>
      <c r="F181" t="s">
        <v>117</v>
      </c>
      <c r="H181" t="b">
        <f t="shared" si="10"/>
        <v>1</v>
      </c>
    </row>
    <row r="182" spans="2:8" x14ac:dyDescent="0.55000000000000004">
      <c r="B182">
        <f t="shared" si="8"/>
        <v>181</v>
      </c>
      <c r="C182" s="1"/>
      <c r="E182">
        <f t="shared" si="9"/>
        <v>181</v>
      </c>
      <c r="F182" t="s">
        <v>672</v>
      </c>
      <c r="H182" t="b">
        <f t="shared" si="10"/>
        <v>0</v>
      </c>
    </row>
    <row r="183" spans="2:8" x14ac:dyDescent="0.55000000000000004">
      <c r="B183">
        <f t="shared" si="8"/>
        <v>182</v>
      </c>
      <c r="C183" s="1"/>
      <c r="E183">
        <f t="shared" si="9"/>
        <v>182</v>
      </c>
      <c r="F183" t="s">
        <v>673</v>
      </c>
      <c r="H183" t="b">
        <f t="shared" si="10"/>
        <v>0</v>
      </c>
    </row>
    <row r="184" spans="2:8" x14ac:dyDescent="0.55000000000000004">
      <c r="B184">
        <f t="shared" si="8"/>
        <v>183</v>
      </c>
      <c r="C184" s="1"/>
      <c r="E184">
        <f t="shared" si="9"/>
        <v>183</v>
      </c>
      <c r="F184" t="s">
        <v>674</v>
      </c>
      <c r="H184" t="b">
        <f t="shared" si="10"/>
        <v>0</v>
      </c>
    </row>
    <row r="185" spans="2:8" x14ac:dyDescent="0.55000000000000004">
      <c r="B185">
        <f t="shared" si="8"/>
        <v>184</v>
      </c>
      <c r="C185" s="1"/>
      <c r="E185">
        <f t="shared" si="9"/>
        <v>184</v>
      </c>
      <c r="F185" t="s">
        <v>675</v>
      </c>
      <c r="H185" t="b">
        <f t="shared" si="10"/>
        <v>0</v>
      </c>
    </row>
    <row r="186" spans="2:8" x14ac:dyDescent="0.55000000000000004">
      <c r="B186">
        <f t="shared" si="8"/>
        <v>185</v>
      </c>
      <c r="C186" t="s">
        <v>667</v>
      </c>
      <c r="E186">
        <f t="shared" si="9"/>
        <v>185</v>
      </c>
      <c r="F186" t="s">
        <v>667</v>
      </c>
      <c r="H186" t="b">
        <f t="shared" si="10"/>
        <v>1</v>
      </c>
    </row>
    <row r="187" spans="2:8" x14ac:dyDescent="0.55000000000000004">
      <c r="B187">
        <f t="shared" si="8"/>
        <v>186</v>
      </c>
      <c r="C187" t="s">
        <v>668</v>
      </c>
      <c r="E187">
        <f t="shared" si="9"/>
        <v>186</v>
      </c>
      <c r="F187" t="s">
        <v>668</v>
      </c>
      <c r="H187" t="b">
        <f t="shared" si="10"/>
        <v>1</v>
      </c>
    </row>
    <row r="188" spans="2:8" x14ac:dyDescent="0.55000000000000004">
      <c r="B188">
        <f t="shared" si="8"/>
        <v>187</v>
      </c>
      <c r="C188" t="s">
        <v>669</v>
      </c>
      <c r="E188">
        <f t="shared" si="9"/>
        <v>187</v>
      </c>
      <c r="F188" t="s">
        <v>669</v>
      </c>
      <c r="H188" t="b">
        <f t="shared" si="10"/>
        <v>1</v>
      </c>
    </row>
    <row r="189" spans="2:8" x14ac:dyDescent="0.55000000000000004">
      <c r="B189">
        <f t="shared" si="8"/>
        <v>188</v>
      </c>
      <c r="C189" t="s">
        <v>670</v>
      </c>
      <c r="E189">
        <f t="shared" si="9"/>
        <v>188</v>
      </c>
      <c r="F189" t="s">
        <v>670</v>
      </c>
      <c r="H189" t="b">
        <f t="shared" si="10"/>
        <v>1</v>
      </c>
    </row>
    <row r="190" spans="2:8" x14ac:dyDescent="0.55000000000000004">
      <c r="B190">
        <f t="shared" si="8"/>
        <v>189</v>
      </c>
      <c r="C190" t="s">
        <v>671</v>
      </c>
      <c r="E190">
        <f t="shared" si="9"/>
        <v>189</v>
      </c>
      <c r="F190" t="s">
        <v>671</v>
      </c>
      <c r="H190" t="b">
        <f t="shared" si="10"/>
        <v>1</v>
      </c>
    </row>
  </sheetData>
  <sortState xmlns:xlrd2="http://schemas.microsoft.com/office/spreadsheetml/2017/richdata2" ref="F2:F190">
    <sortCondition ref="F2:F190"/>
  </sortState>
  <conditionalFormatting sqref="H2:H190">
    <cfRule type="containsText" dxfId="0" priority="1" operator="containsText" text="TRUE">
      <formula>NOT(ISERROR(SEARCH("TRUE",H2)))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EF9D7-2119-4BCB-96FF-BC6DF7DF282C}">
  <dimension ref="C1:G224"/>
  <sheetViews>
    <sheetView topLeftCell="A34" workbookViewId="0">
      <selection activeCell="C2" sqref="C2"/>
    </sheetView>
  </sheetViews>
  <sheetFormatPr defaultRowHeight="14.4" x14ac:dyDescent="0.55000000000000004"/>
  <cols>
    <col min="4" max="4" width="61.734375" bestFit="1" customWidth="1"/>
    <col min="5" max="5" width="2.734375" customWidth="1"/>
    <col min="7" max="7" width="60.62890625" customWidth="1"/>
  </cols>
  <sheetData>
    <row r="1" spans="3:7" x14ac:dyDescent="0.55000000000000004">
      <c r="C1">
        <v>1</v>
      </c>
      <c r="D1" t="s">
        <v>706</v>
      </c>
      <c r="F1">
        <v>1</v>
      </c>
      <c r="G1" t="str">
        <f>REPLACE(D1, 1, 10, "")</f>
        <v xml:space="preserve">.env.example                                                       </v>
      </c>
    </row>
    <row r="2" spans="3:7" x14ac:dyDescent="0.55000000000000004">
      <c r="C2">
        <v>2</v>
      </c>
      <c r="D2" t="s">
        <v>707</v>
      </c>
      <c r="F2">
        <f>F1+1</f>
        <v>2</v>
      </c>
      <c r="G2" t="str">
        <f t="shared" ref="G2:G65" si="0">REPLACE(D2, 1, 10, "")</f>
        <v xml:space="preserve">.env.sync-checklist                                                </v>
      </c>
    </row>
    <row r="3" spans="3:7" x14ac:dyDescent="0.55000000000000004">
      <c r="C3">
        <v>3</v>
      </c>
      <c r="D3" t="s">
        <v>708</v>
      </c>
      <c r="F3">
        <f t="shared" ref="F3:F66" si="1">F2+1</f>
        <v>3</v>
      </c>
      <c r="G3" t="str">
        <f t="shared" si="0"/>
        <v xml:space="preserve">.eslintrc.json                                                     </v>
      </c>
    </row>
    <row r="4" spans="3:7" x14ac:dyDescent="0.55000000000000004">
      <c r="C4">
        <v>4</v>
      </c>
      <c r="D4" t="s">
        <v>709</v>
      </c>
      <c r="F4">
        <f t="shared" si="1"/>
        <v>4</v>
      </c>
      <c r="G4" t="str">
        <f t="shared" si="0"/>
        <v xml:space="preserve">.gitignore                                                         </v>
      </c>
    </row>
    <row r="5" spans="3:7" x14ac:dyDescent="0.55000000000000004">
      <c r="C5">
        <v>5</v>
      </c>
      <c r="D5" t="s">
        <v>710</v>
      </c>
      <c r="F5">
        <f t="shared" si="1"/>
        <v>5</v>
      </c>
      <c r="G5" t="str">
        <f t="shared" si="0"/>
        <v xml:space="preserve">.prettierrc                                                        </v>
      </c>
    </row>
    <row r="6" spans="3:7" x14ac:dyDescent="0.55000000000000004">
      <c r="C6">
        <v>14</v>
      </c>
      <c r="D6" t="s">
        <v>711</v>
      </c>
      <c r="F6">
        <f t="shared" si="1"/>
        <v>6</v>
      </c>
      <c r="G6" t="str">
        <f t="shared" si="0"/>
        <v xml:space="preserve">app/api/admin/affiliates/[id]/distribute-codes/route.ts            </v>
      </c>
    </row>
    <row r="7" spans="3:7" x14ac:dyDescent="0.55000000000000004">
      <c r="C7">
        <v>15</v>
      </c>
      <c r="D7" t="s">
        <v>712</v>
      </c>
      <c r="F7">
        <f t="shared" si="1"/>
        <v>7</v>
      </c>
      <c r="G7" t="str">
        <f t="shared" si="0"/>
        <v xml:space="preserve">app/api/admin/affiliates/[id]/reactivate/route.ts                  </v>
      </c>
    </row>
    <row r="8" spans="3:7" x14ac:dyDescent="0.55000000000000004">
      <c r="C8">
        <v>16</v>
      </c>
      <c r="D8" t="s">
        <v>713</v>
      </c>
      <c r="F8">
        <f t="shared" si="1"/>
        <v>8</v>
      </c>
      <c r="G8" t="str">
        <f t="shared" si="0"/>
        <v xml:space="preserve">app/api/admin/affiliates/[id]/route.ts                             </v>
      </c>
    </row>
    <row r="9" spans="3:7" x14ac:dyDescent="0.55000000000000004">
      <c r="C9">
        <v>17</v>
      </c>
      <c r="D9" t="s">
        <v>714</v>
      </c>
      <c r="F9">
        <f t="shared" si="1"/>
        <v>9</v>
      </c>
      <c r="G9" t="str">
        <f t="shared" si="0"/>
        <v xml:space="preserve">app/api/admin/affiliates/[id]/suspend/route.ts                     </v>
      </c>
    </row>
    <row r="10" spans="3:7" x14ac:dyDescent="0.55000000000000004">
      <c r="C10">
        <v>18</v>
      </c>
      <c r="D10" t="s">
        <v>715</v>
      </c>
      <c r="F10">
        <f t="shared" si="1"/>
        <v>10</v>
      </c>
      <c r="G10" t="str">
        <f t="shared" si="0"/>
        <v xml:space="preserve">app/api/admin/affiliates/reports/code-inventory/route.ts           </v>
      </c>
    </row>
    <row r="11" spans="3:7" x14ac:dyDescent="0.55000000000000004">
      <c r="C11">
        <v>19</v>
      </c>
      <c r="D11" t="s">
        <v>716</v>
      </c>
      <c r="F11">
        <f t="shared" si="1"/>
        <v>11</v>
      </c>
      <c r="G11" t="str">
        <f t="shared" si="0"/>
        <v xml:space="preserve">app/api/admin/affiliates/reports/commission-owings/route.ts        </v>
      </c>
    </row>
    <row r="12" spans="3:7" x14ac:dyDescent="0.55000000000000004">
      <c r="C12">
        <v>20</v>
      </c>
      <c r="D12" t="s">
        <v>717</v>
      </c>
      <c r="F12">
        <f t="shared" si="1"/>
        <v>12</v>
      </c>
      <c r="G12" t="str">
        <f t="shared" si="0"/>
        <v xml:space="preserve">app/api/admin/affiliates/reports/profit-loss/route.ts              </v>
      </c>
    </row>
    <row r="13" spans="3:7" x14ac:dyDescent="0.55000000000000004">
      <c r="C13">
        <v>21</v>
      </c>
      <c r="D13" t="s">
        <v>718</v>
      </c>
      <c r="F13">
        <f t="shared" si="1"/>
        <v>13</v>
      </c>
      <c r="G13" t="str">
        <f t="shared" si="0"/>
        <v xml:space="preserve">app/api/admin/affiliates/reports/sales-performance/route.ts        </v>
      </c>
    </row>
    <row r="14" spans="3:7" x14ac:dyDescent="0.55000000000000004">
      <c r="C14">
        <v>22</v>
      </c>
      <c r="D14" t="s">
        <v>719</v>
      </c>
      <c r="F14">
        <f t="shared" si="1"/>
        <v>14</v>
      </c>
      <c r="G14" t="str">
        <f t="shared" si="0"/>
        <v xml:space="preserve">app/api/admin/affiliates/route.ts                                  </v>
      </c>
    </row>
    <row r="15" spans="3:7" x14ac:dyDescent="0.55000000000000004">
      <c r="C15">
        <v>23</v>
      </c>
      <c r="D15" t="s">
        <v>720</v>
      </c>
      <c r="F15">
        <f t="shared" si="1"/>
        <v>15</v>
      </c>
      <c r="G15" t="str">
        <f t="shared" si="0"/>
        <v xml:space="preserve">app/api/admin/analytics/route.ts                                   </v>
      </c>
    </row>
    <row r="16" spans="3:7" x14ac:dyDescent="0.55000000000000004">
      <c r="C16">
        <v>24</v>
      </c>
      <c r="D16" t="s">
        <v>721</v>
      </c>
      <c r="F16">
        <f t="shared" si="1"/>
        <v>16</v>
      </c>
      <c r="G16" t="str">
        <f t="shared" si="0"/>
        <v xml:space="preserve">app/api/admin/api-usage/route.ts                                   </v>
      </c>
    </row>
    <row r="17" spans="3:7" x14ac:dyDescent="0.55000000000000004">
      <c r="C17">
        <v>25</v>
      </c>
      <c r="D17" t="s">
        <v>722</v>
      </c>
      <c r="F17">
        <f t="shared" si="1"/>
        <v>17</v>
      </c>
      <c r="G17" t="str">
        <f t="shared" si="0"/>
        <v xml:space="preserve">app/api/admin/codes/[code]/cancel/route.ts                         </v>
      </c>
    </row>
    <row r="18" spans="3:7" x14ac:dyDescent="0.55000000000000004">
      <c r="C18">
        <v>26</v>
      </c>
      <c r="D18" t="s">
        <v>723</v>
      </c>
      <c r="F18">
        <f t="shared" si="1"/>
        <v>18</v>
      </c>
      <c r="G18" t="str">
        <f t="shared" si="0"/>
        <v xml:space="preserve">app/api/admin/commissions/pay/route.ts                             </v>
      </c>
    </row>
    <row r="19" spans="3:7" x14ac:dyDescent="0.55000000000000004">
      <c r="C19">
        <v>27</v>
      </c>
      <c r="D19" t="s">
        <v>724</v>
      </c>
      <c r="F19">
        <f t="shared" si="1"/>
        <v>19</v>
      </c>
      <c r="G19" t="str">
        <f t="shared" si="0"/>
        <v xml:space="preserve">app/api/admin/error-logs/route.ts                                  </v>
      </c>
    </row>
    <row r="20" spans="3:7" x14ac:dyDescent="0.55000000000000004">
      <c r="C20">
        <v>28</v>
      </c>
      <c r="D20" t="s">
        <v>725</v>
      </c>
      <c r="F20">
        <f t="shared" si="1"/>
        <v>20</v>
      </c>
      <c r="G20" t="str">
        <f t="shared" si="0"/>
        <v xml:space="preserve">app/api/admin/fraud-alerts/[id]/route.ts                           </v>
      </c>
    </row>
    <row r="21" spans="3:7" x14ac:dyDescent="0.55000000000000004">
      <c r="C21">
        <v>29</v>
      </c>
      <c r="D21" t="s">
        <v>726</v>
      </c>
      <c r="F21">
        <f t="shared" si="1"/>
        <v>21</v>
      </c>
      <c r="G21" t="str">
        <f t="shared" si="0"/>
        <v xml:space="preserve">app/api/admin/fraud-alerts/route.ts                                </v>
      </c>
    </row>
    <row r="22" spans="3:7" x14ac:dyDescent="0.55000000000000004">
      <c r="C22">
        <v>30</v>
      </c>
      <c r="D22" t="s">
        <v>727</v>
      </c>
      <c r="F22">
        <f t="shared" si="1"/>
        <v>22</v>
      </c>
      <c r="G22" t="str">
        <f t="shared" si="0"/>
        <v xml:space="preserve">app/api/admin/settings/affiliate/route.ts                          </v>
      </c>
    </row>
    <row r="23" spans="3:7" x14ac:dyDescent="0.55000000000000004">
      <c r="C23">
        <v>31</v>
      </c>
      <c r="D23" t="s">
        <v>728</v>
      </c>
      <c r="F23">
        <f t="shared" si="1"/>
        <v>23</v>
      </c>
      <c r="G23" t="str">
        <f t="shared" si="0"/>
        <v xml:space="preserve">app/api/admin/users/route.ts                                       </v>
      </c>
    </row>
    <row r="24" spans="3:7" x14ac:dyDescent="0.55000000000000004">
      <c r="C24">
        <v>32</v>
      </c>
      <c r="D24" t="s">
        <v>729</v>
      </c>
      <c r="F24">
        <f t="shared" si="1"/>
        <v>24</v>
      </c>
      <c r="G24" t="str">
        <f t="shared" si="0"/>
        <v xml:space="preserve">app/api/affiliate/auth/register/route.ts                           </v>
      </c>
    </row>
    <row r="25" spans="3:7" x14ac:dyDescent="0.55000000000000004">
      <c r="C25">
        <v>33</v>
      </c>
      <c r="D25" t="s">
        <v>730</v>
      </c>
      <c r="F25">
        <f t="shared" si="1"/>
        <v>25</v>
      </c>
      <c r="G25" t="str">
        <f t="shared" si="0"/>
        <v xml:space="preserve">app/api/affiliate/auth/verify-email/route.ts                       </v>
      </c>
    </row>
    <row r="26" spans="3:7" x14ac:dyDescent="0.55000000000000004">
      <c r="C26">
        <v>34</v>
      </c>
      <c r="D26" t="s">
        <v>731</v>
      </c>
      <c r="F26">
        <f t="shared" si="1"/>
        <v>26</v>
      </c>
      <c r="G26" t="str">
        <f t="shared" si="0"/>
        <v xml:space="preserve">app/api/affiliate/dashboard/code-inventory/route.ts                </v>
      </c>
    </row>
    <row r="27" spans="3:7" x14ac:dyDescent="0.55000000000000004">
      <c r="C27">
        <v>35</v>
      </c>
      <c r="D27" t="s">
        <v>732</v>
      </c>
      <c r="F27">
        <f t="shared" si="1"/>
        <v>27</v>
      </c>
      <c r="G27" t="str">
        <f t="shared" si="0"/>
        <v xml:space="preserve">app/api/affiliate/dashboard/codes/route.ts                         </v>
      </c>
    </row>
    <row r="28" spans="3:7" x14ac:dyDescent="0.55000000000000004">
      <c r="C28">
        <v>36</v>
      </c>
      <c r="D28" t="s">
        <v>733</v>
      </c>
      <c r="F28">
        <f t="shared" si="1"/>
        <v>28</v>
      </c>
      <c r="G28" t="str">
        <f t="shared" si="0"/>
        <v xml:space="preserve">app/api/affiliate/dashboard/commission-report/route.ts             </v>
      </c>
    </row>
    <row r="29" spans="3:7" x14ac:dyDescent="0.55000000000000004">
      <c r="C29">
        <v>37</v>
      </c>
      <c r="D29" t="s">
        <v>734</v>
      </c>
      <c r="F29">
        <f t="shared" si="1"/>
        <v>29</v>
      </c>
      <c r="G29" t="str">
        <f t="shared" si="0"/>
        <v xml:space="preserve">app/api/affiliate/dashboard/stats/route.ts                         </v>
      </c>
    </row>
    <row r="30" spans="3:7" x14ac:dyDescent="0.55000000000000004">
      <c r="C30">
        <v>38</v>
      </c>
      <c r="D30" t="s">
        <v>735</v>
      </c>
      <c r="F30">
        <f t="shared" si="1"/>
        <v>30</v>
      </c>
      <c r="G30" t="str">
        <f t="shared" si="0"/>
        <v xml:space="preserve">app/api/affiliate/profile/payment/route.ts                         </v>
      </c>
    </row>
    <row r="31" spans="3:7" x14ac:dyDescent="0.55000000000000004">
      <c r="C31">
        <v>39</v>
      </c>
      <c r="D31" t="s">
        <v>736</v>
      </c>
      <c r="F31">
        <f t="shared" si="1"/>
        <v>31</v>
      </c>
      <c r="G31" t="str">
        <f t="shared" si="0"/>
        <v xml:space="preserve">app/api/affiliate/profile/route.ts                                 </v>
      </c>
    </row>
    <row r="32" spans="3:7" x14ac:dyDescent="0.55000000000000004">
      <c r="C32">
        <v>40</v>
      </c>
      <c r="D32" t="s">
        <v>737</v>
      </c>
      <c r="F32">
        <f t="shared" si="1"/>
        <v>32</v>
      </c>
      <c r="G32" t="str">
        <f t="shared" si="0"/>
        <v xml:space="preserve">app/api/alerts/[id]/route.ts                                       </v>
      </c>
    </row>
    <row r="33" spans="3:7" x14ac:dyDescent="0.55000000000000004">
      <c r="C33">
        <v>41</v>
      </c>
      <c r="D33" t="s">
        <v>738</v>
      </c>
      <c r="F33">
        <f t="shared" si="1"/>
        <v>33</v>
      </c>
      <c r="G33" t="str">
        <f t="shared" si="0"/>
        <v xml:space="preserve">app/api/alerts/route.ts                                            </v>
      </c>
    </row>
    <row r="34" spans="3:7" x14ac:dyDescent="0.55000000000000004">
      <c r="C34">
        <v>42</v>
      </c>
      <c r="D34" t="s">
        <v>739</v>
      </c>
      <c r="F34">
        <f t="shared" si="1"/>
        <v>34</v>
      </c>
      <c r="G34" t="str">
        <f t="shared" si="0"/>
        <v xml:space="preserve">app/api/auth/[...nextauth]/route.ts                                </v>
      </c>
    </row>
    <row r="35" spans="3:7" x14ac:dyDescent="0.55000000000000004">
      <c r="C35">
        <v>43</v>
      </c>
      <c r="D35" t="s">
        <v>740</v>
      </c>
      <c r="F35">
        <f t="shared" si="1"/>
        <v>35</v>
      </c>
      <c r="G35" t="str">
        <f t="shared" si="0"/>
        <v xml:space="preserve">app/api/auth/forgot-password/route.ts                              </v>
      </c>
    </row>
    <row r="36" spans="3:7" x14ac:dyDescent="0.55000000000000004">
      <c r="C36">
        <v>44</v>
      </c>
      <c r="D36" t="s">
        <v>741</v>
      </c>
      <c r="F36">
        <f t="shared" si="1"/>
        <v>36</v>
      </c>
      <c r="G36" t="str">
        <f t="shared" si="0"/>
        <v xml:space="preserve">app/api/auth/register/route.ts                                     </v>
      </c>
    </row>
    <row r="37" spans="3:7" x14ac:dyDescent="0.55000000000000004">
      <c r="C37">
        <v>45</v>
      </c>
      <c r="D37" t="s">
        <v>742</v>
      </c>
      <c r="F37">
        <f t="shared" si="1"/>
        <v>37</v>
      </c>
      <c r="G37" t="str">
        <f t="shared" si="0"/>
        <v xml:space="preserve">app/api/auth/resend-verification/route.ts                          </v>
      </c>
    </row>
    <row r="38" spans="3:7" x14ac:dyDescent="0.55000000000000004">
      <c r="C38">
        <v>46</v>
      </c>
      <c r="D38" t="s">
        <v>743</v>
      </c>
      <c r="F38">
        <f t="shared" si="1"/>
        <v>38</v>
      </c>
      <c r="G38" t="str">
        <f t="shared" si="0"/>
        <v xml:space="preserve">app/api/auth/reset-password/route.ts                               </v>
      </c>
    </row>
    <row r="39" spans="3:7" x14ac:dyDescent="0.55000000000000004">
      <c r="C39">
        <v>47</v>
      </c>
      <c r="D39" t="s">
        <v>744</v>
      </c>
      <c r="F39">
        <f t="shared" si="1"/>
        <v>39</v>
      </c>
      <c r="G39" t="str">
        <f t="shared" si="0"/>
        <v xml:space="preserve">app/api/auth/track-login/route.ts                                  </v>
      </c>
    </row>
    <row r="40" spans="3:7" x14ac:dyDescent="0.55000000000000004">
      <c r="C40">
        <v>48</v>
      </c>
      <c r="D40" t="s">
        <v>745</v>
      </c>
      <c r="F40">
        <f t="shared" si="1"/>
        <v>40</v>
      </c>
      <c r="G40" t="str">
        <f t="shared" si="0"/>
        <v xml:space="preserve">app/api/auth/verify-email/route.ts                                 </v>
      </c>
    </row>
    <row r="41" spans="3:7" x14ac:dyDescent="0.55000000000000004">
      <c r="C41">
        <v>49</v>
      </c>
      <c r="D41" t="s">
        <v>746</v>
      </c>
      <c r="F41">
        <f t="shared" si="1"/>
        <v>41</v>
      </c>
      <c r="G41" t="str">
        <f t="shared" si="0"/>
        <v xml:space="preserve">app/api/checkout/route.ts                                          </v>
      </c>
    </row>
    <row r="42" spans="3:7" x14ac:dyDescent="0.55000000000000004">
      <c r="C42">
        <v>50</v>
      </c>
      <c r="D42" t="s">
        <v>747</v>
      </c>
      <c r="F42">
        <f t="shared" si="1"/>
        <v>42</v>
      </c>
      <c r="G42" t="str">
        <f t="shared" si="0"/>
        <v xml:space="preserve">app/api/checkout/validate-code/route.ts                            </v>
      </c>
    </row>
    <row r="43" spans="3:7" x14ac:dyDescent="0.55000000000000004">
      <c r="C43">
        <v>51</v>
      </c>
      <c r="D43" t="s">
        <v>748</v>
      </c>
      <c r="F43">
        <f t="shared" si="1"/>
        <v>43</v>
      </c>
      <c r="G43" t="str">
        <f t="shared" si="0"/>
        <v xml:space="preserve">app/api/config/affiliate/route.ts                                  </v>
      </c>
    </row>
    <row r="44" spans="3:7" x14ac:dyDescent="0.55000000000000004">
      <c r="C44">
        <v>52</v>
      </c>
      <c r="D44" t="s">
        <v>749</v>
      </c>
      <c r="F44">
        <f t="shared" si="1"/>
        <v>44</v>
      </c>
      <c r="G44" t="str">
        <f t="shared" si="0"/>
        <v xml:space="preserve">app/api/cron/check-expiring-subscriptions/route.ts                 </v>
      </c>
    </row>
    <row r="45" spans="3:7" x14ac:dyDescent="0.55000000000000004">
      <c r="C45">
        <v>53</v>
      </c>
      <c r="D45" t="s">
        <v>750</v>
      </c>
      <c r="F45">
        <f t="shared" si="1"/>
        <v>45</v>
      </c>
      <c r="G45" t="str">
        <f t="shared" si="0"/>
        <v xml:space="preserve">app/api/cron/daily-maintenance/route.ts                            </v>
      </c>
    </row>
    <row r="46" spans="3:7" x14ac:dyDescent="0.55000000000000004">
      <c r="C46">
        <v>54</v>
      </c>
      <c r="D46" t="s">
        <v>751</v>
      </c>
      <c r="F46">
        <f t="shared" si="1"/>
        <v>46</v>
      </c>
      <c r="G46" t="str">
        <f t="shared" si="0"/>
        <v xml:space="preserve">app/api/cron/distribute-codes/route.ts                             </v>
      </c>
    </row>
    <row r="47" spans="3:7" x14ac:dyDescent="0.55000000000000004">
      <c r="C47">
        <v>55</v>
      </c>
      <c r="D47" t="s">
        <v>752</v>
      </c>
      <c r="F47">
        <f t="shared" si="1"/>
        <v>47</v>
      </c>
      <c r="G47" t="str">
        <f t="shared" si="0"/>
        <v xml:space="preserve">app/api/cron/downgrade-expired-subscriptions/route.ts              </v>
      </c>
    </row>
    <row r="48" spans="3:7" x14ac:dyDescent="0.55000000000000004">
      <c r="C48">
        <v>56</v>
      </c>
      <c r="D48" t="s">
        <v>753</v>
      </c>
      <c r="F48">
        <f t="shared" si="1"/>
        <v>48</v>
      </c>
      <c r="G48" t="str">
        <f t="shared" si="0"/>
        <v xml:space="preserve">app/api/cron/expire-codes/route.ts                                 </v>
      </c>
    </row>
    <row r="49" spans="3:7" x14ac:dyDescent="0.55000000000000004">
      <c r="C49">
        <v>57</v>
      </c>
      <c r="D49" t="s">
        <v>754</v>
      </c>
      <c r="F49">
        <f t="shared" si="1"/>
        <v>49</v>
      </c>
      <c r="G49" t="str">
        <f t="shared" si="0"/>
        <v xml:space="preserve">app/api/cron/process-pending-disbursements/route.ts                </v>
      </c>
    </row>
    <row r="50" spans="3:7" x14ac:dyDescent="0.55000000000000004">
      <c r="C50">
        <v>58</v>
      </c>
      <c r="D50" t="s">
        <v>755</v>
      </c>
      <c r="F50">
        <f t="shared" si="1"/>
        <v>50</v>
      </c>
      <c r="G50" t="str">
        <f t="shared" si="0"/>
        <v xml:space="preserve">app/api/cron/send-monthly-reports/route.ts                         </v>
      </c>
    </row>
    <row r="51" spans="3:7" x14ac:dyDescent="0.55000000000000004">
      <c r="C51">
        <v>59</v>
      </c>
      <c r="D51" t="s">
        <v>756</v>
      </c>
      <c r="F51">
        <f t="shared" si="1"/>
        <v>51</v>
      </c>
      <c r="G51" t="str">
        <f t="shared" si="0"/>
        <v xml:space="preserve">app/api/cron/sync-riseworks-accounts/route.ts                      </v>
      </c>
    </row>
    <row r="52" spans="3:7" x14ac:dyDescent="0.55000000000000004">
      <c r="C52">
        <v>60</v>
      </c>
      <c r="D52" t="s">
        <v>757</v>
      </c>
      <c r="F52">
        <f t="shared" si="1"/>
        <v>52</v>
      </c>
      <c r="G52" t="str">
        <f t="shared" si="0"/>
        <v xml:space="preserve">app/api/disbursement/affiliates/[affiliateId]/commissions/route.ts </v>
      </c>
    </row>
    <row r="53" spans="3:7" x14ac:dyDescent="0.55000000000000004">
      <c r="C53">
        <v>61</v>
      </c>
      <c r="D53" t="s">
        <v>758</v>
      </c>
      <c r="F53">
        <f t="shared" si="1"/>
        <v>53</v>
      </c>
      <c r="G53" t="str">
        <f t="shared" si="0"/>
        <v xml:space="preserve">app/api/disbursement/affiliates/[affiliateId]/route.ts             </v>
      </c>
    </row>
    <row r="54" spans="3:7" x14ac:dyDescent="0.55000000000000004">
      <c r="C54">
        <v>62</v>
      </c>
      <c r="D54" t="s">
        <v>759</v>
      </c>
      <c r="F54">
        <f t="shared" si="1"/>
        <v>54</v>
      </c>
      <c r="G54" t="str">
        <f t="shared" si="0"/>
        <v xml:space="preserve">app/api/disbursement/affiliates/payable/route.ts                   </v>
      </c>
    </row>
    <row r="55" spans="3:7" x14ac:dyDescent="0.55000000000000004">
      <c r="C55">
        <v>63</v>
      </c>
      <c r="D55" t="s">
        <v>760</v>
      </c>
      <c r="F55">
        <f t="shared" si="1"/>
        <v>55</v>
      </c>
      <c r="G55" t="str">
        <f t="shared" si="0"/>
        <v xml:space="preserve">app/api/disbursement/audit-logs/route.ts                           </v>
      </c>
    </row>
    <row r="56" spans="3:7" x14ac:dyDescent="0.55000000000000004">
      <c r="C56">
        <v>64</v>
      </c>
      <c r="D56" t="s">
        <v>761</v>
      </c>
      <c r="F56">
        <f t="shared" si="1"/>
        <v>56</v>
      </c>
      <c r="G56" t="str">
        <f t="shared" si="0"/>
        <v xml:space="preserve">app/api/disbursement/batches/[batchId]/execute/route.ts            </v>
      </c>
    </row>
    <row r="57" spans="3:7" x14ac:dyDescent="0.55000000000000004">
      <c r="C57">
        <v>65</v>
      </c>
      <c r="D57" t="s">
        <v>762</v>
      </c>
      <c r="F57">
        <f t="shared" si="1"/>
        <v>57</v>
      </c>
      <c r="G57" t="str">
        <f t="shared" si="0"/>
        <v xml:space="preserve">app/api/disbursement/batches/[batchId]/route.ts                    </v>
      </c>
    </row>
    <row r="58" spans="3:7" x14ac:dyDescent="0.55000000000000004">
      <c r="C58">
        <v>66</v>
      </c>
      <c r="D58" t="s">
        <v>763</v>
      </c>
      <c r="F58">
        <f t="shared" si="1"/>
        <v>58</v>
      </c>
      <c r="G58" t="str">
        <f t="shared" si="0"/>
        <v xml:space="preserve">app/api/disbursement/batches/preview/route.ts                      </v>
      </c>
    </row>
    <row r="59" spans="3:7" x14ac:dyDescent="0.55000000000000004">
      <c r="C59">
        <v>67</v>
      </c>
      <c r="D59" t="s">
        <v>764</v>
      </c>
      <c r="F59">
        <f t="shared" si="1"/>
        <v>59</v>
      </c>
      <c r="G59" t="str">
        <f t="shared" si="0"/>
        <v xml:space="preserve">app/api/disbursement/batches/route.ts                              </v>
      </c>
    </row>
    <row r="60" spans="3:7" x14ac:dyDescent="0.55000000000000004">
      <c r="C60">
        <v>68</v>
      </c>
      <c r="D60" t="s">
        <v>765</v>
      </c>
      <c r="F60">
        <f t="shared" si="1"/>
        <v>60</v>
      </c>
      <c r="G60" t="str">
        <f t="shared" si="0"/>
        <v xml:space="preserve">app/api/disbursement/config/route.ts                               </v>
      </c>
    </row>
    <row r="61" spans="3:7" x14ac:dyDescent="0.55000000000000004">
      <c r="C61">
        <v>69</v>
      </c>
      <c r="D61" t="s">
        <v>766</v>
      </c>
      <c r="F61">
        <f t="shared" si="1"/>
        <v>61</v>
      </c>
      <c r="G61" t="str">
        <f t="shared" si="0"/>
        <v xml:space="preserve">app/api/disbursement/health/route.ts                               </v>
      </c>
    </row>
    <row r="62" spans="3:7" x14ac:dyDescent="0.55000000000000004">
      <c r="C62">
        <v>70</v>
      </c>
      <c r="D62" t="s">
        <v>767</v>
      </c>
      <c r="F62">
        <f t="shared" si="1"/>
        <v>62</v>
      </c>
      <c r="G62" t="str">
        <f t="shared" si="0"/>
        <v xml:space="preserve">app/api/disbursement/pay/route.ts                                  </v>
      </c>
    </row>
    <row r="63" spans="3:7" x14ac:dyDescent="0.55000000000000004">
      <c r="C63">
        <v>71</v>
      </c>
      <c r="D63" t="s">
        <v>768</v>
      </c>
      <c r="F63">
        <f t="shared" si="1"/>
        <v>63</v>
      </c>
      <c r="G63" t="str">
        <f t="shared" si="0"/>
        <v xml:space="preserve">app/api/disbursement/reports/affiliate/[affiliateId]/route.ts      </v>
      </c>
    </row>
    <row r="64" spans="3:7" x14ac:dyDescent="0.55000000000000004">
      <c r="C64">
        <v>72</v>
      </c>
      <c r="D64" t="s">
        <v>769</v>
      </c>
      <c r="F64">
        <f t="shared" si="1"/>
        <v>64</v>
      </c>
      <c r="G64" t="str">
        <f t="shared" si="0"/>
        <v xml:space="preserve">app/api/disbursement/reports/summary/route.ts                      </v>
      </c>
    </row>
    <row r="65" spans="3:7" x14ac:dyDescent="0.55000000000000004">
      <c r="C65">
        <v>73</v>
      </c>
      <c r="D65" t="s">
        <v>770</v>
      </c>
      <c r="F65">
        <f t="shared" si="1"/>
        <v>65</v>
      </c>
      <c r="G65" t="str">
        <f t="shared" si="0"/>
        <v xml:space="preserve">app/api/disbursement/riseworks/accounts/route.ts                   </v>
      </c>
    </row>
    <row r="66" spans="3:7" x14ac:dyDescent="0.55000000000000004">
      <c r="C66">
        <v>74</v>
      </c>
      <c r="D66" t="s">
        <v>771</v>
      </c>
      <c r="F66">
        <f t="shared" si="1"/>
        <v>66</v>
      </c>
      <c r="G66" t="str">
        <f t="shared" ref="G66:G129" si="2">REPLACE(D66, 1, 10, "")</f>
        <v xml:space="preserve">app/api/disbursement/riseworks/sync/route.ts                       </v>
      </c>
    </row>
    <row r="67" spans="3:7" x14ac:dyDescent="0.55000000000000004">
      <c r="C67">
        <v>75</v>
      </c>
      <c r="D67" t="s">
        <v>772</v>
      </c>
      <c r="F67">
        <f t="shared" ref="F67:F130" si="3">F66+1</f>
        <v>67</v>
      </c>
      <c r="G67" t="str">
        <f t="shared" si="2"/>
        <v xml:space="preserve">app/api/disbursement/transactions/route.ts                         </v>
      </c>
    </row>
    <row r="68" spans="3:7" x14ac:dyDescent="0.55000000000000004">
      <c r="C68">
        <v>76</v>
      </c>
      <c r="D68" t="s">
        <v>773</v>
      </c>
      <c r="F68">
        <f t="shared" si="3"/>
        <v>68</v>
      </c>
      <c r="G68" t="str">
        <f t="shared" si="2"/>
        <v xml:space="preserve">app/api/invoices/route.ts                                          </v>
      </c>
    </row>
    <row r="69" spans="3:7" x14ac:dyDescent="0.55000000000000004">
      <c r="C69">
        <v>77</v>
      </c>
      <c r="D69" t="s">
        <v>774</v>
      </c>
      <c r="F69">
        <f t="shared" si="3"/>
        <v>69</v>
      </c>
      <c r="G69" t="str">
        <f t="shared" si="2"/>
        <v xml:space="preserve">app/api/notifications/[id]/read/route.ts                           </v>
      </c>
    </row>
    <row r="70" spans="3:7" x14ac:dyDescent="0.55000000000000004">
      <c r="C70">
        <v>78</v>
      </c>
      <c r="D70" t="s">
        <v>775</v>
      </c>
      <c r="F70">
        <f t="shared" si="3"/>
        <v>70</v>
      </c>
      <c r="G70" t="str">
        <f t="shared" si="2"/>
        <v xml:space="preserve">app/api/notifications/[id]/route.ts                                </v>
      </c>
    </row>
    <row r="71" spans="3:7" x14ac:dyDescent="0.55000000000000004">
      <c r="C71">
        <v>79</v>
      </c>
      <c r="D71" t="s">
        <v>776</v>
      </c>
      <c r="F71">
        <f t="shared" si="3"/>
        <v>71</v>
      </c>
      <c r="G71" t="str">
        <f t="shared" si="2"/>
        <v xml:space="preserve">app/api/notifications/route.ts                                     </v>
      </c>
    </row>
    <row r="72" spans="3:7" x14ac:dyDescent="0.55000000000000004">
      <c r="C72">
        <v>80</v>
      </c>
      <c r="D72" t="s">
        <v>777</v>
      </c>
      <c r="F72">
        <f t="shared" si="3"/>
        <v>72</v>
      </c>
      <c r="G72" t="str">
        <f t="shared" si="2"/>
        <v xml:space="preserve">app/api/payments/dlocal/[paymentId]/route.ts                       </v>
      </c>
    </row>
    <row r="73" spans="3:7" x14ac:dyDescent="0.55000000000000004">
      <c r="C73">
        <v>81</v>
      </c>
      <c r="D73" t="s">
        <v>778</v>
      </c>
      <c r="F73">
        <f t="shared" si="3"/>
        <v>73</v>
      </c>
      <c r="G73" t="str">
        <f t="shared" si="2"/>
        <v xml:space="preserve">app/api/payments/dlocal/check-three-day-eligibility/route.ts       </v>
      </c>
    </row>
    <row r="74" spans="3:7" x14ac:dyDescent="0.55000000000000004">
      <c r="C74">
        <v>82</v>
      </c>
      <c r="D74" t="s">
        <v>779</v>
      </c>
      <c r="F74">
        <f t="shared" si="3"/>
        <v>74</v>
      </c>
      <c r="G74" t="str">
        <f t="shared" si="2"/>
        <v xml:space="preserve">app/api/payments/dlocal/convert/route.ts                           </v>
      </c>
    </row>
    <row r="75" spans="3:7" x14ac:dyDescent="0.55000000000000004">
      <c r="C75">
        <v>83</v>
      </c>
      <c r="D75" t="s">
        <v>780</v>
      </c>
      <c r="F75">
        <f t="shared" si="3"/>
        <v>75</v>
      </c>
      <c r="G75" t="str">
        <f t="shared" si="2"/>
        <v xml:space="preserve">app/api/payments/dlocal/create/route.ts                            </v>
      </c>
    </row>
    <row r="76" spans="3:7" x14ac:dyDescent="0.55000000000000004">
      <c r="C76">
        <v>84</v>
      </c>
      <c r="D76" t="s">
        <v>781</v>
      </c>
      <c r="F76">
        <f t="shared" si="3"/>
        <v>76</v>
      </c>
      <c r="G76" t="str">
        <f t="shared" si="2"/>
        <v xml:space="preserve">app/api/payments/dlocal/exchange-rate/route.ts                     </v>
      </c>
    </row>
    <row r="77" spans="3:7" x14ac:dyDescent="0.55000000000000004">
      <c r="C77">
        <v>85</v>
      </c>
      <c r="D77" t="s">
        <v>782</v>
      </c>
      <c r="F77">
        <f t="shared" si="3"/>
        <v>77</v>
      </c>
      <c r="G77" t="str">
        <f t="shared" si="2"/>
        <v xml:space="preserve">app/api/payments/dlocal/methods/route.ts                           </v>
      </c>
    </row>
    <row r="78" spans="3:7" x14ac:dyDescent="0.55000000000000004">
      <c r="C78">
        <v>86</v>
      </c>
      <c r="D78" t="s">
        <v>783</v>
      </c>
      <c r="F78">
        <f t="shared" si="3"/>
        <v>78</v>
      </c>
      <c r="G78" t="str">
        <f t="shared" si="2"/>
        <v xml:space="preserve">app/api/payments/dlocal/validate-discount/route.ts                 </v>
      </c>
    </row>
    <row r="79" spans="3:7" x14ac:dyDescent="0.55000000000000004">
      <c r="C79">
        <v>87</v>
      </c>
      <c r="D79" t="s">
        <v>784</v>
      </c>
      <c r="F79">
        <f t="shared" si="3"/>
        <v>79</v>
      </c>
      <c r="G79" t="str">
        <f t="shared" si="2"/>
        <v xml:space="preserve">app/api/subscription/cancel/route.ts                               </v>
      </c>
    </row>
    <row r="80" spans="3:7" x14ac:dyDescent="0.55000000000000004">
      <c r="C80">
        <v>88</v>
      </c>
      <c r="D80" t="s">
        <v>785</v>
      </c>
      <c r="F80">
        <f t="shared" si="3"/>
        <v>80</v>
      </c>
      <c r="G80" t="str">
        <f t="shared" si="2"/>
        <v xml:space="preserve">app/api/subscription/route.ts                                      </v>
      </c>
    </row>
    <row r="81" spans="3:7" x14ac:dyDescent="0.55000000000000004">
      <c r="C81">
        <v>89</v>
      </c>
      <c r="D81" t="s">
        <v>786</v>
      </c>
      <c r="F81">
        <f t="shared" si="3"/>
        <v>81</v>
      </c>
      <c r="G81" t="str">
        <f t="shared" si="2"/>
        <v xml:space="preserve">app/api/test/seed/route.ts                                         </v>
      </c>
    </row>
    <row r="82" spans="3:7" x14ac:dyDescent="0.55000000000000004">
      <c r="C82">
        <v>90</v>
      </c>
      <c r="D82" t="s">
        <v>787</v>
      </c>
      <c r="F82">
        <f t="shared" si="3"/>
        <v>82</v>
      </c>
      <c r="G82" t="str">
        <f t="shared" si="2"/>
        <v xml:space="preserve">app/api/tier/check/[symbol]/route.ts                               </v>
      </c>
    </row>
    <row r="83" spans="3:7" x14ac:dyDescent="0.55000000000000004">
      <c r="C83">
        <v>91</v>
      </c>
      <c r="D83" t="s">
        <v>788</v>
      </c>
      <c r="F83">
        <f t="shared" si="3"/>
        <v>83</v>
      </c>
      <c r="G83" t="str">
        <f t="shared" si="2"/>
        <v xml:space="preserve">app/api/tier/combinations/route.ts                                 </v>
      </c>
    </row>
    <row r="84" spans="3:7" x14ac:dyDescent="0.55000000000000004">
      <c r="C84">
        <v>92</v>
      </c>
      <c r="D84" t="s">
        <v>789</v>
      </c>
      <c r="F84">
        <f t="shared" si="3"/>
        <v>84</v>
      </c>
      <c r="G84" t="str">
        <f t="shared" si="2"/>
        <v xml:space="preserve">app/api/tier/symbols/route.ts                                      </v>
      </c>
    </row>
    <row r="85" spans="3:7" x14ac:dyDescent="0.55000000000000004">
      <c r="C85">
        <v>93</v>
      </c>
      <c r="D85" t="s">
        <v>790</v>
      </c>
      <c r="F85">
        <f t="shared" si="3"/>
        <v>85</v>
      </c>
      <c r="G85" t="str">
        <f t="shared" si="2"/>
        <v xml:space="preserve">app/api/user/2fa/backup-codes/route.ts                             </v>
      </c>
    </row>
    <row r="86" spans="3:7" x14ac:dyDescent="0.55000000000000004">
      <c r="C86">
        <v>94</v>
      </c>
      <c r="D86" t="s">
        <v>791</v>
      </c>
      <c r="F86">
        <f t="shared" si="3"/>
        <v>86</v>
      </c>
      <c r="G86" t="str">
        <f t="shared" si="2"/>
        <v xml:space="preserve">app/api/user/2fa/disable/route.ts                                  </v>
      </c>
    </row>
    <row r="87" spans="3:7" x14ac:dyDescent="0.55000000000000004">
      <c r="C87">
        <v>95</v>
      </c>
      <c r="D87" t="s">
        <v>792</v>
      </c>
      <c r="F87">
        <f t="shared" si="3"/>
        <v>87</v>
      </c>
      <c r="G87" t="str">
        <f t="shared" si="2"/>
        <v xml:space="preserve">app/api/user/2fa/setup/route.ts                                    </v>
      </c>
    </row>
    <row r="88" spans="3:7" x14ac:dyDescent="0.55000000000000004">
      <c r="C88">
        <v>96</v>
      </c>
      <c r="D88" t="s">
        <v>793</v>
      </c>
      <c r="F88">
        <f t="shared" si="3"/>
        <v>88</v>
      </c>
      <c r="G88" t="str">
        <f t="shared" si="2"/>
        <v xml:space="preserve">app/api/user/2fa/verify-setup/route.ts                             </v>
      </c>
    </row>
    <row r="89" spans="3:7" x14ac:dyDescent="0.55000000000000004">
      <c r="C89">
        <v>97</v>
      </c>
      <c r="D89" t="s">
        <v>794</v>
      </c>
      <c r="F89">
        <f t="shared" si="3"/>
        <v>89</v>
      </c>
      <c r="G89" t="str">
        <f t="shared" si="2"/>
        <v xml:space="preserve">app/api/user/2fa/verify/route.ts                                   </v>
      </c>
    </row>
    <row r="90" spans="3:7" x14ac:dyDescent="0.55000000000000004">
      <c r="C90">
        <v>98</v>
      </c>
      <c r="D90" t="s">
        <v>795</v>
      </c>
      <c r="F90">
        <f t="shared" si="3"/>
        <v>90</v>
      </c>
      <c r="G90" t="str">
        <f t="shared" si="2"/>
        <v xml:space="preserve">app/api/user/account/deletion-cancel/route.ts                      </v>
      </c>
    </row>
    <row r="91" spans="3:7" x14ac:dyDescent="0.55000000000000004">
      <c r="C91">
        <v>99</v>
      </c>
      <c r="D91" t="s">
        <v>796</v>
      </c>
      <c r="F91">
        <f t="shared" si="3"/>
        <v>91</v>
      </c>
      <c r="G91" t="str">
        <f t="shared" si="2"/>
        <v xml:space="preserve">app/api/user/account/deletion-confirm/route.ts                     </v>
      </c>
    </row>
    <row r="92" spans="3:7" x14ac:dyDescent="0.55000000000000004">
      <c r="C92">
        <v>100</v>
      </c>
      <c r="D92" t="s">
        <v>797</v>
      </c>
      <c r="F92">
        <f t="shared" si="3"/>
        <v>92</v>
      </c>
      <c r="G92" t="str">
        <f t="shared" si="2"/>
        <v xml:space="preserve">app/api/user/account/deletion-request/route.ts                     </v>
      </c>
    </row>
    <row r="93" spans="3:7" x14ac:dyDescent="0.55000000000000004">
      <c r="C93">
        <v>101</v>
      </c>
      <c r="D93" t="s">
        <v>798</v>
      </c>
      <c r="F93">
        <f t="shared" si="3"/>
        <v>93</v>
      </c>
      <c r="G93" t="str">
        <f t="shared" si="2"/>
        <v xml:space="preserve">app/api/user/login-history/route.ts                                </v>
      </c>
    </row>
    <row r="94" spans="3:7" x14ac:dyDescent="0.55000000000000004">
      <c r="C94">
        <v>102</v>
      </c>
      <c r="D94" t="s">
        <v>799</v>
      </c>
      <c r="F94">
        <f t="shared" si="3"/>
        <v>94</v>
      </c>
      <c r="G94" t="str">
        <f t="shared" si="2"/>
        <v xml:space="preserve">app/api/user/password/route.ts                                     </v>
      </c>
    </row>
    <row r="95" spans="3:7" x14ac:dyDescent="0.55000000000000004">
      <c r="C95">
        <v>103</v>
      </c>
      <c r="D95" t="s">
        <v>800</v>
      </c>
      <c r="F95">
        <f t="shared" si="3"/>
        <v>95</v>
      </c>
      <c r="G95" t="str">
        <f t="shared" si="2"/>
        <v xml:space="preserve">app/api/user/preferences/route.ts                                  </v>
      </c>
    </row>
    <row r="96" spans="3:7" x14ac:dyDescent="0.55000000000000004">
      <c r="C96">
        <v>104</v>
      </c>
      <c r="D96" t="s">
        <v>801</v>
      </c>
      <c r="F96">
        <f t="shared" si="3"/>
        <v>96</v>
      </c>
      <c r="G96" t="str">
        <f t="shared" si="2"/>
        <v xml:space="preserve">app/api/user/profile/route.ts                                      </v>
      </c>
    </row>
    <row r="97" spans="3:7" x14ac:dyDescent="0.55000000000000004">
      <c r="C97">
        <v>105</v>
      </c>
      <c r="D97" t="s">
        <v>802</v>
      </c>
      <c r="F97">
        <f t="shared" si="3"/>
        <v>97</v>
      </c>
      <c r="G97" t="str">
        <f t="shared" si="2"/>
        <v xml:space="preserve">app/api/user/sessions/[id]/route.ts                                </v>
      </c>
    </row>
    <row r="98" spans="3:7" x14ac:dyDescent="0.55000000000000004">
      <c r="C98">
        <v>106</v>
      </c>
      <c r="D98" t="s">
        <v>803</v>
      </c>
      <c r="F98">
        <f t="shared" si="3"/>
        <v>98</v>
      </c>
      <c r="G98" t="str">
        <f t="shared" si="2"/>
        <v xml:space="preserve">app/api/user/sessions/route.ts                                     </v>
      </c>
    </row>
    <row r="99" spans="3:7" x14ac:dyDescent="0.55000000000000004">
      <c r="C99">
        <v>107</v>
      </c>
      <c r="D99" t="s">
        <v>804</v>
      </c>
      <c r="F99">
        <f t="shared" si="3"/>
        <v>99</v>
      </c>
      <c r="G99" t="str">
        <f t="shared" si="2"/>
        <v xml:space="preserve">app/api/watchlist/[id]/route.ts                                    </v>
      </c>
    </row>
    <row r="100" spans="3:7" x14ac:dyDescent="0.55000000000000004">
      <c r="C100">
        <v>108</v>
      </c>
      <c r="D100" t="s">
        <v>805</v>
      </c>
      <c r="F100">
        <f t="shared" si="3"/>
        <v>100</v>
      </c>
      <c r="G100" t="str">
        <f t="shared" si="2"/>
        <v xml:space="preserve">app/api/watchlist/reorder/route.ts                                 </v>
      </c>
    </row>
    <row r="101" spans="3:7" x14ac:dyDescent="0.55000000000000004">
      <c r="C101">
        <v>109</v>
      </c>
      <c r="D101" t="s">
        <v>806</v>
      </c>
      <c r="F101">
        <f t="shared" si="3"/>
        <v>101</v>
      </c>
      <c r="G101" t="str">
        <f t="shared" si="2"/>
        <v xml:space="preserve">app/api/watchlist/route.ts                                         </v>
      </c>
    </row>
    <row r="102" spans="3:7" x14ac:dyDescent="0.55000000000000004">
      <c r="C102">
        <v>110</v>
      </c>
      <c r="D102" t="s">
        <v>807</v>
      </c>
      <c r="F102">
        <f t="shared" si="3"/>
        <v>102</v>
      </c>
      <c r="G102" t="str">
        <f t="shared" si="2"/>
        <v xml:space="preserve">app/api/webhooks/dlocal/route.ts                                   </v>
      </c>
    </row>
    <row r="103" spans="3:7" x14ac:dyDescent="0.55000000000000004">
      <c r="C103">
        <v>111</v>
      </c>
      <c r="D103" t="s">
        <v>808</v>
      </c>
      <c r="F103">
        <f t="shared" si="3"/>
        <v>103</v>
      </c>
      <c r="G103" t="str">
        <f t="shared" si="2"/>
        <v xml:space="preserve">app/api/webhooks/riseworks/route.ts                                </v>
      </c>
    </row>
    <row r="104" spans="3:7" x14ac:dyDescent="0.55000000000000004">
      <c r="C104">
        <v>112</v>
      </c>
      <c r="D104" t="s">
        <v>809</v>
      </c>
      <c r="F104">
        <f t="shared" si="3"/>
        <v>104</v>
      </c>
      <c r="G104" t="str">
        <f t="shared" si="2"/>
        <v xml:space="preserve">app/api/webhooks/stripe/route.ts                                   </v>
      </c>
    </row>
    <row r="105" spans="3:7" x14ac:dyDescent="0.55000000000000004">
      <c r="C105">
        <v>113</v>
      </c>
      <c r="D105" t="s">
        <v>810</v>
      </c>
      <c r="F105">
        <f t="shared" si="3"/>
        <v>105</v>
      </c>
      <c r="G105" t="str">
        <f t="shared" si="2"/>
        <v xml:space="preserve">app/globals.css                                                    </v>
      </c>
    </row>
    <row r="106" spans="3:7" x14ac:dyDescent="0.55000000000000004">
      <c r="C106">
        <v>115</v>
      </c>
      <c r="D106" t="s">
        <v>811</v>
      </c>
      <c r="F106">
        <f t="shared" si="3"/>
        <v>106</v>
      </c>
      <c r="G106" t="str">
        <f t="shared" si="2"/>
        <v xml:space="preserve">components/affiliate/index.ts                                      </v>
      </c>
    </row>
    <row r="107" spans="3:7" x14ac:dyDescent="0.55000000000000004">
      <c r="C107">
        <v>116</v>
      </c>
      <c r="D107" t="s">
        <v>812</v>
      </c>
      <c r="F107">
        <f t="shared" si="3"/>
        <v>107</v>
      </c>
      <c r="G107" t="str">
        <f t="shared" si="2"/>
        <v xml:space="preserve">components/payments/index.ts                                       </v>
      </c>
    </row>
    <row r="108" spans="3:7" x14ac:dyDescent="0.55000000000000004">
      <c r="C108">
        <v>119</v>
      </c>
      <c r="D108" t="s">
        <v>813</v>
      </c>
      <c r="F108">
        <f t="shared" si="3"/>
        <v>108</v>
      </c>
      <c r="G108" t="str">
        <f t="shared" si="2"/>
        <v xml:space="preserve">hooks/use-alerts.ts                                                </v>
      </c>
    </row>
    <row r="109" spans="3:7" x14ac:dyDescent="0.55000000000000004">
      <c r="C109">
        <v>120</v>
      </c>
      <c r="D109" t="s">
        <v>814</v>
      </c>
      <c r="F109">
        <f t="shared" si="3"/>
        <v>109</v>
      </c>
      <c r="G109" t="str">
        <f t="shared" si="2"/>
        <v xml:space="preserve">hooks/use-api-client-example.ts                                    </v>
      </c>
    </row>
    <row r="110" spans="3:7" x14ac:dyDescent="0.55000000000000004">
      <c r="C110">
        <v>121</v>
      </c>
      <c r="D110" t="s">
        <v>815</v>
      </c>
      <c r="F110">
        <f t="shared" si="3"/>
        <v>110</v>
      </c>
      <c r="G110" t="str">
        <f t="shared" si="2"/>
        <v xml:space="preserve">hooks/use-auth.ts                                                  </v>
      </c>
    </row>
    <row r="111" spans="3:7" x14ac:dyDescent="0.55000000000000004">
      <c r="C111">
        <v>122</v>
      </c>
      <c r="D111" t="s">
        <v>816</v>
      </c>
      <c r="F111">
        <f t="shared" si="3"/>
        <v>111</v>
      </c>
      <c r="G111" t="str">
        <f t="shared" si="2"/>
        <v xml:space="preserve">hooks/use-indicators.ts                                            </v>
      </c>
    </row>
    <row r="112" spans="3:7" x14ac:dyDescent="0.55000000000000004">
      <c r="C112">
        <v>123</v>
      </c>
      <c r="D112" t="s">
        <v>817</v>
      </c>
      <c r="F112">
        <f t="shared" si="3"/>
        <v>112</v>
      </c>
      <c r="G112" t="str">
        <f t="shared" si="2"/>
        <v xml:space="preserve">hooks/use-login-tracking.ts                                        </v>
      </c>
    </row>
    <row r="113" spans="3:7" x14ac:dyDescent="0.55000000000000004">
      <c r="C113">
        <v>124</v>
      </c>
      <c r="D113" t="s">
        <v>818</v>
      </c>
      <c r="F113">
        <f t="shared" si="3"/>
        <v>113</v>
      </c>
      <c r="G113" t="str">
        <f t="shared" si="2"/>
        <v xml:space="preserve">hooks/use-optimistic-mutation.ts                                   </v>
      </c>
    </row>
    <row r="114" spans="3:7" x14ac:dyDescent="0.55000000000000004">
      <c r="C114">
        <v>125</v>
      </c>
      <c r="D114" t="s">
        <v>819</v>
      </c>
      <c r="F114">
        <f t="shared" si="3"/>
        <v>114</v>
      </c>
      <c r="G114" t="str">
        <f t="shared" si="2"/>
        <v xml:space="preserve">hooks/use-toast.ts                                                 </v>
      </c>
    </row>
    <row r="115" spans="3:7" x14ac:dyDescent="0.55000000000000004">
      <c r="C115">
        <v>126</v>
      </c>
      <c r="D115" t="s">
        <v>820</v>
      </c>
      <c r="F115">
        <f t="shared" si="3"/>
        <v>115</v>
      </c>
      <c r="G115" t="str">
        <f t="shared" si="2"/>
        <v xml:space="preserve">hooks/use-watchlist.ts                                             </v>
      </c>
    </row>
    <row r="116" spans="3:7" x14ac:dyDescent="0.55000000000000004">
      <c r="C116">
        <v>127</v>
      </c>
      <c r="D116" t="s">
        <v>821</v>
      </c>
      <c r="F116">
        <f t="shared" si="3"/>
        <v>116</v>
      </c>
      <c r="G116" t="str">
        <f t="shared" si="2"/>
        <v xml:space="preserve">hooks/use-websocket.ts                                             </v>
      </c>
    </row>
    <row r="117" spans="3:7" x14ac:dyDescent="0.55000000000000004">
      <c r="C117">
        <v>128</v>
      </c>
      <c r="D117" t="s">
        <v>822</v>
      </c>
      <c r="F117">
        <f t="shared" si="3"/>
        <v>117</v>
      </c>
      <c r="G117" t="str">
        <f t="shared" si="2"/>
        <v xml:space="preserve">lib/admin/affiliate-management.ts                                  </v>
      </c>
    </row>
    <row r="118" spans="3:7" x14ac:dyDescent="0.55000000000000004">
      <c r="C118">
        <v>129</v>
      </c>
      <c r="D118" t="s">
        <v>823</v>
      </c>
      <c r="F118">
        <f t="shared" si="3"/>
        <v>118</v>
      </c>
      <c r="G118" t="str">
        <f t="shared" si="2"/>
        <v xml:space="preserve">lib/admin/code-distribution.ts                                     </v>
      </c>
    </row>
    <row r="119" spans="3:7" x14ac:dyDescent="0.55000000000000004">
      <c r="C119">
        <v>130</v>
      </c>
      <c r="D119" t="s">
        <v>824</v>
      </c>
      <c r="F119">
        <f t="shared" si="3"/>
        <v>119</v>
      </c>
      <c r="G119" t="str">
        <f t="shared" si="2"/>
        <v xml:space="preserve">lib/admin/pnl-calculator.ts                                        </v>
      </c>
    </row>
    <row r="120" spans="3:7" x14ac:dyDescent="0.55000000000000004">
      <c r="C120">
        <v>131</v>
      </c>
      <c r="D120" t="s">
        <v>825</v>
      </c>
      <c r="F120">
        <f t="shared" si="3"/>
        <v>120</v>
      </c>
      <c r="G120" t="str">
        <f t="shared" si="2"/>
        <v xml:space="preserve">lib/affiliate/code-generator.ts                                    </v>
      </c>
    </row>
    <row r="121" spans="3:7" x14ac:dyDescent="0.55000000000000004">
      <c r="C121">
        <v>132</v>
      </c>
      <c r="D121" t="s">
        <v>826</v>
      </c>
      <c r="F121">
        <f t="shared" si="3"/>
        <v>121</v>
      </c>
      <c r="G121" t="str">
        <f t="shared" si="2"/>
        <v xml:space="preserve">lib/affiliate/commission-calculator.ts                             </v>
      </c>
    </row>
    <row r="122" spans="3:7" x14ac:dyDescent="0.55000000000000004">
      <c r="C122">
        <v>133</v>
      </c>
      <c r="D122" t="s">
        <v>827</v>
      </c>
      <c r="F122">
        <f t="shared" si="3"/>
        <v>122</v>
      </c>
      <c r="G122" t="str">
        <f t="shared" si="2"/>
        <v xml:space="preserve">lib/affiliate/constants.ts                                         </v>
      </c>
    </row>
    <row r="123" spans="3:7" x14ac:dyDescent="0.55000000000000004">
      <c r="C123">
        <v>134</v>
      </c>
      <c r="D123" t="s">
        <v>828</v>
      </c>
      <c r="F123">
        <f t="shared" si="3"/>
        <v>123</v>
      </c>
      <c r="G123" t="str">
        <f t="shared" si="2"/>
        <v xml:space="preserve">lib/affiliate/registration.ts                                      </v>
      </c>
    </row>
    <row r="124" spans="3:7" x14ac:dyDescent="0.55000000000000004">
      <c r="C124">
        <v>135</v>
      </c>
      <c r="D124" t="s">
        <v>829</v>
      </c>
      <c r="F124">
        <f t="shared" si="3"/>
        <v>124</v>
      </c>
      <c r="G124" t="str">
        <f t="shared" si="2"/>
        <v xml:space="preserve">lib/affiliate/report-builder.ts                                    </v>
      </c>
    </row>
    <row r="125" spans="3:7" x14ac:dyDescent="0.55000000000000004">
      <c r="C125">
        <v>136</v>
      </c>
      <c r="D125" t="s">
        <v>830</v>
      </c>
      <c r="F125">
        <f t="shared" si="3"/>
        <v>125</v>
      </c>
      <c r="G125" t="str">
        <f t="shared" si="2"/>
        <v xml:space="preserve">lib/affiliate/types.ts                                             </v>
      </c>
    </row>
    <row r="126" spans="3:7" x14ac:dyDescent="0.55000000000000004">
      <c r="C126">
        <v>137</v>
      </c>
      <c r="D126" t="s">
        <v>831</v>
      </c>
      <c r="F126">
        <f t="shared" si="3"/>
        <v>126</v>
      </c>
      <c r="G126" t="str">
        <f t="shared" si="2"/>
        <v xml:space="preserve">lib/affiliate/validators.ts                                        </v>
      </c>
    </row>
    <row r="127" spans="3:7" x14ac:dyDescent="0.55000000000000004">
      <c r="C127">
        <v>138</v>
      </c>
      <c r="D127" t="s">
        <v>832</v>
      </c>
      <c r="F127">
        <f t="shared" si="3"/>
        <v>127</v>
      </c>
      <c r="G127" t="str">
        <f t="shared" si="2"/>
        <v xml:space="preserve">lib/api-client.test.example.ts                                     </v>
      </c>
    </row>
    <row r="128" spans="3:7" x14ac:dyDescent="0.55000000000000004">
      <c r="C128">
        <v>139</v>
      </c>
      <c r="D128" t="s">
        <v>833</v>
      </c>
      <c r="F128">
        <f t="shared" si="3"/>
        <v>128</v>
      </c>
      <c r="G128" t="str">
        <f t="shared" si="2"/>
        <v xml:space="preserve">lib/api-client.ts                                                  </v>
      </c>
    </row>
    <row r="129" spans="3:7" x14ac:dyDescent="0.55000000000000004">
      <c r="C129">
        <v>141</v>
      </c>
      <c r="D129" t="s">
        <v>834</v>
      </c>
      <c r="F129">
        <f t="shared" si="3"/>
        <v>129</v>
      </c>
      <c r="G129" t="str">
        <f t="shared" si="2"/>
        <v xml:space="preserve">lib/api/index.ts                                                   </v>
      </c>
    </row>
    <row r="130" spans="3:7" x14ac:dyDescent="0.55000000000000004">
      <c r="C130">
        <v>142</v>
      </c>
      <c r="D130" t="s">
        <v>835</v>
      </c>
      <c r="F130">
        <f t="shared" si="3"/>
        <v>130</v>
      </c>
      <c r="G130" t="str">
        <f t="shared" ref="G130:G193" si="4">REPLACE(D130, 1, 10, "")</f>
        <v xml:space="preserve">lib/api/mt5-client.ts                                              </v>
      </c>
    </row>
    <row r="131" spans="3:7" x14ac:dyDescent="0.55000000000000004">
      <c r="C131">
        <v>143</v>
      </c>
      <c r="D131" t="s">
        <v>836</v>
      </c>
      <c r="F131">
        <f t="shared" ref="F131:F194" si="5">F130+1</f>
        <v>131</v>
      </c>
      <c r="G131" t="str">
        <f t="shared" si="4"/>
        <v xml:space="preserve">lib/api/mt5-transform.ts                                           </v>
      </c>
    </row>
    <row r="132" spans="3:7" x14ac:dyDescent="0.55000000000000004">
      <c r="C132">
        <v>144</v>
      </c>
      <c r="D132" t="s">
        <v>837</v>
      </c>
      <c r="F132">
        <f t="shared" si="5"/>
        <v>132</v>
      </c>
      <c r="G132" t="str">
        <f t="shared" si="4"/>
        <v xml:space="preserve">lib/auth/auth-options.ts                                           </v>
      </c>
    </row>
    <row r="133" spans="3:7" x14ac:dyDescent="0.55000000000000004">
      <c r="C133">
        <v>145</v>
      </c>
      <c r="D133" t="s">
        <v>838</v>
      </c>
      <c r="F133">
        <f t="shared" si="5"/>
        <v>133</v>
      </c>
      <c r="G133" t="str">
        <f t="shared" si="4"/>
        <v xml:space="preserve">lib/auth/errors.ts                                                 </v>
      </c>
    </row>
    <row r="134" spans="3:7" x14ac:dyDescent="0.55000000000000004">
      <c r="C134">
        <v>146</v>
      </c>
      <c r="D134" t="s">
        <v>839</v>
      </c>
      <c r="F134">
        <f t="shared" si="5"/>
        <v>134</v>
      </c>
      <c r="G134" t="str">
        <f t="shared" si="4"/>
        <v xml:space="preserve">lib/auth/permissions.ts                                            </v>
      </c>
    </row>
    <row r="135" spans="3:7" x14ac:dyDescent="0.55000000000000004">
      <c r="C135">
        <v>147</v>
      </c>
      <c r="D135" t="s">
        <v>840</v>
      </c>
      <c r="F135">
        <f t="shared" si="5"/>
        <v>135</v>
      </c>
      <c r="G135" t="str">
        <f t="shared" si="4"/>
        <v xml:space="preserve">lib/auth/session-tracker.ts                                        </v>
      </c>
    </row>
    <row r="136" spans="3:7" x14ac:dyDescent="0.55000000000000004">
      <c r="C136">
        <v>148</v>
      </c>
      <c r="D136" t="s">
        <v>841</v>
      </c>
      <c r="F136">
        <f t="shared" si="5"/>
        <v>136</v>
      </c>
      <c r="G136" t="str">
        <f t="shared" si="4"/>
        <v xml:space="preserve">lib/auth/session.ts                                                </v>
      </c>
    </row>
    <row r="137" spans="3:7" x14ac:dyDescent="0.55000000000000004">
      <c r="C137">
        <v>149</v>
      </c>
      <c r="D137" t="s">
        <v>842</v>
      </c>
      <c r="F137">
        <f t="shared" si="5"/>
        <v>137</v>
      </c>
      <c r="G137" t="str">
        <f t="shared" si="4"/>
        <v xml:space="preserve">lib/auth/two-factor.ts                                             </v>
      </c>
    </row>
    <row r="138" spans="3:7" x14ac:dyDescent="0.55000000000000004">
      <c r="C138">
        <v>150</v>
      </c>
      <c r="D138" t="s">
        <v>843</v>
      </c>
      <c r="F138">
        <f t="shared" si="5"/>
        <v>138</v>
      </c>
      <c r="G138" t="str">
        <f t="shared" si="4"/>
        <v xml:space="preserve">lib/cache/cache-manager.ts                                         </v>
      </c>
    </row>
    <row r="139" spans="3:7" x14ac:dyDescent="0.55000000000000004">
      <c r="C139">
        <v>151</v>
      </c>
      <c r="D139" t="s">
        <v>844</v>
      </c>
      <c r="F139">
        <f t="shared" si="5"/>
        <v>139</v>
      </c>
      <c r="G139" t="str">
        <f t="shared" si="4"/>
        <v xml:space="preserve">lib/constants/business-rules.ts                                    </v>
      </c>
    </row>
    <row r="140" spans="3:7" x14ac:dyDescent="0.55000000000000004">
      <c r="C140">
        <v>152</v>
      </c>
      <c r="D140" t="s">
        <v>845</v>
      </c>
      <c r="F140">
        <f t="shared" si="5"/>
        <v>140</v>
      </c>
      <c r="G140" t="str">
        <f t="shared" si="4"/>
        <v xml:space="preserve">lib/cron/check-expiring-subscriptions.ts                           </v>
      </c>
    </row>
    <row r="141" spans="3:7" x14ac:dyDescent="0.55000000000000004">
      <c r="C141">
        <v>153</v>
      </c>
      <c r="D141" t="s">
        <v>846</v>
      </c>
      <c r="F141">
        <f t="shared" si="5"/>
        <v>141</v>
      </c>
      <c r="G141" t="str">
        <f t="shared" si="4"/>
        <v xml:space="preserve">lib/cron/downgrade-expired-subscriptions.ts                        </v>
      </c>
    </row>
    <row r="142" spans="3:7" x14ac:dyDescent="0.55000000000000004">
      <c r="C142">
        <v>154</v>
      </c>
      <c r="D142" t="s">
        <v>847</v>
      </c>
      <c r="F142">
        <f t="shared" si="5"/>
        <v>142</v>
      </c>
      <c r="G142" t="str">
        <f t="shared" si="4"/>
        <v xml:space="preserve">lib/cron/monthly-distribution.ts                                   </v>
      </c>
    </row>
    <row r="143" spans="3:7" x14ac:dyDescent="0.55000000000000004">
      <c r="C143">
        <v>155</v>
      </c>
      <c r="D143" t="s">
        <v>848</v>
      </c>
      <c r="F143">
        <f t="shared" si="5"/>
        <v>143</v>
      </c>
      <c r="G143" t="str">
        <f t="shared" si="4"/>
        <v xml:space="preserve">lib/csrf.ts                                                        </v>
      </c>
    </row>
    <row r="144" spans="3:7" x14ac:dyDescent="0.55000000000000004">
      <c r="C144">
        <v>156</v>
      </c>
      <c r="D144" t="s">
        <v>849</v>
      </c>
      <c r="F144">
        <f t="shared" si="5"/>
        <v>144</v>
      </c>
      <c r="G144" t="str">
        <f t="shared" si="4"/>
        <v xml:space="preserve">lib/db/prisma.ts                                                   </v>
      </c>
    </row>
    <row r="145" spans="3:7" x14ac:dyDescent="0.55000000000000004">
      <c r="C145">
        <v>157</v>
      </c>
      <c r="D145" t="s">
        <v>850</v>
      </c>
      <c r="F145">
        <f t="shared" si="5"/>
        <v>145</v>
      </c>
      <c r="G145" t="str">
        <f t="shared" si="4"/>
        <v xml:space="preserve">lib/db/seed.ts                                                     </v>
      </c>
    </row>
    <row r="146" spans="3:7" x14ac:dyDescent="0.55000000000000004">
      <c r="C146">
        <v>158</v>
      </c>
      <c r="D146" t="s">
        <v>851</v>
      </c>
      <c r="F146">
        <f t="shared" si="5"/>
        <v>146</v>
      </c>
      <c r="G146" t="str">
        <f t="shared" si="4"/>
        <v xml:space="preserve">lib/disbursement/constants.ts                                      </v>
      </c>
    </row>
    <row r="147" spans="3:7" x14ac:dyDescent="0.55000000000000004">
      <c r="C147">
        <v>159</v>
      </c>
      <c r="D147" t="s">
        <v>852</v>
      </c>
      <c r="F147">
        <f t="shared" si="5"/>
        <v>147</v>
      </c>
      <c r="G147" t="str">
        <f t="shared" si="4"/>
        <v xml:space="preserve">lib/disbursement/cron/disbursement-processor.ts                    </v>
      </c>
    </row>
    <row r="148" spans="3:7" x14ac:dyDescent="0.55000000000000004">
      <c r="C148">
        <v>160</v>
      </c>
      <c r="D148" t="s">
        <v>853</v>
      </c>
      <c r="F148">
        <f t="shared" si="5"/>
        <v>148</v>
      </c>
      <c r="G148" t="str">
        <f t="shared" si="4"/>
        <v xml:space="preserve">lib/disbursement/providers/base-provider.ts                        </v>
      </c>
    </row>
    <row r="149" spans="3:7" x14ac:dyDescent="0.55000000000000004">
      <c r="C149">
        <v>161</v>
      </c>
      <c r="D149" t="s">
        <v>854</v>
      </c>
      <c r="F149">
        <f t="shared" si="5"/>
        <v>149</v>
      </c>
      <c r="G149" t="str">
        <f t="shared" si="4"/>
        <v xml:space="preserve">lib/disbursement/providers/mock-provider.ts                        </v>
      </c>
    </row>
    <row r="150" spans="3:7" x14ac:dyDescent="0.55000000000000004">
      <c r="C150">
        <v>162</v>
      </c>
      <c r="D150" t="s">
        <v>855</v>
      </c>
      <c r="F150">
        <f t="shared" si="5"/>
        <v>150</v>
      </c>
      <c r="G150" t="str">
        <f t="shared" si="4"/>
        <v xml:space="preserve">lib/disbursement/providers/provider-factory.ts                     </v>
      </c>
    </row>
    <row r="151" spans="3:7" x14ac:dyDescent="0.55000000000000004">
      <c r="C151">
        <v>163</v>
      </c>
      <c r="D151" t="s">
        <v>856</v>
      </c>
      <c r="F151">
        <f t="shared" si="5"/>
        <v>151</v>
      </c>
      <c r="G151" t="str">
        <f t="shared" si="4"/>
        <v xml:space="preserve">lib/disbursement/providers/rise/amount-converter.ts                </v>
      </c>
    </row>
    <row r="152" spans="3:7" x14ac:dyDescent="0.55000000000000004">
      <c r="C152">
        <v>164</v>
      </c>
      <c r="D152" t="s">
        <v>857</v>
      </c>
      <c r="F152">
        <f t="shared" si="5"/>
        <v>152</v>
      </c>
      <c r="G152" t="str">
        <f t="shared" si="4"/>
        <v xml:space="preserve">lib/disbursement/providers/rise/rise-provider.ts                   </v>
      </c>
    </row>
    <row r="153" spans="3:7" x14ac:dyDescent="0.55000000000000004">
      <c r="C153">
        <v>165</v>
      </c>
      <c r="D153" t="s">
        <v>858</v>
      </c>
      <c r="F153">
        <f t="shared" si="5"/>
        <v>153</v>
      </c>
      <c r="G153" t="str">
        <f t="shared" si="4"/>
        <v xml:space="preserve">lib/disbursement/providers/rise/siwe-auth.ts                       </v>
      </c>
    </row>
    <row r="154" spans="3:7" x14ac:dyDescent="0.55000000000000004">
      <c r="C154">
        <v>166</v>
      </c>
      <c r="D154" t="s">
        <v>859</v>
      </c>
      <c r="F154">
        <f t="shared" si="5"/>
        <v>154</v>
      </c>
      <c r="G154" t="str">
        <f t="shared" si="4"/>
        <v xml:space="preserve">lib/disbursement/providers/rise/webhook-verifier.ts                </v>
      </c>
    </row>
    <row r="155" spans="3:7" x14ac:dyDescent="0.55000000000000004">
      <c r="C155">
        <v>167</v>
      </c>
      <c r="D155" t="s">
        <v>860</v>
      </c>
      <c r="F155">
        <f t="shared" si="5"/>
        <v>155</v>
      </c>
      <c r="G155" t="str">
        <f t="shared" si="4"/>
        <v xml:space="preserve">lib/disbursement/services/batch-manager.ts                         </v>
      </c>
    </row>
    <row r="156" spans="3:7" x14ac:dyDescent="0.55000000000000004">
      <c r="C156">
        <v>168</v>
      </c>
      <c r="D156" t="s">
        <v>861</v>
      </c>
      <c r="F156">
        <f t="shared" si="5"/>
        <v>156</v>
      </c>
      <c r="G156" t="str">
        <f t="shared" si="4"/>
        <v xml:space="preserve">lib/disbursement/services/commission-aggregator.ts                 </v>
      </c>
    </row>
    <row r="157" spans="3:7" x14ac:dyDescent="0.55000000000000004">
      <c r="C157">
        <v>169</v>
      </c>
      <c r="D157" t="s">
        <v>862</v>
      </c>
      <c r="F157">
        <f t="shared" si="5"/>
        <v>157</v>
      </c>
      <c r="G157" t="str">
        <f t="shared" si="4"/>
        <v xml:space="preserve">lib/disbursement/services/payment-orchestrator.ts                  </v>
      </c>
    </row>
    <row r="158" spans="3:7" x14ac:dyDescent="0.55000000000000004">
      <c r="C158">
        <v>170</v>
      </c>
      <c r="D158" t="s">
        <v>863</v>
      </c>
      <c r="F158">
        <f t="shared" si="5"/>
        <v>158</v>
      </c>
      <c r="G158" t="str">
        <f t="shared" si="4"/>
        <v xml:space="preserve">lib/disbursement/services/payout-calculator.ts                     </v>
      </c>
    </row>
    <row r="159" spans="3:7" x14ac:dyDescent="0.55000000000000004">
      <c r="C159">
        <v>171</v>
      </c>
      <c r="D159" t="s">
        <v>864</v>
      </c>
      <c r="F159">
        <f t="shared" si="5"/>
        <v>159</v>
      </c>
      <c r="G159" t="str">
        <f t="shared" si="4"/>
        <v xml:space="preserve">lib/disbursement/services/retry-handler.ts                         </v>
      </c>
    </row>
    <row r="160" spans="3:7" x14ac:dyDescent="0.55000000000000004">
      <c r="C160">
        <v>172</v>
      </c>
      <c r="D160" t="s">
        <v>865</v>
      </c>
      <c r="F160">
        <f t="shared" si="5"/>
        <v>160</v>
      </c>
      <c r="G160" t="str">
        <f t="shared" si="4"/>
        <v xml:space="preserve">lib/disbursement/services/transaction-logger.ts                    </v>
      </c>
    </row>
    <row r="161" spans="3:7" x14ac:dyDescent="0.55000000000000004">
      <c r="C161">
        <v>173</v>
      </c>
      <c r="D161" t="s">
        <v>866</v>
      </c>
      <c r="F161">
        <f t="shared" si="5"/>
        <v>161</v>
      </c>
      <c r="G161" t="str">
        <f t="shared" si="4"/>
        <v xml:space="preserve">lib/disbursement/services/transaction-service.ts                   </v>
      </c>
    </row>
    <row r="162" spans="3:7" x14ac:dyDescent="0.55000000000000004">
      <c r="C162">
        <v>174</v>
      </c>
      <c r="D162" t="s">
        <v>867</v>
      </c>
      <c r="F162">
        <f t="shared" si="5"/>
        <v>162</v>
      </c>
      <c r="G162" t="str">
        <f t="shared" si="4"/>
        <v xml:space="preserve">lib/disbursement/webhook/event-processor.ts                        </v>
      </c>
    </row>
    <row r="163" spans="3:7" x14ac:dyDescent="0.55000000000000004">
      <c r="C163">
        <v>175</v>
      </c>
      <c r="D163" t="s">
        <v>868</v>
      </c>
      <c r="F163">
        <f t="shared" si="5"/>
        <v>163</v>
      </c>
      <c r="G163" t="str">
        <f t="shared" si="4"/>
        <v xml:space="preserve">lib/dlocal/constants.ts                                            </v>
      </c>
    </row>
    <row r="164" spans="3:7" x14ac:dyDescent="0.55000000000000004">
      <c r="C164">
        <v>176</v>
      </c>
      <c r="D164" t="s">
        <v>869</v>
      </c>
      <c r="F164">
        <f t="shared" si="5"/>
        <v>164</v>
      </c>
      <c r="G164" t="str">
        <f t="shared" si="4"/>
        <v xml:space="preserve">lib/dlocal/currency-converter.service.ts                           </v>
      </c>
    </row>
    <row r="165" spans="3:7" x14ac:dyDescent="0.55000000000000004">
      <c r="C165">
        <v>177</v>
      </c>
      <c r="D165" t="s">
        <v>870</v>
      </c>
      <c r="F165">
        <f t="shared" si="5"/>
        <v>165</v>
      </c>
      <c r="G165" t="str">
        <f t="shared" si="4"/>
        <v xml:space="preserve">lib/dlocal/dlocal-payment.service.ts                               </v>
      </c>
    </row>
    <row r="166" spans="3:7" x14ac:dyDescent="0.55000000000000004">
      <c r="C166">
        <v>178</v>
      </c>
      <c r="D166" t="s">
        <v>871</v>
      </c>
      <c r="F166">
        <f t="shared" si="5"/>
        <v>166</v>
      </c>
      <c r="G166" t="str">
        <f t="shared" si="4"/>
        <v xml:space="preserve">lib/dlocal/payment-methods.service.ts                              </v>
      </c>
    </row>
    <row r="167" spans="3:7" x14ac:dyDescent="0.55000000000000004">
      <c r="C167">
        <v>179</v>
      </c>
      <c r="D167" t="s">
        <v>872</v>
      </c>
      <c r="F167">
        <f t="shared" si="5"/>
        <v>167</v>
      </c>
      <c r="G167" t="str">
        <f t="shared" si="4"/>
        <v xml:space="preserve">lib/dlocal/three-day-validator.service.ts                          </v>
      </c>
    </row>
    <row r="168" spans="3:7" x14ac:dyDescent="0.55000000000000004">
      <c r="C168">
        <v>180</v>
      </c>
      <c r="D168" t="s">
        <v>873</v>
      </c>
      <c r="F168">
        <f t="shared" si="5"/>
        <v>168</v>
      </c>
      <c r="G168" t="str">
        <f t="shared" si="4"/>
        <v xml:space="preserve">lib/email/email.ts                                                 </v>
      </c>
    </row>
    <row r="169" spans="3:7" x14ac:dyDescent="0.55000000000000004">
      <c r="C169">
        <v>181</v>
      </c>
      <c r="D169" t="s">
        <v>874</v>
      </c>
      <c r="F169">
        <f t="shared" si="5"/>
        <v>169</v>
      </c>
      <c r="G169" t="str">
        <f t="shared" si="4"/>
        <v xml:space="preserve">lib/email/subscription-emails.ts                                   </v>
      </c>
    </row>
    <row r="170" spans="3:7" x14ac:dyDescent="0.55000000000000004">
      <c r="C170">
        <v>182</v>
      </c>
      <c r="D170" t="s">
        <v>875</v>
      </c>
      <c r="F170">
        <f t="shared" si="5"/>
        <v>170</v>
      </c>
      <c r="G170" t="str">
        <f t="shared" si="4"/>
        <v xml:space="preserve">lib/errors/api-error.ts                                            </v>
      </c>
    </row>
    <row r="171" spans="3:7" x14ac:dyDescent="0.55000000000000004">
      <c r="C171">
        <v>183</v>
      </c>
      <c r="D171" t="s">
        <v>876</v>
      </c>
      <c r="F171">
        <f t="shared" si="5"/>
        <v>171</v>
      </c>
      <c r="G171" t="str">
        <f t="shared" si="4"/>
        <v xml:space="preserve">lib/errors/error-handler.ts                                        </v>
      </c>
    </row>
    <row r="172" spans="3:7" x14ac:dyDescent="0.55000000000000004">
      <c r="C172">
        <v>184</v>
      </c>
      <c r="D172" t="s">
        <v>877</v>
      </c>
      <c r="F172">
        <f t="shared" si="5"/>
        <v>172</v>
      </c>
      <c r="G172" t="str">
        <f t="shared" si="4"/>
        <v xml:space="preserve">lib/errors/error-logger.ts                                         </v>
      </c>
    </row>
    <row r="173" spans="3:7" x14ac:dyDescent="0.55000000000000004">
      <c r="C173">
        <v>185</v>
      </c>
      <c r="D173" t="s">
        <v>878</v>
      </c>
      <c r="F173">
        <f t="shared" si="5"/>
        <v>173</v>
      </c>
      <c r="G173" t="str">
        <f t="shared" si="4"/>
        <v xml:space="preserve">lib/fraud/fraud-detection.service.ts                               </v>
      </c>
    </row>
    <row r="174" spans="3:7" x14ac:dyDescent="0.55000000000000004">
      <c r="C174">
        <v>186</v>
      </c>
      <c r="D174" t="s">
        <v>879</v>
      </c>
      <c r="F174">
        <f t="shared" si="5"/>
        <v>174</v>
      </c>
      <c r="G174" t="str">
        <f t="shared" si="4"/>
        <v xml:space="preserve">lib/geo/detect-country.ts                                          </v>
      </c>
    </row>
    <row r="175" spans="3:7" x14ac:dyDescent="0.55000000000000004">
      <c r="C175">
        <v>187</v>
      </c>
      <c r="D175" t="s">
        <v>880</v>
      </c>
      <c r="F175">
        <f t="shared" si="5"/>
        <v>175</v>
      </c>
      <c r="G175" t="str">
        <f t="shared" si="4"/>
        <v xml:space="preserve">lib/hooks/useAffiliateConfig.ts                                    </v>
      </c>
    </row>
    <row r="176" spans="3:7" x14ac:dyDescent="0.55000000000000004">
      <c r="C176">
        <v>188</v>
      </c>
      <c r="D176" t="s">
        <v>881</v>
      </c>
      <c r="F176">
        <f t="shared" si="5"/>
        <v>176</v>
      </c>
      <c r="G176" t="str">
        <f t="shared" si="4"/>
        <v xml:space="preserve">lib/jobs/alert-checker.ts                                          </v>
      </c>
    </row>
    <row r="177" spans="3:7" x14ac:dyDescent="0.55000000000000004">
      <c r="C177">
        <v>189</v>
      </c>
      <c r="D177" t="s">
        <v>882</v>
      </c>
      <c r="F177">
        <f t="shared" si="5"/>
        <v>177</v>
      </c>
      <c r="G177" t="str">
        <f t="shared" si="4"/>
        <v xml:space="preserve">lib/jobs/queue.ts                                                  </v>
      </c>
    </row>
    <row r="178" spans="3:7" x14ac:dyDescent="0.55000000000000004">
      <c r="C178">
        <v>190</v>
      </c>
      <c r="D178" t="s">
        <v>883</v>
      </c>
      <c r="F178">
        <f t="shared" si="5"/>
        <v>178</v>
      </c>
      <c r="G178" t="str">
        <f t="shared" si="4"/>
        <v xml:space="preserve">lib/logger.ts                                                      </v>
      </c>
    </row>
    <row r="179" spans="3:7" x14ac:dyDescent="0.55000000000000004">
      <c r="C179">
        <v>191</v>
      </c>
      <c r="D179" t="s">
        <v>884</v>
      </c>
      <c r="F179">
        <f t="shared" si="5"/>
        <v>179</v>
      </c>
      <c r="G179" t="str">
        <f t="shared" si="4"/>
        <v xml:space="preserve">lib/monitoring/system-monitor.ts                                   </v>
      </c>
    </row>
    <row r="180" spans="3:7" x14ac:dyDescent="0.55000000000000004">
      <c r="C180">
        <v>192</v>
      </c>
      <c r="D180" t="s">
        <v>885</v>
      </c>
      <c r="F180">
        <f t="shared" si="5"/>
        <v>180</v>
      </c>
      <c r="G180" t="str">
        <f t="shared" si="4"/>
        <v xml:space="preserve">lib/preferences/defaults.ts                                        </v>
      </c>
    </row>
    <row r="181" spans="3:7" x14ac:dyDescent="0.55000000000000004">
      <c r="C181">
        <v>193</v>
      </c>
      <c r="D181" t="s">
        <v>886</v>
      </c>
      <c r="F181">
        <f t="shared" si="5"/>
        <v>181</v>
      </c>
      <c r="G181" t="str">
        <f t="shared" si="4"/>
        <v xml:space="preserve">lib/rate-limit.ts                                                  </v>
      </c>
    </row>
    <row r="182" spans="3:7" x14ac:dyDescent="0.55000000000000004">
      <c r="C182">
        <v>194</v>
      </c>
      <c r="D182" t="s">
        <v>887</v>
      </c>
      <c r="F182">
        <f t="shared" si="5"/>
        <v>182</v>
      </c>
      <c r="G182" t="str">
        <f t="shared" si="4"/>
        <v xml:space="preserve">lib/redis/client.ts                                                </v>
      </c>
    </row>
    <row r="183" spans="3:7" x14ac:dyDescent="0.55000000000000004">
      <c r="C183">
        <v>195</v>
      </c>
      <c r="D183" t="s">
        <v>888</v>
      </c>
      <c r="F183">
        <f t="shared" si="5"/>
        <v>183</v>
      </c>
      <c r="G183" t="str">
        <f t="shared" si="4"/>
        <v xml:space="preserve">lib/security/device-detection.ts                                   </v>
      </c>
    </row>
    <row r="184" spans="3:7" x14ac:dyDescent="0.55000000000000004">
      <c r="C184">
        <v>196</v>
      </c>
      <c r="D184" t="s">
        <v>889</v>
      </c>
      <c r="F184">
        <f t="shared" si="5"/>
        <v>184</v>
      </c>
      <c r="G184" t="str">
        <f t="shared" si="4"/>
        <v xml:space="preserve">lib/stripe/stripe.ts                                               </v>
      </c>
    </row>
    <row r="185" spans="3:7" x14ac:dyDescent="0.55000000000000004">
      <c r="C185">
        <v>197</v>
      </c>
      <c r="D185" t="s">
        <v>890</v>
      </c>
      <c r="F185">
        <f t="shared" si="5"/>
        <v>185</v>
      </c>
      <c r="G185" t="str">
        <f t="shared" si="4"/>
        <v xml:space="preserve">lib/stripe/webhook-handlers.ts                                     </v>
      </c>
    </row>
    <row r="186" spans="3:7" x14ac:dyDescent="0.55000000000000004">
      <c r="C186">
        <v>198</v>
      </c>
      <c r="D186" t="s">
        <v>891</v>
      </c>
      <c r="F186">
        <f t="shared" si="5"/>
        <v>186</v>
      </c>
      <c r="G186" t="str">
        <f t="shared" si="4"/>
        <v xml:space="preserve">lib/tier-config.ts                                                 </v>
      </c>
    </row>
    <row r="187" spans="3:7" x14ac:dyDescent="0.55000000000000004">
      <c r="C187">
        <v>199</v>
      </c>
      <c r="D187" t="s">
        <v>892</v>
      </c>
      <c r="F187">
        <f t="shared" si="5"/>
        <v>187</v>
      </c>
      <c r="G187" t="str">
        <f t="shared" si="4"/>
        <v xml:space="preserve">lib/tier-helpers.ts                                                </v>
      </c>
    </row>
    <row r="188" spans="3:7" x14ac:dyDescent="0.55000000000000004">
      <c r="C188">
        <v>200</v>
      </c>
      <c r="D188" t="s">
        <v>893</v>
      </c>
      <c r="F188">
        <f t="shared" si="5"/>
        <v>188</v>
      </c>
      <c r="G188" t="str">
        <f t="shared" si="4"/>
        <v xml:space="preserve">lib/tier-validation.ts                                             </v>
      </c>
    </row>
    <row r="189" spans="3:7" x14ac:dyDescent="0.55000000000000004">
      <c r="C189">
        <v>201</v>
      </c>
      <c r="D189" t="s">
        <v>894</v>
      </c>
      <c r="F189">
        <f t="shared" si="5"/>
        <v>189</v>
      </c>
      <c r="G189" t="str">
        <f t="shared" si="4"/>
        <v xml:space="preserve">lib/tier/constants.ts                                              </v>
      </c>
    </row>
    <row r="190" spans="3:7" x14ac:dyDescent="0.55000000000000004">
      <c r="C190">
        <v>202</v>
      </c>
      <c r="D190" t="s">
        <v>895</v>
      </c>
      <c r="F190">
        <f t="shared" si="5"/>
        <v>190</v>
      </c>
      <c r="G190" t="str">
        <f t="shared" si="4"/>
        <v xml:space="preserve">lib/tier/index.ts                                                  </v>
      </c>
    </row>
    <row r="191" spans="3:7" x14ac:dyDescent="0.55000000000000004">
      <c r="C191">
        <v>203</v>
      </c>
      <c r="D191" t="s">
        <v>896</v>
      </c>
      <c r="F191">
        <f t="shared" si="5"/>
        <v>191</v>
      </c>
      <c r="G191" t="str">
        <f t="shared" si="4"/>
        <v xml:space="preserve">lib/tier/validator.ts                                              </v>
      </c>
    </row>
    <row r="192" spans="3:7" x14ac:dyDescent="0.55000000000000004">
      <c r="C192">
        <v>204</v>
      </c>
      <c r="D192" t="s">
        <v>897</v>
      </c>
      <c r="F192">
        <f t="shared" si="5"/>
        <v>192</v>
      </c>
      <c r="G192" t="str">
        <f t="shared" si="4"/>
        <v xml:space="preserve">lib/tokens.ts                                                      </v>
      </c>
    </row>
    <row r="193" spans="3:7" x14ac:dyDescent="0.55000000000000004">
      <c r="C193">
        <v>205</v>
      </c>
      <c r="D193" t="s">
        <v>898</v>
      </c>
      <c r="F193">
        <f t="shared" si="5"/>
        <v>193</v>
      </c>
      <c r="G193" t="str">
        <f t="shared" si="4"/>
        <v xml:space="preserve">lib/utils.ts                                                       </v>
      </c>
    </row>
    <row r="194" spans="3:7" x14ac:dyDescent="0.55000000000000004">
      <c r="C194">
        <v>206</v>
      </c>
      <c r="D194" t="s">
        <v>899</v>
      </c>
      <c r="F194">
        <f t="shared" si="5"/>
        <v>194</v>
      </c>
      <c r="G194" t="str">
        <f t="shared" ref="G194:G224" si="6">REPLACE(D194, 1, 10, "")</f>
        <v xml:space="preserve">lib/utils/constants.ts                                             </v>
      </c>
    </row>
    <row r="195" spans="3:7" x14ac:dyDescent="0.55000000000000004">
      <c r="C195">
        <v>207</v>
      </c>
      <c r="D195" t="s">
        <v>900</v>
      </c>
      <c r="F195">
        <f t="shared" ref="F195:F224" si="7">F194+1</f>
        <v>195</v>
      </c>
      <c r="G195" t="str">
        <f t="shared" si="6"/>
        <v xml:space="preserve">lib/utils/formatters.ts                                            </v>
      </c>
    </row>
    <row r="196" spans="3:7" x14ac:dyDescent="0.55000000000000004">
      <c r="C196">
        <v>208</v>
      </c>
      <c r="D196" t="s">
        <v>901</v>
      </c>
      <c r="F196">
        <f t="shared" si="7"/>
        <v>196</v>
      </c>
      <c r="G196" t="str">
        <f t="shared" si="6"/>
        <v xml:space="preserve">lib/utils/helpers.ts                                               </v>
      </c>
    </row>
    <row r="197" spans="3:7" x14ac:dyDescent="0.55000000000000004">
      <c r="C197">
        <v>209</v>
      </c>
      <c r="D197" t="s">
        <v>902</v>
      </c>
      <c r="F197">
        <f t="shared" si="7"/>
        <v>197</v>
      </c>
      <c r="G197" t="str">
        <f t="shared" si="6"/>
        <v xml:space="preserve">lib/validations/alert.ts                                           </v>
      </c>
    </row>
    <row r="198" spans="3:7" x14ac:dyDescent="0.55000000000000004">
      <c r="C198">
        <v>210</v>
      </c>
      <c r="D198" t="s">
        <v>903</v>
      </c>
      <c r="F198">
        <f t="shared" si="7"/>
        <v>198</v>
      </c>
      <c r="G198" t="str">
        <f t="shared" si="6"/>
        <v xml:space="preserve">lib/validations/auth.ts                                            </v>
      </c>
    </row>
    <row r="199" spans="3:7" x14ac:dyDescent="0.55000000000000004">
      <c r="C199">
        <v>211</v>
      </c>
      <c r="D199" t="s">
        <v>904</v>
      </c>
      <c r="F199">
        <f t="shared" si="7"/>
        <v>199</v>
      </c>
      <c r="G199" t="str">
        <f t="shared" si="6"/>
        <v xml:space="preserve">lib/validations/user.ts                                            </v>
      </c>
    </row>
    <row r="200" spans="3:7" x14ac:dyDescent="0.55000000000000004">
      <c r="C200">
        <v>212</v>
      </c>
      <c r="D200" t="s">
        <v>905</v>
      </c>
      <c r="F200">
        <f t="shared" si="7"/>
        <v>200</v>
      </c>
      <c r="G200" t="str">
        <f t="shared" si="6"/>
        <v xml:space="preserve">lib/validations/watchlist.ts                                       </v>
      </c>
    </row>
    <row r="201" spans="3:7" x14ac:dyDescent="0.55000000000000004">
      <c r="C201">
        <v>213</v>
      </c>
      <c r="D201" t="s">
        <v>906</v>
      </c>
      <c r="F201">
        <f t="shared" si="7"/>
        <v>201</v>
      </c>
      <c r="G201" t="str">
        <f t="shared" si="6"/>
        <v xml:space="preserve">lib/websocket/server.ts                                            </v>
      </c>
    </row>
    <row r="202" spans="3:7" x14ac:dyDescent="0.55000000000000004">
      <c r="C202">
        <v>214</v>
      </c>
      <c r="D202" t="s">
        <v>907</v>
      </c>
      <c r="F202">
        <f t="shared" si="7"/>
        <v>202</v>
      </c>
      <c r="G202" t="str">
        <f t="shared" si="6"/>
        <v xml:space="preserve">next.config.js                                                     </v>
      </c>
    </row>
    <row r="203" spans="3:7" x14ac:dyDescent="0.55000000000000004">
      <c r="C203">
        <v>215</v>
      </c>
      <c r="D203" t="s">
        <v>908</v>
      </c>
      <c r="F203">
        <f t="shared" si="7"/>
        <v>203</v>
      </c>
      <c r="G203" t="str">
        <f t="shared" si="6"/>
        <v xml:space="preserve">package.json                                                       </v>
      </c>
    </row>
    <row r="204" spans="3:7" x14ac:dyDescent="0.55000000000000004">
      <c r="C204">
        <v>216</v>
      </c>
      <c r="D204" t="s">
        <v>909</v>
      </c>
      <c r="F204">
        <f t="shared" si="7"/>
        <v>204</v>
      </c>
      <c r="G204" t="str">
        <f t="shared" si="6"/>
        <v xml:space="preserve">postcss.config.js                                                  </v>
      </c>
    </row>
    <row r="205" spans="3:7" x14ac:dyDescent="0.55000000000000004">
      <c r="C205">
        <v>217</v>
      </c>
      <c r="D205" t="s">
        <v>910</v>
      </c>
      <c r="F205">
        <f t="shared" si="7"/>
        <v>205</v>
      </c>
      <c r="G205" t="str">
        <f t="shared" si="6"/>
        <v xml:space="preserve">prisma/migrations/20251227000000_init/migration.sql                </v>
      </c>
    </row>
    <row r="206" spans="3:7" x14ac:dyDescent="0.55000000000000004">
      <c r="C206">
        <v>218</v>
      </c>
      <c r="D206" t="s">
        <v>911</v>
      </c>
      <c r="F206">
        <f t="shared" si="7"/>
        <v>206</v>
      </c>
      <c r="G206" t="str">
        <f t="shared" si="6"/>
        <v xml:space="preserve">prisma/schema.prisma                                               </v>
      </c>
    </row>
    <row r="207" spans="3:7" x14ac:dyDescent="0.55000000000000004">
      <c r="C207">
        <v>219</v>
      </c>
      <c r="D207" t="s">
        <v>912</v>
      </c>
      <c r="F207">
        <f t="shared" si="7"/>
        <v>207</v>
      </c>
      <c r="G207" t="str">
        <f t="shared" si="6"/>
        <v xml:space="preserve">prisma/seed.ts                                                     </v>
      </c>
    </row>
    <row r="208" spans="3:7" x14ac:dyDescent="0.55000000000000004">
      <c r="C208">
        <v>220</v>
      </c>
      <c r="D208" t="s">
        <v>913</v>
      </c>
      <c r="F208">
        <f t="shared" si="7"/>
        <v>208</v>
      </c>
      <c r="G208" t="str">
        <f t="shared" si="6"/>
        <v xml:space="preserve">public/manifest.json                                               </v>
      </c>
    </row>
    <row r="209" spans="3:7" x14ac:dyDescent="0.55000000000000004">
      <c r="C209">
        <v>221</v>
      </c>
      <c r="D209" t="s">
        <v>914</v>
      </c>
      <c r="F209">
        <f t="shared" si="7"/>
        <v>209</v>
      </c>
      <c r="G209" t="str">
        <f t="shared" si="6"/>
        <v xml:space="preserve">scripts/verify-auth-config.js                                      </v>
      </c>
    </row>
    <row r="210" spans="3:7" x14ac:dyDescent="0.55000000000000004">
      <c r="C210">
        <v>222</v>
      </c>
      <c r="D210" t="s">
        <v>915</v>
      </c>
      <c r="F210">
        <f t="shared" si="7"/>
        <v>210</v>
      </c>
      <c r="G210" t="str">
        <f t="shared" si="6"/>
        <v xml:space="preserve">tailwind.config.ts                                                 </v>
      </c>
    </row>
    <row r="211" spans="3:7" x14ac:dyDescent="0.55000000000000004">
      <c r="C211">
        <v>223</v>
      </c>
      <c r="D211" t="s">
        <v>916</v>
      </c>
      <c r="F211">
        <f t="shared" si="7"/>
        <v>211</v>
      </c>
      <c r="G211" t="str">
        <f t="shared" si="6"/>
        <v xml:space="preserve">tsconfig.json                                                      </v>
      </c>
    </row>
    <row r="212" spans="3:7" x14ac:dyDescent="0.55000000000000004">
      <c r="C212">
        <v>224</v>
      </c>
      <c r="D212" t="s">
        <v>917</v>
      </c>
      <c r="F212">
        <f t="shared" si="7"/>
        <v>212</v>
      </c>
      <c r="G212" t="str">
        <f t="shared" si="6"/>
        <v xml:space="preserve">types/alert.ts                                                     </v>
      </c>
    </row>
    <row r="213" spans="3:7" x14ac:dyDescent="0.55000000000000004">
      <c r="C213">
        <v>225</v>
      </c>
      <c r="D213" t="s">
        <v>918</v>
      </c>
      <c r="F213">
        <f t="shared" si="7"/>
        <v>213</v>
      </c>
      <c r="G213" t="str">
        <f t="shared" si="6"/>
        <v xml:space="preserve">types/api.ts                                                       </v>
      </c>
    </row>
    <row r="214" spans="3:7" x14ac:dyDescent="0.55000000000000004">
      <c r="C214">
        <v>226</v>
      </c>
      <c r="D214" t="s">
        <v>919</v>
      </c>
      <c r="F214">
        <f t="shared" si="7"/>
        <v>214</v>
      </c>
      <c r="G214" t="str">
        <f t="shared" si="6"/>
        <v xml:space="preserve">types/disbursement.ts                                              </v>
      </c>
    </row>
    <row r="215" spans="3:7" x14ac:dyDescent="0.55000000000000004">
      <c r="C215">
        <v>227</v>
      </c>
      <c r="D215" t="s">
        <v>920</v>
      </c>
      <c r="F215">
        <f t="shared" si="7"/>
        <v>215</v>
      </c>
      <c r="G215" t="str">
        <f t="shared" si="6"/>
        <v xml:space="preserve">types/dlocal.ts                                                    </v>
      </c>
    </row>
    <row r="216" spans="3:7" x14ac:dyDescent="0.55000000000000004">
      <c r="C216">
        <v>228</v>
      </c>
      <c r="D216" t="s">
        <v>921</v>
      </c>
      <c r="F216">
        <f t="shared" si="7"/>
        <v>216</v>
      </c>
      <c r="G216" t="str">
        <f t="shared" si="6"/>
        <v xml:space="preserve">types/index.ts                                                     </v>
      </c>
    </row>
    <row r="217" spans="3:7" x14ac:dyDescent="0.55000000000000004">
      <c r="C217">
        <v>229</v>
      </c>
      <c r="D217" t="s">
        <v>922</v>
      </c>
      <c r="F217">
        <f t="shared" si="7"/>
        <v>217</v>
      </c>
      <c r="G217" t="str">
        <f t="shared" si="6"/>
        <v xml:space="preserve">types/indicator.ts                                                 </v>
      </c>
    </row>
    <row r="218" spans="3:7" x14ac:dyDescent="0.55000000000000004">
      <c r="C218">
        <v>230</v>
      </c>
      <c r="D218" t="s">
        <v>923</v>
      </c>
      <c r="F218">
        <f t="shared" si="7"/>
        <v>218</v>
      </c>
      <c r="G218" t="str">
        <f t="shared" si="6"/>
        <v xml:space="preserve">types/next-auth.d.ts                                               </v>
      </c>
    </row>
    <row r="219" spans="3:7" x14ac:dyDescent="0.55000000000000004">
      <c r="C219">
        <v>231</v>
      </c>
      <c r="D219" t="s">
        <v>924</v>
      </c>
      <c r="F219">
        <f t="shared" si="7"/>
        <v>219</v>
      </c>
      <c r="G219" t="str">
        <f t="shared" si="6"/>
        <v xml:space="preserve">types/payment.ts                                                   </v>
      </c>
    </row>
    <row r="220" spans="3:7" x14ac:dyDescent="0.55000000000000004">
      <c r="C220">
        <v>232</v>
      </c>
      <c r="D220" t="s">
        <v>925</v>
      </c>
      <c r="F220">
        <f t="shared" si="7"/>
        <v>220</v>
      </c>
      <c r="G220" t="str">
        <f t="shared" si="6"/>
        <v xml:space="preserve">types/prisma-stubs.d.ts                                            </v>
      </c>
    </row>
    <row r="221" spans="3:7" x14ac:dyDescent="0.55000000000000004">
      <c r="C221">
        <v>233</v>
      </c>
      <c r="D221" t="s">
        <v>926</v>
      </c>
      <c r="F221">
        <f t="shared" si="7"/>
        <v>221</v>
      </c>
      <c r="G221" t="str">
        <f t="shared" si="6"/>
        <v xml:space="preserve">types/tier.ts                                                      </v>
      </c>
    </row>
    <row r="222" spans="3:7" x14ac:dyDescent="0.55000000000000004">
      <c r="C222">
        <v>234</v>
      </c>
      <c r="D222" t="s">
        <v>927</v>
      </c>
      <c r="F222">
        <f t="shared" si="7"/>
        <v>222</v>
      </c>
      <c r="G222" t="str">
        <f t="shared" si="6"/>
        <v xml:space="preserve">types/user.ts                                                      </v>
      </c>
    </row>
    <row r="223" spans="3:7" x14ac:dyDescent="0.55000000000000004">
      <c r="C223">
        <v>235</v>
      </c>
      <c r="D223" t="s">
        <v>928</v>
      </c>
      <c r="F223">
        <f t="shared" si="7"/>
        <v>223</v>
      </c>
      <c r="G223" t="str">
        <f t="shared" si="6"/>
        <v xml:space="preserve">types/watchlist.ts                                                 </v>
      </c>
    </row>
    <row r="224" spans="3:7" x14ac:dyDescent="0.55000000000000004">
      <c r="C224">
        <v>236</v>
      </c>
      <c r="D224" t="s">
        <v>929</v>
      </c>
      <c r="F224">
        <f t="shared" si="7"/>
        <v>224</v>
      </c>
      <c r="G224" t="str">
        <f t="shared" si="6"/>
        <v xml:space="preserve">vercel.json                                                       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4428F-4934-419E-8AEC-57DE0A66225F}">
  <dimension ref="D2:H303"/>
  <sheetViews>
    <sheetView workbookViewId="0">
      <selection activeCell="C2" sqref="C2"/>
    </sheetView>
  </sheetViews>
  <sheetFormatPr defaultRowHeight="14.4" x14ac:dyDescent="0.55000000000000004"/>
  <cols>
    <col min="5" max="5" width="55.15625" bestFit="1" customWidth="1"/>
    <col min="6" max="6" width="2.7890625" customWidth="1"/>
    <col min="8" max="8" width="53.1015625" bestFit="1" customWidth="1"/>
  </cols>
  <sheetData>
    <row r="2" spans="4:8" x14ac:dyDescent="0.55000000000000004">
      <c r="D2">
        <v>1</v>
      </c>
      <c r="E2" t="s">
        <v>930</v>
      </c>
      <c r="G2">
        <v>1</v>
      </c>
      <c r="H2" t="str">
        <f>TRIM(SUBSTITUTE(SUBSTITUTE(E2, LEFT(E2, FIND("app/", E2)-1), ""), "`", ""))</f>
        <v>app/api/admin/affiliates/[id]/distribute-codes/route.ts</v>
      </c>
    </row>
    <row r="3" spans="4:8" x14ac:dyDescent="0.55000000000000004">
      <c r="D3">
        <v>2</v>
      </c>
      <c r="E3" t="s">
        <v>931</v>
      </c>
      <c r="G3">
        <f>G2+1</f>
        <v>2</v>
      </c>
      <c r="H3" t="str">
        <f t="shared" ref="H3:H66" si="0">TRIM(SUBSTITUTE(SUBSTITUTE(E3, LEFT(E3, FIND("app/", E3)-1), ""), "`", ""))</f>
        <v>app/api/admin/affiliates/[id]/reactivate/route.ts</v>
      </c>
    </row>
    <row r="4" spans="4:8" x14ac:dyDescent="0.55000000000000004">
      <c r="D4">
        <v>3</v>
      </c>
      <c r="E4" t="s">
        <v>932</v>
      </c>
      <c r="G4">
        <f t="shared" ref="G4:G67" si="1">G3+1</f>
        <v>3</v>
      </c>
      <c r="H4" t="str">
        <f t="shared" si="0"/>
        <v>app/api/admin/affiliates/[id]/route.ts</v>
      </c>
    </row>
    <row r="5" spans="4:8" x14ac:dyDescent="0.55000000000000004">
      <c r="D5">
        <v>4</v>
      </c>
      <c r="E5" t="s">
        <v>933</v>
      </c>
      <c r="G5">
        <f t="shared" si="1"/>
        <v>4</v>
      </c>
      <c r="H5" t="str">
        <f t="shared" si="0"/>
        <v>app/api/admin/affiliates/[id]/suspend/route.ts</v>
      </c>
    </row>
    <row r="6" spans="4:8" x14ac:dyDescent="0.55000000000000004">
      <c r="D6">
        <v>5</v>
      </c>
      <c r="E6" t="s">
        <v>934</v>
      </c>
      <c r="G6">
        <f t="shared" si="1"/>
        <v>5</v>
      </c>
      <c r="H6" t="str">
        <f t="shared" si="0"/>
        <v>app/api/admin/affiliates/reports/code-inventory/route.ts</v>
      </c>
    </row>
    <row r="7" spans="4:8" x14ac:dyDescent="0.55000000000000004">
      <c r="D7">
        <v>6</v>
      </c>
      <c r="E7" t="s">
        <v>935</v>
      </c>
      <c r="G7">
        <f t="shared" si="1"/>
        <v>6</v>
      </c>
      <c r="H7" t="str">
        <f t="shared" si="0"/>
        <v>app/api/admin/affiliates/reports/commission-owings/route.ts</v>
      </c>
    </row>
    <row r="8" spans="4:8" x14ac:dyDescent="0.55000000000000004">
      <c r="D8">
        <v>7</v>
      </c>
      <c r="E8" t="s">
        <v>936</v>
      </c>
      <c r="G8">
        <f t="shared" si="1"/>
        <v>7</v>
      </c>
      <c r="H8" t="str">
        <f t="shared" si="0"/>
        <v>app/api/admin/affiliates/reports/profit-loss/route.ts</v>
      </c>
    </row>
    <row r="9" spans="4:8" x14ac:dyDescent="0.55000000000000004">
      <c r="D9">
        <v>8</v>
      </c>
      <c r="E9" t="s">
        <v>937</v>
      </c>
      <c r="G9">
        <f t="shared" si="1"/>
        <v>8</v>
      </c>
      <c r="H9" t="str">
        <f t="shared" si="0"/>
        <v>app/api/admin/affiliates/reports/sales-performance/route.ts</v>
      </c>
    </row>
    <row r="10" spans="4:8" x14ac:dyDescent="0.55000000000000004">
      <c r="D10">
        <v>9</v>
      </c>
      <c r="E10" t="s">
        <v>938</v>
      </c>
      <c r="G10">
        <f t="shared" si="1"/>
        <v>9</v>
      </c>
      <c r="H10" t="str">
        <f t="shared" si="0"/>
        <v>app/api/admin/affiliates/route.ts</v>
      </c>
    </row>
    <row r="11" spans="4:8" x14ac:dyDescent="0.55000000000000004">
      <c r="D11">
        <v>10</v>
      </c>
      <c r="E11" t="s">
        <v>939</v>
      </c>
      <c r="G11">
        <f t="shared" si="1"/>
        <v>10</v>
      </c>
      <c r="H11" t="str">
        <f t="shared" si="0"/>
        <v>app/api/admin/analytics/route.ts</v>
      </c>
    </row>
    <row r="12" spans="4:8" x14ac:dyDescent="0.55000000000000004">
      <c r="D12">
        <v>11</v>
      </c>
      <c r="E12" t="s">
        <v>940</v>
      </c>
      <c r="G12">
        <f t="shared" si="1"/>
        <v>11</v>
      </c>
      <c r="H12" t="str">
        <f t="shared" si="0"/>
        <v>app/api/admin/api-usage/route.ts</v>
      </c>
    </row>
    <row r="13" spans="4:8" x14ac:dyDescent="0.55000000000000004">
      <c r="D13">
        <v>12</v>
      </c>
      <c r="E13" t="s">
        <v>941</v>
      </c>
      <c r="G13">
        <f t="shared" si="1"/>
        <v>12</v>
      </c>
      <c r="H13" t="str">
        <f t="shared" si="0"/>
        <v>app/api/admin/codes/[code]/cancel/route.ts</v>
      </c>
    </row>
    <row r="14" spans="4:8" x14ac:dyDescent="0.55000000000000004">
      <c r="D14">
        <v>13</v>
      </c>
      <c r="E14" t="s">
        <v>942</v>
      </c>
      <c r="G14">
        <f t="shared" si="1"/>
        <v>13</v>
      </c>
      <c r="H14" t="str">
        <f t="shared" si="0"/>
        <v>app/api/admin/commissions/pay/route.ts</v>
      </c>
    </row>
    <row r="15" spans="4:8" x14ac:dyDescent="0.55000000000000004">
      <c r="D15">
        <v>14</v>
      </c>
      <c r="E15" t="s">
        <v>943</v>
      </c>
      <c r="G15">
        <f t="shared" si="1"/>
        <v>14</v>
      </c>
      <c r="H15" t="str">
        <f t="shared" si="0"/>
        <v>app/api/admin/error-logs/route.ts</v>
      </c>
    </row>
    <row r="16" spans="4:8" x14ac:dyDescent="0.55000000000000004">
      <c r="D16">
        <v>15</v>
      </c>
      <c r="E16" t="s">
        <v>944</v>
      </c>
      <c r="G16">
        <f t="shared" si="1"/>
        <v>15</v>
      </c>
      <c r="H16" t="str">
        <f t="shared" si="0"/>
        <v>app/api/admin/fraud-alerts/[id]/route.ts</v>
      </c>
    </row>
    <row r="17" spans="4:8" x14ac:dyDescent="0.55000000000000004">
      <c r="D17">
        <v>16</v>
      </c>
      <c r="E17" t="s">
        <v>945</v>
      </c>
      <c r="G17">
        <f t="shared" si="1"/>
        <v>16</v>
      </c>
      <c r="H17" t="str">
        <f t="shared" si="0"/>
        <v>app/api/admin/fraud-alerts/route.ts</v>
      </c>
    </row>
    <row r="18" spans="4:8" x14ac:dyDescent="0.55000000000000004">
      <c r="D18">
        <v>17</v>
      </c>
      <c r="E18" t="s">
        <v>946</v>
      </c>
      <c r="G18">
        <f t="shared" si="1"/>
        <v>17</v>
      </c>
      <c r="H18" t="str">
        <f t="shared" si="0"/>
        <v>app/api/admin/settings/affiliate/route.ts</v>
      </c>
    </row>
    <row r="19" spans="4:8" x14ac:dyDescent="0.55000000000000004">
      <c r="D19">
        <v>18</v>
      </c>
      <c r="E19" t="s">
        <v>947</v>
      </c>
      <c r="G19">
        <f t="shared" si="1"/>
        <v>18</v>
      </c>
      <c r="H19" t="str">
        <f t="shared" si="0"/>
        <v>app/api/admin/users/route.ts</v>
      </c>
    </row>
    <row r="20" spans="4:8" x14ac:dyDescent="0.55000000000000004">
      <c r="D20">
        <v>19</v>
      </c>
      <c r="E20" t="s">
        <v>948</v>
      </c>
      <c r="G20">
        <f t="shared" si="1"/>
        <v>19</v>
      </c>
      <c r="H20" t="str">
        <f t="shared" si="0"/>
        <v>app/api/affiliate/auth/register/route.ts</v>
      </c>
    </row>
    <row r="21" spans="4:8" x14ac:dyDescent="0.55000000000000004">
      <c r="D21">
        <v>20</v>
      </c>
      <c r="E21" t="s">
        <v>949</v>
      </c>
      <c r="G21">
        <f t="shared" si="1"/>
        <v>20</v>
      </c>
      <c r="H21" t="str">
        <f t="shared" si="0"/>
        <v>app/api/affiliate/auth/verify-email/route.ts</v>
      </c>
    </row>
    <row r="22" spans="4:8" x14ac:dyDescent="0.55000000000000004">
      <c r="D22">
        <v>21</v>
      </c>
      <c r="E22" t="s">
        <v>950</v>
      </c>
      <c r="G22">
        <f t="shared" si="1"/>
        <v>21</v>
      </c>
      <c r="H22" t="str">
        <f t="shared" si="0"/>
        <v>app/api/affiliate/dashboard/code-inventory/route.ts</v>
      </c>
    </row>
    <row r="23" spans="4:8" x14ac:dyDescent="0.55000000000000004">
      <c r="D23">
        <v>22</v>
      </c>
      <c r="E23" t="s">
        <v>951</v>
      </c>
      <c r="G23">
        <f t="shared" si="1"/>
        <v>22</v>
      </c>
      <c r="H23" t="str">
        <f t="shared" si="0"/>
        <v>app/api/affiliate/dashboard/codes/route.ts</v>
      </c>
    </row>
    <row r="24" spans="4:8" x14ac:dyDescent="0.55000000000000004">
      <c r="D24">
        <v>23</v>
      </c>
      <c r="E24" t="s">
        <v>952</v>
      </c>
      <c r="G24">
        <f t="shared" si="1"/>
        <v>23</v>
      </c>
      <c r="H24" t="str">
        <f t="shared" si="0"/>
        <v>app/api/affiliate/dashboard/commission-report/route.ts</v>
      </c>
    </row>
    <row r="25" spans="4:8" x14ac:dyDescent="0.55000000000000004">
      <c r="D25">
        <v>24</v>
      </c>
      <c r="E25" t="s">
        <v>953</v>
      </c>
      <c r="G25">
        <f t="shared" si="1"/>
        <v>24</v>
      </c>
      <c r="H25" t="str">
        <f t="shared" si="0"/>
        <v>app/api/affiliate/dashboard/stats/route.ts</v>
      </c>
    </row>
    <row r="26" spans="4:8" x14ac:dyDescent="0.55000000000000004">
      <c r="D26">
        <v>25</v>
      </c>
      <c r="E26" t="s">
        <v>954</v>
      </c>
      <c r="G26">
        <f t="shared" si="1"/>
        <v>25</v>
      </c>
      <c r="H26" t="str">
        <f t="shared" si="0"/>
        <v>app/api/affiliate/profile/payment/route.ts</v>
      </c>
    </row>
    <row r="27" spans="4:8" x14ac:dyDescent="0.55000000000000004">
      <c r="D27">
        <v>26</v>
      </c>
      <c r="E27" t="s">
        <v>955</v>
      </c>
      <c r="G27">
        <f t="shared" si="1"/>
        <v>26</v>
      </c>
      <c r="H27" t="str">
        <f t="shared" si="0"/>
        <v>app/api/affiliate/profile/route.ts</v>
      </c>
    </row>
    <row r="28" spans="4:8" x14ac:dyDescent="0.55000000000000004">
      <c r="D28">
        <v>27</v>
      </c>
      <c r="E28" t="s">
        <v>956</v>
      </c>
      <c r="G28">
        <f t="shared" si="1"/>
        <v>27</v>
      </c>
      <c r="H28" t="str">
        <f t="shared" si="0"/>
        <v>app/api/alerts/[id]/route.ts</v>
      </c>
    </row>
    <row r="29" spans="4:8" x14ac:dyDescent="0.55000000000000004">
      <c r="D29">
        <v>28</v>
      </c>
      <c r="E29" t="s">
        <v>957</v>
      </c>
      <c r="G29">
        <f t="shared" si="1"/>
        <v>28</v>
      </c>
      <c r="H29" t="str">
        <f t="shared" si="0"/>
        <v>app/api/alerts/route.ts</v>
      </c>
    </row>
    <row r="30" spans="4:8" x14ac:dyDescent="0.55000000000000004">
      <c r="D30">
        <v>29</v>
      </c>
      <c r="E30" t="s">
        <v>958</v>
      </c>
      <c r="G30">
        <f t="shared" si="1"/>
        <v>29</v>
      </c>
      <c r="H30" t="str">
        <f t="shared" si="0"/>
        <v>app/api/auth/[...nextauth]/route.ts</v>
      </c>
    </row>
    <row r="31" spans="4:8" x14ac:dyDescent="0.55000000000000004">
      <c r="D31">
        <v>30</v>
      </c>
      <c r="E31" t="s">
        <v>959</v>
      </c>
      <c r="G31">
        <f t="shared" si="1"/>
        <v>30</v>
      </c>
      <c r="H31" t="str">
        <f t="shared" si="0"/>
        <v>app/api/auth/forgot-password/route.ts</v>
      </c>
    </row>
    <row r="32" spans="4:8" x14ac:dyDescent="0.55000000000000004">
      <c r="D32">
        <v>31</v>
      </c>
      <c r="E32" t="s">
        <v>960</v>
      </c>
      <c r="G32">
        <f t="shared" si="1"/>
        <v>31</v>
      </c>
      <c r="H32" t="str">
        <f t="shared" si="0"/>
        <v>app/api/auth/register/route.ts</v>
      </c>
    </row>
    <row r="33" spans="4:8" x14ac:dyDescent="0.55000000000000004">
      <c r="D33">
        <v>32</v>
      </c>
      <c r="E33" t="s">
        <v>961</v>
      </c>
      <c r="G33">
        <f t="shared" si="1"/>
        <v>32</v>
      </c>
      <c r="H33" t="str">
        <f t="shared" si="0"/>
        <v>app/api/auth/resend-verification/route.ts</v>
      </c>
    </row>
    <row r="34" spans="4:8" x14ac:dyDescent="0.55000000000000004">
      <c r="D34">
        <v>33</v>
      </c>
      <c r="E34" t="s">
        <v>962</v>
      </c>
      <c r="G34">
        <f t="shared" si="1"/>
        <v>33</v>
      </c>
      <c r="H34" t="str">
        <f t="shared" si="0"/>
        <v>app/api/auth/reset-password/route.ts</v>
      </c>
    </row>
    <row r="35" spans="4:8" x14ac:dyDescent="0.55000000000000004">
      <c r="D35">
        <v>34</v>
      </c>
      <c r="E35" t="s">
        <v>963</v>
      </c>
      <c r="G35">
        <f t="shared" si="1"/>
        <v>34</v>
      </c>
      <c r="H35" t="str">
        <f t="shared" si="0"/>
        <v>app/api/auth/track-login/route.ts</v>
      </c>
    </row>
    <row r="36" spans="4:8" x14ac:dyDescent="0.55000000000000004">
      <c r="D36">
        <v>35</v>
      </c>
      <c r="E36" t="s">
        <v>964</v>
      </c>
      <c r="G36">
        <f t="shared" si="1"/>
        <v>35</v>
      </c>
      <c r="H36" t="str">
        <f t="shared" si="0"/>
        <v>app/api/auth/verify-email/route.ts</v>
      </c>
    </row>
    <row r="37" spans="4:8" x14ac:dyDescent="0.55000000000000004">
      <c r="D37">
        <v>36</v>
      </c>
      <c r="E37" t="s">
        <v>965</v>
      </c>
      <c r="G37">
        <f t="shared" si="1"/>
        <v>36</v>
      </c>
      <c r="H37" t="str">
        <f t="shared" si="0"/>
        <v>app/api/candles/[symbol]/route.ts</v>
      </c>
    </row>
    <row r="38" spans="4:8" x14ac:dyDescent="0.55000000000000004">
      <c r="D38">
        <v>37</v>
      </c>
      <c r="E38" t="s">
        <v>966</v>
      </c>
      <c r="G38">
        <f t="shared" si="1"/>
        <v>37</v>
      </c>
      <c r="H38" t="str">
        <f t="shared" si="0"/>
        <v>app/api/checkout/route.ts</v>
      </c>
    </row>
    <row r="39" spans="4:8" x14ac:dyDescent="0.55000000000000004">
      <c r="D39">
        <v>38</v>
      </c>
      <c r="E39" t="s">
        <v>967</v>
      </c>
      <c r="G39">
        <f t="shared" si="1"/>
        <v>38</v>
      </c>
      <c r="H39" t="str">
        <f t="shared" si="0"/>
        <v>app/api/checkout/validate-code/route.ts</v>
      </c>
    </row>
    <row r="40" spans="4:8" x14ac:dyDescent="0.55000000000000004">
      <c r="D40">
        <v>39</v>
      </c>
      <c r="E40" t="s">
        <v>968</v>
      </c>
      <c r="G40">
        <f t="shared" si="1"/>
        <v>39</v>
      </c>
      <c r="H40" t="str">
        <f t="shared" si="0"/>
        <v>app/api/config/affiliate/route.ts</v>
      </c>
    </row>
    <row r="41" spans="4:8" x14ac:dyDescent="0.55000000000000004">
      <c r="D41">
        <v>40</v>
      </c>
      <c r="E41" t="s">
        <v>969</v>
      </c>
      <c r="G41">
        <f t="shared" si="1"/>
        <v>40</v>
      </c>
      <c r="H41" t="str">
        <f t="shared" si="0"/>
        <v>app/api/invoices/route.ts</v>
      </c>
    </row>
    <row r="42" spans="4:8" x14ac:dyDescent="0.55000000000000004">
      <c r="D42">
        <v>41</v>
      </c>
      <c r="E42" t="s">
        <v>970</v>
      </c>
      <c r="G42">
        <f t="shared" si="1"/>
        <v>41</v>
      </c>
      <c r="H42" t="str">
        <f t="shared" si="0"/>
        <v>app/api/test/seed/route.ts</v>
      </c>
    </row>
    <row r="43" spans="4:8" x14ac:dyDescent="0.55000000000000004">
      <c r="D43">
        <v>42</v>
      </c>
      <c r="E43" t="s">
        <v>971</v>
      </c>
      <c r="G43">
        <f t="shared" si="1"/>
        <v>42</v>
      </c>
      <c r="H43" t="str">
        <f t="shared" si="0"/>
        <v>app/api/cron/check-expiring-subscriptions/route.ts</v>
      </c>
    </row>
    <row r="44" spans="4:8" x14ac:dyDescent="0.55000000000000004">
      <c r="D44">
        <v>43</v>
      </c>
      <c r="E44" t="s">
        <v>972</v>
      </c>
      <c r="G44">
        <f t="shared" si="1"/>
        <v>43</v>
      </c>
      <c r="H44" t="str">
        <f t="shared" si="0"/>
        <v>app/api/cron/daily-maintenance/route.ts</v>
      </c>
    </row>
    <row r="45" spans="4:8" x14ac:dyDescent="0.55000000000000004">
      <c r="D45">
        <v>44</v>
      </c>
      <c r="E45" t="s">
        <v>973</v>
      </c>
      <c r="G45">
        <f t="shared" si="1"/>
        <v>44</v>
      </c>
      <c r="H45" t="str">
        <f t="shared" si="0"/>
        <v>app/api/cron/distribute-codes/route.ts</v>
      </c>
    </row>
    <row r="46" spans="4:8" x14ac:dyDescent="0.55000000000000004">
      <c r="D46">
        <v>45</v>
      </c>
      <c r="E46" t="s">
        <v>974</v>
      </c>
      <c r="G46">
        <f t="shared" si="1"/>
        <v>45</v>
      </c>
      <c r="H46" t="str">
        <f t="shared" si="0"/>
        <v>app/api/cron/downgrade-expired-subscriptions/route.ts</v>
      </c>
    </row>
    <row r="47" spans="4:8" x14ac:dyDescent="0.55000000000000004">
      <c r="D47">
        <v>46</v>
      </c>
      <c r="E47" t="s">
        <v>975</v>
      </c>
      <c r="G47">
        <f t="shared" si="1"/>
        <v>46</v>
      </c>
      <c r="H47" t="str">
        <f t="shared" si="0"/>
        <v>app/api/cron/expire-codes/route.ts</v>
      </c>
    </row>
    <row r="48" spans="4:8" x14ac:dyDescent="0.55000000000000004">
      <c r="D48">
        <v>47</v>
      </c>
      <c r="E48" t="s">
        <v>976</v>
      </c>
      <c r="G48">
        <f t="shared" si="1"/>
        <v>47</v>
      </c>
      <c r="H48" t="str">
        <f t="shared" si="0"/>
        <v>app/api/cron/process-pending-disbursements/route.ts</v>
      </c>
    </row>
    <row r="49" spans="4:8" x14ac:dyDescent="0.55000000000000004">
      <c r="D49">
        <v>48</v>
      </c>
      <c r="E49" t="s">
        <v>977</v>
      </c>
      <c r="G49">
        <f t="shared" si="1"/>
        <v>48</v>
      </c>
      <c r="H49" t="str">
        <f t="shared" si="0"/>
        <v>app/api/cron/send-monthly-reports/route.ts</v>
      </c>
    </row>
    <row r="50" spans="4:8" x14ac:dyDescent="0.55000000000000004">
      <c r="D50">
        <v>49</v>
      </c>
      <c r="E50" t="s">
        <v>978</v>
      </c>
      <c r="G50">
        <f t="shared" si="1"/>
        <v>49</v>
      </c>
      <c r="H50" t="str">
        <f t="shared" si="0"/>
        <v>app/api/cron/sync-riseworks-accounts/route.ts</v>
      </c>
    </row>
    <row r="51" spans="4:8" x14ac:dyDescent="0.55000000000000004">
      <c r="D51">
        <v>50</v>
      </c>
      <c r="E51" t="s">
        <v>979</v>
      </c>
      <c r="G51">
        <f t="shared" si="1"/>
        <v>50</v>
      </c>
      <c r="H51" t="str">
        <f t="shared" si="0"/>
        <v>app/api/disbursement/affiliates/[affiliateId]/commissions/route.ts</v>
      </c>
    </row>
    <row r="52" spans="4:8" x14ac:dyDescent="0.55000000000000004">
      <c r="D52">
        <v>51</v>
      </c>
      <c r="E52" t="s">
        <v>980</v>
      </c>
      <c r="G52">
        <f t="shared" si="1"/>
        <v>51</v>
      </c>
      <c r="H52" t="str">
        <f t="shared" si="0"/>
        <v>app/api/disbursement/affiliates/[affiliateId]/route.ts</v>
      </c>
    </row>
    <row r="53" spans="4:8" x14ac:dyDescent="0.55000000000000004">
      <c r="D53">
        <v>52</v>
      </c>
      <c r="E53" t="s">
        <v>981</v>
      </c>
      <c r="G53">
        <f t="shared" si="1"/>
        <v>52</v>
      </c>
      <c r="H53" t="str">
        <f t="shared" si="0"/>
        <v>app/api/disbursement/affiliates/payable/route.ts</v>
      </c>
    </row>
    <row r="54" spans="4:8" x14ac:dyDescent="0.55000000000000004">
      <c r="D54">
        <v>53</v>
      </c>
      <c r="E54" t="s">
        <v>982</v>
      </c>
      <c r="G54">
        <f t="shared" si="1"/>
        <v>53</v>
      </c>
      <c r="H54" t="str">
        <f t="shared" si="0"/>
        <v>app/api/disbursement/audit-logs/route.ts</v>
      </c>
    </row>
    <row r="55" spans="4:8" x14ac:dyDescent="0.55000000000000004">
      <c r="D55">
        <v>54</v>
      </c>
      <c r="E55" t="s">
        <v>983</v>
      </c>
      <c r="G55">
        <f t="shared" si="1"/>
        <v>54</v>
      </c>
      <c r="H55" t="str">
        <f t="shared" si="0"/>
        <v>app/api/disbursement/batches/[batchId]/execute/route.ts</v>
      </c>
    </row>
    <row r="56" spans="4:8" x14ac:dyDescent="0.55000000000000004">
      <c r="D56">
        <v>55</v>
      </c>
      <c r="E56" t="s">
        <v>984</v>
      </c>
      <c r="G56">
        <f t="shared" si="1"/>
        <v>55</v>
      </c>
      <c r="H56" t="str">
        <f t="shared" si="0"/>
        <v>app/api/disbursement/batches/[batchId]/route.ts</v>
      </c>
    </row>
    <row r="57" spans="4:8" x14ac:dyDescent="0.55000000000000004">
      <c r="D57">
        <v>56</v>
      </c>
      <c r="E57" t="s">
        <v>985</v>
      </c>
      <c r="G57">
        <f t="shared" si="1"/>
        <v>56</v>
      </c>
      <c r="H57" t="str">
        <f t="shared" si="0"/>
        <v>app/api/disbursement/batches/preview/route.ts</v>
      </c>
    </row>
    <row r="58" spans="4:8" x14ac:dyDescent="0.55000000000000004">
      <c r="D58">
        <v>57</v>
      </c>
      <c r="E58" t="s">
        <v>986</v>
      </c>
      <c r="G58">
        <f t="shared" si="1"/>
        <v>57</v>
      </c>
      <c r="H58" t="str">
        <f t="shared" si="0"/>
        <v>app/api/disbursement/batches/route.ts</v>
      </c>
    </row>
    <row r="59" spans="4:8" x14ac:dyDescent="0.55000000000000004">
      <c r="D59">
        <v>58</v>
      </c>
      <c r="E59" t="s">
        <v>987</v>
      </c>
      <c r="G59">
        <f t="shared" si="1"/>
        <v>58</v>
      </c>
      <c r="H59" t="str">
        <f t="shared" si="0"/>
        <v>app/api/disbursement/config/route.ts</v>
      </c>
    </row>
    <row r="60" spans="4:8" x14ac:dyDescent="0.55000000000000004">
      <c r="D60">
        <v>59</v>
      </c>
      <c r="E60" t="s">
        <v>988</v>
      </c>
      <c r="G60">
        <f t="shared" si="1"/>
        <v>59</v>
      </c>
      <c r="H60" t="str">
        <f t="shared" si="0"/>
        <v>app/api/disbursement/health/route.ts</v>
      </c>
    </row>
    <row r="61" spans="4:8" x14ac:dyDescent="0.55000000000000004">
      <c r="D61">
        <v>60</v>
      </c>
      <c r="E61" t="s">
        <v>989</v>
      </c>
      <c r="G61">
        <f t="shared" si="1"/>
        <v>60</v>
      </c>
      <c r="H61" t="str">
        <f t="shared" si="0"/>
        <v>app/api/disbursement/pay/route.ts</v>
      </c>
    </row>
    <row r="62" spans="4:8" x14ac:dyDescent="0.55000000000000004">
      <c r="D62">
        <v>61</v>
      </c>
      <c r="E62" t="s">
        <v>990</v>
      </c>
      <c r="G62">
        <f t="shared" si="1"/>
        <v>61</v>
      </c>
      <c r="H62" t="str">
        <f t="shared" si="0"/>
        <v>app/api/disbursement/reports/affiliate/[affiliateId]/route.ts</v>
      </c>
    </row>
    <row r="63" spans="4:8" x14ac:dyDescent="0.55000000000000004">
      <c r="D63">
        <v>62</v>
      </c>
      <c r="E63" t="s">
        <v>991</v>
      </c>
      <c r="G63">
        <f t="shared" si="1"/>
        <v>62</v>
      </c>
      <c r="H63" t="str">
        <f t="shared" si="0"/>
        <v>app/api/disbursement/reports/summary/route.ts</v>
      </c>
    </row>
    <row r="64" spans="4:8" x14ac:dyDescent="0.55000000000000004">
      <c r="D64">
        <v>63</v>
      </c>
      <c r="E64" t="s">
        <v>992</v>
      </c>
      <c r="G64">
        <f t="shared" si="1"/>
        <v>63</v>
      </c>
      <c r="H64" t="str">
        <f t="shared" si="0"/>
        <v>app/api/disbursement/riseworks/accounts/route.ts</v>
      </c>
    </row>
    <row r="65" spans="4:8" x14ac:dyDescent="0.55000000000000004">
      <c r="D65">
        <v>64</v>
      </c>
      <c r="E65" t="s">
        <v>993</v>
      </c>
      <c r="G65">
        <f t="shared" si="1"/>
        <v>64</v>
      </c>
      <c r="H65" t="str">
        <f t="shared" si="0"/>
        <v>app/api/disbursement/riseworks/sync/route.ts</v>
      </c>
    </row>
    <row r="66" spans="4:8" x14ac:dyDescent="0.55000000000000004">
      <c r="D66">
        <v>65</v>
      </c>
      <c r="E66" t="s">
        <v>994</v>
      </c>
      <c r="G66">
        <f t="shared" si="1"/>
        <v>65</v>
      </c>
      <c r="H66" t="str">
        <f t="shared" si="0"/>
        <v>app/api/disbursement/transactions/route.ts</v>
      </c>
    </row>
    <row r="67" spans="4:8" x14ac:dyDescent="0.55000000000000004">
      <c r="D67">
        <v>66</v>
      </c>
      <c r="E67" t="s">
        <v>995</v>
      </c>
      <c r="G67">
        <f t="shared" si="1"/>
        <v>66</v>
      </c>
      <c r="H67" t="str">
        <f t="shared" ref="H67:H102" si="2">TRIM(SUBSTITUTE(SUBSTITUTE(E67, LEFT(E67, FIND("app/", E67)-1), ""), "`", ""))</f>
        <v>app/api/notifications/[id]/read/route.ts</v>
      </c>
    </row>
    <row r="68" spans="4:8" x14ac:dyDescent="0.55000000000000004">
      <c r="D68">
        <v>67</v>
      </c>
      <c r="E68" t="s">
        <v>996</v>
      </c>
      <c r="G68">
        <f t="shared" ref="G68:G131" si="3">G67+1</f>
        <v>67</v>
      </c>
      <c r="H68" t="str">
        <f t="shared" si="2"/>
        <v>app/api/notifications/[id]/route.ts</v>
      </c>
    </row>
    <row r="69" spans="4:8" x14ac:dyDescent="0.55000000000000004">
      <c r="D69">
        <v>68</v>
      </c>
      <c r="E69" t="s">
        <v>997</v>
      </c>
      <c r="G69">
        <f t="shared" si="3"/>
        <v>68</v>
      </c>
      <c r="H69" t="str">
        <f t="shared" si="2"/>
        <v>app/api/notifications/route.ts</v>
      </c>
    </row>
    <row r="70" spans="4:8" x14ac:dyDescent="0.55000000000000004">
      <c r="D70">
        <v>69</v>
      </c>
      <c r="E70" t="s">
        <v>998</v>
      </c>
      <c r="G70">
        <f t="shared" si="3"/>
        <v>69</v>
      </c>
      <c r="H70" t="str">
        <f t="shared" si="2"/>
        <v>app/api/payments/dlocal/[paymentId]/route.ts</v>
      </c>
    </row>
    <row r="71" spans="4:8" x14ac:dyDescent="0.55000000000000004">
      <c r="D71">
        <v>70</v>
      </c>
      <c r="E71" t="s">
        <v>999</v>
      </c>
      <c r="G71">
        <f t="shared" si="3"/>
        <v>70</v>
      </c>
      <c r="H71" t="str">
        <f t="shared" si="2"/>
        <v>app/api/payments/dlocal/check-three-day-eligibility/route.ts</v>
      </c>
    </row>
    <row r="72" spans="4:8" x14ac:dyDescent="0.55000000000000004">
      <c r="D72">
        <v>71</v>
      </c>
      <c r="E72" t="s">
        <v>1000</v>
      </c>
      <c r="G72">
        <f t="shared" si="3"/>
        <v>71</v>
      </c>
      <c r="H72" t="str">
        <f t="shared" si="2"/>
        <v>app/api/payments/dlocal/convert/route.ts</v>
      </c>
    </row>
    <row r="73" spans="4:8" x14ac:dyDescent="0.55000000000000004">
      <c r="D73">
        <v>72</v>
      </c>
      <c r="E73" t="s">
        <v>1001</v>
      </c>
      <c r="G73">
        <f t="shared" si="3"/>
        <v>72</v>
      </c>
      <c r="H73" t="str">
        <f t="shared" si="2"/>
        <v>app/api/payments/dlocal/create/route.ts</v>
      </c>
    </row>
    <row r="74" spans="4:8" x14ac:dyDescent="0.55000000000000004">
      <c r="D74">
        <v>73</v>
      </c>
      <c r="E74" t="s">
        <v>1002</v>
      </c>
      <c r="G74">
        <f t="shared" si="3"/>
        <v>73</v>
      </c>
      <c r="H74" t="str">
        <f t="shared" si="2"/>
        <v>app/api/payments/dlocal/exchange-rate/route.ts</v>
      </c>
    </row>
    <row r="75" spans="4:8" x14ac:dyDescent="0.55000000000000004">
      <c r="D75">
        <v>74</v>
      </c>
      <c r="E75" t="s">
        <v>1003</v>
      </c>
      <c r="G75">
        <f t="shared" si="3"/>
        <v>74</v>
      </c>
      <c r="H75" t="str">
        <f t="shared" si="2"/>
        <v>app/api/payments/dlocal/methods/route.ts</v>
      </c>
    </row>
    <row r="76" spans="4:8" x14ac:dyDescent="0.55000000000000004">
      <c r="D76">
        <v>75</v>
      </c>
      <c r="E76" t="s">
        <v>1004</v>
      </c>
      <c r="G76">
        <f t="shared" si="3"/>
        <v>75</v>
      </c>
      <c r="H76" t="str">
        <f t="shared" si="2"/>
        <v>app/api/payments/dlocal/validate-discount/route.ts</v>
      </c>
    </row>
    <row r="77" spans="4:8" x14ac:dyDescent="0.55000000000000004">
      <c r="D77">
        <v>76</v>
      </c>
      <c r="E77" t="s">
        <v>1005</v>
      </c>
      <c r="G77">
        <f t="shared" si="3"/>
        <v>76</v>
      </c>
      <c r="H77" t="str">
        <f t="shared" si="2"/>
        <v>app/api/subscription/cancel/route.ts</v>
      </c>
    </row>
    <row r="78" spans="4:8" x14ac:dyDescent="0.55000000000000004">
      <c r="D78">
        <v>77</v>
      </c>
      <c r="E78" t="s">
        <v>1006</v>
      </c>
      <c r="G78">
        <f t="shared" si="3"/>
        <v>77</v>
      </c>
      <c r="H78" t="str">
        <f t="shared" si="2"/>
        <v>app/api/subscription/route.ts</v>
      </c>
    </row>
    <row r="79" spans="4:8" x14ac:dyDescent="0.55000000000000004">
      <c r="D79">
        <v>78</v>
      </c>
      <c r="E79" t="s">
        <v>1007</v>
      </c>
      <c r="G79">
        <f t="shared" si="3"/>
        <v>78</v>
      </c>
      <c r="H79" t="str">
        <f t="shared" si="2"/>
        <v>app/api/tier/check/[symbol]/route.ts</v>
      </c>
    </row>
    <row r="80" spans="4:8" x14ac:dyDescent="0.55000000000000004">
      <c r="D80">
        <v>79</v>
      </c>
      <c r="E80" t="s">
        <v>1008</v>
      </c>
      <c r="G80">
        <f t="shared" si="3"/>
        <v>79</v>
      </c>
      <c r="H80" t="str">
        <f t="shared" si="2"/>
        <v>app/api/tier/combinations/route.ts</v>
      </c>
    </row>
    <row r="81" spans="4:8" x14ac:dyDescent="0.55000000000000004">
      <c r="D81">
        <v>80</v>
      </c>
      <c r="E81" t="s">
        <v>1009</v>
      </c>
      <c r="G81">
        <f t="shared" si="3"/>
        <v>80</v>
      </c>
      <c r="H81" t="str">
        <f t="shared" si="2"/>
        <v>app/api/tier/symbols/route.ts</v>
      </c>
    </row>
    <row r="82" spans="4:8" x14ac:dyDescent="0.55000000000000004">
      <c r="D82">
        <v>81</v>
      </c>
      <c r="E82" t="s">
        <v>1010</v>
      </c>
      <c r="G82">
        <f t="shared" si="3"/>
        <v>81</v>
      </c>
      <c r="H82" t="str">
        <f t="shared" si="2"/>
        <v>app/api/user/2fa/backup-codes/route.ts</v>
      </c>
    </row>
    <row r="83" spans="4:8" x14ac:dyDescent="0.55000000000000004">
      <c r="D83">
        <v>82</v>
      </c>
      <c r="E83" t="s">
        <v>1011</v>
      </c>
      <c r="G83">
        <f t="shared" si="3"/>
        <v>82</v>
      </c>
      <c r="H83" t="str">
        <f t="shared" si="2"/>
        <v>app/api/user/2fa/disable/route.ts</v>
      </c>
    </row>
    <row r="84" spans="4:8" x14ac:dyDescent="0.55000000000000004">
      <c r="D84">
        <v>83</v>
      </c>
      <c r="E84" t="s">
        <v>1012</v>
      </c>
      <c r="G84">
        <f t="shared" si="3"/>
        <v>83</v>
      </c>
      <c r="H84" t="str">
        <f t="shared" si="2"/>
        <v>app/api/user/2fa/setup/route.ts</v>
      </c>
    </row>
    <row r="85" spans="4:8" x14ac:dyDescent="0.55000000000000004">
      <c r="D85">
        <v>84</v>
      </c>
      <c r="E85" t="s">
        <v>1013</v>
      </c>
      <c r="G85">
        <f t="shared" si="3"/>
        <v>84</v>
      </c>
      <c r="H85" t="str">
        <f t="shared" si="2"/>
        <v>app/api/user/2fa/verify/route.ts</v>
      </c>
    </row>
    <row r="86" spans="4:8" x14ac:dyDescent="0.55000000000000004">
      <c r="D86">
        <v>85</v>
      </c>
      <c r="E86" t="s">
        <v>1014</v>
      </c>
      <c r="G86">
        <f t="shared" si="3"/>
        <v>85</v>
      </c>
      <c r="H86" t="str">
        <f t="shared" si="2"/>
        <v>app/api/user/2fa/verify-setup/route.ts</v>
      </c>
    </row>
    <row r="87" spans="4:8" x14ac:dyDescent="0.55000000000000004">
      <c r="D87">
        <v>86</v>
      </c>
      <c r="E87" t="s">
        <v>1015</v>
      </c>
      <c r="G87">
        <f t="shared" si="3"/>
        <v>86</v>
      </c>
      <c r="H87" t="str">
        <f t="shared" si="2"/>
        <v>app/api/user/account/deletion-cancel/route.ts</v>
      </c>
    </row>
    <row r="88" spans="4:8" x14ac:dyDescent="0.55000000000000004">
      <c r="D88">
        <v>87</v>
      </c>
      <c r="E88" t="s">
        <v>1016</v>
      </c>
      <c r="G88">
        <f t="shared" si="3"/>
        <v>87</v>
      </c>
      <c r="H88" t="str">
        <f t="shared" si="2"/>
        <v>app/api/user/account/deletion-confirm/route.ts</v>
      </c>
    </row>
    <row r="89" spans="4:8" x14ac:dyDescent="0.55000000000000004">
      <c r="D89">
        <v>88</v>
      </c>
      <c r="E89" t="s">
        <v>1017</v>
      </c>
      <c r="G89">
        <f t="shared" si="3"/>
        <v>88</v>
      </c>
      <c r="H89" t="str">
        <f t="shared" si="2"/>
        <v>app/api/user/account/deletion-request/route.ts</v>
      </c>
    </row>
    <row r="90" spans="4:8" x14ac:dyDescent="0.55000000000000004">
      <c r="D90">
        <v>89</v>
      </c>
      <c r="E90" t="s">
        <v>1018</v>
      </c>
      <c r="G90">
        <f t="shared" si="3"/>
        <v>89</v>
      </c>
      <c r="H90" t="str">
        <f t="shared" si="2"/>
        <v>app/api/user/login-history/route.ts</v>
      </c>
    </row>
    <row r="91" spans="4:8" x14ac:dyDescent="0.55000000000000004">
      <c r="D91">
        <v>90</v>
      </c>
      <c r="E91" t="s">
        <v>1019</v>
      </c>
      <c r="G91">
        <f t="shared" si="3"/>
        <v>90</v>
      </c>
      <c r="H91" t="str">
        <f t="shared" si="2"/>
        <v>app/api/user/password/route.ts</v>
      </c>
    </row>
    <row r="92" spans="4:8" x14ac:dyDescent="0.55000000000000004">
      <c r="D92">
        <v>91</v>
      </c>
      <c r="E92" t="s">
        <v>1020</v>
      </c>
      <c r="G92">
        <f t="shared" si="3"/>
        <v>91</v>
      </c>
      <c r="H92" t="str">
        <f t="shared" si="2"/>
        <v>app/api/user/preferences/route.ts</v>
      </c>
    </row>
    <row r="93" spans="4:8" x14ac:dyDescent="0.55000000000000004">
      <c r="D93">
        <v>92</v>
      </c>
      <c r="E93" t="s">
        <v>1021</v>
      </c>
      <c r="G93">
        <f t="shared" si="3"/>
        <v>92</v>
      </c>
      <c r="H93" t="str">
        <f t="shared" si="2"/>
        <v>app/api/user/profile/route.ts</v>
      </c>
    </row>
    <row r="94" spans="4:8" x14ac:dyDescent="0.55000000000000004">
      <c r="D94">
        <v>93</v>
      </c>
      <c r="E94" t="s">
        <v>1022</v>
      </c>
      <c r="G94">
        <f t="shared" si="3"/>
        <v>93</v>
      </c>
      <c r="H94" t="str">
        <f t="shared" si="2"/>
        <v>app/api/user/sessions/[id]/route.ts</v>
      </c>
    </row>
    <row r="95" spans="4:8" x14ac:dyDescent="0.55000000000000004">
      <c r="D95">
        <v>94</v>
      </c>
      <c r="E95" t="s">
        <v>1023</v>
      </c>
      <c r="G95">
        <f t="shared" si="3"/>
        <v>94</v>
      </c>
      <c r="H95" t="str">
        <f t="shared" si="2"/>
        <v>app/api/user/sessions/route.ts</v>
      </c>
    </row>
    <row r="96" spans="4:8" x14ac:dyDescent="0.55000000000000004">
      <c r="D96">
        <v>95</v>
      </c>
      <c r="E96" t="s">
        <v>1024</v>
      </c>
      <c r="G96">
        <f t="shared" si="3"/>
        <v>95</v>
      </c>
      <c r="H96" t="str">
        <f t="shared" si="2"/>
        <v>app/api/watchlist/[id]/route.ts</v>
      </c>
    </row>
    <row r="97" spans="4:8" x14ac:dyDescent="0.55000000000000004">
      <c r="D97">
        <v>96</v>
      </c>
      <c r="E97" t="s">
        <v>1025</v>
      </c>
      <c r="G97">
        <f t="shared" si="3"/>
        <v>96</v>
      </c>
      <c r="H97" t="str">
        <f t="shared" si="2"/>
        <v>app/api/watchlist/reorder/route.ts</v>
      </c>
    </row>
    <row r="98" spans="4:8" x14ac:dyDescent="0.55000000000000004">
      <c r="D98">
        <v>97</v>
      </c>
      <c r="E98" t="s">
        <v>1026</v>
      </c>
      <c r="G98">
        <f t="shared" si="3"/>
        <v>97</v>
      </c>
      <c r="H98" t="str">
        <f t="shared" si="2"/>
        <v>app/api/watchlist/route.ts</v>
      </c>
    </row>
    <row r="99" spans="4:8" x14ac:dyDescent="0.55000000000000004">
      <c r="D99">
        <v>98</v>
      </c>
      <c r="E99" t="s">
        <v>1027</v>
      </c>
      <c r="G99">
        <f t="shared" si="3"/>
        <v>98</v>
      </c>
      <c r="H99" t="str">
        <f t="shared" si="2"/>
        <v>app/api/webhooks/dlocal/route.ts</v>
      </c>
    </row>
    <row r="100" spans="4:8" x14ac:dyDescent="0.55000000000000004">
      <c r="D100">
        <v>99</v>
      </c>
      <c r="E100" t="s">
        <v>1028</v>
      </c>
      <c r="G100">
        <f t="shared" si="3"/>
        <v>99</v>
      </c>
      <c r="H100" t="str">
        <f t="shared" si="2"/>
        <v>app/api/webhooks/riseworks/route.ts</v>
      </c>
    </row>
    <row r="101" spans="4:8" x14ac:dyDescent="0.55000000000000004">
      <c r="D101">
        <v>100</v>
      </c>
      <c r="E101" t="s">
        <v>1029</v>
      </c>
      <c r="G101">
        <f t="shared" si="3"/>
        <v>100</v>
      </c>
      <c r="H101" t="str">
        <f t="shared" si="2"/>
        <v>app/api/webhooks/stripe/route.ts</v>
      </c>
    </row>
    <row r="102" spans="4:8" x14ac:dyDescent="0.55000000000000004">
      <c r="D102">
        <v>101</v>
      </c>
      <c r="E102" t="s">
        <v>1030</v>
      </c>
      <c r="G102">
        <f t="shared" si="3"/>
        <v>101</v>
      </c>
      <c r="H102" t="str">
        <f t="shared" si="2"/>
        <v>app/globals.css</v>
      </c>
    </row>
    <row r="103" spans="4:8" x14ac:dyDescent="0.55000000000000004">
      <c r="D103">
        <v>1</v>
      </c>
      <c r="E103" t="s">
        <v>1031</v>
      </c>
      <c r="G103">
        <f t="shared" si="3"/>
        <v>102</v>
      </c>
      <c r="H103" t="str">
        <f>TRIM(SUBSTITUTE(SUBSTITUTE(E103, LEFT(E103, FIND("components/", E103)-1), ""), "`", ""))</f>
        <v>components/affiliate/index.ts</v>
      </c>
    </row>
    <row r="104" spans="4:8" x14ac:dyDescent="0.55000000000000004">
      <c r="D104">
        <v>2</v>
      </c>
      <c r="E104" t="s">
        <v>1032</v>
      </c>
      <c r="G104">
        <f t="shared" si="3"/>
        <v>103</v>
      </c>
      <c r="H104" t="str">
        <f>TRIM(SUBSTITUTE(SUBSTITUTE(E104, LEFT(E104, FIND("components/", E104)-1), ""), "`", ""))</f>
        <v>components/payments/index.ts</v>
      </c>
    </row>
    <row r="105" spans="4:8" x14ac:dyDescent="0.55000000000000004">
      <c r="D105">
        <v>1</v>
      </c>
      <c r="E105" t="s">
        <v>1033</v>
      </c>
      <c r="G105">
        <f t="shared" si="3"/>
        <v>104</v>
      </c>
      <c r="H105" t="str">
        <f>TRIM(SUBSTITUTE(SUBSTITUTE(E105, LEFT(E105, FIND("hooks/", E105)-1), ""), "`", ""))</f>
        <v>hooks/use-alerts.ts</v>
      </c>
    </row>
    <row r="106" spans="4:8" x14ac:dyDescent="0.55000000000000004">
      <c r="D106">
        <v>2</v>
      </c>
      <c r="E106" t="s">
        <v>1034</v>
      </c>
      <c r="G106">
        <f t="shared" si="3"/>
        <v>105</v>
      </c>
      <c r="H106" t="str">
        <f t="shared" ref="H106:H112" si="4">TRIM(SUBSTITUTE(SUBSTITUTE(E106, LEFT(E106, FIND("hooks/", E106)-1), ""), "`", ""))</f>
        <v>hooks/use-auth.ts</v>
      </c>
    </row>
    <row r="107" spans="4:8" x14ac:dyDescent="0.55000000000000004">
      <c r="D107">
        <v>3</v>
      </c>
      <c r="E107" t="s">
        <v>1035</v>
      </c>
      <c r="G107">
        <f t="shared" si="3"/>
        <v>106</v>
      </c>
      <c r="H107" t="str">
        <f t="shared" si="4"/>
        <v>hooks/use-indicators.ts</v>
      </c>
    </row>
    <row r="108" spans="4:8" x14ac:dyDescent="0.55000000000000004">
      <c r="D108">
        <v>4</v>
      </c>
      <c r="E108" t="s">
        <v>1036</v>
      </c>
      <c r="G108">
        <f t="shared" si="3"/>
        <v>107</v>
      </c>
      <c r="H108" t="str">
        <f t="shared" si="4"/>
        <v>hooks/use-login-tracking.ts</v>
      </c>
    </row>
    <row r="109" spans="4:8" x14ac:dyDescent="0.55000000000000004">
      <c r="D109">
        <v>5</v>
      </c>
      <c r="E109" t="s">
        <v>1037</v>
      </c>
      <c r="G109">
        <f t="shared" si="3"/>
        <v>108</v>
      </c>
      <c r="H109" t="str">
        <f t="shared" si="4"/>
        <v>hooks/use-optimistic-mutation.ts</v>
      </c>
    </row>
    <row r="110" spans="4:8" x14ac:dyDescent="0.55000000000000004">
      <c r="D110">
        <v>6</v>
      </c>
      <c r="E110" t="s">
        <v>1038</v>
      </c>
      <c r="G110">
        <f t="shared" si="3"/>
        <v>109</v>
      </c>
      <c r="H110" t="str">
        <f t="shared" si="4"/>
        <v>hooks/use-toast.ts</v>
      </c>
    </row>
    <row r="111" spans="4:8" x14ac:dyDescent="0.55000000000000004">
      <c r="D111">
        <v>7</v>
      </c>
      <c r="E111" t="s">
        <v>1039</v>
      </c>
      <c r="G111">
        <f t="shared" si="3"/>
        <v>110</v>
      </c>
      <c r="H111" t="str">
        <f t="shared" si="4"/>
        <v>hooks/use-watchlist.ts</v>
      </c>
    </row>
    <row r="112" spans="4:8" x14ac:dyDescent="0.55000000000000004">
      <c r="D112">
        <v>8</v>
      </c>
      <c r="E112" t="s">
        <v>1040</v>
      </c>
      <c r="G112">
        <f t="shared" si="3"/>
        <v>111</v>
      </c>
      <c r="H112" t="str">
        <f t="shared" si="4"/>
        <v>hooks/use-websocket.ts</v>
      </c>
    </row>
    <row r="113" spans="4:8" x14ac:dyDescent="0.55000000000000004">
      <c r="D113">
        <v>1</v>
      </c>
      <c r="E113" t="s">
        <v>1041</v>
      </c>
      <c r="G113">
        <f t="shared" si="3"/>
        <v>112</v>
      </c>
      <c r="H113" t="str">
        <f>TRIM(SUBSTITUTE(SUBSTITUTE(E113, LEFT(E113, FIND("lib/", E113)-1), ""), "`", ""))</f>
        <v>lib/admin/affiliate-management.ts</v>
      </c>
    </row>
    <row r="114" spans="4:8" x14ac:dyDescent="0.55000000000000004">
      <c r="D114">
        <v>2</v>
      </c>
      <c r="E114" t="s">
        <v>1042</v>
      </c>
      <c r="G114">
        <f t="shared" si="3"/>
        <v>113</v>
      </c>
      <c r="H114" t="str">
        <f t="shared" ref="H114:H177" si="5">TRIM(SUBSTITUTE(SUBSTITUTE(E114, LEFT(E114, FIND("lib/", E114)-1), ""), "`", ""))</f>
        <v>lib/admin/code-distribution.ts</v>
      </c>
    </row>
    <row r="115" spans="4:8" x14ac:dyDescent="0.55000000000000004">
      <c r="D115">
        <v>3</v>
      </c>
      <c r="E115" t="s">
        <v>1043</v>
      </c>
      <c r="G115">
        <f t="shared" si="3"/>
        <v>114</v>
      </c>
      <c r="H115" t="str">
        <f t="shared" si="5"/>
        <v>lib/admin/pnl-calculator.ts</v>
      </c>
    </row>
    <row r="116" spans="4:8" x14ac:dyDescent="0.55000000000000004">
      <c r="D116">
        <v>4</v>
      </c>
      <c r="E116" t="s">
        <v>1044</v>
      </c>
      <c r="G116">
        <f t="shared" si="3"/>
        <v>115</v>
      </c>
      <c r="H116" t="str">
        <f t="shared" si="5"/>
        <v>lib/affiliate/code-generator.ts</v>
      </c>
    </row>
    <row r="117" spans="4:8" x14ac:dyDescent="0.55000000000000004">
      <c r="D117">
        <v>5</v>
      </c>
      <c r="E117" t="s">
        <v>1045</v>
      </c>
      <c r="G117">
        <f t="shared" si="3"/>
        <v>116</v>
      </c>
      <c r="H117" t="str">
        <f t="shared" si="5"/>
        <v>lib/affiliate/commission-calculator.ts</v>
      </c>
    </row>
    <row r="118" spans="4:8" x14ac:dyDescent="0.55000000000000004">
      <c r="D118">
        <v>6</v>
      </c>
      <c r="E118" t="s">
        <v>1046</v>
      </c>
      <c r="G118">
        <f t="shared" si="3"/>
        <v>117</v>
      </c>
      <c r="H118" t="str">
        <f t="shared" si="5"/>
        <v>lib/affiliate/constants.ts</v>
      </c>
    </row>
    <row r="119" spans="4:8" x14ac:dyDescent="0.55000000000000004">
      <c r="D119">
        <v>7</v>
      </c>
      <c r="E119" t="s">
        <v>1047</v>
      </c>
      <c r="G119">
        <f t="shared" si="3"/>
        <v>118</v>
      </c>
      <c r="H119" t="str">
        <f t="shared" si="5"/>
        <v>lib/affiliate/registration.ts</v>
      </c>
    </row>
    <row r="120" spans="4:8" x14ac:dyDescent="0.55000000000000004">
      <c r="D120">
        <v>8</v>
      </c>
      <c r="E120" t="s">
        <v>1048</v>
      </c>
      <c r="G120">
        <f t="shared" si="3"/>
        <v>119</v>
      </c>
      <c r="H120" t="str">
        <f t="shared" si="5"/>
        <v>lib/affiliate/report-builder.ts</v>
      </c>
    </row>
    <row r="121" spans="4:8" x14ac:dyDescent="0.55000000000000004">
      <c r="D121">
        <v>9</v>
      </c>
      <c r="E121" t="s">
        <v>1049</v>
      </c>
      <c r="G121">
        <f t="shared" si="3"/>
        <v>120</v>
      </c>
      <c r="H121" t="str">
        <f t="shared" si="5"/>
        <v>lib/affiliate/types.ts</v>
      </c>
    </row>
    <row r="122" spans="4:8" x14ac:dyDescent="0.55000000000000004">
      <c r="D122">
        <v>10</v>
      </c>
      <c r="E122" t="s">
        <v>1050</v>
      </c>
      <c r="G122">
        <f t="shared" si="3"/>
        <v>121</v>
      </c>
      <c r="H122" t="str">
        <f t="shared" si="5"/>
        <v>lib/affiliate/validators.ts</v>
      </c>
    </row>
    <row r="123" spans="4:8" x14ac:dyDescent="0.55000000000000004">
      <c r="D123">
        <v>11</v>
      </c>
      <c r="E123" t="s">
        <v>1051</v>
      </c>
      <c r="G123">
        <f t="shared" si="3"/>
        <v>122</v>
      </c>
      <c r="H123" t="str">
        <f t="shared" si="5"/>
        <v>lib/api/index.ts</v>
      </c>
    </row>
    <row r="124" spans="4:8" x14ac:dyDescent="0.55000000000000004">
      <c r="D124">
        <v>12</v>
      </c>
      <c r="E124" t="s">
        <v>1052</v>
      </c>
      <c r="G124">
        <f t="shared" si="3"/>
        <v>123</v>
      </c>
      <c r="H124" t="str">
        <f t="shared" si="5"/>
        <v>lib/api/mt5-client.ts</v>
      </c>
    </row>
    <row r="125" spans="4:8" x14ac:dyDescent="0.55000000000000004">
      <c r="D125">
        <v>13</v>
      </c>
      <c r="E125" t="s">
        <v>1053</v>
      </c>
      <c r="G125">
        <f t="shared" si="3"/>
        <v>124</v>
      </c>
      <c r="H125" t="str">
        <f t="shared" si="5"/>
        <v>lib/api/mt5-transform.ts</v>
      </c>
    </row>
    <row r="126" spans="4:8" x14ac:dyDescent="0.55000000000000004">
      <c r="D126">
        <v>14</v>
      </c>
      <c r="E126" t="s">
        <v>1054</v>
      </c>
      <c r="G126">
        <f t="shared" si="3"/>
        <v>125</v>
      </c>
      <c r="H126" t="str">
        <f t="shared" si="5"/>
        <v>lib/auth/auth-options.ts</v>
      </c>
    </row>
    <row r="127" spans="4:8" x14ac:dyDescent="0.55000000000000004">
      <c r="D127">
        <v>15</v>
      </c>
      <c r="E127" t="s">
        <v>1055</v>
      </c>
      <c r="G127">
        <f t="shared" si="3"/>
        <v>126</v>
      </c>
      <c r="H127" t="str">
        <f t="shared" si="5"/>
        <v>lib/auth/errors.ts</v>
      </c>
    </row>
    <row r="128" spans="4:8" x14ac:dyDescent="0.55000000000000004">
      <c r="D128">
        <v>16</v>
      </c>
      <c r="E128" t="s">
        <v>1056</v>
      </c>
      <c r="G128">
        <f t="shared" si="3"/>
        <v>127</v>
      </c>
      <c r="H128" t="str">
        <f t="shared" si="5"/>
        <v>lib/auth/permissions.ts</v>
      </c>
    </row>
    <row r="129" spans="4:8" x14ac:dyDescent="0.55000000000000004">
      <c r="D129">
        <v>17</v>
      </c>
      <c r="E129" t="s">
        <v>1057</v>
      </c>
      <c r="G129">
        <f t="shared" si="3"/>
        <v>128</v>
      </c>
      <c r="H129" t="str">
        <f t="shared" si="5"/>
        <v>lib/auth/session-tracker.ts</v>
      </c>
    </row>
    <row r="130" spans="4:8" x14ac:dyDescent="0.55000000000000004">
      <c r="D130">
        <v>18</v>
      </c>
      <c r="E130" t="s">
        <v>1058</v>
      </c>
      <c r="G130">
        <f t="shared" si="3"/>
        <v>129</v>
      </c>
      <c r="H130" t="str">
        <f t="shared" si="5"/>
        <v>lib/auth/session.ts</v>
      </c>
    </row>
    <row r="131" spans="4:8" x14ac:dyDescent="0.55000000000000004">
      <c r="D131">
        <v>19</v>
      </c>
      <c r="E131" t="s">
        <v>1059</v>
      </c>
      <c r="G131">
        <f t="shared" si="3"/>
        <v>130</v>
      </c>
      <c r="H131" t="str">
        <f t="shared" si="5"/>
        <v>lib/auth/two-factor.ts</v>
      </c>
    </row>
    <row r="132" spans="4:8" x14ac:dyDescent="0.55000000000000004">
      <c r="D132">
        <v>20</v>
      </c>
      <c r="E132" t="s">
        <v>1060</v>
      </c>
      <c r="G132">
        <f t="shared" ref="G132:G195" si="6">G131+1</f>
        <v>131</v>
      </c>
      <c r="H132" t="str">
        <f t="shared" si="5"/>
        <v>lib/cache/cache-manager.ts</v>
      </c>
    </row>
    <row r="133" spans="4:8" x14ac:dyDescent="0.55000000000000004">
      <c r="D133">
        <v>21</v>
      </c>
      <c r="E133" t="s">
        <v>1061</v>
      </c>
      <c r="G133">
        <f t="shared" si="6"/>
        <v>132</v>
      </c>
      <c r="H133" t="str">
        <f t="shared" si="5"/>
        <v>lib/constants/business-rules.ts</v>
      </c>
    </row>
    <row r="134" spans="4:8" x14ac:dyDescent="0.55000000000000004">
      <c r="D134">
        <v>22</v>
      </c>
      <c r="E134" t="s">
        <v>1062</v>
      </c>
      <c r="G134">
        <f t="shared" si="6"/>
        <v>133</v>
      </c>
      <c r="H134" t="str">
        <f t="shared" si="5"/>
        <v>lib/cron/check-expiring-subscriptions.ts</v>
      </c>
    </row>
    <row r="135" spans="4:8" x14ac:dyDescent="0.55000000000000004">
      <c r="D135">
        <v>23</v>
      </c>
      <c r="E135" t="s">
        <v>1063</v>
      </c>
      <c r="G135">
        <f t="shared" si="6"/>
        <v>134</v>
      </c>
      <c r="H135" t="str">
        <f t="shared" si="5"/>
        <v>lib/cron/downgrade-expired-subscriptions.ts</v>
      </c>
    </row>
    <row r="136" spans="4:8" x14ac:dyDescent="0.55000000000000004">
      <c r="D136">
        <v>24</v>
      </c>
      <c r="E136" t="s">
        <v>1064</v>
      </c>
      <c r="G136">
        <f t="shared" si="6"/>
        <v>135</v>
      </c>
      <c r="H136" t="str">
        <f t="shared" si="5"/>
        <v>lib/cron/monthly-distribution.ts</v>
      </c>
    </row>
    <row r="137" spans="4:8" x14ac:dyDescent="0.55000000000000004">
      <c r="D137">
        <v>25</v>
      </c>
      <c r="E137" t="s">
        <v>1065</v>
      </c>
      <c r="G137">
        <f t="shared" si="6"/>
        <v>136</v>
      </c>
      <c r="H137" t="str">
        <f t="shared" si="5"/>
        <v>lib/db/prisma.ts</v>
      </c>
    </row>
    <row r="138" spans="4:8" x14ac:dyDescent="0.55000000000000004">
      <c r="D138">
        <v>26</v>
      </c>
      <c r="E138" t="s">
        <v>1066</v>
      </c>
      <c r="G138">
        <f t="shared" si="6"/>
        <v>137</v>
      </c>
      <c r="H138" t="str">
        <f t="shared" si="5"/>
        <v>lib/db/seed.ts</v>
      </c>
    </row>
    <row r="139" spans="4:8" x14ac:dyDescent="0.55000000000000004">
      <c r="D139">
        <v>27</v>
      </c>
      <c r="E139" t="s">
        <v>1067</v>
      </c>
      <c r="G139">
        <f t="shared" si="6"/>
        <v>138</v>
      </c>
      <c r="H139" t="str">
        <f t="shared" si="5"/>
        <v>lib/disbursement/constants.ts</v>
      </c>
    </row>
    <row r="140" spans="4:8" x14ac:dyDescent="0.55000000000000004">
      <c r="D140">
        <v>28</v>
      </c>
      <c r="E140" t="s">
        <v>1068</v>
      </c>
      <c r="G140">
        <f t="shared" si="6"/>
        <v>139</v>
      </c>
      <c r="H140" t="str">
        <f t="shared" si="5"/>
        <v>lib/disbursement/cron/disbursement-processor.ts</v>
      </c>
    </row>
    <row r="141" spans="4:8" x14ac:dyDescent="0.55000000000000004">
      <c r="D141">
        <v>29</v>
      </c>
      <c r="E141" t="s">
        <v>1069</v>
      </c>
      <c r="G141">
        <f t="shared" si="6"/>
        <v>140</v>
      </c>
      <c r="H141" t="str">
        <f t="shared" si="5"/>
        <v>lib/disbursement/providers/base-provider.ts</v>
      </c>
    </row>
    <row r="142" spans="4:8" x14ac:dyDescent="0.55000000000000004">
      <c r="D142">
        <v>30</v>
      </c>
      <c r="E142" t="s">
        <v>1070</v>
      </c>
      <c r="G142">
        <f t="shared" si="6"/>
        <v>141</v>
      </c>
      <c r="H142" t="str">
        <f t="shared" si="5"/>
        <v>lib/disbursement/providers/mock-provider.ts</v>
      </c>
    </row>
    <row r="143" spans="4:8" x14ac:dyDescent="0.55000000000000004">
      <c r="D143">
        <v>31</v>
      </c>
      <c r="E143" t="s">
        <v>1071</v>
      </c>
      <c r="G143">
        <f t="shared" si="6"/>
        <v>142</v>
      </c>
      <c r="H143" t="str">
        <f t="shared" si="5"/>
        <v>lib/disbursement/providers/provider-factory.ts</v>
      </c>
    </row>
    <row r="144" spans="4:8" x14ac:dyDescent="0.55000000000000004">
      <c r="D144">
        <v>32</v>
      </c>
      <c r="E144" t="s">
        <v>1072</v>
      </c>
      <c r="G144">
        <f t="shared" si="6"/>
        <v>143</v>
      </c>
      <c r="H144" t="str">
        <f t="shared" si="5"/>
        <v>lib/disbursement/providers/rise/amount-converter.ts</v>
      </c>
    </row>
    <row r="145" spans="4:8" x14ac:dyDescent="0.55000000000000004">
      <c r="D145">
        <v>33</v>
      </c>
      <c r="E145" t="s">
        <v>1073</v>
      </c>
      <c r="G145">
        <f t="shared" si="6"/>
        <v>144</v>
      </c>
      <c r="H145" t="str">
        <f t="shared" si="5"/>
        <v>lib/disbursement/providers/rise/rise-provider.ts</v>
      </c>
    </row>
    <row r="146" spans="4:8" x14ac:dyDescent="0.55000000000000004">
      <c r="D146">
        <v>34</v>
      </c>
      <c r="E146" t="s">
        <v>1074</v>
      </c>
      <c r="G146">
        <f t="shared" si="6"/>
        <v>145</v>
      </c>
      <c r="H146" t="str">
        <f t="shared" si="5"/>
        <v>lib/disbursement/providers/rise/siwe-auth.ts</v>
      </c>
    </row>
    <row r="147" spans="4:8" x14ac:dyDescent="0.55000000000000004">
      <c r="D147">
        <v>35</v>
      </c>
      <c r="E147" t="s">
        <v>1075</v>
      </c>
      <c r="G147">
        <f t="shared" si="6"/>
        <v>146</v>
      </c>
      <c r="H147" t="str">
        <f t="shared" si="5"/>
        <v>lib/disbursement/providers/rise/webhook-verifier.ts</v>
      </c>
    </row>
    <row r="148" spans="4:8" x14ac:dyDescent="0.55000000000000004">
      <c r="D148">
        <v>36</v>
      </c>
      <c r="E148" t="s">
        <v>1076</v>
      </c>
      <c r="G148">
        <f t="shared" si="6"/>
        <v>147</v>
      </c>
      <c r="H148" t="str">
        <f t="shared" si="5"/>
        <v>lib/disbursement/services/batch-manager.ts</v>
      </c>
    </row>
    <row r="149" spans="4:8" x14ac:dyDescent="0.55000000000000004">
      <c r="D149">
        <v>37</v>
      </c>
      <c r="E149" t="s">
        <v>1077</v>
      </c>
      <c r="G149">
        <f t="shared" si="6"/>
        <v>148</v>
      </c>
      <c r="H149" t="str">
        <f t="shared" si="5"/>
        <v>lib/disbursement/services/commission-aggregator.ts</v>
      </c>
    </row>
    <row r="150" spans="4:8" x14ac:dyDescent="0.55000000000000004">
      <c r="D150">
        <v>38</v>
      </c>
      <c r="E150" t="s">
        <v>1078</v>
      </c>
      <c r="G150">
        <f t="shared" si="6"/>
        <v>149</v>
      </c>
      <c r="H150" t="str">
        <f t="shared" si="5"/>
        <v>lib/disbursement/services/payment-orchestrator.ts</v>
      </c>
    </row>
    <row r="151" spans="4:8" x14ac:dyDescent="0.55000000000000004">
      <c r="D151">
        <v>39</v>
      </c>
      <c r="E151" t="s">
        <v>1079</v>
      </c>
      <c r="G151">
        <f t="shared" si="6"/>
        <v>150</v>
      </c>
      <c r="H151" t="str">
        <f t="shared" si="5"/>
        <v>lib/disbursement/services/payout-calculator.ts</v>
      </c>
    </row>
    <row r="152" spans="4:8" x14ac:dyDescent="0.55000000000000004">
      <c r="D152">
        <v>40</v>
      </c>
      <c r="E152" t="s">
        <v>1080</v>
      </c>
      <c r="G152">
        <f t="shared" si="6"/>
        <v>151</v>
      </c>
      <c r="H152" t="str">
        <f t="shared" si="5"/>
        <v>lib/disbursement/services/retry-handler.ts</v>
      </c>
    </row>
    <row r="153" spans="4:8" x14ac:dyDescent="0.55000000000000004">
      <c r="D153">
        <v>41</v>
      </c>
      <c r="E153" t="s">
        <v>1081</v>
      </c>
      <c r="G153">
        <f t="shared" si="6"/>
        <v>152</v>
      </c>
      <c r="H153" t="str">
        <f t="shared" si="5"/>
        <v>lib/disbursement/services/transaction-logger.ts</v>
      </c>
    </row>
    <row r="154" spans="4:8" x14ac:dyDescent="0.55000000000000004">
      <c r="D154">
        <v>42</v>
      </c>
      <c r="E154" t="s">
        <v>1082</v>
      </c>
      <c r="G154">
        <f t="shared" si="6"/>
        <v>153</v>
      </c>
      <c r="H154" t="str">
        <f t="shared" si="5"/>
        <v>lib/disbursement/services/transaction-service.ts</v>
      </c>
    </row>
    <row r="155" spans="4:8" x14ac:dyDescent="0.55000000000000004">
      <c r="D155">
        <v>43</v>
      </c>
      <c r="E155" t="s">
        <v>1083</v>
      </c>
      <c r="G155">
        <f t="shared" si="6"/>
        <v>154</v>
      </c>
      <c r="H155" t="str">
        <f t="shared" si="5"/>
        <v>lib/disbursement/webhook/event-processor.ts</v>
      </c>
    </row>
    <row r="156" spans="4:8" x14ac:dyDescent="0.55000000000000004">
      <c r="D156">
        <v>44</v>
      </c>
      <c r="E156" t="s">
        <v>1084</v>
      </c>
      <c r="G156">
        <f t="shared" si="6"/>
        <v>155</v>
      </c>
      <c r="H156" t="str">
        <f t="shared" si="5"/>
        <v>lib/dlocal/constants.ts</v>
      </c>
    </row>
    <row r="157" spans="4:8" x14ac:dyDescent="0.55000000000000004">
      <c r="D157">
        <v>45</v>
      </c>
      <c r="E157" t="s">
        <v>1085</v>
      </c>
      <c r="G157">
        <f t="shared" si="6"/>
        <v>156</v>
      </c>
      <c r="H157" t="str">
        <f t="shared" si="5"/>
        <v>lib/dlocal/currency-converter.service.ts</v>
      </c>
    </row>
    <row r="158" spans="4:8" x14ac:dyDescent="0.55000000000000004">
      <c r="D158">
        <v>46</v>
      </c>
      <c r="E158" t="s">
        <v>1086</v>
      </c>
      <c r="G158">
        <f t="shared" si="6"/>
        <v>157</v>
      </c>
      <c r="H158" t="str">
        <f t="shared" si="5"/>
        <v>lib/dlocal/dlocal-payment.service.ts</v>
      </c>
    </row>
    <row r="159" spans="4:8" x14ac:dyDescent="0.55000000000000004">
      <c r="D159">
        <v>47</v>
      </c>
      <c r="E159" t="s">
        <v>1087</v>
      </c>
      <c r="G159">
        <f t="shared" si="6"/>
        <v>158</v>
      </c>
      <c r="H159" t="str">
        <f t="shared" si="5"/>
        <v>lib/dlocal/payment-methods.service.ts</v>
      </c>
    </row>
    <row r="160" spans="4:8" x14ac:dyDescent="0.55000000000000004">
      <c r="D160">
        <v>48</v>
      </c>
      <c r="E160" t="s">
        <v>1088</v>
      </c>
      <c r="G160">
        <f t="shared" si="6"/>
        <v>159</v>
      </c>
      <c r="H160" t="str">
        <f t="shared" si="5"/>
        <v>lib/dlocal/three-day-validator.service.ts</v>
      </c>
    </row>
    <row r="161" spans="4:8" x14ac:dyDescent="0.55000000000000004">
      <c r="D161">
        <v>49</v>
      </c>
      <c r="E161" t="s">
        <v>1089</v>
      </c>
      <c r="G161">
        <f t="shared" si="6"/>
        <v>160</v>
      </c>
      <c r="H161" t="str">
        <f t="shared" si="5"/>
        <v>lib/email/email.ts</v>
      </c>
    </row>
    <row r="162" spans="4:8" x14ac:dyDescent="0.55000000000000004">
      <c r="D162">
        <v>50</v>
      </c>
      <c r="E162" t="s">
        <v>1090</v>
      </c>
      <c r="G162">
        <f t="shared" si="6"/>
        <v>161</v>
      </c>
      <c r="H162" t="str">
        <f t="shared" si="5"/>
        <v>lib/email/subscription-emails.ts</v>
      </c>
    </row>
    <row r="163" spans="4:8" x14ac:dyDescent="0.55000000000000004">
      <c r="D163">
        <v>51</v>
      </c>
      <c r="E163" t="s">
        <v>1091</v>
      </c>
      <c r="G163">
        <f t="shared" si="6"/>
        <v>162</v>
      </c>
      <c r="H163" t="str">
        <f t="shared" si="5"/>
        <v>lib/errors/api-error.ts</v>
      </c>
    </row>
    <row r="164" spans="4:8" x14ac:dyDescent="0.55000000000000004">
      <c r="D164">
        <v>52</v>
      </c>
      <c r="E164" t="s">
        <v>1092</v>
      </c>
      <c r="G164">
        <f t="shared" si="6"/>
        <v>163</v>
      </c>
      <c r="H164" t="str">
        <f t="shared" si="5"/>
        <v>lib/errors/error-handler.ts</v>
      </c>
    </row>
    <row r="165" spans="4:8" x14ac:dyDescent="0.55000000000000004">
      <c r="D165">
        <v>53</v>
      </c>
      <c r="E165" t="s">
        <v>1093</v>
      </c>
      <c r="G165">
        <f t="shared" si="6"/>
        <v>164</v>
      </c>
      <c r="H165" t="str">
        <f t="shared" si="5"/>
        <v>lib/errors/error-logger.ts</v>
      </c>
    </row>
    <row r="166" spans="4:8" x14ac:dyDescent="0.55000000000000004">
      <c r="D166">
        <v>54</v>
      </c>
      <c r="E166" t="s">
        <v>1094</v>
      </c>
      <c r="G166">
        <f t="shared" si="6"/>
        <v>165</v>
      </c>
      <c r="H166" t="str">
        <f t="shared" si="5"/>
        <v>lib/fraud/fraud-detection.service.ts</v>
      </c>
    </row>
    <row r="167" spans="4:8" x14ac:dyDescent="0.55000000000000004">
      <c r="D167">
        <v>55</v>
      </c>
      <c r="E167" t="s">
        <v>1095</v>
      </c>
      <c r="G167">
        <f t="shared" si="6"/>
        <v>166</v>
      </c>
      <c r="H167" t="str">
        <f t="shared" si="5"/>
        <v>lib/geo/detect-country.ts</v>
      </c>
    </row>
    <row r="168" spans="4:8" x14ac:dyDescent="0.55000000000000004">
      <c r="D168">
        <v>56</v>
      </c>
      <c r="E168" t="s">
        <v>1096</v>
      </c>
      <c r="G168">
        <f t="shared" si="6"/>
        <v>167</v>
      </c>
      <c r="H168" t="str">
        <f t="shared" si="5"/>
        <v>lib/hooks/useAffiliateConfig.ts</v>
      </c>
    </row>
    <row r="169" spans="4:8" x14ac:dyDescent="0.55000000000000004">
      <c r="D169">
        <v>57</v>
      </c>
      <c r="E169" t="s">
        <v>1097</v>
      </c>
      <c r="G169">
        <f t="shared" si="6"/>
        <v>168</v>
      </c>
      <c r="H169" t="str">
        <f t="shared" si="5"/>
        <v>lib/jobs/alert-checker.ts</v>
      </c>
    </row>
    <row r="170" spans="4:8" x14ac:dyDescent="0.55000000000000004">
      <c r="D170">
        <v>58</v>
      </c>
      <c r="E170" t="s">
        <v>1098</v>
      </c>
      <c r="G170">
        <f t="shared" si="6"/>
        <v>169</v>
      </c>
      <c r="H170" t="str">
        <f t="shared" si="5"/>
        <v>lib/jobs/queue.ts</v>
      </c>
    </row>
    <row r="171" spans="4:8" x14ac:dyDescent="0.55000000000000004">
      <c r="D171">
        <v>59</v>
      </c>
      <c r="E171" t="s">
        <v>1099</v>
      </c>
      <c r="G171">
        <f t="shared" si="6"/>
        <v>170</v>
      </c>
      <c r="H171" t="str">
        <f t="shared" si="5"/>
        <v>lib/monitoring/system-monitor.ts</v>
      </c>
    </row>
    <row r="172" spans="4:8" x14ac:dyDescent="0.55000000000000004">
      <c r="D172">
        <v>60</v>
      </c>
      <c r="E172" t="s">
        <v>1100</v>
      </c>
      <c r="G172">
        <f t="shared" si="6"/>
        <v>171</v>
      </c>
      <c r="H172" t="str">
        <f t="shared" si="5"/>
        <v>lib/preferences/defaults.ts</v>
      </c>
    </row>
    <row r="173" spans="4:8" x14ac:dyDescent="0.55000000000000004">
      <c r="D173">
        <v>61</v>
      </c>
      <c r="E173" t="s">
        <v>1101</v>
      </c>
      <c r="G173">
        <f t="shared" si="6"/>
        <v>172</v>
      </c>
      <c r="H173" t="str">
        <f t="shared" si="5"/>
        <v>lib/redis/client.ts</v>
      </c>
    </row>
    <row r="174" spans="4:8" x14ac:dyDescent="0.55000000000000004">
      <c r="D174">
        <v>62</v>
      </c>
      <c r="E174" t="s">
        <v>1102</v>
      </c>
      <c r="G174">
        <f t="shared" si="6"/>
        <v>173</v>
      </c>
      <c r="H174" t="str">
        <f t="shared" si="5"/>
        <v>lib/security/device-detection.ts</v>
      </c>
    </row>
    <row r="175" spans="4:8" x14ac:dyDescent="0.55000000000000004">
      <c r="D175">
        <v>63</v>
      </c>
      <c r="E175" t="s">
        <v>1103</v>
      </c>
      <c r="G175">
        <f t="shared" si="6"/>
        <v>174</v>
      </c>
      <c r="H175" t="str">
        <f t="shared" si="5"/>
        <v>lib/stripe/stripe.ts</v>
      </c>
    </row>
    <row r="176" spans="4:8" x14ac:dyDescent="0.55000000000000004">
      <c r="D176">
        <v>64</v>
      </c>
      <c r="E176" t="s">
        <v>1104</v>
      </c>
      <c r="G176">
        <f t="shared" si="6"/>
        <v>175</v>
      </c>
      <c r="H176" t="str">
        <f t="shared" si="5"/>
        <v>lib/stripe/webhook-handlers.ts</v>
      </c>
    </row>
    <row r="177" spans="4:8" x14ac:dyDescent="0.55000000000000004">
      <c r="D177">
        <v>65</v>
      </c>
      <c r="E177" t="s">
        <v>1105</v>
      </c>
      <c r="G177">
        <f t="shared" si="6"/>
        <v>176</v>
      </c>
      <c r="H177" t="str">
        <f t="shared" si="5"/>
        <v>lib/tier/__tests__/constants.test.ts</v>
      </c>
    </row>
    <row r="178" spans="4:8" x14ac:dyDescent="0.55000000000000004">
      <c r="D178">
        <v>66</v>
      </c>
      <c r="E178" t="s">
        <v>1106</v>
      </c>
      <c r="G178">
        <f t="shared" si="6"/>
        <v>177</v>
      </c>
      <c r="H178" t="str">
        <f t="shared" ref="H178:H199" si="7">TRIM(SUBSTITUTE(SUBSTITUTE(E178, LEFT(E178, FIND("lib/", E178)-1), ""), "`", ""))</f>
        <v>lib/tier/__tests__/validator.test.ts</v>
      </c>
    </row>
    <row r="179" spans="4:8" x14ac:dyDescent="0.55000000000000004">
      <c r="D179">
        <v>67</v>
      </c>
      <c r="E179" t="s">
        <v>1107</v>
      </c>
      <c r="G179">
        <f t="shared" si="6"/>
        <v>178</v>
      </c>
      <c r="H179" t="str">
        <f t="shared" si="7"/>
        <v>lib/tier/constants.ts</v>
      </c>
    </row>
    <row r="180" spans="4:8" x14ac:dyDescent="0.55000000000000004">
      <c r="D180">
        <v>68</v>
      </c>
      <c r="E180" t="s">
        <v>1108</v>
      </c>
      <c r="G180">
        <f t="shared" si="6"/>
        <v>179</v>
      </c>
      <c r="H180" t="str">
        <f t="shared" si="7"/>
        <v>lib/tier/index.ts</v>
      </c>
    </row>
    <row r="181" spans="4:8" x14ac:dyDescent="0.55000000000000004">
      <c r="D181">
        <v>69</v>
      </c>
      <c r="E181" t="s">
        <v>1109</v>
      </c>
      <c r="G181">
        <f t="shared" si="6"/>
        <v>180</v>
      </c>
      <c r="H181" t="str">
        <f t="shared" si="7"/>
        <v>lib/tier/validator.ts</v>
      </c>
    </row>
    <row r="182" spans="4:8" x14ac:dyDescent="0.55000000000000004">
      <c r="D182">
        <v>70</v>
      </c>
      <c r="E182" t="s">
        <v>1110</v>
      </c>
      <c r="G182">
        <f t="shared" si="6"/>
        <v>181</v>
      </c>
      <c r="H182" t="str">
        <f t="shared" si="7"/>
        <v>lib/utils/constants.ts</v>
      </c>
    </row>
    <row r="183" spans="4:8" x14ac:dyDescent="0.55000000000000004">
      <c r="D183">
        <v>71</v>
      </c>
      <c r="E183" t="s">
        <v>1111</v>
      </c>
      <c r="G183">
        <f t="shared" si="6"/>
        <v>182</v>
      </c>
      <c r="H183" t="str">
        <f t="shared" si="7"/>
        <v>lib/utils/formatters.ts</v>
      </c>
    </row>
    <row r="184" spans="4:8" x14ac:dyDescent="0.55000000000000004">
      <c r="D184">
        <v>72</v>
      </c>
      <c r="E184" t="s">
        <v>1112</v>
      </c>
      <c r="G184">
        <f t="shared" si="6"/>
        <v>183</v>
      </c>
      <c r="H184" t="str">
        <f t="shared" si="7"/>
        <v>lib/utils/helpers.ts</v>
      </c>
    </row>
    <row r="185" spans="4:8" x14ac:dyDescent="0.55000000000000004">
      <c r="D185">
        <v>73</v>
      </c>
      <c r="E185" t="s">
        <v>1113</v>
      </c>
      <c r="G185">
        <f t="shared" si="6"/>
        <v>184</v>
      </c>
      <c r="H185" t="str">
        <f t="shared" si="7"/>
        <v>lib/validations/alert.ts</v>
      </c>
    </row>
    <row r="186" spans="4:8" x14ac:dyDescent="0.55000000000000004">
      <c r="D186">
        <v>74</v>
      </c>
      <c r="E186" t="s">
        <v>1114</v>
      </c>
      <c r="G186">
        <f t="shared" si="6"/>
        <v>185</v>
      </c>
      <c r="H186" t="str">
        <f t="shared" si="7"/>
        <v>lib/validations/auth.ts</v>
      </c>
    </row>
    <row r="187" spans="4:8" x14ac:dyDescent="0.55000000000000004">
      <c r="D187">
        <v>75</v>
      </c>
      <c r="E187" t="s">
        <v>1115</v>
      </c>
      <c r="G187">
        <f t="shared" si="6"/>
        <v>186</v>
      </c>
      <c r="H187" t="str">
        <f t="shared" si="7"/>
        <v>lib/validations/user.ts</v>
      </c>
    </row>
    <row r="188" spans="4:8" x14ac:dyDescent="0.55000000000000004">
      <c r="D188">
        <v>76</v>
      </c>
      <c r="E188" t="s">
        <v>1116</v>
      </c>
      <c r="G188">
        <f t="shared" si="6"/>
        <v>187</v>
      </c>
      <c r="H188" t="str">
        <f t="shared" si="7"/>
        <v>lib/validations/watchlist.ts</v>
      </c>
    </row>
    <row r="189" spans="4:8" x14ac:dyDescent="0.55000000000000004">
      <c r="D189">
        <v>77</v>
      </c>
      <c r="E189" t="s">
        <v>1117</v>
      </c>
      <c r="G189">
        <f t="shared" si="6"/>
        <v>188</v>
      </c>
      <c r="H189" t="str">
        <f t="shared" si="7"/>
        <v>lib/websocket/server.ts</v>
      </c>
    </row>
    <row r="190" spans="4:8" x14ac:dyDescent="0.55000000000000004">
      <c r="D190">
        <v>78</v>
      </c>
      <c r="E190" t="s">
        <v>1118</v>
      </c>
      <c r="G190">
        <f t="shared" si="6"/>
        <v>189</v>
      </c>
      <c r="H190" t="str">
        <f t="shared" si="7"/>
        <v>lib/websocket/use-mt5-websocket.ts</v>
      </c>
    </row>
    <row r="191" spans="4:8" x14ac:dyDescent="0.55000000000000004">
      <c r="D191">
        <v>79</v>
      </c>
      <c r="E191" t="s">
        <v>1119</v>
      </c>
      <c r="G191">
        <f t="shared" si="6"/>
        <v>190</v>
      </c>
      <c r="H191" t="str">
        <f t="shared" si="7"/>
        <v>lib/candle-data-helpers.ts</v>
      </c>
    </row>
    <row r="192" spans="4:8" x14ac:dyDescent="0.55000000000000004">
      <c r="D192">
        <v>80</v>
      </c>
      <c r="E192" t="s">
        <v>1120</v>
      </c>
      <c r="G192">
        <f t="shared" si="6"/>
        <v>191</v>
      </c>
      <c r="H192" t="str">
        <f t="shared" si="7"/>
        <v>lib/csrf.ts</v>
      </c>
    </row>
    <row r="193" spans="4:8" x14ac:dyDescent="0.55000000000000004">
      <c r="D193">
        <v>81</v>
      </c>
      <c r="E193" t="s">
        <v>1121</v>
      </c>
      <c r="G193">
        <f t="shared" si="6"/>
        <v>192</v>
      </c>
      <c r="H193" t="str">
        <f t="shared" si="7"/>
        <v>lib/logger.ts</v>
      </c>
    </row>
    <row r="194" spans="4:8" x14ac:dyDescent="0.55000000000000004">
      <c r="D194">
        <v>82</v>
      </c>
      <c r="E194" t="s">
        <v>1122</v>
      </c>
      <c r="G194">
        <f t="shared" si="6"/>
        <v>193</v>
      </c>
      <c r="H194" t="str">
        <f t="shared" si="7"/>
        <v>lib/rate-limit.ts</v>
      </c>
    </row>
    <row r="195" spans="4:8" x14ac:dyDescent="0.55000000000000004">
      <c r="D195">
        <v>83</v>
      </c>
      <c r="E195" t="s">
        <v>1123</v>
      </c>
      <c r="G195">
        <f t="shared" si="6"/>
        <v>194</v>
      </c>
      <c r="H195" t="str">
        <f t="shared" si="7"/>
        <v>lib/tier-config.ts</v>
      </c>
    </row>
    <row r="196" spans="4:8" x14ac:dyDescent="0.55000000000000004">
      <c r="D196">
        <v>84</v>
      </c>
      <c r="E196" t="s">
        <v>1124</v>
      </c>
      <c r="G196">
        <f t="shared" ref="G196:G259" si="8">G195+1</f>
        <v>195</v>
      </c>
      <c r="H196" t="str">
        <f t="shared" si="7"/>
        <v>lib/tier-helpers.ts</v>
      </c>
    </row>
    <row r="197" spans="4:8" x14ac:dyDescent="0.55000000000000004">
      <c r="D197">
        <v>85</v>
      </c>
      <c r="E197" t="s">
        <v>1125</v>
      </c>
      <c r="G197">
        <f t="shared" si="8"/>
        <v>196</v>
      </c>
      <c r="H197" t="str">
        <f t="shared" si="7"/>
        <v>lib/tier-validation.ts</v>
      </c>
    </row>
    <row r="198" spans="4:8" x14ac:dyDescent="0.55000000000000004">
      <c r="D198">
        <v>86</v>
      </c>
      <c r="E198" t="s">
        <v>1126</v>
      </c>
      <c r="G198">
        <f t="shared" si="8"/>
        <v>197</v>
      </c>
      <c r="H198" t="str">
        <f t="shared" si="7"/>
        <v>lib/tokens.ts</v>
      </c>
    </row>
    <row r="199" spans="4:8" x14ac:dyDescent="0.55000000000000004">
      <c r="D199">
        <v>87</v>
      </c>
      <c r="E199" t="s">
        <v>1127</v>
      </c>
      <c r="G199">
        <f t="shared" si="8"/>
        <v>198</v>
      </c>
      <c r="H199" t="str">
        <f t="shared" si="7"/>
        <v>lib/utils.ts</v>
      </c>
    </row>
    <row r="200" spans="4:8" x14ac:dyDescent="0.55000000000000004">
      <c r="D200">
        <v>1</v>
      </c>
      <c r="E200" t="s">
        <v>1128</v>
      </c>
      <c r="G200">
        <f t="shared" si="8"/>
        <v>199</v>
      </c>
      <c r="H200" t="str">
        <f>TRIM(SUBSTITUTE(SUBSTITUTE(E200, LEFT(E200, FIND("prisma/", E200)-1), ""), "`", ""))</f>
        <v>prisma/migrations/20251227000000_init/migration.sql</v>
      </c>
    </row>
    <row r="201" spans="4:8" x14ac:dyDescent="0.55000000000000004">
      <c r="D201">
        <v>2</v>
      </c>
      <c r="E201" t="s">
        <v>1129</v>
      </c>
      <c r="G201">
        <f t="shared" si="8"/>
        <v>200</v>
      </c>
      <c r="H201" t="str">
        <f t="shared" ref="H201:H202" si="9">TRIM(SUBSTITUTE(SUBSTITUTE(E201, LEFT(E201, FIND("prisma/", E201)-1), ""), "`", ""))</f>
        <v>prisma/schema.prisma</v>
      </c>
    </row>
    <row r="202" spans="4:8" x14ac:dyDescent="0.55000000000000004">
      <c r="D202">
        <v>3</v>
      </c>
      <c r="E202" t="s">
        <v>1130</v>
      </c>
      <c r="G202">
        <f t="shared" si="8"/>
        <v>201</v>
      </c>
      <c r="H202" t="str">
        <f t="shared" si="9"/>
        <v>prisma/seed.ts</v>
      </c>
    </row>
    <row r="203" spans="4:8" x14ac:dyDescent="0.55000000000000004">
      <c r="D203">
        <v>1</v>
      </c>
      <c r="E203" t="s">
        <v>1131</v>
      </c>
      <c r="G203">
        <f t="shared" si="8"/>
        <v>202</v>
      </c>
      <c r="H203" t="str">
        <f>TRIM(SUBSTITUTE(SUBSTITUTE(E203, LEFT(E203, FIND("types/", E203)-1), ""), "`", ""))</f>
        <v>types/alert.ts</v>
      </c>
    </row>
    <row r="204" spans="4:8" x14ac:dyDescent="0.55000000000000004">
      <c r="D204">
        <v>2</v>
      </c>
      <c r="E204" t="s">
        <v>1132</v>
      </c>
      <c r="G204">
        <f t="shared" si="8"/>
        <v>203</v>
      </c>
      <c r="H204" t="str">
        <f t="shared" ref="H204:H214" si="10">TRIM(SUBSTITUTE(SUBSTITUTE(E204, LEFT(E204, FIND("types/", E204)-1), ""), "`", ""))</f>
        <v>types/api.ts</v>
      </c>
    </row>
    <row r="205" spans="4:8" x14ac:dyDescent="0.55000000000000004">
      <c r="D205">
        <v>3</v>
      </c>
      <c r="E205" t="s">
        <v>1133</v>
      </c>
      <c r="G205">
        <f t="shared" si="8"/>
        <v>204</v>
      </c>
      <c r="H205" t="str">
        <f t="shared" si="10"/>
        <v>types/disbursement.ts</v>
      </c>
    </row>
    <row r="206" spans="4:8" x14ac:dyDescent="0.55000000000000004">
      <c r="D206">
        <v>4</v>
      </c>
      <c r="E206" t="s">
        <v>1134</v>
      </c>
      <c r="G206">
        <f t="shared" si="8"/>
        <v>205</v>
      </c>
      <c r="H206" t="str">
        <f t="shared" si="10"/>
        <v>types/dlocal.ts</v>
      </c>
    </row>
    <row r="207" spans="4:8" x14ac:dyDescent="0.55000000000000004">
      <c r="D207">
        <v>5</v>
      </c>
      <c r="E207" t="s">
        <v>1135</v>
      </c>
      <c r="G207">
        <f t="shared" si="8"/>
        <v>206</v>
      </c>
      <c r="H207" t="str">
        <f t="shared" si="10"/>
        <v>types/index.ts</v>
      </c>
    </row>
    <row r="208" spans="4:8" x14ac:dyDescent="0.55000000000000004">
      <c r="D208">
        <v>6</v>
      </c>
      <c r="E208" t="s">
        <v>1136</v>
      </c>
      <c r="G208">
        <f t="shared" si="8"/>
        <v>207</v>
      </c>
      <c r="H208" t="str">
        <f t="shared" si="10"/>
        <v>types/indicator.ts</v>
      </c>
    </row>
    <row r="209" spans="4:8" x14ac:dyDescent="0.55000000000000004">
      <c r="D209">
        <v>7</v>
      </c>
      <c r="E209" t="s">
        <v>1137</v>
      </c>
      <c r="G209">
        <f t="shared" si="8"/>
        <v>208</v>
      </c>
      <c r="H209" t="str">
        <f t="shared" si="10"/>
        <v>types/next-auth.d.ts</v>
      </c>
    </row>
    <row r="210" spans="4:8" x14ac:dyDescent="0.55000000000000004">
      <c r="D210">
        <v>8</v>
      </c>
      <c r="E210" t="s">
        <v>1138</v>
      </c>
      <c r="G210">
        <f t="shared" si="8"/>
        <v>209</v>
      </c>
      <c r="H210" t="str">
        <f t="shared" si="10"/>
        <v>types/payment.ts</v>
      </c>
    </row>
    <row r="211" spans="4:8" x14ac:dyDescent="0.55000000000000004">
      <c r="D211">
        <v>9</v>
      </c>
      <c r="E211" t="s">
        <v>1139</v>
      </c>
      <c r="G211">
        <f t="shared" si="8"/>
        <v>210</v>
      </c>
      <c r="H211" t="str">
        <f t="shared" si="10"/>
        <v>types/prisma-stubs.d.ts</v>
      </c>
    </row>
    <row r="212" spans="4:8" x14ac:dyDescent="0.55000000000000004">
      <c r="D212">
        <v>10</v>
      </c>
      <c r="E212" t="s">
        <v>1140</v>
      </c>
      <c r="G212">
        <f t="shared" si="8"/>
        <v>211</v>
      </c>
      <c r="H212" t="str">
        <f t="shared" si="10"/>
        <v>types/tier.ts</v>
      </c>
    </row>
    <row r="213" spans="4:8" x14ac:dyDescent="0.55000000000000004">
      <c r="D213">
        <v>11</v>
      </c>
      <c r="E213" t="s">
        <v>1141</v>
      </c>
      <c r="G213">
        <f t="shared" si="8"/>
        <v>212</v>
      </c>
      <c r="H213" t="str">
        <f t="shared" si="10"/>
        <v>types/user.ts</v>
      </c>
    </row>
    <row r="214" spans="4:8" x14ac:dyDescent="0.55000000000000004">
      <c r="D214">
        <v>12</v>
      </c>
      <c r="E214" t="s">
        <v>1142</v>
      </c>
      <c r="G214">
        <f t="shared" si="8"/>
        <v>213</v>
      </c>
      <c r="H214" t="str">
        <f t="shared" si="10"/>
        <v>types/watchlist.ts</v>
      </c>
    </row>
    <row r="215" spans="4:8" x14ac:dyDescent="0.55000000000000004">
      <c r="D215">
        <v>1</v>
      </c>
      <c r="E215" t="s">
        <v>1143</v>
      </c>
      <c r="G215">
        <f t="shared" si="8"/>
        <v>214</v>
      </c>
      <c r="H215" t="str">
        <f>TRIM(SUBSTITUTE(SUBSTITUTE(E215, LEFT(E215, FIND("oauth/", E215)-1), ""), "`", ""))</f>
        <v>oauth/claude-code-oauth-integration-task.md</v>
      </c>
    </row>
    <row r="216" spans="4:8" x14ac:dyDescent="0.55000000000000004">
      <c r="D216">
        <v>2</v>
      </c>
      <c r="E216" t="s">
        <v>1144</v>
      </c>
      <c r="G216">
        <f t="shared" si="8"/>
        <v>215</v>
      </c>
      <c r="H216" t="str">
        <f t="shared" ref="H216:H217" si="11">TRIM(SUBSTITUTE(SUBSTITUTE(E216, LEFT(E216, FIND("oauth/", E216)-1), ""), "`", ""))</f>
        <v>oauth/google-oauth-implementation-guide.md</v>
      </c>
    </row>
    <row r="217" spans="4:8" x14ac:dyDescent="0.55000000000000004">
      <c r="D217">
        <v>3</v>
      </c>
      <c r="E217" t="s">
        <v>1145</v>
      </c>
      <c r="G217">
        <f t="shared" si="8"/>
        <v>216</v>
      </c>
      <c r="H217" t="str">
        <f t="shared" si="11"/>
        <v>oauth/oauth-decision-request.md</v>
      </c>
    </row>
    <row r="218" spans="4:8" x14ac:dyDescent="0.55000000000000004">
      <c r="D218">
        <v>1</v>
      </c>
      <c r="E218" t="s">
        <v>1146</v>
      </c>
      <c r="G218">
        <f t="shared" si="8"/>
        <v>217</v>
      </c>
      <c r="H218" t="str">
        <f>TRIM(SUBSTITUTE(SUBSTITUTE(E218, LEFT(E218, FIND("middleware/", E218)-1), ""), "`", ""))</f>
        <v>middleware/tier-check.ts</v>
      </c>
    </row>
    <row r="219" spans="4:8" x14ac:dyDescent="0.55000000000000004">
      <c r="D219">
        <v>1</v>
      </c>
      <c r="E219" t="s">
        <v>1147</v>
      </c>
      <c r="G219">
        <f t="shared" si="8"/>
        <v>218</v>
      </c>
      <c r="H219" t="str">
        <f>TRIM(SUBSTITUTE(SUBSTITUTE(E219, LEFT(E219, FIND("emails/", E219)-1), ""), "`", ""))</f>
        <v>emails/index.ts</v>
      </c>
    </row>
    <row r="220" spans="4:8" x14ac:dyDescent="0.55000000000000004">
      <c r="D220">
        <v>1</v>
      </c>
      <c r="E220" t="s">
        <v>1148</v>
      </c>
      <c r="G220">
        <f t="shared" si="8"/>
        <v>219</v>
      </c>
      <c r="H220" t="str">
        <f>TRIM(SUBSTITUTE(SUBSTITUTE(E220, LEFT(E220, FIND("__tests__/", E220)-1), ""), "`", ""))</f>
        <v>__tests__/api/admin-affiliates.test.ts</v>
      </c>
    </row>
    <row r="221" spans="4:8" x14ac:dyDescent="0.55000000000000004">
      <c r="D221">
        <v>2</v>
      </c>
      <c r="E221" t="s">
        <v>1149</v>
      </c>
      <c r="G221">
        <f t="shared" si="8"/>
        <v>220</v>
      </c>
      <c r="H221" t="str">
        <f t="shared" ref="H221:H284" si="12">TRIM(SUBSTITUTE(SUBSTITUTE(E221, LEFT(E221, FIND("__tests__/", E221)-1), ""), "`", ""))</f>
        <v>__tests__/api/admin-reports.test.ts</v>
      </c>
    </row>
    <row r="222" spans="4:8" x14ac:dyDescent="0.55000000000000004">
      <c r="D222">
        <v>3</v>
      </c>
      <c r="E222" t="s">
        <v>1150</v>
      </c>
      <c r="G222">
        <f t="shared" si="8"/>
        <v>221</v>
      </c>
      <c r="H222" t="str">
        <f t="shared" si="12"/>
        <v>__tests__/api/admin.test.ts</v>
      </c>
    </row>
    <row r="223" spans="4:8" x14ac:dyDescent="0.55000000000000004">
      <c r="D223">
        <v>4</v>
      </c>
      <c r="E223" t="s">
        <v>1151</v>
      </c>
      <c r="G223">
        <f t="shared" si="8"/>
        <v>222</v>
      </c>
      <c r="H223" t="str">
        <f t="shared" si="12"/>
        <v>__tests__/api/affiliate-conversion.test.ts</v>
      </c>
    </row>
    <row r="224" spans="4:8" x14ac:dyDescent="0.55000000000000004">
      <c r="D224">
        <v>5</v>
      </c>
      <c r="E224" t="s">
        <v>1152</v>
      </c>
      <c r="G224">
        <f t="shared" si="8"/>
        <v>223</v>
      </c>
      <c r="H224" t="str">
        <f t="shared" si="12"/>
        <v>__tests__/api/affiliate-dashboard.test.ts</v>
      </c>
    </row>
    <row r="225" spans="4:8" x14ac:dyDescent="0.55000000000000004">
      <c r="D225">
        <v>6</v>
      </c>
      <c r="E225" t="s">
        <v>1153</v>
      </c>
      <c r="G225">
        <f t="shared" si="8"/>
        <v>224</v>
      </c>
      <c r="H225" t="str">
        <f t="shared" si="12"/>
        <v>__tests__/api/affiliate-registration.test.ts</v>
      </c>
    </row>
    <row r="226" spans="4:8" x14ac:dyDescent="0.55000000000000004">
      <c r="D226">
        <v>7</v>
      </c>
      <c r="E226" t="s">
        <v>1154</v>
      </c>
      <c r="G226">
        <f t="shared" si="8"/>
        <v>225</v>
      </c>
      <c r="H226" t="str">
        <f t="shared" si="12"/>
        <v>__tests__/api/alerts.test.ts</v>
      </c>
    </row>
    <row r="227" spans="4:8" x14ac:dyDescent="0.55000000000000004">
      <c r="D227">
        <v>8</v>
      </c>
      <c r="E227" t="s">
        <v>1155</v>
      </c>
      <c r="G227">
        <f t="shared" si="8"/>
        <v>226</v>
      </c>
      <c r="H227" t="str">
        <f t="shared" si="12"/>
        <v>__tests__/api/notifications.test.ts</v>
      </c>
    </row>
    <row r="228" spans="4:8" x14ac:dyDescent="0.55000000000000004">
      <c r="D228">
        <v>9</v>
      </c>
      <c r="E228" t="s">
        <v>1156</v>
      </c>
      <c r="G228">
        <f t="shared" si="8"/>
        <v>227</v>
      </c>
      <c r="H228" t="str">
        <f t="shared" si="12"/>
        <v>__tests__/api/tier.test.ts</v>
      </c>
    </row>
    <row r="229" spans="4:8" x14ac:dyDescent="0.55000000000000004">
      <c r="D229">
        <v>10</v>
      </c>
      <c r="E229" t="s">
        <v>1157</v>
      </c>
      <c r="G229">
        <f t="shared" si="8"/>
        <v>228</v>
      </c>
      <c r="H229" t="str">
        <f t="shared" si="12"/>
        <v>__tests__/api/user.test.ts</v>
      </c>
    </row>
    <row r="230" spans="4:8" x14ac:dyDescent="0.55000000000000004">
      <c r="D230">
        <v>11</v>
      </c>
      <c r="E230" t="s">
        <v>1158</v>
      </c>
      <c r="G230">
        <f t="shared" si="8"/>
        <v>229</v>
      </c>
      <c r="H230" t="str">
        <f t="shared" si="12"/>
        <v>__tests__/api/watchlist.test.ts</v>
      </c>
    </row>
    <row r="231" spans="4:8" x14ac:dyDescent="0.55000000000000004">
      <c r="D231">
        <v>12</v>
      </c>
      <c r="E231" t="s">
        <v>1159</v>
      </c>
      <c r="G231">
        <f t="shared" si="8"/>
        <v>230</v>
      </c>
      <c r="H231" t="str">
        <f t="shared" si="12"/>
        <v>__tests__/api/cron-jobs.test.ts</v>
      </c>
    </row>
    <row r="232" spans="4:8" x14ac:dyDescent="0.55000000000000004">
      <c r="D232">
        <v>13</v>
      </c>
      <c r="E232" t="s">
        <v>1160</v>
      </c>
      <c r="G232">
        <f t="shared" si="8"/>
        <v>231</v>
      </c>
      <c r="H232" t="str">
        <f t="shared" si="12"/>
        <v>__tests__/api/cron/process-pending.test.ts</v>
      </c>
    </row>
    <row r="233" spans="4:8" x14ac:dyDescent="0.55000000000000004">
      <c r="D233">
        <v>14</v>
      </c>
      <c r="E233" t="s">
        <v>1161</v>
      </c>
      <c r="G233">
        <f t="shared" si="8"/>
        <v>232</v>
      </c>
      <c r="H233" t="str">
        <f t="shared" si="12"/>
        <v>__tests__/api/disbursement/affiliates.test.ts</v>
      </c>
    </row>
    <row r="234" spans="4:8" x14ac:dyDescent="0.55000000000000004">
      <c r="D234">
        <v>15</v>
      </c>
      <c r="E234" t="s">
        <v>1162</v>
      </c>
      <c r="G234">
        <f t="shared" si="8"/>
        <v>233</v>
      </c>
      <c r="H234" t="str">
        <f t="shared" si="12"/>
        <v>__tests__/api/disbursement/audit.test.ts</v>
      </c>
    </row>
    <row r="235" spans="4:8" x14ac:dyDescent="0.55000000000000004">
      <c r="D235">
        <v>16</v>
      </c>
      <c r="E235" t="s">
        <v>1163</v>
      </c>
      <c r="G235">
        <f t="shared" si="8"/>
        <v>234</v>
      </c>
      <c r="H235" t="str">
        <f t="shared" si="12"/>
        <v>__tests__/api/disbursement/batches.test.ts</v>
      </c>
    </row>
    <row r="236" spans="4:8" x14ac:dyDescent="0.55000000000000004">
      <c r="D236">
        <v>17</v>
      </c>
      <c r="E236" t="s">
        <v>1164</v>
      </c>
      <c r="G236">
        <f t="shared" si="8"/>
        <v>235</v>
      </c>
      <c r="H236" t="str">
        <f t="shared" si="12"/>
        <v>__tests__/api/disbursement/execute.test.ts</v>
      </c>
    </row>
    <row r="237" spans="4:8" x14ac:dyDescent="0.55000000000000004">
      <c r="D237">
        <v>18</v>
      </c>
      <c r="E237" t="s">
        <v>1165</v>
      </c>
      <c r="G237">
        <f t="shared" si="8"/>
        <v>236</v>
      </c>
      <c r="H237" t="str">
        <f t="shared" si="12"/>
        <v>__tests__/api/disbursement/health.test.ts</v>
      </c>
    </row>
    <row r="238" spans="4:8" x14ac:dyDescent="0.55000000000000004">
      <c r="D238">
        <v>19</v>
      </c>
      <c r="E238" t="s">
        <v>1166</v>
      </c>
      <c r="G238">
        <f t="shared" si="8"/>
        <v>237</v>
      </c>
      <c r="H238" t="str">
        <f t="shared" si="12"/>
        <v>__tests__/api/disbursement/pay.test.ts</v>
      </c>
    </row>
    <row r="239" spans="4:8" x14ac:dyDescent="0.55000000000000004">
      <c r="D239">
        <v>20</v>
      </c>
      <c r="E239" t="s">
        <v>1167</v>
      </c>
      <c r="G239">
        <f t="shared" si="8"/>
        <v>238</v>
      </c>
      <c r="H239" t="str">
        <f t="shared" si="12"/>
        <v>__tests__/api/disbursement/reports.test.ts</v>
      </c>
    </row>
    <row r="240" spans="4:8" x14ac:dyDescent="0.55000000000000004">
      <c r="D240">
        <v>21</v>
      </c>
      <c r="E240" t="s">
        <v>1168</v>
      </c>
      <c r="G240">
        <f t="shared" si="8"/>
        <v>239</v>
      </c>
      <c r="H240" t="str">
        <f t="shared" si="12"/>
        <v>__tests__/api/webhooks/dlocal/route.test.ts</v>
      </c>
    </row>
    <row r="241" spans="4:8" x14ac:dyDescent="0.55000000000000004">
      <c r="D241">
        <v>22</v>
      </c>
      <c r="E241" t="s">
        <v>1169</v>
      </c>
      <c r="G241">
        <f t="shared" si="8"/>
        <v>240</v>
      </c>
      <c r="H241" t="str">
        <f t="shared" si="12"/>
        <v>__tests__/api/webhooks/riseworks.test.ts</v>
      </c>
    </row>
    <row r="242" spans="4:8" x14ac:dyDescent="0.55000000000000004">
      <c r="D242">
        <v>23</v>
      </c>
      <c r="E242" t="s">
        <v>1170</v>
      </c>
      <c r="G242">
        <f t="shared" si="8"/>
        <v>241</v>
      </c>
      <c r="H242" t="str">
        <f t="shared" si="12"/>
        <v>__tests__/e2e/dlocal-payment-flow.test.ts</v>
      </c>
    </row>
    <row r="243" spans="4:8" x14ac:dyDescent="0.55000000000000004">
      <c r="D243">
        <v>24</v>
      </c>
      <c r="E243" t="s">
        <v>1171</v>
      </c>
      <c r="G243">
        <f t="shared" si="8"/>
        <v>242</v>
      </c>
      <c r="H243" t="str">
        <f t="shared" si="12"/>
        <v>__tests__/helpers/supertest-setup.ts</v>
      </c>
    </row>
    <row r="244" spans="4:8" x14ac:dyDescent="0.55000000000000004">
      <c r="D244">
        <v>25</v>
      </c>
      <c r="E244" t="s">
        <v>1172</v>
      </c>
      <c r="G244">
        <f t="shared" si="8"/>
        <v>243</v>
      </c>
      <c r="H244" t="str">
        <f t="shared" si="12"/>
        <v>__tests__/hooks/use-toast.test.ts</v>
      </c>
    </row>
    <row r="245" spans="4:8" x14ac:dyDescent="0.55000000000000004">
      <c r="D245">
        <v>26</v>
      </c>
      <c r="E245" t="s">
        <v>1173</v>
      </c>
      <c r="G245">
        <f t="shared" si="8"/>
        <v>244</v>
      </c>
      <c r="H245" t="str">
        <f t="shared" si="12"/>
        <v>__tests__/hooks/use-websocket.test.ts</v>
      </c>
    </row>
    <row r="246" spans="4:8" x14ac:dyDescent="0.55000000000000004">
      <c r="D246">
        <v>27</v>
      </c>
      <c r="E246" t="s">
        <v>1174</v>
      </c>
      <c r="G246">
        <f t="shared" si="8"/>
        <v>245</v>
      </c>
      <c r="H246" t="str">
        <f t="shared" si="12"/>
        <v>__tests__/integration/api-client-workflow.test.ts</v>
      </c>
    </row>
    <row r="247" spans="4:8" x14ac:dyDescent="0.55000000000000004">
      <c r="D247">
        <v>28</v>
      </c>
      <c r="E247" t="s">
        <v>1175</v>
      </c>
      <c r="G247">
        <f t="shared" si="8"/>
        <v>246</v>
      </c>
      <c r="H247" t="str">
        <f t="shared" si="12"/>
        <v>__tests__/integration/auth-email-flow.test.ts</v>
      </c>
    </row>
    <row r="248" spans="4:8" x14ac:dyDescent="0.55000000000000004">
      <c r="D248">
        <v>29</v>
      </c>
      <c r="E248" t="s">
        <v>1176</v>
      </c>
      <c r="G248">
        <f t="shared" si="8"/>
        <v>247</v>
      </c>
      <c r="H248" t="str">
        <f t="shared" si="12"/>
        <v>__tests__/integration/payment-creation.test.ts</v>
      </c>
    </row>
    <row r="249" spans="4:8" x14ac:dyDescent="0.55000000000000004">
      <c r="D249">
        <v>30</v>
      </c>
      <c r="E249" t="s">
        <v>1177</v>
      </c>
      <c r="G249">
        <f t="shared" si="8"/>
        <v>248</v>
      </c>
      <c r="H249" t="str">
        <f t="shared" si="12"/>
        <v>__tests__/integration/tier1-workflows.test.ts</v>
      </c>
    </row>
    <row r="250" spans="4:8" x14ac:dyDescent="0.55000000000000004">
      <c r="D250">
        <v>31</v>
      </c>
      <c r="E250" t="s">
        <v>1178</v>
      </c>
      <c r="G250">
        <f t="shared" si="8"/>
        <v>249</v>
      </c>
      <c r="H250" t="str">
        <f t="shared" si="12"/>
        <v>__tests__/integration/tier2-workflows.test.ts</v>
      </c>
    </row>
    <row r="251" spans="4:8" x14ac:dyDescent="0.55000000000000004">
      <c r="D251">
        <v>32</v>
      </c>
      <c r="E251" t="s">
        <v>1179</v>
      </c>
      <c r="G251">
        <f t="shared" si="8"/>
        <v>250</v>
      </c>
      <c r="H251" t="str">
        <f t="shared" si="12"/>
        <v>__tests__/integration/user-registration-flow.test.ts</v>
      </c>
    </row>
    <row r="252" spans="4:8" x14ac:dyDescent="0.55000000000000004">
      <c r="D252">
        <v>33</v>
      </c>
      <c r="E252" t="s">
        <v>1180</v>
      </c>
      <c r="G252">
        <f t="shared" si="8"/>
        <v>251</v>
      </c>
      <c r="H252" t="str">
        <f t="shared" si="12"/>
        <v>__tests__/integration/watchlist-management-flow.test.ts</v>
      </c>
    </row>
    <row r="253" spans="4:8" x14ac:dyDescent="0.55000000000000004">
      <c r="D253">
        <v>34</v>
      </c>
      <c r="E253" t="s">
        <v>1181</v>
      </c>
      <c r="G253">
        <f t="shared" si="8"/>
        <v>252</v>
      </c>
      <c r="H253" t="str">
        <f t="shared" si="12"/>
        <v>__tests__/lib/admin/affiliate-management.test.ts</v>
      </c>
    </row>
    <row r="254" spans="4:8" x14ac:dyDescent="0.55000000000000004">
      <c r="D254">
        <v>35</v>
      </c>
      <c r="E254" t="s">
        <v>1182</v>
      </c>
      <c r="G254">
        <f t="shared" si="8"/>
        <v>253</v>
      </c>
      <c r="H254" t="str">
        <f t="shared" si="12"/>
        <v>__tests__/lib/admin/code-distribution.test.ts</v>
      </c>
    </row>
    <row r="255" spans="4:8" x14ac:dyDescent="0.55000000000000004">
      <c r="D255">
        <v>36</v>
      </c>
      <c r="E255" t="s">
        <v>1183</v>
      </c>
      <c r="G255">
        <f t="shared" si="8"/>
        <v>254</v>
      </c>
      <c r="H255" t="str">
        <f t="shared" si="12"/>
        <v>__tests__/lib/admin/pnl-calculator.test.ts</v>
      </c>
    </row>
    <row r="256" spans="4:8" x14ac:dyDescent="0.55000000000000004">
      <c r="D256">
        <v>37</v>
      </c>
      <c r="E256" t="s">
        <v>1184</v>
      </c>
      <c r="G256">
        <f t="shared" si="8"/>
        <v>255</v>
      </c>
      <c r="H256" t="str">
        <f t="shared" si="12"/>
        <v>__tests__/lib/affiliate/code-generator.test.ts</v>
      </c>
    </row>
    <row r="257" spans="4:8" x14ac:dyDescent="0.55000000000000004">
      <c r="D257">
        <v>38</v>
      </c>
      <c r="E257" t="s">
        <v>1185</v>
      </c>
      <c r="G257">
        <f t="shared" si="8"/>
        <v>256</v>
      </c>
      <c r="H257" t="str">
        <f t="shared" si="12"/>
        <v>__tests__/lib/affiliate/commission-calculator.test.ts</v>
      </c>
    </row>
    <row r="258" spans="4:8" x14ac:dyDescent="0.55000000000000004">
      <c r="D258">
        <v>39</v>
      </c>
      <c r="E258" t="s">
        <v>1186</v>
      </c>
      <c r="G258">
        <f t="shared" si="8"/>
        <v>257</v>
      </c>
      <c r="H258" t="str">
        <f t="shared" si="12"/>
        <v>__tests__/lib/affiliate/registration.test.ts</v>
      </c>
    </row>
    <row r="259" spans="4:8" x14ac:dyDescent="0.55000000000000004">
      <c r="D259">
        <v>40</v>
      </c>
      <c r="E259" t="s">
        <v>1187</v>
      </c>
      <c r="G259">
        <f t="shared" si="8"/>
        <v>258</v>
      </c>
      <c r="H259" t="str">
        <f t="shared" si="12"/>
        <v>__tests__/lib/api/stack-a-client.test.ts</v>
      </c>
    </row>
    <row r="260" spans="4:8" x14ac:dyDescent="0.55000000000000004">
      <c r="D260">
        <v>41</v>
      </c>
      <c r="E260" t="s">
        <v>1188</v>
      </c>
      <c r="G260">
        <f t="shared" ref="G260:G303" si="13">G259+1</f>
        <v>259</v>
      </c>
      <c r="H260" t="str">
        <f t="shared" si="12"/>
        <v>__tests__/lib/api/stack-b-client.test.ts</v>
      </c>
    </row>
    <row r="261" spans="4:8" x14ac:dyDescent="0.55000000000000004">
      <c r="D261">
        <v>42</v>
      </c>
      <c r="E261" t="s">
        <v>1189</v>
      </c>
      <c r="G261">
        <f t="shared" si="13"/>
        <v>260</v>
      </c>
      <c r="H261" t="str">
        <f t="shared" si="12"/>
        <v>__tests__/lib/auth/errors.test.ts</v>
      </c>
    </row>
    <row r="262" spans="4:8" x14ac:dyDescent="0.55000000000000004">
      <c r="D262">
        <v>43</v>
      </c>
      <c r="E262" t="s">
        <v>1190</v>
      </c>
      <c r="G262">
        <f t="shared" si="13"/>
        <v>261</v>
      </c>
      <c r="H262" t="str">
        <f t="shared" si="12"/>
        <v>__tests__/lib/auth/permissions.test.ts</v>
      </c>
    </row>
    <row r="263" spans="4:8" x14ac:dyDescent="0.55000000000000004">
      <c r="D263">
        <v>44</v>
      </c>
      <c r="E263" t="s">
        <v>1191</v>
      </c>
      <c r="G263">
        <f t="shared" si="13"/>
        <v>262</v>
      </c>
      <c r="H263" t="str">
        <f t="shared" si="12"/>
        <v>__tests__/lib/auth/session.test.ts</v>
      </c>
    </row>
    <row r="264" spans="4:8" x14ac:dyDescent="0.55000000000000004">
      <c r="D264">
        <v>45</v>
      </c>
      <c r="E264" t="s">
        <v>1192</v>
      </c>
      <c r="G264">
        <f t="shared" si="13"/>
        <v>263</v>
      </c>
      <c r="H264" t="str">
        <f t="shared" si="12"/>
        <v>__tests__/lib/cron/check-expiring-subscriptions.test.ts</v>
      </c>
    </row>
    <row r="265" spans="4:8" x14ac:dyDescent="0.55000000000000004">
      <c r="D265">
        <v>46</v>
      </c>
      <c r="E265" t="s">
        <v>1193</v>
      </c>
      <c r="G265">
        <f t="shared" si="13"/>
        <v>264</v>
      </c>
      <c r="H265" t="str">
        <f t="shared" si="12"/>
        <v>__tests__/lib/cron/downgrade-expired-subscriptions.test.ts</v>
      </c>
    </row>
    <row r="266" spans="4:8" x14ac:dyDescent="0.55000000000000004">
      <c r="D266">
        <v>47</v>
      </c>
      <c r="E266" t="s">
        <v>1194</v>
      </c>
      <c r="G266">
        <f t="shared" si="13"/>
        <v>265</v>
      </c>
      <c r="H266" t="str">
        <f t="shared" si="12"/>
        <v>__tests__/lib/cron/monthly-distribution.test.ts</v>
      </c>
    </row>
    <row r="267" spans="4:8" x14ac:dyDescent="0.55000000000000004">
      <c r="D267">
        <v>48</v>
      </c>
      <c r="E267" t="s">
        <v>1195</v>
      </c>
      <c r="G267">
        <f t="shared" si="13"/>
        <v>266</v>
      </c>
      <c r="H267" t="str">
        <f t="shared" si="12"/>
        <v>__tests__/lib/db/prisma.test.ts</v>
      </c>
    </row>
    <row r="268" spans="4:8" x14ac:dyDescent="0.55000000000000004">
      <c r="D268">
        <v>49</v>
      </c>
      <c r="E268" t="s">
        <v>1196</v>
      </c>
      <c r="G268">
        <f t="shared" si="13"/>
        <v>267</v>
      </c>
      <c r="H268" t="str">
        <f t="shared" si="12"/>
        <v>__tests__/lib/db/seed.test.ts</v>
      </c>
    </row>
    <row r="269" spans="4:8" x14ac:dyDescent="0.55000000000000004">
      <c r="D269">
        <v>50</v>
      </c>
      <c r="E269" t="s">
        <v>1197</v>
      </c>
      <c r="G269">
        <f t="shared" si="13"/>
        <v>268</v>
      </c>
      <c r="H269" t="str">
        <f t="shared" si="12"/>
        <v>__tests__/lib/disbursement/constants.test.ts</v>
      </c>
    </row>
    <row r="270" spans="4:8" x14ac:dyDescent="0.55000000000000004">
      <c r="D270">
        <v>51</v>
      </c>
      <c r="E270" t="s">
        <v>1198</v>
      </c>
      <c r="G270">
        <f t="shared" si="13"/>
        <v>269</v>
      </c>
      <c r="H270" t="str">
        <f t="shared" si="12"/>
        <v>__tests__/lib/disbursement/providers/factory.test.ts</v>
      </c>
    </row>
    <row r="271" spans="4:8" x14ac:dyDescent="0.55000000000000004">
      <c r="D271">
        <v>52</v>
      </c>
      <c r="E271" t="s">
        <v>1199</v>
      </c>
      <c r="G271">
        <f t="shared" si="13"/>
        <v>270</v>
      </c>
      <c r="H271" t="str">
        <f t="shared" si="12"/>
        <v>__tests__/lib/disbursement/providers/mock.test.ts</v>
      </c>
    </row>
    <row r="272" spans="4:8" x14ac:dyDescent="0.55000000000000004">
      <c r="D272">
        <v>53</v>
      </c>
      <c r="E272" t="s">
        <v>1200</v>
      </c>
      <c r="G272">
        <f t="shared" si="13"/>
        <v>271</v>
      </c>
      <c r="H272" t="str">
        <f t="shared" si="12"/>
        <v>__tests__/lib/disbursement/providers/rise/webhook.test.ts</v>
      </c>
    </row>
    <row r="273" spans="4:8" x14ac:dyDescent="0.55000000000000004">
      <c r="D273">
        <v>54</v>
      </c>
      <c r="E273" t="s">
        <v>1201</v>
      </c>
      <c r="G273">
        <f t="shared" si="13"/>
        <v>272</v>
      </c>
      <c r="H273" t="str">
        <f t="shared" si="12"/>
        <v>__tests__/lib/disbursement/services/aggregator.test.ts</v>
      </c>
    </row>
    <row r="274" spans="4:8" x14ac:dyDescent="0.55000000000000004">
      <c r="D274">
        <v>55</v>
      </c>
      <c r="E274" t="s">
        <v>1202</v>
      </c>
      <c r="G274">
        <f t="shared" si="13"/>
        <v>273</v>
      </c>
      <c r="H274" t="str">
        <f t="shared" si="12"/>
        <v>__tests__/lib/disbursement/services/batch.test.ts</v>
      </c>
    </row>
    <row r="275" spans="4:8" x14ac:dyDescent="0.55000000000000004">
      <c r="D275">
        <v>56</v>
      </c>
      <c r="E275" t="s">
        <v>1203</v>
      </c>
      <c r="G275">
        <f t="shared" si="13"/>
        <v>274</v>
      </c>
      <c r="H275" t="str">
        <f t="shared" si="12"/>
        <v>__tests__/lib/disbursement/services/orchestrator.test.ts</v>
      </c>
    </row>
    <row r="276" spans="4:8" x14ac:dyDescent="0.55000000000000004">
      <c r="D276">
        <v>57</v>
      </c>
      <c r="E276" t="s">
        <v>1204</v>
      </c>
      <c r="G276">
        <f t="shared" si="13"/>
        <v>275</v>
      </c>
      <c r="H276" t="str">
        <f t="shared" si="12"/>
        <v>__tests__/lib/dlocal/constants.test.ts</v>
      </c>
    </row>
    <row r="277" spans="4:8" x14ac:dyDescent="0.55000000000000004">
      <c r="D277">
        <v>58</v>
      </c>
      <c r="E277" t="s">
        <v>1205</v>
      </c>
      <c r="G277">
        <f t="shared" si="13"/>
        <v>276</v>
      </c>
      <c r="H277" t="str">
        <f t="shared" si="12"/>
        <v>__tests__/lib/dlocal/currency-converter.test.ts</v>
      </c>
    </row>
    <row r="278" spans="4:8" x14ac:dyDescent="0.55000000000000004">
      <c r="D278">
        <v>59</v>
      </c>
      <c r="E278" t="s">
        <v>1206</v>
      </c>
      <c r="G278">
        <f t="shared" si="13"/>
        <v>277</v>
      </c>
      <c r="H278" t="str">
        <f t="shared" si="12"/>
        <v>__tests__/lib/dlocal/dlocal-payment.test.ts</v>
      </c>
    </row>
    <row r="279" spans="4:8" x14ac:dyDescent="0.55000000000000004">
      <c r="D279">
        <v>60</v>
      </c>
      <c r="E279" t="s">
        <v>1207</v>
      </c>
      <c r="G279">
        <f t="shared" si="13"/>
        <v>278</v>
      </c>
      <c r="H279" t="str">
        <f t="shared" si="12"/>
        <v>__tests__/lib/dlocal/payment-methods.test.ts</v>
      </c>
    </row>
    <row r="280" spans="4:8" x14ac:dyDescent="0.55000000000000004">
      <c r="D280">
        <v>61</v>
      </c>
      <c r="E280" t="s">
        <v>1208</v>
      </c>
      <c r="G280">
        <f t="shared" si="13"/>
        <v>279</v>
      </c>
      <c r="H280" t="str">
        <f t="shared" si="12"/>
        <v>__tests__/lib/dlocal/three-day-validator.test.ts</v>
      </c>
    </row>
    <row r="281" spans="4:8" x14ac:dyDescent="0.55000000000000004">
      <c r="D281">
        <v>62</v>
      </c>
      <c r="E281" t="s">
        <v>1209</v>
      </c>
      <c r="G281">
        <f t="shared" si="13"/>
        <v>280</v>
      </c>
      <c r="H281" t="str">
        <f t="shared" si="12"/>
        <v>__tests__/lib/email/email.test.ts</v>
      </c>
    </row>
    <row r="282" spans="4:8" x14ac:dyDescent="0.55000000000000004">
      <c r="D282">
        <v>63</v>
      </c>
      <c r="E282" t="s">
        <v>1210</v>
      </c>
      <c r="G282">
        <f t="shared" si="13"/>
        <v>281</v>
      </c>
      <c r="H282" t="str">
        <f t="shared" si="12"/>
        <v>__tests__/lib/errors/api-error.test.ts</v>
      </c>
    </row>
    <row r="283" spans="4:8" x14ac:dyDescent="0.55000000000000004">
      <c r="D283">
        <v>64</v>
      </c>
      <c r="E283" t="s">
        <v>1211</v>
      </c>
      <c r="G283">
        <f t="shared" si="13"/>
        <v>282</v>
      </c>
      <c r="H283" t="str">
        <f t="shared" si="12"/>
        <v>__tests__/lib/errors/error-handler.test.ts</v>
      </c>
    </row>
    <row r="284" spans="4:8" x14ac:dyDescent="0.55000000000000004">
      <c r="D284">
        <v>65</v>
      </c>
      <c r="E284" t="s">
        <v>1212</v>
      </c>
      <c r="G284">
        <f t="shared" si="13"/>
        <v>283</v>
      </c>
      <c r="H284" t="str">
        <f t="shared" si="12"/>
        <v>__tests__/lib/geo/detect-country.test.ts</v>
      </c>
    </row>
    <row r="285" spans="4:8" x14ac:dyDescent="0.55000000000000004">
      <c r="D285">
        <v>66</v>
      </c>
      <c r="E285" t="s">
        <v>1213</v>
      </c>
      <c r="G285">
        <f t="shared" si="13"/>
        <v>284</v>
      </c>
      <c r="H285" t="str">
        <f t="shared" ref="H285:H303" si="14">TRIM(SUBSTITUTE(SUBSTITUTE(E285, LEFT(E285, FIND("__tests__/", E285)-1), ""), "`", ""))</f>
        <v>__tests__/lib/jobs/alert-checker.test.ts</v>
      </c>
    </row>
    <row r="286" spans="4:8" x14ac:dyDescent="0.55000000000000004">
      <c r="D286">
        <v>67</v>
      </c>
      <c r="E286" t="s">
        <v>1214</v>
      </c>
      <c r="G286">
        <f t="shared" si="13"/>
        <v>285</v>
      </c>
      <c r="H286" t="str">
        <f t="shared" si="14"/>
        <v>__tests__/lib/rate-limit.test.ts</v>
      </c>
    </row>
    <row r="287" spans="4:8" x14ac:dyDescent="0.55000000000000004">
      <c r="D287">
        <v>68</v>
      </c>
      <c r="E287" t="s">
        <v>1215</v>
      </c>
      <c r="G287">
        <f t="shared" si="13"/>
        <v>286</v>
      </c>
      <c r="H287" t="str">
        <f t="shared" si="14"/>
        <v>__tests__/lib/stripe/stripe.test.ts</v>
      </c>
    </row>
    <row r="288" spans="4:8" x14ac:dyDescent="0.55000000000000004">
      <c r="D288">
        <v>69</v>
      </c>
      <c r="E288" t="s">
        <v>1216</v>
      </c>
      <c r="G288">
        <f t="shared" si="13"/>
        <v>287</v>
      </c>
      <c r="H288" t="str">
        <f t="shared" si="14"/>
        <v>__tests__/lib/stripe/webhook-handlers.test.ts</v>
      </c>
    </row>
    <row r="289" spans="4:8" x14ac:dyDescent="0.55000000000000004">
      <c r="D289">
        <v>70</v>
      </c>
      <c r="E289" t="s">
        <v>1217</v>
      </c>
      <c r="G289">
        <f t="shared" si="13"/>
        <v>288</v>
      </c>
      <c r="H289" t="str">
        <f t="shared" si="14"/>
        <v>__tests__/lib/tier-config.test.ts</v>
      </c>
    </row>
    <row r="290" spans="4:8" x14ac:dyDescent="0.55000000000000004">
      <c r="D290">
        <v>71</v>
      </c>
      <c r="E290" t="s">
        <v>1218</v>
      </c>
      <c r="G290">
        <f t="shared" si="13"/>
        <v>289</v>
      </c>
      <c r="H290" t="str">
        <f t="shared" si="14"/>
        <v>__tests__/lib/tier-helpers.test.ts</v>
      </c>
    </row>
    <row r="291" spans="4:8" x14ac:dyDescent="0.55000000000000004">
      <c r="D291">
        <v>72</v>
      </c>
      <c r="E291" t="s">
        <v>1219</v>
      </c>
      <c r="G291">
        <f t="shared" si="13"/>
        <v>290</v>
      </c>
      <c r="H291" t="str">
        <f t="shared" si="14"/>
        <v>__tests__/lib/tier-validation.test.ts</v>
      </c>
    </row>
    <row r="292" spans="4:8" x14ac:dyDescent="0.55000000000000004">
      <c r="D292">
        <v>73</v>
      </c>
      <c r="E292" t="s">
        <v>1220</v>
      </c>
      <c r="G292">
        <f t="shared" si="13"/>
        <v>291</v>
      </c>
      <c r="H292" t="str">
        <f t="shared" si="14"/>
        <v>__tests__/lib/tokens.test.ts</v>
      </c>
    </row>
    <row r="293" spans="4:8" x14ac:dyDescent="0.55000000000000004">
      <c r="D293">
        <v>74</v>
      </c>
      <c r="E293" t="s">
        <v>1221</v>
      </c>
      <c r="G293">
        <f t="shared" si="13"/>
        <v>292</v>
      </c>
      <c r="H293" t="str">
        <f t="shared" si="14"/>
        <v>__tests__/lib/utils/constants.test.ts</v>
      </c>
    </row>
    <row r="294" spans="4:8" x14ac:dyDescent="0.55000000000000004">
      <c r="D294">
        <v>75</v>
      </c>
      <c r="E294" t="s">
        <v>1222</v>
      </c>
      <c r="G294">
        <f t="shared" si="13"/>
        <v>293</v>
      </c>
      <c r="H294" t="str">
        <f t="shared" si="14"/>
        <v>__tests__/lib/utils/formatters.test.ts</v>
      </c>
    </row>
    <row r="295" spans="4:8" x14ac:dyDescent="0.55000000000000004">
      <c r="D295">
        <v>76</v>
      </c>
      <c r="E295" t="s">
        <v>1223</v>
      </c>
      <c r="G295">
        <f t="shared" si="13"/>
        <v>294</v>
      </c>
      <c r="H295" t="str">
        <f t="shared" si="14"/>
        <v>__tests__/lib/utils/helpers.test.ts</v>
      </c>
    </row>
    <row r="296" spans="4:8" x14ac:dyDescent="0.55000000000000004">
      <c r="D296">
        <v>77</v>
      </c>
      <c r="E296" t="s">
        <v>1224</v>
      </c>
      <c r="G296">
        <f t="shared" si="13"/>
        <v>295</v>
      </c>
      <c r="H296" t="str">
        <f t="shared" si="14"/>
        <v>__tests__/lib/utils.test.ts</v>
      </c>
    </row>
    <row r="297" spans="4:8" x14ac:dyDescent="0.55000000000000004">
      <c r="D297">
        <v>78</v>
      </c>
      <c r="E297" t="s">
        <v>1225</v>
      </c>
      <c r="G297">
        <f t="shared" si="13"/>
        <v>296</v>
      </c>
      <c r="H297" t="str">
        <f t="shared" si="14"/>
        <v>__tests__/lib/validations/alert.test.ts</v>
      </c>
    </row>
    <row r="298" spans="4:8" x14ac:dyDescent="0.55000000000000004">
      <c r="D298">
        <v>79</v>
      </c>
      <c r="E298" t="s">
        <v>1226</v>
      </c>
      <c r="G298">
        <f t="shared" si="13"/>
        <v>297</v>
      </c>
      <c r="H298" t="str">
        <f t="shared" si="14"/>
        <v>__tests__/lib/validations/auth.test.ts</v>
      </c>
    </row>
    <row r="299" spans="4:8" x14ac:dyDescent="0.55000000000000004">
      <c r="D299">
        <v>80</v>
      </c>
      <c r="E299" t="s">
        <v>1227</v>
      </c>
      <c r="G299">
        <f t="shared" si="13"/>
        <v>298</v>
      </c>
      <c r="H299" t="str">
        <f t="shared" si="14"/>
        <v>__tests__/types/disbursement.test.ts</v>
      </c>
    </row>
    <row r="300" spans="4:8" x14ac:dyDescent="0.55000000000000004">
      <c r="D300">
        <v>81</v>
      </c>
      <c r="E300" t="s">
        <v>1228</v>
      </c>
      <c r="G300">
        <f t="shared" si="13"/>
        <v>299</v>
      </c>
      <c r="H300" t="str">
        <f t="shared" si="14"/>
        <v>__tests__/types/dlocal.test.ts</v>
      </c>
    </row>
    <row r="301" spans="4:8" x14ac:dyDescent="0.55000000000000004">
      <c r="D301">
        <v>82</v>
      </c>
      <c r="E301" t="s">
        <v>1229</v>
      </c>
      <c r="G301">
        <f t="shared" si="13"/>
        <v>300</v>
      </c>
      <c r="H301" t="str">
        <f t="shared" si="14"/>
        <v>__tests__/types/types.test.ts</v>
      </c>
    </row>
    <row r="302" spans="4:8" x14ac:dyDescent="0.55000000000000004">
      <c r="D302">
        <v>83</v>
      </c>
      <c r="E302" t="s">
        <v>1230</v>
      </c>
      <c r="G302">
        <f t="shared" si="13"/>
        <v>301</v>
      </c>
      <c r="H302" t="str">
        <f t="shared" si="14"/>
        <v>__tests__/example.test.ts</v>
      </c>
    </row>
    <row r="303" spans="4:8" x14ac:dyDescent="0.55000000000000004">
      <c r="D303">
        <v>84</v>
      </c>
      <c r="E303" t="s">
        <v>1231</v>
      </c>
      <c r="G303">
        <f t="shared" si="13"/>
        <v>302</v>
      </c>
      <c r="H303" t="str">
        <f t="shared" si="14"/>
        <v>__tests__/setup.ts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BE755-6755-43A3-8439-AAE65AEECCFE}">
  <sheetPr>
    <tabColor rgb="FF7030A0"/>
  </sheetPr>
  <dimension ref="B1:H336"/>
  <sheetViews>
    <sheetView tabSelected="1" workbookViewId="0">
      <selection activeCell="C330" sqref="C330"/>
    </sheetView>
  </sheetViews>
  <sheetFormatPr defaultRowHeight="14.4" x14ac:dyDescent="0.55000000000000004"/>
  <cols>
    <col min="3" max="3" width="53.578125" bestFit="1" customWidth="1"/>
    <col min="6" max="6" width="53.1015625" bestFit="1" customWidth="1"/>
    <col min="10" max="10" width="33.5234375" bestFit="1" customWidth="1"/>
  </cols>
  <sheetData>
    <row r="1" spans="2:8" x14ac:dyDescent="0.55000000000000004">
      <c r="C1" t="s">
        <v>698</v>
      </c>
      <c r="F1" t="s">
        <v>699</v>
      </c>
      <c r="H1" t="s">
        <v>705</v>
      </c>
    </row>
    <row r="2" spans="2:8" x14ac:dyDescent="0.55000000000000004">
      <c r="B2">
        <v>1</v>
      </c>
      <c r="E2">
        <v>1</v>
      </c>
      <c r="F2" t="s">
        <v>1449</v>
      </c>
      <c r="H2" t="b">
        <f>C2=F2</f>
        <v>0</v>
      </c>
    </row>
    <row r="3" spans="2:8" x14ac:dyDescent="0.55000000000000004">
      <c r="B3">
        <f>B2+1</f>
        <v>2</v>
      </c>
      <c r="E3">
        <f>E2+1</f>
        <v>2</v>
      </c>
      <c r="F3" t="s">
        <v>1447</v>
      </c>
      <c r="H3" t="b">
        <f t="shared" ref="H3:H66" si="0">C3=F3</f>
        <v>0</v>
      </c>
    </row>
    <row r="4" spans="2:8" x14ac:dyDescent="0.55000000000000004">
      <c r="B4">
        <f t="shared" ref="B4:B67" si="1">B3+1</f>
        <v>3</v>
      </c>
      <c r="E4">
        <f t="shared" ref="E4:E67" si="2">E3+1</f>
        <v>3</v>
      </c>
      <c r="F4" t="s">
        <v>1448</v>
      </c>
      <c r="H4" t="b">
        <f t="shared" si="0"/>
        <v>0</v>
      </c>
    </row>
    <row r="5" spans="2:8" x14ac:dyDescent="0.55000000000000004">
      <c r="B5">
        <f t="shared" si="1"/>
        <v>4</v>
      </c>
      <c r="E5">
        <f t="shared" si="2"/>
        <v>4</v>
      </c>
      <c r="F5" t="s">
        <v>1450</v>
      </c>
      <c r="H5" t="b">
        <f t="shared" si="0"/>
        <v>0</v>
      </c>
    </row>
    <row r="6" spans="2:8" x14ac:dyDescent="0.55000000000000004">
      <c r="B6">
        <f t="shared" si="1"/>
        <v>5</v>
      </c>
      <c r="E6">
        <f t="shared" si="2"/>
        <v>5</v>
      </c>
      <c r="F6" t="s">
        <v>1451</v>
      </c>
      <c r="H6" t="b">
        <f t="shared" si="0"/>
        <v>0</v>
      </c>
    </row>
    <row r="7" spans="2:8" x14ac:dyDescent="0.55000000000000004">
      <c r="B7">
        <f t="shared" si="1"/>
        <v>6</v>
      </c>
      <c r="E7">
        <f t="shared" si="2"/>
        <v>6</v>
      </c>
      <c r="F7" t="s">
        <v>1452</v>
      </c>
      <c r="H7" t="b">
        <f t="shared" si="0"/>
        <v>0</v>
      </c>
    </row>
    <row r="8" spans="2:8" x14ac:dyDescent="0.55000000000000004">
      <c r="B8">
        <f t="shared" si="1"/>
        <v>7</v>
      </c>
      <c r="E8">
        <f t="shared" si="2"/>
        <v>7</v>
      </c>
      <c r="F8" t="s">
        <v>1453</v>
      </c>
      <c r="H8" t="b">
        <f t="shared" si="0"/>
        <v>0</v>
      </c>
    </row>
    <row r="9" spans="2:8" x14ac:dyDescent="0.55000000000000004">
      <c r="B9">
        <f t="shared" si="1"/>
        <v>8</v>
      </c>
      <c r="E9">
        <f t="shared" si="2"/>
        <v>8</v>
      </c>
      <c r="F9" t="s">
        <v>1459</v>
      </c>
      <c r="H9" t="b">
        <f t="shared" si="0"/>
        <v>0</v>
      </c>
    </row>
    <row r="10" spans="2:8" x14ac:dyDescent="0.55000000000000004">
      <c r="B10">
        <f t="shared" si="1"/>
        <v>9</v>
      </c>
      <c r="E10">
        <f t="shared" si="2"/>
        <v>9</v>
      </c>
      <c r="F10" t="s">
        <v>1458</v>
      </c>
      <c r="H10" t="b">
        <f t="shared" si="0"/>
        <v>0</v>
      </c>
    </row>
    <row r="11" spans="2:8" x14ac:dyDescent="0.55000000000000004">
      <c r="B11">
        <f t="shared" si="1"/>
        <v>10</v>
      </c>
      <c r="E11">
        <f t="shared" si="2"/>
        <v>10</v>
      </c>
      <c r="F11" t="s">
        <v>1460</v>
      </c>
      <c r="H11" t="b">
        <f t="shared" si="0"/>
        <v>0</v>
      </c>
    </row>
    <row r="12" spans="2:8" x14ac:dyDescent="0.55000000000000004">
      <c r="B12">
        <f t="shared" si="1"/>
        <v>11</v>
      </c>
      <c r="E12">
        <f t="shared" si="2"/>
        <v>11</v>
      </c>
      <c r="F12" t="s">
        <v>1461</v>
      </c>
      <c r="H12" t="b">
        <f t="shared" si="0"/>
        <v>0</v>
      </c>
    </row>
    <row r="13" spans="2:8" x14ac:dyDescent="0.55000000000000004">
      <c r="B13">
        <f t="shared" si="1"/>
        <v>12</v>
      </c>
      <c r="E13">
        <f t="shared" si="2"/>
        <v>12</v>
      </c>
      <c r="F13" t="s">
        <v>1462</v>
      </c>
      <c r="H13" t="b">
        <f t="shared" si="0"/>
        <v>0</v>
      </c>
    </row>
    <row r="14" spans="2:8" x14ac:dyDescent="0.55000000000000004">
      <c r="B14">
        <f t="shared" si="1"/>
        <v>13</v>
      </c>
      <c r="E14">
        <f t="shared" si="2"/>
        <v>13</v>
      </c>
      <c r="F14" t="s">
        <v>1463</v>
      </c>
      <c r="H14" t="b">
        <f t="shared" si="0"/>
        <v>0</v>
      </c>
    </row>
    <row r="15" spans="2:8" x14ac:dyDescent="0.55000000000000004">
      <c r="B15">
        <f t="shared" si="1"/>
        <v>14</v>
      </c>
      <c r="E15">
        <f t="shared" si="2"/>
        <v>14</v>
      </c>
      <c r="F15" t="s">
        <v>1464</v>
      </c>
      <c r="H15" t="b">
        <f t="shared" si="0"/>
        <v>0</v>
      </c>
    </row>
    <row r="16" spans="2:8" x14ac:dyDescent="0.55000000000000004">
      <c r="B16">
        <f t="shared" si="1"/>
        <v>15</v>
      </c>
      <c r="E16">
        <f t="shared" si="2"/>
        <v>15</v>
      </c>
      <c r="F16" t="s">
        <v>1465</v>
      </c>
      <c r="H16" t="b">
        <f t="shared" si="0"/>
        <v>0</v>
      </c>
    </row>
    <row r="17" spans="2:8" x14ac:dyDescent="0.55000000000000004">
      <c r="B17">
        <f t="shared" si="1"/>
        <v>16</v>
      </c>
      <c r="E17">
        <f t="shared" si="2"/>
        <v>16</v>
      </c>
      <c r="F17" t="s">
        <v>1466</v>
      </c>
      <c r="H17" t="b">
        <f t="shared" si="0"/>
        <v>0</v>
      </c>
    </row>
    <row r="18" spans="2:8" x14ac:dyDescent="0.55000000000000004">
      <c r="B18">
        <f t="shared" si="1"/>
        <v>17</v>
      </c>
      <c r="E18">
        <f t="shared" si="2"/>
        <v>17</v>
      </c>
      <c r="F18" t="s">
        <v>1454</v>
      </c>
      <c r="H18" t="b">
        <f t="shared" si="0"/>
        <v>0</v>
      </c>
    </row>
    <row r="19" spans="2:8" x14ac:dyDescent="0.55000000000000004">
      <c r="B19">
        <f t="shared" si="1"/>
        <v>18</v>
      </c>
      <c r="E19">
        <f t="shared" si="2"/>
        <v>18</v>
      </c>
      <c r="F19" t="s">
        <v>1455</v>
      </c>
      <c r="H19" t="b">
        <f t="shared" si="0"/>
        <v>0</v>
      </c>
    </row>
    <row r="20" spans="2:8" x14ac:dyDescent="0.55000000000000004">
      <c r="B20">
        <f t="shared" si="1"/>
        <v>19</v>
      </c>
      <c r="E20">
        <f t="shared" si="2"/>
        <v>19</v>
      </c>
      <c r="F20" t="s">
        <v>1456</v>
      </c>
      <c r="H20" t="b">
        <f t="shared" si="0"/>
        <v>0</v>
      </c>
    </row>
    <row r="21" spans="2:8" x14ac:dyDescent="0.55000000000000004">
      <c r="B21">
        <f t="shared" si="1"/>
        <v>20</v>
      </c>
      <c r="E21">
        <f t="shared" si="2"/>
        <v>20</v>
      </c>
      <c r="F21" t="s">
        <v>1457</v>
      </c>
      <c r="H21" t="b">
        <f t="shared" si="0"/>
        <v>0</v>
      </c>
    </row>
    <row r="22" spans="2:8" x14ac:dyDescent="0.55000000000000004">
      <c r="B22">
        <f t="shared" si="1"/>
        <v>21</v>
      </c>
      <c r="E22">
        <f t="shared" si="2"/>
        <v>21</v>
      </c>
      <c r="F22" t="s">
        <v>1467</v>
      </c>
      <c r="H22" t="b">
        <f t="shared" si="0"/>
        <v>0</v>
      </c>
    </row>
    <row r="23" spans="2:8" x14ac:dyDescent="0.55000000000000004">
      <c r="B23">
        <f t="shared" si="1"/>
        <v>22</v>
      </c>
      <c r="E23">
        <f t="shared" si="2"/>
        <v>22</v>
      </c>
      <c r="F23" t="s">
        <v>1468</v>
      </c>
      <c r="H23" t="b">
        <f t="shared" si="0"/>
        <v>0</v>
      </c>
    </row>
    <row r="24" spans="2:8" x14ac:dyDescent="0.55000000000000004">
      <c r="B24">
        <f t="shared" si="1"/>
        <v>23</v>
      </c>
      <c r="E24">
        <f t="shared" si="2"/>
        <v>23</v>
      </c>
      <c r="F24" t="s">
        <v>1469</v>
      </c>
      <c r="H24" t="b">
        <f t="shared" si="0"/>
        <v>0</v>
      </c>
    </row>
    <row r="25" spans="2:8" x14ac:dyDescent="0.55000000000000004">
      <c r="B25">
        <f t="shared" si="1"/>
        <v>24</v>
      </c>
      <c r="E25">
        <f t="shared" si="2"/>
        <v>24</v>
      </c>
      <c r="F25" t="s">
        <v>1529</v>
      </c>
      <c r="H25" t="b">
        <f t="shared" si="0"/>
        <v>0</v>
      </c>
    </row>
    <row r="26" spans="2:8" x14ac:dyDescent="0.55000000000000004">
      <c r="B26">
        <f t="shared" si="1"/>
        <v>25</v>
      </c>
      <c r="E26">
        <f t="shared" si="2"/>
        <v>25</v>
      </c>
      <c r="F26" t="s">
        <v>1470</v>
      </c>
      <c r="H26" t="b">
        <f t="shared" si="0"/>
        <v>0</v>
      </c>
    </row>
    <row r="27" spans="2:8" x14ac:dyDescent="0.55000000000000004">
      <c r="B27">
        <f t="shared" si="1"/>
        <v>26</v>
      </c>
      <c r="E27">
        <f t="shared" si="2"/>
        <v>26</v>
      </c>
      <c r="F27" t="s">
        <v>1471</v>
      </c>
      <c r="H27" t="b">
        <f t="shared" si="0"/>
        <v>0</v>
      </c>
    </row>
    <row r="28" spans="2:8" x14ac:dyDescent="0.55000000000000004">
      <c r="B28">
        <f t="shared" si="1"/>
        <v>27</v>
      </c>
      <c r="E28">
        <f t="shared" si="2"/>
        <v>27</v>
      </c>
      <c r="F28" t="s">
        <v>1472</v>
      </c>
      <c r="H28" t="b">
        <f t="shared" si="0"/>
        <v>0</v>
      </c>
    </row>
    <row r="29" spans="2:8" x14ac:dyDescent="0.55000000000000004">
      <c r="B29">
        <f t="shared" si="1"/>
        <v>28</v>
      </c>
      <c r="E29">
        <f t="shared" si="2"/>
        <v>28</v>
      </c>
      <c r="F29" t="s">
        <v>1473</v>
      </c>
      <c r="H29" t="b">
        <f t="shared" si="0"/>
        <v>0</v>
      </c>
    </row>
    <row r="30" spans="2:8" x14ac:dyDescent="0.55000000000000004">
      <c r="B30">
        <f t="shared" si="1"/>
        <v>29</v>
      </c>
      <c r="E30">
        <f t="shared" si="2"/>
        <v>29</v>
      </c>
      <c r="F30" s="6" t="s">
        <v>1474</v>
      </c>
      <c r="H30" t="b">
        <f t="shared" si="0"/>
        <v>0</v>
      </c>
    </row>
    <row r="31" spans="2:8" x14ac:dyDescent="0.55000000000000004">
      <c r="B31">
        <f t="shared" si="1"/>
        <v>30</v>
      </c>
      <c r="E31">
        <f t="shared" si="2"/>
        <v>30</v>
      </c>
      <c r="F31" t="s">
        <v>1475</v>
      </c>
      <c r="H31" t="b">
        <f t="shared" si="0"/>
        <v>0</v>
      </c>
    </row>
    <row r="32" spans="2:8" x14ac:dyDescent="0.55000000000000004">
      <c r="B32">
        <f t="shared" si="1"/>
        <v>31</v>
      </c>
      <c r="E32">
        <f t="shared" si="2"/>
        <v>31</v>
      </c>
      <c r="F32" t="s">
        <v>1476</v>
      </c>
      <c r="H32" t="b">
        <f t="shared" si="0"/>
        <v>0</v>
      </c>
    </row>
    <row r="33" spans="2:8" x14ac:dyDescent="0.55000000000000004">
      <c r="B33">
        <f t="shared" si="1"/>
        <v>32</v>
      </c>
      <c r="E33">
        <f t="shared" si="2"/>
        <v>32</v>
      </c>
      <c r="F33" t="s">
        <v>1477</v>
      </c>
      <c r="H33" t="b">
        <f t="shared" si="0"/>
        <v>0</v>
      </c>
    </row>
    <row r="34" spans="2:8" x14ac:dyDescent="0.55000000000000004">
      <c r="B34">
        <f t="shared" si="1"/>
        <v>33</v>
      </c>
      <c r="E34">
        <f t="shared" si="2"/>
        <v>33</v>
      </c>
      <c r="F34" t="s">
        <v>1478</v>
      </c>
      <c r="H34" t="b">
        <f t="shared" si="0"/>
        <v>0</v>
      </c>
    </row>
    <row r="35" spans="2:8" x14ac:dyDescent="0.55000000000000004">
      <c r="B35">
        <f t="shared" si="1"/>
        <v>34</v>
      </c>
      <c r="E35">
        <f t="shared" si="2"/>
        <v>34</v>
      </c>
      <c r="F35" t="s">
        <v>1479</v>
      </c>
      <c r="H35" t="b">
        <f t="shared" si="0"/>
        <v>0</v>
      </c>
    </row>
    <row r="36" spans="2:8" x14ac:dyDescent="0.55000000000000004">
      <c r="B36">
        <f t="shared" si="1"/>
        <v>35</v>
      </c>
      <c r="E36">
        <f t="shared" si="2"/>
        <v>35</v>
      </c>
      <c r="F36" t="s">
        <v>1480</v>
      </c>
      <c r="H36" t="b">
        <f t="shared" si="0"/>
        <v>0</v>
      </c>
    </row>
    <row r="37" spans="2:8" x14ac:dyDescent="0.55000000000000004">
      <c r="B37">
        <f t="shared" si="1"/>
        <v>36</v>
      </c>
      <c r="E37">
        <f t="shared" si="2"/>
        <v>36</v>
      </c>
      <c r="F37" t="s">
        <v>1481</v>
      </c>
      <c r="H37" t="b">
        <f t="shared" si="0"/>
        <v>0</v>
      </c>
    </row>
    <row r="38" spans="2:8" x14ac:dyDescent="0.55000000000000004">
      <c r="B38">
        <f t="shared" si="1"/>
        <v>37</v>
      </c>
      <c r="E38">
        <f t="shared" si="2"/>
        <v>37</v>
      </c>
      <c r="F38" t="s">
        <v>1482</v>
      </c>
      <c r="H38" t="b">
        <f t="shared" si="0"/>
        <v>0</v>
      </c>
    </row>
    <row r="39" spans="2:8" x14ac:dyDescent="0.55000000000000004">
      <c r="B39">
        <f t="shared" si="1"/>
        <v>38</v>
      </c>
      <c r="E39">
        <f t="shared" si="2"/>
        <v>38</v>
      </c>
      <c r="F39" t="s">
        <v>1483</v>
      </c>
      <c r="H39" t="b">
        <f t="shared" si="0"/>
        <v>0</v>
      </c>
    </row>
    <row r="40" spans="2:8" x14ac:dyDescent="0.55000000000000004">
      <c r="B40">
        <f t="shared" si="1"/>
        <v>39</v>
      </c>
      <c r="E40">
        <f t="shared" si="2"/>
        <v>39</v>
      </c>
      <c r="F40" t="s">
        <v>1484</v>
      </c>
      <c r="H40" t="b">
        <f t="shared" si="0"/>
        <v>0</v>
      </c>
    </row>
    <row r="41" spans="2:8" x14ac:dyDescent="0.55000000000000004">
      <c r="B41">
        <f t="shared" si="1"/>
        <v>40</v>
      </c>
      <c r="E41">
        <f t="shared" si="2"/>
        <v>40</v>
      </c>
      <c r="F41" t="s">
        <v>1485</v>
      </c>
      <c r="H41" t="b">
        <f t="shared" si="0"/>
        <v>0</v>
      </c>
    </row>
    <row r="42" spans="2:8" x14ac:dyDescent="0.55000000000000004">
      <c r="B42">
        <f t="shared" si="1"/>
        <v>41</v>
      </c>
      <c r="E42">
        <f t="shared" si="2"/>
        <v>41</v>
      </c>
      <c r="F42" t="s">
        <v>1486</v>
      </c>
      <c r="H42" t="b">
        <f t="shared" si="0"/>
        <v>0</v>
      </c>
    </row>
    <row r="43" spans="2:8" x14ac:dyDescent="0.55000000000000004">
      <c r="B43">
        <f t="shared" si="1"/>
        <v>42</v>
      </c>
      <c r="E43">
        <f t="shared" si="2"/>
        <v>42</v>
      </c>
      <c r="F43" t="s">
        <v>1487</v>
      </c>
      <c r="H43" t="b">
        <f t="shared" si="0"/>
        <v>0</v>
      </c>
    </row>
    <row r="44" spans="2:8" x14ac:dyDescent="0.55000000000000004">
      <c r="B44">
        <f t="shared" si="1"/>
        <v>43</v>
      </c>
      <c r="E44">
        <f t="shared" si="2"/>
        <v>43</v>
      </c>
      <c r="F44" s="6" t="s">
        <v>1488</v>
      </c>
      <c r="H44" t="b">
        <f t="shared" si="0"/>
        <v>0</v>
      </c>
    </row>
    <row r="45" spans="2:8" x14ac:dyDescent="0.55000000000000004">
      <c r="B45">
        <f t="shared" si="1"/>
        <v>44</v>
      </c>
      <c r="E45">
        <f t="shared" si="2"/>
        <v>44</v>
      </c>
      <c r="F45" s="6" t="s">
        <v>1489</v>
      </c>
      <c r="H45" t="b">
        <f t="shared" si="0"/>
        <v>0</v>
      </c>
    </row>
    <row r="46" spans="2:8" x14ac:dyDescent="0.55000000000000004">
      <c r="B46">
        <f t="shared" si="1"/>
        <v>45</v>
      </c>
      <c r="E46">
        <f t="shared" si="2"/>
        <v>45</v>
      </c>
      <c r="F46" s="6" t="s">
        <v>1490</v>
      </c>
      <c r="H46" t="b">
        <f t="shared" si="0"/>
        <v>0</v>
      </c>
    </row>
    <row r="47" spans="2:8" x14ac:dyDescent="0.55000000000000004">
      <c r="B47">
        <f t="shared" si="1"/>
        <v>46</v>
      </c>
      <c r="E47">
        <f t="shared" si="2"/>
        <v>46</v>
      </c>
      <c r="F47" t="s">
        <v>1491</v>
      </c>
      <c r="H47" t="b">
        <f t="shared" si="0"/>
        <v>0</v>
      </c>
    </row>
    <row r="48" spans="2:8" x14ac:dyDescent="0.55000000000000004">
      <c r="B48">
        <f t="shared" si="1"/>
        <v>47</v>
      </c>
      <c r="E48">
        <f t="shared" si="2"/>
        <v>47</v>
      </c>
      <c r="F48" t="s">
        <v>1492</v>
      </c>
      <c r="H48" t="b">
        <f t="shared" si="0"/>
        <v>0</v>
      </c>
    </row>
    <row r="49" spans="2:8" x14ac:dyDescent="0.55000000000000004">
      <c r="B49">
        <f t="shared" si="1"/>
        <v>48</v>
      </c>
      <c r="E49">
        <f t="shared" si="2"/>
        <v>48</v>
      </c>
      <c r="F49" t="s">
        <v>1493</v>
      </c>
      <c r="H49" t="b">
        <f t="shared" si="0"/>
        <v>0</v>
      </c>
    </row>
    <row r="50" spans="2:8" x14ac:dyDescent="0.55000000000000004">
      <c r="B50">
        <f t="shared" si="1"/>
        <v>49</v>
      </c>
      <c r="E50">
        <f t="shared" si="2"/>
        <v>49</v>
      </c>
      <c r="F50" t="s">
        <v>1494</v>
      </c>
      <c r="H50" t="b">
        <f t="shared" si="0"/>
        <v>0</v>
      </c>
    </row>
    <row r="51" spans="2:8" x14ac:dyDescent="0.55000000000000004">
      <c r="B51">
        <f t="shared" si="1"/>
        <v>50</v>
      </c>
      <c r="E51">
        <f t="shared" si="2"/>
        <v>50</v>
      </c>
      <c r="F51" t="s">
        <v>1495</v>
      </c>
      <c r="H51" t="b">
        <f t="shared" si="0"/>
        <v>0</v>
      </c>
    </row>
    <row r="52" spans="2:8" x14ac:dyDescent="0.55000000000000004">
      <c r="B52">
        <f t="shared" si="1"/>
        <v>51</v>
      </c>
      <c r="E52">
        <f t="shared" si="2"/>
        <v>51</v>
      </c>
      <c r="F52" t="s">
        <v>1496</v>
      </c>
      <c r="H52" t="b">
        <f t="shared" si="0"/>
        <v>0</v>
      </c>
    </row>
    <row r="53" spans="2:8" x14ac:dyDescent="0.55000000000000004">
      <c r="B53">
        <f t="shared" si="1"/>
        <v>52</v>
      </c>
      <c r="E53">
        <f t="shared" si="2"/>
        <v>52</v>
      </c>
      <c r="F53" t="s">
        <v>1497</v>
      </c>
      <c r="H53" t="b">
        <f t="shared" si="0"/>
        <v>0</v>
      </c>
    </row>
    <row r="54" spans="2:8" x14ac:dyDescent="0.55000000000000004">
      <c r="B54">
        <f t="shared" si="1"/>
        <v>53</v>
      </c>
      <c r="E54">
        <f t="shared" si="2"/>
        <v>53</v>
      </c>
      <c r="F54" t="s">
        <v>1498</v>
      </c>
      <c r="H54" t="b">
        <f t="shared" si="0"/>
        <v>0</v>
      </c>
    </row>
    <row r="55" spans="2:8" x14ac:dyDescent="0.55000000000000004">
      <c r="B55">
        <f t="shared" si="1"/>
        <v>54</v>
      </c>
      <c r="E55">
        <f t="shared" si="2"/>
        <v>54</v>
      </c>
      <c r="F55" t="s">
        <v>1499</v>
      </c>
      <c r="H55" t="b">
        <f t="shared" si="0"/>
        <v>0</v>
      </c>
    </row>
    <row r="56" spans="2:8" x14ac:dyDescent="0.55000000000000004">
      <c r="B56">
        <f t="shared" si="1"/>
        <v>55</v>
      </c>
      <c r="E56">
        <f t="shared" si="2"/>
        <v>55</v>
      </c>
      <c r="F56" t="s">
        <v>1500</v>
      </c>
      <c r="H56" t="b">
        <f t="shared" si="0"/>
        <v>0</v>
      </c>
    </row>
    <row r="57" spans="2:8" x14ac:dyDescent="0.55000000000000004">
      <c r="B57">
        <f t="shared" si="1"/>
        <v>56</v>
      </c>
      <c r="E57">
        <f t="shared" si="2"/>
        <v>56</v>
      </c>
      <c r="F57" t="s">
        <v>1501</v>
      </c>
      <c r="H57" t="b">
        <f t="shared" si="0"/>
        <v>0</v>
      </c>
    </row>
    <row r="58" spans="2:8" x14ac:dyDescent="0.55000000000000004">
      <c r="B58">
        <f t="shared" si="1"/>
        <v>57</v>
      </c>
      <c r="E58">
        <f t="shared" si="2"/>
        <v>57</v>
      </c>
      <c r="F58" t="s">
        <v>1502</v>
      </c>
      <c r="H58" t="b">
        <f t="shared" si="0"/>
        <v>0</v>
      </c>
    </row>
    <row r="59" spans="2:8" x14ac:dyDescent="0.55000000000000004">
      <c r="B59">
        <f t="shared" si="1"/>
        <v>58</v>
      </c>
      <c r="E59">
        <f t="shared" si="2"/>
        <v>58</v>
      </c>
      <c r="F59" t="s">
        <v>1503</v>
      </c>
      <c r="H59" t="b">
        <f t="shared" si="0"/>
        <v>0</v>
      </c>
    </row>
    <row r="60" spans="2:8" x14ac:dyDescent="0.55000000000000004">
      <c r="B60">
        <f t="shared" si="1"/>
        <v>59</v>
      </c>
      <c r="E60">
        <f t="shared" si="2"/>
        <v>59</v>
      </c>
      <c r="F60" t="s">
        <v>1504</v>
      </c>
      <c r="H60" t="b">
        <f t="shared" si="0"/>
        <v>0</v>
      </c>
    </row>
    <row r="61" spans="2:8" x14ac:dyDescent="0.55000000000000004">
      <c r="B61">
        <f t="shared" si="1"/>
        <v>60</v>
      </c>
      <c r="E61">
        <f t="shared" si="2"/>
        <v>60</v>
      </c>
      <c r="F61" t="s">
        <v>1505</v>
      </c>
      <c r="H61" t="b">
        <f t="shared" si="0"/>
        <v>0</v>
      </c>
    </row>
    <row r="62" spans="2:8" x14ac:dyDescent="0.55000000000000004">
      <c r="B62">
        <f t="shared" si="1"/>
        <v>61</v>
      </c>
      <c r="E62">
        <f t="shared" si="2"/>
        <v>61</v>
      </c>
      <c r="F62" t="s">
        <v>1506</v>
      </c>
      <c r="H62" t="b">
        <f t="shared" si="0"/>
        <v>0</v>
      </c>
    </row>
    <row r="63" spans="2:8" x14ac:dyDescent="0.55000000000000004">
      <c r="B63">
        <f t="shared" si="1"/>
        <v>62</v>
      </c>
      <c r="E63">
        <f t="shared" si="2"/>
        <v>62</v>
      </c>
      <c r="F63" t="s">
        <v>1507</v>
      </c>
      <c r="H63" t="b">
        <f t="shared" si="0"/>
        <v>0</v>
      </c>
    </row>
    <row r="64" spans="2:8" x14ac:dyDescent="0.55000000000000004">
      <c r="B64">
        <f t="shared" si="1"/>
        <v>63</v>
      </c>
      <c r="E64">
        <f t="shared" si="2"/>
        <v>63</v>
      </c>
      <c r="F64" t="s">
        <v>1508</v>
      </c>
      <c r="H64" t="b">
        <f t="shared" si="0"/>
        <v>0</v>
      </c>
    </row>
    <row r="65" spans="2:8" x14ac:dyDescent="0.55000000000000004">
      <c r="B65">
        <f t="shared" si="1"/>
        <v>64</v>
      </c>
      <c r="E65">
        <f t="shared" si="2"/>
        <v>64</v>
      </c>
      <c r="F65" t="s">
        <v>1509</v>
      </c>
      <c r="H65" t="b">
        <f t="shared" si="0"/>
        <v>0</v>
      </c>
    </row>
    <row r="66" spans="2:8" x14ac:dyDescent="0.55000000000000004">
      <c r="B66">
        <f t="shared" si="1"/>
        <v>65</v>
      </c>
      <c r="E66">
        <f t="shared" si="2"/>
        <v>65</v>
      </c>
      <c r="F66" t="s">
        <v>1510</v>
      </c>
      <c r="H66" t="b">
        <f t="shared" si="0"/>
        <v>0</v>
      </c>
    </row>
    <row r="67" spans="2:8" x14ac:dyDescent="0.55000000000000004">
      <c r="B67">
        <f t="shared" si="1"/>
        <v>66</v>
      </c>
      <c r="E67">
        <f t="shared" si="2"/>
        <v>66</v>
      </c>
      <c r="F67" t="s">
        <v>1511</v>
      </c>
      <c r="H67" t="b">
        <f t="shared" ref="H67:H130" si="3">C67=F67</f>
        <v>0</v>
      </c>
    </row>
    <row r="68" spans="2:8" x14ac:dyDescent="0.55000000000000004">
      <c r="B68">
        <f t="shared" ref="B68:B131" si="4">B67+1</f>
        <v>67</v>
      </c>
      <c r="E68">
        <f t="shared" ref="E68:E131" si="5">E67+1</f>
        <v>67</v>
      </c>
      <c r="F68" t="s">
        <v>1512</v>
      </c>
      <c r="H68" t="b">
        <f t="shared" si="3"/>
        <v>0</v>
      </c>
    </row>
    <row r="69" spans="2:8" x14ac:dyDescent="0.55000000000000004">
      <c r="B69">
        <f t="shared" si="4"/>
        <v>68</v>
      </c>
      <c r="E69">
        <f t="shared" si="5"/>
        <v>68</v>
      </c>
      <c r="F69" t="s">
        <v>1513</v>
      </c>
      <c r="H69" t="b">
        <f t="shared" si="3"/>
        <v>0</v>
      </c>
    </row>
    <row r="70" spans="2:8" x14ac:dyDescent="0.55000000000000004">
      <c r="B70">
        <f t="shared" si="4"/>
        <v>69</v>
      </c>
      <c r="E70">
        <f t="shared" si="5"/>
        <v>69</v>
      </c>
      <c r="F70" t="s">
        <v>1514</v>
      </c>
      <c r="H70" t="b">
        <f t="shared" si="3"/>
        <v>0</v>
      </c>
    </row>
    <row r="71" spans="2:8" x14ac:dyDescent="0.55000000000000004">
      <c r="B71">
        <f t="shared" si="4"/>
        <v>70</v>
      </c>
      <c r="E71">
        <f t="shared" si="5"/>
        <v>70</v>
      </c>
      <c r="F71" t="s">
        <v>1515</v>
      </c>
      <c r="H71" t="b">
        <f t="shared" si="3"/>
        <v>0</v>
      </c>
    </row>
    <row r="72" spans="2:8" x14ac:dyDescent="0.55000000000000004">
      <c r="B72">
        <f t="shared" si="4"/>
        <v>71</v>
      </c>
      <c r="E72">
        <f t="shared" si="5"/>
        <v>71</v>
      </c>
      <c r="F72" t="s">
        <v>1516</v>
      </c>
      <c r="H72" t="b">
        <f t="shared" si="3"/>
        <v>0</v>
      </c>
    </row>
    <row r="73" spans="2:8" x14ac:dyDescent="0.55000000000000004">
      <c r="B73">
        <f t="shared" si="4"/>
        <v>72</v>
      </c>
      <c r="E73">
        <f t="shared" si="5"/>
        <v>72</v>
      </c>
      <c r="F73" t="s">
        <v>1517</v>
      </c>
      <c r="H73" t="b">
        <f t="shared" si="3"/>
        <v>0</v>
      </c>
    </row>
    <row r="74" spans="2:8" x14ac:dyDescent="0.55000000000000004">
      <c r="B74">
        <f t="shared" si="4"/>
        <v>73</v>
      </c>
      <c r="E74">
        <f t="shared" si="5"/>
        <v>73</v>
      </c>
      <c r="F74" t="s">
        <v>1518</v>
      </c>
      <c r="H74" t="b">
        <f t="shared" si="3"/>
        <v>0</v>
      </c>
    </row>
    <row r="75" spans="2:8" x14ac:dyDescent="0.55000000000000004">
      <c r="B75">
        <f t="shared" si="4"/>
        <v>74</v>
      </c>
      <c r="E75">
        <f t="shared" si="5"/>
        <v>74</v>
      </c>
      <c r="F75" t="s">
        <v>1519</v>
      </c>
      <c r="H75" t="b">
        <f t="shared" si="3"/>
        <v>0</v>
      </c>
    </row>
    <row r="76" spans="2:8" x14ac:dyDescent="0.55000000000000004">
      <c r="B76">
        <f t="shared" si="4"/>
        <v>75</v>
      </c>
      <c r="E76">
        <f t="shared" si="5"/>
        <v>75</v>
      </c>
      <c r="F76" t="s">
        <v>1523</v>
      </c>
      <c r="H76" t="b">
        <f t="shared" si="3"/>
        <v>0</v>
      </c>
    </row>
    <row r="77" spans="2:8" x14ac:dyDescent="0.55000000000000004">
      <c r="B77">
        <f t="shared" si="4"/>
        <v>76</v>
      </c>
      <c r="E77">
        <f t="shared" si="5"/>
        <v>76</v>
      </c>
      <c r="F77" t="s">
        <v>1520</v>
      </c>
      <c r="H77" t="b">
        <f t="shared" si="3"/>
        <v>0</v>
      </c>
    </row>
    <row r="78" spans="2:8" x14ac:dyDescent="0.55000000000000004">
      <c r="B78">
        <f t="shared" si="4"/>
        <v>77</v>
      </c>
      <c r="E78">
        <f t="shared" si="5"/>
        <v>77</v>
      </c>
      <c r="F78" t="s">
        <v>1521</v>
      </c>
      <c r="H78" t="b">
        <f t="shared" si="3"/>
        <v>0</v>
      </c>
    </row>
    <row r="79" spans="2:8" x14ac:dyDescent="0.55000000000000004">
      <c r="B79">
        <f t="shared" si="4"/>
        <v>78</v>
      </c>
      <c r="E79">
        <f t="shared" si="5"/>
        <v>78</v>
      </c>
      <c r="F79" t="s">
        <v>1522</v>
      </c>
      <c r="H79" t="b">
        <f t="shared" si="3"/>
        <v>0</v>
      </c>
    </row>
    <row r="80" spans="2:8" x14ac:dyDescent="0.55000000000000004">
      <c r="B80">
        <f t="shared" si="4"/>
        <v>79</v>
      </c>
      <c r="E80">
        <f t="shared" si="5"/>
        <v>79</v>
      </c>
      <c r="F80" t="s">
        <v>1524</v>
      </c>
      <c r="H80" t="b">
        <f t="shared" si="3"/>
        <v>0</v>
      </c>
    </row>
    <row r="81" spans="2:8" x14ac:dyDescent="0.55000000000000004">
      <c r="B81">
        <f t="shared" si="4"/>
        <v>80</v>
      </c>
      <c r="E81">
        <f t="shared" si="5"/>
        <v>80</v>
      </c>
      <c r="F81" s="6" t="s">
        <v>1525</v>
      </c>
      <c r="H81" t="b">
        <f t="shared" si="3"/>
        <v>0</v>
      </c>
    </row>
    <row r="82" spans="2:8" x14ac:dyDescent="0.55000000000000004">
      <c r="B82">
        <f t="shared" si="4"/>
        <v>81</v>
      </c>
      <c r="E82">
        <f t="shared" si="5"/>
        <v>81</v>
      </c>
      <c r="F82" t="s">
        <v>1530</v>
      </c>
      <c r="H82" t="b">
        <f t="shared" si="3"/>
        <v>0</v>
      </c>
    </row>
    <row r="83" spans="2:8" x14ac:dyDescent="0.55000000000000004">
      <c r="B83">
        <f t="shared" si="4"/>
        <v>82</v>
      </c>
      <c r="E83">
        <f t="shared" si="5"/>
        <v>82</v>
      </c>
      <c r="F83" t="s">
        <v>1526</v>
      </c>
      <c r="H83" t="b">
        <f t="shared" si="3"/>
        <v>0</v>
      </c>
    </row>
    <row r="84" spans="2:8" x14ac:dyDescent="0.55000000000000004">
      <c r="B84">
        <f t="shared" si="4"/>
        <v>83</v>
      </c>
      <c r="E84">
        <f t="shared" si="5"/>
        <v>83</v>
      </c>
      <c r="F84" t="s">
        <v>1527</v>
      </c>
      <c r="H84" t="b">
        <f t="shared" si="3"/>
        <v>0</v>
      </c>
    </row>
    <row r="85" spans="2:8" x14ac:dyDescent="0.55000000000000004">
      <c r="B85">
        <f t="shared" si="4"/>
        <v>84</v>
      </c>
      <c r="E85">
        <f t="shared" si="5"/>
        <v>84</v>
      </c>
      <c r="F85" t="s">
        <v>1528</v>
      </c>
      <c r="H85" t="b">
        <f t="shared" si="3"/>
        <v>0</v>
      </c>
    </row>
    <row r="86" spans="2:8" x14ac:dyDescent="0.55000000000000004">
      <c r="B86">
        <f t="shared" si="4"/>
        <v>85</v>
      </c>
      <c r="C86" t="s">
        <v>1232</v>
      </c>
      <c r="E86">
        <f t="shared" si="5"/>
        <v>85</v>
      </c>
      <c r="F86" t="s">
        <v>1232</v>
      </c>
      <c r="H86" t="b">
        <f t="shared" si="3"/>
        <v>1</v>
      </c>
    </row>
    <row r="87" spans="2:8" x14ac:dyDescent="0.55000000000000004">
      <c r="B87">
        <f t="shared" si="4"/>
        <v>86</v>
      </c>
      <c r="C87" t="s">
        <v>1233</v>
      </c>
      <c r="E87">
        <f t="shared" si="5"/>
        <v>86</v>
      </c>
      <c r="F87" t="s">
        <v>1233</v>
      </c>
      <c r="H87" t="b">
        <f t="shared" si="3"/>
        <v>1</v>
      </c>
    </row>
    <row r="88" spans="2:8" x14ac:dyDescent="0.55000000000000004">
      <c r="B88">
        <f t="shared" si="4"/>
        <v>87</v>
      </c>
      <c r="C88" t="s">
        <v>1234</v>
      </c>
      <c r="E88">
        <f t="shared" si="5"/>
        <v>87</v>
      </c>
      <c r="F88" t="s">
        <v>1234</v>
      </c>
      <c r="H88" t="b">
        <f t="shared" si="3"/>
        <v>1</v>
      </c>
    </row>
    <row r="89" spans="2:8" x14ac:dyDescent="0.55000000000000004">
      <c r="B89">
        <f t="shared" si="4"/>
        <v>88</v>
      </c>
      <c r="C89" t="s">
        <v>1235</v>
      </c>
      <c r="E89">
        <f t="shared" si="5"/>
        <v>88</v>
      </c>
      <c r="F89" t="s">
        <v>1235</v>
      </c>
      <c r="H89" t="b">
        <f t="shared" si="3"/>
        <v>1</v>
      </c>
    </row>
    <row r="90" spans="2:8" x14ac:dyDescent="0.55000000000000004">
      <c r="B90">
        <f t="shared" si="4"/>
        <v>89</v>
      </c>
      <c r="C90" t="s">
        <v>1236</v>
      </c>
      <c r="E90">
        <f t="shared" si="5"/>
        <v>89</v>
      </c>
      <c r="F90" t="s">
        <v>1236</v>
      </c>
      <c r="H90" t="b">
        <f t="shared" si="3"/>
        <v>1</v>
      </c>
    </row>
    <row r="91" spans="2:8" x14ac:dyDescent="0.55000000000000004">
      <c r="B91">
        <f t="shared" si="4"/>
        <v>90</v>
      </c>
      <c r="C91" t="s">
        <v>1237</v>
      </c>
      <c r="E91">
        <f t="shared" si="5"/>
        <v>90</v>
      </c>
      <c r="F91" t="s">
        <v>1237</v>
      </c>
      <c r="H91" t="b">
        <f t="shared" si="3"/>
        <v>1</v>
      </c>
    </row>
    <row r="92" spans="2:8" x14ac:dyDescent="0.55000000000000004">
      <c r="B92">
        <f t="shared" si="4"/>
        <v>91</v>
      </c>
      <c r="C92" t="s">
        <v>1238</v>
      </c>
      <c r="E92">
        <f t="shared" si="5"/>
        <v>91</v>
      </c>
      <c r="F92" t="s">
        <v>1238</v>
      </c>
      <c r="H92" t="b">
        <f t="shared" si="3"/>
        <v>1</v>
      </c>
    </row>
    <row r="93" spans="2:8" x14ac:dyDescent="0.55000000000000004">
      <c r="B93">
        <f t="shared" si="4"/>
        <v>92</v>
      </c>
      <c r="C93" t="s">
        <v>1239</v>
      </c>
      <c r="E93">
        <f t="shared" si="5"/>
        <v>92</v>
      </c>
      <c r="F93" t="s">
        <v>1239</v>
      </c>
      <c r="H93" t="b">
        <f t="shared" si="3"/>
        <v>1</v>
      </c>
    </row>
    <row r="94" spans="2:8" x14ac:dyDescent="0.55000000000000004">
      <c r="B94">
        <f t="shared" si="4"/>
        <v>93</v>
      </c>
      <c r="C94" t="s">
        <v>1240</v>
      </c>
      <c r="E94">
        <f t="shared" si="5"/>
        <v>93</v>
      </c>
      <c r="F94" t="s">
        <v>1240</v>
      </c>
      <c r="H94" t="b">
        <f t="shared" si="3"/>
        <v>1</v>
      </c>
    </row>
    <row r="95" spans="2:8" x14ac:dyDescent="0.55000000000000004">
      <c r="B95">
        <f t="shared" si="4"/>
        <v>94</v>
      </c>
      <c r="C95" t="s">
        <v>1241</v>
      </c>
      <c r="E95">
        <f t="shared" si="5"/>
        <v>94</v>
      </c>
      <c r="F95" t="s">
        <v>1241</v>
      </c>
      <c r="H95" t="b">
        <f t="shared" si="3"/>
        <v>1</v>
      </c>
    </row>
    <row r="96" spans="2:8" x14ac:dyDescent="0.55000000000000004">
      <c r="B96">
        <f t="shared" si="4"/>
        <v>95</v>
      </c>
      <c r="C96" t="s">
        <v>1242</v>
      </c>
      <c r="E96">
        <f t="shared" si="5"/>
        <v>95</v>
      </c>
      <c r="F96" t="s">
        <v>1242</v>
      </c>
      <c r="H96" t="b">
        <f t="shared" si="3"/>
        <v>1</v>
      </c>
    </row>
    <row r="97" spans="2:8" x14ac:dyDescent="0.55000000000000004">
      <c r="B97">
        <f t="shared" si="4"/>
        <v>96</v>
      </c>
      <c r="C97" t="s">
        <v>1243</v>
      </c>
      <c r="E97">
        <f t="shared" si="5"/>
        <v>96</v>
      </c>
      <c r="F97" t="s">
        <v>1243</v>
      </c>
      <c r="H97" t="b">
        <f t="shared" si="3"/>
        <v>1</v>
      </c>
    </row>
    <row r="98" spans="2:8" x14ac:dyDescent="0.55000000000000004">
      <c r="B98">
        <f t="shared" si="4"/>
        <v>97</v>
      </c>
      <c r="C98" t="s">
        <v>1244</v>
      </c>
      <c r="E98">
        <f t="shared" si="5"/>
        <v>97</v>
      </c>
      <c r="F98" t="s">
        <v>1244</v>
      </c>
      <c r="H98" t="b">
        <f t="shared" si="3"/>
        <v>1</v>
      </c>
    </row>
    <row r="99" spans="2:8" x14ac:dyDescent="0.55000000000000004">
      <c r="B99">
        <f t="shared" si="4"/>
        <v>98</v>
      </c>
      <c r="C99" t="s">
        <v>1245</v>
      </c>
      <c r="E99">
        <f t="shared" si="5"/>
        <v>98</v>
      </c>
      <c r="F99" t="s">
        <v>1245</v>
      </c>
      <c r="H99" t="b">
        <f t="shared" si="3"/>
        <v>1</v>
      </c>
    </row>
    <row r="100" spans="2:8" x14ac:dyDescent="0.55000000000000004">
      <c r="B100">
        <f t="shared" si="4"/>
        <v>99</v>
      </c>
      <c r="C100" t="s">
        <v>1246</v>
      </c>
      <c r="E100">
        <f t="shared" si="5"/>
        <v>99</v>
      </c>
      <c r="F100" t="s">
        <v>1246</v>
      </c>
      <c r="H100" t="b">
        <f t="shared" si="3"/>
        <v>1</v>
      </c>
    </row>
    <row r="101" spans="2:8" x14ac:dyDescent="0.55000000000000004">
      <c r="B101">
        <f t="shared" si="4"/>
        <v>100</v>
      </c>
      <c r="C101" t="s">
        <v>1247</v>
      </c>
      <c r="E101">
        <f t="shared" si="5"/>
        <v>100</v>
      </c>
      <c r="F101" t="s">
        <v>1247</v>
      </c>
      <c r="H101" t="b">
        <f t="shared" si="3"/>
        <v>1</v>
      </c>
    </row>
    <row r="102" spans="2:8" x14ac:dyDescent="0.55000000000000004">
      <c r="B102">
        <f t="shared" si="4"/>
        <v>101</v>
      </c>
      <c r="C102" t="s">
        <v>1248</v>
      </c>
      <c r="E102">
        <f t="shared" si="5"/>
        <v>101</v>
      </c>
      <c r="F102" t="s">
        <v>1248</v>
      </c>
      <c r="H102" t="b">
        <f t="shared" si="3"/>
        <v>1</v>
      </c>
    </row>
    <row r="103" spans="2:8" x14ac:dyDescent="0.55000000000000004">
      <c r="B103">
        <f t="shared" si="4"/>
        <v>102</v>
      </c>
      <c r="C103" t="s">
        <v>1249</v>
      </c>
      <c r="E103">
        <f t="shared" si="5"/>
        <v>102</v>
      </c>
      <c r="F103" t="s">
        <v>1249</v>
      </c>
      <c r="H103" t="b">
        <f t="shared" si="3"/>
        <v>1</v>
      </c>
    </row>
    <row r="104" spans="2:8" x14ac:dyDescent="0.55000000000000004">
      <c r="B104">
        <f t="shared" si="4"/>
        <v>103</v>
      </c>
      <c r="C104" s="5" t="s">
        <v>1250</v>
      </c>
      <c r="E104">
        <f t="shared" si="5"/>
        <v>103</v>
      </c>
      <c r="F104" s="7" t="s">
        <v>1250</v>
      </c>
      <c r="H104" t="b">
        <f t="shared" si="3"/>
        <v>1</v>
      </c>
    </row>
    <row r="105" spans="2:8" x14ac:dyDescent="0.55000000000000004">
      <c r="B105">
        <f t="shared" si="4"/>
        <v>104</v>
      </c>
      <c r="C105" s="5" t="s">
        <v>1251</v>
      </c>
      <c r="E105">
        <f t="shared" si="5"/>
        <v>104</v>
      </c>
      <c r="F105" s="7" t="s">
        <v>1251</v>
      </c>
      <c r="H105" t="b">
        <f t="shared" si="3"/>
        <v>1</v>
      </c>
    </row>
    <row r="106" spans="2:8" x14ac:dyDescent="0.55000000000000004">
      <c r="B106">
        <f t="shared" si="4"/>
        <v>105</v>
      </c>
      <c r="C106" t="s">
        <v>1252</v>
      </c>
      <c r="E106">
        <f t="shared" si="5"/>
        <v>105</v>
      </c>
      <c r="F106" t="s">
        <v>1252</v>
      </c>
      <c r="H106" t="b">
        <f t="shared" si="3"/>
        <v>1</v>
      </c>
    </row>
    <row r="107" spans="2:8" x14ac:dyDescent="0.55000000000000004">
      <c r="B107">
        <f t="shared" si="4"/>
        <v>106</v>
      </c>
      <c r="C107" t="s">
        <v>1253</v>
      </c>
      <c r="E107">
        <f t="shared" si="5"/>
        <v>106</v>
      </c>
      <c r="F107" t="s">
        <v>1253</v>
      </c>
      <c r="H107" t="b">
        <f t="shared" si="3"/>
        <v>1</v>
      </c>
    </row>
    <row r="108" spans="2:8" x14ac:dyDescent="0.55000000000000004">
      <c r="B108">
        <f t="shared" si="4"/>
        <v>107</v>
      </c>
      <c r="C108" t="s">
        <v>1254</v>
      </c>
      <c r="E108">
        <f t="shared" si="5"/>
        <v>107</v>
      </c>
      <c r="F108" t="s">
        <v>1254</v>
      </c>
      <c r="H108" t="b">
        <f t="shared" si="3"/>
        <v>1</v>
      </c>
    </row>
    <row r="109" spans="2:8" x14ac:dyDescent="0.55000000000000004">
      <c r="B109">
        <f t="shared" si="4"/>
        <v>108</v>
      </c>
      <c r="C109" t="s">
        <v>1255</v>
      </c>
      <c r="E109">
        <f t="shared" si="5"/>
        <v>108</v>
      </c>
      <c r="F109" t="s">
        <v>1255</v>
      </c>
      <c r="H109" t="b">
        <f t="shared" si="3"/>
        <v>1</v>
      </c>
    </row>
    <row r="110" spans="2:8" x14ac:dyDescent="0.55000000000000004">
      <c r="B110">
        <f t="shared" si="4"/>
        <v>109</v>
      </c>
      <c r="C110" t="s">
        <v>1256</v>
      </c>
      <c r="E110">
        <f t="shared" si="5"/>
        <v>109</v>
      </c>
      <c r="F110" t="s">
        <v>1256</v>
      </c>
      <c r="H110" t="b">
        <f t="shared" si="3"/>
        <v>1</v>
      </c>
    </row>
    <row r="111" spans="2:8" x14ac:dyDescent="0.55000000000000004">
      <c r="B111">
        <f t="shared" si="4"/>
        <v>110</v>
      </c>
      <c r="C111" t="s">
        <v>1257</v>
      </c>
      <c r="E111">
        <f t="shared" si="5"/>
        <v>110</v>
      </c>
      <c r="F111" t="s">
        <v>1257</v>
      </c>
      <c r="H111" t="b">
        <f t="shared" si="3"/>
        <v>1</v>
      </c>
    </row>
    <row r="112" spans="2:8" x14ac:dyDescent="0.55000000000000004">
      <c r="B112">
        <f t="shared" si="4"/>
        <v>111</v>
      </c>
      <c r="C112" t="s">
        <v>1258</v>
      </c>
      <c r="E112">
        <f t="shared" si="5"/>
        <v>111</v>
      </c>
      <c r="F112" t="s">
        <v>1258</v>
      </c>
      <c r="H112" t="b">
        <f t="shared" si="3"/>
        <v>1</v>
      </c>
    </row>
    <row r="113" spans="2:8" x14ac:dyDescent="0.55000000000000004">
      <c r="B113">
        <f t="shared" si="4"/>
        <v>112</v>
      </c>
      <c r="C113" t="s">
        <v>1259</v>
      </c>
      <c r="E113">
        <f t="shared" si="5"/>
        <v>112</v>
      </c>
      <c r="F113" t="s">
        <v>1259</v>
      </c>
      <c r="H113" t="b">
        <f t="shared" si="3"/>
        <v>1</v>
      </c>
    </row>
    <row r="114" spans="2:8" x14ac:dyDescent="0.55000000000000004">
      <c r="B114">
        <f t="shared" si="4"/>
        <v>113</v>
      </c>
      <c r="C114" s="5" t="s">
        <v>1260</v>
      </c>
      <c r="E114">
        <f t="shared" si="5"/>
        <v>113</v>
      </c>
      <c r="F114" s="7" t="s">
        <v>1260</v>
      </c>
      <c r="H114" t="b">
        <f t="shared" si="3"/>
        <v>1</v>
      </c>
    </row>
    <row r="115" spans="2:8" x14ac:dyDescent="0.55000000000000004">
      <c r="B115">
        <f t="shared" si="4"/>
        <v>114</v>
      </c>
      <c r="C115" s="5" t="s">
        <v>1261</v>
      </c>
      <c r="E115">
        <f t="shared" si="5"/>
        <v>114</v>
      </c>
      <c r="F115" s="7" t="s">
        <v>1261</v>
      </c>
      <c r="H115" t="b">
        <f t="shared" si="3"/>
        <v>1</v>
      </c>
    </row>
    <row r="116" spans="2:8" x14ac:dyDescent="0.55000000000000004">
      <c r="B116">
        <f t="shared" si="4"/>
        <v>115</v>
      </c>
      <c r="C116" s="5" t="s">
        <v>1262</v>
      </c>
      <c r="E116">
        <f t="shared" si="5"/>
        <v>115</v>
      </c>
      <c r="F116" s="7" t="s">
        <v>1262</v>
      </c>
      <c r="H116" t="b">
        <f t="shared" si="3"/>
        <v>1</v>
      </c>
    </row>
    <row r="117" spans="2:8" x14ac:dyDescent="0.55000000000000004">
      <c r="B117">
        <f t="shared" si="4"/>
        <v>116</v>
      </c>
      <c r="C117" s="5" t="s">
        <v>1263</v>
      </c>
      <c r="E117">
        <f t="shared" si="5"/>
        <v>116</v>
      </c>
      <c r="F117" s="7" t="s">
        <v>1263</v>
      </c>
      <c r="H117" t="b">
        <f t="shared" si="3"/>
        <v>1</v>
      </c>
    </row>
    <row r="118" spans="2:8" x14ac:dyDescent="0.55000000000000004">
      <c r="B118">
        <f t="shared" si="4"/>
        <v>117</v>
      </c>
      <c r="C118" s="5" t="s">
        <v>1264</v>
      </c>
      <c r="E118">
        <f t="shared" si="5"/>
        <v>117</v>
      </c>
      <c r="F118" s="7" t="s">
        <v>1264</v>
      </c>
      <c r="H118" t="b">
        <f t="shared" si="3"/>
        <v>1</v>
      </c>
    </row>
    <row r="119" spans="2:8" x14ac:dyDescent="0.55000000000000004">
      <c r="B119">
        <f t="shared" si="4"/>
        <v>118</v>
      </c>
      <c r="C119" s="5" t="s">
        <v>1265</v>
      </c>
      <c r="E119">
        <f t="shared" si="5"/>
        <v>118</v>
      </c>
      <c r="F119" s="7" t="s">
        <v>1265</v>
      </c>
      <c r="H119" t="b">
        <f t="shared" si="3"/>
        <v>1</v>
      </c>
    </row>
    <row r="120" spans="2:8" x14ac:dyDescent="0.55000000000000004">
      <c r="B120">
        <f t="shared" si="4"/>
        <v>119</v>
      </c>
      <c r="C120" s="5" t="s">
        <v>1266</v>
      </c>
      <c r="E120">
        <f t="shared" si="5"/>
        <v>119</v>
      </c>
      <c r="F120" s="7" t="s">
        <v>1266</v>
      </c>
      <c r="H120" t="b">
        <f t="shared" si="3"/>
        <v>1</v>
      </c>
    </row>
    <row r="121" spans="2:8" x14ac:dyDescent="0.55000000000000004">
      <c r="B121">
        <f t="shared" si="4"/>
        <v>120</v>
      </c>
      <c r="E121">
        <f t="shared" si="5"/>
        <v>120</v>
      </c>
      <c r="F121" t="s">
        <v>1267</v>
      </c>
      <c r="H121" t="b">
        <f t="shared" si="3"/>
        <v>0</v>
      </c>
    </row>
    <row r="122" spans="2:8" x14ac:dyDescent="0.55000000000000004">
      <c r="B122">
        <f t="shared" si="4"/>
        <v>121</v>
      </c>
      <c r="C122" t="s">
        <v>1268</v>
      </c>
      <c r="E122">
        <f t="shared" si="5"/>
        <v>121</v>
      </c>
      <c r="F122" t="s">
        <v>1268</v>
      </c>
      <c r="H122" t="b">
        <f t="shared" si="3"/>
        <v>1</v>
      </c>
    </row>
    <row r="123" spans="2:8" x14ac:dyDescent="0.55000000000000004">
      <c r="B123">
        <f t="shared" si="4"/>
        <v>122</v>
      </c>
      <c r="C123" t="s">
        <v>1269</v>
      </c>
      <c r="E123">
        <f t="shared" si="5"/>
        <v>122</v>
      </c>
      <c r="F123" t="s">
        <v>1269</v>
      </c>
      <c r="H123" t="b">
        <f t="shared" si="3"/>
        <v>1</v>
      </c>
    </row>
    <row r="124" spans="2:8" x14ac:dyDescent="0.55000000000000004">
      <c r="B124">
        <f t="shared" si="4"/>
        <v>123</v>
      </c>
      <c r="C124" t="s">
        <v>1270</v>
      </c>
      <c r="E124">
        <f t="shared" si="5"/>
        <v>123</v>
      </c>
      <c r="F124" t="s">
        <v>1270</v>
      </c>
      <c r="H124" t="b">
        <f t="shared" si="3"/>
        <v>1</v>
      </c>
    </row>
    <row r="125" spans="2:8" x14ac:dyDescent="0.55000000000000004">
      <c r="B125">
        <f t="shared" si="4"/>
        <v>124</v>
      </c>
      <c r="C125" t="s">
        <v>1273</v>
      </c>
      <c r="E125">
        <f t="shared" si="5"/>
        <v>124</v>
      </c>
      <c r="F125" t="s">
        <v>1273</v>
      </c>
      <c r="H125" t="b">
        <f t="shared" si="3"/>
        <v>1</v>
      </c>
    </row>
    <row r="126" spans="2:8" x14ac:dyDescent="0.55000000000000004">
      <c r="B126">
        <f t="shared" si="4"/>
        <v>125</v>
      </c>
      <c r="C126" t="s">
        <v>1274</v>
      </c>
      <c r="E126">
        <f t="shared" si="5"/>
        <v>125</v>
      </c>
      <c r="F126" t="s">
        <v>1274</v>
      </c>
      <c r="H126" t="b">
        <f t="shared" si="3"/>
        <v>1</v>
      </c>
    </row>
    <row r="127" spans="2:8" x14ac:dyDescent="0.55000000000000004">
      <c r="B127">
        <f t="shared" si="4"/>
        <v>126</v>
      </c>
      <c r="C127" t="s">
        <v>1275</v>
      </c>
      <c r="E127">
        <f t="shared" si="5"/>
        <v>126</v>
      </c>
      <c r="F127" t="s">
        <v>1275</v>
      </c>
      <c r="H127" t="b">
        <f t="shared" si="3"/>
        <v>1</v>
      </c>
    </row>
    <row r="128" spans="2:8" x14ac:dyDescent="0.55000000000000004">
      <c r="B128">
        <f t="shared" si="4"/>
        <v>127</v>
      </c>
      <c r="C128" t="s">
        <v>1276</v>
      </c>
      <c r="E128">
        <f t="shared" si="5"/>
        <v>127</v>
      </c>
      <c r="F128" t="s">
        <v>1276</v>
      </c>
      <c r="H128" t="b">
        <f t="shared" si="3"/>
        <v>1</v>
      </c>
    </row>
    <row r="129" spans="2:8" x14ac:dyDescent="0.55000000000000004">
      <c r="B129">
        <f t="shared" si="4"/>
        <v>128</v>
      </c>
      <c r="C129" t="s">
        <v>1277</v>
      </c>
      <c r="E129">
        <f t="shared" si="5"/>
        <v>128</v>
      </c>
      <c r="F129" t="s">
        <v>1277</v>
      </c>
      <c r="H129" t="b">
        <f t="shared" si="3"/>
        <v>1</v>
      </c>
    </row>
    <row r="130" spans="2:8" x14ac:dyDescent="0.55000000000000004">
      <c r="B130">
        <f t="shared" si="4"/>
        <v>129</v>
      </c>
      <c r="C130" t="s">
        <v>1278</v>
      </c>
      <c r="E130">
        <f t="shared" si="5"/>
        <v>129</v>
      </c>
      <c r="F130" t="s">
        <v>1278</v>
      </c>
      <c r="H130" t="b">
        <f t="shared" si="3"/>
        <v>1</v>
      </c>
    </row>
    <row r="131" spans="2:8" x14ac:dyDescent="0.55000000000000004">
      <c r="B131">
        <f t="shared" si="4"/>
        <v>130</v>
      </c>
      <c r="C131" t="s">
        <v>1279</v>
      </c>
      <c r="E131">
        <f t="shared" si="5"/>
        <v>130</v>
      </c>
      <c r="F131" t="s">
        <v>1279</v>
      </c>
      <c r="H131" t="b">
        <f t="shared" ref="H131:H194" si="6">C131=F131</f>
        <v>1</v>
      </c>
    </row>
    <row r="132" spans="2:8" x14ac:dyDescent="0.55000000000000004">
      <c r="B132">
        <f t="shared" ref="B132:B195" si="7">B131+1</f>
        <v>131</v>
      </c>
      <c r="C132" t="s">
        <v>1280</v>
      </c>
      <c r="E132">
        <f t="shared" ref="E132:E195" si="8">E131+1</f>
        <v>131</v>
      </c>
      <c r="F132" t="s">
        <v>1280</v>
      </c>
      <c r="H132" t="b">
        <f t="shared" si="6"/>
        <v>1</v>
      </c>
    </row>
    <row r="133" spans="2:8" x14ac:dyDescent="0.55000000000000004">
      <c r="B133">
        <f t="shared" si="7"/>
        <v>132</v>
      </c>
      <c r="C133" t="s">
        <v>1281</v>
      </c>
      <c r="E133">
        <f t="shared" si="8"/>
        <v>132</v>
      </c>
      <c r="F133" t="s">
        <v>1281</v>
      </c>
      <c r="H133" t="b">
        <f t="shared" si="6"/>
        <v>1</v>
      </c>
    </row>
    <row r="134" spans="2:8" x14ac:dyDescent="0.55000000000000004">
      <c r="B134">
        <f t="shared" si="7"/>
        <v>133</v>
      </c>
      <c r="C134" t="s">
        <v>1282</v>
      </c>
      <c r="E134">
        <f t="shared" si="8"/>
        <v>133</v>
      </c>
      <c r="F134" t="s">
        <v>1282</v>
      </c>
      <c r="H134" t="b">
        <f t="shared" si="6"/>
        <v>1</v>
      </c>
    </row>
    <row r="135" spans="2:8" x14ac:dyDescent="0.55000000000000004">
      <c r="B135">
        <f t="shared" si="7"/>
        <v>134</v>
      </c>
      <c r="C135" t="s">
        <v>1283</v>
      </c>
      <c r="E135">
        <f t="shared" si="8"/>
        <v>134</v>
      </c>
      <c r="F135" t="s">
        <v>1283</v>
      </c>
      <c r="H135" t="b">
        <f t="shared" si="6"/>
        <v>1</v>
      </c>
    </row>
    <row r="136" spans="2:8" x14ac:dyDescent="0.55000000000000004">
      <c r="B136">
        <f t="shared" si="7"/>
        <v>135</v>
      </c>
      <c r="C136" t="s">
        <v>1284</v>
      </c>
      <c r="E136">
        <f t="shared" si="8"/>
        <v>135</v>
      </c>
      <c r="F136" t="s">
        <v>1284</v>
      </c>
      <c r="H136" t="b">
        <f t="shared" si="6"/>
        <v>1</v>
      </c>
    </row>
    <row r="137" spans="2:8" x14ac:dyDescent="0.55000000000000004">
      <c r="B137">
        <f t="shared" si="7"/>
        <v>136</v>
      </c>
      <c r="C137" t="s">
        <v>1285</v>
      </c>
      <c r="E137">
        <f t="shared" si="8"/>
        <v>136</v>
      </c>
      <c r="F137" t="s">
        <v>1285</v>
      </c>
      <c r="H137" t="b">
        <f t="shared" si="6"/>
        <v>1</v>
      </c>
    </row>
    <row r="138" spans="2:8" x14ac:dyDescent="0.55000000000000004">
      <c r="B138">
        <f t="shared" si="7"/>
        <v>137</v>
      </c>
      <c r="C138" t="s">
        <v>1286</v>
      </c>
      <c r="E138">
        <f t="shared" si="8"/>
        <v>137</v>
      </c>
      <c r="F138" t="s">
        <v>1286</v>
      </c>
      <c r="H138" t="b">
        <f t="shared" si="6"/>
        <v>1</v>
      </c>
    </row>
    <row r="139" spans="2:8" x14ac:dyDescent="0.55000000000000004">
      <c r="B139">
        <f t="shared" si="7"/>
        <v>138</v>
      </c>
      <c r="C139" t="s">
        <v>1287</v>
      </c>
      <c r="E139">
        <f t="shared" si="8"/>
        <v>138</v>
      </c>
      <c r="F139" t="s">
        <v>1287</v>
      </c>
      <c r="H139" t="b">
        <f t="shared" si="6"/>
        <v>1</v>
      </c>
    </row>
    <row r="140" spans="2:8" x14ac:dyDescent="0.55000000000000004">
      <c r="B140">
        <f t="shared" si="7"/>
        <v>139</v>
      </c>
      <c r="C140" t="s">
        <v>1288</v>
      </c>
      <c r="E140">
        <f t="shared" si="8"/>
        <v>139</v>
      </c>
      <c r="F140" t="s">
        <v>1288</v>
      </c>
      <c r="H140" t="b">
        <f t="shared" si="6"/>
        <v>1</v>
      </c>
    </row>
    <row r="141" spans="2:8" x14ac:dyDescent="0.55000000000000004">
      <c r="B141">
        <f t="shared" si="7"/>
        <v>140</v>
      </c>
      <c r="C141" t="s">
        <v>1289</v>
      </c>
      <c r="E141">
        <f t="shared" si="8"/>
        <v>140</v>
      </c>
      <c r="F141" t="s">
        <v>1289</v>
      </c>
      <c r="H141" t="b">
        <f t="shared" si="6"/>
        <v>1</v>
      </c>
    </row>
    <row r="142" spans="2:8" x14ac:dyDescent="0.55000000000000004">
      <c r="B142">
        <f t="shared" si="7"/>
        <v>141</v>
      </c>
      <c r="C142" t="s">
        <v>1290</v>
      </c>
      <c r="E142">
        <f t="shared" si="8"/>
        <v>141</v>
      </c>
      <c r="F142" t="s">
        <v>1290</v>
      </c>
      <c r="H142" t="b">
        <f t="shared" si="6"/>
        <v>1</v>
      </c>
    </row>
    <row r="143" spans="2:8" x14ac:dyDescent="0.55000000000000004">
      <c r="B143">
        <f t="shared" si="7"/>
        <v>142</v>
      </c>
      <c r="C143" t="s">
        <v>1291</v>
      </c>
      <c r="E143">
        <f t="shared" si="8"/>
        <v>142</v>
      </c>
      <c r="F143" t="s">
        <v>1291</v>
      </c>
      <c r="H143" t="b">
        <f t="shared" si="6"/>
        <v>1</v>
      </c>
    </row>
    <row r="144" spans="2:8" x14ac:dyDescent="0.55000000000000004">
      <c r="B144">
        <f t="shared" si="7"/>
        <v>143</v>
      </c>
      <c r="C144" t="s">
        <v>1292</v>
      </c>
      <c r="E144">
        <f t="shared" si="8"/>
        <v>143</v>
      </c>
      <c r="F144" t="s">
        <v>1292</v>
      </c>
      <c r="H144" t="b">
        <f t="shared" si="6"/>
        <v>1</v>
      </c>
    </row>
    <row r="145" spans="2:8" x14ac:dyDescent="0.55000000000000004">
      <c r="B145">
        <f t="shared" si="7"/>
        <v>144</v>
      </c>
      <c r="C145" t="s">
        <v>1293</v>
      </c>
      <c r="E145">
        <f t="shared" si="8"/>
        <v>144</v>
      </c>
      <c r="F145" t="s">
        <v>1293</v>
      </c>
      <c r="H145" t="b">
        <f t="shared" si="6"/>
        <v>1</v>
      </c>
    </row>
    <row r="146" spans="2:8" x14ac:dyDescent="0.55000000000000004">
      <c r="B146">
        <f t="shared" si="7"/>
        <v>145</v>
      </c>
      <c r="C146" t="s">
        <v>1294</v>
      </c>
      <c r="E146">
        <f t="shared" si="8"/>
        <v>145</v>
      </c>
      <c r="F146" t="s">
        <v>1294</v>
      </c>
      <c r="H146" t="b">
        <f t="shared" si="6"/>
        <v>1</v>
      </c>
    </row>
    <row r="147" spans="2:8" x14ac:dyDescent="0.55000000000000004">
      <c r="B147">
        <f t="shared" si="7"/>
        <v>146</v>
      </c>
      <c r="C147" t="s">
        <v>1295</v>
      </c>
      <c r="E147">
        <f t="shared" si="8"/>
        <v>146</v>
      </c>
      <c r="F147" t="s">
        <v>1295</v>
      </c>
      <c r="H147" t="b">
        <f t="shared" si="6"/>
        <v>1</v>
      </c>
    </row>
    <row r="148" spans="2:8" x14ac:dyDescent="0.55000000000000004">
      <c r="B148">
        <f t="shared" si="7"/>
        <v>147</v>
      </c>
      <c r="C148" t="s">
        <v>1296</v>
      </c>
      <c r="E148">
        <f t="shared" si="8"/>
        <v>147</v>
      </c>
      <c r="F148" t="s">
        <v>1296</v>
      </c>
      <c r="H148" t="b">
        <f t="shared" si="6"/>
        <v>1</v>
      </c>
    </row>
    <row r="149" spans="2:8" x14ac:dyDescent="0.55000000000000004">
      <c r="B149">
        <f t="shared" si="7"/>
        <v>148</v>
      </c>
      <c r="C149" t="s">
        <v>1271</v>
      </c>
      <c r="E149">
        <f t="shared" si="8"/>
        <v>148</v>
      </c>
      <c r="F149" t="s">
        <v>1271</v>
      </c>
      <c r="H149" t="b">
        <f t="shared" si="6"/>
        <v>1</v>
      </c>
    </row>
    <row r="150" spans="2:8" x14ac:dyDescent="0.55000000000000004">
      <c r="B150">
        <f t="shared" si="7"/>
        <v>149</v>
      </c>
      <c r="C150" t="s">
        <v>1297</v>
      </c>
      <c r="E150">
        <f t="shared" si="8"/>
        <v>149</v>
      </c>
      <c r="F150" t="s">
        <v>1297</v>
      </c>
      <c r="H150" t="b">
        <f t="shared" si="6"/>
        <v>1</v>
      </c>
    </row>
    <row r="151" spans="2:8" x14ac:dyDescent="0.55000000000000004">
      <c r="B151">
        <f t="shared" si="7"/>
        <v>150</v>
      </c>
      <c r="C151" t="s">
        <v>1298</v>
      </c>
      <c r="E151">
        <f t="shared" si="8"/>
        <v>150</v>
      </c>
      <c r="F151" t="s">
        <v>1298</v>
      </c>
      <c r="H151" t="b">
        <f t="shared" si="6"/>
        <v>1</v>
      </c>
    </row>
    <row r="152" spans="2:8" x14ac:dyDescent="0.55000000000000004">
      <c r="B152">
        <f t="shared" si="7"/>
        <v>151</v>
      </c>
      <c r="C152" t="s">
        <v>1299</v>
      </c>
      <c r="E152">
        <f t="shared" si="8"/>
        <v>151</v>
      </c>
      <c r="F152" t="s">
        <v>1299</v>
      </c>
      <c r="H152" t="b">
        <f t="shared" si="6"/>
        <v>1</v>
      </c>
    </row>
    <row r="153" spans="2:8" x14ac:dyDescent="0.55000000000000004">
      <c r="B153">
        <f t="shared" si="7"/>
        <v>152</v>
      </c>
      <c r="C153" t="s">
        <v>1300</v>
      </c>
      <c r="E153">
        <f t="shared" si="8"/>
        <v>152</v>
      </c>
      <c r="F153" t="s">
        <v>1300</v>
      </c>
      <c r="H153" t="b">
        <f t="shared" si="6"/>
        <v>1</v>
      </c>
    </row>
    <row r="154" spans="2:8" x14ac:dyDescent="0.55000000000000004">
      <c r="B154">
        <f t="shared" si="7"/>
        <v>153</v>
      </c>
      <c r="C154" t="s">
        <v>1301</v>
      </c>
      <c r="E154">
        <f t="shared" si="8"/>
        <v>153</v>
      </c>
      <c r="F154" t="s">
        <v>1301</v>
      </c>
      <c r="H154" t="b">
        <f t="shared" si="6"/>
        <v>1</v>
      </c>
    </row>
    <row r="155" spans="2:8" x14ac:dyDescent="0.55000000000000004">
      <c r="B155">
        <f t="shared" si="7"/>
        <v>154</v>
      </c>
      <c r="C155" t="s">
        <v>1302</v>
      </c>
      <c r="E155">
        <f t="shared" si="8"/>
        <v>154</v>
      </c>
      <c r="F155" t="s">
        <v>1302</v>
      </c>
      <c r="H155" t="b">
        <f t="shared" si="6"/>
        <v>1</v>
      </c>
    </row>
    <row r="156" spans="2:8" x14ac:dyDescent="0.55000000000000004">
      <c r="B156">
        <f t="shared" si="7"/>
        <v>155</v>
      </c>
      <c r="C156" t="s">
        <v>1303</v>
      </c>
      <c r="E156">
        <f t="shared" si="8"/>
        <v>155</v>
      </c>
      <c r="F156" t="s">
        <v>1303</v>
      </c>
      <c r="H156" t="b">
        <f t="shared" si="6"/>
        <v>1</v>
      </c>
    </row>
    <row r="157" spans="2:8" x14ac:dyDescent="0.55000000000000004">
      <c r="B157">
        <f t="shared" si="7"/>
        <v>156</v>
      </c>
      <c r="C157" t="s">
        <v>1304</v>
      </c>
      <c r="E157">
        <f t="shared" si="8"/>
        <v>156</v>
      </c>
      <c r="F157" t="s">
        <v>1304</v>
      </c>
      <c r="H157" t="b">
        <f t="shared" si="6"/>
        <v>1</v>
      </c>
    </row>
    <row r="158" spans="2:8" x14ac:dyDescent="0.55000000000000004">
      <c r="B158">
        <f t="shared" si="7"/>
        <v>157</v>
      </c>
      <c r="C158" t="s">
        <v>1305</v>
      </c>
      <c r="E158">
        <f t="shared" si="8"/>
        <v>157</v>
      </c>
      <c r="F158" t="s">
        <v>1305</v>
      </c>
      <c r="H158" t="b">
        <f t="shared" si="6"/>
        <v>1</v>
      </c>
    </row>
    <row r="159" spans="2:8" x14ac:dyDescent="0.55000000000000004">
      <c r="B159">
        <f t="shared" si="7"/>
        <v>158</v>
      </c>
      <c r="C159" t="s">
        <v>1306</v>
      </c>
      <c r="E159">
        <f t="shared" si="8"/>
        <v>158</v>
      </c>
      <c r="F159" t="s">
        <v>1306</v>
      </c>
      <c r="H159" t="b">
        <f t="shared" si="6"/>
        <v>1</v>
      </c>
    </row>
    <row r="160" spans="2:8" x14ac:dyDescent="0.55000000000000004">
      <c r="B160">
        <f t="shared" si="7"/>
        <v>159</v>
      </c>
      <c r="C160" t="s">
        <v>1307</v>
      </c>
      <c r="E160">
        <f t="shared" si="8"/>
        <v>159</v>
      </c>
      <c r="F160" t="s">
        <v>1307</v>
      </c>
      <c r="H160" t="b">
        <f t="shared" si="6"/>
        <v>1</v>
      </c>
    </row>
    <row r="161" spans="2:8" x14ac:dyDescent="0.55000000000000004">
      <c r="B161">
        <f t="shared" si="7"/>
        <v>160</v>
      </c>
      <c r="C161" t="s">
        <v>1308</v>
      </c>
      <c r="E161">
        <f t="shared" si="8"/>
        <v>160</v>
      </c>
      <c r="F161" t="s">
        <v>1308</v>
      </c>
      <c r="H161" t="b">
        <f t="shared" si="6"/>
        <v>1</v>
      </c>
    </row>
    <row r="162" spans="2:8" x14ac:dyDescent="0.55000000000000004">
      <c r="B162">
        <f t="shared" si="7"/>
        <v>161</v>
      </c>
      <c r="C162" t="s">
        <v>1272</v>
      </c>
      <c r="E162">
        <f t="shared" si="8"/>
        <v>161</v>
      </c>
      <c r="F162" t="s">
        <v>1272</v>
      </c>
      <c r="H162" t="b">
        <f t="shared" si="6"/>
        <v>1</v>
      </c>
    </row>
    <row r="163" spans="2:8" x14ac:dyDescent="0.55000000000000004">
      <c r="B163">
        <f t="shared" si="7"/>
        <v>162</v>
      </c>
      <c r="C163" t="s">
        <v>1309</v>
      </c>
      <c r="E163">
        <f t="shared" si="8"/>
        <v>162</v>
      </c>
      <c r="F163" t="s">
        <v>1309</v>
      </c>
      <c r="H163" t="b">
        <f t="shared" si="6"/>
        <v>1</v>
      </c>
    </row>
    <row r="164" spans="2:8" x14ac:dyDescent="0.55000000000000004">
      <c r="B164">
        <f t="shared" si="7"/>
        <v>163</v>
      </c>
      <c r="C164" t="s">
        <v>1310</v>
      </c>
      <c r="E164">
        <f t="shared" si="8"/>
        <v>163</v>
      </c>
      <c r="F164" t="s">
        <v>1310</v>
      </c>
      <c r="H164" t="b">
        <f t="shared" si="6"/>
        <v>1</v>
      </c>
    </row>
    <row r="165" spans="2:8" x14ac:dyDescent="0.55000000000000004">
      <c r="B165">
        <f t="shared" si="7"/>
        <v>164</v>
      </c>
      <c r="C165" t="s">
        <v>1311</v>
      </c>
      <c r="E165">
        <f t="shared" si="8"/>
        <v>164</v>
      </c>
      <c r="F165" t="s">
        <v>1311</v>
      </c>
      <c r="H165" t="b">
        <f t="shared" si="6"/>
        <v>1</v>
      </c>
    </row>
    <row r="166" spans="2:8" x14ac:dyDescent="0.55000000000000004">
      <c r="B166">
        <f t="shared" si="7"/>
        <v>165</v>
      </c>
      <c r="C166" t="s">
        <v>1312</v>
      </c>
      <c r="E166">
        <f t="shared" si="8"/>
        <v>165</v>
      </c>
      <c r="F166" t="s">
        <v>1312</v>
      </c>
      <c r="H166" t="b">
        <f t="shared" si="6"/>
        <v>1</v>
      </c>
    </row>
    <row r="167" spans="2:8" x14ac:dyDescent="0.55000000000000004">
      <c r="B167">
        <f t="shared" si="7"/>
        <v>166</v>
      </c>
      <c r="C167" t="s">
        <v>1313</v>
      </c>
      <c r="E167">
        <f t="shared" si="8"/>
        <v>166</v>
      </c>
      <c r="F167" t="s">
        <v>1313</v>
      </c>
      <c r="H167" t="b">
        <f t="shared" si="6"/>
        <v>1</v>
      </c>
    </row>
    <row r="168" spans="2:8" x14ac:dyDescent="0.55000000000000004">
      <c r="B168">
        <f t="shared" si="7"/>
        <v>167</v>
      </c>
      <c r="C168" t="s">
        <v>1314</v>
      </c>
      <c r="E168">
        <f t="shared" si="8"/>
        <v>167</v>
      </c>
      <c r="F168" t="s">
        <v>1314</v>
      </c>
      <c r="H168" t="b">
        <f t="shared" si="6"/>
        <v>1</v>
      </c>
    </row>
    <row r="169" spans="2:8" x14ac:dyDescent="0.55000000000000004">
      <c r="B169">
        <f t="shared" si="7"/>
        <v>168</v>
      </c>
      <c r="C169" t="s">
        <v>1315</v>
      </c>
      <c r="E169">
        <f t="shared" si="8"/>
        <v>168</v>
      </c>
      <c r="F169" t="s">
        <v>1315</v>
      </c>
      <c r="H169" t="b">
        <f t="shared" si="6"/>
        <v>1</v>
      </c>
    </row>
    <row r="170" spans="2:8" x14ac:dyDescent="0.55000000000000004">
      <c r="B170">
        <f t="shared" si="7"/>
        <v>169</v>
      </c>
      <c r="C170" t="s">
        <v>1316</v>
      </c>
      <c r="E170">
        <f t="shared" si="8"/>
        <v>169</v>
      </c>
      <c r="F170" t="s">
        <v>1316</v>
      </c>
      <c r="H170" t="b">
        <f t="shared" si="6"/>
        <v>1</v>
      </c>
    </row>
    <row r="171" spans="2:8" x14ac:dyDescent="0.55000000000000004">
      <c r="B171">
        <f t="shared" si="7"/>
        <v>170</v>
      </c>
      <c r="C171" t="s">
        <v>1317</v>
      </c>
      <c r="E171">
        <f t="shared" si="8"/>
        <v>170</v>
      </c>
      <c r="F171" t="s">
        <v>1317</v>
      </c>
      <c r="H171" t="b">
        <f t="shared" si="6"/>
        <v>1</v>
      </c>
    </row>
    <row r="172" spans="2:8" x14ac:dyDescent="0.55000000000000004">
      <c r="B172">
        <f t="shared" si="7"/>
        <v>171</v>
      </c>
      <c r="C172" t="s">
        <v>1318</v>
      </c>
      <c r="E172">
        <f t="shared" si="8"/>
        <v>171</v>
      </c>
      <c r="F172" t="s">
        <v>1318</v>
      </c>
      <c r="H172" t="b">
        <f t="shared" si="6"/>
        <v>1</v>
      </c>
    </row>
    <row r="173" spans="2:8" x14ac:dyDescent="0.55000000000000004">
      <c r="B173">
        <f t="shared" si="7"/>
        <v>172</v>
      </c>
      <c r="C173" t="s">
        <v>1319</v>
      </c>
      <c r="E173">
        <f t="shared" si="8"/>
        <v>172</v>
      </c>
      <c r="F173" t="s">
        <v>1319</v>
      </c>
      <c r="H173" t="b">
        <f t="shared" si="6"/>
        <v>1</v>
      </c>
    </row>
    <row r="174" spans="2:8" x14ac:dyDescent="0.55000000000000004">
      <c r="B174">
        <f t="shared" si="7"/>
        <v>173</v>
      </c>
      <c r="C174" t="s">
        <v>1320</v>
      </c>
      <c r="E174">
        <f t="shared" si="8"/>
        <v>173</v>
      </c>
      <c r="F174" t="s">
        <v>1320</v>
      </c>
      <c r="H174" t="b">
        <f t="shared" si="6"/>
        <v>1</v>
      </c>
    </row>
    <row r="175" spans="2:8" x14ac:dyDescent="0.55000000000000004">
      <c r="B175">
        <f t="shared" si="7"/>
        <v>174</v>
      </c>
      <c r="C175" t="s">
        <v>1321</v>
      </c>
      <c r="E175">
        <f t="shared" si="8"/>
        <v>174</v>
      </c>
      <c r="F175" t="s">
        <v>1321</v>
      </c>
      <c r="H175" t="b">
        <f t="shared" si="6"/>
        <v>1</v>
      </c>
    </row>
    <row r="176" spans="2:8" x14ac:dyDescent="0.55000000000000004">
      <c r="B176">
        <f t="shared" si="7"/>
        <v>175</v>
      </c>
      <c r="C176" t="s">
        <v>1322</v>
      </c>
      <c r="E176">
        <f t="shared" si="8"/>
        <v>175</v>
      </c>
      <c r="F176" t="s">
        <v>1322</v>
      </c>
      <c r="H176" t="b">
        <f t="shared" si="6"/>
        <v>1</v>
      </c>
    </row>
    <row r="177" spans="2:8" x14ac:dyDescent="0.55000000000000004">
      <c r="B177">
        <f t="shared" si="7"/>
        <v>176</v>
      </c>
      <c r="C177" t="s">
        <v>1323</v>
      </c>
      <c r="E177">
        <f t="shared" si="8"/>
        <v>176</v>
      </c>
      <c r="F177" t="s">
        <v>1323</v>
      </c>
      <c r="H177" t="b">
        <f t="shared" si="6"/>
        <v>1</v>
      </c>
    </row>
    <row r="178" spans="2:8" x14ac:dyDescent="0.55000000000000004">
      <c r="B178">
        <f t="shared" si="7"/>
        <v>177</v>
      </c>
      <c r="C178" t="s">
        <v>1324</v>
      </c>
      <c r="E178">
        <f t="shared" si="8"/>
        <v>177</v>
      </c>
      <c r="F178" t="s">
        <v>1324</v>
      </c>
      <c r="H178" t="b">
        <f t="shared" si="6"/>
        <v>1</v>
      </c>
    </row>
    <row r="179" spans="2:8" x14ac:dyDescent="0.55000000000000004">
      <c r="B179">
        <f t="shared" si="7"/>
        <v>178</v>
      </c>
      <c r="C179" t="s">
        <v>1325</v>
      </c>
      <c r="E179">
        <f t="shared" si="8"/>
        <v>178</v>
      </c>
      <c r="F179" t="s">
        <v>1325</v>
      </c>
      <c r="H179" t="b">
        <f t="shared" si="6"/>
        <v>1</v>
      </c>
    </row>
    <row r="180" spans="2:8" x14ac:dyDescent="0.55000000000000004">
      <c r="B180">
        <f t="shared" si="7"/>
        <v>179</v>
      </c>
      <c r="C180" t="s">
        <v>1326</v>
      </c>
      <c r="E180">
        <f t="shared" si="8"/>
        <v>179</v>
      </c>
      <c r="F180" t="s">
        <v>1326</v>
      </c>
      <c r="H180" t="b">
        <f t="shared" si="6"/>
        <v>1</v>
      </c>
    </row>
    <row r="181" spans="2:8" x14ac:dyDescent="0.55000000000000004">
      <c r="B181">
        <f t="shared" si="7"/>
        <v>180</v>
      </c>
      <c r="C181" t="s">
        <v>1327</v>
      </c>
      <c r="E181">
        <f t="shared" si="8"/>
        <v>180</v>
      </c>
      <c r="F181" t="s">
        <v>1327</v>
      </c>
      <c r="H181" t="b">
        <f t="shared" si="6"/>
        <v>1</v>
      </c>
    </row>
    <row r="182" spans="2:8" x14ac:dyDescent="0.55000000000000004">
      <c r="B182">
        <f t="shared" si="7"/>
        <v>181</v>
      </c>
      <c r="C182" t="s">
        <v>1328</v>
      </c>
      <c r="E182">
        <f t="shared" si="8"/>
        <v>181</v>
      </c>
      <c r="F182" t="s">
        <v>1328</v>
      </c>
      <c r="H182" t="b">
        <f t="shared" si="6"/>
        <v>1</v>
      </c>
    </row>
    <row r="183" spans="2:8" x14ac:dyDescent="0.55000000000000004">
      <c r="B183">
        <f t="shared" si="7"/>
        <v>182</v>
      </c>
      <c r="C183" t="s">
        <v>1329</v>
      </c>
      <c r="E183">
        <f t="shared" si="8"/>
        <v>182</v>
      </c>
      <c r="F183" t="s">
        <v>1329</v>
      </c>
      <c r="H183" t="b">
        <f t="shared" si="6"/>
        <v>1</v>
      </c>
    </row>
    <row r="184" spans="2:8" x14ac:dyDescent="0.55000000000000004">
      <c r="B184">
        <f t="shared" si="7"/>
        <v>183</v>
      </c>
      <c r="C184" t="s">
        <v>1330</v>
      </c>
      <c r="E184">
        <f t="shared" si="8"/>
        <v>183</v>
      </c>
      <c r="F184" t="s">
        <v>1330</v>
      </c>
      <c r="H184" t="b">
        <f t="shared" si="6"/>
        <v>1</v>
      </c>
    </row>
    <row r="185" spans="2:8" x14ac:dyDescent="0.55000000000000004">
      <c r="B185">
        <f t="shared" si="7"/>
        <v>184</v>
      </c>
      <c r="C185" t="s">
        <v>1331</v>
      </c>
      <c r="E185">
        <f t="shared" si="8"/>
        <v>184</v>
      </c>
      <c r="F185" t="s">
        <v>1331</v>
      </c>
      <c r="H185" t="b">
        <f t="shared" si="6"/>
        <v>1</v>
      </c>
    </row>
    <row r="186" spans="2:8" x14ac:dyDescent="0.55000000000000004">
      <c r="B186">
        <f t="shared" si="7"/>
        <v>185</v>
      </c>
      <c r="C186" t="s">
        <v>1332</v>
      </c>
      <c r="E186">
        <f t="shared" si="8"/>
        <v>185</v>
      </c>
      <c r="F186" t="s">
        <v>1332</v>
      </c>
      <c r="H186" t="b">
        <f t="shared" si="6"/>
        <v>1</v>
      </c>
    </row>
    <row r="187" spans="2:8" x14ac:dyDescent="0.55000000000000004">
      <c r="B187">
        <f t="shared" si="7"/>
        <v>186</v>
      </c>
      <c r="C187" t="s">
        <v>1333</v>
      </c>
      <c r="E187">
        <f t="shared" si="8"/>
        <v>186</v>
      </c>
      <c r="F187" t="s">
        <v>1333</v>
      </c>
      <c r="H187" t="b">
        <f t="shared" si="6"/>
        <v>1</v>
      </c>
    </row>
    <row r="188" spans="2:8" x14ac:dyDescent="0.55000000000000004">
      <c r="B188">
        <f t="shared" si="7"/>
        <v>187</v>
      </c>
      <c r="C188" t="s">
        <v>1334</v>
      </c>
      <c r="E188">
        <f t="shared" si="8"/>
        <v>187</v>
      </c>
      <c r="F188" t="s">
        <v>1334</v>
      </c>
      <c r="H188" t="b">
        <f t="shared" si="6"/>
        <v>1</v>
      </c>
    </row>
    <row r="189" spans="2:8" x14ac:dyDescent="0.55000000000000004">
      <c r="B189">
        <f t="shared" si="7"/>
        <v>188</v>
      </c>
      <c r="C189" t="s">
        <v>1335</v>
      </c>
      <c r="E189">
        <f t="shared" si="8"/>
        <v>188</v>
      </c>
      <c r="F189" t="s">
        <v>1446</v>
      </c>
      <c r="H189" t="b">
        <f t="shared" si="6"/>
        <v>0</v>
      </c>
    </row>
    <row r="190" spans="2:8" x14ac:dyDescent="0.55000000000000004">
      <c r="B190">
        <f t="shared" si="7"/>
        <v>189</v>
      </c>
      <c r="C190" t="s">
        <v>1531</v>
      </c>
      <c r="E190">
        <f t="shared" si="8"/>
        <v>189</v>
      </c>
      <c r="F190" t="s">
        <v>1335</v>
      </c>
      <c r="H190" t="b">
        <f t="shared" si="6"/>
        <v>0</v>
      </c>
    </row>
    <row r="191" spans="2:8" x14ac:dyDescent="0.55000000000000004">
      <c r="B191">
        <f t="shared" si="7"/>
        <v>190</v>
      </c>
      <c r="C191" s="5" t="s">
        <v>1336</v>
      </c>
      <c r="E191">
        <f t="shared" si="8"/>
        <v>190</v>
      </c>
      <c r="F191" s="7" t="s">
        <v>1336</v>
      </c>
      <c r="H191" t="b">
        <f t="shared" si="6"/>
        <v>1</v>
      </c>
    </row>
    <row r="192" spans="2:8" x14ac:dyDescent="0.55000000000000004">
      <c r="B192">
        <f t="shared" si="7"/>
        <v>191</v>
      </c>
      <c r="C192" t="s">
        <v>1337</v>
      </c>
      <c r="E192">
        <f t="shared" si="8"/>
        <v>191</v>
      </c>
      <c r="F192" t="s">
        <v>1337</v>
      </c>
      <c r="H192" t="b">
        <f t="shared" si="6"/>
        <v>1</v>
      </c>
    </row>
    <row r="193" spans="2:8" x14ac:dyDescent="0.55000000000000004">
      <c r="B193">
        <f t="shared" si="7"/>
        <v>192</v>
      </c>
      <c r="C193" t="s">
        <v>1338</v>
      </c>
      <c r="E193">
        <f t="shared" si="8"/>
        <v>192</v>
      </c>
      <c r="F193" t="s">
        <v>1338</v>
      </c>
      <c r="H193" t="b">
        <f t="shared" si="6"/>
        <v>1</v>
      </c>
    </row>
    <row r="194" spans="2:8" x14ac:dyDescent="0.55000000000000004">
      <c r="B194">
        <f t="shared" si="7"/>
        <v>193</v>
      </c>
      <c r="C194" t="s">
        <v>1339</v>
      </c>
      <c r="E194">
        <f t="shared" si="8"/>
        <v>193</v>
      </c>
      <c r="F194" t="s">
        <v>1339</v>
      </c>
      <c r="H194" t="b">
        <f t="shared" si="6"/>
        <v>1</v>
      </c>
    </row>
    <row r="195" spans="2:8" x14ac:dyDescent="0.55000000000000004">
      <c r="B195">
        <f t="shared" si="7"/>
        <v>194</v>
      </c>
      <c r="C195" t="s">
        <v>1340</v>
      </c>
      <c r="E195">
        <f t="shared" si="8"/>
        <v>194</v>
      </c>
      <c r="F195" t="s">
        <v>1340</v>
      </c>
      <c r="H195" t="b">
        <f t="shared" ref="H195:H258" si="9">C195=F195</f>
        <v>1</v>
      </c>
    </row>
    <row r="196" spans="2:8" x14ac:dyDescent="0.55000000000000004">
      <c r="B196">
        <f t="shared" ref="B196:B259" si="10">B195+1</f>
        <v>195</v>
      </c>
      <c r="C196" t="s">
        <v>1341</v>
      </c>
      <c r="E196">
        <f t="shared" ref="E196:E259" si="11">E195+1</f>
        <v>195</v>
      </c>
      <c r="F196" t="s">
        <v>1341</v>
      </c>
      <c r="H196" t="b">
        <f t="shared" si="9"/>
        <v>1</v>
      </c>
    </row>
    <row r="197" spans="2:8" x14ac:dyDescent="0.55000000000000004">
      <c r="B197">
        <f t="shared" si="10"/>
        <v>196</v>
      </c>
      <c r="C197" t="s">
        <v>1342</v>
      </c>
      <c r="E197">
        <f t="shared" si="11"/>
        <v>196</v>
      </c>
      <c r="F197" t="s">
        <v>1342</v>
      </c>
      <c r="H197" t="b">
        <f t="shared" si="9"/>
        <v>1</v>
      </c>
    </row>
    <row r="198" spans="2:8" x14ac:dyDescent="0.55000000000000004">
      <c r="B198">
        <f t="shared" si="10"/>
        <v>197</v>
      </c>
      <c r="C198" t="s">
        <v>1343</v>
      </c>
      <c r="E198">
        <f t="shared" si="11"/>
        <v>197</v>
      </c>
      <c r="F198" t="s">
        <v>1343</v>
      </c>
      <c r="H198" t="b">
        <f t="shared" si="9"/>
        <v>1</v>
      </c>
    </row>
    <row r="199" spans="2:8" x14ac:dyDescent="0.55000000000000004">
      <c r="B199">
        <f t="shared" si="10"/>
        <v>198</v>
      </c>
      <c r="C199" t="s">
        <v>1344</v>
      </c>
      <c r="E199">
        <f t="shared" si="11"/>
        <v>198</v>
      </c>
      <c r="F199" t="s">
        <v>1344</v>
      </c>
      <c r="H199" t="b">
        <f t="shared" si="9"/>
        <v>1</v>
      </c>
    </row>
    <row r="200" spans="2:8" x14ac:dyDescent="0.55000000000000004">
      <c r="B200">
        <f t="shared" si="10"/>
        <v>199</v>
      </c>
      <c r="C200" t="s">
        <v>1345</v>
      </c>
      <c r="E200">
        <f t="shared" si="11"/>
        <v>199</v>
      </c>
      <c r="F200" t="s">
        <v>1345</v>
      </c>
      <c r="H200" t="b">
        <f t="shared" si="9"/>
        <v>1</v>
      </c>
    </row>
    <row r="201" spans="2:8" x14ac:dyDescent="0.55000000000000004">
      <c r="B201">
        <f t="shared" si="10"/>
        <v>200</v>
      </c>
      <c r="C201" t="s">
        <v>1346</v>
      </c>
      <c r="E201">
        <f t="shared" si="11"/>
        <v>200</v>
      </c>
      <c r="F201" t="s">
        <v>1346</v>
      </c>
      <c r="H201" t="b">
        <f t="shared" si="9"/>
        <v>1</v>
      </c>
    </row>
    <row r="202" spans="2:8" x14ac:dyDescent="0.55000000000000004">
      <c r="B202">
        <f t="shared" si="10"/>
        <v>201</v>
      </c>
      <c r="C202" t="s">
        <v>1347</v>
      </c>
      <c r="E202">
        <f t="shared" si="11"/>
        <v>201</v>
      </c>
      <c r="F202" t="s">
        <v>1347</v>
      </c>
      <c r="H202" t="b">
        <f t="shared" si="9"/>
        <v>1</v>
      </c>
    </row>
    <row r="203" spans="2:8" x14ac:dyDescent="0.55000000000000004">
      <c r="B203">
        <f t="shared" si="10"/>
        <v>202</v>
      </c>
      <c r="C203" t="s">
        <v>1348</v>
      </c>
      <c r="E203">
        <f t="shared" si="11"/>
        <v>202</v>
      </c>
      <c r="F203" t="s">
        <v>1348</v>
      </c>
      <c r="H203" t="b">
        <f t="shared" si="9"/>
        <v>1</v>
      </c>
    </row>
    <row r="204" spans="2:8" x14ac:dyDescent="0.55000000000000004">
      <c r="B204">
        <f t="shared" si="10"/>
        <v>203</v>
      </c>
      <c r="C204" t="s">
        <v>1349</v>
      </c>
      <c r="E204">
        <f t="shared" si="11"/>
        <v>203</v>
      </c>
      <c r="F204" t="s">
        <v>1349</v>
      </c>
      <c r="H204" t="b">
        <f t="shared" si="9"/>
        <v>1</v>
      </c>
    </row>
    <row r="205" spans="2:8" x14ac:dyDescent="0.55000000000000004">
      <c r="B205">
        <f t="shared" si="10"/>
        <v>204</v>
      </c>
      <c r="C205" t="s">
        <v>1350</v>
      </c>
      <c r="E205">
        <f t="shared" si="11"/>
        <v>204</v>
      </c>
      <c r="F205" t="s">
        <v>1350</v>
      </c>
      <c r="H205" t="b">
        <f t="shared" si="9"/>
        <v>1</v>
      </c>
    </row>
    <row r="206" spans="2:8" x14ac:dyDescent="0.55000000000000004">
      <c r="B206">
        <f t="shared" si="10"/>
        <v>205</v>
      </c>
      <c r="C206" t="s">
        <v>1351</v>
      </c>
      <c r="E206">
        <f t="shared" si="11"/>
        <v>205</v>
      </c>
      <c r="F206" t="s">
        <v>1351</v>
      </c>
      <c r="H206" t="b">
        <f t="shared" si="9"/>
        <v>1</v>
      </c>
    </row>
    <row r="207" spans="2:8" x14ac:dyDescent="0.55000000000000004">
      <c r="B207">
        <f t="shared" si="10"/>
        <v>206</v>
      </c>
      <c r="C207" t="s">
        <v>1352</v>
      </c>
      <c r="E207">
        <f t="shared" si="11"/>
        <v>206</v>
      </c>
      <c r="F207" t="s">
        <v>1352</v>
      </c>
      <c r="H207" t="b">
        <f t="shared" si="9"/>
        <v>1</v>
      </c>
    </row>
    <row r="208" spans="2:8" x14ac:dyDescent="0.55000000000000004">
      <c r="B208">
        <f t="shared" si="10"/>
        <v>207</v>
      </c>
      <c r="C208" t="s">
        <v>1353</v>
      </c>
      <c r="E208">
        <f t="shared" si="11"/>
        <v>207</v>
      </c>
      <c r="F208" t="s">
        <v>1353</v>
      </c>
      <c r="H208" t="b">
        <f t="shared" si="9"/>
        <v>1</v>
      </c>
    </row>
    <row r="209" spans="2:8" x14ac:dyDescent="0.55000000000000004">
      <c r="B209">
        <f t="shared" si="10"/>
        <v>208</v>
      </c>
      <c r="C209" t="s">
        <v>1354</v>
      </c>
      <c r="E209">
        <f t="shared" si="11"/>
        <v>208</v>
      </c>
      <c r="F209" t="s">
        <v>1354</v>
      </c>
      <c r="H209" t="b">
        <f t="shared" si="9"/>
        <v>1</v>
      </c>
    </row>
    <row r="210" spans="2:8" x14ac:dyDescent="0.55000000000000004">
      <c r="B210">
        <f t="shared" si="10"/>
        <v>209</v>
      </c>
      <c r="C210" t="s">
        <v>1355</v>
      </c>
      <c r="E210">
        <f t="shared" si="11"/>
        <v>209</v>
      </c>
      <c r="F210" t="s">
        <v>1355</v>
      </c>
      <c r="H210" t="b">
        <f t="shared" si="9"/>
        <v>1</v>
      </c>
    </row>
    <row r="211" spans="2:8" x14ac:dyDescent="0.55000000000000004">
      <c r="B211">
        <f t="shared" si="10"/>
        <v>210</v>
      </c>
      <c r="C211" s="4" t="s">
        <v>1532</v>
      </c>
      <c r="E211">
        <f t="shared" si="11"/>
        <v>210</v>
      </c>
      <c r="H211" t="b">
        <f t="shared" si="9"/>
        <v>0</v>
      </c>
    </row>
    <row r="212" spans="2:8" x14ac:dyDescent="0.55000000000000004">
      <c r="B212">
        <f t="shared" si="10"/>
        <v>211</v>
      </c>
      <c r="C212" s="4" t="s">
        <v>1533</v>
      </c>
      <c r="E212">
        <f t="shared" si="11"/>
        <v>211</v>
      </c>
      <c r="H212" t="b">
        <f t="shared" si="9"/>
        <v>0</v>
      </c>
    </row>
    <row r="213" spans="2:8" x14ac:dyDescent="0.55000000000000004">
      <c r="B213">
        <f t="shared" si="10"/>
        <v>212</v>
      </c>
      <c r="C213" s="5" t="s">
        <v>1356</v>
      </c>
      <c r="E213">
        <f t="shared" si="11"/>
        <v>212</v>
      </c>
      <c r="F213" s="7" t="s">
        <v>1356</v>
      </c>
      <c r="H213" t="b">
        <f t="shared" si="9"/>
        <v>1</v>
      </c>
    </row>
    <row r="214" spans="2:8" x14ac:dyDescent="0.55000000000000004">
      <c r="B214">
        <f t="shared" si="10"/>
        <v>213</v>
      </c>
      <c r="C214" s="5" t="s">
        <v>1357</v>
      </c>
      <c r="E214">
        <f t="shared" si="11"/>
        <v>213</v>
      </c>
      <c r="F214" s="7" t="s">
        <v>1357</v>
      </c>
      <c r="H214" t="b">
        <f t="shared" si="9"/>
        <v>1</v>
      </c>
    </row>
    <row r="215" spans="2:8" x14ac:dyDescent="0.55000000000000004">
      <c r="B215">
        <f t="shared" si="10"/>
        <v>214</v>
      </c>
      <c r="C215" s="5" t="s">
        <v>1358</v>
      </c>
      <c r="E215">
        <f t="shared" si="11"/>
        <v>214</v>
      </c>
      <c r="F215" s="7" t="s">
        <v>1358</v>
      </c>
      <c r="H215" t="b">
        <f t="shared" si="9"/>
        <v>1</v>
      </c>
    </row>
    <row r="216" spans="2:8" x14ac:dyDescent="0.55000000000000004">
      <c r="B216">
        <f t="shared" si="10"/>
        <v>215</v>
      </c>
      <c r="C216" s="5" t="s">
        <v>1360</v>
      </c>
      <c r="E216">
        <f t="shared" si="11"/>
        <v>215</v>
      </c>
      <c r="F216" s="7" t="s">
        <v>1360</v>
      </c>
      <c r="H216" t="b">
        <f t="shared" si="9"/>
        <v>1</v>
      </c>
    </row>
    <row r="217" spans="2:8" x14ac:dyDescent="0.55000000000000004">
      <c r="B217">
        <f t="shared" si="10"/>
        <v>216</v>
      </c>
      <c r="C217" s="5" t="s">
        <v>1359</v>
      </c>
      <c r="E217">
        <f t="shared" si="11"/>
        <v>216</v>
      </c>
      <c r="F217" s="7" t="s">
        <v>1359</v>
      </c>
      <c r="H217" t="b">
        <f t="shared" si="9"/>
        <v>1</v>
      </c>
    </row>
    <row r="218" spans="2:8" x14ac:dyDescent="0.55000000000000004">
      <c r="B218">
        <f t="shared" si="10"/>
        <v>217</v>
      </c>
      <c r="C218" s="5" t="s">
        <v>1361</v>
      </c>
      <c r="E218">
        <f t="shared" si="11"/>
        <v>217</v>
      </c>
      <c r="F218" s="7" t="s">
        <v>1361</v>
      </c>
      <c r="H218" t="b">
        <f t="shared" si="9"/>
        <v>1</v>
      </c>
    </row>
    <row r="219" spans="2:8" x14ac:dyDescent="0.55000000000000004">
      <c r="B219">
        <f t="shared" si="10"/>
        <v>218</v>
      </c>
      <c r="C219" t="s">
        <v>1362</v>
      </c>
      <c r="E219">
        <f t="shared" si="11"/>
        <v>218</v>
      </c>
      <c r="F219" t="s">
        <v>1362</v>
      </c>
      <c r="H219" t="b">
        <f t="shared" si="9"/>
        <v>1</v>
      </c>
    </row>
    <row r="220" spans="2:8" x14ac:dyDescent="0.55000000000000004">
      <c r="B220">
        <f t="shared" si="10"/>
        <v>219</v>
      </c>
      <c r="E220">
        <f t="shared" si="11"/>
        <v>219</v>
      </c>
      <c r="F220" t="s">
        <v>1421</v>
      </c>
      <c r="H220" t="b">
        <f>C220=F220</f>
        <v>0</v>
      </c>
    </row>
    <row r="221" spans="2:8" x14ac:dyDescent="0.55000000000000004">
      <c r="B221">
        <f t="shared" si="10"/>
        <v>220</v>
      </c>
      <c r="C221" t="s">
        <v>1363</v>
      </c>
      <c r="E221">
        <f t="shared" si="11"/>
        <v>220</v>
      </c>
      <c r="F221" t="s">
        <v>1363</v>
      </c>
      <c r="H221" t="b">
        <f t="shared" si="9"/>
        <v>1</v>
      </c>
    </row>
    <row r="222" spans="2:8" x14ac:dyDescent="0.55000000000000004">
      <c r="B222">
        <f t="shared" si="10"/>
        <v>221</v>
      </c>
      <c r="C222" t="s">
        <v>1364</v>
      </c>
      <c r="E222">
        <f t="shared" si="11"/>
        <v>221</v>
      </c>
      <c r="F222" t="s">
        <v>1364</v>
      </c>
      <c r="H222" t="b">
        <f t="shared" si="9"/>
        <v>1</v>
      </c>
    </row>
    <row r="223" spans="2:8" x14ac:dyDescent="0.55000000000000004">
      <c r="B223">
        <f t="shared" si="10"/>
        <v>222</v>
      </c>
      <c r="C223" t="s">
        <v>1365</v>
      </c>
      <c r="E223">
        <f t="shared" si="11"/>
        <v>222</v>
      </c>
      <c r="F223" t="s">
        <v>1365</v>
      </c>
      <c r="H223" t="b">
        <f t="shared" si="9"/>
        <v>1</v>
      </c>
    </row>
    <row r="224" spans="2:8" x14ac:dyDescent="0.55000000000000004">
      <c r="B224">
        <f t="shared" si="10"/>
        <v>223</v>
      </c>
      <c r="C224" t="s">
        <v>1366</v>
      </c>
      <c r="E224">
        <f t="shared" si="11"/>
        <v>223</v>
      </c>
      <c r="F224" t="s">
        <v>1366</v>
      </c>
      <c r="H224" t="b">
        <f t="shared" si="9"/>
        <v>1</v>
      </c>
    </row>
    <row r="225" spans="2:8" x14ac:dyDescent="0.55000000000000004">
      <c r="B225">
        <f t="shared" si="10"/>
        <v>224</v>
      </c>
      <c r="C225" t="s">
        <v>1422</v>
      </c>
      <c r="E225">
        <f t="shared" si="11"/>
        <v>224</v>
      </c>
      <c r="F225" t="s">
        <v>1422</v>
      </c>
      <c r="H225" t="b">
        <f t="shared" si="9"/>
        <v>1</v>
      </c>
    </row>
    <row r="226" spans="2:8" x14ac:dyDescent="0.55000000000000004">
      <c r="B226">
        <f t="shared" si="10"/>
        <v>225</v>
      </c>
      <c r="C226" t="s">
        <v>1367</v>
      </c>
      <c r="E226">
        <f t="shared" si="11"/>
        <v>225</v>
      </c>
      <c r="F226" t="s">
        <v>1367</v>
      </c>
      <c r="H226" t="b">
        <f t="shared" si="9"/>
        <v>1</v>
      </c>
    </row>
    <row r="227" spans="2:8" x14ac:dyDescent="0.55000000000000004">
      <c r="B227">
        <f t="shared" si="10"/>
        <v>226</v>
      </c>
      <c r="C227" t="s">
        <v>1368</v>
      </c>
      <c r="E227">
        <f t="shared" si="11"/>
        <v>226</v>
      </c>
      <c r="F227" t="s">
        <v>1368</v>
      </c>
      <c r="H227" t="b">
        <f t="shared" si="9"/>
        <v>1</v>
      </c>
    </row>
    <row r="228" spans="2:8" x14ac:dyDescent="0.55000000000000004">
      <c r="B228">
        <f t="shared" si="10"/>
        <v>227</v>
      </c>
      <c r="C228" t="s">
        <v>1369</v>
      </c>
      <c r="E228">
        <f t="shared" si="11"/>
        <v>227</v>
      </c>
      <c r="F228" t="s">
        <v>1369</v>
      </c>
      <c r="H228" t="b">
        <f t="shared" si="9"/>
        <v>1</v>
      </c>
    </row>
    <row r="229" spans="2:8" x14ac:dyDescent="0.55000000000000004">
      <c r="B229">
        <f t="shared" si="10"/>
        <v>228</v>
      </c>
      <c r="C229" t="s">
        <v>1370</v>
      </c>
      <c r="E229">
        <f t="shared" si="11"/>
        <v>228</v>
      </c>
      <c r="F229" t="s">
        <v>1370</v>
      </c>
      <c r="H229" t="b">
        <f t="shared" si="9"/>
        <v>1</v>
      </c>
    </row>
    <row r="230" spans="2:8" x14ac:dyDescent="0.55000000000000004">
      <c r="B230">
        <f t="shared" si="10"/>
        <v>229</v>
      </c>
      <c r="C230" t="s">
        <v>1371</v>
      </c>
      <c r="E230">
        <f t="shared" si="11"/>
        <v>229</v>
      </c>
      <c r="F230" t="s">
        <v>1371</v>
      </c>
      <c r="H230" t="b">
        <f t="shared" si="9"/>
        <v>1</v>
      </c>
    </row>
    <row r="231" spans="2:8" x14ac:dyDescent="0.55000000000000004">
      <c r="B231">
        <f t="shared" si="10"/>
        <v>230</v>
      </c>
      <c r="C231" t="s">
        <v>1372</v>
      </c>
      <c r="E231">
        <f t="shared" si="11"/>
        <v>230</v>
      </c>
      <c r="F231" t="s">
        <v>1372</v>
      </c>
      <c r="H231" t="b">
        <f t="shared" si="9"/>
        <v>1</v>
      </c>
    </row>
    <row r="232" spans="2:8" x14ac:dyDescent="0.55000000000000004">
      <c r="B232">
        <f t="shared" si="10"/>
        <v>231</v>
      </c>
      <c r="C232" t="s">
        <v>1373</v>
      </c>
      <c r="E232">
        <f t="shared" si="11"/>
        <v>231</v>
      </c>
      <c r="F232" t="s">
        <v>1373</v>
      </c>
      <c r="H232" t="b">
        <f t="shared" si="9"/>
        <v>1</v>
      </c>
    </row>
    <row r="233" spans="2:8" x14ac:dyDescent="0.55000000000000004">
      <c r="B233">
        <f t="shared" si="10"/>
        <v>232</v>
      </c>
      <c r="C233" t="s">
        <v>1374</v>
      </c>
      <c r="E233">
        <f t="shared" si="11"/>
        <v>232</v>
      </c>
      <c r="F233" t="s">
        <v>1374</v>
      </c>
      <c r="H233" t="b">
        <f t="shared" si="9"/>
        <v>1</v>
      </c>
    </row>
    <row r="234" spans="2:8" x14ac:dyDescent="0.55000000000000004">
      <c r="B234">
        <f t="shared" si="10"/>
        <v>233</v>
      </c>
      <c r="C234" t="s">
        <v>1375</v>
      </c>
      <c r="E234">
        <f t="shared" si="11"/>
        <v>233</v>
      </c>
      <c r="F234" t="s">
        <v>1375</v>
      </c>
      <c r="H234" t="b">
        <f t="shared" si="9"/>
        <v>1</v>
      </c>
    </row>
    <row r="235" spans="2:8" x14ac:dyDescent="0.55000000000000004">
      <c r="B235">
        <f t="shared" si="10"/>
        <v>234</v>
      </c>
      <c r="C235" t="s">
        <v>1376</v>
      </c>
      <c r="E235">
        <f t="shared" si="11"/>
        <v>234</v>
      </c>
      <c r="F235" t="s">
        <v>1376</v>
      </c>
      <c r="H235" t="b">
        <f t="shared" si="9"/>
        <v>1</v>
      </c>
    </row>
    <row r="236" spans="2:8" x14ac:dyDescent="0.55000000000000004">
      <c r="B236">
        <f t="shared" si="10"/>
        <v>235</v>
      </c>
      <c r="C236" t="s">
        <v>1377</v>
      </c>
      <c r="E236">
        <f t="shared" si="11"/>
        <v>235</v>
      </c>
      <c r="F236" t="s">
        <v>1377</v>
      </c>
      <c r="H236" t="b">
        <f t="shared" si="9"/>
        <v>1</v>
      </c>
    </row>
    <row r="237" spans="2:8" x14ac:dyDescent="0.55000000000000004">
      <c r="B237">
        <f t="shared" si="10"/>
        <v>236</v>
      </c>
      <c r="C237" t="s">
        <v>1378</v>
      </c>
      <c r="E237">
        <f t="shared" si="11"/>
        <v>236</v>
      </c>
      <c r="F237" t="s">
        <v>1378</v>
      </c>
      <c r="H237" t="b">
        <f t="shared" si="9"/>
        <v>1</v>
      </c>
    </row>
    <row r="238" spans="2:8" x14ac:dyDescent="0.55000000000000004">
      <c r="B238">
        <f t="shared" si="10"/>
        <v>237</v>
      </c>
      <c r="C238" t="s">
        <v>1379</v>
      </c>
      <c r="E238">
        <f t="shared" si="11"/>
        <v>237</v>
      </c>
      <c r="F238" t="s">
        <v>1379</v>
      </c>
      <c r="H238" t="b">
        <f t="shared" si="9"/>
        <v>1</v>
      </c>
    </row>
    <row r="239" spans="2:8" x14ac:dyDescent="0.55000000000000004">
      <c r="B239">
        <f t="shared" si="10"/>
        <v>238</v>
      </c>
      <c r="C239" t="s">
        <v>1380</v>
      </c>
      <c r="E239">
        <f t="shared" si="11"/>
        <v>238</v>
      </c>
      <c r="F239" t="s">
        <v>1380</v>
      </c>
      <c r="H239" t="b">
        <f t="shared" si="9"/>
        <v>1</v>
      </c>
    </row>
    <row r="240" spans="2:8" x14ac:dyDescent="0.55000000000000004">
      <c r="B240">
        <f t="shared" si="10"/>
        <v>239</v>
      </c>
      <c r="C240" t="s">
        <v>1381</v>
      </c>
      <c r="E240">
        <f t="shared" si="11"/>
        <v>239</v>
      </c>
      <c r="F240" t="s">
        <v>1381</v>
      </c>
      <c r="H240" t="b">
        <f t="shared" si="9"/>
        <v>1</v>
      </c>
    </row>
    <row r="241" spans="2:8" x14ac:dyDescent="0.55000000000000004">
      <c r="B241">
        <f t="shared" si="10"/>
        <v>240</v>
      </c>
      <c r="C241" t="s">
        <v>1382</v>
      </c>
      <c r="E241">
        <f t="shared" si="11"/>
        <v>240</v>
      </c>
      <c r="F241" t="s">
        <v>1382</v>
      </c>
      <c r="H241" t="b">
        <f t="shared" si="9"/>
        <v>1</v>
      </c>
    </row>
    <row r="242" spans="2:8" x14ac:dyDescent="0.55000000000000004">
      <c r="B242">
        <f t="shared" si="10"/>
        <v>241</v>
      </c>
      <c r="C242" t="s">
        <v>1383</v>
      </c>
      <c r="E242">
        <f t="shared" si="11"/>
        <v>241</v>
      </c>
      <c r="F242" t="s">
        <v>1383</v>
      </c>
      <c r="H242" t="b">
        <f t="shared" si="9"/>
        <v>1</v>
      </c>
    </row>
    <row r="243" spans="2:8" x14ac:dyDescent="0.55000000000000004">
      <c r="B243">
        <f t="shared" si="10"/>
        <v>242</v>
      </c>
      <c r="C243" t="s">
        <v>1384</v>
      </c>
      <c r="E243">
        <f t="shared" si="11"/>
        <v>242</v>
      </c>
      <c r="F243" t="s">
        <v>1384</v>
      </c>
      <c r="H243" t="b">
        <f t="shared" si="9"/>
        <v>1</v>
      </c>
    </row>
    <row r="244" spans="2:8" x14ac:dyDescent="0.55000000000000004">
      <c r="B244">
        <f t="shared" si="10"/>
        <v>243</v>
      </c>
      <c r="C244" t="s">
        <v>1385</v>
      </c>
      <c r="E244">
        <f t="shared" si="11"/>
        <v>243</v>
      </c>
      <c r="F244" t="s">
        <v>1385</v>
      </c>
      <c r="H244" t="b">
        <f t="shared" si="9"/>
        <v>1</v>
      </c>
    </row>
    <row r="245" spans="2:8" x14ac:dyDescent="0.55000000000000004">
      <c r="B245">
        <f t="shared" si="10"/>
        <v>244</v>
      </c>
      <c r="C245" t="s">
        <v>1386</v>
      </c>
      <c r="E245">
        <f t="shared" si="11"/>
        <v>244</v>
      </c>
      <c r="F245" t="s">
        <v>1386</v>
      </c>
      <c r="H245" t="b">
        <f t="shared" si="9"/>
        <v>1</v>
      </c>
    </row>
    <row r="246" spans="2:8" x14ac:dyDescent="0.55000000000000004">
      <c r="B246">
        <f t="shared" si="10"/>
        <v>245</v>
      </c>
      <c r="C246" t="s">
        <v>1387</v>
      </c>
      <c r="E246">
        <f t="shared" si="11"/>
        <v>245</v>
      </c>
      <c r="F246" t="s">
        <v>1387</v>
      </c>
      <c r="H246" t="b">
        <f t="shared" si="9"/>
        <v>1</v>
      </c>
    </row>
    <row r="247" spans="2:8" x14ac:dyDescent="0.55000000000000004">
      <c r="B247">
        <f t="shared" si="10"/>
        <v>246</v>
      </c>
      <c r="C247" t="s">
        <v>1388</v>
      </c>
      <c r="E247">
        <f t="shared" si="11"/>
        <v>246</v>
      </c>
      <c r="F247" t="s">
        <v>1388</v>
      </c>
      <c r="H247" t="b">
        <f t="shared" si="9"/>
        <v>1</v>
      </c>
    </row>
    <row r="248" spans="2:8" x14ac:dyDescent="0.55000000000000004">
      <c r="B248">
        <f t="shared" si="10"/>
        <v>247</v>
      </c>
      <c r="C248" t="s">
        <v>1389</v>
      </c>
      <c r="E248">
        <f t="shared" si="11"/>
        <v>247</v>
      </c>
      <c r="F248" t="s">
        <v>1389</v>
      </c>
      <c r="H248" t="b">
        <f t="shared" si="9"/>
        <v>1</v>
      </c>
    </row>
    <row r="249" spans="2:8" x14ac:dyDescent="0.55000000000000004">
      <c r="B249">
        <f t="shared" si="10"/>
        <v>248</v>
      </c>
      <c r="C249" t="s">
        <v>1390</v>
      </c>
      <c r="E249">
        <f t="shared" si="11"/>
        <v>248</v>
      </c>
      <c r="F249" t="s">
        <v>1390</v>
      </c>
      <c r="H249" t="b">
        <f t="shared" si="9"/>
        <v>1</v>
      </c>
    </row>
    <row r="250" spans="2:8" x14ac:dyDescent="0.55000000000000004">
      <c r="B250">
        <f t="shared" si="10"/>
        <v>249</v>
      </c>
      <c r="C250" t="s">
        <v>1391</v>
      </c>
      <c r="E250">
        <f t="shared" si="11"/>
        <v>249</v>
      </c>
      <c r="F250" t="s">
        <v>1391</v>
      </c>
      <c r="H250" t="b">
        <f t="shared" si="9"/>
        <v>1</v>
      </c>
    </row>
    <row r="251" spans="2:8" x14ac:dyDescent="0.55000000000000004">
      <c r="B251">
        <f t="shared" si="10"/>
        <v>250</v>
      </c>
      <c r="C251" t="s">
        <v>1392</v>
      </c>
      <c r="E251">
        <f t="shared" si="11"/>
        <v>250</v>
      </c>
      <c r="F251" t="s">
        <v>1392</v>
      </c>
      <c r="H251" t="b">
        <f t="shared" si="9"/>
        <v>1</v>
      </c>
    </row>
    <row r="252" spans="2:8" x14ac:dyDescent="0.55000000000000004">
      <c r="B252">
        <f t="shared" si="10"/>
        <v>251</v>
      </c>
      <c r="C252" t="s">
        <v>1393</v>
      </c>
      <c r="E252">
        <f t="shared" si="11"/>
        <v>251</v>
      </c>
      <c r="F252" t="s">
        <v>1393</v>
      </c>
      <c r="H252" t="b">
        <f t="shared" si="9"/>
        <v>1</v>
      </c>
    </row>
    <row r="253" spans="2:8" x14ac:dyDescent="0.55000000000000004">
      <c r="B253">
        <f t="shared" si="10"/>
        <v>252</v>
      </c>
      <c r="C253" t="s">
        <v>1394</v>
      </c>
      <c r="E253">
        <f t="shared" si="11"/>
        <v>252</v>
      </c>
      <c r="F253" t="s">
        <v>1394</v>
      </c>
      <c r="H253" t="b">
        <f t="shared" si="9"/>
        <v>1</v>
      </c>
    </row>
    <row r="254" spans="2:8" x14ac:dyDescent="0.55000000000000004">
      <c r="B254">
        <f t="shared" si="10"/>
        <v>253</v>
      </c>
      <c r="C254" t="s">
        <v>1395</v>
      </c>
      <c r="E254">
        <f t="shared" si="11"/>
        <v>253</v>
      </c>
      <c r="F254" t="s">
        <v>1395</v>
      </c>
      <c r="H254" t="b">
        <f t="shared" si="9"/>
        <v>1</v>
      </c>
    </row>
    <row r="255" spans="2:8" x14ac:dyDescent="0.55000000000000004">
      <c r="B255">
        <f t="shared" si="10"/>
        <v>254</v>
      </c>
      <c r="C255" t="s">
        <v>1396</v>
      </c>
      <c r="E255">
        <f t="shared" si="11"/>
        <v>254</v>
      </c>
      <c r="F255" t="s">
        <v>1396</v>
      </c>
      <c r="H255" t="b">
        <f t="shared" si="9"/>
        <v>1</v>
      </c>
    </row>
    <row r="256" spans="2:8" x14ac:dyDescent="0.55000000000000004">
      <c r="B256">
        <f t="shared" si="10"/>
        <v>255</v>
      </c>
      <c r="C256" t="s">
        <v>1397</v>
      </c>
      <c r="E256">
        <f t="shared" si="11"/>
        <v>255</v>
      </c>
      <c r="F256" t="s">
        <v>1397</v>
      </c>
      <c r="H256" t="b">
        <f t="shared" si="9"/>
        <v>1</v>
      </c>
    </row>
    <row r="257" spans="2:8" x14ac:dyDescent="0.55000000000000004">
      <c r="B257">
        <f t="shared" si="10"/>
        <v>256</v>
      </c>
      <c r="C257" t="s">
        <v>1398</v>
      </c>
      <c r="E257">
        <f t="shared" si="11"/>
        <v>256</v>
      </c>
      <c r="F257" t="s">
        <v>1398</v>
      </c>
      <c r="H257" t="b">
        <f t="shared" si="9"/>
        <v>1</v>
      </c>
    </row>
    <row r="258" spans="2:8" x14ac:dyDescent="0.55000000000000004">
      <c r="B258">
        <f t="shared" si="10"/>
        <v>257</v>
      </c>
      <c r="C258" t="s">
        <v>1399</v>
      </c>
      <c r="E258">
        <f t="shared" si="11"/>
        <v>257</v>
      </c>
      <c r="F258" t="s">
        <v>1399</v>
      </c>
      <c r="H258" t="b">
        <f t="shared" si="9"/>
        <v>1</v>
      </c>
    </row>
    <row r="259" spans="2:8" x14ac:dyDescent="0.55000000000000004">
      <c r="B259">
        <f t="shared" si="10"/>
        <v>258</v>
      </c>
      <c r="C259" t="s">
        <v>1400</v>
      </c>
      <c r="E259">
        <f t="shared" si="11"/>
        <v>258</v>
      </c>
      <c r="F259" t="s">
        <v>1400</v>
      </c>
      <c r="H259" t="b">
        <f t="shared" ref="H259:H322" si="12">C259=F259</f>
        <v>1</v>
      </c>
    </row>
    <row r="260" spans="2:8" x14ac:dyDescent="0.55000000000000004">
      <c r="B260">
        <f t="shared" ref="B260:B310" si="13">B259+1</f>
        <v>259</v>
      </c>
      <c r="C260" t="s">
        <v>1423</v>
      </c>
      <c r="E260">
        <f t="shared" ref="E260:E323" si="14">E259+1</f>
        <v>259</v>
      </c>
      <c r="F260" t="s">
        <v>1423</v>
      </c>
      <c r="H260" t="b">
        <f t="shared" si="12"/>
        <v>1</v>
      </c>
    </row>
    <row r="261" spans="2:8" x14ac:dyDescent="0.55000000000000004">
      <c r="B261">
        <f t="shared" si="13"/>
        <v>260</v>
      </c>
      <c r="C261" t="s">
        <v>1401</v>
      </c>
      <c r="E261">
        <f t="shared" si="14"/>
        <v>260</v>
      </c>
      <c r="F261" t="s">
        <v>1401</v>
      </c>
      <c r="H261" t="b">
        <f t="shared" si="12"/>
        <v>1</v>
      </c>
    </row>
    <row r="262" spans="2:8" x14ac:dyDescent="0.55000000000000004">
      <c r="B262">
        <f t="shared" si="13"/>
        <v>261</v>
      </c>
      <c r="C262" t="s">
        <v>1402</v>
      </c>
      <c r="E262">
        <f t="shared" si="14"/>
        <v>261</v>
      </c>
      <c r="F262" t="s">
        <v>1402</v>
      </c>
      <c r="H262" t="b">
        <f t="shared" si="12"/>
        <v>1</v>
      </c>
    </row>
    <row r="263" spans="2:8" x14ac:dyDescent="0.55000000000000004">
      <c r="B263">
        <f t="shared" si="13"/>
        <v>262</v>
      </c>
      <c r="C263" t="s">
        <v>1424</v>
      </c>
      <c r="E263">
        <f t="shared" si="14"/>
        <v>262</v>
      </c>
      <c r="F263" t="s">
        <v>1424</v>
      </c>
      <c r="H263" t="b">
        <f t="shared" si="12"/>
        <v>1</v>
      </c>
    </row>
    <row r="264" spans="2:8" x14ac:dyDescent="0.55000000000000004">
      <c r="B264">
        <f t="shared" si="13"/>
        <v>263</v>
      </c>
      <c r="C264" t="s">
        <v>1403</v>
      </c>
      <c r="E264">
        <f t="shared" si="14"/>
        <v>263</v>
      </c>
      <c r="F264" t="s">
        <v>1403</v>
      </c>
      <c r="H264" t="b">
        <f t="shared" si="12"/>
        <v>1</v>
      </c>
    </row>
    <row r="265" spans="2:8" x14ac:dyDescent="0.55000000000000004">
      <c r="B265">
        <f t="shared" si="13"/>
        <v>264</v>
      </c>
      <c r="C265" t="s">
        <v>1404</v>
      </c>
      <c r="E265">
        <f t="shared" si="14"/>
        <v>264</v>
      </c>
      <c r="F265" t="s">
        <v>1404</v>
      </c>
      <c r="H265" t="b">
        <f t="shared" si="12"/>
        <v>1</v>
      </c>
    </row>
    <row r="266" spans="2:8" x14ac:dyDescent="0.55000000000000004">
      <c r="B266">
        <f t="shared" si="13"/>
        <v>265</v>
      </c>
      <c r="C266" t="s">
        <v>1405</v>
      </c>
      <c r="E266">
        <f t="shared" si="14"/>
        <v>265</v>
      </c>
      <c r="F266" t="s">
        <v>1405</v>
      </c>
      <c r="H266" t="b">
        <f t="shared" si="12"/>
        <v>1</v>
      </c>
    </row>
    <row r="267" spans="2:8" x14ac:dyDescent="0.55000000000000004">
      <c r="B267">
        <f t="shared" si="13"/>
        <v>266</v>
      </c>
      <c r="C267" t="s">
        <v>1406</v>
      </c>
      <c r="E267">
        <f t="shared" si="14"/>
        <v>266</v>
      </c>
      <c r="F267" t="s">
        <v>1406</v>
      </c>
      <c r="H267" t="b">
        <f t="shared" si="12"/>
        <v>1</v>
      </c>
    </row>
    <row r="268" spans="2:8" x14ac:dyDescent="0.55000000000000004">
      <c r="B268">
        <f t="shared" si="13"/>
        <v>267</v>
      </c>
      <c r="E268">
        <f t="shared" si="14"/>
        <v>267</v>
      </c>
      <c r="F268" t="s">
        <v>1407</v>
      </c>
      <c r="H268" t="b">
        <f t="shared" si="12"/>
        <v>0</v>
      </c>
    </row>
    <row r="269" spans="2:8" x14ac:dyDescent="0.55000000000000004">
      <c r="B269">
        <f t="shared" si="13"/>
        <v>268</v>
      </c>
      <c r="E269">
        <f t="shared" si="14"/>
        <v>268</v>
      </c>
      <c r="F269" t="s">
        <v>1408</v>
      </c>
      <c r="H269" t="b">
        <f t="shared" si="12"/>
        <v>0</v>
      </c>
    </row>
    <row r="270" spans="2:8" x14ac:dyDescent="0.55000000000000004">
      <c r="B270">
        <f t="shared" si="13"/>
        <v>269</v>
      </c>
      <c r="C270" t="s">
        <v>1409</v>
      </c>
      <c r="E270">
        <f t="shared" si="14"/>
        <v>269</v>
      </c>
      <c r="F270" t="s">
        <v>1409</v>
      </c>
      <c r="H270" t="b">
        <f t="shared" si="12"/>
        <v>1</v>
      </c>
    </row>
    <row r="271" spans="2:8" x14ac:dyDescent="0.55000000000000004">
      <c r="B271">
        <f t="shared" si="13"/>
        <v>270</v>
      </c>
      <c r="C271" t="s">
        <v>1410</v>
      </c>
      <c r="E271">
        <f t="shared" si="14"/>
        <v>270</v>
      </c>
      <c r="F271" t="s">
        <v>1410</v>
      </c>
      <c r="H271" t="b">
        <f t="shared" si="12"/>
        <v>1</v>
      </c>
    </row>
    <row r="272" spans="2:8" x14ac:dyDescent="0.55000000000000004">
      <c r="B272">
        <f t="shared" si="13"/>
        <v>271</v>
      </c>
      <c r="C272" t="s">
        <v>1411</v>
      </c>
      <c r="E272">
        <f t="shared" si="14"/>
        <v>271</v>
      </c>
      <c r="F272" t="s">
        <v>1411</v>
      </c>
      <c r="H272" t="b">
        <f t="shared" si="12"/>
        <v>1</v>
      </c>
    </row>
    <row r="273" spans="2:8" x14ac:dyDescent="0.55000000000000004">
      <c r="B273">
        <f t="shared" si="13"/>
        <v>272</v>
      </c>
      <c r="C273" t="s">
        <v>1425</v>
      </c>
      <c r="E273">
        <f t="shared" si="14"/>
        <v>272</v>
      </c>
      <c r="F273" t="s">
        <v>1425</v>
      </c>
      <c r="H273" t="b">
        <f t="shared" si="12"/>
        <v>1</v>
      </c>
    </row>
    <row r="274" spans="2:8" x14ac:dyDescent="0.55000000000000004">
      <c r="B274">
        <f t="shared" si="13"/>
        <v>273</v>
      </c>
      <c r="C274" t="s">
        <v>1426</v>
      </c>
      <c r="E274">
        <f t="shared" si="14"/>
        <v>273</v>
      </c>
      <c r="F274" t="s">
        <v>1426</v>
      </c>
      <c r="H274" t="b">
        <f t="shared" si="12"/>
        <v>1</v>
      </c>
    </row>
    <row r="275" spans="2:8" x14ac:dyDescent="0.55000000000000004">
      <c r="B275">
        <f t="shared" si="13"/>
        <v>274</v>
      </c>
      <c r="C275" t="s">
        <v>1427</v>
      </c>
      <c r="E275">
        <f t="shared" si="14"/>
        <v>274</v>
      </c>
      <c r="F275" t="s">
        <v>1427</v>
      </c>
      <c r="H275" t="b">
        <f t="shared" si="12"/>
        <v>1</v>
      </c>
    </row>
    <row r="276" spans="2:8" x14ac:dyDescent="0.55000000000000004">
      <c r="B276">
        <f t="shared" si="13"/>
        <v>275</v>
      </c>
      <c r="C276" t="s">
        <v>1428</v>
      </c>
      <c r="E276">
        <f t="shared" si="14"/>
        <v>275</v>
      </c>
      <c r="F276" t="s">
        <v>1428</v>
      </c>
      <c r="H276" t="b">
        <f t="shared" si="12"/>
        <v>1</v>
      </c>
    </row>
    <row r="277" spans="2:8" x14ac:dyDescent="0.55000000000000004">
      <c r="B277">
        <f t="shared" si="13"/>
        <v>276</v>
      </c>
      <c r="C277" t="s">
        <v>1429</v>
      </c>
      <c r="E277">
        <f t="shared" si="14"/>
        <v>276</v>
      </c>
      <c r="F277" t="s">
        <v>1429</v>
      </c>
      <c r="H277" t="b">
        <f t="shared" si="12"/>
        <v>1</v>
      </c>
    </row>
    <row r="278" spans="2:8" x14ac:dyDescent="0.55000000000000004">
      <c r="B278">
        <f t="shared" si="13"/>
        <v>277</v>
      </c>
      <c r="C278" t="s">
        <v>1412</v>
      </c>
      <c r="E278">
        <f t="shared" si="14"/>
        <v>277</v>
      </c>
      <c r="F278" t="s">
        <v>1412</v>
      </c>
      <c r="H278" t="b">
        <f t="shared" si="12"/>
        <v>1</v>
      </c>
    </row>
    <row r="279" spans="2:8" x14ac:dyDescent="0.55000000000000004">
      <c r="B279">
        <f t="shared" si="13"/>
        <v>278</v>
      </c>
      <c r="C279" t="s">
        <v>1413</v>
      </c>
      <c r="E279">
        <f t="shared" si="14"/>
        <v>278</v>
      </c>
      <c r="F279" t="s">
        <v>1413</v>
      </c>
      <c r="H279" t="b">
        <f t="shared" si="12"/>
        <v>1</v>
      </c>
    </row>
    <row r="280" spans="2:8" x14ac:dyDescent="0.55000000000000004">
      <c r="B280">
        <f t="shared" si="13"/>
        <v>279</v>
      </c>
      <c r="C280" t="s">
        <v>1414</v>
      </c>
      <c r="E280">
        <f t="shared" si="14"/>
        <v>279</v>
      </c>
      <c r="F280" t="s">
        <v>1414</v>
      </c>
      <c r="H280" t="b">
        <f t="shared" si="12"/>
        <v>1</v>
      </c>
    </row>
    <row r="281" spans="2:8" x14ac:dyDescent="0.55000000000000004">
      <c r="B281">
        <f t="shared" si="13"/>
        <v>280</v>
      </c>
      <c r="C281" t="s">
        <v>1415</v>
      </c>
      <c r="E281">
        <f t="shared" si="14"/>
        <v>280</v>
      </c>
      <c r="F281" t="s">
        <v>1415</v>
      </c>
      <c r="H281" t="b">
        <f t="shared" si="12"/>
        <v>1</v>
      </c>
    </row>
    <row r="282" spans="2:8" x14ac:dyDescent="0.55000000000000004">
      <c r="B282">
        <f t="shared" si="13"/>
        <v>281</v>
      </c>
      <c r="C282" s="5" t="s">
        <v>1416</v>
      </c>
      <c r="E282">
        <f t="shared" si="14"/>
        <v>281</v>
      </c>
      <c r="F282" s="7" t="s">
        <v>1416</v>
      </c>
      <c r="H282" t="b">
        <f t="shared" si="12"/>
        <v>1</v>
      </c>
    </row>
    <row r="283" spans="2:8" x14ac:dyDescent="0.55000000000000004">
      <c r="B283">
        <f t="shared" si="13"/>
        <v>282</v>
      </c>
      <c r="C283" t="s">
        <v>1417</v>
      </c>
      <c r="E283">
        <f t="shared" si="14"/>
        <v>282</v>
      </c>
      <c r="F283" t="s">
        <v>1417</v>
      </c>
      <c r="H283" t="b">
        <f t="shared" si="12"/>
        <v>1</v>
      </c>
    </row>
    <row r="284" spans="2:8" x14ac:dyDescent="0.55000000000000004">
      <c r="B284">
        <f t="shared" si="13"/>
        <v>283</v>
      </c>
      <c r="C284" t="s">
        <v>1418</v>
      </c>
      <c r="E284">
        <f t="shared" si="14"/>
        <v>283</v>
      </c>
      <c r="F284" t="s">
        <v>1418</v>
      </c>
      <c r="H284" t="b">
        <f t="shared" si="12"/>
        <v>1</v>
      </c>
    </row>
    <row r="285" spans="2:8" x14ac:dyDescent="0.55000000000000004">
      <c r="B285">
        <f t="shared" si="13"/>
        <v>284</v>
      </c>
      <c r="C285" t="s">
        <v>1419</v>
      </c>
      <c r="E285">
        <f t="shared" si="14"/>
        <v>284</v>
      </c>
      <c r="F285" t="s">
        <v>1419</v>
      </c>
      <c r="H285" t="b">
        <f t="shared" si="12"/>
        <v>1</v>
      </c>
    </row>
    <row r="286" spans="2:8" x14ac:dyDescent="0.55000000000000004">
      <c r="B286">
        <f t="shared" si="13"/>
        <v>285</v>
      </c>
      <c r="C286" t="s">
        <v>1534</v>
      </c>
      <c r="E286">
        <f t="shared" si="14"/>
        <v>285</v>
      </c>
      <c r="H286" t="b">
        <f t="shared" si="12"/>
        <v>0</v>
      </c>
    </row>
    <row r="287" spans="2:8" x14ac:dyDescent="0.55000000000000004">
      <c r="B287">
        <f t="shared" si="13"/>
        <v>286</v>
      </c>
      <c r="C287" t="s">
        <v>1535</v>
      </c>
      <c r="E287">
        <f t="shared" si="14"/>
        <v>286</v>
      </c>
      <c r="H287" t="b">
        <f t="shared" si="12"/>
        <v>0</v>
      </c>
    </row>
    <row r="288" spans="2:8" x14ac:dyDescent="0.55000000000000004">
      <c r="B288">
        <f t="shared" si="13"/>
        <v>287</v>
      </c>
      <c r="C288" t="s">
        <v>1536</v>
      </c>
      <c r="E288">
        <f t="shared" si="14"/>
        <v>287</v>
      </c>
      <c r="H288" t="b">
        <f t="shared" si="12"/>
        <v>0</v>
      </c>
    </row>
    <row r="289" spans="2:8" x14ac:dyDescent="0.55000000000000004">
      <c r="B289">
        <f t="shared" si="13"/>
        <v>288</v>
      </c>
      <c r="E289">
        <f t="shared" si="14"/>
        <v>288</v>
      </c>
      <c r="F289" t="s">
        <v>1420</v>
      </c>
      <c r="H289" t="b">
        <f t="shared" si="12"/>
        <v>0</v>
      </c>
    </row>
    <row r="290" spans="2:8" x14ac:dyDescent="0.55000000000000004">
      <c r="B290">
        <f t="shared" si="13"/>
        <v>289</v>
      </c>
      <c r="E290">
        <f t="shared" si="14"/>
        <v>289</v>
      </c>
      <c r="F290" t="s">
        <v>1445</v>
      </c>
      <c r="H290" t="b">
        <f t="shared" si="12"/>
        <v>0</v>
      </c>
    </row>
    <row r="291" spans="2:8" x14ac:dyDescent="0.55000000000000004">
      <c r="B291">
        <f t="shared" si="13"/>
        <v>290</v>
      </c>
      <c r="C291" t="s">
        <v>1430</v>
      </c>
      <c r="E291">
        <f t="shared" si="14"/>
        <v>290</v>
      </c>
      <c r="F291" t="s">
        <v>1430</v>
      </c>
      <c r="H291" t="b">
        <f t="shared" si="12"/>
        <v>1</v>
      </c>
    </row>
    <row r="292" spans="2:8" x14ac:dyDescent="0.55000000000000004">
      <c r="B292">
        <f t="shared" si="13"/>
        <v>291</v>
      </c>
      <c r="C292" t="s">
        <v>1431</v>
      </c>
      <c r="E292">
        <f t="shared" si="14"/>
        <v>291</v>
      </c>
      <c r="F292" t="s">
        <v>1431</v>
      </c>
      <c r="H292" t="b">
        <f t="shared" si="12"/>
        <v>1</v>
      </c>
    </row>
    <row r="293" spans="2:8" x14ac:dyDescent="0.55000000000000004">
      <c r="B293">
        <f t="shared" si="13"/>
        <v>292</v>
      </c>
      <c r="C293" t="s">
        <v>1432</v>
      </c>
      <c r="E293">
        <f t="shared" si="14"/>
        <v>292</v>
      </c>
      <c r="F293" t="s">
        <v>1432</v>
      </c>
      <c r="H293" t="b">
        <f t="shared" si="12"/>
        <v>1</v>
      </c>
    </row>
    <row r="294" spans="2:8" x14ac:dyDescent="0.55000000000000004">
      <c r="B294">
        <f t="shared" si="13"/>
        <v>293</v>
      </c>
      <c r="C294" t="s">
        <v>1537</v>
      </c>
      <c r="E294">
        <f t="shared" si="14"/>
        <v>293</v>
      </c>
      <c r="H294" t="b">
        <f t="shared" si="12"/>
        <v>0</v>
      </c>
    </row>
    <row r="295" spans="2:8" x14ac:dyDescent="0.55000000000000004">
      <c r="B295">
        <f t="shared" si="13"/>
        <v>294</v>
      </c>
      <c r="C295" s="5" t="s">
        <v>1538</v>
      </c>
      <c r="E295">
        <f t="shared" si="14"/>
        <v>294</v>
      </c>
      <c r="H295" t="b">
        <f t="shared" si="12"/>
        <v>0</v>
      </c>
    </row>
    <row r="296" spans="2:8" x14ac:dyDescent="0.55000000000000004">
      <c r="B296">
        <f t="shared" si="13"/>
        <v>295</v>
      </c>
      <c r="C296" t="s">
        <v>1539</v>
      </c>
      <c r="E296">
        <f t="shared" si="14"/>
        <v>295</v>
      </c>
      <c r="H296" t="b">
        <f t="shared" si="12"/>
        <v>0</v>
      </c>
    </row>
    <row r="297" spans="2:8" x14ac:dyDescent="0.55000000000000004">
      <c r="B297">
        <f t="shared" si="13"/>
        <v>296</v>
      </c>
      <c r="C297" t="s">
        <v>1540</v>
      </c>
      <c r="E297">
        <f t="shared" si="14"/>
        <v>296</v>
      </c>
      <c r="H297" t="b">
        <f t="shared" si="12"/>
        <v>0</v>
      </c>
    </row>
    <row r="298" spans="2:8" x14ac:dyDescent="0.55000000000000004">
      <c r="B298">
        <f t="shared" si="13"/>
        <v>297</v>
      </c>
      <c r="C298" t="s">
        <v>1433</v>
      </c>
      <c r="E298">
        <f t="shared" si="14"/>
        <v>297</v>
      </c>
      <c r="F298" t="s">
        <v>1433</v>
      </c>
      <c r="H298" t="b">
        <f t="shared" si="12"/>
        <v>1</v>
      </c>
    </row>
    <row r="299" spans="2:8" x14ac:dyDescent="0.55000000000000004">
      <c r="B299">
        <f t="shared" si="13"/>
        <v>298</v>
      </c>
      <c r="C299" t="s">
        <v>1434</v>
      </c>
      <c r="E299">
        <f t="shared" si="14"/>
        <v>298</v>
      </c>
      <c r="F299" t="s">
        <v>1434</v>
      </c>
      <c r="H299" t="b">
        <f t="shared" si="12"/>
        <v>1</v>
      </c>
    </row>
    <row r="300" spans="2:8" x14ac:dyDescent="0.55000000000000004">
      <c r="B300">
        <f t="shared" si="13"/>
        <v>299</v>
      </c>
      <c r="C300" t="s">
        <v>1435</v>
      </c>
      <c r="E300">
        <f t="shared" si="14"/>
        <v>299</v>
      </c>
      <c r="F300" t="s">
        <v>1435</v>
      </c>
      <c r="H300" t="b">
        <f t="shared" si="12"/>
        <v>1</v>
      </c>
    </row>
    <row r="301" spans="2:8" x14ac:dyDescent="0.55000000000000004">
      <c r="B301">
        <f t="shared" si="13"/>
        <v>300</v>
      </c>
      <c r="C301" t="s">
        <v>1436</v>
      </c>
      <c r="E301">
        <f t="shared" si="14"/>
        <v>300</v>
      </c>
      <c r="F301" t="s">
        <v>1436</v>
      </c>
      <c r="H301" t="b">
        <f t="shared" si="12"/>
        <v>1</v>
      </c>
    </row>
    <row r="302" spans="2:8" x14ac:dyDescent="0.55000000000000004">
      <c r="B302">
        <f t="shared" si="13"/>
        <v>301</v>
      </c>
      <c r="C302" t="s">
        <v>1437</v>
      </c>
      <c r="E302">
        <f t="shared" si="14"/>
        <v>301</v>
      </c>
      <c r="F302" t="s">
        <v>1437</v>
      </c>
      <c r="H302" t="b">
        <f t="shared" si="12"/>
        <v>1</v>
      </c>
    </row>
    <row r="303" spans="2:8" x14ac:dyDescent="0.55000000000000004">
      <c r="B303">
        <f t="shared" si="13"/>
        <v>302</v>
      </c>
      <c r="C303" t="s">
        <v>1438</v>
      </c>
      <c r="E303">
        <f t="shared" si="14"/>
        <v>302</v>
      </c>
      <c r="F303" t="s">
        <v>1438</v>
      </c>
      <c r="H303" t="b">
        <f t="shared" si="12"/>
        <v>1</v>
      </c>
    </row>
    <row r="304" spans="2:8" x14ac:dyDescent="0.55000000000000004">
      <c r="B304">
        <f t="shared" si="13"/>
        <v>303</v>
      </c>
      <c r="C304" s="5" t="s">
        <v>1439</v>
      </c>
      <c r="E304">
        <f t="shared" si="14"/>
        <v>303</v>
      </c>
      <c r="F304" s="7" t="s">
        <v>1439</v>
      </c>
      <c r="H304" t="b">
        <f t="shared" si="12"/>
        <v>1</v>
      </c>
    </row>
    <row r="305" spans="2:8" x14ac:dyDescent="0.55000000000000004">
      <c r="B305">
        <f t="shared" si="13"/>
        <v>304</v>
      </c>
      <c r="C305" t="s">
        <v>1440</v>
      </c>
      <c r="E305">
        <f t="shared" si="14"/>
        <v>304</v>
      </c>
      <c r="F305" t="s">
        <v>1440</v>
      </c>
      <c r="H305" t="b">
        <f t="shared" si="12"/>
        <v>1</v>
      </c>
    </row>
    <row r="306" spans="2:8" x14ac:dyDescent="0.55000000000000004">
      <c r="B306">
        <f t="shared" si="13"/>
        <v>305</v>
      </c>
      <c r="C306" t="s">
        <v>1441</v>
      </c>
      <c r="E306">
        <f t="shared" si="14"/>
        <v>305</v>
      </c>
      <c r="F306" t="s">
        <v>1441</v>
      </c>
      <c r="H306" t="b">
        <f t="shared" si="12"/>
        <v>1</v>
      </c>
    </row>
    <row r="307" spans="2:8" x14ac:dyDescent="0.55000000000000004">
      <c r="B307">
        <f t="shared" si="13"/>
        <v>306</v>
      </c>
      <c r="C307" t="s">
        <v>1442</v>
      </c>
      <c r="E307">
        <f t="shared" si="14"/>
        <v>306</v>
      </c>
      <c r="F307" t="s">
        <v>1442</v>
      </c>
      <c r="H307" t="b">
        <f t="shared" si="12"/>
        <v>1</v>
      </c>
    </row>
    <row r="308" spans="2:8" x14ac:dyDescent="0.55000000000000004">
      <c r="B308">
        <f t="shared" si="13"/>
        <v>307</v>
      </c>
      <c r="C308" t="s">
        <v>1443</v>
      </c>
      <c r="E308">
        <f t="shared" si="14"/>
        <v>307</v>
      </c>
      <c r="F308" t="s">
        <v>1443</v>
      </c>
      <c r="H308" t="b">
        <f t="shared" si="12"/>
        <v>1</v>
      </c>
    </row>
    <row r="309" spans="2:8" x14ac:dyDescent="0.55000000000000004">
      <c r="B309">
        <f t="shared" si="13"/>
        <v>308</v>
      </c>
      <c r="C309" t="s">
        <v>1444</v>
      </c>
      <c r="E309">
        <f t="shared" si="14"/>
        <v>308</v>
      </c>
      <c r="F309" t="s">
        <v>1444</v>
      </c>
      <c r="H309" t="b">
        <f t="shared" si="12"/>
        <v>1</v>
      </c>
    </row>
    <row r="310" spans="2:8" x14ac:dyDescent="0.55000000000000004">
      <c r="B310">
        <f t="shared" si="13"/>
        <v>309</v>
      </c>
      <c r="C310" t="s">
        <v>1541</v>
      </c>
      <c r="E310">
        <f t="shared" si="14"/>
        <v>309</v>
      </c>
      <c r="H310" t="b">
        <f t="shared" si="12"/>
        <v>0</v>
      </c>
    </row>
    <row r="311" spans="2:8" x14ac:dyDescent="0.55000000000000004">
      <c r="E311">
        <f t="shared" si="14"/>
        <v>310</v>
      </c>
      <c r="F311" t="s">
        <v>1542</v>
      </c>
      <c r="H311" t="b">
        <f t="shared" si="12"/>
        <v>0</v>
      </c>
    </row>
    <row r="312" spans="2:8" x14ac:dyDescent="0.55000000000000004">
      <c r="E312">
        <f t="shared" si="14"/>
        <v>311</v>
      </c>
      <c r="F312" t="s">
        <v>1543</v>
      </c>
      <c r="H312" t="b">
        <f t="shared" si="12"/>
        <v>0</v>
      </c>
    </row>
    <row r="313" spans="2:8" x14ac:dyDescent="0.55000000000000004">
      <c r="E313">
        <f t="shared" si="14"/>
        <v>312</v>
      </c>
      <c r="F313" t="s">
        <v>1544</v>
      </c>
      <c r="H313" t="b">
        <f t="shared" si="12"/>
        <v>0</v>
      </c>
    </row>
    <row r="314" spans="2:8" x14ac:dyDescent="0.55000000000000004">
      <c r="E314">
        <f t="shared" si="14"/>
        <v>313</v>
      </c>
      <c r="F314" t="s">
        <v>1545</v>
      </c>
      <c r="H314" t="b">
        <f t="shared" si="12"/>
        <v>0</v>
      </c>
    </row>
    <row r="315" spans="2:8" x14ac:dyDescent="0.55000000000000004">
      <c r="E315">
        <f t="shared" si="14"/>
        <v>314</v>
      </c>
      <c r="F315" t="s">
        <v>1546</v>
      </c>
      <c r="H315" t="b">
        <f t="shared" si="12"/>
        <v>0</v>
      </c>
    </row>
    <row r="316" spans="2:8" x14ac:dyDescent="0.55000000000000004">
      <c r="E316">
        <f t="shared" si="14"/>
        <v>315</v>
      </c>
      <c r="F316" t="s">
        <v>1547</v>
      </c>
      <c r="H316" t="b">
        <f t="shared" si="12"/>
        <v>0</v>
      </c>
    </row>
    <row r="317" spans="2:8" x14ac:dyDescent="0.55000000000000004">
      <c r="E317">
        <f t="shared" si="14"/>
        <v>316</v>
      </c>
      <c r="F317" t="s">
        <v>1548</v>
      </c>
      <c r="H317" t="b">
        <f t="shared" si="12"/>
        <v>0</v>
      </c>
    </row>
    <row r="318" spans="2:8" x14ac:dyDescent="0.55000000000000004">
      <c r="E318">
        <f t="shared" si="14"/>
        <v>317</v>
      </c>
      <c r="F318" t="s">
        <v>1549</v>
      </c>
      <c r="H318" t="b">
        <f t="shared" si="12"/>
        <v>0</v>
      </c>
    </row>
    <row r="319" spans="2:8" x14ac:dyDescent="0.55000000000000004">
      <c r="E319">
        <f t="shared" si="14"/>
        <v>318</v>
      </c>
      <c r="F319" t="s">
        <v>1550</v>
      </c>
      <c r="H319" t="b">
        <f t="shared" si="12"/>
        <v>0</v>
      </c>
    </row>
    <row r="320" spans="2:8" x14ac:dyDescent="0.55000000000000004">
      <c r="E320">
        <f t="shared" si="14"/>
        <v>319</v>
      </c>
      <c r="F320" t="s">
        <v>1551</v>
      </c>
      <c r="H320" t="b">
        <f t="shared" si="12"/>
        <v>0</v>
      </c>
    </row>
    <row r="321" spans="5:8" x14ac:dyDescent="0.55000000000000004">
      <c r="E321">
        <f t="shared" si="14"/>
        <v>320</v>
      </c>
      <c r="F321" t="s">
        <v>1552</v>
      </c>
      <c r="H321" t="b">
        <f t="shared" si="12"/>
        <v>0</v>
      </c>
    </row>
    <row r="322" spans="5:8" x14ac:dyDescent="0.55000000000000004">
      <c r="E322">
        <f t="shared" si="14"/>
        <v>321</v>
      </c>
      <c r="F322" t="s">
        <v>1553</v>
      </c>
      <c r="H322" t="b">
        <f t="shared" si="12"/>
        <v>0</v>
      </c>
    </row>
    <row r="323" spans="5:8" x14ac:dyDescent="0.55000000000000004">
      <c r="E323">
        <f t="shared" si="14"/>
        <v>322</v>
      </c>
      <c r="F323" t="s">
        <v>1554</v>
      </c>
      <c r="H323" t="b">
        <f t="shared" ref="H323:H336" si="15">C323=F323</f>
        <v>0</v>
      </c>
    </row>
    <row r="324" spans="5:8" x14ac:dyDescent="0.55000000000000004">
      <c r="E324">
        <f t="shared" ref="E324:E336" si="16">E323+1</f>
        <v>323</v>
      </c>
      <c r="F324" t="s">
        <v>1555</v>
      </c>
      <c r="H324" t="b">
        <f t="shared" si="15"/>
        <v>0</v>
      </c>
    </row>
    <row r="325" spans="5:8" x14ac:dyDescent="0.55000000000000004">
      <c r="E325">
        <f t="shared" si="16"/>
        <v>324</v>
      </c>
      <c r="F325" t="s">
        <v>1556</v>
      </c>
      <c r="H325" t="b">
        <f t="shared" si="15"/>
        <v>0</v>
      </c>
    </row>
    <row r="326" spans="5:8" x14ac:dyDescent="0.55000000000000004">
      <c r="E326">
        <f t="shared" si="16"/>
        <v>325</v>
      </c>
      <c r="F326" t="s">
        <v>1557</v>
      </c>
      <c r="H326" t="b">
        <f t="shared" si="15"/>
        <v>0</v>
      </c>
    </row>
    <row r="327" spans="5:8" x14ac:dyDescent="0.55000000000000004">
      <c r="E327">
        <f t="shared" si="16"/>
        <v>326</v>
      </c>
      <c r="F327" t="s">
        <v>1558</v>
      </c>
      <c r="H327" t="b">
        <f t="shared" si="15"/>
        <v>0</v>
      </c>
    </row>
    <row r="328" spans="5:8" x14ac:dyDescent="0.55000000000000004">
      <c r="E328">
        <f t="shared" si="16"/>
        <v>327</v>
      </c>
      <c r="F328" t="s">
        <v>1559</v>
      </c>
      <c r="H328" t="b">
        <f t="shared" si="15"/>
        <v>0</v>
      </c>
    </row>
    <row r="329" spans="5:8" x14ac:dyDescent="0.55000000000000004">
      <c r="E329">
        <f t="shared" si="16"/>
        <v>328</v>
      </c>
      <c r="F329" t="s">
        <v>1560</v>
      </c>
      <c r="H329" t="b">
        <f t="shared" si="15"/>
        <v>0</v>
      </c>
    </row>
    <row r="330" spans="5:8" x14ac:dyDescent="0.55000000000000004">
      <c r="E330">
        <f t="shared" si="16"/>
        <v>329</v>
      </c>
      <c r="F330" t="s">
        <v>1561</v>
      </c>
      <c r="H330" t="b">
        <f t="shared" si="15"/>
        <v>0</v>
      </c>
    </row>
    <row r="331" spans="5:8" x14ac:dyDescent="0.55000000000000004">
      <c r="E331">
        <f t="shared" si="16"/>
        <v>330</v>
      </c>
      <c r="F331" t="s">
        <v>1562</v>
      </c>
      <c r="H331" t="b">
        <f t="shared" si="15"/>
        <v>0</v>
      </c>
    </row>
    <row r="332" spans="5:8" x14ac:dyDescent="0.55000000000000004">
      <c r="E332">
        <f t="shared" si="16"/>
        <v>331</v>
      </c>
      <c r="F332" t="s">
        <v>1563</v>
      </c>
      <c r="H332" t="b">
        <f t="shared" si="15"/>
        <v>0</v>
      </c>
    </row>
    <row r="333" spans="5:8" x14ac:dyDescent="0.55000000000000004">
      <c r="E333">
        <f t="shared" si="16"/>
        <v>332</v>
      </c>
      <c r="F333" t="s">
        <v>1564</v>
      </c>
      <c r="H333" t="b">
        <f t="shared" si="15"/>
        <v>0</v>
      </c>
    </row>
    <row r="334" spans="5:8" x14ac:dyDescent="0.55000000000000004">
      <c r="E334">
        <f t="shared" si="16"/>
        <v>333</v>
      </c>
      <c r="F334" t="s">
        <v>1565</v>
      </c>
      <c r="H334" t="b">
        <f t="shared" si="15"/>
        <v>0</v>
      </c>
    </row>
    <row r="335" spans="5:8" x14ac:dyDescent="0.55000000000000004">
      <c r="E335">
        <f t="shared" si="16"/>
        <v>334</v>
      </c>
      <c r="F335" t="s">
        <v>1566</v>
      </c>
      <c r="H335" t="b">
        <f t="shared" si="15"/>
        <v>0</v>
      </c>
    </row>
    <row r="336" spans="5:8" x14ac:dyDescent="0.55000000000000004">
      <c r="E336">
        <f t="shared" si="16"/>
        <v>335</v>
      </c>
      <c r="F336" t="s">
        <v>1567</v>
      </c>
      <c r="H336" t="b">
        <f t="shared" si="15"/>
        <v>0</v>
      </c>
    </row>
  </sheetData>
  <sortState xmlns:xlrd2="http://schemas.microsoft.com/office/spreadsheetml/2017/richdata2" ref="F2:F309">
    <sortCondition ref="F2:F309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835D6-5B6F-4554-BA24-BE8A82DCFA8D}">
  <sheetPr>
    <tabColor rgb="FF7030A0"/>
  </sheetPr>
  <dimension ref="A1:F523"/>
  <sheetViews>
    <sheetView workbookViewId="0">
      <selection activeCell="J10" sqref="J10"/>
    </sheetView>
  </sheetViews>
  <sheetFormatPr defaultRowHeight="14.4" x14ac:dyDescent="0.55000000000000004"/>
  <cols>
    <col min="2" max="2" width="58.7890625" customWidth="1"/>
    <col min="4" max="4" width="11.89453125" customWidth="1"/>
    <col min="6" max="6" width="17.3671875" customWidth="1"/>
  </cols>
  <sheetData>
    <row r="1" spans="1:6" x14ac:dyDescent="0.55000000000000004">
      <c r="A1">
        <v>1</v>
      </c>
      <c r="B1" t="s">
        <v>1449</v>
      </c>
      <c r="C1" t="e">
        <f>VLOOKUP(B1,'BACKEND FILES'!A:B,2,FALSE)</f>
        <v>#N/A</v>
      </c>
      <c r="D1" t="e">
        <f>VLOOKUP(B1,'FRONTEND FILES'!A:B,2,FALSE)</f>
        <v>#N/A</v>
      </c>
      <c r="E1" t="e">
        <f>VLOOKUP(B1,'SHARED FILES'!A:B,2,FALSE)</f>
        <v>#N/A</v>
      </c>
      <c r="F1" t="str">
        <f>_xlfn.IFNA(C1, _xlfn.IFNA(D1, _xlfn.IFNA(E1, "")))</f>
        <v/>
      </c>
    </row>
    <row r="2" spans="1:6" x14ac:dyDescent="0.55000000000000004">
      <c r="A2">
        <f>A1+1</f>
        <v>2</v>
      </c>
      <c r="B2" t="s">
        <v>1447</v>
      </c>
      <c r="C2" t="e">
        <f>VLOOKUP(B2,'BACKEND FILES'!A:B,2,FALSE)</f>
        <v>#N/A</v>
      </c>
      <c r="D2" t="e">
        <f>VLOOKUP(B2,'FRONTEND FILES'!A:B,2,FALSE)</f>
        <v>#N/A</v>
      </c>
      <c r="E2" t="e">
        <f>VLOOKUP(B2,'SHARED FILES'!A:B,2,FALSE)</f>
        <v>#N/A</v>
      </c>
      <c r="F2" t="str">
        <f t="shared" ref="F2:F65" si="0">_xlfn.IFNA(C2, _xlfn.IFNA(D2, _xlfn.IFNA(E2, "")))</f>
        <v/>
      </c>
    </row>
    <row r="3" spans="1:6" x14ac:dyDescent="0.55000000000000004">
      <c r="A3">
        <f t="shared" ref="A3:A66" si="1">A2+1</f>
        <v>3</v>
      </c>
      <c r="B3" t="s">
        <v>1448</v>
      </c>
      <c r="C3" t="e">
        <f>VLOOKUP(B3,'BACKEND FILES'!A:B,2,FALSE)</f>
        <v>#N/A</v>
      </c>
      <c r="D3" t="e">
        <f>VLOOKUP(B3,'FRONTEND FILES'!A:B,2,FALSE)</f>
        <v>#N/A</v>
      </c>
      <c r="E3" t="e">
        <f>VLOOKUP(B3,'SHARED FILES'!A:B,2,FALSE)</f>
        <v>#N/A</v>
      </c>
      <c r="F3" t="str">
        <f t="shared" si="0"/>
        <v/>
      </c>
    </row>
    <row r="4" spans="1:6" x14ac:dyDescent="0.55000000000000004">
      <c r="A4">
        <f t="shared" si="1"/>
        <v>4</v>
      </c>
      <c r="B4" t="s">
        <v>1450</v>
      </c>
      <c r="C4" t="e">
        <f>VLOOKUP(B4,'BACKEND FILES'!A:B,2,FALSE)</f>
        <v>#N/A</v>
      </c>
      <c r="D4" t="e">
        <f>VLOOKUP(B4,'FRONTEND FILES'!A:B,2,FALSE)</f>
        <v>#N/A</v>
      </c>
      <c r="E4" t="e">
        <f>VLOOKUP(B4,'SHARED FILES'!A:B,2,FALSE)</f>
        <v>#N/A</v>
      </c>
      <c r="F4" t="str">
        <f t="shared" si="0"/>
        <v/>
      </c>
    </row>
    <row r="5" spans="1:6" x14ac:dyDescent="0.55000000000000004">
      <c r="A5">
        <f t="shared" si="1"/>
        <v>5</v>
      </c>
      <c r="B5" t="s">
        <v>1451</v>
      </c>
      <c r="C5" t="e">
        <f>VLOOKUP(B5,'BACKEND FILES'!A:B,2,FALSE)</f>
        <v>#N/A</v>
      </c>
      <c r="D5" t="e">
        <f>VLOOKUP(B5,'FRONTEND FILES'!A:B,2,FALSE)</f>
        <v>#N/A</v>
      </c>
      <c r="E5" t="e">
        <f>VLOOKUP(B5,'SHARED FILES'!A:B,2,FALSE)</f>
        <v>#N/A</v>
      </c>
      <c r="F5" t="str">
        <f t="shared" si="0"/>
        <v/>
      </c>
    </row>
    <row r="6" spans="1:6" x14ac:dyDescent="0.55000000000000004">
      <c r="A6">
        <f t="shared" si="1"/>
        <v>6</v>
      </c>
      <c r="B6" t="s">
        <v>1452</v>
      </c>
      <c r="C6" t="e">
        <f>VLOOKUP(B6,'BACKEND FILES'!A:B,2,FALSE)</f>
        <v>#N/A</v>
      </c>
      <c r="D6" t="e">
        <f>VLOOKUP(B6,'FRONTEND FILES'!A:B,2,FALSE)</f>
        <v>#N/A</v>
      </c>
      <c r="E6" t="e">
        <f>VLOOKUP(B6,'SHARED FILES'!A:B,2,FALSE)</f>
        <v>#N/A</v>
      </c>
      <c r="F6" t="str">
        <f t="shared" si="0"/>
        <v/>
      </c>
    </row>
    <row r="7" spans="1:6" x14ac:dyDescent="0.55000000000000004">
      <c r="A7">
        <f t="shared" si="1"/>
        <v>7</v>
      </c>
      <c r="B7" t="s">
        <v>1453</v>
      </c>
      <c r="C7" t="e">
        <f>VLOOKUP(B7,'BACKEND FILES'!A:B,2,FALSE)</f>
        <v>#N/A</v>
      </c>
      <c r="D7" t="e">
        <f>VLOOKUP(B7,'FRONTEND FILES'!A:B,2,FALSE)</f>
        <v>#N/A</v>
      </c>
      <c r="E7" t="e">
        <f>VLOOKUP(B7,'SHARED FILES'!A:B,2,FALSE)</f>
        <v>#N/A</v>
      </c>
      <c r="F7" t="str">
        <f t="shared" si="0"/>
        <v/>
      </c>
    </row>
    <row r="8" spans="1:6" x14ac:dyDescent="0.55000000000000004">
      <c r="A8">
        <f t="shared" si="1"/>
        <v>8</v>
      </c>
      <c r="B8" t="s">
        <v>1459</v>
      </c>
      <c r="C8" t="e">
        <f>VLOOKUP(B8,'BACKEND FILES'!A:B,2,FALSE)</f>
        <v>#N/A</v>
      </c>
      <c r="D8" t="e">
        <f>VLOOKUP(B8,'FRONTEND FILES'!A:B,2,FALSE)</f>
        <v>#N/A</v>
      </c>
      <c r="E8" t="e">
        <f>VLOOKUP(B8,'SHARED FILES'!A:B,2,FALSE)</f>
        <v>#N/A</v>
      </c>
      <c r="F8" t="str">
        <f t="shared" si="0"/>
        <v/>
      </c>
    </row>
    <row r="9" spans="1:6" x14ac:dyDescent="0.55000000000000004">
      <c r="A9">
        <f t="shared" si="1"/>
        <v>9</v>
      </c>
      <c r="B9" t="s">
        <v>1458</v>
      </c>
      <c r="C9" t="e">
        <f>VLOOKUP(B9,'BACKEND FILES'!A:B,2,FALSE)</f>
        <v>#N/A</v>
      </c>
      <c r="D9" t="e">
        <f>VLOOKUP(B9,'FRONTEND FILES'!A:B,2,FALSE)</f>
        <v>#N/A</v>
      </c>
      <c r="E9" t="e">
        <f>VLOOKUP(B9,'SHARED FILES'!A:B,2,FALSE)</f>
        <v>#N/A</v>
      </c>
      <c r="F9" t="str">
        <f t="shared" si="0"/>
        <v/>
      </c>
    </row>
    <row r="10" spans="1:6" x14ac:dyDescent="0.55000000000000004">
      <c r="A10">
        <f t="shared" si="1"/>
        <v>10</v>
      </c>
      <c r="B10" t="s">
        <v>1460</v>
      </c>
      <c r="C10" t="e">
        <f>VLOOKUP(B10,'BACKEND FILES'!A:B,2,FALSE)</f>
        <v>#N/A</v>
      </c>
      <c r="D10" t="e">
        <f>VLOOKUP(B10,'FRONTEND FILES'!A:B,2,FALSE)</f>
        <v>#N/A</v>
      </c>
      <c r="E10" t="e">
        <f>VLOOKUP(B10,'SHARED FILES'!A:B,2,FALSE)</f>
        <v>#N/A</v>
      </c>
      <c r="F10" t="str">
        <f t="shared" si="0"/>
        <v/>
      </c>
    </row>
    <row r="11" spans="1:6" x14ac:dyDescent="0.55000000000000004">
      <c r="A11">
        <f t="shared" si="1"/>
        <v>11</v>
      </c>
      <c r="B11" t="s">
        <v>1461</v>
      </c>
      <c r="C11" t="e">
        <f>VLOOKUP(B11,'BACKEND FILES'!A:B,2,FALSE)</f>
        <v>#N/A</v>
      </c>
      <c r="D11" t="e">
        <f>VLOOKUP(B11,'FRONTEND FILES'!A:B,2,FALSE)</f>
        <v>#N/A</v>
      </c>
      <c r="E11" t="e">
        <f>VLOOKUP(B11,'SHARED FILES'!A:B,2,FALSE)</f>
        <v>#N/A</v>
      </c>
      <c r="F11" t="str">
        <f t="shared" si="0"/>
        <v/>
      </c>
    </row>
    <row r="12" spans="1:6" x14ac:dyDescent="0.55000000000000004">
      <c r="A12">
        <f t="shared" si="1"/>
        <v>12</v>
      </c>
      <c r="B12" t="s">
        <v>1462</v>
      </c>
      <c r="C12" t="e">
        <f>VLOOKUP(B12,'BACKEND FILES'!A:B,2,FALSE)</f>
        <v>#N/A</v>
      </c>
      <c r="D12" t="e">
        <f>VLOOKUP(B12,'FRONTEND FILES'!A:B,2,FALSE)</f>
        <v>#N/A</v>
      </c>
      <c r="E12" t="e">
        <f>VLOOKUP(B12,'SHARED FILES'!A:B,2,FALSE)</f>
        <v>#N/A</v>
      </c>
      <c r="F12" t="str">
        <f t="shared" si="0"/>
        <v/>
      </c>
    </row>
    <row r="13" spans="1:6" x14ac:dyDescent="0.55000000000000004">
      <c r="A13">
        <f t="shared" si="1"/>
        <v>13</v>
      </c>
      <c r="B13" t="s">
        <v>1463</v>
      </c>
      <c r="C13" t="e">
        <f>VLOOKUP(B13,'BACKEND FILES'!A:B,2,FALSE)</f>
        <v>#N/A</v>
      </c>
      <c r="D13" t="e">
        <f>VLOOKUP(B13,'FRONTEND FILES'!A:B,2,FALSE)</f>
        <v>#N/A</v>
      </c>
      <c r="E13" t="e">
        <f>VLOOKUP(B13,'SHARED FILES'!A:B,2,FALSE)</f>
        <v>#N/A</v>
      </c>
      <c r="F13" t="str">
        <f t="shared" si="0"/>
        <v/>
      </c>
    </row>
    <row r="14" spans="1:6" x14ac:dyDescent="0.55000000000000004">
      <c r="A14">
        <f t="shared" si="1"/>
        <v>14</v>
      </c>
      <c r="B14" t="s">
        <v>1464</v>
      </c>
      <c r="C14" t="e">
        <f>VLOOKUP(B14,'BACKEND FILES'!A:B,2,FALSE)</f>
        <v>#N/A</v>
      </c>
      <c r="D14" t="e">
        <f>VLOOKUP(B14,'FRONTEND FILES'!A:B,2,FALSE)</f>
        <v>#N/A</v>
      </c>
      <c r="E14" t="e">
        <f>VLOOKUP(B14,'SHARED FILES'!A:B,2,FALSE)</f>
        <v>#N/A</v>
      </c>
      <c r="F14" t="str">
        <f t="shared" si="0"/>
        <v/>
      </c>
    </row>
    <row r="15" spans="1:6" x14ac:dyDescent="0.55000000000000004">
      <c r="A15">
        <f t="shared" si="1"/>
        <v>15</v>
      </c>
      <c r="B15" t="s">
        <v>1465</v>
      </c>
      <c r="C15" t="e">
        <f>VLOOKUP(B15,'BACKEND FILES'!A:B,2,FALSE)</f>
        <v>#N/A</v>
      </c>
      <c r="D15" t="e">
        <f>VLOOKUP(B15,'FRONTEND FILES'!A:B,2,FALSE)</f>
        <v>#N/A</v>
      </c>
      <c r="E15" t="e">
        <f>VLOOKUP(B15,'SHARED FILES'!A:B,2,FALSE)</f>
        <v>#N/A</v>
      </c>
      <c r="F15" t="str">
        <f t="shared" si="0"/>
        <v/>
      </c>
    </row>
    <row r="16" spans="1:6" x14ac:dyDescent="0.55000000000000004">
      <c r="A16">
        <f t="shared" si="1"/>
        <v>16</v>
      </c>
      <c r="B16" t="s">
        <v>1466</v>
      </c>
      <c r="C16" t="e">
        <f>VLOOKUP(B16,'BACKEND FILES'!A:B,2,FALSE)</f>
        <v>#N/A</v>
      </c>
      <c r="D16" t="e">
        <f>VLOOKUP(B16,'FRONTEND FILES'!A:B,2,FALSE)</f>
        <v>#N/A</v>
      </c>
      <c r="E16" t="e">
        <f>VLOOKUP(B16,'SHARED FILES'!A:B,2,FALSE)</f>
        <v>#N/A</v>
      </c>
      <c r="F16" t="str">
        <f t="shared" si="0"/>
        <v/>
      </c>
    </row>
    <row r="17" spans="1:6" x14ac:dyDescent="0.55000000000000004">
      <c r="A17">
        <f t="shared" si="1"/>
        <v>17</v>
      </c>
      <c r="B17" t="s">
        <v>1454</v>
      </c>
      <c r="C17" t="e">
        <f>VLOOKUP(B17,'BACKEND FILES'!A:B,2,FALSE)</f>
        <v>#N/A</v>
      </c>
      <c r="D17" t="e">
        <f>VLOOKUP(B17,'FRONTEND FILES'!A:B,2,FALSE)</f>
        <v>#N/A</v>
      </c>
      <c r="E17" t="e">
        <f>VLOOKUP(B17,'SHARED FILES'!A:B,2,FALSE)</f>
        <v>#N/A</v>
      </c>
      <c r="F17" t="str">
        <f t="shared" si="0"/>
        <v/>
      </c>
    </row>
    <row r="18" spans="1:6" x14ac:dyDescent="0.55000000000000004">
      <c r="A18">
        <f t="shared" si="1"/>
        <v>18</v>
      </c>
      <c r="B18" t="s">
        <v>1455</v>
      </c>
      <c r="C18" t="e">
        <f>VLOOKUP(B18,'BACKEND FILES'!A:B,2,FALSE)</f>
        <v>#N/A</v>
      </c>
      <c r="D18" t="e">
        <f>VLOOKUP(B18,'FRONTEND FILES'!A:B,2,FALSE)</f>
        <v>#N/A</v>
      </c>
      <c r="E18" t="e">
        <f>VLOOKUP(B18,'SHARED FILES'!A:B,2,FALSE)</f>
        <v>#N/A</v>
      </c>
      <c r="F18" t="str">
        <f t="shared" si="0"/>
        <v/>
      </c>
    </row>
    <row r="19" spans="1:6" x14ac:dyDescent="0.55000000000000004">
      <c r="A19">
        <f t="shared" si="1"/>
        <v>19</v>
      </c>
      <c r="B19" t="s">
        <v>1456</v>
      </c>
      <c r="C19" t="e">
        <f>VLOOKUP(B19,'BACKEND FILES'!A:B,2,FALSE)</f>
        <v>#N/A</v>
      </c>
      <c r="D19" t="e">
        <f>VLOOKUP(B19,'FRONTEND FILES'!A:B,2,FALSE)</f>
        <v>#N/A</v>
      </c>
      <c r="E19" t="e">
        <f>VLOOKUP(B19,'SHARED FILES'!A:B,2,FALSE)</f>
        <v>#N/A</v>
      </c>
      <c r="F19" t="str">
        <f t="shared" si="0"/>
        <v/>
      </c>
    </row>
    <row r="20" spans="1:6" x14ac:dyDescent="0.55000000000000004">
      <c r="A20">
        <f t="shared" si="1"/>
        <v>20</v>
      </c>
      <c r="B20" t="s">
        <v>1457</v>
      </c>
      <c r="C20" t="e">
        <f>VLOOKUP(B20,'BACKEND FILES'!A:B,2,FALSE)</f>
        <v>#N/A</v>
      </c>
      <c r="D20" t="e">
        <f>VLOOKUP(B20,'FRONTEND FILES'!A:B,2,FALSE)</f>
        <v>#N/A</v>
      </c>
      <c r="E20" t="e">
        <f>VLOOKUP(B20,'SHARED FILES'!A:B,2,FALSE)</f>
        <v>#N/A</v>
      </c>
      <c r="F20" t="str">
        <f t="shared" si="0"/>
        <v/>
      </c>
    </row>
    <row r="21" spans="1:6" x14ac:dyDescent="0.55000000000000004">
      <c r="A21">
        <f t="shared" si="1"/>
        <v>21</v>
      </c>
      <c r="B21" t="s">
        <v>1467</v>
      </c>
      <c r="C21" t="e">
        <f>VLOOKUP(B21,'BACKEND FILES'!A:B,2,FALSE)</f>
        <v>#N/A</v>
      </c>
      <c r="D21" t="e">
        <f>VLOOKUP(B21,'FRONTEND FILES'!A:B,2,FALSE)</f>
        <v>#N/A</v>
      </c>
      <c r="E21" t="e">
        <f>VLOOKUP(B21,'SHARED FILES'!A:B,2,FALSE)</f>
        <v>#N/A</v>
      </c>
      <c r="F21" t="str">
        <f t="shared" si="0"/>
        <v/>
      </c>
    </row>
    <row r="22" spans="1:6" x14ac:dyDescent="0.55000000000000004">
      <c r="A22">
        <f t="shared" si="1"/>
        <v>22</v>
      </c>
      <c r="B22" t="s">
        <v>1468</v>
      </c>
      <c r="C22" t="e">
        <f>VLOOKUP(B22,'BACKEND FILES'!A:B,2,FALSE)</f>
        <v>#N/A</v>
      </c>
      <c r="D22" t="e">
        <f>VLOOKUP(B22,'FRONTEND FILES'!A:B,2,FALSE)</f>
        <v>#N/A</v>
      </c>
      <c r="E22" t="e">
        <f>VLOOKUP(B22,'SHARED FILES'!A:B,2,FALSE)</f>
        <v>#N/A</v>
      </c>
      <c r="F22" t="str">
        <f t="shared" si="0"/>
        <v/>
      </c>
    </row>
    <row r="23" spans="1:6" x14ac:dyDescent="0.55000000000000004">
      <c r="A23">
        <f t="shared" si="1"/>
        <v>23</v>
      </c>
      <c r="B23" t="s">
        <v>676</v>
      </c>
      <c r="C23" t="e">
        <f>VLOOKUP(B23,'BACKEND FILES'!A:B,2,FALSE)</f>
        <v>#N/A</v>
      </c>
      <c r="D23" t="e">
        <f>VLOOKUP(B23,'FRONTEND FILES'!A:B,2,FALSE)</f>
        <v>#N/A</v>
      </c>
      <c r="E23" t="e">
        <f>VLOOKUP(B23,'SHARED FILES'!A:B,2,FALSE)</f>
        <v>#N/A</v>
      </c>
      <c r="F23" t="str">
        <f t="shared" si="0"/>
        <v/>
      </c>
    </row>
    <row r="24" spans="1:6" x14ac:dyDescent="0.55000000000000004">
      <c r="A24">
        <f t="shared" si="1"/>
        <v>24</v>
      </c>
      <c r="B24" t="s">
        <v>677</v>
      </c>
      <c r="C24" t="e">
        <f>VLOOKUP(B24,'BACKEND FILES'!A:B,2,FALSE)</f>
        <v>#N/A</v>
      </c>
      <c r="D24" t="e">
        <f>VLOOKUP(B24,'FRONTEND FILES'!A:B,2,FALSE)</f>
        <v>#N/A</v>
      </c>
      <c r="E24" t="e">
        <f>VLOOKUP(B24,'SHARED FILES'!A:B,2,FALSE)</f>
        <v>#N/A</v>
      </c>
      <c r="F24" t="str">
        <f t="shared" si="0"/>
        <v/>
      </c>
    </row>
    <row r="25" spans="1:6" x14ac:dyDescent="0.55000000000000004">
      <c r="A25">
        <f t="shared" si="1"/>
        <v>25</v>
      </c>
      <c r="B25" t="s">
        <v>678</v>
      </c>
      <c r="C25" t="e">
        <f>VLOOKUP(B25,'BACKEND FILES'!A:B,2,FALSE)</f>
        <v>#N/A</v>
      </c>
      <c r="D25" t="e">
        <f>VLOOKUP(B25,'FRONTEND FILES'!A:B,2,FALSE)</f>
        <v>#N/A</v>
      </c>
      <c r="E25" t="e">
        <f>VLOOKUP(B25,'SHARED FILES'!A:B,2,FALSE)</f>
        <v>#N/A</v>
      </c>
      <c r="F25" t="str">
        <f t="shared" si="0"/>
        <v/>
      </c>
    </row>
    <row r="26" spans="1:6" x14ac:dyDescent="0.55000000000000004">
      <c r="A26">
        <f t="shared" si="1"/>
        <v>26</v>
      </c>
      <c r="B26" t="s">
        <v>679</v>
      </c>
      <c r="C26" t="e">
        <f>VLOOKUP(B26,'BACKEND FILES'!A:B,2,FALSE)</f>
        <v>#N/A</v>
      </c>
      <c r="D26" t="e">
        <f>VLOOKUP(B26,'FRONTEND FILES'!A:B,2,FALSE)</f>
        <v>#N/A</v>
      </c>
      <c r="E26" t="e">
        <f>VLOOKUP(B26,'SHARED FILES'!A:B,2,FALSE)</f>
        <v>#N/A</v>
      </c>
      <c r="F26" t="str">
        <f t="shared" si="0"/>
        <v/>
      </c>
    </row>
    <row r="27" spans="1:6" x14ac:dyDescent="0.55000000000000004">
      <c r="A27">
        <f t="shared" si="1"/>
        <v>27</v>
      </c>
      <c r="B27" t="s">
        <v>680</v>
      </c>
      <c r="C27" t="e">
        <f>VLOOKUP(B27,'BACKEND FILES'!A:B,2,FALSE)</f>
        <v>#N/A</v>
      </c>
      <c r="D27" t="e">
        <f>VLOOKUP(B27,'FRONTEND FILES'!A:B,2,FALSE)</f>
        <v>#N/A</v>
      </c>
      <c r="E27" t="e">
        <f>VLOOKUP(B27,'SHARED FILES'!A:B,2,FALSE)</f>
        <v>#N/A</v>
      </c>
      <c r="F27" t="str">
        <f t="shared" si="0"/>
        <v/>
      </c>
    </row>
    <row r="28" spans="1:6" x14ac:dyDescent="0.55000000000000004">
      <c r="A28">
        <f t="shared" si="1"/>
        <v>28</v>
      </c>
      <c r="B28" t="s">
        <v>681</v>
      </c>
      <c r="C28" t="e">
        <f>VLOOKUP(B28,'BACKEND FILES'!A:B,2,FALSE)</f>
        <v>#N/A</v>
      </c>
      <c r="D28" t="e">
        <f>VLOOKUP(B28,'FRONTEND FILES'!A:B,2,FALSE)</f>
        <v>#N/A</v>
      </c>
      <c r="E28" t="e">
        <f>VLOOKUP(B28,'SHARED FILES'!A:B,2,FALSE)</f>
        <v>#N/A</v>
      </c>
      <c r="F28" t="str">
        <f t="shared" si="0"/>
        <v/>
      </c>
    </row>
    <row r="29" spans="1:6" x14ac:dyDescent="0.55000000000000004">
      <c r="A29">
        <f t="shared" si="1"/>
        <v>29</v>
      </c>
      <c r="B29" t="s">
        <v>682</v>
      </c>
      <c r="C29" t="e">
        <f>VLOOKUP(B29,'BACKEND FILES'!A:B,2,FALSE)</f>
        <v>#N/A</v>
      </c>
      <c r="D29" t="e">
        <f>VLOOKUP(B29,'FRONTEND FILES'!A:B,2,FALSE)</f>
        <v>#N/A</v>
      </c>
      <c r="E29" t="e">
        <f>VLOOKUP(B29,'SHARED FILES'!A:B,2,FALSE)</f>
        <v>#N/A</v>
      </c>
      <c r="F29" t="str">
        <f t="shared" si="0"/>
        <v/>
      </c>
    </row>
    <row r="30" spans="1:6" x14ac:dyDescent="0.55000000000000004">
      <c r="A30">
        <f t="shared" si="1"/>
        <v>30</v>
      </c>
      <c r="B30" t="s">
        <v>683</v>
      </c>
      <c r="C30" t="e">
        <f>VLOOKUP(B30,'BACKEND FILES'!A:B,2,FALSE)</f>
        <v>#N/A</v>
      </c>
      <c r="D30" t="e">
        <f>VLOOKUP(B30,'FRONTEND FILES'!A:B,2,FALSE)</f>
        <v>#N/A</v>
      </c>
      <c r="E30" t="e">
        <f>VLOOKUP(B30,'SHARED FILES'!A:B,2,FALSE)</f>
        <v>#N/A</v>
      </c>
      <c r="F30" t="str">
        <f t="shared" si="0"/>
        <v/>
      </c>
    </row>
    <row r="31" spans="1:6" x14ac:dyDescent="0.55000000000000004">
      <c r="A31">
        <f t="shared" si="1"/>
        <v>31</v>
      </c>
      <c r="B31" t="s">
        <v>684</v>
      </c>
      <c r="C31" t="e">
        <f>VLOOKUP(B31,'BACKEND FILES'!A:B,2,FALSE)</f>
        <v>#N/A</v>
      </c>
      <c r="D31" t="e">
        <f>VLOOKUP(B31,'FRONTEND FILES'!A:B,2,FALSE)</f>
        <v>#N/A</v>
      </c>
      <c r="E31" t="e">
        <f>VLOOKUP(B31,'SHARED FILES'!A:B,2,FALSE)</f>
        <v>#N/A</v>
      </c>
      <c r="F31" t="str">
        <f t="shared" si="0"/>
        <v/>
      </c>
    </row>
    <row r="32" spans="1:6" x14ac:dyDescent="0.55000000000000004">
      <c r="A32">
        <f t="shared" si="1"/>
        <v>32</v>
      </c>
      <c r="B32" t="s">
        <v>685</v>
      </c>
      <c r="C32" t="e">
        <f>VLOOKUP(B32,'BACKEND FILES'!A:B,2,FALSE)</f>
        <v>#N/A</v>
      </c>
      <c r="D32" t="e">
        <f>VLOOKUP(B32,'FRONTEND FILES'!A:B,2,FALSE)</f>
        <v>#N/A</v>
      </c>
      <c r="E32" t="e">
        <f>VLOOKUP(B32,'SHARED FILES'!A:B,2,FALSE)</f>
        <v>#N/A</v>
      </c>
      <c r="F32" t="str">
        <f t="shared" si="0"/>
        <v/>
      </c>
    </row>
    <row r="33" spans="1:6" x14ac:dyDescent="0.55000000000000004">
      <c r="A33">
        <f t="shared" si="1"/>
        <v>33</v>
      </c>
      <c r="B33" t="s">
        <v>686</v>
      </c>
      <c r="C33" t="e">
        <f>VLOOKUP(B33,'BACKEND FILES'!A:B,2,FALSE)</f>
        <v>#N/A</v>
      </c>
      <c r="D33" t="e">
        <f>VLOOKUP(B33,'FRONTEND FILES'!A:B,2,FALSE)</f>
        <v>#N/A</v>
      </c>
      <c r="E33" t="e">
        <f>VLOOKUP(B33,'SHARED FILES'!A:B,2,FALSE)</f>
        <v>#N/A</v>
      </c>
      <c r="F33" t="str">
        <f t="shared" si="0"/>
        <v/>
      </c>
    </row>
    <row r="34" spans="1:6" x14ac:dyDescent="0.55000000000000004">
      <c r="A34">
        <f t="shared" si="1"/>
        <v>34</v>
      </c>
      <c r="B34" t="s">
        <v>687</v>
      </c>
      <c r="C34" t="e">
        <f>VLOOKUP(B34,'BACKEND FILES'!A:B,2,FALSE)</f>
        <v>#N/A</v>
      </c>
      <c r="D34" t="e">
        <f>VLOOKUP(B34,'FRONTEND FILES'!A:B,2,FALSE)</f>
        <v>#N/A</v>
      </c>
      <c r="E34" t="e">
        <f>VLOOKUP(B34,'SHARED FILES'!A:B,2,FALSE)</f>
        <v>#N/A</v>
      </c>
      <c r="F34" t="str">
        <f t="shared" si="0"/>
        <v/>
      </c>
    </row>
    <row r="35" spans="1:6" x14ac:dyDescent="0.55000000000000004">
      <c r="A35">
        <f t="shared" si="1"/>
        <v>35</v>
      </c>
      <c r="B35" t="s">
        <v>688</v>
      </c>
      <c r="C35" t="e">
        <f>VLOOKUP(B35,'BACKEND FILES'!A:B,2,FALSE)</f>
        <v>#N/A</v>
      </c>
      <c r="D35" t="e">
        <f>VLOOKUP(B35,'FRONTEND FILES'!A:B,2,FALSE)</f>
        <v>#N/A</v>
      </c>
      <c r="E35" t="e">
        <f>VLOOKUP(B35,'SHARED FILES'!A:B,2,FALSE)</f>
        <v>#N/A</v>
      </c>
      <c r="F35" t="str">
        <f t="shared" si="0"/>
        <v/>
      </c>
    </row>
    <row r="36" spans="1:6" x14ac:dyDescent="0.55000000000000004">
      <c r="A36">
        <f t="shared" si="1"/>
        <v>36</v>
      </c>
      <c r="B36" t="s">
        <v>689</v>
      </c>
      <c r="C36" t="e">
        <f>VLOOKUP(B36,'BACKEND FILES'!A:B,2,FALSE)</f>
        <v>#N/A</v>
      </c>
      <c r="D36" t="e">
        <f>VLOOKUP(B36,'FRONTEND FILES'!A:B,2,FALSE)</f>
        <v>#N/A</v>
      </c>
      <c r="E36" t="e">
        <f>VLOOKUP(B36,'SHARED FILES'!A:B,2,FALSE)</f>
        <v>#N/A</v>
      </c>
      <c r="F36" t="str">
        <f t="shared" si="0"/>
        <v/>
      </c>
    </row>
    <row r="37" spans="1:6" x14ac:dyDescent="0.55000000000000004">
      <c r="A37">
        <f t="shared" si="1"/>
        <v>37</v>
      </c>
      <c r="B37" t="s">
        <v>690</v>
      </c>
      <c r="C37" t="e">
        <f>VLOOKUP(B37,'BACKEND FILES'!A:B,2,FALSE)</f>
        <v>#N/A</v>
      </c>
      <c r="D37" t="e">
        <f>VLOOKUP(B37,'FRONTEND FILES'!A:B,2,FALSE)</f>
        <v>#N/A</v>
      </c>
      <c r="E37" t="e">
        <f>VLOOKUP(B37,'SHARED FILES'!A:B,2,FALSE)</f>
        <v>#N/A</v>
      </c>
      <c r="F37" t="str">
        <f t="shared" si="0"/>
        <v/>
      </c>
    </row>
    <row r="38" spans="1:6" x14ac:dyDescent="0.55000000000000004">
      <c r="A38">
        <f t="shared" si="1"/>
        <v>38</v>
      </c>
      <c r="B38" t="s">
        <v>691</v>
      </c>
      <c r="C38" t="e">
        <f>VLOOKUP(B38,'BACKEND FILES'!A:B,2,FALSE)</f>
        <v>#N/A</v>
      </c>
      <c r="D38" t="e">
        <f>VLOOKUP(B38,'FRONTEND FILES'!A:B,2,FALSE)</f>
        <v>#N/A</v>
      </c>
      <c r="E38" t="e">
        <f>VLOOKUP(B38,'SHARED FILES'!A:B,2,FALSE)</f>
        <v>#N/A</v>
      </c>
      <c r="F38" t="str">
        <f t="shared" si="0"/>
        <v/>
      </c>
    </row>
    <row r="39" spans="1:6" x14ac:dyDescent="0.55000000000000004">
      <c r="A39">
        <f t="shared" si="1"/>
        <v>39</v>
      </c>
      <c r="B39" t="s">
        <v>692</v>
      </c>
      <c r="C39" t="e">
        <f>VLOOKUP(B39,'BACKEND FILES'!A:B,2,FALSE)</f>
        <v>#N/A</v>
      </c>
      <c r="D39" t="e">
        <f>VLOOKUP(B39,'FRONTEND FILES'!A:B,2,FALSE)</f>
        <v>#N/A</v>
      </c>
      <c r="E39" t="e">
        <f>VLOOKUP(B39,'SHARED FILES'!A:B,2,FALSE)</f>
        <v>#N/A</v>
      </c>
      <c r="F39" t="str">
        <f t="shared" si="0"/>
        <v/>
      </c>
    </row>
    <row r="40" spans="1:6" x14ac:dyDescent="0.55000000000000004">
      <c r="A40">
        <f t="shared" si="1"/>
        <v>40</v>
      </c>
      <c r="B40" t="s">
        <v>693</v>
      </c>
      <c r="C40" t="e">
        <f>VLOOKUP(B40,'BACKEND FILES'!A:B,2,FALSE)</f>
        <v>#N/A</v>
      </c>
      <c r="D40" t="e">
        <f>VLOOKUP(B40,'FRONTEND FILES'!A:B,2,FALSE)</f>
        <v>#N/A</v>
      </c>
      <c r="E40" t="e">
        <f>VLOOKUP(B40,'SHARED FILES'!A:B,2,FALSE)</f>
        <v>#N/A</v>
      </c>
      <c r="F40" t="str">
        <f t="shared" si="0"/>
        <v/>
      </c>
    </row>
    <row r="41" spans="1:6" x14ac:dyDescent="0.55000000000000004">
      <c r="A41">
        <f t="shared" si="1"/>
        <v>41</v>
      </c>
      <c r="B41" t="s">
        <v>694</v>
      </c>
      <c r="C41" t="e">
        <f>VLOOKUP(B41,'BACKEND FILES'!A:B,2,FALSE)</f>
        <v>#N/A</v>
      </c>
      <c r="D41" t="e">
        <f>VLOOKUP(B41,'FRONTEND FILES'!A:B,2,FALSE)</f>
        <v>#N/A</v>
      </c>
      <c r="E41" t="e">
        <f>VLOOKUP(B41,'SHARED FILES'!A:B,2,FALSE)</f>
        <v>#N/A</v>
      </c>
      <c r="F41" t="str">
        <f t="shared" si="0"/>
        <v/>
      </c>
    </row>
    <row r="42" spans="1:6" x14ac:dyDescent="0.55000000000000004">
      <c r="A42">
        <f t="shared" si="1"/>
        <v>42</v>
      </c>
      <c r="B42" t="s">
        <v>695</v>
      </c>
      <c r="C42" t="e">
        <f>VLOOKUP(B42,'BACKEND FILES'!A:B,2,FALSE)</f>
        <v>#N/A</v>
      </c>
      <c r="D42" t="e">
        <f>VLOOKUP(B42,'FRONTEND FILES'!A:B,2,FALSE)</f>
        <v>#N/A</v>
      </c>
      <c r="E42" t="e">
        <f>VLOOKUP(B42,'SHARED FILES'!A:B,2,FALSE)</f>
        <v>#N/A</v>
      </c>
      <c r="F42" t="str">
        <f t="shared" si="0"/>
        <v/>
      </c>
    </row>
    <row r="43" spans="1:6" x14ac:dyDescent="0.55000000000000004">
      <c r="A43">
        <f t="shared" si="1"/>
        <v>43</v>
      </c>
      <c r="B43" t="s">
        <v>696</v>
      </c>
      <c r="C43" t="e">
        <f>VLOOKUP(B43,'BACKEND FILES'!A:B,2,FALSE)</f>
        <v>#N/A</v>
      </c>
      <c r="D43" t="e">
        <f>VLOOKUP(B43,'FRONTEND FILES'!A:B,2,FALSE)</f>
        <v>#N/A</v>
      </c>
      <c r="E43" t="e">
        <f>VLOOKUP(B43,'SHARED FILES'!A:B,2,FALSE)</f>
        <v>#N/A</v>
      </c>
      <c r="F43" t="str">
        <f t="shared" si="0"/>
        <v/>
      </c>
    </row>
    <row r="44" spans="1:6" x14ac:dyDescent="0.55000000000000004">
      <c r="A44">
        <f t="shared" si="1"/>
        <v>44</v>
      </c>
      <c r="B44" t="s">
        <v>697</v>
      </c>
      <c r="C44" t="e">
        <f>VLOOKUP(B44,'BACKEND FILES'!A:B,2,FALSE)</f>
        <v>#N/A</v>
      </c>
      <c r="D44" t="e">
        <f>VLOOKUP(B44,'FRONTEND FILES'!A:B,2,FALSE)</f>
        <v>#N/A</v>
      </c>
      <c r="E44" t="e">
        <f>VLOOKUP(B44,'SHARED FILES'!A:B,2,FALSE)</f>
        <v>#N/A</v>
      </c>
      <c r="F44" t="str">
        <f t="shared" si="0"/>
        <v/>
      </c>
    </row>
    <row r="45" spans="1:6" x14ac:dyDescent="0.55000000000000004">
      <c r="A45">
        <f t="shared" si="1"/>
        <v>45</v>
      </c>
      <c r="B45" t="s">
        <v>1469</v>
      </c>
      <c r="C45" t="e">
        <f>VLOOKUP(B45,'BACKEND FILES'!A:B,2,FALSE)</f>
        <v>#N/A</v>
      </c>
      <c r="D45" t="e">
        <f>VLOOKUP(B45,'FRONTEND FILES'!A:B,2,FALSE)</f>
        <v>#N/A</v>
      </c>
      <c r="E45" t="e">
        <f>VLOOKUP(B45,'SHARED FILES'!A:B,2,FALSE)</f>
        <v>#N/A</v>
      </c>
      <c r="F45" t="str">
        <f t="shared" si="0"/>
        <v/>
      </c>
    </row>
    <row r="46" spans="1:6" x14ac:dyDescent="0.55000000000000004">
      <c r="A46">
        <f t="shared" si="1"/>
        <v>46</v>
      </c>
      <c r="B46" t="s">
        <v>1529</v>
      </c>
      <c r="C46" t="e">
        <f>VLOOKUP(B46,'BACKEND FILES'!A:B,2,FALSE)</f>
        <v>#N/A</v>
      </c>
      <c r="D46" t="e">
        <f>VLOOKUP(B46,'FRONTEND FILES'!A:B,2,FALSE)</f>
        <v>#N/A</v>
      </c>
      <c r="E46" t="e">
        <f>VLOOKUP(B46,'SHARED FILES'!A:B,2,FALSE)</f>
        <v>#N/A</v>
      </c>
      <c r="F46" t="str">
        <f t="shared" si="0"/>
        <v/>
      </c>
    </row>
    <row r="47" spans="1:6" x14ac:dyDescent="0.55000000000000004">
      <c r="A47">
        <f t="shared" si="1"/>
        <v>47</v>
      </c>
      <c r="B47" t="s">
        <v>1470</v>
      </c>
      <c r="C47" t="e">
        <f>VLOOKUP(B47,'BACKEND FILES'!A:B,2,FALSE)</f>
        <v>#N/A</v>
      </c>
      <c r="D47" t="e">
        <f>VLOOKUP(B47,'FRONTEND FILES'!A:B,2,FALSE)</f>
        <v>#N/A</v>
      </c>
      <c r="E47" t="e">
        <f>VLOOKUP(B47,'SHARED FILES'!A:B,2,FALSE)</f>
        <v>#N/A</v>
      </c>
      <c r="F47" t="str">
        <f t="shared" si="0"/>
        <v/>
      </c>
    </row>
    <row r="48" spans="1:6" x14ac:dyDescent="0.55000000000000004">
      <c r="A48">
        <f t="shared" si="1"/>
        <v>48</v>
      </c>
      <c r="B48" t="s">
        <v>1471</v>
      </c>
      <c r="C48" t="e">
        <f>VLOOKUP(B48,'BACKEND FILES'!A:B,2,FALSE)</f>
        <v>#N/A</v>
      </c>
      <c r="D48" t="e">
        <f>VLOOKUP(B48,'FRONTEND FILES'!A:B,2,FALSE)</f>
        <v>#N/A</v>
      </c>
      <c r="E48" t="e">
        <f>VLOOKUP(B48,'SHARED FILES'!A:B,2,FALSE)</f>
        <v>#N/A</v>
      </c>
      <c r="F48" t="str">
        <f t="shared" si="0"/>
        <v/>
      </c>
    </row>
    <row r="49" spans="1:6" x14ac:dyDescent="0.55000000000000004">
      <c r="A49">
        <f t="shared" si="1"/>
        <v>49</v>
      </c>
      <c r="B49" t="s">
        <v>1472</v>
      </c>
      <c r="C49" t="e">
        <f>VLOOKUP(B49,'BACKEND FILES'!A:B,2,FALSE)</f>
        <v>#N/A</v>
      </c>
      <c r="D49" t="e">
        <f>VLOOKUP(B49,'FRONTEND FILES'!A:B,2,FALSE)</f>
        <v>#N/A</v>
      </c>
      <c r="E49" t="e">
        <f>VLOOKUP(B49,'SHARED FILES'!A:B,2,FALSE)</f>
        <v>#N/A</v>
      </c>
      <c r="F49" t="str">
        <f t="shared" si="0"/>
        <v/>
      </c>
    </row>
    <row r="50" spans="1:6" x14ac:dyDescent="0.55000000000000004">
      <c r="A50">
        <f t="shared" si="1"/>
        <v>50</v>
      </c>
      <c r="B50" t="s">
        <v>1473</v>
      </c>
      <c r="C50" t="e">
        <f>VLOOKUP(B50,'BACKEND FILES'!A:B,2,FALSE)</f>
        <v>#N/A</v>
      </c>
      <c r="D50" t="e">
        <f>VLOOKUP(B50,'FRONTEND FILES'!A:B,2,FALSE)</f>
        <v>#N/A</v>
      </c>
      <c r="E50" t="e">
        <f>VLOOKUP(B50,'SHARED FILES'!A:B,2,FALSE)</f>
        <v>#N/A</v>
      </c>
      <c r="F50" t="str">
        <f t="shared" si="0"/>
        <v/>
      </c>
    </row>
    <row r="51" spans="1:6" x14ac:dyDescent="0.55000000000000004">
      <c r="A51">
        <f t="shared" si="1"/>
        <v>51</v>
      </c>
      <c r="B51" t="s">
        <v>1474</v>
      </c>
      <c r="C51" t="e">
        <f>VLOOKUP(B51,'BACKEND FILES'!A:B,2,FALSE)</f>
        <v>#N/A</v>
      </c>
      <c r="D51" t="e">
        <f>VLOOKUP(B51,'FRONTEND FILES'!A:B,2,FALSE)</f>
        <v>#N/A</v>
      </c>
      <c r="E51" t="e">
        <f>VLOOKUP(B51,'SHARED FILES'!A:B,2,FALSE)</f>
        <v>#N/A</v>
      </c>
      <c r="F51" t="str">
        <f t="shared" si="0"/>
        <v/>
      </c>
    </row>
    <row r="52" spans="1:6" x14ac:dyDescent="0.55000000000000004">
      <c r="A52">
        <f t="shared" si="1"/>
        <v>52</v>
      </c>
      <c r="B52" t="s">
        <v>1475</v>
      </c>
      <c r="C52" t="e">
        <f>VLOOKUP(B52,'BACKEND FILES'!A:B,2,FALSE)</f>
        <v>#N/A</v>
      </c>
      <c r="D52" t="e">
        <f>VLOOKUP(B52,'FRONTEND FILES'!A:B,2,FALSE)</f>
        <v>#N/A</v>
      </c>
      <c r="E52" t="e">
        <f>VLOOKUP(B52,'SHARED FILES'!A:B,2,FALSE)</f>
        <v>#N/A</v>
      </c>
      <c r="F52" t="str">
        <f t="shared" si="0"/>
        <v/>
      </c>
    </row>
    <row r="53" spans="1:6" x14ac:dyDescent="0.55000000000000004">
      <c r="A53">
        <f t="shared" si="1"/>
        <v>53</v>
      </c>
      <c r="B53" t="s">
        <v>1476</v>
      </c>
      <c r="C53" t="e">
        <f>VLOOKUP(B53,'BACKEND FILES'!A:B,2,FALSE)</f>
        <v>#N/A</v>
      </c>
      <c r="D53" t="e">
        <f>VLOOKUP(B53,'FRONTEND FILES'!A:B,2,FALSE)</f>
        <v>#N/A</v>
      </c>
      <c r="E53" t="e">
        <f>VLOOKUP(B53,'SHARED FILES'!A:B,2,FALSE)</f>
        <v>#N/A</v>
      </c>
      <c r="F53" t="str">
        <f t="shared" si="0"/>
        <v/>
      </c>
    </row>
    <row r="54" spans="1:6" x14ac:dyDescent="0.55000000000000004">
      <c r="A54">
        <f t="shared" si="1"/>
        <v>54</v>
      </c>
      <c r="B54" t="s">
        <v>1477</v>
      </c>
      <c r="C54" t="e">
        <f>VLOOKUP(B54,'BACKEND FILES'!A:B,2,FALSE)</f>
        <v>#N/A</v>
      </c>
      <c r="D54" t="e">
        <f>VLOOKUP(B54,'FRONTEND FILES'!A:B,2,FALSE)</f>
        <v>#N/A</v>
      </c>
      <c r="E54" t="e">
        <f>VLOOKUP(B54,'SHARED FILES'!A:B,2,FALSE)</f>
        <v>#N/A</v>
      </c>
      <c r="F54" t="str">
        <f t="shared" si="0"/>
        <v/>
      </c>
    </row>
    <row r="55" spans="1:6" x14ac:dyDescent="0.55000000000000004">
      <c r="A55">
        <f t="shared" si="1"/>
        <v>55</v>
      </c>
      <c r="B55" t="s">
        <v>1478</v>
      </c>
      <c r="C55" t="e">
        <f>VLOOKUP(B55,'BACKEND FILES'!A:B,2,FALSE)</f>
        <v>#N/A</v>
      </c>
      <c r="D55" t="e">
        <f>VLOOKUP(B55,'FRONTEND FILES'!A:B,2,FALSE)</f>
        <v>#N/A</v>
      </c>
      <c r="E55" t="e">
        <f>VLOOKUP(B55,'SHARED FILES'!A:B,2,FALSE)</f>
        <v>#N/A</v>
      </c>
      <c r="F55" t="str">
        <f t="shared" si="0"/>
        <v/>
      </c>
    </row>
    <row r="56" spans="1:6" x14ac:dyDescent="0.55000000000000004">
      <c r="A56">
        <f t="shared" si="1"/>
        <v>56</v>
      </c>
      <c r="B56" t="s">
        <v>1479</v>
      </c>
      <c r="C56" t="e">
        <f>VLOOKUP(B56,'BACKEND FILES'!A:B,2,FALSE)</f>
        <v>#N/A</v>
      </c>
      <c r="D56" t="e">
        <f>VLOOKUP(B56,'FRONTEND FILES'!A:B,2,FALSE)</f>
        <v>#N/A</v>
      </c>
      <c r="E56" t="e">
        <f>VLOOKUP(B56,'SHARED FILES'!A:B,2,FALSE)</f>
        <v>#N/A</v>
      </c>
      <c r="F56" t="str">
        <f t="shared" si="0"/>
        <v/>
      </c>
    </row>
    <row r="57" spans="1:6" x14ac:dyDescent="0.55000000000000004">
      <c r="A57">
        <f t="shared" si="1"/>
        <v>57</v>
      </c>
      <c r="B57" t="s">
        <v>1480</v>
      </c>
      <c r="C57" t="e">
        <f>VLOOKUP(B57,'BACKEND FILES'!A:B,2,FALSE)</f>
        <v>#N/A</v>
      </c>
      <c r="D57" t="e">
        <f>VLOOKUP(B57,'FRONTEND FILES'!A:B,2,FALSE)</f>
        <v>#N/A</v>
      </c>
      <c r="E57" t="e">
        <f>VLOOKUP(B57,'SHARED FILES'!A:B,2,FALSE)</f>
        <v>#N/A</v>
      </c>
      <c r="F57" t="str">
        <f t="shared" si="0"/>
        <v/>
      </c>
    </row>
    <row r="58" spans="1:6" x14ac:dyDescent="0.55000000000000004">
      <c r="A58">
        <f t="shared" si="1"/>
        <v>58</v>
      </c>
      <c r="B58" t="s">
        <v>1481</v>
      </c>
      <c r="C58" t="e">
        <f>VLOOKUP(B58,'BACKEND FILES'!A:B,2,FALSE)</f>
        <v>#N/A</v>
      </c>
      <c r="D58" t="e">
        <f>VLOOKUP(B58,'FRONTEND FILES'!A:B,2,FALSE)</f>
        <v>#N/A</v>
      </c>
      <c r="E58" t="e">
        <f>VLOOKUP(B58,'SHARED FILES'!A:B,2,FALSE)</f>
        <v>#N/A</v>
      </c>
      <c r="F58" t="str">
        <f t="shared" si="0"/>
        <v/>
      </c>
    </row>
    <row r="59" spans="1:6" x14ac:dyDescent="0.55000000000000004">
      <c r="A59">
        <f t="shared" si="1"/>
        <v>59</v>
      </c>
      <c r="B59" t="s">
        <v>1482</v>
      </c>
      <c r="C59" t="e">
        <f>VLOOKUP(B59,'BACKEND FILES'!A:B,2,FALSE)</f>
        <v>#N/A</v>
      </c>
      <c r="D59" t="e">
        <f>VLOOKUP(B59,'FRONTEND FILES'!A:B,2,FALSE)</f>
        <v>#N/A</v>
      </c>
      <c r="E59" t="e">
        <f>VLOOKUP(B59,'SHARED FILES'!A:B,2,FALSE)</f>
        <v>#N/A</v>
      </c>
      <c r="F59" t="str">
        <f t="shared" si="0"/>
        <v/>
      </c>
    </row>
    <row r="60" spans="1:6" x14ac:dyDescent="0.55000000000000004">
      <c r="A60">
        <f t="shared" si="1"/>
        <v>60</v>
      </c>
      <c r="B60" t="s">
        <v>1483</v>
      </c>
      <c r="C60" t="e">
        <f>VLOOKUP(B60,'BACKEND FILES'!A:B,2,FALSE)</f>
        <v>#N/A</v>
      </c>
      <c r="D60" t="e">
        <f>VLOOKUP(B60,'FRONTEND FILES'!A:B,2,FALSE)</f>
        <v>#N/A</v>
      </c>
      <c r="E60" t="e">
        <f>VLOOKUP(B60,'SHARED FILES'!A:B,2,FALSE)</f>
        <v>#N/A</v>
      </c>
      <c r="F60" t="str">
        <f t="shared" si="0"/>
        <v/>
      </c>
    </row>
    <row r="61" spans="1:6" x14ac:dyDescent="0.55000000000000004">
      <c r="A61">
        <f t="shared" si="1"/>
        <v>61</v>
      </c>
      <c r="B61" t="s">
        <v>1484</v>
      </c>
      <c r="C61" t="e">
        <f>VLOOKUP(B61,'BACKEND FILES'!A:B,2,FALSE)</f>
        <v>#N/A</v>
      </c>
      <c r="D61" t="e">
        <f>VLOOKUP(B61,'FRONTEND FILES'!A:B,2,FALSE)</f>
        <v>#N/A</v>
      </c>
      <c r="E61" t="e">
        <f>VLOOKUP(B61,'SHARED FILES'!A:B,2,FALSE)</f>
        <v>#N/A</v>
      </c>
      <c r="F61" t="str">
        <f t="shared" si="0"/>
        <v/>
      </c>
    </row>
    <row r="62" spans="1:6" x14ac:dyDescent="0.55000000000000004">
      <c r="A62">
        <f t="shared" si="1"/>
        <v>62</v>
      </c>
      <c r="B62" t="s">
        <v>1485</v>
      </c>
      <c r="C62" t="e">
        <f>VLOOKUP(B62,'BACKEND FILES'!A:B,2,FALSE)</f>
        <v>#N/A</v>
      </c>
      <c r="D62" t="e">
        <f>VLOOKUP(B62,'FRONTEND FILES'!A:B,2,FALSE)</f>
        <v>#N/A</v>
      </c>
      <c r="E62" t="e">
        <f>VLOOKUP(B62,'SHARED FILES'!A:B,2,FALSE)</f>
        <v>#N/A</v>
      </c>
      <c r="F62" t="str">
        <f t="shared" si="0"/>
        <v/>
      </c>
    </row>
    <row r="63" spans="1:6" x14ac:dyDescent="0.55000000000000004">
      <c r="A63">
        <f t="shared" si="1"/>
        <v>63</v>
      </c>
      <c r="B63" t="s">
        <v>1486</v>
      </c>
      <c r="C63" t="e">
        <f>VLOOKUP(B63,'BACKEND FILES'!A:B,2,FALSE)</f>
        <v>#N/A</v>
      </c>
      <c r="D63" t="e">
        <f>VLOOKUP(B63,'FRONTEND FILES'!A:B,2,FALSE)</f>
        <v>#N/A</v>
      </c>
      <c r="E63" t="e">
        <f>VLOOKUP(B63,'SHARED FILES'!A:B,2,FALSE)</f>
        <v>#N/A</v>
      </c>
      <c r="F63" t="str">
        <f t="shared" si="0"/>
        <v/>
      </c>
    </row>
    <row r="64" spans="1:6" x14ac:dyDescent="0.55000000000000004">
      <c r="A64">
        <f t="shared" si="1"/>
        <v>64</v>
      </c>
      <c r="B64" t="s">
        <v>1487</v>
      </c>
      <c r="C64" t="e">
        <f>VLOOKUP(B64,'BACKEND FILES'!A:B,2,FALSE)</f>
        <v>#N/A</v>
      </c>
      <c r="D64" t="e">
        <f>VLOOKUP(B64,'FRONTEND FILES'!A:B,2,FALSE)</f>
        <v>#N/A</v>
      </c>
      <c r="E64" t="e">
        <f>VLOOKUP(B64,'SHARED FILES'!A:B,2,FALSE)</f>
        <v>#N/A</v>
      </c>
      <c r="F64" t="str">
        <f t="shared" si="0"/>
        <v/>
      </c>
    </row>
    <row r="65" spans="1:6" x14ac:dyDescent="0.55000000000000004">
      <c r="A65">
        <f t="shared" si="1"/>
        <v>65</v>
      </c>
      <c r="B65" t="s">
        <v>1488</v>
      </c>
      <c r="C65" t="e">
        <f>VLOOKUP(B65,'BACKEND FILES'!A:B,2,FALSE)</f>
        <v>#N/A</v>
      </c>
      <c r="D65" t="e">
        <f>VLOOKUP(B65,'FRONTEND FILES'!A:B,2,FALSE)</f>
        <v>#N/A</v>
      </c>
      <c r="E65" t="e">
        <f>VLOOKUP(B65,'SHARED FILES'!A:B,2,FALSE)</f>
        <v>#N/A</v>
      </c>
      <c r="F65" t="str">
        <f t="shared" si="0"/>
        <v/>
      </c>
    </row>
    <row r="66" spans="1:6" x14ac:dyDescent="0.55000000000000004">
      <c r="A66">
        <f t="shared" si="1"/>
        <v>66</v>
      </c>
      <c r="B66" t="s">
        <v>1489</v>
      </c>
      <c r="C66" t="e">
        <f>VLOOKUP(B66,'BACKEND FILES'!A:B,2,FALSE)</f>
        <v>#N/A</v>
      </c>
      <c r="D66" t="e">
        <f>VLOOKUP(B66,'FRONTEND FILES'!A:B,2,FALSE)</f>
        <v>#N/A</v>
      </c>
      <c r="E66" t="e">
        <f>VLOOKUP(B66,'SHARED FILES'!A:B,2,FALSE)</f>
        <v>#N/A</v>
      </c>
      <c r="F66" t="str">
        <f t="shared" ref="F66:F129" si="2">_xlfn.IFNA(C66, _xlfn.IFNA(D66, _xlfn.IFNA(E66, "")))</f>
        <v/>
      </c>
    </row>
    <row r="67" spans="1:6" x14ac:dyDescent="0.55000000000000004">
      <c r="A67">
        <f t="shared" ref="A67:A130" si="3">A66+1</f>
        <v>67</v>
      </c>
      <c r="B67" t="s">
        <v>1490</v>
      </c>
      <c r="C67" t="e">
        <f>VLOOKUP(B67,'BACKEND FILES'!A:B,2,FALSE)</f>
        <v>#N/A</v>
      </c>
      <c r="D67" t="e">
        <f>VLOOKUP(B67,'FRONTEND FILES'!A:B,2,FALSE)</f>
        <v>#N/A</v>
      </c>
      <c r="E67" t="e">
        <f>VLOOKUP(B67,'SHARED FILES'!A:B,2,FALSE)</f>
        <v>#N/A</v>
      </c>
      <c r="F67" t="str">
        <f t="shared" si="2"/>
        <v/>
      </c>
    </row>
    <row r="68" spans="1:6" x14ac:dyDescent="0.55000000000000004">
      <c r="A68">
        <f t="shared" si="3"/>
        <v>68</v>
      </c>
      <c r="B68" t="s">
        <v>1491</v>
      </c>
      <c r="C68" t="e">
        <f>VLOOKUP(B68,'BACKEND FILES'!A:B,2,FALSE)</f>
        <v>#N/A</v>
      </c>
      <c r="D68" t="e">
        <f>VLOOKUP(B68,'FRONTEND FILES'!A:B,2,FALSE)</f>
        <v>#N/A</v>
      </c>
      <c r="E68" t="e">
        <f>VLOOKUP(B68,'SHARED FILES'!A:B,2,FALSE)</f>
        <v>#N/A</v>
      </c>
      <c r="F68" t="str">
        <f t="shared" si="2"/>
        <v/>
      </c>
    </row>
    <row r="69" spans="1:6" x14ac:dyDescent="0.55000000000000004">
      <c r="A69">
        <f t="shared" si="3"/>
        <v>69</v>
      </c>
      <c r="B69" t="s">
        <v>1492</v>
      </c>
      <c r="C69" t="e">
        <f>VLOOKUP(B69,'BACKEND FILES'!A:B,2,FALSE)</f>
        <v>#N/A</v>
      </c>
      <c r="D69" t="e">
        <f>VLOOKUP(B69,'FRONTEND FILES'!A:B,2,FALSE)</f>
        <v>#N/A</v>
      </c>
      <c r="E69" t="e">
        <f>VLOOKUP(B69,'SHARED FILES'!A:B,2,FALSE)</f>
        <v>#N/A</v>
      </c>
      <c r="F69" t="str">
        <f t="shared" si="2"/>
        <v/>
      </c>
    </row>
    <row r="70" spans="1:6" x14ac:dyDescent="0.55000000000000004">
      <c r="A70">
        <f t="shared" si="3"/>
        <v>70</v>
      </c>
      <c r="B70" t="s">
        <v>1493</v>
      </c>
      <c r="C70" t="e">
        <f>VLOOKUP(B70,'BACKEND FILES'!A:B,2,FALSE)</f>
        <v>#N/A</v>
      </c>
      <c r="D70" t="e">
        <f>VLOOKUP(B70,'FRONTEND FILES'!A:B,2,FALSE)</f>
        <v>#N/A</v>
      </c>
      <c r="E70" t="e">
        <f>VLOOKUP(B70,'SHARED FILES'!A:B,2,FALSE)</f>
        <v>#N/A</v>
      </c>
      <c r="F70" t="str">
        <f t="shared" si="2"/>
        <v/>
      </c>
    </row>
    <row r="71" spans="1:6" x14ac:dyDescent="0.55000000000000004">
      <c r="A71">
        <f t="shared" si="3"/>
        <v>71</v>
      </c>
      <c r="B71" t="s">
        <v>1494</v>
      </c>
      <c r="C71" t="e">
        <f>VLOOKUP(B71,'BACKEND FILES'!A:B,2,FALSE)</f>
        <v>#N/A</v>
      </c>
      <c r="D71" t="e">
        <f>VLOOKUP(B71,'FRONTEND FILES'!A:B,2,FALSE)</f>
        <v>#N/A</v>
      </c>
      <c r="E71" t="e">
        <f>VLOOKUP(B71,'SHARED FILES'!A:B,2,FALSE)</f>
        <v>#N/A</v>
      </c>
      <c r="F71" t="str">
        <f t="shared" si="2"/>
        <v/>
      </c>
    </row>
    <row r="72" spans="1:6" x14ac:dyDescent="0.55000000000000004">
      <c r="A72">
        <f t="shared" si="3"/>
        <v>72</v>
      </c>
      <c r="B72" t="s">
        <v>1495</v>
      </c>
      <c r="C72" t="e">
        <f>VLOOKUP(B72,'BACKEND FILES'!A:B,2,FALSE)</f>
        <v>#N/A</v>
      </c>
      <c r="D72" t="e">
        <f>VLOOKUP(B72,'FRONTEND FILES'!A:B,2,FALSE)</f>
        <v>#N/A</v>
      </c>
      <c r="E72" t="e">
        <f>VLOOKUP(B72,'SHARED FILES'!A:B,2,FALSE)</f>
        <v>#N/A</v>
      </c>
      <c r="F72" t="str">
        <f t="shared" si="2"/>
        <v/>
      </c>
    </row>
    <row r="73" spans="1:6" x14ac:dyDescent="0.55000000000000004">
      <c r="A73">
        <f t="shared" si="3"/>
        <v>73</v>
      </c>
      <c r="B73" t="s">
        <v>1496</v>
      </c>
      <c r="C73" t="e">
        <f>VLOOKUP(B73,'BACKEND FILES'!A:B,2,FALSE)</f>
        <v>#N/A</v>
      </c>
      <c r="D73" t="e">
        <f>VLOOKUP(B73,'FRONTEND FILES'!A:B,2,FALSE)</f>
        <v>#N/A</v>
      </c>
      <c r="E73" t="e">
        <f>VLOOKUP(B73,'SHARED FILES'!A:B,2,FALSE)</f>
        <v>#N/A</v>
      </c>
      <c r="F73" t="str">
        <f t="shared" si="2"/>
        <v/>
      </c>
    </row>
    <row r="74" spans="1:6" x14ac:dyDescent="0.55000000000000004">
      <c r="A74">
        <f t="shared" si="3"/>
        <v>74</v>
      </c>
      <c r="B74" t="s">
        <v>1497</v>
      </c>
      <c r="C74" t="e">
        <f>VLOOKUP(B74,'BACKEND FILES'!A:B,2,FALSE)</f>
        <v>#N/A</v>
      </c>
      <c r="D74" t="e">
        <f>VLOOKUP(B74,'FRONTEND FILES'!A:B,2,FALSE)</f>
        <v>#N/A</v>
      </c>
      <c r="E74" t="e">
        <f>VLOOKUP(B74,'SHARED FILES'!A:B,2,FALSE)</f>
        <v>#N/A</v>
      </c>
      <c r="F74" t="str">
        <f t="shared" si="2"/>
        <v/>
      </c>
    </row>
    <row r="75" spans="1:6" x14ac:dyDescent="0.55000000000000004">
      <c r="A75">
        <f t="shared" si="3"/>
        <v>75</v>
      </c>
      <c r="B75" t="s">
        <v>1498</v>
      </c>
      <c r="C75" t="e">
        <f>VLOOKUP(B75,'BACKEND FILES'!A:B,2,FALSE)</f>
        <v>#N/A</v>
      </c>
      <c r="D75" t="e">
        <f>VLOOKUP(B75,'FRONTEND FILES'!A:B,2,FALSE)</f>
        <v>#N/A</v>
      </c>
      <c r="E75" t="e">
        <f>VLOOKUP(B75,'SHARED FILES'!A:B,2,FALSE)</f>
        <v>#N/A</v>
      </c>
      <c r="F75" t="str">
        <f t="shared" si="2"/>
        <v/>
      </c>
    </row>
    <row r="76" spans="1:6" x14ac:dyDescent="0.55000000000000004">
      <c r="A76">
        <f t="shared" si="3"/>
        <v>76</v>
      </c>
      <c r="B76" t="s">
        <v>1499</v>
      </c>
      <c r="C76" t="e">
        <f>VLOOKUP(B76,'BACKEND FILES'!A:B,2,FALSE)</f>
        <v>#N/A</v>
      </c>
      <c r="D76" t="e">
        <f>VLOOKUP(B76,'FRONTEND FILES'!A:B,2,FALSE)</f>
        <v>#N/A</v>
      </c>
      <c r="E76" t="e">
        <f>VLOOKUP(B76,'SHARED FILES'!A:B,2,FALSE)</f>
        <v>#N/A</v>
      </c>
      <c r="F76" t="str">
        <f t="shared" si="2"/>
        <v/>
      </c>
    </row>
    <row r="77" spans="1:6" x14ac:dyDescent="0.55000000000000004">
      <c r="A77">
        <f t="shared" si="3"/>
        <v>77</v>
      </c>
      <c r="B77" t="s">
        <v>1500</v>
      </c>
      <c r="C77" t="e">
        <f>VLOOKUP(B77,'BACKEND FILES'!A:B,2,FALSE)</f>
        <v>#N/A</v>
      </c>
      <c r="D77" t="e">
        <f>VLOOKUP(B77,'FRONTEND FILES'!A:B,2,FALSE)</f>
        <v>#N/A</v>
      </c>
      <c r="E77" t="e">
        <f>VLOOKUP(B77,'SHARED FILES'!A:B,2,FALSE)</f>
        <v>#N/A</v>
      </c>
      <c r="F77" t="str">
        <f t="shared" si="2"/>
        <v/>
      </c>
    </row>
    <row r="78" spans="1:6" x14ac:dyDescent="0.55000000000000004">
      <c r="A78">
        <f t="shared" si="3"/>
        <v>78</v>
      </c>
      <c r="B78" t="s">
        <v>1501</v>
      </c>
      <c r="C78" t="e">
        <f>VLOOKUP(B78,'BACKEND FILES'!A:B,2,FALSE)</f>
        <v>#N/A</v>
      </c>
      <c r="D78" t="e">
        <f>VLOOKUP(B78,'FRONTEND FILES'!A:B,2,FALSE)</f>
        <v>#N/A</v>
      </c>
      <c r="E78" t="e">
        <f>VLOOKUP(B78,'SHARED FILES'!A:B,2,FALSE)</f>
        <v>#N/A</v>
      </c>
      <c r="F78" t="str">
        <f t="shared" si="2"/>
        <v/>
      </c>
    </row>
    <row r="79" spans="1:6" x14ac:dyDescent="0.55000000000000004">
      <c r="A79">
        <f t="shared" si="3"/>
        <v>79</v>
      </c>
      <c r="B79" t="s">
        <v>1502</v>
      </c>
      <c r="C79" t="e">
        <f>VLOOKUP(B79,'BACKEND FILES'!A:B,2,FALSE)</f>
        <v>#N/A</v>
      </c>
      <c r="D79" t="e">
        <f>VLOOKUP(B79,'FRONTEND FILES'!A:B,2,FALSE)</f>
        <v>#N/A</v>
      </c>
      <c r="E79" t="e">
        <f>VLOOKUP(B79,'SHARED FILES'!A:B,2,FALSE)</f>
        <v>#N/A</v>
      </c>
      <c r="F79" t="str">
        <f t="shared" si="2"/>
        <v/>
      </c>
    </row>
    <row r="80" spans="1:6" x14ac:dyDescent="0.55000000000000004">
      <c r="A80">
        <f t="shared" si="3"/>
        <v>80</v>
      </c>
      <c r="B80" t="s">
        <v>1503</v>
      </c>
      <c r="C80" t="e">
        <f>VLOOKUP(B80,'BACKEND FILES'!A:B,2,FALSE)</f>
        <v>#N/A</v>
      </c>
      <c r="D80" t="e">
        <f>VLOOKUP(B80,'FRONTEND FILES'!A:B,2,FALSE)</f>
        <v>#N/A</v>
      </c>
      <c r="E80" t="e">
        <f>VLOOKUP(B80,'SHARED FILES'!A:B,2,FALSE)</f>
        <v>#N/A</v>
      </c>
      <c r="F80" t="str">
        <f t="shared" si="2"/>
        <v/>
      </c>
    </row>
    <row r="81" spans="1:6" x14ac:dyDescent="0.55000000000000004">
      <c r="A81">
        <f t="shared" si="3"/>
        <v>81</v>
      </c>
      <c r="B81" t="s">
        <v>1504</v>
      </c>
      <c r="C81" t="e">
        <f>VLOOKUP(B81,'BACKEND FILES'!A:B,2,FALSE)</f>
        <v>#N/A</v>
      </c>
      <c r="D81" t="e">
        <f>VLOOKUP(B81,'FRONTEND FILES'!A:B,2,FALSE)</f>
        <v>#N/A</v>
      </c>
      <c r="E81" t="e">
        <f>VLOOKUP(B81,'SHARED FILES'!A:B,2,FALSE)</f>
        <v>#N/A</v>
      </c>
      <c r="F81" t="str">
        <f t="shared" si="2"/>
        <v/>
      </c>
    </row>
    <row r="82" spans="1:6" x14ac:dyDescent="0.55000000000000004">
      <c r="A82">
        <f t="shared" si="3"/>
        <v>82</v>
      </c>
      <c r="B82" t="s">
        <v>1505</v>
      </c>
      <c r="C82" t="e">
        <f>VLOOKUP(B82,'BACKEND FILES'!A:B,2,FALSE)</f>
        <v>#N/A</v>
      </c>
      <c r="D82" t="e">
        <f>VLOOKUP(B82,'FRONTEND FILES'!A:B,2,FALSE)</f>
        <v>#N/A</v>
      </c>
      <c r="E82" t="e">
        <f>VLOOKUP(B82,'SHARED FILES'!A:B,2,FALSE)</f>
        <v>#N/A</v>
      </c>
      <c r="F82" t="str">
        <f t="shared" si="2"/>
        <v/>
      </c>
    </row>
    <row r="83" spans="1:6" x14ac:dyDescent="0.55000000000000004">
      <c r="A83">
        <f t="shared" si="3"/>
        <v>83</v>
      </c>
      <c r="B83" t="s">
        <v>1506</v>
      </c>
      <c r="C83" t="e">
        <f>VLOOKUP(B83,'BACKEND FILES'!A:B,2,FALSE)</f>
        <v>#N/A</v>
      </c>
      <c r="D83" t="e">
        <f>VLOOKUP(B83,'FRONTEND FILES'!A:B,2,FALSE)</f>
        <v>#N/A</v>
      </c>
      <c r="E83" t="e">
        <f>VLOOKUP(B83,'SHARED FILES'!A:B,2,FALSE)</f>
        <v>#N/A</v>
      </c>
      <c r="F83" t="str">
        <f t="shared" si="2"/>
        <v/>
      </c>
    </row>
    <row r="84" spans="1:6" x14ac:dyDescent="0.55000000000000004">
      <c r="A84">
        <f t="shared" si="3"/>
        <v>84</v>
      </c>
      <c r="B84" t="s">
        <v>1507</v>
      </c>
      <c r="C84" t="e">
        <f>VLOOKUP(B84,'BACKEND FILES'!A:B,2,FALSE)</f>
        <v>#N/A</v>
      </c>
      <c r="D84" t="e">
        <f>VLOOKUP(B84,'FRONTEND FILES'!A:B,2,FALSE)</f>
        <v>#N/A</v>
      </c>
      <c r="E84" t="e">
        <f>VLOOKUP(B84,'SHARED FILES'!A:B,2,FALSE)</f>
        <v>#N/A</v>
      </c>
      <c r="F84" t="str">
        <f t="shared" si="2"/>
        <v/>
      </c>
    </row>
    <row r="85" spans="1:6" x14ac:dyDescent="0.55000000000000004">
      <c r="A85">
        <f t="shared" si="3"/>
        <v>85</v>
      </c>
      <c r="B85" t="s">
        <v>1508</v>
      </c>
      <c r="C85" t="e">
        <f>VLOOKUP(B85,'BACKEND FILES'!A:B,2,FALSE)</f>
        <v>#N/A</v>
      </c>
      <c r="D85" t="e">
        <f>VLOOKUP(B85,'FRONTEND FILES'!A:B,2,FALSE)</f>
        <v>#N/A</v>
      </c>
      <c r="E85" t="e">
        <f>VLOOKUP(B85,'SHARED FILES'!A:B,2,FALSE)</f>
        <v>#N/A</v>
      </c>
      <c r="F85" t="str">
        <f t="shared" si="2"/>
        <v/>
      </c>
    </row>
    <row r="86" spans="1:6" x14ac:dyDescent="0.55000000000000004">
      <c r="A86">
        <f t="shared" si="3"/>
        <v>86</v>
      </c>
      <c r="B86" t="s">
        <v>1509</v>
      </c>
      <c r="C86" t="e">
        <f>VLOOKUP(B86,'BACKEND FILES'!A:B,2,FALSE)</f>
        <v>#N/A</v>
      </c>
      <c r="D86" t="e">
        <f>VLOOKUP(B86,'FRONTEND FILES'!A:B,2,FALSE)</f>
        <v>#N/A</v>
      </c>
      <c r="E86" t="e">
        <f>VLOOKUP(B86,'SHARED FILES'!A:B,2,FALSE)</f>
        <v>#N/A</v>
      </c>
      <c r="F86" t="str">
        <f t="shared" si="2"/>
        <v/>
      </c>
    </row>
    <row r="87" spans="1:6" x14ac:dyDescent="0.55000000000000004">
      <c r="A87">
        <f t="shared" si="3"/>
        <v>87</v>
      </c>
      <c r="B87" t="s">
        <v>1510</v>
      </c>
      <c r="C87" t="e">
        <f>VLOOKUP(B87,'BACKEND FILES'!A:B,2,FALSE)</f>
        <v>#N/A</v>
      </c>
      <c r="D87" t="e">
        <f>VLOOKUP(B87,'FRONTEND FILES'!A:B,2,FALSE)</f>
        <v>#N/A</v>
      </c>
      <c r="E87" t="e">
        <f>VLOOKUP(B87,'SHARED FILES'!A:B,2,FALSE)</f>
        <v>#N/A</v>
      </c>
      <c r="F87" t="str">
        <f t="shared" si="2"/>
        <v/>
      </c>
    </row>
    <row r="88" spans="1:6" x14ac:dyDescent="0.55000000000000004">
      <c r="A88">
        <f t="shared" si="3"/>
        <v>88</v>
      </c>
      <c r="B88" t="s">
        <v>1511</v>
      </c>
      <c r="C88" t="e">
        <f>VLOOKUP(B88,'BACKEND FILES'!A:B,2,FALSE)</f>
        <v>#N/A</v>
      </c>
      <c r="D88" t="e">
        <f>VLOOKUP(B88,'FRONTEND FILES'!A:B,2,FALSE)</f>
        <v>#N/A</v>
      </c>
      <c r="E88" t="e">
        <f>VLOOKUP(B88,'SHARED FILES'!A:B,2,FALSE)</f>
        <v>#N/A</v>
      </c>
      <c r="F88" t="str">
        <f t="shared" si="2"/>
        <v/>
      </c>
    </row>
    <row r="89" spans="1:6" x14ac:dyDescent="0.55000000000000004">
      <c r="A89">
        <f t="shared" si="3"/>
        <v>89</v>
      </c>
      <c r="B89" t="s">
        <v>1512</v>
      </c>
      <c r="C89" t="e">
        <f>VLOOKUP(B89,'BACKEND FILES'!A:B,2,FALSE)</f>
        <v>#N/A</v>
      </c>
      <c r="D89" t="e">
        <f>VLOOKUP(B89,'FRONTEND FILES'!A:B,2,FALSE)</f>
        <v>#N/A</v>
      </c>
      <c r="E89" t="e">
        <f>VLOOKUP(B89,'SHARED FILES'!A:B,2,FALSE)</f>
        <v>#N/A</v>
      </c>
      <c r="F89" t="str">
        <f t="shared" si="2"/>
        <v/>
      </c>
    </row>
    <row r="90" spans="1:6" x14ac:dyDescent="0.55000000000000004">
      <c r="A90">
        <f t="shared" si="3"/>
        <v>90</v>
      </c>
      <c r="B90" t="s">
        <v>1513</v>
      </c>
      <c r="C90" t="e">
        <f>VLOOKUP(B90,'BACKEND FILES'!A:B,2,FALSE)</f>
        <v>#N/A</v>
      </c>
      <c r="D90" t="e">
        <f>VLOOKUP(B90,'FRONTEND FILES'!A:B,2,FALSE)</f>
        <v>#N/A</v>
      </c>
      <c r="E90" t="e">
        <f>VLOOKUP(B90,'SHARED FILES'!A:B,2,FALSE)</f>
        <v>#N/A</v>
      </c>
      <c r="F90" t="str">
        <f t="shared" si="2"/>
        <v/>
      </c>
    </row>
    <row r="91" spans="1:6" x14ac:dyDescent="0.55000000000000004">
      <c r="A91">
        <f t="shared" si="3"/>
        <v>91</v>
      </c>
      <c r="B91" t="s">
        <v>1514</v>
      </c>
      <c r="C91" t="e">
        <f>VLOOKUP(B91,'BACKEND FILES'!A:B,2,FALSE)</f>
        <v>#N/A</v>
      </c>
      <c r="D91" t="e">
        <f>VLOOKUP(B91,'FRONTEND FILES'!A:B,2,FALSE)</f>
        <v>#N/A</v>
      </c>
      <c r="E91" t="e">
        <f>VLOOKUP(B91,'SHARED FILES'!A:B,2,FALSE)</f>
        <v>#N/A</v>
      </c>
      <c r="F91" t="str">
        <f t="shared" si="2"/>
        <v/>
      </c>
    </row>
    <row r="92" spans="1:6" x14ac:dyDescent="0.55000000000000004">
      <c r="A92">
        <f t="shared" si="3"/>
        <v>92</v>
      </c>
      <c r="B92" t="s">
        <v>1515</v>
      </c>
      <c r="C92" t="e">
        <f>VLOOKUP(B92,'BACKEND FILES'!A:B,2,FALSE)</f>
        <v>#N/A</v>
      </c>
      <c r="D92" t="e">
        <f>VLOOKUP(B92,'FRONTEND FILES'!A:B,2,FALSE)</f>
        <v>#N/A</v>
      </c>
      <c r="E92" t="e">
        <f>VLOOKUP(B92,'SHARED FILES'!A:B,2,FALSE)</f>
        <v>#N/A</v>
      </c>
      <c r="F92" t="str">
        <f t="shared" si="2"/>
        <v/>
      </c>
    </row>
    <row r="93" spans="1:6" x14ac:dyDescent="0.55000000000000004">
      <c r="A93">
        <f t="shared" si="3"/>
        <v>93</v>
      </c>
      <c r="B93" t="s">
        <v>1516</v>
      </c>
      <c r="C93" t="e">
        <f>VLOOKUP(B93,'BACKEND FILES'!A:B,2,FALSE)</f>
        <v>#N/A</v>
      </c>
      <c r="D93" t="e">
        <f>VLOOKUP(B93,'FRONTEND FILES'!A:B,2,FALSE)</f>
        <v>#N/A</v>
      </c>
      <c r="E93" t="e">
        <f>VLOOKUP(B93,'SHARED FILES'!A:B,2,FALSE)</f>
        <v>#N/A</v>
      </c>
      <c r="F93" t="str">
        <f t="shared" si="2"/>
        <v/>
      </c>
    </row>
    <row r="94" spans="1:6" x14ac:dyDescent="0.55000000000000004">
      <c r="A94">
        <f t="shared" si="3"/>
        <v>94</v>
      </c>
      <c r="B94" t="s">
        <v>1517</v>
      </c>
      <c r="C94" t="e">
        <f>VLOOKUP(B94,'BACKEND FILES'!A:B,2,FALSE)</f>
        <v>#N/A</v>
      </c>
      <c r="D94" t="e">
        <f>VLOOKUP(B94,'FRONTEND FILES'!A:B,2,FALSE)</f>
        <v>#N/A</v>
      </c>
      <c r="E94" t="e">
        <f>VLOOKUP(B94,'SHARED FILES'!A:B,2,FALSE)</f>
        <v>#N/A</v>
      </c>
      <c r="F94" t="str">
        <f t="shared" si="2"/>
        <v/>
      </c>
    </row>
    <row r="95" spans="1:6" x14ac:dyDescent="0.55000000000000004">
      <c r="A95">
        <f t="shared" si="3"/>
        <v>95</v>
      </c>
      <c r="B95" t="s">
        <v>1518</v>
      </c>
      <c r="C95" t="e">
        <f>VLOOKUP(B95,'BACKEND FILES'!A:B,2,FALSE)</f>
        <v>#N/A</v>
      </c>
      <c r="D95" t="e">
        <f>VLOOKUP(B95,'FRONTEND FILES'!A:B,2,FALSE)</f>
        <v>#N/A</v>
      </c>
      <c r="E95" t="e">
        <f>VLOOKUP(B95,'SHARED FILES'!A:B,2,FALSE)</f>
        <v>#N/A</v>
      </c>
      <c r="F95" t="str">
        <f t="shared" si="2"/>
        <v/>
      </c>
    </row>
    <row r="96" spans="1:6" x14ac:dyDescent="0.55000000000000004">
      <c r="A96">
        <f t="shared" si="3"/>
        <v>96</v>
      </c>
      <c r="B96" t="s">
        <v>1519</v>
      </c>
      <c r="C96" t="e">
        <f>VLOOKUP(B96,'BACKEND FILES'!A:B,2,FALSE)</f>
        <v>#N/A</v>
      </c>
      <c r="D96" t="e">
        <f>VLOOKUP(B96,'FRONTEND FILES'!A:B,2,FALSE)</f>
        <v>#N/A</v>
      </c>
      <c r="E96" t="e">
        <f>VLOOKUP(B96,'SHARED FILES'!A:B,2,FALSE)</f>
        <v>#N/A</v>
      </c>
      <c r="F96" t="str">
        <f t="shared" si="2"/>
        <v/>
      </c>
    </row>
    <row r="97" spans="1:6" x14ac:dyDescent="0.55000000000000004">
      <c r="A97">
        <f t="shared" si="3"/>
        <v>97</v>
      </c>
      <c r="B97" t="s">
        <v>1523</v>
      </c>
      <c r="C97" t="e">
        <f>VLOOKUP(B97,'BACKEND FILES'!A:B,2,FALSE)</f>
        <v>#N/A</v>
      </c>
      <c r="D97" t="e">
        <f>VLOOKUP(B97,'FRONTEND FILES'!A:B,2,FALSE)</f>
        <v>#N/A</v>
      </c>
      <c r="E97" t="e">
        <f>VLOOKUP(B97,'SHARED FILES'!A:B,2,FALSE)</f>
        <v>#N/A</v>
      </c>
      <c r="F97" t="str">
        <f t="shared" si="2"/>
        <v/>
      </c>
    </row>
    <row r="98" spans="1:6" x14ac:dyDescent="0.55000000000000004">
      <c r="A98">
        <f t="shared" si="3"/>
        <v>98</v>
      </c>
      <c r="B98" t="s">
        <v>1520</v>
      </c>
      <c r="C98" t="e">
        <f>VLOOKUP(B98,'BACKEND FILES'!A:B,2,FALSE)</f>
        <v>#N/A</v>
      </c>
      <c r="D98" t="e">
        <f>VLOOKUP(B98,'FRONTEND FILES'!A:B,2,FALSE)</f>
        <v>#N/A</v>
      </c>
      <c r="E98" t="e">
        <f>VLOOKUP(B98,'SHARED FILES'!A:B,2,FALSE)</f>
        <v>#N/A</v>
      </c>
      <c r="F98" t="str">
        <f t="shared" si="2"/>
        <v/>
      </c>
    </row>
    <row r="99" spans="1:6" x14ac:dyDescent="0.55000000000000004">
      <c r="A99">
        <f t="shared" si="3"/>
        <v>99</v>
      </c>
      <c r="B99" t="s">
        <v>1521</v>
      </c>
      <c r="C99" t="e">
        <f>VLOOKUP(B99,'BACKEND FILES'!A:B,2,FALSE)</f>
        <v>#N/A</v>
      </c>
      <c r="D99" t="e">
        <f>VLOOKUP(B99,'FRONTEND FILES'!A:B,2,FALSE)</f>
        <v>#N/A</v>
      </c>
      <c r="E99" t="e">
        <f>VLOOKUP(B99,'SHARED FILES'!A:B,2,FALSE)</f>
        <v>#N/A</v>
      </c>
      <c r="F99" t="str">
        <f t="shared" si="2"/>
        <v/>
      </c>
    </row>
    <row r="100" spans="1:6" x14ac:dyDescent="0.55000000000000004">
      <c r="A100">
        <f t="shared" si="3"/>
        <v>100</v>
      </c>
      <c r="B100" t="s">
        <v>1522</v>
      </c>
      <c r="C100" t="e">
        <f>VLOOKUP(B100,'BACKEND FILES'!A:B,2,FALSE)</f>
        <v>#N/A</v>
      </c>
      <c r="D100" t="e">
        <f>VLOOKUP(B100,'FRONTEND FILES'!A:B,2,FALSE)</f>
        <v>#N/A</v>
      </c>
      <c r="E100" t="e">
        <f>VLOOKUP(B100,'SHARED FILES'!A:B,2,FALSE)</f>
        <v>#N/A</v>
      </c>
      <c r="F100" t="str">
        <f t="shared" si="2"/>
        <v/>
      </c>
    </row>
    <row r="101" spans="1:6" x14ac:dyDescent="0.55000000000000004">
      <c r="A101">
        <f t="shared" si="3"/>
        <v>101</v>
      </c>
      <c r="B101" t="s">
        <v>1524</v>
      </c>
      <c r="C101" t="e">
        <f>VLOOKUP(B101,'BACKEND FILES'!A:B,2,FALSE)</f>
        <v>#N/A</v>
      </c>
      <c r="D101" t="e">
        <f>VLOOKUP(B101,'FRONTEND FILES'!A:B,2,FALSE)</f>
        <v>#N/A</v>
      </c>
      <c r="E101" t="e">
        <f>VLOOKUP(B101,'SHARED FILES'!A:B,2,FALSE)</f>
        <v>#N/A</v>
      </c>
      <c r="F101" t="str">
        <f t="shared" si="2"/>
        <v/>
      </c>
    </row>
    <row r="102" spans="1:6" x14ac:dyDescent="0.55000000000000004">
      <c r="A102">
        <f t="shared" si="3"/>
        <v>102</v>
      </c>
      <c r="B102" t="s">
        <v>1525</v>
      </c>
      <c r="C102" t="e">
        <f>VLOOKUP(B102,'BACKEND FILES'!A:B,2,FALSE)</f>
        <v>#N/A</v>
      </c>
      <c r="D102" t="e">
        <f>VLOOKUP(B102,'FRONTEND FILES'!A:B,2,FALSE)</f>
        <v>#N/A</v>
      </c>
      <c r="E102" t="e">
        <f>VLOOKUP(B102,'SHARED FILES'!A:B,2,FALSE)</f>
        <v>#N/A</v>
      </c>
      <c r="F102" t="str">
        <f t="shared" si="2"/>
        <v/>
      </c>
    </row>
    <row r="103" spans="1:6" x14ac:dyDescent="0.55000000000000004">
      <c r="A103">
        <f t="shared" si="3"/>
        <v>103</v>
      </c>
      <c r="B103" t="s">
        <v>1530</v>
      </c>
      <c r="C103" t="e">
        <f>VLOOKUP(B103,'BACKEND FILES'!A:B,2,FALSE)</f>
        <v>#N/A</v>
      </c>
      <c r="D103" t="e">
        <f>VLOOKUP(B103,'FRONTEND FILES'!A:B,2,FALSE)</f>
        <v>#N/A</v>
      </c>
      <c r="E103" t="e">
        <f>VLOOKUP(B103,'SHARED FILES'!A:B,2,FALSE)</f>
        <v>#N/A</v>
      </c>
      <c r="F103" t="str">
        <f t="shared" si="2"/>
        <v/>
      </c>
    </row>
    <row r="104" spans="1:6" x14ac:dyDescent="0.55000000000000004">
      <c r="A104">
        <f t="shared" si="3"/>
        <v>104</v>
      </c>
      <c r="B104" t="s">
        <v>1526</v>
      </c>
      <c r="C104" t="e">
        <f>VLOOKUP(B104,'BACKEND FILES'!A:B,2,FALSE)</f>
        <v>#N/A</v>
      </c>
      <c r="D104" t="e">
        <f>VLOOKUP(B104,'FRONTEND FILES'!A:B,2,FALSE)</f>
        <v>#N/A</v>
      </c>
      <c r="E104" t="e">
        <f>VLOOKUP(B104,'SHARED FILES'!A:B,2,FALSE)</f>
        <v>#N/A</v>
      </c>
      <c r="F104" t="str">
        <f t="shared" si="2"/>
        <v/>
      </c>
    </row>
    <row r="105" spans="1:6" x14ac:dyDescent="0.55000000000000004">
      <c r="A105">
        <f t="shared" si="3"/>
        <v>105</v>
      </c>
      <c r="B105" t="s">
        <v>1527</v>
      </c>
      <c r="C105" t="e">
        <f>VLOOKUP(B105,'BACKEND FILES'!A:B,2,FALSE)</f>
        <v>#N/A</v>
      </c>
      <c r="D105" t="e">
        <f>VLOOKUP(B105,'FRONTEND FILES'!A:B,2,FALSE)</f>
        <v>#N/A</v>
      </c>
      <c r="E105" t="e">
        <f>VLOOKUP(B105,'SHARED FILES'!A:B,2,FALSE)</f>
        <v>#N/A</v>
      </c>
      <c r="F105" t="str">
        <f t="shared" si="2"/>
        <v/>
      </c>
    </row>
    <row r="106" spans="1:6" x14ac:dyDescent="0.55000000000000004">
      <c r="A106">
        <f t="shared" si="3"/>
        <v>106</v>
      </c>
      <c r="B106" t="s">
        <v>1528</v>
      </c>
      <c r="C106" t="e">
        <f>VLOOKUP(B106,'BACKEND FILES'!A:B,2,FALSE)</f>
        <v>#N/A</v>
      </c>
      <c r="D106" t="e">
        <f>VLOOKUP(B106,'FRONTEND FILES'!A:B,2,FALSE)</f>
        <v>#N/A</v>
      </c>
      <c r="E106" t="e">
        <f>VLOOKUP(B106,'SHARED FILES'!A:B,2,FALSE)</f>
        <v>#N/A</v>
      </c>
      <c r="F106" t="str">
        <f t="shared" si="2"/>
        <v/>
      </c>
    </row>
    <row r="107" spans="1:6" x14ac:dyDescent="0.55000000000000004">
      <c r="A107">
        <f t="shared" si="3"/>
        <v>107</v>
      </c>
      <c r="B107" t="s">
        <v>2</v>
      </c>
      <c r="C107" t="e">
        <f>VLOOKUP(B107,'BACKEND FILES'!A:B,2,FALSE)</f>
        <v>#N/A</v>
      </c>
      <c r="D107" t="e">
        <f>VLOOKUP(B107,'FRONTEND FILES'!A:B,2,FALSE)</f>
        <v>#N/A</v>
      </c>
      <c r="E107" t="e">
        <f>VLOOKUP(B107,'SHARED FILES'!A:B,2,FALSE)</f>
        <v>#N/A</v>
      </c>
      <c r="F107" t="str">
        <f t="shared" si="2"/>
        <v/>
      </c>
    </row>
    <row r="108" spans="1:6" x14ac:dyDescent="0.55000000000000004">
      <c r="A108">
        <f t="shared" si="3"/>
        <v>108</v>
      </c>
      <c r="B108" t="s">
        <v>7</v>
      </c>
      <c r="C108" t="e">
        <f>VLOOKUP(B108,'BACKEND FILES'!A:B,2,FALSE)</f>
        <v>#N/A</v>
      </c>
      <c r="D108" t="e">
        <f>VLOOKUP(B108,'FRONTEND FILES'!A:B,2,FALSE)</f>
        <v>#N/A</v>
      </c>
      <c r="E108" t="e">
        <f>VLOOKUP(B108,'SHARED FILES'!A:B,2,FALSE)</f>
        <v>#N/A</v>
      </c>
      <c r="F108" t="str">
        <f t="shared" si="2"/>
        <v/>
      </c>
    </row>
    <row r="109" spans="1:6" x14ac:dyDescent="0.55000000000000004">
      <c r="A109">
        <f t="shared" si="3"/>
        <v>109</v>
      </c>
      <c r="B109" t="s">
        <v>8</v>
      </c>
      <c r="C109" t="e">
        <f>VLOOKUP(B109,'BACKEND FILES'!A:B,2,FALSE)</f>
        <v>#N/A</v>
      </c>
      <c r="D109" t="e">
        <f>VLOOKUP(B109,'FRONTEND FILES'!A:B,2,FALSE)</f>
        <v>#N/A</v>
      </c>
      <c r="E109" t="e">
        <f>VLOOKUP(B109,'SHARED FILES'!A:B,2,FALSE)</f>
        <v>#N/A</v>
      </c>
      <c r="F109" t="str">
        <f t="shared" si="2"/>
        <v/>
      </c>
    </row>
    <row r="110" spans="1:6" x14ac:dyDescent="0.55000000000000004">
      <c r="A110">
        <f t="shared" si="3"/>
        <v>110</v>
      </c>
      <c r="B110" t="s">
        <v>0</v>
      </c>
      <c r="C110" t="e">
        <f>VLOOKUP(B110,'BACKEND FILES'!A:B,2,FALSE)</f>
        <v>#N/A</v>
      </c>
      <c r="D110" t="e">
        <f>VLOOKUP(B110,'FRONTEND FILES'!A:B,2,FALSE)</f>
        <v>#N/A</v>
      </c>
      <c r="E110" t="e">
        <f>VLOOKUP(B110,'SHARED FILES'!A:B,2,FALSE)</f>
        <v>#N/A</v>
      </c>
      <c r="F110" t="str">
        <f t="shared" si="2"/>
        <v/>
      </c>
    </row>
    <row r="111" spans="1:6" x14ac:dyDescent="0.55000000000000004">
      <c r="A111">
        <f t="shared" si="3"/>
        <v>111</v>
      </c>
      <c r="B111" t="s">
        <v>1</v>
      </c>
      <c r="C111" t="e">
        <f>VLOOKUP(B111,'BACKEND FILES'!A:B,2,FALSE)</f>
        <v>#N/A</v>
      </c>
      <c r="D111" t="str">
        <f>VLOOKUP(B111,'FRONTEND FILES'!A:B,2,FALSE)</f>
        <v>FRONTEND</v>
      </c>
      <c r="E111" t="e">
        <f>VLOOKUP(B111,'SHARED FILES'!A:B,2,FALSE)</f>
        <v>#N/A</v>
      </c>
      <c r="F111" t="str">
        <f t="shared" si="2"/>
        <v>FRONTEND</v>
      </c>
    </row>
    <row r="112" spans="1:6" x14ac:dyDescent="0.55000000000000004">
      <c r="A112">
        <f t="shared" si="3"/>
        <v>112</v>
      </c>
      <c r="B112" t="s">
        <v>3</v>
      </c>
      <c r="C112" t="e">
        <f>VLOOKUP(B112,'BACKEND FILES'!A:B,2,FALSE)</f>
        <v>#N/A</v>
      </c>
      <c r="D112" t="str">
        <f>VLOOKUP(B112,'FRONTEND FILES'!A:B,2,FALSE)</f>
        <v>FRONTEND</v>
      </c>
      <c r="E112" t="e">
        <f>VLOOKUP(B112,'SHARED FILES'!A:B,2,FALSE)</f>
        <v>#N/A</v>
      </c>
      <c r="F112" t="str">
        <f t="shared" si="2"/>
        <v>FRONTEND</v>
      </c>
    </row>
    <row r="113" spans="1:6" x14ac:dyDescent="0.55000000000000004">
      <c r="A113">
        <f t="shared" si="3"/>
        <v>113</v>
      </c>
      <c r="B113" t="s">
        <v>6</v>
      </c>
      <c r="C113" t="e">
        <f>VLOOKUP(B113,'BACKEND FILES'!A:B,2,FALSE)</f>
        <v>#N/A</v>
      </c>
      <c r="D113" t="str">
        <f>VLOOKUP(B113,'FRONTEND FILES'!A:B,2,FALSE)</f>
        <v>FRONTEND</v>
      </c>
      <c r="E113" t="e">
        <f>VLOOKUP(B113,'SHARED FILES'!A:B,2,FALSE)</f>
        <v>#N/A</v>
      </c>
      <c r="F113" t="str">
        <f t="shared" si="2"/>
        <v>FRONTEND</v>
      </c>
    </row>
    <row r="114" spans="1:6" x14ac:dyDescent="0.55000000000000004">
      <c r="A114">
        <f t="shared" si="3"/>
        <v>114</v>
      </c>
      <c r="B114" t="s">
        <v>4</v>
      </c>
      <c r="C114" t="e">
        <f>VLOOKUP(B114,'BACKEND FILES'!A:B,2,FALSE)</f>
        <v>#N/A</v>
      </c>
      <c r="D114" t="str">
        <f>VLOOKUP(B114,'FRONTEND FILES'!A:B,2,FALSE)</f>
        <v>FRONTEND</v>
      </c>
      <c r="E114" t="e">
        <f>VLOOKUP(B114,'SHARED FILES'!A:B,2,FALSE)</f>
        <v>#N/A</v>
      </c>
      <c r="F114" t="str">
        <f t="shared" si="2"/>
        <v>FRONTEND</v>
      </c>
    </row>
    <row r="115" spans="1:6" x14ac:dyDescent="0.55000000000000004">
      <c r="A115">
        <f t="shared" si="3"/>
        <v>115</v>
      </c>
      <c r="B115" t="s">
        <v>5</v>
      </c>
      <c r="C115" t="e">
        <f>VLOOKUP(B115,'BACKEND FILES'!A:B,2,FALSE)</f>
        <v>#N/A</v>
      </c>
      <c r="D115" t="str">
        <f>VLOOKUP(B115,'FRONTEND FILES'!A:B,2,FALSE)</f>
        <v>FRONTEND</v>
      </c>
      <c r="E115" t="e">
        <f>VLOOKUP(B115,'SHARED FILES'!A:B,2,FALSE)</f>
        <v>#N/A</v>
      </c>
      <c r="F115" t="str">
        <f t="shared" si="2"/>
        <v>FRONTEND</v>
      </c>
    </row>
    <row r="116" spans="1:6" x14ac:dyDescent="0.55000000000000004">
      <c r="A116">
        <f t="shared" si="3"/>
        <v>116</v>
      </c>
      <c r="B116" t="s">
        <v>88</v>
      </c>
      <c r="C116" t="e">
        <f>VLOOKUP(B116,'BACKEND FILES'!A:B,2,FALSE)</f>
        <v>#N/A</v>
      </c>
      <c r="D116" t="e">
        <f>VLOOKUP(B116,'FRONTEND FILES'!A:B,2,FALSE)</f>
        <v>#N/A</v>
      </c>
      <c r="E116" t="e">
        <f>VLOOKUP(B116,'SHARED FILES'!A:B,2,FALSE)</f>
        <v>#N/A</v>
      </c>
      <c r="F116" t="str">
        <f t="shared" si="2"/>
        <v/>
      </c>
    </row>
    <row r="117" spans="1:6" x14ac:dyDescent="0.55000000000000004">
      <c r="A117">
        <f t="shared" si="3"/>
        <v>117</v>
      </c>
      <c r="B117" t="s">
        <v>177</v>
      </c>
      <c r="C117" t="e">
        <f>VLOOKUP(B117,'BACKEND FILES'!A:B,2,FALSE)</f>
        <v>#N/A</v>
      </c>
      <c r="D117" t="e">
        <f>VLOOKUP(B117,'FRONTEND FILES'!A:B,2,FALSE)</f>
        <v>#N/A</v>
      </c>
      <c r="E117" t="e">
        <f>VLOOKUP(B117,'SHARED FILES'!A:B,2,FALSE)</f>
        <v>#N/A</v>
      </c>
      <c r="F117" t="str">
        <f t="shared" si="2"/>
        <v/>
      </c>
    </row>
    <row r="118" spans="1:6" x14ac:dyDescent="0.55000000000000004">
      <c r="A118">
        <f t="shared" si="3"/>
        <v>118</v>
      </c>
      <c r="B118" t="s">
        <v>171</v>
      </c>
      <c r="C118" t="e">
        <f>VLOOKUP(B118,'BACKEND FILES'!A:B,2,FALSE)</f>
        <v>#N/A</v>
      </c>
      <c r="D118" t="e">
        <f>VLOOKUP(B118,'FRONTEND FILES'!A:B,2,FALSE)</f>
        <v>#N/A</v>
      </c>
      <c r="E118" t="e">
        <f>VLOOKUP(B118,'SHARED FILES'!A:B,2,FALSE)</f>
        <v>#N/A</v>
      </c>
      <c r="F118" t="str">
        <f t="shared" si="2"/>
        <v/>
      </c>
    </row>
    <row r="119" spans="1:6" x14ac:dyDescent="0.55000000000000004">
      <c r="A119">
        <f t="shared" si="3"/>
        <v>119</v>
      </c>
      <c r="B119" t="s">
        <v>175</v>
      </c>
      <c r="C119" t="e">
        <f>VLOOKUP(B119,'BACKEND FILES'!A:B,2,FALSE)</f>
        <v>#N/A</v>
      </c>
      <c r="D119" t="e">
        <f>VLOOKUP(B119,'FRONTEND FILES'!A:B,2,FALSE)</f>
        <v>#N/A</v>
      </c>
      <c r="E119" t="e">
        <f>VLOOKUP(B119,'SHARED FILES'!A:B,2,FALSE)</f>
        <v>#N/A</v>
      </c>
      <c r="F119" t="str">
        <f t="shared" si="2"/>
        <v/>
      </c>
    </row>
    <row r="120" spans="1:6" x14ac:dyDescent="0.55000000000000004">
      <c r="A120">
        <f t="shared" si="3"/>
        <v>120</v>
      </c>
      <c r="B120" t="s">
        <v>173</v>
      </c>
      <c r="C120" t="e">
        <f>VLOOKUP(B120,'BACKEND FILES'!A:B,2,FALSE)</f>
        <v>#N/A</v>
      </c>
      <c r="D120" t="e">
        <f>VLOOKUP(B120,'FRONTEND FILES'!A:B,2,FALSE)</f>
        <v>#N/A</v>
      </c>
      <c r="E120" t="e">
        <f>VLOOKUP(B120,'SHARED FILES'!A:B,2,FALSE)</f>
        <v>#N/A</v>
      </c>
      <c r="F120" t="str">
        <f t="shared" si="2"/>
        <v/>
      </c>
    </row>
    <row r="121" spans="1:6" x14ac:dyDescent="0.55000000000000004">
      <c r="A121">
        <f t="shared" si="3"/>
        <v>121</v>
      </c>
      <c r="B121" t="s">
        <v>172</v>
      </c>
      <c r="C121" t="e">
        <f>VLOOKUP(B121,'BACKEND FILES'!A:B,2,FALSE)</f>
        <v>#N/A</v>
      </c>
      <c r="D121" t="e">
        <f>VLOOKUP(B121,'FRONTEND FILES'!A:B,2,FALSE)</f>
        <v>#N/A</v>
      </c>
      <c r="E121" t="e">
        <f>VLOOKUP(B121,'SHARED FILES'!A:B,2,FALSE)</f>
        <v>#N/A</v>
      </c>
      <c r="F121" t="str">
        <f t="shared" si="2"/>
        <v/>
      </c>
    </row>
    <row r="122" spans="1:6" x14ac:dyDescent="0.55000000000000004">
      <c r="A122">
        <f t="shared" si="3"/>
        <v>122</v>
      </c>
      <c r="B122" t="s">
        <v>176</v>
      </c>
      <c r="C122" t="e">
        <f>VLOOKUP(B122,'BACKEND FILES'!A:B,2,FALSE)</f>
        <v>#N/A</v>
      </c>
      <c r="D122" t="e">
        <f>VLOOKUP(B122,'FRONTEND FILES'!A:B,2,FALSE)</f>
        <v>#N/A</v>
      </c>
      <c r="E122" t="e">
        <f>VLOOKUP(B122,'SHARED FILES'!A:B,2,FALSE)</f>
        <v>#N/A</v>
      </c>
      <c r="F122" t="str">
        <f t="shared" si="2"/>
        <v/>
      </c>
    </row>
    <row r="123" spans="1:6" x14ac:dyDescent="0.55000000000000004">
      <c r="A123">
        <f t="shared" si="3"/>
        <v>123</v>
      </c>
      <c r="B123" t="s">
        <v>169</v>
      </c>
      <c r="C123" t="e">
        <f>VLOOKUP(B123,'BACKEND FILES'!A:B,2,FALSE)</f>
        <v>#N/A</v>
      </c>
      <c r="D123" t="e">
        <f>VLOOKUP(B123,'FRONTEND FILES'!A:B,2,FALSE)</f>
        <v>#N/A</v>
      </c>
      <c r="E123" t="e">
        <f>VLOOKUP(B123,'SHARED FILES'!A:B,2,FALSE)</f>
        <v>#N/A</v>
      </c>
      <c r="F123" t="str">
        <f t="shared" si="2"/>
        <v/>
      </c>
    </row>
    <row r="124" spans="1:6" x14ac:dyDescent="0.55000000000000004">
      <c r="A124">
        <f t="shared" si="3"/>
        <v>124</v>
      </c>
      <c r="B124" t="s">
        <v>170</v>
      </c>
      <c r="C124" t="e">
        <f>VLOOKUP(B124,'BACKEND FILES'!A:B,2,FALSE)</f>
        <v>#N/A</v>
      </c>
      <c r="D124" t="e">
        <f>VLOOKUP(B124,'FRONTEND FILES'!A:B,2,FALSE)</f>
        <v>#N/A</v>
      </c>
      <c r="E124" t="e">
        <f>VLOOKUP(B124,'SHARED FILES'!A:B,2,FALSE)</f>
        <v>#N/A</v>
      </c>
      <c r="F124" t="str">
        <f t="shared" si="2"/>
        <v/>
      </c>
    </row>
    <row r="125" spans="1:6" x14ac:dyDescent="0.55000000000000004">
      <c r="A125">
        <f t="shared" si="3"/>
        <v>125</v>
      </c>
      <c r="B125" t="s">
        <v>174</v>
      </c>
      <c r="C125" t="e">
        <f>VLOOKUP(B125,'BACKEND FILES'!A:B,2,FALSE)</f>
        <v>#N/A</v>
      </c>
      <c r="D125" t="e">
        <f>VLOOKUP(B125,'FRONTEND FILES'!A:B,2,FALSE)</f>
        <v>#N/A</v>
      </c>
      <c r="E125" t="e">
        <f>VLOOKUP(B125,'SHARED FILES'!A:B,2,FALSE)</f>
        <v>#N/A</v>
      </c>
      <c r="F125" t="str">
        <f t="shared" si="2"/>
        <v/>
      </c>
    </row>
    <row r="126" spans="1:6" x14ac:dyDescent="0.55000000000000004">
      <c r="A126">
        <f t="shared" si="3"/>
        <v>126</v>
      </c>
      <c r="B126" t="s">
        <v>643</v>
      </c>
      <c r="C126" t="e">
        <f>VLOOKUP(B126,'BACKEND FILES'!A:B,2,FALSE)</f>
        <v>#N/A</v>
      </c>
      <c r="D126" t="e">
        <f>VLOOKUP(B126,'FRONTEND FILES'!A:B,2,FALSE)</f>
        <v>#N/A</v>
      </c>
      <c r="E126" t="e">
        <f>VLOOKUP(B126,'SHARED FILES'!A:B,2,FALSE)</f>
        <v>#N/A</v>
      </c>
      <c r="F126" t="str">
        <f t="shared" si="2"/>
        <v/>
      </c>
    </row>
    <row r="127" spans="1:6" x14ac:dyDescent="0.55000000000000004">
      <c r="A127">
        <f t="shared" si="3"/>
        <v>127</v>
      </c>
      <c r="B127" t="s">
        <v>644</v>
      </c>
      <c r="C127" t="e">
        <f>VLOOKUP(B127,'BACKEND FILES'!A:B,2,FALSE)</f>
        <v>#N/A</v>
      </c>
      <c r="D127" t="e">
        <f>VLOOKUP(B127,'FRONTEND FILES'!A:B,2,FALSE)</f>
        <v>#N/A</v>
      </c>
      <c r="E127" t="e">
        <f>VLOOKUP(B127,'SHARED FILES'!A:B,2,FALSE)</f>
        <v>#N/A</v>
      </c>
      <c r="F127" t="str">
        <f t="shared" si="2"/>
        <v/>
      </c>
    </row>
    <row r="128" spans="1:6" x14ac:dyDescent="0.55000000000000004">
      <c r="A128">
        <f t="shared" si="3"/>
        <v>128</v>
      </c>
      <c r="B128" t="s">
        <v>87</v>
      </c>
      <c r="C128" t="e">
        <f>VLOOKUP(B128,'BACKEND FILES'!A:B,2,FALSE)</f>
        <v>#N/A</v>
      </c>
      <c r="D128" t="e">
        <f>VLOOKUP(B128,'FRONTEND FILES'!A:B,2,FALSE)</f>
        <v>#N/A</v>
      </c>
      <c r="E128" t="e">
        <f>VLOOKUP(B128,'SHARED FILES'!A:B,2,FALSE)</f>
        <v>#N/A</v>
      </c>
      <c r="F128" t="str">
        <f t="shared" si="2"/>
        <v/>
      </c>
    </row>
    <row r="129" spans="1:6" x14ac:dyDescent="0.55000000000000004">
      <c r="A129">
        <f t="shared" si="3"/>
        <v>129</v>
      </c>
      <c r="B129" t="s">
        <v>645</v>
      </c>
      <c r="C129" t="e">
        <f>VLOOKUP(B129,'BACKEND FILES'!A:B,2,FALSE)</f>
        <v>#N/A</v>
      </c>
      <c r="D129" t="e">
        <f>VLOOKUP(B129,'FRONTEND FILES'!A:B,2,FALSE)</f>
        <v>#N/A</v>
      </c>
      <c r="E129" t="e">
        <f>VLOOKUP(B129,'SHARED FILES'!A:B,2,FALSE)</f>
        <v>#N/A</v>
      </c>
      <c r="F129" t="str">
        <f t="shared" si="2"/>
        <v/>
      </c>
    </row>
    <row r="130" spans="1:6" x14ac:dyDescent="0.55000000000000004">
      <c r="A130">
        <f t="shared" si="3"/>
        <v>130</v>
      </c>
      <c r="B130" t="s">
        <v>700</v>
      </c>
      <c r="C130" t="e">
        <f>VLOOKUP(B130,'BACKEND FILES'!A:B,2,FALSE)</f>
        <v>#N/A</v>
      </c>
      <c r="D130" t="e">
        <f>VLOOKUP(B130,'FRONTEND FILES'!A:B,2,FALSE)</f>
        <v>#N/A</v>
      </c>
      <c r="E130" t="e">
        <f>VLOOKUP(B130,'SHARED FILES'!A:B,2,FALSE)</f>
        <v>#N/A</v>
      </c>
      <c r="F130" t="str">
        <f t="shared" ref="F130:F193" si="4">_xlfn.IFNA(C130, _xlfn.IFNA(D130, _xlfn.IFNA(E130, "")))</f>
        <v/>
      </c>
    </row>
    <row r="131" spans="1:6" x14ac:dyDescent="0.55000000000000004">
      <c r="A131">
        <f t="shared" ref="A131:A194" si="5">A130+1</f>
        <v>131</v>
      </c>
      <c r="B131" t="s">
        <v>85</v>
      </c>
      <c r="C131" t="e">
        <f>VLOOKUP(B131,'BACKEND FILES'!A:B,2,FALSE)</f>
        <v>#N/A</v>
      </c>
      <c r="D131" t="e">
        <f>VLOOKUP(B131,'FRONTEND FILES'!A:B,2,FALSE)</f>
        <v>#N/A</v>
      </c>
      <c r="E131" t="e">
        <f>VLOOKUP(B131,'SHARED FILES'!A:B,2,FALSE)</f>
        <v>#N/A</v>
      </c>
      <c r="F131" t="str">
        <f t="shared" si="4"/>
        <v/>
      </c>
    </row>
    <row r="132" spans="1:6" x14ac:dyDescent="0.55000000000000004">
      <c r="A132">
        <f t="shared" si="5"/>
        <v>132</v>
      </c>
      <c r="B132" t="s">
        <v>86</v>
      </c>
      <c r="C132" t="e">
        <f>VLOOKUP(B132,'BACKEND FILES'!A:B,2,FALSE)</f>
        <v>#N/A</v>
      </c>
      <c r="D132" t="e">
        <f>VLOOKUP(B132,'FRONTEND FILES'!A:B,2,FALSE)</f>
        <v>#N/A</v>
      </c>
      <c r="E132" t="e">
        <f>VLOOKUP(B132,'SHARED FILES'!A:B,2,FALSE)</f>
        <v>#N/A</v>
      </c>
      <c r="F132" t="str">
        <f t="shared" si="4"/>
        <v/>
      </c>
    </row>
    <row r="133" spans="1:6" x14ac:dyDescent="0.55000000000000004">
      <c r="A133">
        <f t="shared" si="5"/>
        <v>133</v>
      </c>
      <c r="B133" t="s">
        <v>72</v>
      </c>
      <c r="C133" t="e">
        <f>VLOOKUP(B133,'BACKEND FILES'!A:B,2,FALSE)</f>
        <v>#N/A</v>
      </c>
      <c r="D133" t="e">
        <f>VLOOKUP(B133,'FRONTEND FILES'!A:B,2,FALSE)</f>
        <v>#N/A</v>
      </c>
      <c r="E133" t="e">
        <f>VLOOKUP(B133,'SHARED FILES'!A:B,2,FALSE)</f>
        <v>#N/A</v>
      </c>
      <c r="F133" t="str">
        <f t="shared" si="4"/>
        <v/>
      </c>
    </row>
    <row r="134" spans="1:6" x14ac:dyDescent="0.55000000000000004">
      <c r="A134">
        <f t="shared" si="5"/>
        <v>134</v>
      </c>
      <c r="B134" t="s">
        <v>701</v>
      </c>
      <c r="C134" t="e">
        <f>VLOOKUP(B134,'BACKEND FILES'!A:B,2,FALSE)</f>
        <v>#N/A</v>
      </c>
      <c r="D134" t="e">
        <f>VLOOKUP(B134,'FRONTEND FILES'!A:B,2,FALSE)</f>
        <v>#N/A</v>
      </c>
      <c r="E134" t="e">
        <f>VLOOKUP(B134,'SHARED FILES'!A:B,2,FALSE)</f>
        <v>#N/A</v>
      </c>
      <c r="F134" t="str">
        <f t="shared" si="4"/>
        <v/>
      </c>
    </row>
    <row r="135" spans="1:6" x14ac:dyDescent="0.55000000000000004">
      <c r="A135">
        <f t="shared" si="5"/>
        <v>135</v>
      </c>
      <c r="B135" t="s">
        <v>121</v>
      </c>
      <c r="C135" t="e">
        <f>VLOOKUP(B135,'BACKEND FILES'!A:B,2,FALSE)</f>
        <v>#N/A</v>
      </c>
      <c r="D135" t="e">
        <f>VLOOKUP(B135,'FRONTEND FILES'!A:B,2,FALSE)</f>
        <v>#N/A</v>
      </c>
      <c r="E135" t="e">
        <f>VLOOKUP(B135,'SHARED FILES'!A:B,2,FALSE)</f>
        <v>#N/A</v>
      </c>
      <c r="F135" t="str">
        <f t="shared" si="4"/>
        <v/>
      </c>
    </row>
    <row r="136" spans="1:6" x14ac:dyDescent="0.55000000000000004">
      <c r="A136">
        <f t="shared" si="5"/>
        <v>136</v>
      </c>
      <c r="B136" t="s">
        <v>71</v>
      </c>
      <c r="C136" t="e">
        <f>VLOOKUP(B136,'BACKEND FILES'!A:B,2,FALSE)</f>
        <v>#N/A</v>
      </c>
      <c r="D136" t="e">
        <f>VLOOKUP(B136,'FRONTEND FILES'!A:B,2,FALSE)</f>
        <v>#N/A</v>
      </c>
      <c r="E136" t="e">
        <f>VLOOKUP(B136,'SHARED FILES'!A:B,2,FALSE)</f>
        <v>#N/A</v>
      </c>
      <c r="F136" t="str">
        <f t="shared" si="4"/>
        <v/>
      </c>
    </row>
    <row r="137" spans="1:6" x14ac:dyDescent="0.55000000000000004">
      <c r="A137">
        <f t="shared" si="5"/>
        <v>137</v>
      </c>
      <c r="B137" t="s">
        <v>70</v>
      </c>
      <c r="C137" t="e">
        <f>VLOOKUP(B137,'BACKEND FILES'!A:B,2,FALSE)</f>
        <v>#N/A</v>
      </c>
      <c r="D137" t="e">
        <f>VLOOKUP(B137,'FRONTEND FILES'!A:B,2,FALSE)</f>
        <v>#N/A</v>
      </c>
      <c r="E137" t="e">
        <f>VLOOKUP(B137,'SHARED FILES'!A:B,2,FALSE)</f>
        <v>#N/A</v>
      </c>
      <c r="F137" t="str">
        <f t="shared" si="4"/>
        <v/>
      </c>
    </row>
    <row r="138" spans="1:6" x14ac:dyDescent="0.55000000000000004">
      <c r="A138">
        <f t="shared" si="5"/>
        <v>138</v>
      </c>
      <c r="B138" t="s">
        <v>76</v>
      </c>
      <c r="C138" t="e">
        <f>VLOOKUP(B138,'BACKEND FILES'!A:B,2,FALSE)</f>
        <v>#N/A</v>
      </c>
      <c r="D138" t="e">
        <f>VLOOKUP(B138,'FRONTEND FILES'!A:B,2,FALSE)</f>
        <v>#N/A</v>
      </c>
      <c r="E138" t="e">
        <f>VLOOKUP(B138,'SHARED FILES'!A:B,2,FALSE)</f>
        <v>#N/A</v>
      </c>
      <c r="F138" t="str">
        <f t="shared" si="4"/>
        <v/>
      </c>
    </row>
    <row r="139" spans="1:6" x14ac:dyDescent="0.55000000000000004">
      <c r="A139">
        <f t="shared" si="5"/>
        <v>139</v>
      </c>
      <c r="B139" t="s">
        <v>109</v>
      </c>
      <c r="C139" t="e">
        <f>VLOOKUP(B139,'BACKEND FILES'!A:B,2,FALSE)</f>
        <v>#N/A</v>
      </c>
      <c r="D139" t="e">
        <f>VLOOKUP(B139,'FRONTEND FILES'!A:B,2,FALSE)</f>
        <v>#N/A</v>
      </c>
      <c r="E139" t="e">
        <f>VLOOKUP(B139,'SHARED FILES'!A:B,2,FALSE)</f>
        <v>#N/A</v>
      </c>
      <c r="F139" t="str">
        <f t="shared" si="4"/>
        <v/>
      </c>
    </row>
    <row r="140" spans="1:6" x14ac:dyDescent="0.55000000000000004">
      <c r="A140">
        <f t="shared" si="5"/>
        <v>140</v>
      </c>
      <c r="B140" t="s">
        <v>702</v>
      </c>
      <c r="C140" t="e">
        <f>VLOOKUP(B140,'BACKEND FILES'!A:B,2,FALSE)</f>
        <v>#N/A</v>
      </c>
      <c r="D140" t="e">
        <f>VLOOKUP(B140,'FRONTEND FILES'!A:B,2,FALSE)</f>
        <v>#N/A</v>
      </c>
      <c r="E140" t="e">
        <f>VLOOKUP(B140,'SHARED FILES'!A:B,2,FALSE)</f>
        <v>#N/A</v>
      </c>
      <c r="F140" t="str">
        <f t="shared" si="4"/>
        <v/>
      </c>
    </row>
    <row r="141" spans="1:6" x14ac:dyDescent="0.55000000000000004">
      <c r="A141">
        <f t="shared" si="5"/>
        <v>141</v>
      </c>
      <c r="B141" t="s">
        <v>75</v>
      </c>
      <c r="C141" t="e">
        <f>VLOOKUP(B141,'BACKEND FILES'!A:B,2,FALSE)</f>
        <v>#N/A</v>
      </c>
      <c r="D141" t="e">
        <f>VLOOKUP(B141,'FRONTEND FILES'!A:B,2,FALSE)</f>
        <v>#N/A</v>
      </c>
      <c r="E141" t="e">
        <f>VLOOKUP(B141,'SHARED FILES'!A:B,2,FALSE)</f>
        <v>#N/A</v>
      </c>
      <c r="F141" t="str">
        <f t="shared" si="4"/>
        <v/>
      </c>
    </row>
    <row r="142" spans="1:6" x14ac:dyDescent="0.55000000000000004">
      <c r="A142">
        <f t="shared" si="5"/>
        <v>142</v>
      </c>
      <c r="B142" t="s">
        <v>179</v>
      </c>
      <c r="C142" t="e">
        <f>VLOOKUP(B142,'BACKEND FILES'!A:B,2,FALSE)</f>
        <v>#N/A</v>
      </c>
      <c r="D142" t="e">
        <f>VLOOKUP(B142,'FRONTEND FILES'!A:B,2,FALSE)</f>
        <v>#N/A</v>
      </c>
      <c r="E142" t="e">
        <f>VLOOKUP(B142,'SHARED FILES'!A:B,2,FALSE)</f>
        <v>#N/A</v>
      </c>
      <c r="F142" t="str">
        <f t="shared" si="4"/>
        <v/>
      </c>
    </row>
    <row r="143" spans="1:6" x14ac:dyDescent="0.55000000000000004">
      <c r="A143">
        <f t="shared" si="5"/>
        <v>143</v>
      </c>
      <c r="B143" t="s">
        <v>69</v>
      </c>
      <c r="C143" t="e">
        <f>VLOOKUP(B143,'BACKEND FILES'!A:B,2,FALSE)</f>
        <v>#N/A</v>
      </c>
      <c r="D143" t="e">
        <f>VLOOKUP(B143,'FRONTEND FILES'!A:B,2,FALSE)</f>
        <v>#N/A</v>
      </c>
      <c r="E143" t="e">
        <f>VLOOKUP(B143,'SHARED FILES'!A:B,2,FALSE)</f>
        <v>#N/A</v>
      </c>
      <c r="F143" t="str">
        <f t="shared" si="4"/>
        <v/>
      </c>
    </row>
    <row r="144" spans="1:6" x14ac:dyDescent="0.55000000000000004">
      <c r="A144">
        <f t="shared" si="5"/>
        <v>144</v>
      </c>
      <c r="B144" t="s">
        <v>68</v>
      </c>
      <c r="C144" t="e">
        <f>VLOOKUP(B144,'BACKEND FILES'!A:B,2,FALSE)</f>
        <v>#N/A</v>
      </c>
      <c r="D144" t="e">
        <f>VLOOKUP(B144,'FRONTEND FILES'!A:B,2,FALSE)</f>
        <v>#N/A</v>
      </c>
      <c r="E144" t="e">
        <f>VLOOKUP(B144,'SHARED FILES'!A:B,2,FALSE)</f>
        <v>#N/A</v>
      </c>
      <c r="F144" t="str">
        <f t="shared" si="4"/>
        <v/>
      </c>
    </row>
    <row r="145" spans="1:6" x14ac:dyDescent="0.55000000000000004">
      <c r="A145">
        <f t="shared" si="5"/>
        <v>145</v>
      </c>
      <c r="B145" t="s">
        <v>79</v>
      </c>
      <c r="C145" t="e">
        <f>VLOOKUP(B145,'BACKEND FILES'!A:B,2,FALSE)</f>
        <v>#N/A</v>
      </c>
      <c r="D145" t="e">
        <f>VLOOKUP(B145,'FRONTEND FILES'!A:B,2,FALSE)</f>
        <v>#N/A</v>
      </c>
      <c r="E145" t="e">
        <f>VLOOKUP(B145,'SHARED FILES'!A:B,2,FALSE)</f>
        <v>#N/A</v>
      </c>
      <c r="F145" t="str">
        <f t="shared" si="4"/>
        <v/>
      </c>
    </row>
    <row r="146" spans="1:6" x14ac:dyDescent="0.55000000000000004">
      <c r="A146">
        <f t="shared" si="5"/>
        <v>146</v>
      </c>
      <c r="B146" t="s">
        <v>80</v>
      </c>
      <c r="C146" t="e">
        <f>VLOOKUP(B146,'BACKEND FILES'!A:B,2,FALSE)</f>
        <v>#N/A</v>
      </c>
      <c r="D146" t="e">
        <f>VLOOKUP(B146,'FRONTEND FILES'!A:B,2,FALSE)</f>
        <v>#N/A</v>
      </c>
      <c r="E146" t="e">
        <f>VLOOKUP(B146,'SHARED FILES'!A:B,2,FALSE)</f>
        <v>#N/A</v>
      </c>
      <c r="F146" t="str">
        <f t="shared" si="4"/>
        <v/>
      </c>
    </row>
    <row r="147" spans="1:6" x14ac:dyDescent="0.55000000000000004">
      <c r="A147">
        <f t="shared" si="5"/>
        <v>147</v>
      </c>
      <c r="B147" t="s">
        <v>81</v>
      </c>
      <c r="C147" t="e">
        <f>VLOOKUP(B147,'BACKEND FILES'!A:B,2,FALSE)</f>
        <v>#N/A</v>
      </c>
      <c r="D147" t="e">
        <f>VLOOKUP(B147,'FRONTEND FILES'!A:B,2,FALSE)</f>
        <v>#N/A</v>
      </c>
      <c r="E147" t="e">
        <f>VLOOKUP(B147,'SHARED FILES'!A:B,2,FALSE)</f>
        <v>#N/A</v>
      </c>
      <c r="F147" t="str">
        <f t="shared" si="4"/>
        <v/>
      </c>
    </row>
    <row r="148" spans="1:6" x14ac:dyDescent="0.55000000000000004">
      <c r="A148">
        <f t="shared" si="5"/>
        <v>148</v>
      </c>
      <c r="B148" t="s">
        <v>62</v>
      </c>
      <c r="C148" t="e">
        <f>VLOOKUP(B148,'BACKEND FILES'!A:B,2,FALSE)</f>
        <v>#N/A</v>
      </c>
      <c r="D148" t="e">
        <f>VLOOKUP(B148,'FRONTEND FILES'!A:B,2,FALSE)</f>
        <v>#N/A</v>
      </c>
      <c r="E148" t="e">
        <f>VLOOKUP(B148,'SHARED FILES'!A:B,2,FALSE)</f>
        <v>#N/A</v>
      </c>
      <c r="F148" t="str">
        <f t="shared" si="4"/>
        <v/>
      </c>
    </row>
    <row r="149" spans="1:6" x14ac:dyDescent="0.55000000000000004">
      <c r="A149">
        <f t="shared" si="5"/>
        <v>149</v>
      </c>
      <c r="B149" t="s">
        <v>61</v>
      </c>
      <c r="C149" t="e">
        <f>VLOOKUP(B149,'BACKEND FILES'!A:B,2,FALSE)</f>
        <v>#N/A</v>
      </c>
      <c r="D149" t="e">
        <f>VLOOKUP(B149,'FRONTEND FILES'!A:B,2,FALSE)</f>
        <v>#N/A</v>
      </c>
      <c r="E149" t="e">
        <f>VLOOKUP(B149,'SHARED FILES'!A:B,2,FALSE)</f>
        <v>#N/A</v>
      </c>
      <c r="F149" t="str">
        <f t="shared" si="4"/>
        <v/>
      </c>
    </row>
    <row r="150" spans="1:6" x14ac:dyDescent="0.55000000000000004">
      <c r="A150">
        <f t="shared" si="5"/>
        <v>150</v>
      </c>
      <c r="B150" t="s">
        <v>77</v>
      </c>
      <c r="C150" t="e">
        <f>VLOOKUP(B150,'BACKEND FILES'!A:B,2,FALSE)</f>
        <v>#N/A</v>
      </c>
      <c r="D150" t="e">
        <f>VLOOKUP(B150,'FRONTEND FILES'!A:B,2,FALSE)</f>
        <v>#N/A</v>
      </c>
      <c r="E150" t="e">
        <f>VLOOKUP(B150,'SHARED FILES'!A:B,2,FALSE)</f>
        <v>#N/A</v>
      </c>
      <c r="F150" t="str">
        <f t="shared" si="4"/>
        <v/>
      </c>
    </row>
    <row r="151" spans="1:6" x14ac:dyDescent="0.55000000000000004">
      <c r="A151">
        <f t="shared" si="5"/>
        <v>151</v>
      </c>
      <c r="B151" t="s">
        <v>703</v>
      </c>
      <c r="C151" t="e">
        <f>VLOOKUP(B151,'BACKEND FILES'!A:B,2,FALSE)</f>
        <v>#N/A</v>
      </c>
      <c r="D151" t="e">
        <f>VLOOKUP(B151,'FRONTEND FILES'!A:B,2,FALSE)</f>
        <v>#N/A</v>
      </c>
      <c r="E151" t="e">
        <f>VLOOKUP(B151,'SHARED FILES'!A:B,2,FALSE)</f>
        <v>#N/A</v>
      </c>
      <c r="F151" t="str">
        <f t="shared" si="4"/>
        <v/>
      </c>
    </row>
    <row r="152" spans="1:6" x14ac:dyDescent="0.55000000000000004">
      <c r="A152">
        <f t="shared" si="5"/>
        <v>152</v>
      </c>
      <c r="B152" t="s">
        <v>78</v>
      </c>
      <c r="C152" t="e">
        <f>VLOOKUP(B152,'BACKEND FILES'!A:B,2,FALSE)</f>
        <v>#N/A</v>
      </c>
      <c r="D152" t="e">
        <f>VLOOKUP(B152,'FRONTEND FILES'!A:B,2,FALSE)</f>
        <v>#N/A</v>
      </c>
      <c r="E152" t="e">
        <f>VLOOKUP(B152,'SHARED FILES'!A:B,2,FALSE)</f>
        <v>#N/A</v>
      </c>
      <c r="F152" t="str">
        <f t="shared" si="4"/>
        <v/>
      </c>
    </row>
    <row r="153" spans="1:6" x14ac:dyDescent="0.55000000000000004">
      <c r="A153">
        <f t="shared" si="5"/>
        <v>153</v>
      </c>
      <c r="B153" t="s">
        <v>63</v>
      </c>
      <c r="C153" t="e">
        <f>VLOOKUP(B153,'BACKEND FILES'!A:B,2,FALSE)</f>
        <v>#N/A</v>
      </c>
      <c r="D153" t="e">
        <f>VLOOKUP(B153,'FRONTEND FILES'!A:B,2,FALSE)</f>
        <v>#N/A</v>
      </c>
      <c r="E153" t="e">
        <f>VLOOKUP(B153,'SHARED FILES'!A:B,2,FALSE)</f>
        <v>#N/A</v>
      </c>
      <c r="F153" t="str">
        <f t="shared" si="4"/>
        <v/>
      </c>
    </row>
    <row r="154" spans="1:6" x14ac:dyDescent="0.55000000000000004">
      <c r="A154">
        <f t="shared" si="5"/>
        <v>154</v>
      </c>
      <c r="B154" t="s">
        <v>82</v>
      </c>
      <c r="C154" t="e">
        <f>VLOOKUP(B154,'BACKEND FILES'!A:B,2,FALSE)</f>
        <v>#N/A</v>
      </c>
      <c r="D154" t="e">
        <f>VLOOKUP(B154,'FRONTEND FILES'!A:B,2,FALSE)</f>
        <v>#N/A</v>
      </c>
      <c r="E154" t="e">
        <f>VLOOKUP(B154,'SHARED FILES'!A:B,2,FALSE)</f>
        <v>#N/A</v>
      </c>
      <c r="F154" t="str">
        <f t="shared" si="4"/>
        <v/>
      </c>
    </row>
    <row r="155" spans="1:6" x14ac:dyDescent="0.55000000000000004">
      <c r="A155">
        <f t="shared" si="5"/>
        <v>155</v>
      </c>
      <c r="B155" t="s">
        <v>83</v>
      </c>
      <c r="C155" t="e">
        <f>VLOOKUP(B155,'BACKEND FILES'!A:B,2,FALSE)</f>
        <v>#N/A</v>
      </c>
      <c r="D155" t="e">
        <f>VLOOKUP(B155,'FRONTEND FILES'!A:B,2,FALSE)</f>
        <v>#N/A</v>
      </c>
      <c r="E155" t="e">
        <f>VLOOKUP(B155,'SHARED FILES'!A:B,2,FALSE)</f>
        <v>#N/A</v>
      </c>
      <c r="F155" t="str">
        <f t="shared" si="4"/>
        <v/>
      </c>
    </row>
    <row r="156" spans="1:6" x14ac:dyDescent="0.55000000000000004">
      <c r="A156">
        <f t="shared" si="5"/>
        <v>156</v>
      </c>
      <c r="B156" t="s">
        <v>84</v>
      </c>
      <c r="C156" t="e">
        <f>VLOOKUP(B156,'BACKEND FILES'!A:B,2,FALSE)</f>
        <v>#N/A</v>
      </c>
      <c r="D156" t="e">
        <f>VLOOKUP(B156,'FRONTEND FILES'!A:B,2,FALSE)</f>
        <v>#N/A</v>
      </c>
      <c r="E156" t="e">
        <f>VLOOKUP(B156,'SHARED FILES'!A:B,2,FALSE)</f>
        <v>#N/A</v>
      </c>
      <c r="F156" t="str">
        <f t="shared" si="4"/>
        <v/>
      </c>
    </row>
    <row r="157" spans="1:6" x14ac:dyDescent="0.55000000000000004">
      <c r="A157">
        <f t="shared" si="5"/>
        <v>157</v>
      </c>
      <c r="B157" t="s">
        <v>73</v>
      </c>
      <c r="C157" t="e">
        <f>VLOOKUP(B157,'BACKEND FILES'!A:B,2,FALSE)</f>
        <v>#N/A</v>
      </c>
      <c r="D157" t="e">
        <f>VLOOKUP(B157,'FRONTEND FILES'!A:B,2,FALSE)</f>
        <v>#N/A</v>
      </c>
      <c r="E157" t="e">
        <f>VLOOKUP(B157,'SHARED FILES'!A:B,2,FALSE)</f>
        <v>#N/A</v>
      </c>
      <c r="F157" t="str">
        <f t="shared" si="4"/>
        <v/>
      </c>
    </row>
    <row r="158" spans="1:6" x14ac:dyDescent="0.55000000000000004">
      <c r="A158">
        <f t="shared" si="5"/>
        <v>158</v>
      </c>
      <c r="B158" t="s">
        <v>74</v>
      </c>
      <c r="C158" t="e">
        <f>VLOOKUP(B158,'BACKEND FILES'!A:B,2,FALSE)</f>
        <v>#N/A</v>
      </c>
      <c r="D158" t="e">
        <f>VLOOKUP(B158,'FRONTEND FILES'!A:B,2,FALSE)</f>
        <v>#N/A</v>
      </c>
      <c r="E158" t="e">
        <f>VLOOKUP(B158,'SHARED FILES'!A:B,2,FALSE)</f>
        <v>#N/A</v>
      </c>
      <c r="F158" t="str">
        <f t="shared" si="4"/>
        <v/>
      </c>
    </row>
    <row r="159" spans="1:6" x14ac:dyDescent="0.55000000000000004">
      <c r="A159">
        <f t="shared" si="5"/>
        <v>159</v>
      </c>
      <c r="B159" t="s">
        <v>178</v>
      </c>
      <c r="C159" t="e">
        <f>VLOOKUP(B159,'BACKEND FILES'!A:B,2,FALSE)</f>
        <v>#N/A</v>
      </c>
      <c r="D159" t="str">
        <f>VLOOKUP(B159,'FRONTEND FILES'!A:B,2,FALSE)</f>
        <v>FRONTEND</v>
      </c>
      <c r="E159" t="e">
        <f>VLOOKUP(B159,'SHARED FILES'!A:B,2,FALSE)</f>
        <v>#N/A</v>
      </c>
      <c r="F159" t="str">
        <f t="shared" si="4"/>
        <v>FRONTEND</v>
      </c>
    </row>
    <row r="160" spans="1:6" x14ac:dyDescent="0.55000000000000004">
      <c r="A160">
        <f t="shared" si="5"/>
        <v>160</v>
      </c>
      <c r="B160" t="s">
        <v>143</v>
      </c>
      <c r="C160" t="e">
        <f>VLOOKUP(B160,'BACKEND FILES'!A:B,2,FALSE)</f>
        <v>#N/A</v>
      </c>
      <c r="D160" t="str">
        <f>VLOOKUP(B160,'FRONTEND FILES'!A:B,2,FALSE)</f>
        <v>FRONTEND</v>
      </c>
      <c r="E160" t="e">
        <f>VLOOKUP(B160,'SHARED FILES'!A:B,2,FALSE)</f>
        <v>#N/A</v>
      </c>
      <c r="F160" t="str">
        <f t="shared" si="4"/>
        <v>FRONTEND</v>
      </c>
    </row>
    <row r="161" spans="1:6" x14ac:dyDescent="0.55000000000000004">
      <c r="A161">
        <f t="shared" si="5"/>
        <v>161</v>
      </c>
      <c r="B161" t="s">
        <v>144</v>
      </c>
      <c r="C161" t="e">
        <f>VLOOKUP(B161,'BACKEND FILES'!A:B,2,FALSE)</f>
        <v>#N/A</v>
      </c>
      <c r="D161" t="str">
        <f>VLOOKUP(B161,'FRONTEND FILES'!A:B,2,FALSE)</f>
        <v>FRONTEND</v>
      </c>
      <c r="E161" t="e">
        <f>VLOOKUP(B161,'SHARED FILES'!A:B,2,FALSE)</f>
        <v>#N/A</v>
      </c>
      <c r="F161" t="str">
        <f t="shared" si="4"/>
        <v>FRONTEND</v>
      </c>
    </row>
    <row r="162" spans="1:6" x14ac:dyDescent="0.55000000000000004">
      <c r="A162">
        <f t="shared" si="5"/>
        <v>162</v>
      </c>
      <c r="B162" t="s">
        <v>122</v>
      </c>
      <c r="C162" t="e">
        <f>VLOOKUP(B162,'BACKEND FILES'!A:B,2,FALSE)</f>
        <v>#N/A</v>
      </c>
      <c r="D162" t="str">
        <f>VLOOKUP(B162,'FRONTEND FILES'!A:B,2,FALSE)</f>
        <v>FRONTEND</v>
      </c>
      <c r="E162" t="e">
        <f>VLOOKUP(B162,'SHARED FILES'!A:B,2,FALSE)</f>
        <v>#N/A</v>
      </c>
      <c r="F162" t="str">
        <f t="shared" si="4"/>
        <v>FRONTEND</v>
      </c>
    </row>
    <row r="163" spans="1:6" x14ac:dyDescent="0.55000000000000004">
      <c r="A163">
        <f t="shared" si="5"/>
        <v>163</v>
      </c>
      <c r="B163" t="s">
        <v>156</v>
      </c>
      <c r="C163" t="e">
        <f>VLOOKUP(B163,'BACKEND FILES'!A:B,2,FALSE)</f>
        <v>#N/A</v>
      </c>
      <c r="D163" t="e">
        <f>VLOOKUP(B163,'FRONTEND FILES'!A:B,2,FALSE)</f>
        <v>#N/A</v>
      </c>
      <c r="E163" t="e">
        <f>VLOOKUP(B163,'SHARED FILES'!A:B,2,FALSE)</f>
        <v>#N/A</v>
      </c>
      <c r="F163" t="str">
        <f t="shared" si="4"/>
        <v/>
      </c>
    </row>
    <row r="164" spans="1:6" x14ac:dyDescent="0.55000000000000004">
      <c r="A164">
        <f t="shared" si="5"/>
        <v>164</v>
      </c>
      <c r="B164" t="s">
        <v>155</v>
      </c>
      <c r="C164" t="e">
        <f>VLOOKUP(B164,'BACKEND FILES'!A:B,2,FALSE)</f>
        <v>#N/A</v>
      </c>
      <c r="D164" t="e">
        <f>VLOOKUP(B164,'FRONTEND FILES'!A:B,2,FALSE)</f>
        <v>#N/A</v>
      </c>
      <c r="E164" t="e">
        <f>VLOOKUP(B164,'SHARED FILES'!A:B,2,FALSE)</f>
        <v>#N/A</v>
      </c>
      <c r="F164" t="str">
        <f t="shared" si="4"/>
        <v/>
      </c>
    </row>
    <row r="165" spans="1:6" x14ac:dyDescent="0.55000000000000004">
      <c r="A165">
        <f t="shared" si="5"/>
        <v>165</v>
      </c>
      <c r="B165" t="s">
        <v>160</v>
      </c>
      <c r="C165" t="e">
        <f>VLOOKUP(B165,'BACKEND FILES'!A:B,2,FALSE)</f>
        <v>#N/A</v>
      </c>
      <c r="D165" t="e">
        <f>VLOOKUP(B165,'FRONTEND FILES'!A:B,2,FALSE)</f>
        <v>#N/A</v>
      </c>
      <c r="E165" t="e">
        <f>VLOOKUP(B165,'SHARED FILES'!A:B,2,FALSE)</f>
        <v>#N/A</v>
      </c>
      <c r="F165" t="str">
        <f t="shared" si="4"/>
        <v/>
      </c>
    </row>
    <row r="166" spans="1:6" x14ac:dyDescent="0.55000000000000004">
      <c r="A166">
        <f t="shared" si="5"/>
        <v>166</v>
      </c>
      <c r="B166" t="s">
        <v>159</v>
      </c>
      <c r="C166" t="e">
        <f>VLOOKUP(B166,'BACKEND FILES'!A:B,2,FALSE)</f>
        <v>#N/A</v>
      </c>
      <c r="D166" t="e">
        <f>VLOOKUP(B166,'FRONTEND FILES'!A:B,2,FALSE)</f>
        <v>#N/A</v>
      </c>
      <c r="E166" t="e">
        <f>VLOOKUP(B166,'SHARED FILES'!A:B,2,FALSE)</f>
        <v>#N/A</v>
      </c>
      <c r="F166" t="str">
        <f t="shared" si="4"/>
        <v/>
      </c>
    </row>
    <row r="167" spans="1:6" x14ac:dyDescent="0.55000000000000004">
      <c r="A167">
        <f t="shared" si="5"/>
        <v>167</v>
      </c>
      <c r="B167" t="s">
        <v>157</v>
      </c>
      <c r="C167" t="e">
        <f>VLOOKUP(B167,'BACKEND FILES'!A:B,2,FALSE)</f>
        <v>#N/A</v>
      </c>
      <c r="D167" t="e">
        <f>VLOOKUP(B167,'FRONTEND FILES'!A:B,2,FALSE)</f>
        <v>#N/A</v>
      </c>
      <c r="E167" t="e">
        <f>VLOOKUP(B167,'SHARED FILES'!A:B,2,FALSE)</f>
        <v>#N/A</v>
      </c>
      <c r="F167" t="str">
        <f t="shared" si="4"/>
        <v/>
      </c>
    </row>
    <row r="168" spans="1:6" x14ac:dyDescent="0.55000000000000004">
      <c r="A168">
        <f t="shared" si="5"/>
        <v>168</v>
      </c>
      <c r="B168" t="s">
        <v>158</v>
      </c>
      <c r="C168" t="e">
        <f>VLOOKUP(B168,'BACKEND FILES'!A:B,2,FALSE)</f>
        <v>#N/A</v>
      </c>
      <c r="D168" t="e">
        <f>VLOOKUP(B168,'FRONTEND FILES'!A:B,2,FALSE)</f>
        <v>#N/A</v>
      </c>
      <c r="E168" t="e">
        <f>VLOOKUP(B168,'SHARED FILES'!A:B,2,FALSE)</f>
        <v>#N/A</v>
      </c>
      <c r="F168" t="str">
        <f t="shared" si="4"/>
        <v/>
      </c>
    </row>
    <row r="169" spans="1:6" x14ac:dyDescent="0.55000000000000004">
      <c r="A169">
        <f t="shared" si="5"/>
        <v>169</v>
      </c>
      <c r="B169" t="s">
        <v>64</v>
      </c>
      <c r="C169" t="e">
        <f>VLOOKUP(B169,'BACKEND FILES'!A:B,2,FALSE)</f>
        <v>#N/A</v>
      </c>
      <c r="D169" t="e">
        <f>VLOOKUP(B169,'FRONTEND FILES'!A:B,2,FALSE)</f>
        <v>#N/A</v>
      </c>
      <c r="E169" t="e">
        <f>VLOOKUP(B169,'SHARED FILES'!A:B,2,FALSE)</f>
        <v>#N/A</v>
      </c>
      <c r="F169" t="str">
        <f t="shared" si="4"/>
        <v/>
      </c>
    </row>
    <row r="170" spans="1:6" x14ac:dyDescent="0.55000000000000004">
      <c r="A170">
        <f t="shared" si="5"/>
        <v>170</v>
      </c>
      <c r="B170" t="s">
        <v>161</v>
      </c>
      <c r="C170" t="e">
        <f>VLOOKUP(B170,'BACKEND FILES'!A:B,2,FALSE)</f>
        <v>#N/A</v>
      </c>
      <c r="D170" t="e">
        <f>VLOOKUP(B170,'FRONTEND FILES'!A:B,2,FALSE)</f>
        <v>#N/A</v>
      </c>
      <c r="E170" t="e">
        <f>VLOOKUP(B170,'SHARED FILES'!A:B,2,FALSE)</f>
        <v>#N/A</v>
      </c>
      <c r="F170" t="str">
        <f t="shared" si="4"/>
        <v/>
      </c>
    </row>
    <row r="171" spans="1:6" x14ac:dyDescent="0.55000000000000004">
      <c r="A171">
        <f t="shared" si="5"/>
        <v>171</v>
      </c>
      <c r="B171" t="s">
        <v>151</v>
      </c>
      <c r="C171" t="e">
        <f>VLOOKUP(B171,'BACKEND FILES'!A:B,2,FALSE)</f>
        <v>#N/A</v>
      </c>
      <c r="D171" t="e">
        <f>VLOOKUP(B171,'FRONTEND FILES'!A:B,2,FALSE)</f>
        <v>#N/A</v>
      </c>
      <c r="E171" t="e">
        <f>VLOOKUP(B171,'SHARED FILES'!A:B,2,FALSE)</f>
        <v>#N/A</v>
      </c>
      <c r="F171" t="str">
        <f t="shared" si="4"/>
        <v/>
      </c>
    </row>
    <row r="172" spans="1:6" x14ac:dyDescent="0.55000000000000004">
      <c r="A172">
        <f t="shared" si="5"/>
        <v>172</v>
      </c>
      <c r="B172" t="s">
        <v>152</v>
      </c>
      <c r="C172" t="e">
        <f>VLOOKUP(B172,'BACKEND FILES'!A:B,2,FALSE)</f>
        <v>#N/A</v>
      </c>
      <c r="D172" t="e">
        <f>VLOOKUP(B172,'FRONTEND FILES'!A:B,2,FALSE)</f>
        <v>#N/A</v>
      </c>
      <c r="E172" t="e">
        <f>VLOOKUP(B172,'SHARED FILES'!A:B,2,FALSE)</f>
        <v>#N/A</v>
      </c>
      <c r="F172" t="str">
        <f t="shared" si="4"/>
        <v/>
      </c>
    </row>
    <row r="173" spans="1:6" x14ac:dyDescent="0.55000000000000004">
      <c r="A173">
        <f t="shared" si="5"/>
        <v>173</v>
      </c>
      <c r="B173" t="s">
        <v>646</v>
      </c>
      <c r="C173" t="e">
        <f>VLOOKUP(B173,'BACKEND FILES'!A:B,2,FALSE)</f>
        <v>#N/A</v>
      </c>
      <c r="D173" t="e">
        <f>VLOOKUP(B173,'FRONTEND FILES'!A:B,2,FALSE)</f>
        <v>#N/A</v>
      </c>
      <c r="E173" t="e">
        <f>VLOOKUP(B173,'SHARED FILES'!A:B,2,FALSE)</f>
        <v>#N/A</v>
      </c>
      <c r="F173" t="str">
        <f t="shared" si="4"/>
        <v/>
      </c>
    </row>
    <row r="174" spans="1:6" x14ac:dyDescent="0.55000000000000004">
      <c r="A174">
        <f t="shared" si="5"/>
        <v>174</v>
      </c>
      <c r="B174" t="s">
        <v>150</v>
      </c>
      <c r="C174" t="e">
        <f>VLOOKUP(B174,'BACKEND FILES'!A:B,2,FALSE)</f>
        <v>#N/A</v>
      </c>
      <c r="D174" t="e">
        <f>VLOOKUP(B174,'FRONTEND FILES'!A:B,2,FALSE)</f>
        <v>#N/A</v>
      </c>
      <c r="E174" t="e">
        <f>VLOOKUP(B174,'SHARED FILES'!A:B,2,FALSE)</f>
        <v>#N/A</v>
      </c>
      <c r="F174" t="str">
        <f t="shared" si="4"/>
        <v/>
      </c>
    </row>
    <row r="175" spans="1:6" x14ac:dyDescent="0.55000000000000004">
      <c r="A175">
        <f t="shared" si="5"/>
        <v>175</v>
      </c>
      <c r="B175" t="s">
        <v>153</v>
      </c>
      <c r="C175" t="e">
        <f>VLOOKUP(B175,'BACKEND FILES'!A:B,2,FALSE)</f>
        <v>#N/A</v>
      </c>
      <c r="D175" t="e">
        <f>VLOOKUP(B175,'FRONTEND FILES'!A:B,2,FALSE)</f>
        <v>#N/A</v>
      </c>
      <c r="E175" t="e">
        <f>VLOOKUP(B175,'SHARED FILES'!A:B,2,FALSE)</f>
        <v>#N/A</v>
      </c>
      <c r="F175" t="str">
        <f t="shared" si="4"/>
        <v/>
      </c>
    </row>
    <row r="176" spans="1:6" x14ac:dyDescent="0.55000000000000004">
      <c r="A176">
        <f t="shared" si="5"/>
        <v>176</v>
      </c>
      <c r="B176" t="s">
        <v>154</v>
      </c>
      <c r="C176" t="e">
        <f>VLOOKUP(B176,'BACKEND FILES'!A:B,2,FALSE)</f>
        <v>#N/A</v>
      </c>
      <c r="D176" t="e">
        <f>VLOOKUP(B176,'FRONTEND FILES'!A:B,2,FALSE)</f>
        <v>#N/A</v>
      </c>
      <c r="E176" t="e">
        <f>VLOOKUP(B176,'SHARED FILES'!A:B,2,FALSE)</f>
        <v>#N/A</v>
      </c>
      <c r="F176" t="str">
        <f t="shared" si="4"/>
        <v/>
      </c>
    </row>
    <row r="177" spans="1:6" x14ac:dyDescent="0.55000000000000004">
      <c r="A177">
        <f t="shared" si="5"/>
        <v>177</v>
      </c>
      <c r="B177" t="s">
        <v>647</v>
      </c>
      <c r="C177" t="e">
        <f>VLOOKUP(B177,'BACKEND FILES'!A:B,2,FALSE)</f>
        <v>#N/A</v>
      </c>
      <c r="D177" t="e">
        <f>VLOOKUP(B177,'FRONTEND FILES'!A:B,2,FALSE)</f>
        <v>#N/A</v>
      </c>
      <c r="E177" t="e">
        <f>VLOOKUP(B177,'SHARED FILES'!A:B,2,FALSE)</f>
        <v>#N/A</v>
      </c>
      <c r="F177" t="str">
        <f t="shared" si="4"/>
        <v/>
      </c>
    </row>
    <row r="178" spans="1:6" x14ac:dyDescent="0.55000000000000004">
      <c r="A178">
        <f t="shared" si="5"/>
        <v>178</v>
      </c>
      <c r="B178" t="s">
        <v>648</v>
      </c>
      <c r="C178" t="e">
        <f>VLOOKUP(B178,'BACKEND FILES'!A:B,2,FALSE)</f>
        <v>#N/A</v>
      </c>
      <c r="D178" t="e">
        <f>VLOOKUP(B178,'FRONTEND FILES'!A:B,2,FALSE)</f>
        <v>#N/A</v>
      </c>
      <c r="E178" t="e">
        <f>VLOOKUP(B178,'SHARED FILES'!A:B,2,FALSE)</f>
        <v>#N/A</v>
      </c>
      <c r="F178" t="str">
        <f t="shared" si="4"/>
        <v/>
      </c>
    </row>
    <row r="179" spans="1:6" x14ac:dyDescent="0.55000000000000004">
      <c r="A179">
        <f t="shared" si="5"/>
        <v>179</v>
      </c>
      <c r="B179" t="s">
        <v>148</v>
      </c>
      <c r="C179" t="e">
        <f>VLOOKUP(B179,'BACKEND FILES'!A:B,2,FALSE)</f>
        <v>#N/A</v>
      </c>
      <c r="D179" t="e">
        <f>VLOOKUP(B179,'FRONTEND FILES'!A:B,2,FALSE)</f>
        <v>#N/A</v>
      </c>
      <c r="E179" t="e">
        <f>VLOOKUP(B179,'SHARED FILES'!A:B,2,FALSE)</f>
        <v>#N/A</v>
      </c>
      <c r="F179" t="str">
        <f t="shared" si="4"/>
        <v/>
      </c>
    </row>
    <row r="180" spans="1:6" x14ac:dyDescent="0.55000000000000004">
      <c r="A180">
        <f t="shared" si="5"/>
        <v>180</v>
      </c>
      <c r="B180" t="s">
        <v>649</v>
      </c>
      <c r="C180" t="e">
        <f>VLOOKUP(B180,'BACKEND FILES'!A:B,2,FALSE)</f>
        <v>#N/A</v>
      </c>
      <c r="D180" t="e">
        <f>VLOOKUP(B180,'FRONTEND FILES'!A:B,2,FALSE)</f>
        <v>#N/A</v>
      </c>
      <c r="E180" t="e">
        <f>VLOOKUP(B180,'SHARED FILES'!A:B,2,FALSE)</f>
        <v>#N/A</v>
      </c>
      <c r="F180" t="str">
        <f t="shared" si="4"/>
        <v/>
      </c>
    </row>
    <row r="181" spans="1:6" x14ac:dyDescent="0.55000000000000004">
      <c r="A181">
        <f t="shared" si="5"/>
        <v>181</v>
      </c>
      <c r="B181" t="s">
        <v>149</v>
      </c>
      <c r="C181" t="e">
        <f>VLOOKUP(B181,'BACKEND FILES'!A:B,2,FALSE)</f>
        <v>#N/A</v>
      </c>
      <c r="D181" t="e">
        <f>VLOOKUP(B181,'FRONTEND FILES'!A:B,2,FALSE)</f>
        <v>#N/A</v>
      </c>
      <c r="E181" t="e">
        <f>VLOOKUP(B181,'SHARED FILES'!A:B,2,FALSE)</f>
        <v>#N/A</v>
      </c>
      <c r="F181" t="str">
        <f t="shared" si="4"/>
        <v/>
      </c>
    </row>
    <row r="182" spans="1:6" x14ac:dyDescent="0.55000000000000004">
      <c r="A182">
        <f t="shared" si="5"/>
        <v>182</v>
      </c>
      <c r="B182" t="s">
        <v>1232</v>
      </c>
      <c r="C182" t="str">
        <f>VLOOKUP(B182,'BACKEND FILES'!A:B,2,FALSE)</f>
        <v>BACKEND</v>
      </c>
      <c r="D182" t="e">
        <f>VLOOKUP(B182,'FRONTEND FILES'!A:B,2,FALSE)</f>
        <v>#N/A</v>
      </c>
      <c r="E182" t="e">
        <f>VLOOKUP(B182,'SHARED FILES'!A:B,2,FALSE)</f>
        <v>#N/A</v>
      </c>
      <c r="F182" t="str">
        <f t="shared" si="4"/>
        <v>BACKEND</v>
      </c>
    </row>
    <row r="183" spans="1:6" x14ac:dyDescent="0.55000000000000004">
      <c r="A183">
        <f t="shared" si="5"/>
        <v>183</v>
      </c>
      <c r="B183" t="s">
        <v>1233</v>
      </c>
      <c r="C183" t="str">
        <f>VLOOKUP(B183,'BACKEND FILES'!A:B,2,FALSE)</f>
        <v>BACKEND</v>
      </c>
      <c r="D183" t="e">
        <f>VLOOKUP(B183,'FRONTEND FILES'!A:B,2,FALSE)</f>
        <v>#N/A</v>
      </c>
      <c r="E183" t="e">
        <f>VLOOKUP(B183,'SHARED FILES'!A:B,2,FALSE)</f>
        <v>#N/A</v>
      </c>
      <c r="F183" t="str">
        <f t="shared" si="4"/>
        <v>BACKEND</v>
      </c>
    </row>
    <row r="184" spans="1:6" x14ac:dyDescent="0.55000000000000004">
      <c r="A184">
        <f t="shared" si="5"/>
        <v>184</v>
      </c>
      <c r="B184" t="s">
        <v>1234</v>
      </c>
      <c r="C184" t="str">
        <f>VLOOKUP(B184,'BACKEND FILES'!A:B,2,FALSE)</f>
        <v>BACKEND</v>
      </c>
      <c r="D184" t="e">
        <f>VLOOKUP(B184,'FRONTEND FILES'!A:B,2,FALSE)</f>
        <v>#N/A</v>
      </c>
      <c r="E184" t="e">
        <f>VLOOKUP(B184,'SHARED FILES'!A:B,2,FALSE)</f>
        <v>#N/A</v>
      </c>
      <c r="F184" t="str">
        <f t="shared" si="4"/>
        <v>BACKEND</v>
      </c>
    </row>
    <row r="185" spans="1:6" x14ac:dyDescent="0.55000000000000004">
      <c r="A185">
        <f t="shared" si="5"/>
        <v>185</v>
      </c>
      <c r="B185" t="s">
        <v>1235</v>
      </c>
      <c r="C185" t="str">
        <f>VLOOKUP(B185,'BACKEND FILES'!A:B,2,FALSE)</f>
        <v>BACKEND</v>
      </c>
      <c r="D185" t="e">
        <f>VLOOKUP(B185,'FRONTEND FILES'!A:B,2,FALSE)</f>
        <v>#N/A</v>
      </c>
      <c r="E185" t="e">
        <f>VLOOKUP(B185,'SHARED FILES'!A:B,2,FALSE)</f>
        <v>#N/A</v>
      </c>
      <c r="F185" t="str">
        <f t="shared" si="4"/>
        <v>BACKEND</v>
      </c>
    </row>
    <row r="186" spans="1:6" x14ac:dyDescent="0.55000000000000004">
      <c r="A186">
        <f t="shared" si="5"/>
        <v>186</v>
      </c>
      <c r="B186" t="s">
        <v>1236</v>
      </c>
      <c r="C186" t="str">
        <f>VLOOKUP(B186,'BACKEND FILES'!A:B,2,FALSE)</f>
        <v>BACKEND</v>
      </c>
      <c r="D186" t="e">
        <f>VLOOKUP(B186,'FRONTEND FILES'!A:B,2,FALSE)</f>
        <v>#N/A</v>
      </c>
      <c r="E186" t="e">
        <f>VLOOKUP(B186,'SHARED FILES'!A:B,2,FALSE)</f>
        <v>#N/A</v>
      </c>
      <c r="F186" t="str">
        <f t="shared" si="4"/>
        <v>BACKEND</v>
      </c>
    </row>
    <row r="187" spans="1:6" x14ac:dyDescent="0.55000000000000004">
      <c r="A187">
        <f t="shared" si="5"/>
        <v>187</v>
      </c>
      <c r="B187" t="s">
        <v>1237</v>
      </c>
      <c r="C187" t="str">
        <f>VLOOKUP(B187,'BACKEND FILES'!A:B,2,FALSE)</f>
        <v>BACKEND</v>
      </c>
      <c r="D187" t="e">
        <f>VLOOKUP(B187,'FRONTEND FILES'!A:B,2,FALSE)</f>
        <v>#N/A</v>
      </c>
      <c r="E187" t="e">
        <f>VLOOKUP(B187,'SHARED FILES'!A:B,2,FALSE)</f>
        <v>#N/A</v>
      </c>
      <c r="F187" t="str">
        <f t="shared" si="4"/>
        <v>BACKEND</v>
      </c>
    </row>
    <row r="188" spans="1:6" x14ac:dyDescent="0.55000000000000004">
      <c r="A188">
        <f t="shared" si="5"/>
        <v>188</v>
      </c>
      <c r="B188" t="s">
        <v>1238</v>
      </c>
      <c r="C188" t="str">
        <f>VLOOKUP(B188,'BACKEND FILES'!A:B,2,FALSE)</f>
        <v>BACKEND</v>
      </c>
      <c r="D188" t="e">
        <f>VLOOKUP(B188,'FRONTEND FILES'!A:B,2,FALSE)</f>
        <v>#N/A</v>
      </c>
      <c r="E188" t="e">
        <f>VLOOKUP(B188,'SHARED FILES'!A:B,2,FALSE)</f>
        <v>#N/A</v>
      </c>
      <c r="F188" t="str">
        <f t="shared" si="4"/>
        <v>BACKEND</v>
      </c>
    </row>
    <row r="189" spans="1:6" x14ac:dyDescent="0.55000000000000004">
      <c r="A189">
        <f t="shared" si="5"/>
        <v>189</v>
      </c>
      <c r="B189" t="s">
        <v>1239</v>
      </c>
      <c r="C189" t="str">
        <f>VLOOKUP(B189,'BACKEND FILES'!A:B,2,FALSE)</f>
        <v>BACKEND</v>
      </c>
      <c r="D189" t="e">
        <f>VLOOKUP(B189,'FRONTEND FILES'!A:B,2,FALSE)</f>
        <v>#N/A</v>
      </c>
      <c r="E189" t="e">
        <f>VLOOKUP(B189,'SHARED FILES'!A:B,2,FALSE)</f>
        <v>#N/A</v>
      </c>
      <c r="F189" t="str">
        <f t="shared" si="4"/>
        <v>BACKEND</v>
      </c>
    </row>
    <row r="190" spans="1:6" x14ac:dyDescent="0.55000000000000004">
      <c r="A190">
        <f t="shared" si="5"/>
        <v>190</v>
      </c>
      <c r="B190" t="s">
        <v>1240</v>
      </c>
      <c r="C190" t="str">
        <f>VLOOKUP(B190,'BACKEND FILES'!A:B,2,FALSE)</f>
        <v>BACKEND</v>
      </c>
      <c r="D190" t="e">
        <f>VLOOKUP(B190,'FRONTEND FILES'!A:B,2,FALSE)</f>
        <v>#N/A</v>
      </c>
      <c r="E190" t="e">
        <f>VLOOKUP(B190,'SHARED FILES'!A:B,2,FALSE)</f>
        <v>#N/A</v>
      </c>
      <c r="F190" t="str">
        <f t="shared" si="4"/>
        <v>BACKEND</v>
      </c>
    </row>
    <row r="191" spans="1:6" x14ac:dyDescent="0.55000000000000004">
      <c r="A191">
        <f t="shared" si="5"/>
        <v>191</v>
      </c>
      <c r="B191" t="s">
        <v>1241</v>
      </c>
      <c r="C191" t="str">
        <f>VLOOKUP(B191,'BACKEND FILES'!A:B,2,FALSE)</f>
        <v>BACKEND</v>
      </c>
      <c r="D191" t="e">
        <f>VLOOKUP(B191,'FRONTEND FILES'!A:B,2,FALSE)</f>
        <v>#N/A</v>
      </c>
      <c r="E191" t="e">
        <f>VLOOKUP(B191,'SHARED FILES'!A:B,2,FALSE)</f>
        <v>#N/A</v>
      </c>
      <c r="F191" t="str">
        <f t="shared" si="4"/>
        <v>BACKEND</v>
      </c>
    </row>
    <row r="192" spans="1:6" x14ac:dyDescent="0.55000000000000004">
      <c r="A192">
        <f t="shared" si="5"/>
        <v>192</v>
      </c>
      <c r="B192" t="s">
        <v>1242</v>
      </c>
      <c r="C192" t="str">
        <f>VLOOKUP(B192,'BACKEND FILES'!A:B,2,FALSE)</f>
        <v>BACKEND</v>
      </c>
      <c r="D192" t="e">
        <f>VLOOKUP(B192,'FRONTEND FILES'!A:B,2,FALSE)</f>
        <v>#N/A</v>
      </c>
      <c r="E192" t="e">
        <f>VLOOKUP(B192,'SHARED FILES'!A:B,2,FALSE)</f>
        <v>#N/A</v>
      </c>
      <c r="F192" t="str">
        <f t="shared" si="4"/>
        <v>BACKEND</v>
      </c>
    </row>
    <row r="193" spans="1:6" x14ac:dyDescent="0.55000000000000004">
      <c r="A193">
        <f t="shared" si="5"/>
        <v>193</v>
      </c>
      <c r="B193" t="s">
        <v>1243</v>
      </c>
      <c r="C193" t="str">
        <f>VLOOKUP(B193,'BACKEND FILES'!A:B,2,FALSE)</f>
        <v>BACKEND</v>
      </c>
      <c r="D193" t="e">
        <f>VLOOKUP(B193,'FRONTEND FILES'!A:B,2,FALSE)</f>
        <v>#N/A</v>
      </c>
      <c r="E193" t="e">
        <f>VLOOKUP(B193,'SHARED FILES'!A:B,2,FALSE)</f>
        <v>#N/A</v>
      </c>
      <c r="F193" t="str">
        <f t="shared" si="4"/>
        <v>BACKEND</v>
      </c>
    </row>
    <row r="194" spans="1:6" x14ac:dyDescent="0.55000000000000004">
      <c r="A194">
        <f t="shared" si="5"/>
        <v>194</v>
      </c>
      <c r="B194" t="s">
        <v>1244</v>
      </c>
      <c r="C194" t="str">
        <f>VLOOKUP(B194,'BACKEND FILES'!A:B,2,FALSE)</f>
        <v>BACKEND</v>
      </c>
      <c r="D194" t="e">
        <f>VLOOKUP(B194,'FRONTEND FILES'!A:B,2,FALSE)</f>
        <v>#N/A</v>
      </c>
      <c r="E194" t="e">
        <f>VLOOKUP(B194,'SHARED FILES'!A:B,2,FALSE)</f>
        <v>#N/A</v>
      </c>
      <c r="F194" t="str">
        <f t="shared" ref="F194:F257" si="6">_xlfn.IFNA(C194, _xlfn.IFNA(D194, _xlfn.IFNA(E194, "")))</f>
        <v>BACKEND</v>
      </c>
    </row>
    <row r="195" spans="1:6" x14ac:dyDescent="0.55000000000000004">
      <c r="A195">
        <f t="shared" ref="A195:A258" si="7">A194+1</f>
        <v>195</v>
      </c>
      <c r="B195" t="s">
        <v>1245</v>
      </c>
      <c r="C195" t="str">
        <f>VLOOKUP(B195,'BACKEND FILES'!A:B,2,FALSE)</f>
        <v>BACKEND</v>
      </c>
      <c r="D195" t="e">
        <f>VLOOKUP(B195,'FRONTEND FILES'!A:B,2,FALSE)</f>
        <v>#N/A</v>
      </c>
      <c r="E195" t="e">
        <f>VLOOKUP(B195,'SHARED FILES'!A:B,2,FALSE)</f>
        <v>#N/A</v>
      </c>
      <c r="F195" t="str">
        <f t="shared" si="6"/>
        <v>BACKEND</v>
      </c>
    </row>
    <row r="196" spans="1:6" x14ac:dyDescent="0.55000000000000004">
      <c r="A196">
        <f t="shared" si="7"/>
        <v>196</v>
      </c>
      <c r="B196" t="s">
        <v>1246</v>
      </c>
      <c r="C196" t="str">
        <f>VLOOKUP(B196,'BACKEND FILES'!A:B,2,FALSE)</f>
        <v>BACKEND</v>
      </c>
      <c r="D196" t="e">
        <f>VLOOKUP(B196,'FRONTEND FILES'!A:B,2,FALSE)</f>
        <v>#N/A</v>
      </c>
      <c r="E196" t="e">
        <f>VLOOKUP(B196,'SHARED FILES'!A:B,2,FALSE)</f>
        <v>#N/A</v>
      </c>
      <c r="F196" t="str">
        <f t="shared" si="6"/>
        <v>BACKEND</v>
      </c>
    </row>
    <row r="197" spans="1:6" x14ac:dyDescent="0.55000000000000004">
      <c r="A197">
        <f t="shared" si="7"/>
        <v>197</v>
      </c>
      <c r="B197" t="s">
        <v>1247</v>
      </c>
      <c r="C197" t="str">
        <f>VLOOKUP(B197,'BACKEND FILES'!A:B,2,FALSE)</f>
        <v>BACKEND</v>
      </c>
      <c r="D197" t="e">
        <f>VLOOKUP(B197,'FRONTEND FILES'!A:B,2,FALSE)</f>
        <v>#N/A</v>
      </c>
      <c r="E197" t="e">
        <f>VLOOKUP(B197,'SHARED FILES'!A:B,2,FALSE)</f>
        <v>#N/A</v>
      </c>
      <c r="F197" t="str">
        <f t="shared" si="6"/>
        <v>BACKEND</v>
      </c>
    </row>
    <row r="198" spans="1:6" x14ac:dyDescent="0.55000000000000004">
      <c r="A198">
        <f t="shared" si="7"/>
        <v>198</v>
      </c>
      <c r="B198" t="s">
        <v>1248</v>
      </c>
      <c r="C198" t="str">
        <f>VLOOKUP(B198,'BACKEND FILES'!A:B,2,FALSE)</f>
        <v>BACKEND</v>
      </c>
      <c r="D198" t="e">
        <f>VLOOKUP(B198,'FRONTEND FILES'!A:B,2,FALSE)</f>
        <v>#N/A</v>
      </c>
      <c r="E198" t="e">
        <f>VLOOKUP(B198,'SHARED FILES'!A:B,2,FALSE)</f>
        <v>#N/A</v>
      </c>
      <c r="F198" t="str">
        <f t="shared" si="6"/>
        <v>BACKEND</v>
      </c>
    </row>
    <row r="199" spans="1:6" x14ac:dyDescent="0.55000000000000004">
      <c r="A199">
        <f t="shared" si="7"/>
        <v>199</v>
      </c>
      <c r="B199" t="s">
        <v>1249</v>
      </c>
      <c r="C199" t="str">
        <f>VLOOKUP(B199,'BACKEND FILES'!A:B,2,FALSE)</f>
        <v>BACKEND</v>
      </c>
      <c r="D199" t="e">
        <f>VLOOKUP(B199,'FRONTEND FILES'!A:B,2,FALSE)</f>
        <v>#N/A</v>
      </c>
      <c r="E199" t="e">
        <f>VLOOKUP(B199,'SHARED FILES'!A:B,2,FALSE)</f>
        <v>#N/A</v>
      </c>
      <c r="F199" t="str">
        <f t="shared" si="6"/>
        <v>BACKEND</v>
      </c>
    </row>
    <row r="200" spans="1:6" x14ac:dyDescent="0.55000000000000004">
      <c r="A200">
        <f t="shared" si="7"/>
        <v>200</v>
      </c>
      <c r="B200" t="s">
        <v>1250</v>
      </c>
      <c r="C200" t="str">
        <f>VLOOKUP(B200,'BACKEND FILES'!A:B,2,FALSE)</f>
        <v>BACKEND</v>
      </c>
      <c r="D200" t="e">
        <f>VLOOKUP(B200,'FRONTEND FILES'!A:B,2,FALSE)</f>
        <v>#N/A</v>
      </c>
      <c r="E200" t="e">
        <f>VLOOKUP(B200,'SHARED FILES'!A:B,2,FALSE)</f>
        <v>#N/A</v>
      </c>
      <c r="F200" t="str">
        <f t="shared" si="6"/>
        <v>BACKEND</v>
      </c>
    </row>
    <row r="201" spans="1:6" x14ac:dyDescent="0.55000000000000004">
      <c r="A201">
        <f t="shared" si="7"/>
        <v>201</v>
      </c>
      <c r="B201" t="s">
        <v>1251</v>
      </c>
      <c r="C201" t="str">
        <f>VLOOKUP(B201,'BACKEND FILES'!A:B,2,FALSE)</f>
        <v>BACKEND</v>
      </c>
      <c r="D201" t="e">
        <f>VLOOKUP(B201,'FRONTEND FILES'!A:B,2,FALSE)</f>
        <v>#N/A</v>
      </c>
      <c r="E201" t="e">
        <f>VLOOKUP(B201,'SHARED FILES'!A:B,2,FALSE)</f>
        <v>#N/A</v>
      </c>
      <c r="F201" t="str">
        <f t="shared" si="6"/>
        <v>BACKEND</v>
      </c>
    </row>
    <row r="202" spans="1:6" x14ac:dyDescent="0.55000000000000004">
      <c r="A202">
        <f t="shared" si="7"/>
        <v>202</v>
      </c>
      <c r="B202" t="s">
        <v>1252</v>
      </c>
      <c r="C202" t="str">
        <f>VLOOKUP(B202,'BACKEND FILES'!A:B,2,FALSE)</f>
        <v>BACKEND</v>
      </c>
      <c r="D202" t="e">
        <f>VLOOKUP(B202,'FRONTEND FILES'!A:B,2,FALSE)</f>
        <v>#N/A</v>
      </c>
      <c r="E202" t="e">
        <f>VLOOKUP(B202,'SHARED FILES'!A:B,2,FALSE)</f>
        <v>#N/A</v>
      </c>
      <c r="F202" t="str">
        <f t="shared" si="6"/>
        <v>BACKEND</v>
      </c>
    </row>
    <row r="203" spans="1:6" x14ac:dyDescent="0.55000000000000004">
      <c r="A203">
        <f t="shared" si="7"/>
        <v>203</v>
      </c>
      <c r="B203" t="s">
        <v>1253</v>
      </c>
      <c r="C203" t="str">
        <f>VLOOKUP(B203,'BACKEND FILES'!A:B,2,FALSE)</f>
        <v>BACKEND</v>
      </c>
      <c r="D203" t="e">
        <f>VLOOKUP(B203,'FRONTEND FILES'!A:B,2,FALSE)</f>
        <v>#N/A</v>
      </c>
      <c r="E203" t="e">
        <f>VLOOKUP(B203,'SHARED FILES'!A:B,2,FALSE)</f>
        <v>#N/A</v>
      </c>
      <c r="F203" t="str">
        <f t="shared" si="6"/>
        <v>BACKEND</v>
      </c>
    </row>
    <row r="204" spans="1:6" x14ac:dyDescent="0.55000000000000004">
      <c r="A204">
        <f t="shared" si="7"/>
        <v>204</v>
      </c>
      <c r="B204" t="s">
        <v>1254</v>
      </c>
      <c r="C204" t="str">
        <f>VLOOKUP(B204,'BACKEND FILES'!A:B,2,FALSE)</f>
        <v>BACKEND</v>
      </c>
      <c r="D204" t="e">
        <f>VLOOKUP(B204,'FRONTEND FILES'!A:B,2,FALSE)</f>
        <v>#N/A</v>
      </c>
      <c r="E204" t="e">
        <f>VLOOKUP(B204,'SHARED FILES'!A:B,2,FALSE)</f>
        <v>#N/A</v>
      </c>
      <c r="F204" t="str">
        <f t="shared" si="6"/>
        <v>BACKEND</v>
      </c>
    </row>
    <row r="205" spans="1:6" x14ac:dyDescent="0.55000000000000004">
      <c r="A205">
        <f t="shared" si="7"/>
        <v>205</v>
      </c>
      <c r="B205" t="s">
        <v>1255</v>
      </c>
      <c r="C205" t="str">
        <f>VLOOKUP(B205,'BACKEND FILES'!A:B,2,FALSE)</f>
        <v>BACKEND</v>
      </c>
      <c r="D205" t="e">
        <f>VLOOKUP(B205,'FRONTEND FILES'!A:B,2,FALSE)</f>
        <v>#N/A</v>
      </c>
      <c r="E205" t="e">
        <f>VLOOKUP(B205,'SHARED FILES'!A:B,2,FALSE)</f>
        <v>#N/A</v>
      </c>
      <c r="F205" t="str">
        <f t="shared" si="6"/>
        <v>BACKEND</v>
      </c>
    </row>
    <row r="206" spans="1:6" x14ac:dyDescent="0.55000000000000004">
      <c r="A206">
        <f t="shared" si="7"/>
        <v>206</v>
      </c>
      <c r="B206" t="s">
        <v>1256</v>
      </c>
      <c r="C206" t="str">
        <f>VLOOKUP(B206,'BACKEND FILES'!A:B,2,FALSE)</f>
        <v>BACKEND</v>
      </c>
      <c r="D206" t="e">
        <f>VLOOKUP(B206,'FRONTEND FILES'!A:B,2,FALSE)</f>
        <v>#N/A</v>
      </c>
      <c r="E206" t="e">
        <f>VLOOKUP(B206,'SHARED FILES'!A:B,2,FALSE)</f>
        <v>#N/A</v>
      </c>
      <c r="F206" t="str">
        <f t="shared" si="6"/>
        <v>BACKEND</v>
      </c>
    </row>
    <row r="207" spans="1:6" x14ac:dyDescent="0.55000000000000004">
      <c r="A207">
        <f t="shared" si="7"/>
        <v>207</v>
      </c>
      <c r="B207" t="s">
        <v>1257</v>
      </c>
      <c r="C207" t="str">
        <f>VLOOKUP(B207,'BACKEND FILES'!A:B,2,FALSE)</f>
        <v>BACKEND</v>
      </c>
      <c r="D207" t="e">
        <f>VLOOKUP(B207,'FRONTEND FILES'!A:B,2,FALSE)</f>
        <v>#N/A</v>
      </c>
      <c r="E207" t="e">
        <f>VLOOKUP(B207,'SHARED FILES'!A:B,2,FALSE)</f>
        <v>#N/A</v>
      </c>
      <c r="F207" t="str">
        <f t="shared" si="6"/>
        <v>BACKEND</v>
      </c>
    </row>
    <row r="208" spans="1:6" x14ac:dyDescent="0.55000000000000004">
      <c r="A208">
        <f t="shared" si="7"/>
        <v>208</v>
      </c>
      <c r="B208" t="s">
        <v>1258</v>
      </c>
      <c r="C208" t="str">
        <f>VLOOKUP(B208,'BACKEND FILES'!A:B,2,FALSE)</f>
        <v>BACKEND</v>
      </c>
      <c r="D208" t="e">
        <f>VLOOKUP(B208,'FRONTEND FILES'!A:B,2,FALSE)</f>
        <v>#N/A</v>
      </c>
      <c r="E208" t="e">
        <f>VLOOKUP(B208,'SHARED FILES'!A:B,2,FALSE)</f>
        <v>#N/A</v>
      </c>
      <c r="F208" t="str">
        <f t="shared" si="6"/>
        <v>BACKEND</v>
      </c>
    </row>
    <row r="209" spans="1:6" x14ac:dyDescent="0.55000000000000004">
      <c r="A209">
        <f t="shared" si="7"/>
        <v>209</v>
      </c>
      <c r="B209" t="s">
        <v>1259</v>
      </c>
      <c r="C209" t="str">
        <f>VLOOKUP(B209,'BACKEND FILES'!A:B,2,FALSE)</f>
        <v>BACKEND</v>
      </c>
      <c r="D209" t="e">
        <f>VLOOKUP(B209,'FRONTEND FILES'!A:B,2,FALSE)</f>
        <v>#N/A</v>
      </c>
      <c r="E209" t="e">
        <f>VLOOKUP(B209,'SHARED FILES'!A:B,2,FALSE)</f>
        <v>#N/A</v>
      </c>
      <c r="F209" t="str">
        <f t="shared" si="6"/>
        <v>BACKEND</v>
      </c>
    </row>
    <row r="210" spans="1:6" x14ac:dyDescent="0.55000000000000004">
      <c r="A210">
        <f t="shared" si="7"/>
        <v>210</v>
      </c>
      <c r="B210" t="s">
        <v>1260</v>
      </c>
      <c r="C210" t="str">
        <f>VLOOKUP(B210,'BACKEND FILES'!A:B,2,FALSE)</f>
        <v>BACKEND</v>
      </c>
      <c r="D210" t="e">
        <f>VLOOKUP(B210,'FRONTEND FILES'!A:B,2,FALSE)</f>
        <v>#N/A</v>
      </c>
      <c r="E210" t="e">
        <f>VLOOKUP(B210,'SHARED FILES'!A:B,2,FALSE)</f>
        <v>#N/A</v>
      </c>
      <c r="F210" t="str">
        <f t="shared" si="6"/>
        <v>BACKEND</v>
      </c>
    </row>
    <row r="211" spans="1:6" x14ac:dyDescent="0.55000000000000004">
      <c r="A211">
        <f t="shared" si="7"/>
        <v>211</v>
      </c>
      <c r="B211" t="s">
        <v>1261</v>
      </c>
      <c r="C211" t="str">
        <f>VLOOKUP(B211,'BACKEND FILES'!A:B,2,FALSE)</f>
        <v>BACKEND</v>
      </c>
      <c r="D211" t="e">
        <f>VLOOKUP(B211,'FRONTEND FILES'!A:B,2,FALSE)</f>
        <v>#N/A</v>
      </c>
      <c r="E211" t="e">
        <f>VLOOKUP(B211,'SHARED FILES'!A:B,2,FALSE)</f>
        <v>#N/A</v>
      </c>
      <c r="F211" t="str">
        <f t="shared" si="6"/>
        <v>BACKEND</v>
      </c>
    </row>
    <row r="212" spans="1:6" x14ac:dyDescent="0.55000000000000004">
      <c r="A212">
        <f t="shared" si="7"/>
        <v>212</v>
      </c>
      <c r="B212" t="s">
        <v>1262</v>
      </c>
      <c r="C212" t="str">
        <f>VLOOKUP(B212,'BACKEND FILES'!A:B,2,FALSE)</f>
        <v>BACKEND</v>
      </c>
      <c r="D212" t="e">
        <f>VLOOKUP(B212,'FRONTEND FILES'!A:B,2,FALSE)</f>
        <v>#N/A</v>
      </c>
      <c r="E212" t="e">
        <f>VLOOKUP(B212,'SHARED FILES'!A:B,2,FALSE)</f>
        <v>#N/A</v>
      </c>
      <c r="F212" t="str">
        <f t="shared" si="6"/>
        <v>BACKEND</v>
      </c>
    </row>
    <row r="213" spans="1:6" x14ac:dyDescent="0.55000000000000004">
      <c r="A213">
        <f t="shared" si="7"/>
        <v>213</v>
      </c>
      <c r="B213" t="s">
        <v>1263</v>
      </c>
      <c r="C213" t="str">
        <f>VLOOKUP(B213,'BACKEND FILES'!A:B,2,FALSE)</f>
        <v>BACKEND</v>
      </c>
      <c r="D213" t="e">
        <f>VLOOKUP(B213,'FRONTEND FILES'!A:B,2,FALSE)</f>
        <v>#N/A</v>
      </c>
      <c r="E213" t="e">
        <f>VLOOKUP(B213,'SHARED FILES'!A:B,2,FALSE)</f>
        <v>#N/A</v>
      </c>
      <c r="F213" t="str">
        <f t="shared" si="6"/>
        <v>BACKEND</v>
      </c>
    </row>
    <row r="214" spans="1:6" x14ac:dyDescent="0.55000000000000004">
      <c r="A214">
        <f t="shared" si="7"/>
        <v>214</v>
      </c>
      <c r="B214" t="s">
        <v>1264</v>
      </c>
      <c r="C214" t="str">
        <f>VLOOKUP(B214,'BACKEND FILES'!A:B,2,FALSE)</f>
        <v>BACKEND</v>
      </c>
      <c r="D214" t="e">
        <f>VLOOKUP(B214,'FRONTEND FILES'!A:B,2,FALSE)</f>
        <v>#N/A</v>
      </c>
      <c r="E214" t="e">
        <f>VLOOKUP(B214,'SHARED FILES'!A:B,2,FALSE)</f>
        <v>#N/A</v>
      </c>
      <c r="F214" t="str">
        <f t="shared" si="6"/>
        <v>BACKEND</v>
      </c>
    </row>
    <row r="215" spans="1:6" x14ac:dyDescent="0.55000000000000004">
      <c r="A215">
        <f t="shared" si="7"/>
        <v>215</v>
      </c>
      <c r="B215" t="s">
        <v>1265</v>
      </c>
      <c r="C215" t="str">
        <f>VLOOKUP(B215,'BACKEND FILES'!A:B,2,FALSE)</f>
        <v>BACKEND</v>
      </c>
      <c r="D215" t="e">
        <f>VLOOKUP(B215,'FRONTEND FILES'!A:B,2,FALSE)</f>
        <v>#N/A</v>
      </c>
      <c r="E215" t="e">
        <f>VLOOKUP(B215,'SHARED FILES'!A:B,2,FALSE)</f>
        <v>#N/A</v>
      </c>
      <c r="F215" t="str">
        <f t="shared" si="6"/>
        <v>BACKEND</v>
      </c>
    </row>
    <row r="216" spans="1:6" x14ac:dyDescent="0.55000000000000004">
      <c r="A216">
        <f t="shared" si="7"/>
        <v>216</v>
      </c>
      <c r="B216" t="s">
        <v>1266</v>
      </c>
      <c r="C216" t="str">
        <f>VLOOKUP(B216,'BACKEND FILES'!A:B,2,FALSE)</f>
        <v>BACKEND</v>
      </c>
      <c r="D216" t="e">
        <f>VLOOKUP(B216,'FRONTEND FILES'!A:B,2,FALSE)</f>
        <v>#N/A</v>
      </c>
      <c r="E216" t="e">
        <f>VLOOKUP(B216,'SHARED FILES'!A:B,2,FALSE)</f>
        <v>#N/A</v>
      </c>
      <c r="F216" t="str">
        <f t="shared" si="6"/>
        <v>BACKEND</v>
      </c>
    </row>
    <row r="217" spans="1:6" x14ac:dyDescent="0.55000000000000004">
      <c r="A217">
        <f t="shared" si="7"/>
        <v>217</v>
      </c>
      <c r="B217" t="s">
        <v>1267</v>
      </c>
      <c r="C217" t="str">
        <f>VLOOKUP(B217,'BACKEND FILES'!A:B,2,FALSE)</f>
        <v>BACKEND</v>
      </c>
      <c r="D217" t="e">
        <f>VLOOKUP(B217,'FRONTEND FILES'!A:B,2,FALSE)</f>
        <v>#N/A</v>
      </c>
      <c r="E217" t="e">
        <f>VLOOKUP(B217,'SHARED FILES'!A:B,2,FALSE)</f>
        <v>#N/A</v>
      </c>
      <c r="F217" t="str">
        <f t="shared" si="6"/>
        <v>BACKEND</v>
      </c>
    </row>
    <row r="218" spans="1:6" x14ac:dyDescent="0.55000000000000004">
      <c r="A218">
        <f t="shared" si="7"/>
        <v>218</v>
      </c>
      <c r="B218" t="s">
        <v>1268</v>
      </c>
      <c r="C218" t="str">
        <f>VLOOKUP(B218,'BACKEND FILES'!A:B,2,FALSE)</f>
        <v>BACKEND</v>
      </c>
      <c r="D218" t="e">
        <f>VLOOKUP(B218,'FRONTEND FILES'!A:B,2,FALSE)</f>
        <v>#N/A</v>
      </c>
      <c r="E218" t="e">
        <f>VLOOKUP(B218,'SHARED FILES'!A:B,2,FALSE)</f>
        <v>#N/A</v>
      </c>
      <c r="F218" t="str">
        <f t="shared" si="6"/>
        <v>BACKEND</v>
      </c>
    </row>
    <row r="219" spans="1:6" x14ac:dyDescent="0.55000000000000004">
      <c r="A219">
        <f t="shared" si="7"/>
        <v>219</v>
      </c>
      <c r="B219" t="s">
        <v>1269</v>
      </c>
      <c r="C219" t="str">
        <f>VLOOKUP(B219,'BACKEND FILES'!A:B,2,FALSE)</f>
        <v>BACKEND</v>
      </c>
      <c r="D219" t="e">
        <f>VLOOKUP(B219,'FRONTEND FILES'!A:B,2,FALSE)</f>
        <v>#N/A</v>
      </c>
      <c r="E219" t="e">
        <f>VLOOKUP(B219,'SHARED FILES'!A:B,2,FALSE)</f>
        <v>#N/A</v>
      </c>
      <c r="F219" t="str">
        <f t="shared" si="6"/>
        <v>BACKEND</v>
      </c>
    </row>
    <row r="220" spans="1:6" x14ac:dyDescent="0.55000000000000004">
      <c r="A220">
        <f t="shared" si="7"/>
        <v>220</v>
      </c>
      <c r="B220" t="s">
        <v>1270</v>
      </c>
      <c r="C220" t="str">
        <f>VLOOKUP(B220,'BACKEND FILES'!A:B,2,FALSE)</f>
        <v>BACKEND</v>
      </c>
      <c r="D220" t="e">
        <f>VLOOKUP(B220,'FRONTEND FILES'!A:B,2,FALSE)</f>
        <v>#N/A</v>
      </c>
      <c r="E220" t="e">
        <f>VLOOKUP(B220,'SHARED FILES'!A:B,2,FALSE)</f>
        <v>#N/A</v>
      </c>
      <c r="F220" t="str">
        <f t="shared" si="6"/>
        <v>BACKEND</v>
      </c>
    </row>
    <row r="221" spans="1:6" x14ac:dyDescent="0.55000000000000004">
      <c r="A221">
        <f t="shared" si="7"/>
        <v>221</v>
      </c>
      <c r="B221" t="s">
        <v>1273</v>
      </c>
      <c r="C221" t="str">
        <f>VLOOKUP(B221,'BACKEND FILES'!A:B,2,FALSE)</f>
        <v>BACKEND</v>
      </c>
      <c r="D221" t="e">
        <f>VLOOKUP(B221,'FRONTEND FILES'!A:B,2,FALSE)</f>
        <v>#N/A</v>
      </c>
      <c r="E221" t="e">
        <f>VLOOKUP(B221,'SHARED FILES'!A:B,2,FALSE)</f>
        <v>#N/A</v>
      </c>
      <c r="F221" t="str">
        <f t="shared" si="6"/>
        <v>BACKEND</v>
      </c>
    </row>
    <row r="222" spans="1:6" x14ac:dyDescent="0.55000000000000004">
      <c r="A222">
        <f t="shared" si="7"/>
        <v>222</v>
      </c>
      <c r="B222" t="s">
        <v>1274</v>
      </c>
      <c r="C222" t="str">
        <f>VLOOKUP(B222,'BACKEND FILES'!A:B,2,FALSE)</f>
        <v>BACKEND</v>
      </c>
      <c r="D222" t="e">
        <f>VLOOKUP(B222,'FRONTEND FILES'!A:B,2,FALSE)</f>
        <v>#N/A</v>
      </c>
      <c r="E222" t="e">
        <f>VLOOKUP(B222,'SHARED FILES'!A:B,2,FALSE)</f>
        <v>#N/A</v>
      </c>
      <c r="F222" t="str">
        <f t="shared" si="6"/>
        <v>BACKEND</v>
      </c>
    </row>
    <row r="223" spans="1:6" x14ac:dyDescent="0.55000000000000004">
      <c r="A223">
        <f t="shared" si="7"/>
        <v>223</v>
      </c>
      <c r="B223" t="s">
        <v>1275</v>
      </c>
      <c r="C223" t="str">
        <f>VLOOKUP(B223,'BACKEND FILES'!A:B,2,FALSE)</f>
        <v>BACKEND</v>
      </c>
      <c r="D223" t="e">
        <f>VLOOKUP(B223,'FRONTEND FILES'!A:B,2,FALSE)</f>
        <v>#N/A</v>
      </c>
      <c r="E223" t="e">
        <f>VLOOKUP(B223,'SHARED FILES'!A:B,2,FALSE)</f>
        <v>#N/A</v>
      </c>
      <c r="F223" t="str">
        <f t="shared" si="6"/>
        <v>BACKEND</v>
      </c>
    </row>
    <row r="224" spans="1:6" x14ac:dyDescent="0.55000000000000004">
      <c r="A224">
        <f t="shared" si="7"/>
        <v>224</v>
      </c>
      <c r="B224" t="s">
        <v>1276</v>
      </c>
      <c r="C224" t="str">
        <f>VLOOKUP(B224,'BACKEND FILES'!A:B,2,FALSE)</f>
        <v>BACKEND</v>
      </c>
      <c r="D224" t="e">
        <f>VLOOKUP(B224,'FRONTEND FILES'!A:B,2,FALSE)</f>
        <v>#N/A</v>
      </c>
      <c r="E224" t="e">
        <f>VLOOKUP(B224,'SHARED FILES'!A:B,2,FALSE)</f>
        <v>#N/A</v>
      </c>
      <c r="F224" t="str">
        <f t="shared" si="6"/>
        <v>BACKEND</v>
      </c>
    </row>
    <row r="225" spans="1:6" x14ac:dyDescent="0.55000000000000004">
      <c r="A225">
        <f t="shared" si="7"/>
        <v>225</v>
      </c>
      <c r="B225" t="s">
        <v>1277</v>
      </c>
      <c r="C225" t="str">
        <f>VLOOKUP(B225,'BACKEND FILES'!A:B,2,FALSE)</f>
        <v>BACKEND</v>
      </c>
      <c r="D225" t="e">
        <f>VLOOKUP(B225,'FRONTEND FILES'!A:B,2,FALSE)</f>
        <v>#N/A</v>
      </c>
      <c r="E225" t="e">
        <f>VLOOKUP(B225,'SHARED FILES'!A:B,2,FALSE)</f>
        <v>#N/A</v>
      </c>
      <c r="F225" t="str">
        <f t="shared" si="6"/>
        <v>BACKEND</v>
      </c>
    </row>
    <row r="226" spans="1:6" x14ac:dyDescent="0.55000000000000004">
      <c r="A226">
        <f t="shared" si="7"/>
        <v>226</v>
      </c>
      <c r="B226" t="s">
        <v>1278</v>
      </c>
      <c r="C226" t="str">
        <f>VLOOKUP(B226,'BACKEND FILES'!A:B,2,FALSE)</f>
        <v>BACKEND</v>
      </c>
      <c r="D226" t="e">
        <f>VLOOKUP(B226,'FRONTEND FILES'!A:B,2,FALSE)</f>
        <v>#N/A</v>
      </c>
      <c r="E226" t="e">
        <f>VLOOKUP(B226,'SHARED FILES'!A:B,2,FALSE)</f>
        <v>#N/A</v>
      </c>
      <c r="F226" t="str">
        <f t="shared" si="6"/>
        <v>BACKEND</v>
      </c>
    </row>
    <row r="227" spans="1:6" x14ac:dyDescent="0.55000000000000004">
      <c r="A227">
        <f t="shared" si="7"/>
        <v>227</v>
      </c>
      <c r="B227" t="s">
        <v>1279</v>
      </c>
      <c r="C227" t="str">
        <f>VLOOKUP(B227,'BACKEND FILES'!A:B,2,FALSE)</f>
        <v>BACKEND</v>
      </c>
      <c r="D227" t="e">
        <f>VLOOKUP(B227,'FRONTEND FILES'!A:B,2,FALSE)</f>
        <v>#N/A</v>
      </c>
      <c r="E227" t="e">
        <f>VLOOKUP(B227,'SHARED FILES'!A:B,2,FALSE)</f>
        <v>#N/A</v>
      </c>
      <c r="F227" t="str">
        <f t="shared" si="6"/>
        <v>BACKEND</v>
      </c>
    </row>
    <row r="228" spans="1:6" x14ac:dyDescent="0.55000000000000004">
      <c r="A228">
        <f t="shared" si="7"/>
        <v>228</v>
      </c>
      <c r="B228" t="s">
        <v>1280</v>
      </c>
      <c r="C228" t="str">
        <f>VLOOKUP(B228,'BACKEND FILES'!A:B,2,FALSE)</f>
        <v>BACKEND</v>
      </c>
      <c r="D228" t="e">
        <f>VLOOKUP(B228,'FRONTEND FILES'!A:B,2,FALSE)</f>
        <v>#N/A</v>
      </c>
      <c r="E228" t="e">
        <f>VLOOKUP(B228,'SHARED FILES'!A:B,2,FALSE)</f>
        <v>#N/A</v>
      </c>
      <c r="F228" t="str">
        <f t="shared" si="6"/>
        <v>BACKEND</v>
      </c>
    </row>
    <row r="229" spans="1:6" x14ac:dyDescent="0.55000000000000004">
      <c r="A229">
        <f t="shared" si="7"/>
        <v>229</v>
      </c>
      <c r="B229" t="s">
        <v>1281</v>
      </c>
      <c r="C229" t="str">
        <f>VLOOKUP(B229,'BACKEND FILES'!A:B,2,FALSE)</f>
        <v>BACKEND</v>
      </c>
      <c r="D229" t="e">
        <f>VLOOKUP(B229,'FRONTEND FILES'!A:B,2,FALSE)</f>
        <v>#N/A</v>
      </c>
      <c r="E229" t="e">
        <f>VLOOKUP(B229,'SHARED FILES'!A:B,2,FALSE)</f>
        <v>#N/A</v>
      </c>
      <c r="F229" t="str">
        <f t="shared" si="6"/>
        <v>BACKEND</v>
      </c>
    </row>
    <row r="230" spans="1:6" x14ac:dyDescent="0.55000000000000004">
      <c r="A230">
        <f t="shared" si="7"/>
        <v>230</v>
      </c>
      <c r="B230" t="s">
        <v>1282</v>
      </c>
      <c r="C230" t="str">
        <f>VLOOKUP(B230,'BACKEND FILES'!A:B,2,FALSE)</f>
        <v>BACKEND</v>
      </c>
      <c r="D230" t="e">
        <f>VLOOKUP(B230,'FRONTEND FILES'!A:B,2,FALSE)</f>
        <v>#N/A</v>
      </c>
      <c r="E230" t="e">
        <f>VLOOKUP(B230,'SHARED FILES'!A:B,2,FALSE)</f>
        <v>#N/A</v>
      </c>
      <c r="F230" t="str">
        <f t="shared" si="6"/>
        <v>BACKEND</v>
      </c>
    </row>
    <row r="231" spans="1:6" x14ac:dyDescent="0.55000000000000004">
      <c r="A231">
        <f t="shared" si="7"/>
        <v>231</v>
      </c>
      <c r="B231" t="s">
        <v>1283</v>
      </c>
      <c r="C231" t="str">
        <f>VLOOKUP(B231,'BACKEND FILES'!A:B,2,FALSE)</f>
        <v>BACKEND</v>
      </c>
      <c r="D231" t="e">
        <f>VLOOKUP(B231,'FRONTEND FILES'!A:B,2,FALSE)</f>
        <v>#N/A</v>
      </c>
      <c r="E231" t="e">
        <f>VLOOKUP(B231,'SHARED FILES'!A:B,2,FALSE)</f>
        <v>#N/A</v>
      </c>
      <c r="F231" t="str">
        <f t="shared" si="6"/>
        <v>BACKEND</v>
      </c>
    </row>
    <row r="232" spans="1:6" x14ac:dyDescent="0.55000000000000004">
      <c r="A232">
        <f t="shared" si="7"/>
        <v>232</v>
      </c>
      <c r="B232" t="s">
        <v>1284</v>
      </c>
      <c r="C232" t="str">
        <f>VLOOKUP(B232,'BACKEND FILES'!A:B,2,FALSE)</f>
        <v>BACKEND</v>
      </c>
      <c r="D232" t="e">
        <f>VLOOKUP(B232,'FRONTEND FILES'!A:B,2,FALSE)</f>
        <v>#N/A</v>
      </c>
      <c r="E232" t="e">
        <f>VLOOKUP(B232,'SHARED FILES'!A:B,2,FALSE)</f>
        <v>#N/A</v>
      </c>
      <c r="F232" t="str">
        <f t="shared" si="6"/>
        <v>BACKEND</v>
      </c>
    </row>
    <row r="233" spans="1:6" x14ac:dyDescent="0.55000000000000004">
      <c r="A233">
        <f t="shared" si="7"/>
        <v>233</v>
      </c>
      <c r="B233" t="s">
        <v>1285</v>
      </c>
      <c r="C233" t="str">
        <f>VLOOKUP(B233,'BACKEND FILES'!A:B,2,FALSE)</f>
        <v>BACKEND</v>
      </c>
      <c r="D233" t="e">
        <f>VLOOKUP(B233,'FRONTEND FILES'!A:B,2,FALSE)</f>
        <v>#N/A</v>
      </c>
      <c r="E233" t="e">
        <f>VLOOKUP(B233,'SHARED FILES'!A:B,2,FALSE)</f>
        <v>#N/A</v>
      </c>
      <c r="F233" t="str">
        <f t="shared" si="6"/>
        <v>BACKEND</v>
      </c>
    </row>
    <row r="234" spans="1:6" x14ac:dyDescent="0.55000000000000004">
      <c r="A234">
        <f t="shared" si="7"/>
        <v>234</v>
      </c>
      <c r="B234" t="s">
        <v>1286</v>
      </c>
      <c r="C234" t="str">
        <f>VLOOKUP(B234,'BACKEND FILES'!A:B,2,FALSE)</f>
        <v>BACKEND</v>
      </c>
      <c r="D234" t="e">
        <f>VLOOKUP(B234,'FRONTEND FILES'!A:B,2,FALSE)</f>
        <v>#N/A</v>
      </c>
      <c r="E234" t="e">
        <f>VLOOKUP(B234,'SHARED FILES'!A:B,2,FALSE)</f>
        <v>#N/A</v>
      </c>
      <c r="F234" t="str">
        <f t="shared" si="6"/>
        <v>BACKEND</v>
      </c>
    </row>
    <row r="235" spans="1:6" x14ac:dyDescent="0.55000000000000004">
      <c r="A235">
        <f t="shared" si="7"/>
        <v>235</v>
      </c>
      <c r="B235" t="s">
        <v>1287</v>
      </c>
      <c r="C235" t="str">
        <f>VLOOKUP(B235,'BACKEND FILES'!A:B,2,FALSE)</f>
        <v>BACKEND</v>
      </c>
      <c r="D235" t="e">
        <f>VLOOKUP(B235,'FRONTEND FILES'!A:B,2,FALSE)</f>
        <v>#N/A</v>
      </c>
      <c r="E235" t="e">
        <f>VLOOKUP(B235,'SHARED FILES'!A:B,2,FALSE)</f>
        <v>#N/A</v>
      </c>
      <c r="F235" t="str">
        <f t="shared" si="6"/>
        <v>BACKEND</v>
      </c>
    </row>
    <row r="236" spans="1:6" x14ac:dyDescent="0.55000000000000004">
      <c r="A236">
        <f t="shared" si="7"/>
        <v>236</v>
      </c>
      <c r="B236" t="s">
        <v>1288</v>
      </c>
      <c r="C236" t="str">
        <f>VLOOKUP(B236,'BACKEND FILES'!A:B,2,FALSE)</f>
        <v>BACKEND</v>
      </c>
      <c r="D236" t="e">
        <f>VLOOKUP(B236,'FRONTEND FILES'!A:B,2,FALSE)</f>
        <v>#N/A</v>
      </c>
      <c r="E236" t="e">
        <f>VLOOKUP(B236,'SHARED FILES'!A:B,2,FALSE)</f>
        <v>#N/A</v>
      </c>
      <c r="F236" t="str">
        <f t="shared" si="6"/>
        <v>BACKEND</v>
      </c>
    </row>
    <row r="237" spans="1:6" x14ac:dyDescent="0.55000000000000004">
      <c r="A237">
        <f t="shared" si="7"/>
        <v>237</v>
      </c>
      <c r="B237" t="s">
        <v>1289</v>
      </c>
      <c r="C237" t="str">
        <f>VLOOKUP(B237,'BACKEND FILES'!A:B,2,FALSE)</f>
        <v>BACKEND</v>
      </c>
      <c r="D237" t="e">
        <f>VLOOKUP(B237,'FRONTEND FILES'!A:B,2,FALSE)</f>
        <v>#N/A</v>
      </c>
      <c r="E237" t="e">
        <f>VLOOKUP(B237,'SHARED FILES'!A:B,2,FALSE)</f>
        <v>#N/A</v>
      </c>
      <c r="F237" t="str">
        <f t="shared" si="6"/>
        <v>BACKEND</v>
      </c>
    </row>
    <row r="238" spans="1:6" x14ac:dyDescent="0.55000000000000004">
      <c r="A238">
        <f t="shared" si="7"/>
        <v>238</v>
      </c>
      <c r="B238" t="s">
        <v>1290</v>
      </c>
      <c r="C238" t="str">
        <f>VLOOKUP(B238,'BACKEND FILES'!A:B,2,FALSE)</f>
        <v>BACKEND</v>
      </c>
      <c r="D238" t="e">
        <f>VLOOKUP(B238,'FRONTEND FILES'!A:B,2,FALSE)</f>
        <v>#N/A</v>
      </c>
      <c r="E238" t="e">
        <f>VLOOKUP(B238,'SHARED FILES'!A:B,2,FALSE)</f>
        <v>#N/A</v>
      </c>
      <c r="F238" t="str">
        <f t="shared" si="6"/>
        <v>BACKEND</v>
      </c>
    </row>
    <row r="239" spans="1:6" x14ac:dyDescent="0.55000000000000004">
      <c r="A239">
        <f t="shared" si="7"/>
        <v>239</v>
      </c>
      <c r="B239" t="s">
        <v>1291</v>
      </c>
      <c r="C239" t="str">
        <f>VLOOKUP(B239,'BACKEND FILES'!A:B,2,FALSE)</f>
        <v>BACKEND</v>
      </c>
      <c r="D239" t="e">
        <f>VLOOKUP(B239,'FRONTEND FILES'!A:B,2,FALSE)</f>
        <v>#N/A</v>
      </c>
      <c r="E239" t="e">
        <f>VLOOKUP(B239,'SHARED FILES'!A:B,2,FALSE)</f>
        <v>#N/A</v>
      </c>
      <c r="F239" t="str">
        <f t="shared" si="6"/>
        <v>BACKEND</v>
      </c>
    </row>
    <row r="240" spans="1:6" x14ac:dyDescent="0.55000000000000004">
      <c r="A240">
        <f t="shared" si="7"/>
        <v>240</v>
      </c>
      <c r="B240" t="s">
        <v>1292</v>
      </c>
      <c r="C240" t="str">
        <f>VLOOKUP(B240,'BACKEND FILES'!A:B,2,FALSE)</f>
        <v>BACKEND</v>
      </c>
      <c r="D240" t="e">
        <f>VLOOKUP(B240,'FRONTEND FILES'!A:B,2,FALSE)</f>
        <v>#N/A</v>
      </c>
      <c r="E240" t="e">
        <f>VLOOKUP(B240,'SHARED FILES'!A:B,2,FALSE)</f>
        <v>#N/A</v>
      </c>
      <c r="F240" t="str">
        <f t="shared" si="6"/>
        <v>BACKEND</v>
      </c>
    </row>
    <row r="241" spans="1:6" x14ac:dyDescent="0.55000000000000004">
      <c r="A241">
        <f t="shared" si="7"/>
        <v>241</v>
      </c>
      <c r="B241" t="s">
        <v>1293</v>
      </c>
      <c r="C241" t="str">
        <f>VLOOKUP(B241,'BACKEND FILES'!A:B,2,FALSE)</f>
        <v>BACKEND</v>
      </c>
      <c r="D241" t="e">
        <f>VLOOKUP(B241,'FRONTEND FILES'!A:B,2,FALSE)</f>
        <v>#N/A</v>
      </c>
      <c r="E241" t="e">
        <f>VLOOKUP(B241,'SHARED FILES'!A:B,2,FALSE)</f>
        <v>#N/A</v>
      </c>
      <c r="F241" t="str">
        <f t="shared" si="6"/>
        <v>BACKEND</v>
      </c>
    </row>
    <row r="242" spans="1:6" x14ac:dyDescent="0.55000000000000004">
      <c r="A242">
        <f t="shared" si="7"/>
        <v>242</v>
      </c>
      <c r="B242" t="s">
        <v>1294</v>
      </c>
      <c r="C242" t="str">
        <f>VLOOKUP(B242,'BACKEND FILES'!A:B,2,FALSE)</f>
        <v>BACKEND</v>
      </c>
      <c r="D242" t="e">
        <f>VLOOKUP(B242,'FRONTEND FILES'!A:B,2,FALSE)</f>
        <v>#N/A</v>
      </c>
      <c r="E242" t="e">
        <f>VLOOKUP(B242,'SHARED FILES'!A:B,2,FALSE)</f>
        <v>#N/A</v>
      </c>
      <c r="F242" t="str">
        <f t="shared" si="6"/>
        <v>BACKEND</v>
      </c>
    </row>
    <row r="243" spans="1:6" x14ac:dyDescent="0.55000000000000004">
      <c r="A243">
        <f t="shared" si="7"/>
        <v>243</v>
      </c>
      <c r="B243" t="s">
        <v>1295</v>
      </c>
      <c r="C243" t="str">
        <f>VLOOKUP(B243,'BACKEND FILES'!A:B,2,FALSE)</f>
        <v>BACKEND</v>
      </c>
      <c r="D243" t="e">
        <f>VLOOKUP(B243,'FRONTEND FILES'!A:B,2,FALSE)</f>
        <v>#N/A</v>
      </c>
      <c r="E243" t="e">
        <f>VLOOKUP(B243,'SHARED FILES'!A:B,2,FALSE)</f>
        <v>#N/A</v>
      </c>
      <c r="F243" t="str">
        <f t="shared" si="6"/>
        <v>BACKEND</v>
      </c>
    </row>
    <row r="244" spans="1:6" x14ac:dyDescent="0.55000000000000004">
      <c r="A244">
        <f t="shared" si="7"/>
        <v>244</v>
      </c>
      <c r="B244" t="s">
        <v>1296</v>
      </c>
      <c r="C244" t="str">
        <f>VLOOKUP(B244,'BACKEND FILES'!A:B,2,FALSE)</f>
        <v>BACKEND</v>
      </c>
      <c r="D244" t="e">
        <f>VLOOKUP(B244,'FRONTEND FILES'!A:B,2,FALSE)</f>
        <v>#N/A</v>
      </c>
      <c r="E244" t="e">
        <f>VLOOKUP(B244,'SHARED FILES'!A:B,2,FALSE)</f>
        <v>#N/A</v>
      </c>
      <c r="F244" t="str">
        <f t="shared" si="6"/>
        <v>BACKEND</v>
      </c>
    </row>
    <row r="245" spans="1:6" x14ac:dyDescent="0.55000000000000004">
      <c r="A245">
        <f t="shared" si="7"/>
        <v>245</v>
      </c>
      <c r="B245" t="s">
        <v>1271</v>
      </c>
      <c r="C245" t="str">
        <f>VLOOKUP(B245,'BACKEND FILES'!A:B,2,FALSE)</f>
        <v>BACKEND</v>
      </c>
      <c r="D245" t="e">
        <f>VLOOKUP(B245,'FRONTEND FILES'!A:B,2,FALSE)</f>
        <v>#N/A</v>
      </c>
      <c r="E245" t="e">
        <f>VLOOKUP(B245,'SHARED FILES'!A:B,2,FALSE)</f>
        <v>#N/A</v>
      </c>
      <c r="F245" t="str">
        <f t="shared" si="6"/>
        <v>BACKEND</v>
      </c>
    </row>
    <row r="246" spans="1:6" x14ac:dyDescent="0.55000000000000004">
      <c r="A246">
        <f t="shared" si="7"/>
        <v>246</v>
      </c>
      <c r="B246" t="s">
        <v>1297</v>
      </c>
      <c r="C246" t="str">
        <f>VLOOKUP(B246,'BACKEND FILES'!A:B,2,FALSE)</f>
        <v>BACKEND</v>
      </c>
      <c r="D246" t="e">
        <f>VLOOKUP(B246,'FRONTEND FILES'!A:B,2,FALSE)</f>
        <v>#N/A</v>
      </c>
      <c r="E246" t="e">
        <f>VLOOKUP(B246,'SHARED FILES'!A:B,2,FALSE)</f>
        <v>#N/A</v>
      </c>
      <c r="F246" t="str">
        <f t="shared" si="6"/>
        <v>BACKEND</v>
      </c>
    </row>
    <row r="247" spans="1:6" x14ac:dyDescent="0.55000000000000004">
      <c r="A247">
        <f t="shared" si="7"/>
        <v>247</v>
      </c>
      <c r="B247" t="s">
        <v>1298</v>
      </c>
      <c r="C247" t="str">
        <f>VLOOKUP(B247,'BACKEND FILES'!A:B,2,FALSE)</f>
        <v>BACKEND</v>
      </c>
      <c r="D247" t="e">
        <f>VLOOKUP(B247,'FRONTEND FILES'!A:B,2,FALSE)</f>
        <v>#N/A</v>
      </c>
      <c r="E247" t="e">
        <f>VLOOKUP(B247,'SHARED FILES'!A:B,2,FALSE)</f>
        <v>#N/A</v>
      </c>
      <c r="F247" t="str">
        <f t="shared" si="6"/>
        <v>BACKEND</v>
      </c>
    </row>
    <row r="248" spans="1:6" x14ac:dyDescent="0.55000000000000004">
      <c r="A248">
        <f t="shared" si="7"/>
        <v>248</v>
      </c>
      <c r="B248" t="s">
        <v>1299</v>
      </c>
      <c r="C248" t="str">
        <f>VLOOKUP(B248,'BACKEND FILES'!A:B,2,FALSE)</f>
        <v>BACKEND</v>
      </c>
      <c r="D248" t="e">
        <f>VLOOKUP(B248,'FRONTEND FILES'!A:B,2,FALSE)</f>
        <v>#N/A</v>
      </c>
      <c r="E248" t="e">
        <f>VLOOKUP(B248,'SHARED FILES'!A:B,2,FALSE)</f>
        <v>#N/A</v>
      </c>
      <c r="F248" t="str">
        <f t="shared" si="6"/>
        <v>BACKEND</v>
      </c>
    </row>
    <row r="249" spans="1:6" x14ac:dyDescent="0.55000000000000004">
      <c r="A249">
        <f t="shared" si="7"/>
        <v>249</v>
      </c>
      <c r="B249" t="s">
        <v>1300</v>
      </c>
      <c r="C249" t="str">
        <f>VLOOKUP(B249,'BACKEND FILES'!A:B,2,FALSE)</f>
        <v>BACKEND</v>
      </c>
      <c r="D249" t="e">
        <f>VLOOKUP(B249,'FRONTEND FILES'!A:B,2,FALSE)</f>
        <v>#N/A</v>
      </c>
      <c r="E249" t="e">
        <f>VLOOKUP(B249,'SHARED FILES'!A:B,2,FALSE)</f>
        <v>#N/A</v>
      </c>
      <c r="F249" t="str">
        <f t="shared" si="6"/>
        <v>BACKEND</v>
      </c>
    </row>
    <row r="250" spans="1:6" x14ac:dyDescent="0.55000000000000004">
      <c r="A250">
        <f t="shared" si="7"/>
        <v>250</v>
      </c>
      <c r="B250" t="s">
        <v>1301</v>
      </c>
      <c r="C250" t="str">
        <f>VLOOKUP(B250,'BACKEND FILES'!A:B,2,FALSE)</f>
        <v>BACKEND</v>
      </c>
      <c r="D250" t="e">
        <f>VLOOKUP(B250,'FRONTEND FILES'!A:B,2,FALSE)</f>
        <v>#N/A</v>
      </c>
      <c r="E250" t="e">
        <f>VLOOKUP(B250,'SHARED FILES'!A:B,2,FALSE)</f>
        <v>#N/A</v>
      </c>
      <c r="F250" t="str">
        <f t="shared" si="6"/>
        <v>BACKEND</v>
      </c>
    </row>
    <row r="251" spans="1:6" x14ac:dyDescent="0.55000000000000004">
      <c r="A251">
        <f t="shared" si="7"/>
        <v>251</v>
      </c>
      <c r="B251" t="s">
        <v>1302</v>
      </c>
      <c r="C251" t="str">
        <f>VLOOKUP(B251,'BACKEND FILES'!A:B,2,FALSE)</f>
        <v>BACKEND</v>
      </c>
      <c r="D251" t="e">
        <f>VLOOKUP(B251,'FRONTEND FILES'!A:B,2,FALSE)</f>
        <v>#N/A</v>
      </c>
      <c r="E251" t="e">
        <f>VLOOKUP(B251,'SHARED FILES'!A:B,2,FALSE)</f>
        <v>#N/A</v>
      </c>
      <c r="F251" t="str">
        <f t="shared" si="6"/>
        <v>BACKEND</v>
      </c>
    </row>
    <row r="252" spans="1:6" x14ac:dyDescent="0.55000000000000004">
      <c r="A252">
        <f t="shared" si="7"/>
        <v>252</v>
      </c>
      <c r="B252" t="s">
        <v>1303</v>
      </c>
      <c r="C252" t="str">
        <f>VLOOKUP(B252,'BACKEND FILES'!A:B,2,FALSE)</f>
        <v>BACKEND</v>
      </c>
      <c r="D252" t="e">
        <f>VLOOKUP(B252,'FRONTEND FILES'!A:B,2,FALSE)</f>
        <v>#N/A</v>
      </c>
      <c r="E252" t="e">
        <f>VLOOKUP(B252,'SHARED FILES'!A:B,2,FALSE)</f>
        <v>#N/A</v>
      </c>
      <c r="F252" t="str">
        <f t="shared" si="6"/>
        <v>BACKEND</v>
      </c>
    </row>
    <row r="253" spans="1:6" x14ac:dyDescent="0.55000000000000004">
      <c r="A253">
        <f t="shared" si="7"/>
        <v>253</v>
      </c>
      <c r="B253" t="s">
        <v>1304</v>
      </c>
      <c r="C253" t="str">
        <f>VLOOKUP(B253,'BACKEND FILES'!A:B,2,FALSE)</f>
        <v>BACKEND</v>
      </c>
      <c r="D253" t="e">
        <f>VLOOKUP(B253,'FRONTEND FILES'!A:B,2,FALSE)</f>
        <v>#N/A</v>
      </c>
      <c r="E253" t="e">
        <f>VLOOKUP(B253,'SHARED FILES'!A:B,2,FALSE)</f>
        <v>#N/A</v>
      </c>
      <c r="F253" t="str">
        <f t="shared" si="6"/>
        <v>BACKEND</v>
      </c>
    </row>
    <row r="254" spans="1:6" x14ac:dyDescent="0.55000000000000004">
      <c r="A254">
        <f t="shared" si="7"/>
        <v>254</v>
      </c>
      <c r="B254" t="s">
        <v>1305</v>
      </c>
      <c r="C254" t="str">
        <f>VLOOKUP(B254,'BACKEND FILES'!A:B,2,FALSE)</f>
        <v>BACKEND</v>
      </c>
      <c r="D254" t="e">
        <f>VLOOKUP(B254,'FRONTEND FILES'!A:B,2,FALSE)</f>
        <v>#N/A</v>
      </c>
      <c r="E254" t="e">
        <f>VLOOKUP(B254,'SHARED FILES'!A:B,2,FALSE)</f>
        <v>#N/A</v>
      </c>
      <c r="F254" t="str">
        <f t="shared" si="6"/>
        <v>BACKEND</v>
      </c>
    </row>
    <row r="255" spans="1:6" x14ac:dyDescent="0.55000000000000004">
      <c r="A255">
        <f t="shared" si="7"/>
        <v>255</v>
      </c>
      <c r="B255" t="s">
        <v>1306</v>
      </c>
      <c r="C255" t="str">
        <f>VLOOKUP(B255,'BACKEND FILES'!A:B,2,FALSE)</f>
        <v>BACKEND</v>
      </c>
      <c r="D255" t="e">
        <f>VLOOKUP(B255,'FRONTEND FILES'!A:B,2,FALSE)</f>
        <v>#N/A</v>
      </c>
      <c r="E255" t="e">
        <f>VLOOKUP(B255,'SHARED FILES'!A:B,2,FALSE)</f>
        <v>#N/A</v>
      </c>
      <c r="F255" t="str">
        <f t="shared" si="6"/>
        <v>BACKEND</v>
      </c>
    </row>
    <row r="256" spans="1:6" x14ac:dyDescent="0.55000000000000004">
      <c r="A256">
        <f t="shared" si="7"/>
        <v>256</v>
      </c>
      <c r="B256" t="s">
        <v>1307</v>
      </c>
      <c r="C256" t="str">
        <f>VLOOKUP(B256,'BACKEND FILES'!A:B,2,FALSE)</f>
        <v>BACKEND</v>
      </c>
      <c r="D256" t="e">
        <f>VLOOKUP(B256,'FRONTEND FILES'!A:B,2,FALSE)</f>
        <v>#N/A</v>
      </c>
      <c r="E256" t="e">
        <f>VLOOKUP(B256,'SHARED FILES'!A:B,2,FALSE)</f>
        <v>#N/A</v>
      </c>
      <c r="F256" t="str">
        <f t="shared" si="6"/>
        <v>BACKEND</v>
      </c>
    </row>
    <row r="257" spans="1:6" x14ac:dyDescent="0.55000000000000004">
      <c r="A257">
        <f t="shared" si="7"/>
        <v>257</v>
      </c>
      <c r="B257" t="s">
        <v>1308</v>
      </c>
      <c r="C257" t="str">
        <f>VLOOKUP(B257,'BACKEND FILES'!A:B,2,FALSE)</f>
        <v>BACKEND</v>
      </c>
      <c r="D257" t="e">
        <f>VLOOKUP(B257,'FRONTEND FILES'!A:B,2,FALSE)</f>
        <v>#N/A</v>
      </c>
      <c r="E257" t="e">
        <f>VLOOKUP(B257,'SHARED FILES'!A:B,2,FALSE)</f>
        <v>#N/A</v>
      </c>
      <c r="F257" t="str">
        <f t="shared" si="6"/>
        <v>BACKEND</v>
      </c>
    </row>
    <row r="258" spans="1:6" x14ac:dyDescent="0.55000000000000004">
      <c r="A258">
        <f t="shared" si="7"/>
        <v>258</v>
      </c>
      <c r="B258" t="s">
        <v>1272</v>
      </c>
      <c r="C258" t="e">
        <f>VLOOKUP(B258,'BACKEND FILES'!A:B,2,FALSE)</f>
        <v>#N/A</v>
      </c>
      <c r="D258" t="e">
        <f>VLOOKUP(B258,'FRONTEND FILES'!A:B,2,FALSE)</f>
        <v>#N/A</v>
      </c>
      <c r="E258" t="e">
        <f>VLOOKUP(B258,'SHARED FILES'!A:B,2,FALSE)</f>
        <v>#N/A</v>
      </c>
      <c r="F258" t="str">
        <f t="shared" ref="F258:F321" si="8">_xlfn.IFNA(C258, _xlfn.IFNA(D258, _xlfn.IFNA(E258, "")))</f>
        <v/>
      </c>
    </row>
    <row r="259" spans="1:6" x14ac:dyDescent="0.55000000000000004">
      <c r="A259">
        <f t="shared" ref="A259:A322" si="9">A258+1</f>
        <v>259</v>
      </c>
      <c r="B259" t="s">
        <v>1309</v>
      </c>
      <c r="C259" t="str">
        <f>VLOOKUP(B259,'BACKEND FILES'!A:B,2,FALSE)</f>
        <v>BACKEND</v>
      </c>
      <c r="D259" t="e">
        <f>VLOOKUP(B259,'FRONTEND FILES'!A:B,2,FALSE)</f>
        <v>#N/A</v>
      </c>
      <c r="E259" t="e">
        <f>VLOOKUP(B259,'SHARED FILES'!A:B,2,FALSE)</f>
        <v>#N/A</v>
      </c>
      <c r="F259" t="str">
        <f t="shared" si="8"/>
        <v>BACKEND</v>
      </c>
    </row>
    <row r="260" spans="1:6" x14ac:dyDescent="0.55000000000000004">
      <c r="A260">
        <f t="shared" si="9"/>
        <v>260</v>
      </c>
      <c r="B260" t="s">
        <v>1310</v>
      </c>
      <c r="C260" t="str">
        <f>VLOOKUP(B260,'BACKEND FILES'!A:B,2,FALSE)</f>
        <v>BACKEND</v>
      </c>
      <c r="D260" t="e">
        <f>VLOOKUP(B260,'FRONTEND FILES'!A:B,2,FALSE)</f>
        <v>#N/A</v>
      </c>
      <c r="E260" t="e">
        <f>VLOOKUP(B260,'SHARED FILES'!A:B,2,FALSE)</f>
        <v>#N/A</v>
      </c>
      <c r="F260" t="str">
        <f t="shared" si="8"/>
        <v>BACKEND</v>
      </c>
    </row>
    <row r="261" spans="1:6" x14ac:dyDescent="0.55000000000000004">
      <c r="A261">
        <f t="shared" si="9"/>
        <v>261</v>
      </c>
      <c r="B261" t="s">
        <v>1311</v>
      </c>
      <c r="C261" t="str">
        <f>VLOOKUP(B261,'BACKEND FILES'!A:B,2,FALSE)</f>
        <v>BACKEND</v>
      </c>
      <c r="D261" t="e">
        <f>VLOOKUP(B261,'FRONTEND FILES'!A:B,2,FALSE)</f>
        <v>#N/A</v>
      </c>
      <c r="E261" t="e">
        <f>VLOOKUP(B261,'SHARED FILES'!A:B,2,FALSE)</f>
        <v>#N/A</v>
      </c>
      <c r="F261" t="str">
        <f t="shared" si="8"/>
        <v>BACKEND</v>
      </c>
    </row>
    <row r="262" spans="1:6" x14ac:dyDescent="0.55000000000000004">
      <c r="A262">
        <f t="shared" si="9"/>
        <v>262</v>
      </c>
      <c r="B262" t="s">
        <v>1312</v>
      </c>
      <c r="C262" t="str">
        <f>VLOOKUP(B262,'BACKEND FILES'!A:B,2,FALSE)</f>
        <v>BACKEND</v>
      </c>
      <c r="D262" t="e">
        <f>VLOOKUP(B262,'FRONTEND FILES'!A:B,2,FALSE)</f>
        <v>#N/A</v>
      </c>
      <c r="E262" t="e">
        <f>VLOOKUP(B262,'SHARED FILES'!A:B,2,FALSE)</f>
        <v>#N/A</v>
      </c>
      <c r="F262" t="str">
        <f t="shared" si="8"/>
        <v>BACKEND</v>
      </c>
    </row>
    <row r="263" spans="1:6" x14ac:dyDescent="0.55000000000000004">
      <c r="A263">
        <f t="shared" si="9"/>
        <v>263</v>
      </c>
      <c r="B263" t="s">
        <v>1313</v>
      </c>
      <c r="C263" t="str">
        <f>VLOOKUP(B263,'BACKEND FILES'!A:B,2,FALSE)</f>
        <v>BACKEND</v>
      </c>
      <c r="D263" t="e">
        <f>VLOOKUP(B263,'FRONTEND FILES'!A:B,2,FALSE)</f>
        <v>#N/A</v>
      </c>
      <c r="E263" t="e">
        <f>VLOOKUP(B263,'SHARED FILES'!A:B,2,FALSE)</f>
        <v>#N/A</v>
      </c>
      <c r="F263" t="str">
        <f t="shared" si="8"/>
        <v>BACKEND</v>
      </c>
    </row>
    <row r="264" spans="1:6" x14ac:dyDescent="0.55000000000000004">
      <c r="A264">
        <f t="shared" si="9"/>
        <v>264</v>
      </c>
      <c r="B264" t="s">
        <v>1314</v>
      </c>
      <c r="C264" t="str">
        <f>VLOOKUP(B264,'BACKEND FILES'!A:B,2,FALSE)</f>
        <v>BACKEND</v>
      </c>
      <c r="D264" t="e">
        <f>VLOOKUP(B264,'FRONTEND FILES'!A:B,2,FALSE)</f>
        <v>#N/A</v>
      </c>
      <c r="E264" t="e">
        <f>VLOOKUP(B264,'SHARED FILES'!A:B,2,FALSE)</f>
        <v>#N/A</v>
      </c>
      <c r="F264" t="str">
        <f t="shared" si="8"/>
        <v>BACKEND</v>
      </c>
    </row>
    <row r="265" spans="1:6" x14ac:dyDescent="0.55000000000000004">
      <c r="A265">
        <f t="shared" si="9"/>
        <v>265</v>
      </c>
      <c r="B265" t="s">
        <v>1315</v>
      </c>
      <c r="C265" t="str">
        <f>VLOOKUP(B265,'BACKEND FILES'!A:B,2,FALSE)</f>
        <v>BACKEND</v>
      </c>
      <c r="D265" t="e">
        <f>VLOOKUP(B265,'FRONTEND FILES'!A:B,2,FALSE)</f>
        <v>#N/A</v>
      </c>
      <c r="E265" t="e">
        <f>VLOOKUP(B265,'SHARED FILES'!A:B,2,FALSE)</f>
        <v>#N/A</v>
      </c>
      <c r="F265" t="str">
        <f t="shared" si="8"/>
        <v>BACKEND</v>
      </c>
    </row>
    <row r="266" spans="1:6" x14ac:dyDescent="0.55000000000000004">
      <c r="A266">
        <f t="shared" si="9"/>
        <v>266</v>
      </c>
      <c r="B266" t="s">
        <v>1316</v>
      </c>
      <c r="C266" t="str">
        <f>VLOOKUP(B266,'BACKEND FILES'!A:B,2,FALSE)</f>
        <v>BACKEND</v>
      </c>
      <c r="D266" t="e">
        <f>VLOOKUP(B266,'FRONTEND FILES'!A:B,2,FALSE)</f>
        <v>#N/A</v>
      </c>
      <c r="E266" t="e">
        <f>VLOOKUP(B266,'SHARED FILES'!A:B,2,FALSE)</f>
        <v>#N/A</v>
      </c>
      <c r="F266" t="str">
        <f t="shared" si="8"/>
        <v>BACKEND</v>
      </c>
    </row>
    <row r="267" spans="1:6" x14ac:dyDescent="0.55000000000000004">
      <c r="A267">
        <f t="shared" si="9"/>
        <v>267</v>
      </c>
      <c r="B267" t="s">
        <v>1317</v>
      </c>
      <c r="C267" t="str">
        <f>VLOOKUP(B267,'BACKEND FILES'!A:B,2,FALSE)</f>
        <v>BACKEND</v>
      </c>
      <c r="D267" t="e">
        <f>VLOOKUP(B267,'FRONTEND FILES'!A:B,2,FALSE)</f>
        <v>#N/A</v>
      </c>
      <c r="E267" t="e">
        <f>VLOOKUP(B267,'SHARED FILES'!A:B,2,FALSE)</f>
        <v>#N/A</v>
      </c>
      <c r="F267" t="str">
        <f t="shared" si="8"/>
        <v>BACKEND</v>
      </c>
    </row>
    <row r="268" spans="1:6" x14ac:dyDescent="0.55000000000000004">
      <c r="A268">
        <f t="shared" si="9"/>
        <v>268</v>
      </c>
      <c r="B268" t="s">
        <v>1318</v>
      </c>
      <c r="C268" t="str">
        <f>VLOOKUP(B268,'BACKEND FILES'!A:B,2,FALSE)</f>
        <v>BACKEND</v>
      </c>
      <c r="D268" t="e">
        <f>VLOOKUP(B268,'FRONTEND FILES'!A:B,2,FALSE)</f>
        <v>#N/A</v>
      </c>
      <c r="E268" t="e">
        <f>VLOOKUP(B268,'SHARED FILES'!A:B,2,FALSE)</f>
        <v>#N/A</v>
      </c>
      <c r="F268" t="str">
        <f t="shared" si="8"/>
        <v>BACKEND</v>
      </c>
    </row>
    <row r="269" spans="1:6" x14ac:dyDescent="0.55000000000000004">
      <c r="A269">
        <f t="shared" si="9"/>
        <v>269</v>
      </c>
      <c r="B269" t="s">
        <v>1319</v>
      </c>
      <c r="C269" t="str">
        <f>VLOOKUP(B269,'BACKEND FILES'!A:B,2,FALSE)</f>
        <v>BACKEND</v>
      </c>
      <c r="D269" t="e">
        <f>VLOOKUP(B269,'FRONTEND FILES'!A:B,2,FALSE)</f>
        <v>#N/A</v>
      </c>
      <c r="E269" t="e">
        <f>VLOOKUP(B269,'SHARED FILES'!A:B,2,FALSE)</f>
        <v>#N/A</v>
      </c>
      <c r="F269" t="str">
        <f t="shared" si="8"/>
        <v>BACKEND</v>
      </c>
    </row>
    <row r="270" spans="1:6" x14ac:dyDescent="0.55000000000000004">
      <c r="A270">
        <f t="shared" si="9"/>
        <v>270</v>
      </c>
      <c r="B270" t="s">
        <v>1320</v>
      </c>
      <c r="C270" t="str">
        <f>VLOOKUP(B270,'BACKEND FILES'!A:B,2,FALSE)</f>
        <v>BACKEND</v>
      </c>
      <c r="D270" t="e">
        <f>VLOOKUP(B270,'FRONTEND FILES'!A:B,2,FALSE)</f>
        <v>#N/A</v>
      </c>
      <c r="E270" t="e">
        <f>VLOOKUP(B270,'SHARED FILES'!A:B,2,FALSE)</f>
        <v>#N/A</v>
      </c>
      <c r="F270" t="str">
        <f t="shared" si="8"/>
        <v>BACKEND</v>
      </c>
    </row>
    <row r="271" spans="1:6" x14ac:dyDescent="0.55000000000000004">
      <c r="A271">
        <f t="shared" si="9"/>
        <v>271</v>
      </c>
      <c r="B271" t="s">
        <v>1321</v>
      </c>
      <c r="C271" t="str">
        <f>VLOOKUP(B271,'BACKEND FILES'!A:B,2,FALSE)</f>
        <v>BACKEND</v>
      </c>
      <c r="D271" t="e">
        <f>VLOOKUP(B271,'FRONTEND FILES'!A:B,2,FALSE)</f>
        <v>#N/A</v>
      </c>
      <c r="E271" t="e">
        <f>VLOOKUP(B271,'SHARED FILES'!A:B,2,FALSE)</f>
        <v>#N/A</v>
      </c>
      <c r="F271" t="str">
        <f t="shared" si="8"/>
        <v>BACKEND</v>
      </c>
    </row>
    <row r="272" spans="1:6" x14ac:dyDescent="0.55000000000000004">
      <c r="A272">
        <f t="shared" si="9"/>
        <v>272</v>
      </c>
      <c r="B272" t="s">
        <v>1322</v>
      </c>
      <c r="C272" t="str">
        <f>VLOOKUP(B272,'BACKEND FILES'!A:B,2,FALSE)</f>
        <v>BACKEND</v>
      </c>
      <c r="D272" t="e">
        <f>VLOOKUP(B272,'FRONTEND FILES'!A:B,2,FALSE)</f>
        <v>#N/A</v>
      </c>
      <c r="E272" t="e">
        <f>VLOOKUP(B272,'SHARED FILES'!A:B,2,FALSE)</f>
        <v>#N/A</v>
      </c>
      <c r="F272" t="str">
        <f t="shared" si="8"/>
        <v>BACKEND</v>
      </c>
    </row>
    <row r="273" spans="1:6" x14ac:dyDescent="0.55000000000000004">
      <c r="A273">
        <f t="shared" si="9"/>
        <v>273</v>
      </c>
      <c r="B273" t="s">
        <v>1323</v>
      </c>
      <c r="C273" t="str">
        <f>VLOOKUP(B273,'BACKEND FILES'!A:B,2,FALSE)</f>
        <v>BACKEND</v>
      </c>
      <c r="D273" t="e">
        <f>VLOOKUP(B273,'FRONTEND FILES'!A:B,2,FALSE)</f>
        <v>#N/A</v>
      </c>
      <c r="E273" t="e">
        <f>VLOOKUP(B273,'SHARED FILES'!A:B,2,FALSE)</f>
        <v>#N/A</v>
      </c>
      <c r="F273" t="str">
        <f t="shared" si="8"/>
        <v>BACKEND</v>
      </c>
    </row>
    <row r="274" spans="1:6" x14ac:dyDescent="0.55000000000000004">
      <c r="A274">
        <f t="shared" si="9"/>
        <v>274</v>
      </c>
      <c r="B274" t="s">
        <v>1324</v>
      </c>
      <c r="C274" t="str">
        <f>VLOOKUP(B274,'BACKEND FILES'!A:B,2,FALSE)</f>
        <v>BACKEND</v>
      </c>
      <c r="D274" t="e">
        <f>VLOOKUP(B274,'FRONTEND FILES'!A:B,2,FALSE)</f>
        <v>#N/A</v>
      </c>
      <c r="E274" t="e">
        <f>VLOOKUP(B274,'SHARED FILES'!A:B,2,FALSE)</f>
        <v>#N/A</v>
      </c>
      <c r="F274" t="str">
        <f t="shared" si="8"/>
        <v>BACKEND</v>
      </c>
    </row>
    <row r="275" spans="1:6" x14ac:dyDescent="0.55000000000000004">
      <c r="A275">
        <f t="shared" si="9"/>
        <v>275</v>
      </c>
      <c r="B275" t="s">
        <v>1325</v>
      </c>
      <c r="C275" t="str">
        <f>VLOOKUP(B275,'BACKEND FILES'!A:B,2,FALSE)</f>
        <v>BACKEND</v>
      </c>
      <c r="D275" t="e">
        <f>VLOOKUP(B275,'FRONTEND FILES'!A:B,2,FALSE)</f>
        <v>#N/A</v>
      </c>
      <c r="E275" t="e">
        <f>VLOOKUP(B275,'SHARED FILES'!A:B,2,FALSE)</f>
        <v>#N/A</v>
      </c>
      <c r="F275" t="str">
        <f t="shared" si="8"/>
        <v>BACKEND</v>
      </c>
    </row>
    <row r="276" spans="1:6" x14ac:dyDescent="0.55000000000000004">
      <c r="A276">
        <f t="shared" si="9"/>
        <v>276</v>
      </c>
      <c r="B276" t="s">
        <v>1326</v>
      </c>
      <c r="C276" t="str">
        <f>VLOOKUP(B276,'BACKEND FILES'!A:B,2,FALSE)</f>
        <v>BACKEND</v>
      </c>
      <c r="D276" t="e">
        <f>VLOOKUP(B276,'FRONTEND FILES'!A:B,2,FALSE)</f>
        <v>#N/A</v>
      </c>
      <c r="E276" t="e">
        <f>VLOOKUP(B276,'SHARED FILES'!A:B,2,FALSE)</f>
        <v>#N/A</v>
      </c>
      <c r="F276" t="str">
        <f t="shared" si="8"/>
        <v>BACKEND</v>
      </c>
    </row>
    <row r="277" spans="1:6" x14ac:dyDescent="0.55000000000000004">
      <c r="A277">
        <f t="shared" si="9"/>
        <v>277</v>
      </c>
      <c r="B277" t="s">
        <v>1327</v>
      </c>
      <c r="C277" t="str">
        <f>VLOOKUP(B277,'BACKEND FILES'!A:B,2,FALSE)</f>
        <v>BACKEND</v>
      </c>
      <c r="D277" t="e">
        <f>VLOOKUP(B277,'FRONTEND FILES'!A:B,2,FALSE)</f>
        <v>#N/A</v>
      </c>
      <c r="E277" t="e">
        <f>VLOOKUP(B277,'SHARED FILES'!A:B,2,FALSE)</f>
        <v>#N/A</v>
      </c>
      <c r="F277" t="str">
        <f t="shared" si="8"/>
        <v>BACKEND</v>
      </c>
    </row>
    <row r="278" spans="1:6" x14ac:dyDescent="0.55000000000000004">
      <c r="A278">
        <f t="shared" si="9"/>
        <v>278</v>
      </c>
      <c r="B278" t="s">
        <v>1328</v>
      </c>
      <c r="C278" t="str">
        <f>VLOOKUP(B278,'BACKEND FILES'!A:B,2,FALSE)</f>
        <v>BACKEND</v>
      </c>
      <c r="D278" t="e">
        <f>VLOOKUP(B278,'FRONTEND FILES'!A:B,2,FALSE)</f>
        <v>#N/A</v>
      </c>
      <c r="E278" t="e">
        <f>VLOOKUP(B278,'SHARED FILES'!A:B,2,FALSE)</f>
        <v>#N/A</v>
      </c>
      <c r="F278" t="str">
        <f t="shared" si="8"/>
        <v>BACKEND</v>
      </c>
    </row>
    <row r="279" spans="1:6" x14ac:dyDescent="0.55000000000000004">
      <c r="A279">
        <f t="shared" si="9"/>
        <v>279</v>
      </c>
      <c r="B279" t="s">
        <v>1329</v>
      </c>
      <c r="C279" t="str">
        <f>VLOOKUP(B279,'BACKEND FILES'!A:B,2,FALSE)</f>
        <v>BACKEND</v>
      </c>
      <c r="D279" t="e">
        <f>VLOOKUP(B279,'FRONTEND FILES'!A:B,2,FALSE)</f>
        <v>#N/A</v>
      </c>
      <c r="E279" t="e">
        <f>VLOOKUP(B279,'SHARED FILES'!A:B,2,FALSE)</f>
        <v>#N/A</v>
      </c>
      <c r="F279" t="str">
        <f t="shared" si="8"/>
        <v>BACKEND</v>
      </c>
    </row>
    <row r="280" spans="1:6" x14ac:dyDescent="0.55000000000000004">
      <c r="A280">
        <f t="shared" si="9"/>
        <v>280</v>
      </c>
      <c r="B280" t="s">
        <v>1330</v>
      </c>
      <c r="C280" t="str">
        <f>VLOOKUP(B280,'BACKEND FILES'!A:B,2,FALSE)</f>
        <v>BACKEND</v>
      </c>
      <c r="D280" t="e">
        <f>VLOOKUP(B280,'FRONTEND FILES'!A:B,2,FALSE)</f>
        <v>#N/A</v>
      </c>
      <c r="E280" t="e">
        <f>VLOOKUP(B280,'SHARED FILES'!A:B,2,FALSE)</f>
        <v>#N/A</v>
      </c>
      <c r="F280" t="str">
        <f t="shared" si="8"/>
        <v>BACKEND</v>
      </c>
    </row>
    <row r="281" spans="1:6" x14ac:dyDescent="0.55000000000000004">
      <c r="A281">
        <f t="shared" si="9"/>
        <v>281</v>
      </c>
      <c r="B281" t="s">
        <v>1331</v>
      </c>
      <c r="C281" t="str">
        <f>VLOOKUP(B281,'BACKEND FILES'!A:B,2,FALSE)</f>
        <v>BACKEND</v>
      </c>
      <c r="D281" t="e">
        <f>VLOOKUP(B281,'FRONTEND FILES'!A:B,2,FALSE)</f>
        <v>#N/A</v>
      </c>
      <c r="E281" t="e">
        <f>VLOOKUP(B281,'SHARED FILES'!A:B,2,FALSE)</f>
        <v>#N/A</v>
      </c>
      <c r="F281" t="str">
        <f t="shared" si="8"/>
        <v>BACKEND</v>
      </c>
    </row>
    <row r="282" spans="1:6" x14ac:dyDescent="0.55000000000000004">
      <c r="A282">
        <f t="shared" si="9"/>
        <v>282</v>
      </c>
      <c r="B282" t="s">
        <v>704</v>
      </c>
      <c r="C282" t="e">
        <f>VLOOKUP(B282,'BACKEND FILES'!A:B,2,FALSE)</f>
        <v>#N/A</v>
      </c>
      <c r="D282" t="e">
        <f>VLOOKUP(B282,'FRONTEND FILES'!A:B,2,FALSE)</f>
        <v>#N/A</v>
      </c>
      <c r="E282" t="e">
        <f>VLOOKUP(B282,'SHARED FILES'!A:B,2,FALSE)</f>
        <v>#N/A</v>
      </c>
      <c r="F282" t="str">
        <f t="shared" si="8"/>
        <v/>
      </c>
    </row>
    <row r="283" spans="1:6" x14ac:dyDescent="0.55000000000000004">
      <c r="A283">
        <f t="shared" si="9"/>
        <v>283</v>
      </c>
      <c r="B283" t="s">
        <v>168</v>
      </c>
      <c r="C283" t="e">
        <f>VLOOKUP(B283,'BACKEND FILES'!A:B,2,FALSE)</f>
        <v>#N/A</v>
      </c>
      <c r="D283" t="str">
        <f>VLOOKUP(B283,'FRONTEND FILES'!A:B,2,FALSE)</f>
        <v>FRONTEND</v>
      </c>
      <c r="E283" t="e">
        <f>VLOOKUP(B283,'SHARED FILES'!A:B,2,FALSE)</f>
        <v>#N/A</v>
      </c>
      <c r="F283" t="str">
        <f t="shared" si="8"/>
        <v>FRONTEND</v>
      </c>
    </row>
    <row r="284" spans="1:6" x14ac:dyDescent="0.55000000000000004">
      <c r="A284">
        <f t="shared" si="9"/>
        <v>284</v>
      </c>
      <c r="B284" t="s">
        <v>321</v>
      </c>
      <c r="C284" t="e">
        <f>VLOOKUP(B284,'BACKEND FILES'!A:B,2,FALSE)</f>
        <v>#N/A</v>
      </c>
      <c r="D284" t="str">
        <f>VLOOKUP(B284,'FRONTEND FILES'!A:B,2,FALSE)</f>
        <v>FRONTEND</v>
      </c>
      <c r="E284" t="e">
        <f>VLOOKUP(B284,'SHARED FILES'!A:B,2,FALSE)</f>
        <v>#N/A</v>
      </c>
      <c r="F284" t="str">
        <f t="shared" si="8"/>
        <v>FRONTEND</v>
      </c>
    </row>
    <row r="285" spans="1:6" x14ac:dyDescent="0.55000000000000004">
      <c r="A285">
        <f t="shared" si="9"/>
        <v>285</v>
      </c>
      <c r="B285" t="s">
        <v>1332</v>
      </c>
      <c r="C285" t="e">
        <f>VLOOKUP(B285,'BACKEND FILES'!A:B,2,FALSE)</f>
        <v>#N/A</v>
      </c>
      <c r="D285" t="str">
        <f>VLOOKUP(B285,'FRONTEND FILES'!A:B,2,FALSE)</f>
        <v>FRONTEND</v>
      </c>
      <c r="E285" t="e">
        <f>VLOOKUP(B285,'SHARED FILES'!A:B,2,FALSE)</f>
        <v>#N/A</v>
      </c>
      <c r="F285" t="str">
        <f t="shared" si="8"/>
        <v>FRONTEND</v>
      </c>
    </row>
    <row r="286" spans="1:6" x14ac:dyDescent="0.55000000000000004">
      <c r="A286">
        <f t="shared" si="9"/>
        <v>286</v>
      </c>
      <c r="B286" t="s">
        <v>142</v>
      </c>
      <c r="C286" t="e">
        <f>VLOOKUP(B286,'BACKEND FILES'!A:B,2,FALSE)</f>
        <v>#N/A</v>
      </c>
      <c r="D286" t="str">
        <f>VLOOKUP(B286,'FRONTEND FILES'!A:B,2,FALSE)</f>
        <v>FRONTEND</v>
      </c>
      <c r="E286" t="e">
        <f>VLOOKUP(B286,'SHARED FILES'!A:B,2,FALSE)</f>
        <v>#N/A</v>
      </c>
      <c r="F286" t="str">
        <f t="shared" si="8"/>
        <v>FRONTEND</v>
      </c>
    </row>
    <row r="287" spans="1:6" x14ac:dyDescent="0.55000000000000004">
      <c r="A287">
        <f t="shared" si="9"/>
        <v>287</v>
      </c>
      <c r="B287" t="s">
        <v>650</v>
      </c>
      <c r="C287" t="e">
        <f>VLOOKUP(B287,'BACKEND FILES'!A:B,2,FALSE)</f>
        <v>#N/A</v>
      </c>
      <c r="D287" t="str">
        <f>VLOOKUP(B287,'FRONTEND FILES'!A:B,2,FALSE)</f>
        <v>FRONTEND</v>
      </c>
      <c r="E287" t="e">
        <f>VLOOKUP(B287,'SHARED FILES'!A:B,2,FALSE)</f>
        <v>#N/A</v>
      </c>
      <c r="F287" t="str">
        <f t="shared" si="8"/>
        <v>FRONTEND</v>
      </c>
    </row>
    <row r="288" spans="1:6" x14ac:dyDescent="0.55000000000000004">
      <c r="A288">
        <f t="shared" si="9"/>
        <v>288</v>
      </c>
      <c r="B288" t="s">
        <v>651</v>
      </c>
      <c r="C288" t="e">
        <f>VLOOKUP(B288,'BACKEND FILES'!A:B,2,FALSE)</f>
        <v>#N/A</v>
      </c>
      <c r="D288" t="str">
        <f>VLOOKUP(B288,'FRONTEND FILES'!A:B,2,FALSE)</f>
        <v>FRONTEND</v>
      </c>
      <c r="E288" t="e">
        <f>VLOOKUP(B288,'SHARED FILES'!A:B,2,FALSE)</f>
        <v>#N/A</v>
      </c>
      <c r="F288" t="str">
        <f t="shared" si="8"/>
        <v>FRONTEND</v>
      </c>
    </row>
    <row r="289" spans="1:6" x14ac:dyDescent="0.55000000000000004">
      <c r="A289">
        <f t="shared" si="9"/>
        <v>289</v>
      </c>
      <c r="B289" t="s">
        <v>128</v>
      </c>
      <c r="C289" t="e">
        <f>VLOOKUP(B289,'BACKEND FILES'!A:B,2,FALSE)</f>
        <v>#N/A</v>
      </c>
      <c r="D289" t="e">
        <f>VLOOKUP(B289,'FRONTEND FILES'!A:B,2,FALSE)</f>
        <v>#N/A</v>
      </c>
      <c r="E289" t="e">
        <f>VLOOKUP(B289,'SHARED FILES'!A:B,2,FALSE)</f>
        <v>#N/A</v>
      </c>
      <c r="F289" t="str">
        <f t="shared" si="8"/>
        <v/>
      </c>
    </row>
    <row r="290" spans="1:6" x14ac:dyDescent="0.55000000000000004">
      <c r="A290">
        <f t="shared" si="9"/>
        <v>290</v>
      </c>
      <c r="B290" t="s">
        <v>129</v>
      </c>
      <c r="C290" t="e">
        <f>VLOOKUP(B290,'BACKEND FILES'!A:B,2,FALSE)</f>
        <v>#N/A</v>
      </c>
      <c r="D290" t="e">
        <f>VLOOKUP(B290,'FRONTEND FILES'!A:B,2,FALSE)</f>
        <v>#N/A</v>
      </c>
      <c r="E290" t="e">
        <f>VLOOKUP(B290,'SHARED FILES'!A:B,2,FALSE)</f>
        <v>#N/A</v>
      </c>
      <c r="F290" t="str">
        <f t="shared" si="8"/>
        <v/>
      </c>
    </row>
    <row r="291" spans="1:6" x14ac:dyDescent="0.55000000000000004">
      <c r="A291">
        <f t="shared" si="9"/>
        <v>291</v>
      </c>
      <c r="B291" t="s">
        <v>130</v>
      </c>
      <c r="C291" t="e">
        <f>VLOOKUP(B291,'BACKEND FILES'!A:B,2,FALSE)</f>
        <v>#N/A</v>
      </c>
      <c r="D291" t="e">
        <f>VLOOKUP(B291,'FRONTEND FILES'!A:B,2,FALSE)</f>
        <v>#N/A</v>
      </c>
      <c r="E291" t="e">
        <f>VLOOKUP(B291,'SHARED FILES'!A:B,2,FALSE)</f>
        <v>#N/A</v>
      </c>
      <c r="F291" t="str">
        <f t="shared" si="8"/>
        <v/>
      </c>
    </row>
    <row r="292" spans="1:6" x14ac:dyDescent="0.55000000000000004">
      <c r="A292">
        <f t="shared" si="9"/>
        <v>292</v>
      </c>
      <c r="B292" t="s">
        <v>131</v>
      </c>
      <c r="C292" t="e">
        <f>VLOOKUP(B292,'BACKEND FILES'!A:B,2,FALSE)</f>
        <v>#N/A</v>
      </c>
      <c r="D292" t="e">
        <f>VLOOKUP(B292,'FRONTEND FILES'!A:B,2,FALSE)</f>
        <v>#N/A</v>
      </c>
      <c r="E292" t="e">
        <f>VLOOKUP(B292,'SHARED FILES'!A:B,2,FALSE)</f>
        <v>#N/A</v>
      </c>
      <c r="F292" t="str">
        <f t="shared" si="8"/>
        <v/>
      </c>
    </row>
    <row r="293" spans="1:6" x14ac:dyDescent="0.55000000000000004">
      <c r="A293">
        <f t="shared" si="9"/>
        <v>293</v>
      </c>
      <c r="B293" t="s">
        <v>132</v>
      </c>
      <c r="C293" t="e">
        <f>VLOOKUP(B293,'BACKEND FILES'!A:B,2,FALSE)</f>
        <v>#N/A</v>
      </c>
      <c r="D293" t="e">
        <f>VLOOKUP(B293,'FRONTEND FILES'!A:B,2,FALSE)</f>
        <v>#N/A</v>
      </c>
      <c r="E293" t="e">
        <f>VLOOKUP(B293,'SHARED FILES'!A:B,2,FALSE)</f>
        <v>#N/A</v>
      </c>
      <c r="F293" t="str">
        <f t="shared" si="8"/>
        <v/>
      </c>
    </row>
    <row r="294" spans="1:6" x14ac:dyDescent="0.55000000000000004">
      <c r="A294">
        <f t="shared" si="9"/>
        <v>294</v>
      </c>
      <c r="B294" t="s">
        <v>133</v>
      </c>
      <c r="C294" t="e">
        <f>VLOOKUP(B294,'BACKEND FILES'!A:B,2,FALSE)</f>
        <v>#N/A</v>
      </c>
      <c r="D294" t="e">
        <f>VLOOKUP(B294,'FRONTEND FILES'!A:B,2,FALSE)</f>
        <v>#N/A</v>
      </c>
      <c r="E294" t="e">
        <f>VLOOKUP(B294,'SHARED FILES'!A:B,2,FALSE)</f>
        <v>#N/A</v>
      </c>
      <c r="F294" t="str">
        <f t="shared" si="8"/>
        <v/>
      </c>
    </row>
    <row r="295" spans="1:6" x14ac:dyDescent="0.55000000000000004">
      <c r="A295">
        <f t="shared" si="9"/>
        <v>295</v>
      </c>
      <c r="B295" t="s">
        <v>126</v>
      </c>
      <c r="C295" t="e">
        <f>VLOOKUP(B295,'BACKEND FILES'!A:B,2,FALSE)</f>
        <v>#N/A</v>
      </c>
      <c r="D295" t="e">
        <f>VLOOKUP(B295,'FRONTEND FILES'!A:B,2,FALSE)</f>
        <v>#N/A</v>
      </c>
      <c r="E295" t="e">
        <f>VLOOKUP(B295,'SHARED FILES'!A:B,2,FALSE)</f>
        <v>#N/A</v>
      </c>
      <c r="F295" t="str">
        <f t="shared" si="8"/>
        <v/>
      </c>
    </row>
    <row r="296" spans="1:6" x14ac:dyDescent="0.55000000000000004">
      <c r="A296">
        <f t="shared" si="9"/>
        <v>296</v>
      </c>
      <c r="B296" t="s">
        <v>127</v>
      </c>
      <c r="C296" t="e">
        <f>VLOOKUP(B296,'BACKEND FILES'!A:B,2,FALSE)</f>
        <v>#N/A</v>
      </c>
      <c r="D296" t="e">
        <f>VLOOKUP(B296,'FRONTEND FILES'!A:B,2,FALSE)</f>
        <v>#N/A</v>
      </c>
      <c r="E296" t="e">
        <f>VLOOKUP(B296,'SHARED FILES'!A:B,2,FALSE)</f>
        <v>#N/A</v>
      </c>
      <c r="F296" t="str">
        <f t="shared" si="8"/>
        <v/>
      </c>
    </row>
    <row r="297" spans="1:6" x14ac:dyDescent="0.55000000000000004">
      <c r="A297">
        <f t="shared" si="9"/>
        <v>297</v>
      </c>
      <c r="B297" t="s">
        <v>134</v>
      </c>
      <c r="C297" t="e">
        <f>VLOOKUP(B297,'BACKEND FILES'!A:B,2,FALSE)</f>
        <v>#N/A</v>
      </c>
      <c r="D297" t="e">
        <f>VLOOKUP(B297,'FRONTEND FILES'!A:B,2,FALSE)</f>
        <v>#N/A</v>
      </c>
      <c r="E297" t="e">
        <f>VLOOKUP(B297,'SHARED FILES'!A:B,2,FALSE)</f>
        <v>#N/A</v>
      </c>
      <c r="F297" t="str">
        <f t="shared" si="8"/>
        <v/>
      </c>
    </row>
    <row r="298" spans="1:6" x14ac:dyDescent="0.55000000000000004">
      <c r="A298">
        <f t="shared" si="9"/>
        <v>298</v>
      </c>
      <c r="B298" t="s">
        <v>135</v>
      </c>
      <c r="C298" t="e">
        <f>VLOOKUP(B298,'BACKEND FILES'!A:B,2,FALSE)</f>
        <v>#N/A</v>
      </c>
      <c r="D298" t="e">
        <f>VLOOKUP(B298,'FRONTEND FILES'!A:B,2,FALSE)</f>
        <v>#N/A</v>
      </c>
      <c r="E298" t="e">
        <f>VLOOKUP(B298,'SHARED FILES'!A:B,2,FALSE)</f>
        <v>#N/A</v>
      </c>
      <c r="F298" t="str">
        <f t="shared" si="8"/>
        <v/>
      </c>
    </row>
    <row r="299" spans="1:6" x14ac:dyDescent="0.55000000000000004">
      <c r="A299">
        <f t="shared" si="9"/>
        <v>299</v>
      </c>
      <c r="B299" t="s">
        <v>136</v>
      </c>
      <c r="C299" t="e">
        <f>VLOOKUP(B299,'BACKEND FILES'!A:B,2,FALSE)</f>
        <v>#N/A</v>
      </c>
      <c r="D299" t="e">
        <f>VLOOKUP(B299,'FRONTEND FILES'!A:B,2,FALSE)</f>
        <v>#N/A</v>
      </c>
      <c r="E299" t="e">
        <f>VLOOKUP(B299,'SHARED FILES'!A:B,2,FALSE)</f>
        <v>#N/A</v>
      </c>
      <c r="F299" t="str">
        <f t="shared" si="8"/>
        <v/>
      </c>
    </row>
    <row r="300" spans="1:6" x14ac:dyDescent="0.55000000000000004">
      <c r="A300">
        <f t="shared" si="9"/>
        <v>300</v>
      </c>
      <c r="B300" t="s">
        <v>137</v>
      </c>
      <c r="C300" t="e">
        <f>VLOOKUP(B300,'BACKEND FILES'!A:B,2,FALSE)</f>
        <v>#N/A</v>
      </c>
      <c r="D300" t="e">
        <f>VLOOKUP(B300,'FRONTEND FILES'!A:B,2,FALSE)</f>
        <v>#N/A</v>
      </c>
      <c r="E300" t="e">
        <f>VLOOKUP(B300,'SHARED FILES'!A:B,2,FALSE)</f>
        <v>#N/A</v>
      </c>
      <c r="F300" t="str">
        <f t="shared" si="8"/>
        <v/>
      </c>
    </row>
    <row r="301" spans="1:6" x14ac:dyDescent="0.55000000000000004">
      <c r="A301">
        <f t="shared" si="9"/>
        <v>301</v>
      </c>
      <c r="B301" t="s">
        <v>138</v>
      </c>
      <c r="C301" t="e">
        <f>VLOOKUP(B301,'BACKEND FILES'!A:B,2,FALSE)</f>
        <v>#N/A</v>
      </c>
      <c r="D301" t="e">
        <f>VLOOKUP(B301,'FRONTEND FILES'!A:B,2,FALSE)</f>
        <v>#N/A</v>
      </c>
      <c r="E301" t="e">
        <f>VLOOKUP(B301,'SHARED FILES'!A:B,2,FALSE)</f>
        <v>#N/A</v>
      </c>
      <c r="F301" t="str">
        <f t="shared" si="8"/>
        <v/>
      </c>
    </row>
    <row r="302" spans="1:6" x14ac:dyDescent="0.55000000000000004">
      <c r="A302">
        <f t="shared" si="9"/>
        <v>302</v>
      </c>
      <c r="B302" t="s">
        <v>139</v>
      </c>
      <c r="C302" t="e">
        <f>VLOOKUP(B302,'BACKEND FILES'!A:B,2,FALSE)</f>
        <v>#N/A</v>
      </c>
      <c r="D302" t="e">
        <f>VLOOKUP(B302,'FRONTEND FILES'!A:B,2,FALSE)</f>
        <v>#N/A</v>
      </c>
      <c r="E302" t="e">
        <f>VLOOKUP(B302,'SHARED FILES'!A:B,2,FALSE)</f>
        <v>#N/A</v>
      </c>
      <c r="F302" t="str">
        <f t="shared" si="8"/>
        <v/>
      </c>
    </row>
    <row r="303" spans="1:6" x14ac:dyDescent="0.55000000000000004">
      <c r="A303">
        <f t="shared" si="9"/>
        <v>303</v>
      </c>
      <c r="B303" t="s">
        <v>146</v>
      </c>
      <c r="C303" t="e">
        <f>VLOOKUP(B303,'BACKEND FILES'!A:B,2,FALSE)</f>
        <v>#N/A</v>
      </c>
      <c r="D303" t="e">
        <f>VLOOKUP(B303,'FRONTEND FILES'!A:B,2,FALSE)</f>
        <v>#N/A</v>
      </c>
      <c r="E303" t="e">
        <f>VLOOKUP(B303,'SHARED FILES'!A:B,2,FALSE)</f>
        <v>#N/A</v>
      </c>
      <c r="F303" t="str">
        <f t="shared" si="8"/>
        <v/>
      </c>
    </row>
    <row r="304" spans="1:6" x14ac:dyDescent="0.55000000000000004">
      <c r="A304">
        <f t="shared" si="9"/>
        <v>304</v>
      </c>
      <c r="B304" t="s">
        <v>147</v>
      </c>
      <c r="C304" t="e">
        <f>VLOOKUP(B304,'BACKEND FILES'!A:B,2,FALSE)</f>
        <v>#N/A</v>
      </c>
      <c r="D304" t="e">
        <f>VLOOKUP(B304,'FRONTEND FILES'!A:B,2,FALSE)</f>
        <v>#N/A</v>
      </c>
      <c r="E304" t="e">
        <f>VLOOKUP(B304,'SHARED FILES'!A:B,2,FALSE)</f>
        <v>#N/A</v>
      </c>
      <c r="F304" t="str">
        <f t="shared" si="8"/>
        <v/>
      </c>
    </row>
    <row r="305" spans="1:6" x14ac:dyDescent="0.55000000000000004">
      <c r="A305">
        <f t="shared" si="9"/>
        <v>305</v>
      </c>
      <c r="B305" t="s">
        <v>1333</v>
      </c>
      <c r="C305" t="e">
        <f>VLOOKUP(B305,'BACKEND FILES'!A:B,2,FALSE)</f>
        <v>#N/A</v>
      </c>
      <c r="D305" t="str">
        <f>VLOOKUP(B305,'FRONTEND FILES'!A:B,2,FALSE)</f>
        <v>FRONTEND</v>
      </c>
      <c r="E305" t="e">
        <f>VLOOKUP(B305,'SHARED FILES'!A:B,2,FALSE)</f>
        <v>#N/A</v>
      </c>
      <c r="F305" t="str">
        <f t="shared" si="8"/>
        <v>FRONTEND</v>
      </c>
    </row>
    <row r="306" spans="1:6" x14ac:dyDescent="0.55000000000000004">
      <c r="A306">
        <f t="shared" si="9"/>
        <v>306</v>
      </c>
      <c r="B306" t="s">
        <v>145</v>
      </c>
      <c r="C306" t="e">
        <f>VLOOKUP(B306,'BACKEND FILES'!A:B,2,FALSE)</f>
        <v>#N/A</v>
      </c>
      <c r="D306" t="e">
        <f>VLOOKUP(B306,'FRONTEND FILES'!A:B,2,FALSE)</f>
        <v>#N/A</v>
      </c>
      <c r="E306" t="e">
        <f>VLOOKUP(B306,'SHARED FILES'!A:B,2,FALSE)</f>
        <v>#N/A</v>
      </c>
      <c r="F306" t="str">
        <f t="shared" si="8"/>
        <v/>
      </c>
    </row>
    <row r="307" spans="1:6" x14ac:dyDescent="0.55000000000000004">
      <c r="A307">
        <f t="shared" si="9"/>
        <v>307</v>
      </c>
      <c r="B307" t="s">
        <v>118</v>
      </c>
      <c r="C307" t="e">
        <f>VLOOKUP(B307,'BACKEND FILES'!A:B,2,FALSE)</f>
        <v>#N/A</v>
      </c>
      <c r="D307" t="e">
        <f>VLOOKUP(B307,'FRONTEND FILES'!A:B,2,FALSE)</f>
        <v>#N/A</v>
      </c>
      <c r="E307" t="e">
        <f>VLOOKUP(B307,'SHARED FILES'!A:B,2,FALSE)</f>
        <v>#N/A</v>
      </c>
      <c r="F307" t="str">
        <f t="shared" si="8"/>
        <v/>
      </c>
    </row>
    <row r="308" spans="1:6" x14ac:dyDescent="0.55000000000000004">
      <c r="A308">
        <f t="shared" si="9"/>
        <v>308</v>
      </c>
      <c r="B308" t="s">
        <v>119</v>
      </c>
      <c r="C308" t="e">
        <f>VLOOKUP(B308,'BACKEND FILES'!A:B,2,FALSE)</f>
        <v>#N/A</v>
      </c>
      <c r="D308" t="e">
        <f>VLOOKUP(B308,'FRONTEND FILES'!A:B,2,FALSE)</f>
        <v>#N/A</v>
      </c>
      <c r="E308" t="e">
        <f>VLOOKUP(B308,'SHARED FILES'!A:B,2,FALSE)</f>
        <v>#N/A</v>
      </c>
      <c r="F308" t="str">
        <f t="shared" si="8"/>
        <v/>
      </c>
    </row>
    <row r="309" spans="1:6" x14ac:dyDescent="0.55000000000000004">
      <c r="A309">
        <f t="shared" si="9"/>
        <v>309</v>
      </c>
      <c r="B309" t="s">
        <v>120</v>
      </c>
      <c r="C309" t="e">
        <f>VLOOKUP(B309,'BACKEND FILES'!A:B,2,FALSE)</f>
        <v>#N/A</v>
      </c>
      <c r="D309" t="e">
        <f>VLOOKUP(B309,'FRONTEND FILES'!A:B,2,FALSE)</f>
        <v>#N/A</v>
      </c>
      <c r="E309" t="e">
        <f>VLOOKUP(B309,'SHARED FILES'!A:B,2,FALSE)</f>
        <v>#N/A</v>
      </c>
      <c r="F309" t="str">
        <f t="shared" si="8"/>
        <v/>
      </c>
    </row>
    <row r="310" spans="1:6" x14ac:dyDescent="0.55000000000000004">
      <c r="A310">
        <f t="shared" si="9"/>
        <v>310</v>
      </c>
      <c r="B310" t="s">
        <v>66</v>
      </c>
      <c r="C310" t="e">
        <f>VLOOKUP(B310,'BACKEND FILES'!A:B,2,FALSE)</f>
        <v>#N/A</v>
      </c>
      <c r="D310" t="e">
        <f>VLOOKUP(B310,'FRONTEND FILES'!A:B,2,FALSE)</f>
        <v>#N/A</v>
      </c>
      <c r="E310" t="e">
        <f>VLOOKUP(B310,'SHARED FILES'!A:B,2,FALSE)</f>
        <v>#N/A</v>
      </c>
      <c r="F310" t="str">
        <f t="shared" si="8"/>
        <v/>
      </c>
    </row>
    <row r="311" spans="1:6" x14ac:dyDescent="0.55000000000000004">
      <c r="A311">
        <f t="shared" si="9"/>
        <v>311</v>
      </c>
      <c r="B311" t="s">
        <v>652</v>
      </c>
      <c r="C311" t="e">
        <f>VLOOKUP(B311,'BACKEND FILES'!A:B,2,FALSE)</f>
        <v>#N/A</v>
      </c>
      <c r="D311" t="e">
        <f>VLOOKUP(B311,'FRONTEND FILES'!A:B,2,FALSE)</f>
        <v>#N/A</v>
      </c>
      <c r="E311" t="e">
        <f>VLOOKUP(B311,'SHARED FILES'!A:B,2,FALSE)</f>
        <v>#N/A</v>
      </c>
      <c r="F311" t="str">
        <f t="shared" si="8"/>
        <v/>
      </c>
    </row>
    <row r="312" spans="1:6" x14ac:dyDescent="0.55000000000000004">
      <c r="A312">
        <f t="shared" si="9"/>
        <v>312</v>
      </c>
      <c r="B312" t="s">
        <v>65</v>
      </c>
      <c r="C312" t="e">
        <f>VLOOKUP(B312,'BACKEND FILES'!A:B,2,FALSE)</f>
        <v>#N/A</v>
      </c>
      <c r="D312" t="e">
        <f>VLOOKUP(B312,'FRONTEND FILES'!A:B,2,FALSE)</f>
        <v>#N/A</v>
      </c>
      <c r="E312" t="e">
        <f>VLOOKUP(B312,'SHARED FILES'!A:B,2,FALSE)</f>
        <v>#N/A</v>
      </c>
      <c r="F312" t="str">
        <f t="shared" si="8"/>
        <v/>
      </c>
    </row>
    <row r="313" spans="1:6" x14ac:dyDescent="0.55000000000000004">
      <c r="A313">
        <f t="shared" si="9"/>
        <v>313</v>
      </c>
      <c r="B313" t="s">
        <v>67</v>
      </c>
      <c r="C313" t="e">
        <f>VLOOKUP(B313,'BACKEND FILES'!A:B,2,FALSE)</f>
        <v>#N/A</v>
      </c>
      <c r="D313" t="e">
        <f>VLOOKUP(B313,'FRONTEND FILES'!A:B,2,FALSE)</f>
        <v>#N/A</v>
      </c>
      <c r="E313" t="e">
        <f>VLOOKUP(B313,'SHARED FILES'!A:B,2,FALSE)</f>
        <v>#N/A</v>
      </c>
      <c r="F313" t="str">
        <f t="shared" si="8"/>
        <v/>
      </c>
    </row>
    <row r="314" spans="1:6" x14ac:dyDescent="0.55000000000000004">
      <c r="A314">
        <f t="shared" si="9"/>
        <v>314</v>
      </c>
      <c r="B314" t="s">
        <v>124</v>
      </c>
      <c r="C314" t="e">
        <f>VLOOKUP(B314,'BACKEND FILES'!A:B,2,FALSE)</f>
        <v>#N/A</v>
      </c>
      <c r="D314" t="e">
        <f>VLOOKUP(B314,'FRONTEND FILES'!A:B,2,FALSE)</f>
        <v>#N/A</v>
      </c>
      <c r="E314" t="e">
        <f>VLOOKUP(B314,'SHARED FILES'!A:B,2,FALSE)</f>
        <v>#N/A</v>
      </c>
      <c r="F314" t="str">
        <f t="shared" si="8"/>
        <v/>
      </c>
    </row>
    <row r="315" spans="1:6" x14ac:dyDescent="0.55000000000000004">
      <c r="A315">
        <f t="shared" si="9"/>
        <v>315</v>
      </c>
      <c r="B315" t="s">
        <v>123</v>
      </c>
      <c r="C315" t="e">
        <f>VLOOKUP(B315,'BACKEND FILES'!A:B,2,FALSE)</f>
        <v>#N/A</v>
      </c>
      <c r="D315" t="e">
        <f>VLOOKUP(B315,'FRONTEND FILES'!A:B,2,FALSE)</f>
        <v>#N/A</v>
      </c>
      <c r="E315" t="e">
        <f>VLOOKUP(B315,'SHARED FILES'!A:B,2,FALSE)</f>
        <v>#N/A</v>
      </c>
      <c r="F315" t="str">
        <f t="shared" si="8"/>
        <v/>
      </c>
    </row>
    <row r="316" spans="1:6" x14ac:dyDescent="0.55000000000000004">
      <c r="A316">
        <f t="shared" si="9"/>
        <v>316</v>
      </c>
      <c r="B316" t="s">
        <v>113</v>
      </c>
      <c r="C316" t="e">
        <f>VLOOKUP(B316,'BACKEND FILES'!A:B,2,FALSE)</f>
        <v>#N/A</v>
      </c>
      <c r="D316" t="e">
        <f>VLOOKUP(B316,'FRONTEND FILES'!A:B,2,FALSE)</f>
        <v>#N/A</v>
      </c>
      <c r="E316" t="e">
        <f>VLOOKUP(B316,'SHARED FILES'!A:B,2,FALSE)</f>
        <v>#N/A</v>
      </c>
      <c r="F316" t="str">
        <f t="shared" si="8"/>
        <v/>
      </c>
    </row>
    <row r="317" spans="1:6" x14ac:dyDescent="0.55000000000000004">
      <c r="A317">
        <f t="shared" si="9"/>
        <v>317</v>
      </c>
      <c r="B317" t="s">
        <v>112</v>
      </c>
      <c r="C317" t="e">
        <f>VLOOKUP(B317,'BACKEND FILES'!A:B,2,FALSE)</f>
        <v>#N/A</v>
      </c>
      <c r="D317" t="e">
        <f>VLOOKUP(B317,'FRONTEND FILES'!A:B,2,FALSE)</f>
        <v>#N/A</v>
      </c>
      <c r="E317" t="e">
        <f>VLOOKUP(B317,'SHARED FILES'!A:B,2,FALSE)</f>
        <v>#N/A</v>
      </c>
      <c r="F317" t="str">
        <f t="shared" si="8"/>
        <v/>
      </c>
    </row>
    <row r="318" spans="1:6" x14ac:dyDescent="0.55000000000000004">
      <c r="A318">
        <f t="shared" si="9"/>
        <v>318</v>
      </c>
      <c r="B318" t="s">
        <v>111</v>
      </c>
      <c r="C318" t="e">
        <f>VLOOKUP(B318,'BACKEND FILES'!A:B,2,FALSE)</f>
        <v>#N/A</v>
      </c>
      <c r="D318" t="e">
        <f>VLOOKUP(B318,'FRONTEND FILES'!A:B,2,FALSE)</f>
        <v>#N/A</v>
      </c>
      <c r="E318" t="e">
        <f>VLOOKUP(B318,'SHARED FILES'!A:B,2,FALSE)</f>
        <v>#N/A</v>
      </c>
      <c r="F318" t="str">
        <f t="shared" si="8"/>
        <v/>
      </c>
    </row>
    <row r="319" spans="1:6" x14ac:dyDescent="0.55000000000000004">
      <c r="A319">
        <f t="shared" si="9"/>
        <v>319</v>
      </c>
      <c r="B319" t="s">
        <v>114</v>
      </c>
      <c r="C319" t="e">
        <f>VLOOKUP(B319,'BACKEND FILES'!A:B,2,FALSE)</f>
        <v>#N/A</v>
      </c>
      <c r="D319" t="e">
        <f>VLOOKUP(B319,'FRONTEND FILES'!A:B,2,FALSE)</f>
        <v>#N/A</v>
      </c>
      <c r="E319" t="e">
        <f>VLOOKUP(B319,'SHARED FILES'!A:B,2,FALSE)</f>
        <v>#N/A</v>
      </c>
      <c r="F319" t="str">
        <f t="shared" si="8"/>
        <v/>
      </c>
    </row>
    <row r="320" spans="1:6" x14ac:dyDescent="0.55000000000000004">
      <c r="A320">
        <f t="shared" si="9"/>
        <v>320</v>
      </c>
      <c r="B320" t="s">
        <v>110</v>
      </c>
      <c r="C320" t="e">
        <f>VLOOKUP(B320,'BACKEND FILES'!A:B,2,FALSE)</f>
        <v>#N/A</v>
      </c>
      <c r="D320" t="e">
        <f>VLOOKUP(B320,'FRONTEND FILES'!A:B,2,FALSE)</f>
        <v>#N/A</v>
      </c>
      <c r="E320" t="e">
        <f>VLOOKUP(B320,'SHARED FILES'!A:B,2,FALSE)</f>
        <v>#N/A</v>
      </c>
      <c r="F320" t="str">
        <f t="shared" si="8"/>
        <v/>
      </c>
    </row>
    <row r="321" spans="1:6" x14ac:dyDescent="0.55000000000000004">
      <c r="A321">
        <f t="shared" si="9"/>
        <v>321</v>
      </c>
      <c r="B321" t="s">
        <v>102</v>
      </c>
      <c r="C321" t="e">
        <f>VLOOKUP(B321,'BACKEND FILES'!A:B,2,FALSE)</f>
        <v>#N/A</v>
      </c>
      <c r="D321" t="e">
        <f>VLOOKUP(B321,'FRONTEND FILES'!A:B,2,FALSE)</f>
        <v>#N/A</v>
      </c>
      <c r="E321" t="e">
        <f>VLOOKUP(B321,'SHARED FILES'!A:B,2,FALSE)</f>
        <v>#N/A</v>
      </c>
      <c r="F321" t="str">
        <f t="shared" si="8"/>
        <v/>
      </c>
    </row>
    <row r="322" spans="1:6" x14ac:dyDescent="0.55000000000000004">
      <c r="A322">
        <f t="shared" si="9"/>
        <v>322</v>
      </c>
      <c r="B322" t="s">
        <v>101</v>
      </c>
      <c r="C322" t="e">
        <f>VLOOKUP(B322,'BACKEND FILES'!A:B,2,FALSE)</f>
        <v>#N/A</v>
      </c>
      <c r="D322" t="e">
        <f>VLOOKUP(B322,'FRONTEND FILES'!A:B,2,FALSE)</f>
        <v>#N/A</v>
      </c>
      <c r="E322" t="e">
        <f>VLOOKUP(B322,'SHARED FILES'!A:B,2,FALSE)</f>
        <v>#N/A</v>
      </c>
      <c r="F322" t="str">
        <f t="shared" ref="F322:F385" si="10">_xlfn.IFNA(C322, _xlfn.IFNA(D322, _xlfn.IFNA(E322, "")))</f>
        <v/>
      </c>
    </row>
    <row r="323" spans="1:6" x14ac:dyDescent="0.55000000000000004">
      <c r="A323">
        <f t="shared" ref="A323:A386" si="11">A322+1</f>
        <v>323</v>
      </c>
      <c r="B323" t="s">
        <v>104</v>
      </c>
      <c r="C323" t="e">
        <f>VLOOKUP(B323,'BACKEND FILES'!A:B,2,FALSE)</f>
        <v>#N/A</v>
      </c>
      <c r="D323" t="e">
        <f>VLOOKUP(B323,'FRONTEND FILES'!A:B,2,FALSE)</f>
        <v>#N/A</v>
      </c>
      <c r="E323" t="e">
        <f>VLOOKUP(B323,'SHARED FILES'!A:B,2,FALSE)</f>
        <v>#N/A</v>
      </c>
      <c r="F323" t="str">
        <f t="shared" si="10"/>
        <v/>
      </c>
    </row>
    <row r="324" spans="1:6" x14ac:dyDescent="0.55000000000000004">
      <c r="A324">
        <f t="shared" si="11"/>
        <v>324</v>
      </c>
      <c r="B324" t="s">
        <v>103</v>
      </c>
      <c r="C324" t="e">
        <f>VLOOKUP(B324,'BACKEND FILES'!A:B,2,FALSE)</f>
        <v>#N/A</v>
      </c>
      <c r="D324" t="e">
        <f>VLOOKUP(B324,'FRONTEND FILES'!A:B,2,FALSE)</f>
        <v>#N/A</v>
      </c>
      <c r="E324" t="e">
        <f>VLOOKUP(B324,'SHARED FILES'!A:B,2,FALSE)</f>
        <v>#N/A</v>
      </c>
      <c r="F324" t="str">
        <f t="shared" si="10"/>
        <v/>
      </c>
    </row>
    <row r="325" spans="1:6" x14ac:dyDescent="0.55000000000000004">
      <c r="A325">
        <f t="shared" si="11"/>
        <v>325</v>
      </c>
      <c r="B325" t="s">
        <v>653</v>
      </c>
      <c r="C325" t="e">
        <f>VLOOKUP(B325,'BACKEND FILES'!A:B,2,FALSE)</f>
        <v>#N/A</v>
      </c>
      <c r="D325" t="e">
        <f>VLOOKUP(B325,'FRONTEND FILES'!A:B,2,FALSE)</f>
        <v>#N/A</v>
      </c>
      <c r="E325" t="e">
        <f>VLOOKUP(B325,'SHARED FILES'!A:B,2,FALSE)</f>
        <v>#N/A</v>
      </c>
      <c r="F325" t="str">
        <f t="shared" si="10"/>
        <v/>
      </c>
    </row>
    <row r="326" spans="1:6" x14ac:dyDescent="0.55000000000000004">
      <c r="A326">
        <f t="shared" si="11"/>
        <v>326</v>
      </c>
      <c r="B326" t="s">
        <v>108</v>
      </c>
      <c r="C326" t="e">
        <f>VLOOKUP(B326,'BACKEND FILES'!A:B,2,FALSE)</f>
        <v>#N/A</v>
      </c>
      <c r="D326" t="e">
        <f>VLOOKUP(B326,'FRONTEND FILES'!A:B,2,FALSE)</f>
        <v>#N/A</v>
      </c>
      <c r="E326" t="e">
        <f>VLOOKUP(B326,'SHARED FILES'!A:B,2,FALSE)</f>
        <v>#N/A</v>
      </c>
      <c r="F326" t="str">
        <f t="shared" si="10"/>
        <v/>
      </c>
    </row>
    <row r="327" spans="1:6" x14ac:dyDescent="0.55000000000000004">
      <c r="A327">
        <f t="shared" si="11"/>
        <v>327</v>
      </c>
      <c r="B327" t="s">
        <v>105</v>
      </c>
      <c r="C327" t="e">
        <f>VLOOKUP(B327,'BACKEND FILES'!A:B,2,FALSE)</f>
        <v>#N/A</v>
      </c>
      <c r="D327" t="e">
        <f>VLOOKUP(B327,'FRONTEND FILES'!A:B,2,FALSE)</f>
        <v>#N/A</v>
      </c>
      <c r="E327" t="e">
        <f>VLOOKUP(B327,'SHARED FILES'!A:B,2,FALSE)</f>
        <v>#N/A</v>
      </c>
      <c r="F327" t="str">
        <f t="shared" si="10"/>
        <v/>
      </c>
    </row>
    <row r="328" spans="1:6" x14ac:dyDescent="0.55000000000000004">
      <c r="A328">
        <f t="shared" si="11"/>
        <v>328</v>
      </c>
      <c r="B328" t="s">
        <v>107</v>
      </c>
      <c r="C328" t="e">
        <f>VLOOKUP(B328,'BACKEND FILES'!A:B,2,FALSE)</f>
        <v>#N/A</v>
      </c>
      <c r="D328" t="e">
        <f>VLOOKUP(B328,'FRONTEND FILES'!A:B,2,FALSE)</f>
        <v>#N/A</v>
      </c>
      <c r="E328" t="e">
        <f>VLOOKUP(B328,'SHARED FILES'!A:B,2,FALSE)</f>
        <v>#N/A</v>
      </c>
      <c r="F328" t="str">
        <f t="shared" si="10"/>
        <v/>
      </c>
    </row>
    <row r="329" spans="1:6" x14ac:dyDescent="0.55000000000000004">
      <c r="A329">
        <f t="shared" si="11"/>
        <v>329</v>
      </c>
      <c r="B329" t="s">
        <v>106</v>
      </c>
      <c r="C329" t="e">
        <f>VLOOKUP(B329,'BACKEND FILES'!A:B,2,FALSE)</f>
        <v>#N/A</v>
      </c>
      <c r="D329" t="e">
        <f>VLOOKUP(B329,'FRONTEND FILES'!A:B,2,FALSE)</f>
        <v>#N/A</v>
      </c>
      <c r="E329" t="e">
        <f>VLOOKUP(B329,'SHARED FILES'!A:B,2,FALSE)</f>
        <v>#N/A</v>
      </c>
      <c r="F329" t="str">
        <f t="shared" si="10"/>
        <v/>
      </c>
    </row>
    <row r="330" spans="1:6" x14ac:dyDescent="0.55000000000000004">
      <c r="A330">
        <f t="shared" si="11"/>
        <v>330</v>
      </c>
      <c r="B330" t="s">
        <v>140</v>
      </c>
      <c r="C330" t="e">
        <f>VLOOKUP(B330,'BACKEND FILES'!A:B,2,FALSE)</f>
        <v>#N/A</v>
      </c>
      <c r="D330" t="e">
        <f>VLOOKUP(B330,'FRONTEND FILES'!A:B,2,FALSE)</f>
        <v>#N/A</v>
      </c>
      <c r="E330" t="e">
        <f>VLOOKUP(B330,'SHARED FILES'!A:B,2,FALSE)</f>
        <v>#N/A</v>
      </c>
      <c r="F330" t="str">
        <f t="shared" si="10"/>
        <v/>
      </c>
    </row>
    <row r="331" spans="1:6" x14ac:dyDescent="0.55000000000000004">
      <c r="A331">
        <f t="shared" si="11"/>
        <v>331</v>
      </c>
      <c r="B331" t="s">
        <v>141</v>
      </c>
      <c r="C331" t="e">
        <f>VLOOKUP(B331,'BACKEND FILES'!A:B,2,FALSE)</f>
        <v>#N/A</v>
      </c>
      <c r="D331" t="e">
        <f>VLOOKUP(B331,'FRONTEND FILES'!A:B,2,FALSE)</f>
        <v>#N/A</v>
      </c>
      <c r="E331" t="e">
        <f>VLOOKUP(B331,'SHARED FILES'!A:B,2,FALSE)</f>
        <v>#N/A</v>
      </c>
      <c r="F331" t="str">
        <f t="shared" si="10"/>
        <v/>
      </c>
    </row>
    <row r="332" spans="1:6" x14ac:dyDescent="0.55000000000000004">
      <c r="A332">
        <f t="shared" si="11"/>
        <v>332</v>
      </c>
      <c r="B332" t="s">
        <v>162</v>
      </c>
      <c r="C332" t="e">
        <f>VLOOKUP(B332,'BACKEND FILES'!A:B,2,FALSE)</f>
        <v>#N/A</v>
      </c>
      <c r="D332" t="e">
        <f>VLOOKUP(B332,'FRONTEND FILES'!A:B,2,FALSE)</f>
        <v>#N/A</v>
      </c>
      <c r="E332" t="e">
        <f>VLOOKUP(B332,'SHARED FILES'!A:B,2,FALSE)</f>
        <v>#N/A</v>
      </c>
      <c r="F332" t="str">
        <f t="shared" si="10"/>
        <v/>
      </c>
    </row>
    <row r="333" spans="1:6" x14ac:dyDescent="0.55000000000000004">
      <c r="A333">
        <f t="shared" si="11"/>
        <v>333</v>
      </c>
      <c r="B333" t="s">
        <v>166</v>
      </c>
      <c r="C333" t="e">
        <f>VLOOKUP(B333,'BACKEND FILES'!A:B,2,FALSE)</f>
        <v>#N/A</v>
      </c>
      <c r="D333" t="e">
        <f>VLOOKUP(B333,'FRONTEND FILES'!A:B,2,FALSE)</f>
        <v>#N/A</v>
      </c>
      <c r="E333" t="e">
        <f>VLOOKUP(B333,'SHARED FILES'!A:B,2,FALSE)</f>
        <v>#N/A</v>
      </c>
      <c r="F333" t="str">
        <f t="shared" si="10"/>
        <v/>
      </c>
    </row>
    <row r="334" spans="1:6" x14ac:dyDescent="0.55000000000000004">
      <c r="A334">
        <f t="shared" si="11"/>
        <v>334</v>
      </c>
      <c r="B334" t="s">
        <v>1334</v>
      </c>
      <c r="C334" t="e">
        <f>VLOOKUP(B334,'BACKEND FILES'!A:B,2,FALSE)</f>
        <v>#N/A</v>
      </c>
      <c r="D334" t="str">
        <f>VLOOKUP(B334,'FRONTEND FILES'!A:B,2,FALSE)</f>
        <v>FRONTEND</v>
      </c>
      <c r="E334" t="e">
        <f>VLOOKUP(B334,'SHARED FILES'!A:B,2,FALSE)</f>
        <v>#N/A</v>
      </c>
      <c r="F334" t="str">
        <f t="shared" si="10"/>
        <v>FRONTEND</v>
      </c>
    </row>
    <row r="335" spans="1:6" x14ac:dyDescent="0.55000000000000004">
      <c r="A335">
        <f t="shared" si="11"/>
        <v>335</v>
      </c>
      <c r="B335" t="s">
        <v>167</v>
      </c>
      <c r="C335" t="e">
        <f>VLOOKUP(B335,'BACKEND FILES'!A:B,2,FALSE)</f>
        <v>#N/A</v>
      </c>
      <c r="D335" t="e">
        <f>VLOOKUP(B335,'FRONTEND FILES'!A:B,2,FALSE)</f>
        <v>#N/A</v>
      </c>
      <c r="E335" t="e">
        <f>VLOOKUP(B335,'SHARED FILES'!A:B,2,FALSE)</f>
        <v>#N/A</v>
      </c>
      <c r="F335" t="str">
        <f t="shared" si="10"/>
        <v/>
      </c>
    </row>
    <row r="336" spans="1:6" x14ac:dyDescent="0.55000000000000004">
      <c r="A336">
        <f t="shared" si="11"/>
        <v>336</v>
      </c>
      <c r="B336" t="s">
        <v>164</v>
      </c>
      <c r="C336" t="e">
        <f>VLOOKUP(B336,'BACKEND FILES'!A:B,2,FALSE)</f>
        <v>#N/A</v>
      </c>
      <c r="D336" t="e">
        <f>VLOOKUP(B336,'FRONTEND FILES'!A:B,2,FALSE)</f>
        <v>#N/A</v>
      </c>
      <c r="E336" t="e">
        <f>VLOOKUP(B336,'SHARED FILES'!A:B,2,FALSE)</f>
        <v>#N/A</v>
      </c>
      <c r="F336" t="str">
        <f t="shared" si="10"/>
        <v/>
      </c>
    </row>
    <row r="337" spans="1:6" x14ac:dyDescent="0.55000000000000004">
      <c r="A337">
        <f t="shared" si="11"/>
        <v>337</v>
      </c>
      <c r="B337" t="s">
        <v>163</v>
      </c>
      <c r="C337" t="e">
        <f>VLOOKUP(B337,'BACKEND FILES'!A:B,2,FALSE)</f>
        <v>#N/A</v>
      </c>
      <c r="D337" t="e">
        <f>VLOOKUP(B337,'FRONTEND FILES'!A:B,2,FALSE)</f>
        <v>#N/A</v>
      </c>
      <c r="E337" t="e">
        <f>VLOOKUP(B337,'SHARED FILES'!A:B,2,FALSE)</f>
        <v>#N/A</v>
      </c>
      <c r="F337" t="str">
        <f t="shared" si="10"/>
        <v/>
      </c>
    </row>
    <row r="338" spans="1:6" x14ac:dyDescent="0.55000000000000004">
      <c r="A338">
        <f t="shared" si="11"/>
        <v>338</v>
      </c>
      <c r="B338" t="s">
        <v>165</v>
      </c>
      <c r="C338" t="e">
        <f>VLOOKUP(B338,'BACKEND FILES'!A:B,2,FALSE)</f>
        <v>#N/A</v>
      </c>
      <c r="D338" t="e">
        <f>VLOOKUP(B338,'FRONTEND FILES'!A:B,2,FALSE)</f>
        <v>#N/A</v>
      </c>
      <c r="E338" t="e">
        <f>VLOOKUP(B338,'SHARED FILES'!A:B,2,FALSE)</f>
        <v>#N/A</v>
      </c>
      <c r="F338" t="str">
        <f t="shared" si="10"/>
        <v/>
      </c>
    </row>
    <row r="339" spans="1:6" x14ac:dyDescent="0.55000000000000004">
      <c r="A339">
        <f t="shared" si="11"/>
        <v>339</v>
      </c>
      <c r="B339" t="s">
        <v>125</v>
      </c>
      <c r="C339" t="e">
        <f>VLOOKUP(B339,'BACKEND FILES'!A:B,2,FALSE)</f>
        <v>#N/A</v>
      </c>
      <c r="D339" t="e">
        <f>VLOOKUP(B339,'FRONTEND FILES'!A:B,2,FALSE)</f>
        <v>#N/A</v>
      </c>
      <c r="E339" t="e">
        <f>VLOOKUP(B339,'SHARED FILES'!A:B,2,FALSE)</f>
        <v>#N/A</v>
      </c>
      <c r="F339" t="str">
        <f t="shared" si="10"/>
        <v/>
      </c>
    </row>
    <row r="340" spans="1:6" x14ac:dyDescent="0.55000000000000004">
      <c r="A340">
        <f t="shared" si="11"/>
        <v>340</v>
      </c>
      <c r="B340" t="s">
        <v>654</v>
      </c>
      <c r="C340" t="e">
        <f>VLOOKUP(B340,'BACKEND FILES'!A:B,2,FALSE)</f>
        <v>#N/A</v>
      </c>
      <c r="D340" t="e">
        <f>VLOOKUP(B340,'FRONTEND FILES'!A:B,2,FALSE)</f>
        <v>#N/A</v>
      </c>
      <c r="E340" t="e">
        <f>VLOOKUP(B340,'SHARED FILES'!A:B,2,FALSE)</f>
        <v>#N/A</v>
      </c>
      <c r="F340" t="str">
        <f t="shared" si="10"/>
        <v/>
      </c>
    </row>
    <row r="341" spans="1:6" x14ac:dyDescent="0.55000000000000004">
      <c r="A341">
        <f t="shared" si="11"/>
        <v>341</v>
      </c>
      <c r="B341" t="s">
        <v>655</v>
      </c>
      <c r="C341" t="e">
        <f>VLOOKUP(B341,'BACKEND FILES'!A:B,2,FALSE)</f>
        <v>#N/A</v>
      </c>
      <c r="D341" t="e">
        <f>VLOOKUP(B341,'FRONTEND FILES'!A:B,2,FALSE)</f>
        <v>#N/A</v>
      </c>
      <c r="E341" t="e">
        <f>VLOOKUP(B341,'SHARED FILES'!A:B,2,FALSE)</f>
        <v>#N/A</v>
      </c>
      <c r="F341" t="str">
        <f t="shared" si="10"/>
        <v/>
      </c>
    </row>
    <row r="342" spans="1:6" x14ac:dyDescent="0.55000000000000004">
      <c r="A342">
        <f t="shared" si="11"/>
        <v>342</v>
      </c>
      <c r="B342" t="s">
        <v>666</v>
      </c>
      <c r="C342" t="e">
        <f>VLOOKUP(B342,'BACKEND FILES'!A:B,2,FALSE)</f>
        <v>#N/A</v>
      </c>
      <c r="D342" t="e">
        <f>VLOOKUP(B342,'FRONTEND FILES'!A:B,2,FALSE)</f>
        <v>#N/A</v>
      </c>
      <c r="E342" t="e">
        <f>VLOOKUP(B342,'SHARED FILES'!A:B,2,FALSE)</f>
        <v>#N/A</v>
      </c>
      <c r="F342" t="str">
        <f t="shared" si="10"/>
        <v/>
      </c>
    </row>
    <row r="343" spans="1:6" x14ac:dyDescent="0.55000000000000004">
      <c r="A343">
        <f t="shared" si="11"/>
        <v>343</v>
      </c>
      <c r="B343" t="s">
        <v>656</v>
      </c>
      <c r="C343" t="e">
        <f>VLOOKUP(B343,'BACKEND FILES'!A:B,2,FALSE)</f>
        <v>#N/A</v>
      </c>
      <c r="D343" t="e">
        <f>VLOOKUP(B343,'FRONTEND FILES'!A:B,2,FALSE)</f>
        <v>#N/A</v>
      </c>
      <c r="E343" t="e">
        <f>VLOOKUP(B343,'SHARED FILES'!A:B,2,FALSE)</f>
        <v>#N/A</v>
      </c>
      <c r="F343" t="str">
        <f t="shared" si="10"/>
        <v/>
      </c>
    </row>
    <row r="344" spans="1:6" x14ac:dyDescent="0.55000000000000004">
      <c r="A344">
        <f t="shared" si="11"/>
        <v>344</v>
      </c>
      <c r="B344" t="s">
        <v>319</v>
      </c>
      <c r="C344" t="e">
        <f>VLOOKUP(B344,'BACKEND FILES'!A:B,2,FALSE)</f>
        <v>#N/A</v>
      </c>
      <c r="D344" t="e">
        <f>VLOOKUP(B344,'FRONTEND FILES'!A:B,2,FALSE)</f>
        <v>#N/A</v>
      </c>
      <c r="E344" t="e">
        <f>VLOOKUP(B344,'SHARED FILES'!A:B,2,FALSE)</f>
        <v>#N/A</v>
      </c>
      <c r="F344" t="str">
        <f t="shared" si="10"/>
        <v/>
      </c>
    </row>
    <row r="345" spans="1:6" x14ac:dyDescent="0.55000000000000004">
      <c r="A345">
        <f t="shared" si="11"/>
        <v>345</v>
      </c>
      <c r="B345" t="s">
        <v>313</v>
      </c>
      <c r="C345" t="e">
        <f>VLOOKUP(B345,'BACKEND FILES'!A:B,2,FALSE)</f>
        <v>#N/A</v>
      </c>
      <c r="D345" t="e">
        <f>VLOOKUP(B345,'FRONTEND FILES'!A:B,2,FALSE)</f>
        <v>#N/A</v>
      </c>
      <c r="E345" t="e">
        <f>VLOOKUP(B345,'SHARED FILES'!A:B,2,FALSE)</f>
        <v>#N/A</v>
      </c>
      <c r="F345" t="str">
        <f t="shared" si="10"/>
        <v/>
      </c>
    </row>
    <row r="346" spans="1:6" x14ac:dyDescent="0.55000000000000004">
      <c r="A346">
        <f t="shared" si="11"/>
        <v>346</v>
      </c>
      <c r="B346" t="s">
        <v>657</v>
      </c>
      <c r="C346" t="e">
        <f>VLOOKUP(B346,'BACKEND FILES'!A:B,2,FALSE)</f>
        <v>#N/A</v>
      </c>
      <c r="D346" t="e">
        <f>VLOOKUP(B346,'FRONTEND FILES'!A:B,2,FALSE)</f>
        <v>#N/A</v>
      </c>
      <c r="E346" t="e">
        <f>VLOOKUP(B346,'SHARED FILES'!A:B,2,FALSE)</f>
        <v>#N/A</v>
      </c>
      <c r="F346" t="str">
        <f t="shared" si="10"/>
        <v/>
      </c>
    </row>
    <row r="347" spans="1:6" x14ac:dyDescent="0.55000000000000004">
      <c r="A347">
        <f t="shared" si="11"/>
        <v>347</v>
      </c>
      <c r="B347" t="s">
        <v>303</v>
      </c>
      <c r="C347" t="e">
        <f>VLOOKUP(B347,'BACKEND FILES'!A:B,2,FALSE)</f>
        <v>#N/A</v>
      </c>
      <c r="D347" t="e">
        <f>VLOOKUP(B347,'FRONTEND FILES'!A:B,2,FALSE)</f>
        <v>#N/A</v>
      </c>
      <c r="E347" t="e">
        <f>VLOOKUP(B347,'SHARED FILES'!A:B,2,FALSE)</f>
        <v>#N/A</v>
      </c>
      <c r="F347" t="str">
        <f t="shared" si="10"/>
        <v/>
      </c>
    </row>
    <row r="348" spans="1:6" x14ac:dyDescent="0.55000000000000004">
      <c r="A348">
        <f t="shared" si="11"/>
        <v>348</v>
      </c>
      <c r="B348" t="s">
        <v>305</v>
      </c>
      <c r="C348" t="e">
        <f>VLOOKUP(B348,'BACKEND FILES'!A:B,2,FALSE)</f>
        <v>#N/A</v>
      </c>
      <c r="D348" t="e">
        <f>VLOOKUP(B348,'FRONTEND FILES'!A:B,2,FALSE)</f>
        <v>#N/A</v>
      </c>
      <c r="E348" t="e">
        <f>VLOOKUP(B348,'SHARED FILES'!A:B,2,FALSE)</f>
        <v>#N/A</v>
      </c>
      <c r="F348" t="str">
        <f t="shared" si="10"/>
        <v/>
      </c>
    </row>
    <row r="349" spans="1:6" x14ac:dyDescent="0.55000000000000004">
      <c r="A349">
        <f t="shared" si="11"/>
        <v>349</v>
      </c>
      <c r="B349" t="s">
        <v>306</v>
      </c>
      <c r="C349" t="e">
        <f>VLOOKUP(B349,'BACKEND FILES'!A:B,2,FALSE)</f>
        <v>#N/A</v>
      </c>
      <c r="D349" t="e">
        <f>VLOOKUP(B349,'FRONTEND FILES'!A:B,2,FALSE)</f>
        <v>#N/A</v>
      </c>
      <c r="E349" t="e">
        <f>VLOOKUP(B349,'SHARED FILES'!A:B,2,FALSE)</f>
        <v>#N/A</v>
      </c>
      <c r="F349" t="str">
        <f t="shared" si="10"/>
        <v/>
      </c>
    </row>
    <row r="350" spans="1:6" x14ac:dyDescent="0.55000000000000004">
      <c r="A350">
        <f t="shared" si="11"/>
        <v>350</v>
      </c>
      <c r="B350" t="s">
        <v>307</v>
      </c>
      <c r="C350" t="e">
        <f>VLOOKUP(B350,'BACKEND FILES'!A:B,2,FALSE)</f>
        <v>#N/A</v>
      </c>
      <c r="D350" t="e">
        <f>VLOOKUP(B350,'FRONTEND FILES'!A:B,2,FALSE)</f>
        <v>#N/A</v>
      </c>
      <c r="E350" t="e">
        <f>VLOOKUP(B350,'SHARED FILES'!A:B,2,FALSE)</f>
        <v>#N/A</v>
      </c>
      <c r="F350" t="str">
        <f t="shared" si="10"/>
        <v/>
      </c>
    </row>
    <row r="351" spans="1:6" x14ac:dyDescent="0.55000000000000004">
      <c r="A351">
        <f t="shared" si="11"/>
        <v>351</v>
      </c>
      <c r="B351" t="s">
        <v>304</v>
      </c>
      <c r="C351" t="e">
        <f>VLOOKUP(B351,'BACKEND FILES'!A:B,2,FALSE)</f>
        <v>#N/A</v>
      </c>
      <c r="D351" t="e">
        <f>VLOOKUP(B351,'FRONTEND FILES'!A:B,2,FALSE)</f>
        <v>#N/A</v>
      </c>
      <c r="E351" t="e">
        <f>VLOOKUP(B351,'SHARED FILES'!A:B,2,FALSE)</f>
        <v>#N/A</v>
      </c>
      <c r="F351" t="str">
        <f t="shared" si="10"/>
        <v/>
      </c>
    </row>
    <row r="352" spans="1:6" x14ac:dyDescent="0.55000000000000004">
      <c r="A352">
        <f t="shared" si="11"/>
        <v>352</v>
      </c>
      <c r="B352" t="s">
        <v>315</v>
      </c>
      <c r="C352" t="e">
        <f>VLOOKUP(B352,'BACKEND FILES'!A:B,2,FALSE)</f>
        <v>#N/A</v>
      </c>
      <c r="D352" t="e">
        <f>VLOOKUP(B352,'FRONTEND FILES'!A:B,2,FALSE)</f>
        <v>#N/A</v>
      </c>
      <c r="E352" t="e">
        <f>VLOOKUP(B352,'SHARED FILES'!A:B,2,FALSE)</f>
        <v>#N/A</v>
      </c>
      <c r="F352" t="str">
        <f t="shared" si="10"/>
        <v/>
      </c>
    </row>
    <row r="353" spans="1:6" x14ac:dyDescent="0.55000000000000004">
      <c r="A353">
        <f t="shared" si="11"/>
        <v>353</v>
      </c>
      <c r="B353" t="s">
        <v>658</v>
      </c>
      <c r="C353" t="e">
        <f>VLOOKUP(B353,'BACKEND FILES'!A:B,2,FALSE)</f>
        <v>#N/A</v>
      </c>
      <c r="D353" t="e">
        <f>VLOOKUP(B353,'FRONTEND FILES'!A:B,2,FALSE)</f>
        <v>#N/A</v>
      </c>
      <c r="E353" t="e">
        <f>VLOOKUP(B353,'SHARED FILES'!A:B,2,FALSE)</f>
        <v>#N/A</v>
      </c>
      <c r="F353" t="str">
        <f t="shared" si="10"/>
        <v/>
      </c>
    </row>
    <row r="354" spans="1:6" x14ac:dyDescent="0.55000000000000004">
      <c r="A354">
        <f t="shared" si="11"/>
        <v>354</v>
      </c>
      <c r="B354" t="s">
        <v>659</v>
      </c>
      <c r="C354" t="e">
        <f>VLOOKUP(B354,'BACKEND FILES'!A:B,2,FALSE)</f>
        <v>#N/A</v>
      </c>
      <c r="D354" t="e">
        <f>VLOOKUP(B354,'FRONTEND FILES'!A:B,2,FALSE)</f>
        <v>#N/A</v>
      </c>
      <c r="E354" t="e">
        <f>VLOOKUP(B354,'SHARED FILES'!A:B,2,FALSE)</f>
        <v>#N/A</v>
      </c>
      <c r="F354" t="str">
        <f t="shared" si="10"/>
        <v/>
      </c>
    </row>
    <row r="355" spans="1:6" x14ac:dyDescent="0.55000000000000004">
      <c r="A355">
        <f t="shared" si="11"/>
        <v>355</v>
      </c>
      <c r="B355" t="s">
        <v>660</v>
      </c>
      <c r="C355" t="e">
        <f>VLOOKUP(B355,'BACKEND FILES'!A:B,2,FALSE)</f>
        <v>#N/A</v>
      </c>
      <c r="D355" t="e">
        <f>VLOOKUP(B355,'FRONTEND FILES'!A:B,2,FALSE)</f>
        <v>#N/A</v>
      </c>
      <c r="E355" t="e">
        <f>VLOOKUP(B355,'SHARED FILES'!A:B,2,FALSE)</f>
        <v>#N/A</v>
      </c>
      <c r="F355" t="str">
        <f t="shared" si="10"/>
        <v/>
      </c>
    </row>
    <row r="356" spans="1:6" x14ac:dyDescent="0.55000000000000004">
      <c r="A356">
        <f t="shared" si="11"/>
        <v>356</v>
      </c>
      <c r="B356" t="s">
        <v>661</v>
      </c>
      <c r="C356" t="e">
        <f>VLOOKUP(B356,'BACKEND FILES'!A:B,2,FALSE)</f>
        <v>#N/A</v>
      </c>
      <c r="D356" t="e">
        <f>VLOOKUP(B356,'FRONTEND FILES'!A:B,2,FALSE)</f>
        <v>#N/A</v>
      </c>
      <c r="E356" t="e">
        <f>VLOOKUP(B356,'SHARED FILES'!A:B,2,FALSE)</f>
        <v>#N/A</v>
      </c>
      <c r="F356" t="str">
        <f t="shared" si="10"/>
        <v/>
      </c>
    </row>
    <row r="357" spans="1:6" x14ac:dyDescent="0.55000000000000004">
      <c r="A357">
        <f t="shared" si="11"/>
        <v>357</v>
      </c>
      <c r="B357" t="s">
        <v>308</v>
      </c>
      <c r="C357" t="e">
        <f>VLOOKUP(B357,'BACKEND FILES'!A:B,2,FALSE)</f>
        <v>#N/A</v>
      </c>
      <c r="D357" t="e">
        <f>VLOOKUP(B357,'FRONTEND FILES'!A:B,2,FALSE)</f>
        <v>#N/A</v>
      </c>
      <c r="E357" t="e">
        <f>VLOOKUP(B357,'SHARED FILES'!A:B,2,FALSE)</f>
        <v>#N/A</v>
      </c>
      <c r="F357" t="str">
        <f t="shared" si="10"/>
        <v/>
      </c>
    </row>
    <row r="358" spans="1:6" x14ac:dyDescent="0.55000000000000004">
      <c r="A358">
        <f t="shared" si="11"/>
        <v>358</v>
      </c>
      <c r="B358" t="s">
        <v>662</v>
      </c>
      <c r="C358" t="e">
        <f>VLOOKUP(B358,'BACKEND FILES'!A:B,2,FALSE)</f>
        <v>#N/A</v>
      </c>
      <c r="D358" t="e">
        <f>VLOOKUP(B358,'FRONTEND FILES'!A:B,2,FALSE)</f>
        <v>#N/A</v>
      </c>
      <c r="E358" t="e">
        <f>VLOOKUP(B358,'SHARED FILES'!A:B,2,FALSE)</f>
        <v>#N/A</v>
      </c>
      <c r="F358" t="str">
        <f t="shared" si="10"/>
        <v/>
      </c>
    </row>
    <row r="359" spans="1:6" x14ac:dyDescent="0.55000000000000004">
      <c r="A359">
        <f t="shared" si="11"/>
        <v>359</v>
      </c>
      <c r="B359" t="s">
        <v>663</v>
      </c>
      <c r="C359" t="e">
        <f>VLOOKUP(B359,'BACKEND FILES'!A:B,2,FALSE)</f>
        <v>#N/A</v>
      </c>
      <c r="D359" t="e">
        <f>VLOOKUP(B359,'FRONTEND FILES'!A:B,2,FALSE)</f>
        <v>#N/A</v>
      </c>
      <c r="E359" t="e">
        <f>VLOOKUP(B359,'SHARED FILES'!A:B,2,FALSE)</f>
        <v>#N/A</v>
      </c>
      <c r="F359" t="str">
        <f t="shared" si="10"/>
        <v/>
      </c>
    </row>
    <row r="360" spans="1:6" x14ac:dyDescent="0.55000000000000004">
      <c r="A360">
        <f t="shared" si="11"/>
        <v>360</v>
      </c>
      <c r="B360" t="s">
        <v>320</v>
      </c>
      <c r="C360" t="e">
        <f>VLOOKUP(B360,'BACKEND FILES'!A:B,2,FALSE)</f>
        <v>#N/A</v>
      </c>
      <c r="D360" t="e">
        <f>VLOOKUP(B360,'FRONTEND FILES'!A:B,2,FALSE)</f>
        <v>#N/A</v>
      </c>
      <c r="E360" t="e">
        <f>VLOOKUP(B360,'SHARED FILES'!A:B,2,FALSE)</f>
        <v>#N/A</v>
      </c>
      <c r="F360" t="str">
        <f t="shared" si="10"/>
        <v/>
      </c>
    </row>
    <row r="361" spans="1:6" x14ac:dyDescent="0.55000000000000004">
      <c r="A361">
        <f t="shared" si="11"/>
        <v>361</v>
      </c>
      <c r="B361" t="s">
        <v>317</v>
      </c>
      <c r="C361" t="e">
        <f>VLOOKUP(B361,'BACKEND FILES'!A:B,2,FALSE)</f>
        <v>#N/A</v>
      </c>
      <c r="D361" t="e">
        <f>VLOOKUP(B361,'FRONTEND FILES'!A:B,2,FALSE)</f>
        <v>#N/A</v>
      </c>
      <c r="E361" t="e">
        <f>VLOOKUP(B361,'SHARED FILES'!A:B,2,FALSE)</f>
        <v>#N/A</v>
      </c>
      <c r="F361" t="str">
        <f t="shared" si="10"/>
        <v/>
      </c>
    </row>
    <row r="362" spans="1:6" x14ac:dyDescent="0.55000000000000004">
      <c r="A362">
        <f t="shared" si="11"/>
        <v>362</v>
      </c>
      <c r="B362" t="s">
        <v>310</v>
      </c>
      <c r="C362" t="e">
        <f>VLOOKUP(B362,'BACKEND FILES'!A:B,2,FALSE)</f>
        <v>#N/A</v>
      </c>
      <c r="D362" t="e">
        <f>VLOOKUP(B362,'FRONTEND FILES'!A:B,2,FALSE)</f>
        <v>#N/A</v>
      </c>
      <c r="E362" t="e">
        <f>VLOOKUP(B362,'SHARED FILES'!A:B,2,FALSE)</f>
        <v>#N/A</v>
      </c>
      <c r="F362" t="str">
        <f t="shared" si="10"/>
        <v/>
      </c>
    </row>
    <row r="363" spans="1:6" x14ac:dyDescent="0.55000000000000004">
      <c r="A363">
        <f t="shared" si="11"/>
        <v>363</v>
      </c>
      <c r="B363" t="s">
        <v>664</v>
      </c>
      <c r="C363" t="e">
        <f>VLOOKUP(B363,'BACKEND FILES'!A:B,2,FALSE)</f>
        <v>#N/A</v>
      </c>
      <c r="D363" t="e">
        <f>VLOOKUP(B363,'FRONTEND FILES'!A:B,2,FALSE)</f>
        <v>#N/A</v>
      </c>
      <c r="E363" t="e">
        <f>VLOOKUP(B363,'SHARED FILES'!A:B,2,FALSE)</f>
        <v>#N/A</v>
      </c>
      <c r="F363" t="str">
        <f t="shared" si="10"/>
        <v/>
      </c>
    </row>
    <row r="364" spans="1:6" x14ac:dyDescent="0.55000000000000004">
      <c r="A364">
        <f t="shared" si="11"/>
        <v>364</v>
      </c>
      <c r="B364" t="s">
        <v>665</v>
      </c>
      <c r="C364" t="e">
        <f>VLOOKUP(B364,'BACKEND FILES'!A:B,2,FALSE)</f>
        <v>#N/A</v>
      </c>
      <c r="D364" t="e">
        <f>VLOOKUP(B364,'FRONTEND FILES'!A:B,2,FALSE)</f>
        <v>#N/A</v>
      </c>
      <c r="E364" t="e">
        <f>VLOOKUP(B364,'SHARED FILES'!A:B,2,FALSE)</f>
        <v>#N/A</v>
      </c>
      <c r="F364" t="str">
        <f t="shared" si="10"/>
        <v/>
      </c>
    </row>
    <row r="365" spans="1:6" x14ac:dyDescent="0.55000000000000004">
      <c r="A365">
        <f t="shared" si="11"/>
        <v>365</v>
      </c>
      <c r="B365" t="s">
        <v>115</v>
      </c>
      <c r="C365" t="e">
        <f>VLOOKUP(B365,'BACKEND FILES'!A:B,2,FALSE)</f>
        <v>#N/A</v>
      </c>
      <c r="D365" t="e">
        <f>VLOOKUP(B365,'FRONTEND FILES'!A:B,2,FALSE)</f>
        <v>#N/A</v>
      </c>
      <c r="E365" t="e">
        <f>VLOOKUP(B365,'SHARED FILES'!A:B,2,FALSE)</f>
        <v>#N/A</v>
      </c>
      <c r="F365" t="str">
        <f t="shared" si="10"/>
        <v/>
      </c>
    </row>
    <row r="366" spans="1:6" x14ac:dyDescent="0.55000000000000004">
      <c r="A366">
        <f t="shared" si="11"/>
        <v>366</v>
      </c>
      <c r="B366" t="s">
        <v>116</v>
      </c>
      <c r="C366" t="e">
        <f>VLOOKUP(B366,'BACKEND FILES'!A:B,2,FALSE)</f>
        <v>#N/A</v>
      </c>
      <c r="D366" t="e">
        <f>VLOOKUP(B366,'FRONTEND FILES'!A:B,2,FALSE)</f>
        <v>#N/A</v>
      </c>
      <c r="E366" t="e">
        <f>VLOOKUP(B366,'SHARED FILES'!A:B,2,FALSE)</f>
        <v>#N/A</v>
      </c>
      <c r="F366" t="str">
        <f t="shared" si="10"/>
        <v/>
      </c>
    </row>
    <row r="367" spans="1:6" x14ac:dyDescent="0.55000000000000004">
      <c r="A367">
        <f t="shared" si="11"/>
        <v>367</v>
      </c>
      <c r="B367" t="s">
        <v>117</v>
      </c>
      <c r="C367" t="e">
        <f>VLOOKUP(B367,'BACKEND FILES'!A:B,2,FALSE)</f>
        <v>#N/A</v>
      </c>
      <c r="D367" t="e">
        <f>VLOOKUP(B367,'FRONTEND FILES'!A:B,2,FALSE)</f>
        <v>#N/A</v>
      </c>
      <c r="E367" t="e">
        <f>VLOOKUP(B367,'SHARED FILES'!A:B,2,FALSE)</f>
        <v>#N/A</v>
      </c>
      <c r="F367" t="str">
        <f t="shared" si="10"/>
        <v/>
      </c>
    </row>
    <row r="368" spans="1:6" x14ac:dyDescent="0.55000000000000004">
      <c r="A368">
        <f t="shared" si="11"/>
        <v>368</v>
      </c>
      <c r="B368" t="s">
        <v>1446</v>
      </c>
      <c r="C368" t="str">
        <f>VLOOKUP(B368,'BACKEND FILES'!A:B,2,FALSE)</f>
        <v>BACKEND</v>
      </c>
      <c r="D368" t="e">
        <f>VLOOKUP(B368,'FRONTEND FILES'!A:B,2,FALSE)</f>
        <v>#N/A</v>
      </c>
      <c r="E368" t="e">
        <f>VLOOKUP(B368,'SHARED FILES'!A:B,2,FALSE)</f>
        <v>#N/A</v>
      </c>
      <c r="F368" t="str">
        <f t="shared" si="10"/>
        <v>BACKEND</v>
      </c>
    </row>
    <row r="369" spans="1:6" x14ac:dyDescent="0.55000000000000004">
      <c r="A369">
        <f t="shared" si="11"/>
        <v>369</v>
      </c>
      <c r="B369" t="s">
        <v>672</v>
      </c>
      <c r="C369" t="e">
        <f>VLOOKUP(B369,'BACKEND FILES'!A:B,2,FALSE)</f>
        <v>#N/A</v>
      </c>
      <c r="D369" t="e">
        <f>VLOOKUP(B369,'FRONTEND FILES'!A:B,2,FALSE)</f>
        <v>#N/A</v>
      </c>
      <c r="E369" t="e">
        <f>VLOOKUP(B369,'SHARED FILES'!A:B,2,FALSE)</f>
        <v>#N/A</v>
      </c>
      <c r="F369" t="str">
        <f t="shared" si="10"/>
        <v/>
      </c>
    </row>
    <row r="370" spans="1:6" x14ac:dyDescent="0.55000000000000004">
      <c r="A370">
        <f t="shared" si="11"/>
        <v>370</v>
      </c>
      <c r="B370" t="s">
        <v>673</v>
      </c>
      <c r="C370" t="e">
        <f>VLOOKUP(B370,'BACKEND FILES'!A:B,2,FALSE)</f>
        <v>#N/A</v>
      </c>
      <c r="D370" t="e">
        <f>VLOOKUP(B370,'FRONTEND FILES'!A:B,2,FALSE)</f>
        <v>#N/A</v>
      </c>
      <c r="E370" t="e">
        <f>VLOOKUP(B370,'SHARED FILES'!A:B,2,FALSE)</f>
        <v>#N/A</v>
      </c>
      <c r="F370" t="str">
        <f t="shared" si="10"/>
        <v/>
      </c>
    </row>
    <row r="371" spans="1:6" x14ac:dyDescent="0.55000000000000004">
      <c r="A371">
        <f t="shared" si="11"/>
        <v>371</v>
      </c>
      <c r="B371" t="s">
        <v>674</v>
      </c>
      <c r="C371" t="e">
        <f>VLOOKUP(B371,'BACKEND FILES'!A:B,2,FALSE)</f>
        <v>#N/A</v>
      </c>
      <c r="D371" t="e">
        <f>VLOOKUP(B371,'FRONTEND FILES'!A:B,2,FALSE)</f>
        <v>#N/A</v>
      </c>
      <c r="E371" t="e">
        <f>VLOOKUP(B371,'SHARED FILES'!A:B,2,FALSE)</f>
        <v>#N/A</v>
      </c>
      <c r="F371" t="str">
        <f t="shared" si="10"/>
        <v/>
      </c>
    </row>
    <row r="372" spans="1:6" x14ac:dyDescent="0.55000000000000004">
      <c r="A372">
        <f t="shared" si="11"/>
        <v>372</v>
      </c>
      <c r="B372" t="s">
        <v>675</v>
      </c>
      <c r="C372" t="e">
        <f>VLOOKUP(B372,'BACKEND FILES'!A:B,2,FALSE)</f>
        <v>#N/A</v>
      </c>
      <c r="D372" t="e">
        <f>VLOOKUP(B372,'FRONTEND FILES'!A:B,2,FALSE)</f>
        <v>#N/A</v>
      </c>
      <c r="E372" t="e">
        <f>VLOOKUP(B372,'SHARED FILES'!A:B,2,FALSE)</f>
        <v>#N/A</v>
      </c>
      <c r="F372" t="str">
        <f t="shared" si="10"/>
        <v/>
      </c>
    </row>
    <row r="373" spans="1:6" x14ac:dyDescent="0.55000000000000004">
      <c r="A373">
        <f t="shared" si="11"/>
        <v>373</v>
      </c>
      <c r="B373" t="s">
        <v>1335</v>
      </c>
      <c r="C373" t="e">
        <f>VLOOKUP(B373,'BACKEND FILES'!A:B,2,FALSE)</f>
        <v>#N/A</v>
      </c>
      <c r="D373" t="str">
        <f>VLOOKUP(B373,'FRONTEND FILES'!A:B,2,FALSE)</f>
        <v>FRONTEND</v>
      </c>
      <c r="E373" t="e">
        <f>VLOOKUP(B373,'SHARED FILES'!A:B,2,FALSE)</f>
        <v>#N/A</v>
      </c>
      <c r="F373" t="str">
        <f t="shared" si="10"/>
        <v>FRONTEND</v>
      </c>
    </row>
    <row r="374" spans="1:6" x14ac:dyDescent="0.55000000000000004">
      <c r="A374">
        <f t="shared" si="11"/>
        <v>374</v>
      </c>
      <c r="B374" t="s">
        <v>1336</v>
      </c>
      <c r="C374" t="e">
        <f>VLOOKUP(B374,'BACKEND FILES'!A:B,2,FALSE)</f>
        <v>#N/A</v>
      </c>
      <c r="D374" t="str">
        <f>VLOOKUP(B374,'FRONTEND FILES'!A:B,2,FALSE)</f>
        <v>FRONTEND</v>
      </c>
      <c r="E374" t="e">
        <f>VLOOKUP(B374,'SHARED FILES'!A:B,2,FALSE)</f>
        <v>#N/A</v>
      </c>
      <c r="F374" t="str">
        <f t="shared" si="10"/>
        <v>FRONTEND</v>
      </c>
    </row>
    <row r="375" spans="1:6" x14ac:dyDescent="0.55000000000000004">
      <c r="A375">
        <f t="shared" si="11"/>
        <v>375</v>
      </c>
      <c r="B375" t="s">
        <v>1337</v>
      </c>
      <c r="C375" t="e">
        <f>VLOOKUP(B375,'BACKEND FILES'!A:B,2,FALSE)</f>
        <v>#N/A</v>
      </c>
      <c r="D375" t="str">
        <f>VLOOKUP(B375,'FRONTEND FILES'!A:B,2,FALSE)</f>
        <v>FRONTEND</v>
      </c>
      <c r="E375" t="e">
        <f>VLOOKUP(B375,'SHARED FILES'!A:B,2,FALSE)</f>
        <v>#N/A</v>
      </c>
      <c r="F375" t="str">
        <f t="shared" si="10"/>
        <v>FRONTEND</v>
      </c>
    </row>
    <row r="376" spans="1:6" x14ac:dyDescent="0.55000000000000004">
      <c r="A376">
        <f t="shared" si="11"/>
        <v>376</v>
      </c>
      <c r="B376" t="s">
        <v>1338</v>
      </c>
      <c r="C376" t="e">
        <f>VLOOKUP(B376,'BACKEND FILES'!A:B,2,FALSE)</f>
        <v>#N/A</v>
      </c>
      <c r="D376" t="str">
        <f>VLOOKUP(B376,'FRONTEND FILES'!A:B,2,FALSE)</f>
        <v>FRONTEND</v>
      </c>
      <c r="E376" t="e">
        <f>VLOOKUP(B376,'SHARED FILES'!A:B,2,FALSE)</f>
        <v>#N/A</v>
      </c>
      <c r="F376" t="str">
        <f t="shared" si="10"/>
        <v>FRONTEND</v>
      </c>
    </row>
    <row r="377" spans="1:6" x14ac:dyDescent="0.55000000000000004">
      <c r="A377">
        <f t="shared" si="11"/>
        <v>377</v>
      </c>
      <c r="B377" t="s">
        <v>1339</v>
      </c>
      <c r="C377" t="e">
        <f>VLOOKUP(B377,'BACKEND FILES'!A:B,2,FALSE)</f>
        <v>#N/A</v>
      </c>
      <c r="D377" t="str">
        <f>VLOOKUP(B377,'FRONTEND FILES'!A:B,2,FALSE)</f>
        <v>FRONTEND</v>
      </c>
      <c r="E377" t="e">
        <f>VLOOKUP(B377,'SHARED FILES'!A:B,2,FALSE)</f>
        <v>#N/A</v>
      </c>
      <c r="F377" t="str">
        <f t="shared" si="10"/>
        <v>FRONTEND</v>
      </c>
    </row>
    <row r="378" spans="1:6" x14ac:dyDescent="0.55000000000000004">
      <c r="A378">
        <f t="shared" si="11"/>
        <v>378</v>
      </c>
      <c r="B378" t="s">
        <v>1340</v>
      </c>
      <c r="C378" t="e">
        <f>VLOOKUP(B378,'BACKEND FILES'!A:B,2,FALSE)</f>
        <v>#N/A</v>
      </c>
      <c r="D378" t="str">
        <f>VLOOKUP(B378,'FRONTEND FILES'!A:B,2,FALSE)</f>
        <v>FRONTEND</v>
      </c>
      <c r="E378" t="e">
        <f>VLOOKUP(B378,'SHARED FILES'!A:B,2,FALSE)</f>
        <v>#N/A</v>
      </c>
      <c r="F378" t="str">
        <f t="shared" si="10"/>
        <v>FRONTEND</v>
      </c>
    </row>
    <row r="379" spans="1:6" x14ac:dyDescent="0.55000000000000004">
      <c r="A379">
        <f t="shared" si="11"/>
        <v>379</v>
      </c>
      <c r="B379" t="s">
        <v>1341</v>
      </c>
      <c r="C379" t="e">
        <f>VLOOKUP(B379,'BACKEND FILES'!A:B,2,FALSE)</f>
        <v>#N/A</v>
      </c>
      <c r="D379" t="str">
        <f>VLOOKUP(B379,'FRONTEND FILES'!A:B,2,FALSE)</f>
        <v>FRONTEND</v>
      </c>
      <c r="E379" t="e">
        <f>VLOOKUP(B379,'SHARED FILES'!A:B,2,FALSE)</f>
        <v>#N/A</v>
      </c>
      <c r="F379" t="str">
        <f t="shared" si="10"/>
        <v>FRONTEND</v>
      </c>
    </row>
    <row r="380" spans="1:6" x14ac:dyDescent="0.55000000000000004">
      <c r="A380">
        <f t="shared" si="11"/>
        <v>380</v>
      </c>
      <c r="B380" t="s">
        <v>1342</v>
      </c>
      <c r="C380" t="e">
        <f>VLOOKUP(B380,'BACKEND FILES'!A:B,2,FALSE)</f>
        <v>#N/A</v>
      </c>
      <c r="D380" t="str">
        <f>VLOOKUP(B380,'FRONTEND FILES'!A:B,2,FALSE)</f>
        <v>FRONTEND</v>
      </c>
      <c r="E380" t="e">
        <f>VLOOKUP(B380,'SHARED FILES'!A:B,2,FALSE)</f>
        <v>#N/A</v>
      </c>
      <c r="F380" t="str">
        <f t="shared" si="10"/>
        <v>FRONTEND</v>
      </c>
    </row>
    <row r="381" spans="1:6" x14ac:dyDescent="0.55000000000000004">
      <c r="A381">
        <f t="shared" si="11"/>
        <v>381</v>
      </c>
      <c r="B381" t="s">
        <v>1343</v>
      </c>
      <c r="C381" t="str">
        <f>VLOOKUP(B381,'BACKEND FILES'!A:B,2,FALSE)</f>
        <v>BACKEND</v>
      </c>
      <c r="D381" t="e">
        <f>VLOOKUP(B381,'FRONTEND FILES'!A:B,2,FALSE)</f>
        <v>#N/A</v>
      </c>
      <c r="E381" t="e">
        <f>VLOOKUP(B381,'SHARED FILES'!A:B,2,FALSE)</f>
        <v>#N/A</v>
      </c>
      <c r="F381" t="str">
        <f t="shared" si="10"/>
        <v>BACKEND</v>
      </c>
    </row>
    <row r="382" spans="1:6" x14ac:dyDescent="0.55000000000000004">
      <c r="A382">
        <f t="shared" si="11"/>
        <v>382</v>
      </c>
      <c r="B382" t="s">
        <v>1344</v>
      </c>
      <c r="C382" t="str">
        <f>VLOOKUP(B382,'BACKEND FILES'!A:B,2,FALSE)</f>
        <v>BACKEND</v>
      </c>
      <c r="D382" t="e">
        <f>VLOOKUP(B382,'FRONTEND FILES'!A:B,2,FALSE)</f>
        <v>#N/A</v>
      </c>
      <c r="E382" t="e">
        <f>VLOOKUP(B382,'SHARED FILES'!A:B,2,FALSE)</f>
        <v>#N/A</v>
      </c>
      <c r="F382" t="str">
        <f t="shared" si="10"/>
        <v>BACKEND</v>
      </c>
    </row>
    <row r="383" spans="1:6" x14ac:dyDescent="0.55000000000000004">
      <c r="A383">
        <f t="shared" si="11"/>
        <v>383</v>
      </c>
      <c r="B383" t="s">
        <v>1345</v>
      </c>
      <c r="C383" t="str">
        <f>VLOOKUP(B383,'BACKEND FILES'!A:B,2,FALSE)</f>
        <v>BACKEND</v>
      </c>
      <c r="D383" t="e">
        <f>VLOOKUP(B383,'FRONTEND FILES'!A:B,2,FALSE)</f>
        <v>#N/A</v>
      </c>
      <c r="E383" t="e">
        <f>VLOOKUP(B383,'SHARED FILES'!A:B,2,FALSE)</f>
        <v>#N/A</v>
      </c>
      <c r="F383" t="str">
        <f t="shared" si="10"/>
        <v>BACKEND</v>
      </c>
    </row>
    <row r="384" spans="1:6" x14ac:dyDescent="0.55000000000000004">
      <c r="A384">
        <f t="shared" si="11"/>
        <v>384</v>
      </c>
      <c r="B384" t="s">
        <v>1346</v>
      </c>
      <c r="C384" t="str">
        <f>VLOOKUP(B384,'BACKEND FILES'!A:B,2,FALSE)</f>
        <v>BACKEND</v>
      </c>
      <c r="D384" t="e">
        <f>VLOOKUP(B384,'FRONTEND FILES'!A:B,2,FALSE)</f>
        <v>#N/A</v>
      </c>
      <c r="E384" t="e">
        <f>VLOOKUP(B384,'SHARED FILES'!A:B,2,FALSE)</f>
        <v>#N/A</v>
      </c>
      <c r="F384" t="str">
        <f t="shared" si="10"/>
        <v>BACKEND</v>
      </c>
    </row>
    <row r="385" spans="1:6" x14ac:dyDescent="0.55000000000000004">
      <c r="A385">
        <f t="shared" si="11"/>
        <v>385</v>
      </c>
      <c r="B385" t="s">
        <v>1347</v>
      </c>
      <c r="C385" t="str">
        <f>VLOOKUP(B385,'BACKEND FILES'!A:B,2,FALSE)</f>
        <v>BACKEND</v>
      </c>
      <c r="D385" t="e">
        <f>VLOOKUP(B385,'FRONTEND FILES'!A:B,2,FALSE)</f>
        <v>#N/A</v>
      </c>
      <c r="E385" t="e">
        <f>VLOOKUP(B385,'SHARED FILES'!A:B,2,FALSE)</f>
        <v>#N/A</v>
      </c>
      <c r="F385" t="str">
        <f t="shared" si="10"/>
        <v>BACKEND</v>
      </c>
    </row>
    <row r="386" spans="1:6" x14ac:dyDescent="0.55000000000000004">
      <c r="A386">
        <f t="shared" si="11"/>
        <v>386</v>
      </c>
      <c r="B386" t="s">
        <v>1348</v>
      </c>
      <c r="C386" t="str">
        <f>VLOOKUP(B386,'BACKEND FILES'!A:B,2,FALSE)</f>
        <v>BACKEND</v>
      </c>
      <c r="D386" t="e">
        <f>VLOOKUP(B386,'FRONTEND FILES'!A:B,2,FALSE)</f>
        <v>#N/A</v>
      </c>
      <c r="E386" t="e">
        <f>VLOOKUP(B386,'SHARED FILES'!A:B,2,FALSE)</f>
        <v>#N/A</v>
      </c>
      <c r="F386" t="str">
        <f t="shared" ref="F386:F449" si="12">_xlfn.IFNA(C386, _xlfn.IFNA(D386, _xlfn.IFNA(E386, "")))</f>
        <v>BACKEND</v>
      </c>
    </row>
    <row r="387" spans="1:6" x14ac:dyDescent="0.55000000000000004">
      <c r="A387">
        <f t="shared" ref="A387:A450" si="13">A386+1</f>
        <v>387</v>
      </c>
      <c r="B387" t="s">
        <v>1349</v>
      </c>
      <c r="C387" t="str">
        <f>VLOOKUP(B387,'BACKEND FILES'!A:B,2,FALSE)</f>
        <v>BACKEND</v>
      </c>
      <c r="D387" t="e">
        <f>VLOOKUP(B387,'FRONTEND FILES'!A:B,2,FALSE)</f>
        <v>#N/A</v>
      </c>
      <c r="E387" t="e">
        <f>VLOOKUP(B387,'SHARED FILES'!A:B,2,FALSE)</f>
        <v>#N/A</v>
      </c>
      <c r="F387" t="str">
        <f t="shared" si="12"/>
        <v>BACKEND</v>
      </c>
    </row>
    <row r="388" spans="1:6" x14ac:dyDescent="0.55000000000000004">
      <c r="A388">
        <f t="shared" si="13"/>
        <v>388</v>
      </c>
      <c r="B388" t="s">
        <v>1350</v>
      </c>
      <c r="C388" t="str">
        <f>VLOOKUP(B388,'BACKEND FILES'!A:B,2,FALSE)</f>
        <v>BACKEND</v>
      </c>
      <c r="D388" t="e">
        <f>VLOOKUP(B388,'FRONTEND FILES'!A:B,2,FALSE)</f>
        <v>#N/A</v>
      </c>
      <c r="E388" t="e">
        <f>VLOOKUP(B388,'SHARED FILES'!A:B,2,FALSE)</f>
        <v>#N/A</v>
      </c>
      <c r="F388" t="str">
        <f t="shared" si="12"/>
        <v>BACKEND</v>
      </c>
    </row>
    <row r="389" spans="1:6" x14ac:dyDescent="0.55000000000000004">
      <c r="A389">
        <f t="shared" si="13"/>
        <v>389</v>
      </c>
      <c r="B389" t="s">
        <v>1351</v>
      </c>
      <c r="C389" t="str">
        <f>VLOOKUP(B389,'BACKEND FILES'!A:B,2,FALSE)</f>
        <v>BACKEND</v>
      </c>
      <c r="D389" t="e">
        <f>VLOOKUP(B389,'FRONTEND FILES'!A:B,2,FALSE)</f>
        <v>#N/A</v>
      </c>
      <c r="E389" t="e">
        <f>VLOOKUP(B389,'SHARED FILES'!A:B,2,FALSE)</f>
        <v>#N/A</v>
      </c>
      <c r="F389" t="str">
        <f t="shared" si="12"/>
        <v>BACKEND</v>
      </c>
    </row>
    <row r="390" spans="1:6" x14ac:dyDescent="0.55000000000000004">
      <c r="A390">
        <f t="shared" si="13"/>
        <v>390</v>
      </c>
      <c r="B390" t="s">
        <v>1352</v>
      </c>
      <c r="C390" t="str">
        <f>VLOOKUP(B390,'BACKEND FILES'!A:B,2,FALSE)</f>
        <v>BACKEND</v>
      </c>
      <c r="D390" t="e">
        <f>VLOOKUP(B390,'FRONTEND FILES'!A:B,2,FALSE)</f>
        <v>#N/A</v>
      </c>
      <c r="E390" t="e">
        <f>VLOOKUP(B390,'SHARED FILES'!A:B,2,FALSE)</f>
        <v>#N/A</v>
      </c>
      <c r="F390" t="str">
        <f t="shared" si="12"/>
        <v>BACKEND</v>
      </c>
    </row>
    <row r="391" spans="1:6" x14ac:dyDescent="0.55000000000000004">
      <c r="A391">
        <f t="shared" si="13"/>
        <v>391</v>
      </c>
      <c r="B391" t="s">
        <v>1353</v>
      </c>
      <c r="C391" t="str">
        <f>VLOOKUP(B391,'BACKEND FILES'!A:B,2,FALSE)</f>
        <v>BACKEND</v>
      </c>
      <c r="D391" t="e">
        <f>VLOOKUP(B391,'FRONTEND FILES'!A:B,2,FALSE)</f>
        <v>#N/A</v>
      </c>
      <c r="E391" t="e">
        <f>VLOOKUP(B391,'SHARED FILES'!A:B,2,FALSE)</f>
        <v>#N/A</v>
      </c>
      <c r="F391" t="str">
        <f t="shared" si="12"/>
        <v>BACKEND</v>
      </c>
    </row>
    <row r="392" spans="1:6" x14ac:dyDescent="0.55000000000000004">
      <c r="A392">
        <f t="shared" si="13"/>
        <v>392</v>
      </c>
      <c r="B392" t="s">
        <v>1354</v>
      </c>
      <c r="C392" t="str">
        <f>VLOOKUP(B392,'BACKEND FILES'!A:B,2,FALSE)</f>
        <v>BACKEND</v>
      </c>
      <c r="D392" t="e">
        <f>VLOOKUP(B392,'FRONTEND FILES'!A:B,2,FALSE)</f>
        <v>#N/A</v>
      </c>
      <c r="E392" t="e">
        <f>VLOOKUP(B392,'SHARED FILES'!A:B,2,FALSE)</f>
        <v>#N/A</v>
      </c>
      <c r="F392" t="str">
        <f t="shared" si="12"/>
        <v>BACKEND</v>
      </c>
    </row>
    <row r="393" spans="1:6" x14ac:dyDescent="0.55000000000000004">
      <c r="A393">
        <f t="shared" si="13"/>
        <v>393</v>
      </c>
      <c r="B393" t="s">
        <v>1355</v>
      </c>
      <c r="C393" t="str">
        <f>VLOOKUP(B393,'BACKEND FILES'!A:B,2,FALSE)</f>
        <v>BACKEND</v>
      </c>
      <c r="D393" t="e">
        <f>VLOOKUP(B393,'FRONTEND FILES'!A:B,2,FALSE)</f>
        <v>#N/A</v>
      </c>
      <c r="E393" t="e">
        <f>VLOOKUP(B393,'SHARED FILES'!A:B,2,FALSE)</f>
        <v>#N/A</v>
      </c>
      <c r="F393" t="str">
        <f t="shared" si="12"/>
        <v>BACKEND</v>
      </c>
    </row>
    <row r="394" spans="1:6" x14ac:dyDescent="0.55000000000000004">
      <c r="A394">
        <f t="shared" si="13"/>
        <v>394</v>
      </c>
      <c r="B394" s="8" t="s">
        <v>1532</v>
      </c>
      <c r="C394" t="e">
        <f>VLOOKUP(B394,'BACKEND FILES'!A:B,2,FALSE)</f>
        <v>#N/A</v>
      </c>
      <c r="D394" t="e">
        <f>VLOOKUP(B394,'FRONTEND FILES'!A:B,2,FALSE)</f>
        <v>#N/A</v>
      </c>
      <c r="E394" t="e">
        <f>VLOOKUP(B394,'SHARED FILES'!A:B,2,FALSE)</f>
        <v>#N/A</v>
      </c>
      <c r="F394" t="str">
        <f t="shared" si="12"/>
        <v/>
      </c>
    </row>
    <row r="395" spans="1:6" x14ac:dyDescent="0.55000000000000004">
      <c r="A395">
        <f t="shared" si="13"/>
        <v>395</v>
      </c>
      <c r="B395" s="8" t="s">
        <v>1533</v>
      </c>
      <c r="C395" t="e">
        <f>VLOOKUP(B395,'BACKEND FILES'!A:B,2,FALSE)</f>
        <v>#N/A</v>
      </c>
      <c r="D395" t="e">
        <f>VLOOKUP(B395,'FRONTEND FILES'!A:B,2,FALSE)</f>
        <v>#N/A</v>
      </c>
      <c r="E395" t="e">
        <f>VLOOKUP(B395,'SHARED FILES'!A:B,2,FALSE)</f>
        <v>#N/A</v>
      </c>
      <c r="F395" t="str">
        <f t="shared" si="12"/>
        <v/>
      </c>
    </row>
    <row r="396" spans="1:6" x14ac:dyDescent="0.55000000000000004">
      <c r="A396">
        <f t="shared" si="13"/>
        <v>396</v>
      </c>
      <c r="B396" t="s">
        <v>1356</v>
      </c>
      <c r="C396" t="str">
        <f>VLOOKUP(B396,'BACKEND FILES'!A:B,2,FALSE)</f>
        <v>BACKEND</v>
      </c>
      <c r="D396" t="e">
        <f>VLOOKUP(B396,'FRONTEND FILES'!A:B,2,FALSE)</f>
        <v>#N/A</v>
      </c>
      <c r="E396" t="e">
        <f>VLOOKUP(B396,'SHARED FILES'!A:B,2,FALSE)</f>
        <v>#N/A</v>
      </c>
      <c r="F396" t="str">
        <f t="shared" si="12"/>
        <v>BACKEND</v>
      </c>
    </row>
    <row r="397" spans="1:6" x14ac:dyDescent="0.55000000000000004">
      <c r="A397">
        <f t="shared" si="13"/>
        <v>397</v>
      </c>
      <c r="B397" t="s">
        <v>1357</v>
      </c>
      <c r="C397" t="str">
        <f>VLOOKUP(B397,'BACKEND FILES'!A:B,2,FALSE)</f>
        <v>BACKEND</v>
      </c>
      <c r="D397" t="e">
        <f>VLOOKUP(B397,'FRONTEND FILES'!A:B,2,FALSE)</f>
        <v>#N/A</v>
      </c>
      <c r="E397" t="e">
        <f>VLOOKUP(B397,'SHARED FILES'!A:B,2,FALSE)</f>
        <v>#N/A</v>
      </c>
      <c r="F397" t="str">
        <f t="shared" si="12"/>
        <v>BACKEND</v>
      </c>
    </row>
    <row r="398" spans="1:6" x14ac:dyDescent="0.55000000000000004">
      <c r="A398">
        <f t="shared" si="13"/>
        <v>398</v>
      </c>
      <c r="B398" t="s">
        <v>1358</v>
      </c>
      <c r="C398" t="str">
        <f>VLOOKUP(B398,'BACKEND FILES'!A:B,2,FALSE)</f>
        <v>BACKEND</v>
      </c>
      <c r="D398" t="e">
        <f>VLOOKUP(B398,'FRONTEND FILES'!A:B,2,FALSE)</f>
        <v>#N/A</v>
      </c>
      <c r="E398" t="e">
        <f>VLOOKUP(B398,'SHARED FILES'!A:B,2,FALSE)</f>
        <v>#N/A</v>
      </c>
      <c r="F398" t="str">
        <f t="shared" si="12"/>
        <v>BACKEND</v>
      </c>
    </row>
    <row r="399" spans="1:6" x14ac:dyDescent="0.55000000000000004">
      <c r="A399">
        <f t="shared" si="13"/>
        <v>399</v>
      </c>
      <c r="B399" t="s">
        <v>1360</v>
      </c>
      <c r="C399" t="str">
        <f>VLOOKUP(B399,'BACKEND FILES'!A:B,2,FALSE)</f>
        <v>BACKEND</v>
      </c>
      <c r="D399" t="e">
        <f>VLOOKUP(B399,'FRONTEND FILES'!A:B,2,FALSE)</f>
        <v>#N/A</v>
      </c>
      <c r="E399" t="e">
        <f>VLOOKUP(B399,'SHARED FILES'!A:B,2,FALSE)</f>
        <v>#N/A</v>
      </c>
      <c r="F399" t="str">
        <f t="shared" si="12"/>
        <v>BACKEND</v>
      </c>
    </row>
    <row r="400" spans="1:6" x14ac:dyDescent="0.55000000000000004">
      <c r="A400">
        <f t="shared" si="13"/>
        <v>400</v>
      </c>
      <c r="B400" t="s">
        <v>1359</v>
      </c>
      <c r="C400" t="str">
        <f>VLOOKUP(B400,'BACKEND FILES'!A:B,2,FALSE)</f>
        <v>BACKEND</v>
      </c>
      <c r="D400" t="e">
        <f>VLOOKUP(B400,'FRONTEND FILES'!A:B,2,FALSE)</f>
        <v>#N/A</v>
      </c>
      <c r="E400" t="e">
        <f>VLOOKUP(B400,'SHARED FILES'!A:B,2,FALSE)</f>
        <v>#N/A</v>
      </c>
      <c r="F400" t="str">
        <f t="shared" si="12"/>
        <v>BACKEND</v>
      </c>
    </row>
    <row r="401" spans="1:6" x14ac:dyDescent="0.55000000000000004">
      <c r="A401">
        <f t="shared" si="13"/>
        <v>401</v>
      </c>
      <c r="B401" t="s">
        <v>1361</v>
      </c>
      <c r="C401" t="str">
        <f>VLOOKUP(B401,'BACKEND FILES'!A:B,2,FALSE)</f>
        <v>BACKEND</v>
      </c>
      <c r="D401" t="e">
        <f>VLOOKUP(B401,'FRONTEND FILES'!A:B,2,FALSE)</f>
        <v>#N/A</v>
      </c>
      <c r="E401" t="e">
        <f>VLOOKUP(B401,'SHARED FILES'!A:B,2,FALSE)</f>
        <v>#N/A</v>
      </c>
      <c r="F401" t="str">
        <f t="shared" si="12"/>
        <v>BACKEND</v>
      </c>
    </row>
    <row r="402" spans="1:6" x14ac:dyDescent="0.55000000000000004">
      <c r="A402">
        <f t="shared" si="13"/>
        <v>402</v>
      </c>
      <c r="B402" t="s">
        <v>1362</v>
      </c>
      <c r="C402" t="str">
        <f>VLOOKUP(B402,'BACKEND FILES'!A:B,2,FALSE)</f>
        <v>BACKEND</v>
      </c>
      <c r="D402" t="e">
        <f>VLOOKUP(B402,'FRONTEND FILES'!A:B,2,FALSE)</f>
        <v>#N/A</v>
      </c>
      <c r="E402" t="e">
        <f>VLOOKUP(B402,'SHARED FILES'!A:B,2,FALSE)</f>
        <v>#N/A</v>
      </c>
      <c r="F402" t="str">
        <f t="shared" si="12"/>
        <v>BACKEND</v>
      </c>
    </row>
    <row r="403" spans="1:6" x14ac:dyDescent="0.55000000000000004">
      <c r="A403">
        <f t="shared" si="13"/>
        <v>403</v>
      </c>
      <c r="B403" t="s">
        <v>1421</v>
      </c>
      <c r="C403" t="str">
        <f>VLOOKUP(B403,'BACKEND FILES'!A:B,2,FALSE)</f>
        <v>BACKEND</v>
      </c>
      <c r="D403" t="e">
        <f>VLOOKUP(B403,'FRONTEND FILES'!A:B,2,FALSE)</f>
        <v>#N/A</v>
      </c>
      <c r="E403" t="e">
        <f>VLOOKUP(B403,'SHARED FILES'!A:B,2,FALSE)</f>
        <v>#N/A</v>
      </c>
      <c r="F403" t="str">
        <f t="shared" si="12"/>
        <v>BACKEND</v>
      </c>
    </row>
    <row r="404" spans="1:6" x14ac:dyDescent="0.55000000000000004">
      <c r="A404">
        <f t="shared" si="13"/>
        <v>404</v>
      </c>
      <c r="B404" t="s">
        <v>1363</v>
      </c>
      <c r="C404" t="str">
        <f>VLOOKUP(B404,'BACKEND FILES'!A:B,2,FALSE)</f>
        <v>BACKEND</v>
      </c>
      <c r="D404" t="e">
        <f>VLOOKUP(B404,'FRONTEND FILES'!A:B,2,FALSE)</f>
        <v>#N/A</v>
      </c>
      <c r="E404" t="e">
        <f>VLOOKUP(B404,'SHARED FILES'!A:B,2,FALSE)</f>
        <v>#N/A</v>
      </c>
      <c r="F404" t="str">
        <f t="shared" si="12"/>
        <v>BACKEND</v>
      </c>
    </row>
    <row r="405" spans="1:6" x14ac:dyDescent="0.55000000000000004">
      <c r="A405">
        <f t="shared" si="13"/>
        <v>405</v>
      </c>
      <c r="B405" t="s">
        <v>1364</v>
      </c>
      <c r="C405" t="str">
        <f>VLOOKUP(B405,'BACKEND FILES'!A:B,2,FALSE)</f>
        <v>BACKEND</v>
      </c>
      <c r="D405" t="e">
        <f>VLOOKUP(B405,'FRONTEND FILES'!A:B,2,FALSE)</f>
        <v>#N/A</v>
      </c>
      <c r="E405" t="e">
        <f>VLOOKUP(B405,'SHARED FILES'!A:B,2,FALSE)</f>
        <v>#N/A</v>
      </c>
      <c r="F405" t="str">
        <f t="shared" si="12"/>
        <v>BACKEND</v>
      </c>
    </row>
    <row r="406" spans="1:6" x14ac:dyDescent="0.55000000000000004">
      <c r="A406">
        <f t="shared" si="13"/>
        <v>406</v>
      </c>
      <c r="B406" t="s">
        <v>1365</v>
      </c>
      <c r="C406" t="str">
        <f>VLOOKUP(B406,'BACKEND FILES'!A:B,2,FALSE)</f>
        <v>BACKEND</v>
      </c>
      <c r="D406" t="e">
        <f>VLOOKUP(B406,'FRONTEND FILES'!A:B,2,FALSE)</f>
        <v>#N/A</v>
      </c>
      <c r="E406" t="e">
        <f>VLOOKUP(B406,'SHARED FILES'!A:B,2,FALSE)</f>
        <v>#N/A</v>
      </c>
      <c r="F406" t="str">
        <f t="shared" si="12"/>
        <v>BACKEND</v>
      </c>
    </row>
    <row r="407" spans="1:6" x14ac:dyDescent="0.55000000000000004">
      <c r="A407">
        <f t="shared" si="13"/>
        <v>407</v>
      </c>
      <c r="B407" t="s">
        <v>1366</v>
      </c>
      <c r="C407" t="str">
        <f>VLOOKUP(B407,'BACKEND FILES'!A:B,2,FALSE)</f>
        <v>BACKEND</v>
      </c>
      <c r="D407" t="e">
        <f>VLOOKUP(B407,'FRONTEND FILES'!A:B,2,FALSE)</f>
        <v>#N/A</v>
      </c>
      <c r="E407" t="e">
        <f>VLOOKUP(B407,'SHARED FILES'!A:B,2,FALSE)</f>
        <v>#N/A</v>
      </c>
      <c r="F407" t="str">
        <f t="shared" si="12"/>
        <v>BACKEND</v>
      </c>
    </row>
    <row r="408" spans="1:6" x14ac:dyDescent="0.55000000000000004">
      <c r="A408">
        <f t="shared" si="13"/>
        <v>408</v>
      </c>
      <c r="B408" t="s">
        <v>1422</v>
      </c>
      <c r="C408" t="str">
        <f>VLOOKUP(B408,'BACKEND FILES'!A:B,2,FALSE)</f>
        <v>BACKEND</v>
      </c>
      <c r="D408" t="e">
        <f>VLOOKUP(B408,'FRONTEND FILES'!A:B,2,FALSE)</f>
        <v>#N/A</v>
      </c>
      <c r="E408" t="e">
        <f>VLOOKUP(B408,'SHARED FILES'!A:B,2,FALSE)</f>
        <v>#N/A</v>
      </c>
      <c r="F408" t="str">
        <f t="shared" si="12"/>
        <v>BACKEND</v>
      </c>
    </row>
    <row r="409" spans="1:6" x14ac:dyDescent="0.55000000000000004">
      <c r="A409">
        <f t="shared" si="13"/>
        <v>409</v>
      </c>
      <c r="B409" t="s">
        <v>1367</v>
      </c>
      <c r="C409" t="str">
        <f>VLOOKUP(B409,'BACKEND FILES'!A:B,2,FALSE)</f>
        <v>BACKEND</v>
      </c>
      <c r="D409" t="e">
        <f>VLOOKUP(B409,'FRONTEND FILES'!A:B,2,FALSE)</f>
        <v>#N/A</v>
      </c>
      <c r="E409" t="e">
        <f>VLOOKUP(B409,'SHARED FILES'!A:B,2,FALSE)</f>
        <v>#N/A</v>
      </c>
      <c r="F409" t="str">
        <f t="shared" si="12"/>
        <v>BACKEND</v>
      </c>
    </row>
    <row r="410" spans="1:6" x14ac:dyDescent="0.55000000000000004">
      <c r="A410">
        <f t="shared" si="13"/>
        <v>410</v>
      </c>
      <c r="B410" t="s">
        <v>1368</v>
      </c>
      <c r="C410" t="str">
        <f>VLOOKUP(B410,'BACKEND FILES'!A:B,2,FALSE)</f>
        <v>BACKEND</v>
      </c>
      <c r="D410" t="e">
        <f>VLOOKUP(B410,'FRONTEND FILES'!A:B,2,FALSE)</f>
        <v>#N/A</v>
      </c>
      <c r="E410" t="e">
        <f>VLOOKUP(B410,'SHARED FILES'!A:B,2,FALSE)</f>
        <v>#N/A</v>
      </c>
      <c r="F410" t="str">
        <f t="shared" si="12"/>
        <v>BACKEND</v>
      </c>
    </row>
    <row r="411" spans="1:6" x14ac:dyDescent="0.55000000000000004">
      <c r="A411">
        <f t="shared" si="13"/>
        <v>411</v>
      </c>
      <c r="B411" t="s">
        <v>1369</v>
      </c>
      <c r="C411" t="e">
        <f>VLOOKUP(B411,'BACKEND FILES'!A:B,2,FALSE)</f>
        <v>#N/A</v>
      </c>
      <c r="D411" t="e">
        <f>VLOOKUP(B411,'FRONTEND FILES'!A:B,2,FALSE)</f>
        <v>#N/A</v>
      </c>
      <c r="E411" t="e">
        <f>VLOOKUP(B411,'SHARED FILES'!A:B,2,FALSE)</f>
        <v>#N/A</v>
      </c>
      <c r="F411" t="str">
        <f t="shared" si="12"/>
        <v/>
      </c>
    </row>
    <row r="412" spans="1:6" x14ac:dyDescent="0.55000000000000004">
      <c r="A412">
        <f t="shared" si="13"/>
        <v>412</v>
      </c>
      <c r="B412" t="s">
        <v>1370</v>
      </c>
      <c r="C412" t="e">
        <f>VLOOKUP(B412,'BACKEND FILES'!A:B,2,FALSE)</f>
        <v>#N/A</v>
      </c>
      <c r="D412" t="e">
        <f>VLOOKUP(B412,'FRONTEND FILES'!A:B,2,FALSE)</f>
        <v>#N/A</v>
      </c>
      <c r="E412" t="e">
        <f>VLOOKUP(B412,'SHARED FILES'!A:B,2,FALSE)</f>
        <v>#N/A</v>
      </c>
      <c r="F412" t="str">
        <f t="shared" si="12"/>
        <v/>
      </c>
    </row>
    <row r="413" spans="1:6" x14ac:dyDescent="0.55000000000000004">
      <c r="A413">
        <f t="shared" si="13"/>
        <v>413</v>
      </c>
      <c r="B413" t="s">
        <v>1371</v>
      </c>
      <c r="C413" t="e">
        <f>VLOOKUP(B413,'BACKEND FILES'!A:B,2,FALSE)</f>
        <v>#N/A</v>
      </c>
      <c r="D413" t="e">
        <f>VLOOKUP(B413,'FRONTEND FILES'!A:B,2,FALSE)</f>
        <v>#N/A</v>
      </c>
      <c r="E413" t="e">
        <f>VLOOKUP(B413,'SHARED FILES'!A:B,2,FALSE)</f>
        <v>#N/A</v>
      </c>
      <c r="F413" t="str">
        <f t="shared" si="12"/>
        <v/>
      </c>
    </row>
    <row r="414" spans="1:6" x14ac:dyDescent="0.55000000000000004">
      <c r="A414">
        <f t="shared" si="13"/>
        <v>414</v>
      </c>
      <c r="B414" t="s">
        <v>1372</v>
      </c>
      <c r="C414" t="e">
        <f>VLOOKUP(B414,'BACKEND FILES'!A:B,2,FALSE)</f>
        <v>#N/A</v>
      </c>
      <c r="D414" t="e">
        <f>VLOOKUP(B414,'FRONTEND FILES'!A:B,2,FALSE)</f>
        <v>#N/A</v>
      </c>
      <c r="E414" t="e">
        <f>VLOOKUP(B414,'SHARED FILES'!A:B,2,FALSE)</f>
        <v>#N/A</v>
      </c>
      <c r="F414" t="str">
        <f t="shared" si="12"/>
        <v/>
      </c>
    </row>
    <row r="415" spans="1:6" x14ac:dyDescent="0.55000000000000004">
      <c r="A415">
        <f t="shared" si="13"/>
        <v>415</v>
      </c>
      <c r="B415" t="s">
        <v>1373</v>
      </c>
      <c r="C415" t="e">
        <f>VLOOKUP(B415,'BACKEND FILES'!A:B,2,FALSE)</f>
        <v>#N/A</v>
      </c>
      <c r="D415" t="e">
        <f>VLOOKUP(B415,'FRONTEND FILES'!A:B,2,FALSE)</f>
        <v>#N/A</v>
      </c>
      <c r="E415" t="e">
        <f>VLOOKUP(B415,'SHARED FILES'!A:B,2,FALSE)</f>
        <v>#N/A</v>
      </c>
      <c r="F415" t="str">
        <f t="shared" si="12"/>
        <v/>
      </c>
    </row>
    <row r="416" spans="1:6" x14ac:dyDescent="0.55000000000000004">
      <c r="A416">
        <f t="shared" si="13"/>
        <v>416</v>
      </c>
      <c r="B416" t="s">
        <v>1374</v>
      </c>
      <c r="C416" t="e">
        <f>VLOOKUP(B416,'BACKEND FILES'!A:B,2,FALSE)</f>
        <v>#N/A</v>
      </c>
      <c r="D416" t="e">
        <f>VLOOKUP(B416,'FRONTEND FILES'!A:B,2,FALSE)</f>
        <v>#N/A</v>
      </c>
      <c r="E416" t="e">
        <f>VLOOKUP(B416,'SHARED FILES'!A:B,2,FALSE)</f>
        <v>#N/A</v>
      </c>
      <c r="F416" t="str">
        <f t="shared" si="12"/>
        <v/>
      </c>
    </row>
    <row r="417" spans="1:6" x14ac:dyDescent="0.55000000000000004">
      <c r="A417">
        <f t="shared" si="13"/>
        <v>417</v>
      </c>
      <c r="B417" t="s">
        <v>1375</v>
      </c>
      <c r="C417" t="e">
        <f>VLOOKUP(B417,'BACKEND FILES'!A:B,2,FALSE)</f>
        <v>#N/A</v>
      </c>
      <c r="D417" t="e">
        <f>VLOOKUP(B417,'FRONTEND FILES'!A:B,2,FALSE)</f>
        <v>#N/A</v>
      </c>
      <c r="E417" t="e">
        <f>VLOOKUP(B417,'SHARED FILES'!A:B,2,FALSE)</f>
        <v>#N/A</v>
      </c>
      <c r="F417" t="str">
        <f t="shared" si="12"/>
        <v/>
      </c>
    </row>
    <row r="418" spans="1:6" x14ac:dyDescent="0.55000000000000004">
      <c r="A418">
        <f t="shared" si="13"/>
        <v>418</v>
      </c>
      <c r="B418" t="s">
        <v>1376</v>
      </c>
      <c r="C418" t="e">
        <f>VLOOKUP(B418,'BACKEND FILES'!A:B,2,FALSE)</f>
        <v>#N/A</v>
      </c>
      <c r="D418" t="e">
        <f>VLOOKUP(B418,'FRONTEND FILES'!A:B,2,FALSE)</f>
        <v>#N/A</v>
      </c>
      <c r="E418" t="e">
        <f>VLOOKUP(B418,'SHARED FILES'!A:B,2,FALSE)</f>
        <v>#N/A</v>
      </c>
      <c r="F418" t="str">
        <f t="shared" si="12"/>
        <v/>
      </c>
    </row>
    <row r="419" spans="1:6" x14ac:dyDescent="0.55000000000000004">
      <c r="A419">
        <f t="shared" si="13"/>
        <v>419</v>
      </c>
      <c r="B419" t="s">
        <v>1377</v>
      </c>
      <c r="C419" t="e">
        <f>VLOOKUP(B419,'BACKEND FILES'!A:B,2,FALSE)</f>
        <v>#N/A</v>
      </c>
      <c r="D419" t="e">
        <f>VLOOKUP(B419,'FRONTEND FILES'!A:B,2,FALSE)</f>
        <v>#N/A</v>
      </c>
      <c r="E419" t="e">
        <f>VLOOKUP(B419,'SHARED FILES'!A:B,2,FALSE)</f>
        <v>#N/A</v>
      </c>
      <c r="F419" t="str">
        <f t="shared" si="12"/>
        <v/>
      </c>
    </row>
    <row r="420" spans="1:6" x14ac:dyDescent="0.55000000000000004">
      <c r="A420">
        <f t="shared" si="13"/>
        <v>420</v>
      </c>
      <c r="B420" t="s">
        <v>1378</v>
      </c>
      <c r="C420" t="e">
        <f>VLOOKUP(B420,'BACKEND FILES'!A:B,2,FALSE)</f>
        <v>#N/A</v>
      </c>
      <c r="D420" t="e">
        <f>VLOOKUP(B420,'FRONTEND FILES'!A:B,2,FALSE)</f>
        <v>#N/A</v>
      </c>
      <c r="E420" t="e">
        <f>VLOOKUP(B420,'SHARED FILES'!A:B,2,FALSE)</f>
        <v>#N/A</v>
      </c>
      <c r="F420" t="str">
        <f t="shared" si="12"/>
        <v/>
      </c>
    </row>
    <row r="421" spans="1:6" x14ac:dyDescent="0.55000000000000004">
      <c r="A421">
        <f t="shared" si="13"/>
        <v>421</v>
      </c>
      <c r="B421" t="s">
        <v>1379</v>
      </c>
      <c r="C421" t="e">
        <f>VLOOKUP(B421,'BACKEND FILES'!A:B,2,FALSE)</f>
        <v>#N/A</v>
      </c>
      <c r="D421" t="e">
        <f>VLOOKUP(B421,'FRONTEND FILES'!A:B,2,FALSE)</f>
        <v>#N/A</v>
      </c>
      <c r="E421" t="e">
        <f>VLOOKUP(B421,'SHARED FILES'!A:B,2,FALSE)</f>
        <v>#N/A</v>
      </c>
      <c r="F421" t="str">
        <f t="shared" si="12"/>
        <v/>
      </c>
    </row>
    <row r="422" spans="1:6" x14ac:dyDescent="0.55000000000000004">
      <c r="A422">
        <f t="shared" si="13"/>
        <v>422</v>
      </c>
      <c r="B422" t="s">
        <v>1380</v>
      </c>
      <c r="C422" t="e">
        <f>VLOOKUP(B422,'BACKEND FILES'!A:B,2,FALSE)</f>
        <v>#N/A</v>
      </c>
      <c r="D422" t="e">
        <f>VLOOKUP(B422,'FRONTEND FILES'!A:B,2,FALSE)</f>
        <v>#N/A</v>
      </c>
      <c r="E422" t="e">
        <f>VLOOKUP(B422,'SHARED FILES'!A:B,2,FALSE)</f>
        <v>#N/A</v>
      </c>
      <c r="F422" t="str">
        <f t="shared" si="12"/>
        <v/>
      </c>
    </row>
    <row r="423" spans="1:6" x14ac:dyDescent="0.55000000000000004">
      <c r="A423">
        <f t="shared" si="13"/>
        <v>423</v>
      </c>
      <c r="B423" t="s">
        <v>1381</v>
      </c>
      <c r="C423" t="e">
        <f>VLOOKUP(B423,'BACKEND FILES'!A:B,2,FALSE)</f>
        <v>#N/A</v>
      </c>
      <c r="D423" t="e">
        <f>VLOOKUP(B423,'FRONTEND FILES'!A:B,2,FALSE)</f>
        <v>#N/A</v>
      </c>
      <c r="E423" t="e">
        <f>VLOOKUP(B423,'SHARED FILES'!A:B,2,FALSE)</f>
        <v>#N/A</v>
      </c>
      <c r="F423" t="str">
        <f t="shared" si="12"/>
        <v/>
      </c>
    </row>
    <row r="424" spans="1:6" x14ac:dyDescent="0.55000000000000004">
      <c r="A424">
        <f t="shared" si="13"/>
        <v>424</v>
      </c>
      <c r="B424" t="s">
        <v>1382</v>
      </c>
      <c r="C424" t="e">
        <f>VLOOKUP(B424,'BACKEND FILES'!A:B,2,FALSE)</f>
        <v>#N/A</v>
      </c>
      <c r="D424" t="e">
        <f>VLOOKUP(B424,'FRONTEND FILES'!A:B,2,FALSE)</f>
        <v>#N/A</v>
      </c>
      <c r="E424" t="e">
        <f>VLOOKUP(B424,'SHARED FILES'!A:B,2,FALSE)</f>
        <v>#N/A</v>
      </c>
      <c r="F424" t="str">
        <f t="shared" si="12"/>
        <v/>
      </c>
    </row>
    <row r="425" spans="1:6" x14ac:dyDescent="0.55000000000000004">
      <c r="A425">
        <f t="shared" si="13"/>
        <v>425</v>
      </c>
      <c r="B425" t="s">
        <v>1383</v>
      </c>
      <c r="C425" t="e">
        <f>VLOOKUP(B425,'BACKEND FILES'!A:B,2,FALSE)</f>
        <v>#N/A</v>
      </c>
      <c r="D425" t="e">
        <f>VLOOKUP(B425,'FRONTEND FILES'!A:B,2,FALSE)</f>
        <v>#N/A</v>
      </c>
      <c r="E425" t="e">
        <f>VLOOKUP(B425,'SHARED FILES'!A:B,2,FALSE)</f>
        <v>#N/A</v>
      </c>
      <c r="F425" t="str">
        <f t="shared" si="12"/>
        <v/>
      </c>
    </row>
    <row r="426" spans="1:6" x14ac:dyDescent="0.55000000000000004">
      <c r="A426">
        <f t="shared" si="13"/>
        <v>426</v>
      </c>
      <c r="B426" t="s">
        <v>1384</v>
      </c>
      <c r="C426" t="e">
        <f>VLOOKUP(B426,'BACKEND FILES'!A:B,2,FALSE)</f>
        <v>#N/A</v>
      </c>
      <c r="D426" t="e">
        <f>VLOOKUP(B426,'FRONTEND FILES'!A:B,2,FALSE)</f>
        <v>#N/A</v>
      </c>
      <c r="E426" t="e">
        <f>VLOOKUP(B426,'SHARED FILES'!A:B,2,FALSE)</f>
        <v>#N/A</v>
      </c>
      <c r="F426" t="str">
        <f t="shared" si="12"/>
        <v/>
      </c>
    </row>
    <row r="427" spans="1:6" x14ac:dyDescent="0.55000000000000004">
      <c r="A427">
        <f t="shared" si="13"/>
        <v>427</v>
      </c>
      <c r="B427" t="s">
        <v>1385</v>
      </c>
      <c r="C427" t="e">
        <f>VLOOKUP(B427,'BACKEND FILES'!A:B,2,FALSE)</f>
        <v>#N/A</v>
      </c>
      <c r="D427" t="e">
        <f>VLOOKUP(B427,'FRONTEND FILES'!A:B,2,FALSE)</f>
        <v>#N/A</v>
      </c>
      <c r="E427" t="e">
        <f>VLOOKUP(B427,'SHARED FILES'!A:B,2,FALSE)</f>
        <v>#N/A</v>
      </c>
      <c r="F427" t="str">
        <f t="shared" si="12"/>
        <v/>
      </c>
    </row>
    <row r="428" spans="1:6" x14ac:dyDescent="0.55000000000000004">
      <c r="A428">
        <f t="shared" si="13"/>
        <v>428</v>
      </c>
      <c r="B428" t="s">
        <v>1386</v>
      </c>
      <c r="C428" t="str">
        <f>VLOOKUP(B428,'BACKEND FILES'!A:B,2,FALSE)</f>
        <v>BACKEND</v>
      </c>
      <c r="D428" t="e">
        <f>VLOOKUP(B428,'FRONTEND FILES'!A:B,2,FALSE)</f>
        <v>#N/A</v>
      </c>
      <c r="E428" t="e">
        <f>VLOOKUP(B428,'SHARED FILES'!A:B,2,FALSE)</f>
        <v>#N/A</v>
      </c>
      <c r="F428" t="str">
        <f t="shared" si="12"/>
        <v>BACKEND</v>
      </c>
    </row>
    <row r="429" spans="1:6" x14ac:dyDescent="0.55000000000000004">
      <c r="A429">
        <f t="shared" si="13"/>
        <v>429</v>
      </c>
      <c r="B429" t="s">
        <v>1387</v>
      </c>
      <c r="C429" t="str">
        <f>VLOOKUP(B429,'BACKEND FILES'!A:B,2,FALSE)</f>
        <v>BACKEND</v>
      </c>
      <c r="D429" t="e">
        <f>VLOOKUP(B429,'FRONTEND FILES'!A:B,2,FALSE)</f>
        <v>#N/A</v>
      </c>
      <c r="E429" t="e">
        <f>VLOOKUP(B429,'SHARED FILES'!A:B,2,FALSE)</f>
        <v>#N/A</v>
      </c>
      <c r="F429" t="str">
        <f t="shared" si="12"/>
        <v>BACKEND</v>
      </c>
    </row>
    <row r="430" spans="1:6" x14ac:dyDescent="0.55000000000000004">
      <c r="A430">
        <f t="shared" si="13"/>
        <v>430</v>
      </c>
      <c r="B430" t="s">
        <v>1388</v>
      </c>
      <c r="C430" t="str">
        <f>VLOOKUP(B430,'BACKEND FILES'!A:B,2,FALSE)</f>
        <v>BACKEND</v>
      </c>
      <c r="D430" t="e">
        <f>VLOOKUP(B430,'FRONTEND FILES'!A:B,2,FALSE)</f>
        <v>#N/A</v>
      </c>
      <c r="E430" t="e">
        <f>VLOOKUP(B430,'SHARED FILES'!A:B,2,FALSE)</f>
        <v>#N/A</v>
      </c>
      <c r="F430" t="str">
        <f t="shared" si="12"/>
        <v>BACKEND</v>
      </c>
    </row>
    <row r="431" spans="1:6" x14ac:dyDescent="0.55000000000000004">
      <c r="A431">
        <f t="shared" si="13"/>
        <v>431</v>
      </c>
      <c r="B431" t="s">
        <v>1389</v>
      </c>
      <c r="C431" t="str">
        <f>VLOOKUP(B431,'BACKEND FILES'!A:B,2,FALSE)</f>
        <v>BACKEND</v>
      </c>
      <c r="D431" t="e">
        <f>VLOOKUP(B431,'FRONTEND FILES'!A:B,2,FALSE)</f>
        <v>#N/A</v>
      </c>
      <c r="E431" t="e">
        <f>VLOOKUP(B431,'SHARED FILES'!A:B,2,FALSE)</f>
        <v>#N/A</v>
      </c>
      <c r="F431" t="str">
        <f t="shared" si="12"/>
        <v>BACKEND</v>
      </c>
    </row>
    <row r="432" spans="1:6" x14ac:dyDescent="0.55000000000000004">
      <c r="A432">
        <f t="shared" si="13"/>
        <v>432</v>
      </c>
      <c r="B432" t="s">
        <v>1390</v>
      </c>
      <c r="C432" t="str">
        <f>VLOOKUP(B432,'BACKEND FILES'!A:B,2,FALSE)</f>
        <v>BACKEND</v>
      </c>
      <c r="D432" t="e">
        <f>VLOOKUP(B432,'FRONTEND FILES'!A:B,2,FALSE)</f>
        <v>#N/A</v>
      </c>
      <c r="E432" t="e">
        <f>VLOOKUP(B432,'SHARED FILES'!A:B,2,FALSE)</f>
        <v>#N/A</v>
      </c>
      <c r="F432" t="str">
        <f t="shared" si="12"/>
        <v>BACKEND</v>
      </c>
    </row>
    <row r="433" spans="1:6" x14ac:dyDescent="0.55000000000000004">
      <c r="A433">
        <f t="shared" si="13"/>
        <v>433</v>
      </c>
      <c r="B433" t="s">
        <v>1391</v>
      </c>
      <c r="C433" t="str">
        <f>VLOOKUP(B433,'BACKEND FILES'!A:B,2,FALSE)</f>
        <v>BACKEND</v>
      </c>
      <c r="D433" t="e">
        <f>VLOOKUP(B433,'FRONTEND FILES'!A:B,2,FALSE)</f>
        <v>#N/A</v>
      </c>
      <c r="E433" t="e">
        <f>VLOOKUP(B433,'SHARED FILES'!A:B,2,FALSE)</f>
        <v>#N/A</v>
      </c>
      <c r="F433" t="str">
        <f t="shared" si="12"/>
        <v>BACKEND</v>
      </c>
    </row>
    <row r="434" spans="1:6" x14ac:dyDescent="0.55000000000000004">
      <c r="A434">
        <f t="shared" si="13"/>
        <v>434</v>
      </c>
      <c r="B434" t="s">
        <v>1392</v>
      </c>
      <c r="C434" t="str">
        <f>VLOOKUP(B434,'BACKEND FILES'!A:B,2,FALSE)</f>
        <v>BACKEND</v>
      </c>
      <c r="D434" t="e">
        <f>VLOOKUP(B434,'FRONTEND FILES'!A:B,2,FALSE)</f>
        <v>#N/A</v>
      </c>
      <c r="E434" t="e">
        <f>VLOOKUP(B434,'SHARED FILES'!A:B,2,FALSE)</f>
        <v>#N/A</v>
      </c>
      <c r="F434" t="str">
        <f t="shared" si="12"/>
        <v>BACKEND</v>
      </c>
    </row>
    <row r="435" spans="1:6" x14ac:dyDescent="0.55000000000000004">
      <c r="A435">
        <f t="shared" si="13"/>
        <v>435</v>
      </c>
      <c r="B435" t="s">
        <v>667</v>
      </c>
      <c r="C435" t="e">
        <f>VLOOKUP(B435,'BACKEND FILES'!A:B,2,FALSE)</f>
        <v>#N/A</v>
      </c>
      <c r="D435" t="e">
        <f>VLOOKUP(B435,'FRONTEND FILES'!A:B,2,FALSE)</f>
        <v>#N/A</v>
      </c>
      <c r="E435" t="e">
        <f>VLOOKUP(B435,'SHARED FILES'!A:B,2,FALSE)</f>
        <v>#N/A</v>
      </c>
      <c r="F435" t="str">
        <f t="shared" si="12"/>
        <v/>
      </c>
    </row>
    <row r="436" spans="1:6" x14ac:dyDescent="0.55000000000000004">
      <c r="A436">
        <f t="shared" si="13"/>
        <v>436</v>
      </c>
      <c r="B436" t="s">
        <v>668</v>
      </c>
      <c r="C436" t="e">
        <f>VLOOKUP(B436,'BACKEND FILES'!A:B,2,FALSE)</f>
        <v>#N/A</v>
      </c>
      <c r="D436" t="e">
        <f>VLOOKUP(B436,'FRONTEND FILES'!A:B,2,FALSE)</f>
        <v>#N/A</v>
      </c>
      <c r="E436" t="e">
        <f>VLOOKUP(B436,'SHARED FILES'!A:B,2,FALSE)</f>
        <v>#N/A</v>
      </c>
      <c r="F436" t="str">
        <f t="shared" si="12"/>
        <v/>
      </c>
    </row>
    <row r="437" spans="1:6" x14ac:dyDescent="0.55000000000000004">
      <c r="A437">
        <f t="shared" si="13"/>
        <v>437</v>
      </c>
      <c r="B437" t="s">
        <v>669</v>
      </c>
      <c r="C437" t="e">
        <f>VLOOKUP(B437,'BACKEND FILES'!A:B,2,FALSE)</f>
        <v>#N/A</v>
      </c>
      <c r="D437" t="e">
        <f>VLOOKUP(B437,'FRONTEND FILES'!A:B,2,FALSE)</f>
        <v>#N/A</v>
      </c>
      <c r="E437" t="e">
        <f>VLOOKUP(B437,'SHARED FILES'!A:B,2,FALSE)</f>
        <v>#N/A</v>
      </c>
      <c r="F437" t="str">
        <f t="shared" si="12"/>
        <v/>
      </c>
    </row>
    <row r="438" spans="1:6" x14ac:dyDescent="0.55000000000000004">
      <c r="A438">
        <f t="shared" si="13"/>
        <v>438</v>
      </c>
      <c r="B438" t="s">
        <v>670</v>
      </c>
      <c r="C438" t="e">
        <f>VLOOKUP(B438,'BACKEND FILES'!A:B,2,FALSE)</f>
        <v>#N/A</v>
      </c>
      <c r="D438" t="e">
        <f>VLOOKUP(B438,'FRONTEND FILES'!A:B,2,FALSE)</f>
        <v>#N/A</v>
      </c>
      <c r="E438" t="e">
        <f>VLOOKUP(B438,'SHARED FILES'!A:B,2,FALSE)</f>
        <v>#N/A</v>
      </c>
      <c r="F438" t="str">
        <f t="shared" si="12"/>
        <v/>
      </c>
    </row>
    <row r="439" spans="1:6" x14ac:dyDescent="0.55000000000000004">
      <c r="A439">
        <f t="shared" si="13"/>
        <v>439</v>
      </c>
      <c r="B439" t="s">
        <v>671</v>
      </c>
      <c r="C439" t="e">
        <f>VLOOKUP(B439,'BACKEND FILES'!A:B,2,FALSE)</f>
        <v>#N/A</v>
      </c>
      <c r="D439" t="e">
        <f>VLOOKUP(B439,'FRONTEND FILES'!A:B,2,FALSE)</f>
        <v>#N/A</v>
      </c>
      <c r="E439" t="e">
        <f>VLOOKUP(B439,'SHARED FILES'!A:B,2,FALSE)</f>
        <v>#N/A</v>
      </c>
      <c r="F439" t="str">
        <f t="shared" si="12"/>
        <v/>
      </c>
    </row>
    <row r="440" spans="1:6" x14ac:dyDescent="0.55000000000000004">
      <c r="A440">
        <f t="shared" si="13"/>
        <v>440</v>
      </c>
      <c r="B440" t="s">
        <v>1393</v>
      </c>
      <c r="C440" t="str">
        <f>VLOOKUP(B440,'BACKEND FILES'!A:B,2,FALSE)</f>
        <v>BACKEND</v>
      </c>
      <c r="D440" t="e">
        <f>VLOOKUP(B440,'FRONTEND FILES'!A:B,2,FALSE)</f>
        <v>#N/A</v>
      </c>
      <c r="E440" t="e">
        <f>VLOOKUP(B440,'SHARED FILES'!A:B,2,FALSE)</f>
        <v>#N/A</v>
      </c>
      <c r="F440" t="str">
        <f t="shared" si="12"/>
        <v>BACKEND</v>
      </c>
    </row>
    <row r="441" spans="1:6" x14ac:dyDescent="0.55000000000000004">
      <c r="A441">
        <f t="shared" si="13"/>
        <v>441</v>
      </c>
      <c r="B441" t="s">
        <v>1394</v>
      </c>
      <c r="C441" t="str">
        <f>VLOOKUP(B441,'BACKEND FILES'!A:B,2,FALSE)</f>
        <v>BACKEND</v>
      </c>
      <c r="D441" t="e">
        <f>VLOOKUP(B441,'FRONTEND FILES'!A:B,2,FALSE)</f>
        <v>#N/A</v>
      </c>
      <c r="E441" t="e">
        <f>VLOOKUP(B441,'SHARED FILES'!A:B,2,FALSE)</f>
        <v>#N/A</v>
      </c>
      <c r="F441" t="str">
        <f t="shared" si="12"/>
        <v>BACKEND</v>
      </c>
    </row>
    <row r="442" spans="1:6" x14ac:dyDescent="0.55000000000000004">
      <c r="A442">
        <f t="shared" si="13"/>
        <v>442</v>
      </c>
      <c r="B442" t="s">
        <v>1395</v>
      </c>
      <c r="C442" t="str">
        <f>VLOOKUP(B442,'BACKEND FILES'!A:B,2,FALSE)</f>
        <v>BACKEND</v>
      </c>
      <c r="D442" t="e">
        <f>VLOOKUP(B442,'FRONTEND FILES'!A:B,2,FALSE)</f>
        <v>#N/A</v>
      </c>
      <c r="E442" t="e">
        <f>VLOOKUP(B442,'SHARED FILES'!A:B,2,FALSE)</f>
        <v>#N/A</v>
      </c>
      <c r="F442" t="str">
        <f t="shared" si="12"/>
        <v>BACKEND</v>
      </c>
    </row>
    <row r="443" spans="1:6" x14ac:dyDescent="0.55000000000000004">
      <c r="A443">
        <f t="shared" si="13"/>
        <v>443</v>
      </c>
      <c r="B443" t="s">
        <v>1396</v>
      </c>
      <c r="C443" t="str">
        <f>VLOOKUP(B443,'BACKEND FILES'!A:B,2,FALSE)</f>
        <v>BACKEND</v>
      </c>
      <c r="D443" t="e">
        <f>VLOOKUP(B443,'FRONTEND FILES'!A:B,2,FALSE)</f>
        <v>#N/A</v>
      </c>
      <c r="E443" t="e">
        <f>VLOOKUP(B443,'SHARED FILES'!A:B,2,FALSE)</f>
        <v>#N/A</v>
      </c>
      <c r="F443" t="str">
        <f t="shared" si="12"/>
        <v>BACKEND</v>
      </c>
    </row>
    <row r="444" spans="1:6" x14ac:dyDescent="0.55000000000000004">
      <c r="A444">
        <f t="shared" si="13"/>
        <v>444</v>
      </c>
      <c r="B444" t="s">
        <v>1397</v>
      </c>
      <c r="C444" t="str">
        <f>VLOOKUP(B444,'BACKEND FILES'!A:B,2,FALSE)</f>
        <v>BACKEND</v>
      </c>
      <c r="D444" t="e">
        <f>VLOOKUP(B444,'FRONTEND FILES'!A:B,2,FALSE)</f>
        <v>#N/A</v>
      </c>
      <c r="E444" t="e">
        <f>VLOOKUP(B444,'SHARED FILES'!A:B,2,FALSE)</f>
        <v>#N/A</v>
      </c>
      <c r="F444" t="str">
        <f t="shared" si="12"/>
        <v>BACKEND</v>
      </c>
    </row>
    <row r="445" spans="1:6" x14ac:dyDescent="0.55000000000000004">
      <c r="A445">
        <f t="shared" si="13"/>
        <v>445</v>
      </c>
      <c r="B445" t="s">
        <v>1398</v>
      </c>
      <c r="C445" t="e">
        <f>VLOOKUP(B445,'BACKEND FILES'!A:B,2,FALSE)</f>
        <v>#N/A</v>
      </c>
      <c r="D445" t="str">
        <f>VLOOKUP(B445,'FRONTEND FILES'!A:B,2,FALSE)</f>
        <v>FRONTEND</v>
      </c>
      <c r="E445" t="e">
        <f>VLOOKUP(B445,'SHARED FILES'!A:B,2,FALSE)</f>
        <v>#N/A</v>
      </c>
      <c r="F445" t="str">
        <f t="shared" si="12"/>
        <v>FRONTEND</v>
      </c>
    </row>
    <row r="446" spans="1:6" x14ac:dyDescent="0.55000000000000004">
      <c r="A446">
        <f t="shared" si="13"/>
        <v>446</v>
      </c>
      <c r="B446" t="s">
        <v>1399</v>
      </c>
      <c r="C446" t="str">
        <f>VLOOKUP(B446,'BACKEND FILES'!A:B,2,FALSE)</f>
        <v>BACKEND</v>
      </c>
      <c r="D446" t="e">
        <f>VLOOKUP(B446,'FRONTEND FILES'!A:B,2,FALSE)</f>
        <v>#N/A</v>
      </c>
      <c r="E446" t="e">
        <f>VLOOKUP(B446,'SHARED FILES'!A:B,2,FALSE)</f>
        <v>#N/A</v>
      </c>
      <c r="F446" t="str">
        <f t="shared" si="12"/>
        <v>BACKEND</v>
      </c>
    </row>
    <row r="447" spans="1:6" x14ac:dyDescent="0.55000000000000004">
      <c r="A447">
        <f t="shared" si="13"/>
        <v>447</v>
      </c>
      <c r="B447" t="s">
        <v>1400</v>
      </c>
      <c r="C447" t="str">
        <f>VLOOKUP(B447,'BACKEND FILES'!A:B,2,FALSE)</f>
        <v>BACKEND</v>
      </c>
      <c r="D447" t="e">
        <f>VLOOKUP(B447,'FRONTEND FILES'!A:B,2,FALSE)</f>
        <v>#N/A</v>
      </c>
      <c r="E447" t="e">
        <f>VLOOKUP(B447,'SHARED FILES'!A:B,2,FALSE)</f>
        <v>#N/A</v>
      </c>
      <c r="F447" t="str">
        <f t="shared" si="12"/>
        <v>BACKEND</v>
      </c>
    </row>
    <row r="448" spans="1:6" x14ac:dyDescent="0.55000000000000004">
      <c r="A448">
        <f t="shared" si="13"/>
        <v>448</v>
      </c>
      <c r="B448" t="s">
        <v>1423</v>
      </c>
      <c r="C448" t="str">
        <f>VLOOKUP(B448,'BACKEND FILES'!A:B,2,FALSE)</f>
        <v>BACKEND</v>
      </c>
      <c r="D448" t="e">
        <f>VLOOKUP(B448,'FRONTEND FILES'!A:B,2,FALSE)</f>
        <v>#N/A</v>
      </c>
      <c r="E448" t="e">
        <f>VLOOKUP(B448,'SHARED FILES'!A:B,2,FALSE)</f>
        <v>#N/A</v>
      </c>
      <c r="F448" t="str">
        <f t="shared" si="12"/>
        <v>BACKEND</v>
      </c>
    </row>
    <row r="449" spans="1:6" x14ac:dyDescent="0.55000000000000004">
      <c r="A449">
        <f t="shared" si="13"/>
        <v>449</v>
      </c>
      <c r="B449" t="s">
        <v>1401</v>
      </c>
      <c r="C449" t="str">
        <f>VLOOKUP(B449,'BACKEND FILES'!A:B,2,FALSE)</f>
        <v>BACKEND</v>
      </c>
      <c r="D449" t="e">
        <f>VLOOKUP(B449,'FRONTEND FILES'!A:B,2,FALSE)</f>
        <v>#N/A</v>
      </c>
      <c r="E449" t="e">
        <f>VLOOKUP(B449,'SHARED FILES'!A:B,2,FALSE)</f>
        <v>#N/A</v>
      </c>
      <c r="F449" t="str">
        <f t="shared" si="12"/>
        <v>BACKEND</v>
      </c>
    </row>
    <row r="450" spans="1:6" x14ac:dyDescent="0.55000000000000004">
      <c r="A450">
        <f t="shared" si="13"/>
        <v>450</v>
      </c>
      <c r="B450" t="s">
        <v>1402</v>
      </c>
      <c r="C450" t="e">
        <f>VLOOKUP(B450,'BACKEND FILES'!A:B,2,FALSE)</f>
        <v>#N/A</v>
      </c>
      <c r="D450" t="e">
        <f>VLOOKUP(B450,'FRONTEND FILES'!A:B,2,FALSE)</f>
        <v>#N/A</v>
      </c>
      <c r="E450" t="e">
        <f>VLOOKUP(B450,'SHARED FILES'!A:B,2,FALSE)</f>
        <v>#N/A</v>
      </c>
      <c r="F450" t="str">
        <f t="shared" ref="F450:F513" si="14">_xlfn.IFNA(C450, _xlfn.IFNA(D450, _xlfn.IFNA(E450, "")))</f>
        <v/>
      </c>
    </row>
    <row r="451" spans="1:6" x14ac:dyDescent="0.55000000000000004">
      <c r="A451">
        <f t="shared" ref="A451:A514" si="15">A450+1</f>
        <v>451</v>
      </c>
      <c r="B451" t="s">
        <v>1424</v>
      </c>
      <c r="C451" t="str">
        <f>VLOOKUP(B451,'BACKEND FILES'!A:B,2,FALSE)</f>
        <v>BACKEND</v>
      </c>
      <c r="D451" t="e">
        <f>VLOOKUP(B451,'FRONTEND FILES'!A:B,2,FALSE)</f>
        <v>#N/A</v>
      </c>
      <c r="E451" t="e">
        <f>VLOOKUP(B451,'SHARED FILES'!A:B,2,FALSE)</f>
        <v>#N/A</v>
      </c>
      <c r="F451" t="str">
        <f t="shared" si="14"/>
        <v>BACKEND</v>
      </c>
    </row>
    <row r="452" spans="1:6" x14ac:dyDescent="0.55000000000000004">
      <c r="A452">
        <f t="shared" si="15"/>
        <v>452</v>
      </c>
      <c r="B452" t="s">
        <v>1403</v>
      </c>
      <c r="C452" t="str">
        <f>VLOOKUP(B452,'BACKEND FILES'!A:B,2,FALSE)</f>
        <v>BACKEND</v>
      </c>
      <c r="D452" t="e">
        <f>VLOOKUP(B452,'FRONTEND FILES'!A:B,2,FALSE)</f>
        <v>#N/A</v>
      </c>
      <c r="E452" t="e">
        <f>VLOOKUP(B452,'SHARED FILES'!A:B,2,FALSE)</f>
        <v>#N/A</v>
      </c>
      <c r="F452" t="str">
        <f t="shared" si="14"/>
        <v>BACKEND</v>
      </c>
    </row>
    <row r="453" spans="1:6" x14ac:dyDescent="0.55000000000000004">
      <c r="A453">
        <f t="shared" si="15"/>
        <v>453</v>
      </c>
      <c r="B453" t="s">
        <v>1404</v>
      </c>
      <c r="C453" t="str">
        <f>VLOOKUP(B453,'BACKEND FILES'!A:B,2,FALSE)</f>
        <v>BACKEND</v>
      </c>
      <c r="D453" t="e">
        <f>VLOOKUP(B453,'FRONTEND FILES'!A:B,2,FALSE)</f>
        <v>#N/A</v>
      </c>
      <c r="E453" t="e">
        <f>VLOOKUP(B453,'SHARED FILES'!A:B,2,FALSE)</f>
        <v>#N/A</v>
      </c>
      <c r="F453" t="str">
        <f t="shared" si="14"/>
        <v>BACKEND</v>
      </c>
    </row>
    <row r="454" spans="1:6" x14ac:dyDescent="0.55000000000000004">
      <c r="A454">
        <f t="shared" si="15"/>
        <v>454</v>
      </c>
      <c r="B454" t="s">
        <v>1405</v>
      </c>
      <c r="C454" t="str">
        <f>VLOOKUP(B454,'BACKEND FILES'!A:B,2,FALSE)</f>
        <v>BACKEND</v>
      </c>
      <c r="D454" t="e">
        <f>VLOOKUP(B454,'FRONTEND FILES'!A:B,2,FALSE)</f>
        <v>#N/A</v>
      </c>
      <c r="E454" t="e">
        <f>VLOOKUP(B454,'SHARED FILES'!A:B,2,FALSE)</f>
        <v>#N/A</v>
      </c>
      <c r="F454" t="str">
        <f t="shared" si="14"/>
        <v>BACKEND</v>
      </c>
    </row>
    <row r="455" spans="1:6" x14ac:dyDescent="0.55000000000000004">
      <c r="A455">
        <f t="shared" si="15"/>
        <v>455</v>
      </c>
      <c r="B455" t="s">
        <v>1406</v>
      </c>
      <c r="C455" t="str">
        <f>VLOOKUP(B455,'BACKEND FILES'!A:B,2,FALSE)</f>
        <v>BACKEND</v>
      </c>
      <c r="D455" t="e">
        <f>VLOOKUP(B455,'FRONTEND FILES'!A:B,2,FALSE)</f>
        <v>#N/A</v>
      </c>
      <c r="E455" t="e">
        <f>VLOOKUP(B455,'SHARED FILES'!A:B,2,FALSE)</f>
        <v>#N/A</v>
      </c>
      <c r="F455" t="str">
        <f t="shared" si="14"/>
        <v>BACKEND</v>
      </c>
    </row>
    <row r="456" spans="1:6" x14ac:dyDescent="0.55000000000000004">
      <c r="A456">
        <f t="shared" si="15"/>
        <v>456</v>
      </c>
      <c r="B456" t="s">
        <v>1407</v>
      </c>
      <c r="C456" t="e">
        <f>VLOOKUP(B456,'BACKEND FILES'!A:B,2,FALSE)</f>
        <v>#N/A</v>
      </c>
      <c r="D456" t="e">
        <f>VLOOKUP(B456,'FRONTEND FILES'!A:B,2,FALSE)</f>
        <v>#N/A</v>
      </c>
      <c r="E456" t="e">
        <f>VLOOKUP(B456,'SHARED FILES'!A:B,2,FALSE)</f>
        <v>#N/A</v>
      </c>
      <c r="F456" t="str">
        <f t="shared" si="14"/>
        <v/>
      </c>
    </row>
    <row r="457" spans="1:6" x14ac:dyDescent="0.55000000000000004">
      <c r="A457">
        <f t="shared" si="15"/>
        <v>457</v>
      </c>
      <c r="B457" t="s">
        <v>1408</v>
      </c>
      <c r="C457" t="e">
        <f>VLOOKUP(B457,'BACKEND FILES'!A:B,2,FALSE)</f>
        <v>#N/A</v>
      </c>
      <c r="D457" t="e">
        <f>VLOOKUP(B457,'FRONTEND FILES'!A:B,2,FALSE)</f>
        <v>#N/A</v>
      </c>
      <c r="E457" t="e">
        <f>VLOOKUP(B457,'SHARED FILES'!A:B,2,FALSE)</f>
        <v>#N/A</v>
      </c>
      <c r="F457" t="str">
        <f t="shared" si="14"/>
        <v/>
      </c>
    </row>
    <row r="458" spans="1:6" x14ac:dyDescent="0.55000000000000004">
      <c r="A458">
        <f t="shared" si="15"/>
        <v>458</v>
      </c>
      <c r="B458" t="s">
        <v>1409</v>
      </c>
      <c r="C458" t="str">
        <f>VLOOKUP(B458,'BACKEND FILES'!A:B,2,FALSE)</f>
        <v>BACKEND</v>
      </c>
      <c r="D458" t="e">
        <f>VLOOKUP(B458,'FRONTEND FILES'!A:B,2,FALSE)</f>
        <v>#N/A</v>
      </c>
      <c r="E458" t="e">
        <f>VLOOKUP(B458,'SHARED FILES'!A:B,2,FALSE)</f>
        <v>#N/A</v>
      </c>
      <c r="F458" t="str">
        <f t="shared" si="14"/>
        <v>BACKEND</v>
      </c>
    </row>
    <row r="459" spans="1:6" x14ac:dyDescent="0.55000000000000004">
      <c r="A459">
        <f t="shared" si="15"/>
        <v>459</v>
      </c>
      <c r="B459" t="s">
        <v>1410</v>
      </c>
      <c r="C459" t="str">
        <f>VLOOKUP(B459,'BACKEND FILES'!A:B,2,FALSE)</f>
        <v>BACKEND</v>
      </c>
      <c r="D459" t="e">
        <f>VLOOKUP(B459,'FRONTEND FILES'!A:B,2,FALSE)</f>
        <v>#N/A</v>
      </c>
      <c r="E459" t="e">
        <f>VLOOKUP(B459,'SHARED FILES'!A:B,2,FALSE)</f>
        <v>#N/A</v>
      </c>
      <c r="F459" t="str">
        <f t="shared" si="14"/>
        <v>BACKEND</v>
      </c>
    </row>
    <row r="460" spans="1:6" x14ac:dyDescent="0.55000000000000004">
      <c r="A460">
        <f t="shared" si="15"/>
        <v>460</v>
      </c>
      <c r="B460" t="s">
        <v>1411</v>
      </c>
      <c r="C460" t="str">
        <f>VLOOKUP(B460,'BACKEND FILES'!A:B,2,FALSE)</f>
        <v>BACKEND</v>
      </c>
      <c r="D460" t="e">
        <f>VLOOKUP(B460,'FRONTEND FILES'!A:B,2,FALSE)</f>
        <v>#N/A</v>
      </c>
      <c r="E460" t="e">
        <f>VLOOKUP(B460,'SHARED FILES'!A:B,2,FALSE)</f>
        <v>#N/A</v>
      </c>
      <c r="F460" t="str">
        <f t="shared" si="14"/>
        <v>BACKEND</v>
      </c>
    </row>
    <row r="461" spans="1:6" x14ac:dyDescent="0.55000000000000004">
      <c r="A461">
        <f t="shared" si="15"/>
        <v>461</v>
      </c>
      <c r="B461" t="s">
        <v>1425</v>
      </c>
      <c r="C461" t="str">
        <f>VLOOKUP(B461,'BACKEND FILES'!A:B,2,FALSE)</f>
        <v>BACKEND</v>
      </c>
      <c r="D461" t="e">
        <f>VLOOKUP(B461,'FRONTEND FILES'!A:B,2,FALSE)</f>
        <v>#N/A</v>
      </c>
      <c r="E461" t="e">
        <f>VLOOKUP(B461,'SHARED FILES'!A:B,2,FALSE)</f>
        <v>#N/A</v>
      </c>
      <c r="F461" t="str">
        <f t="shared" si="14"/>
        <v>BACKEND</v>
      </c>
    </row>
    <row r="462" spans="1:6" x14ac:dyDescent="0.55000000000000004">
      <c r="A462">
        <f t="shared" si="15"/>
        <v>462</v>
      </c>
      <c r="B462" t="s">
        <v>1426</v>
      </c>
      <c r="C462" t="str">
        <f>VLOOKUP(B462,'BACKEND FILES'!A:B,2,FALSE)</f>
        <v>BACKEND</v>
      </c>
      <c r="D462" t="e">
        <f>VLOOKUP(B462,'FRONTEND FILES'!A:B,2,FALSE)</f>
        <v>#N/A</v>
      </c>
      <c r="E462" t="e">
        <f>VLOOKUP(B462,'SHARED FILES'!A:B,2,FALSE)</f>
        <v>#N/A</v>
      </c>
      <c r="F462" t="str">
        <f t="shared" si="14"/>
        <v>BACKEND</v>
      </c>
    </row>
    <row r="463" spans="1:6" x14ac:dyDescent="0.55000000000000004">
      <c r="A463">
        <f t="shared" si="15"/>
        <v>463</v>
      </c>
      <c r="B463" t="s">
        <v>1427</v>
      </c>
      <c r="C463" t="str">
        <f>VLOOKUP(B463,'BACKEND FILES'!A:B,2,FALSE)</f>
        <v>BACKEND</v>
      </c>
      <c r="D463" t="e">
        <f>VLOOKUP(B463,'FRONTEND FILES'!A:B,2,FALSE)</f>
        <v>#N/A</v>
      </c>
      <c r="E463" t="e">
        <f>VLOOKUP(B463,'SHARED FILES'!A:B,2,FALSE)</f>
        <v>#N/A</v>
      </c>
      <c r="F463" t="str">
        <f t="shared" si="14"/>
        <v>BACKEND</v>
      </c>
    </row>
    <row r="464" spans="1:6" x14ac:dyDescent="0.55000000000000004">
      <c r="A464">
        <f t="shared" si="15"/>
        <v>464</v>
      </c>
      <c r="B464" t="s">
        <v>1428</v>
      </c>
      <c r="C464" t="str">
        <f>VLOOKUP(B464,'BACKEND FILES'!A:B,2,FALSE)</f>
        <v>BACKEND</v>
      </c>
      <c r="D464" t="e">
        <f>VLOOKUP(B464,'FRONTEND FILES'!A:B,2,FALSE)</f>
        <v>#N/A</v>
      </c>
      <c r="E464" t="e">
        <f>VLOOKUP(B464,'SHARED FILES'!A:B,2,FALSE)</f>
        <v>#N/A</v>
      </c>
      <c r="F464" t="str">
        <f t="shared" si="14"/>
        <v>BACKEND</v>
      </c>
    </row>
    <row r="465" spans="1:6" x14ac:dyDescent="0.55000000000000004">
      <c r="A465">
        <f t="shared" si="15"/>
        <v>465</v>
      </c>
      <c r="B465" t="s">
        <v>1429</v>
      </c>
      <c r="C465" t="str">
        <f>VLOOKUP(B465,'BACKEND FILES'!A:B,2,FALSE)</f>
        <v>BACKEND</v>
      </c>
      <c r="D465" t="e">
        <f>VLOOKUP(B465,'FRONTEND FILES'!A:B,2,FALSE)</f>
        <v>#N/A</v>
      </c>
      <c r="E465" t="e">
        <f>VLOOKUP(B465,'SHARED FILES'!A:B,2,FALSE)</f>
        <v>#N/A</v>
      </c>
      <c r="F465" t="str">
        <f t="shared" si="14"/>
        <v>BACKEND</v>
      </c>
    </row>
    <row r="466" spans="1:6" x14ac:dyDescent="0.55000000000000004">
      <c r="A466">
        <f t="shared" si="15"/>
        <v>466</v>
      </c>
      <c r="B466" t="s">
        <v>1412</v>
      </c>
      <c r="C466" t="e">
        <f>VLOOKUP(B466,'BACKEND FILES'!A:B,2,FALSE)</f>
        <v>#N/A</v>
      </c>
      <c r="D466" t="e">
        <f>VLOOKUP(B466,'FRONTEND FILES'!A:B,2,FALSE)</f>
        <v>#N/A</v>
      </c>
      <c r="E466" t="e">
        <f>VLOOKUP(B466,'SHARED FILES'!A:B,2,FALSE)</f>
        <v>#N/A</v>
      </c>
      <c r="F466" t="str">
        <f t="shared" si="14"/>
        <v/>
      </c>
    </row>
    <row r="467" spans="1:6" x14ac:dyDescent="0.55000000000000004">
      <c r="A467">
        <f t="shared" si="15"/>
        <v>467</v>
      </c>
      <c r="B467" t="s">
        <v>1413</v>
      </c>
      <c r="C467" t="e">
        <f>VLOOKUP(B467,'BACKEND FILES'!A:B,2,FALSE)</f>
        <v>#N/A</v>
      </c>
      <c r="D467" t="e">
        <f>VLOOKUP(B467,'FRONTEND FILES'!A:B,2,FALSE)</f>
        <v>#N/A</v>
      </c>
      <c r="E467" t="e">
        <f>VLOOKUP(B467,'SHARED FILES'!A:B,2,FALSE)</f>
        <v>#N/A</v>
      </c>
      <c r="F467" t="str">
        <f t="shared" si="14"/>
        <v/>
      </c>
    </row>
    <row r="468" spans="1:6" x14ac:dyDescent="0.55000000000000004">
      <c r="A468">
        <f t="shared" si="15"/>
        <v>468</v>
      </c>
      <c r="B468" t="s">
        <v>1414</v>
      </c>
      <c r="C468" t="e">
        <f>VLOOKUP(B468,'BACKEND FILES'!A:B,2,FALSE)</f>
        <v>#N/A</v>
      </c>
      <c r="D468" t="e">
        <f>VLOOKUP(B468,'FRONTEND FILES'!A:B,2,FALSE)</f>
        <v>#N/A</v>
      </c>
      <c r="E468" t="e">
        <f>VLOOKUP(B468,'SHARED FILES'!A:B,2,FALSE)</f>
        <v>#N/A</v>
      </c>
      <c r="F468" t="str">
        <f t="shared" si="14"/>
        <v/>
      </c>
    </row>
    <row r="469" spans="1:6" x14ac:dyDescent="0.55000000000000004">
      <c r="A469">
        <f t="shared" si="15"/>
        <v>469</v>
      </c>
      <c r="B469" t="s">
        <v>1415</v>
      </c>
      <c r="C469" t="str">
        <f>VLOOKUP(B469,'BACKEND FILES'!A:B,2,FALSE)</f>
        <v>BACKEND</v>
      </c>
      <c r="D469" t="e">
        <f>VLOOKUP(B469,'FRONTEND FILES'!A:B,2,FALSE)</f>
        <v>#N/A</v>
      </c>
      <c r="E469" t="e">
        <f>VLOOKUP(B469,'SHARED FILES'!A:B,2,FALSE)</f>
        <v>#N/A</v>
      </c>
      <c r="F469" t="str">
        <f t="shared" si="14"/>
        <v>BACKEND</v>
      </c>
    </row>
    <row r="470" spans="1:6" x14ac:dyDescent="0.55000000000000004">
      <c r="A470">
        <f t="shared" si="15"/>
        <v>470</v>
      </c>
      <c r="B470" t="s">
        <v>1416</v>
      </c>
      <c r="C470" t="str">
        <f>VLOOKUP(B470,'BACKEND FILES'!A:B,2,FALSE)</f>
        <v>BACKEND</v>
      </c>
      <c r="D470" t="e">
        <f>VLOOKUP(B470,'FRONTEND FILES'!A:B,2,FALSE)</f>
        <v>#N/A</v>
      </c>
      <c r="E470" t="e">
        <f>VLOOKUP(B470,'SHARED FILES'!A:B,2,FALSE)</f>
        <v>#N/A</v>
      </c>
      <c r="F470" t="str">
        <f t="shared" si="14"/>
        <v>BACKEND</v>
      </c>
    </row>
    <row r="471" spans="1:6" x14ac:dyDescent="0.55000000000000004">
      <c r="A471">
        <f t="shared" si="15"/>
        <v>471</v>
      </c>
      <c r="B471" t="s">
        <v>1417</v>
      </c>
      <c r="C471" t="str">
        <f>VLOOKUP(B471,'BACKEND FILES'!A:B,2,FALSE)</f>
        <v>BACKEND</v>
      </c>
      <c r="D471" t="e">
        <f>VLOOKUP(B471,'FRONTEND FILES'!A:B,2,FALSE)</f>
        <v>#N/A</v>
      </c>
      <c r="E471" t="e">
        <f>VLOOKUP(B471,'SHARED FILES'!A:B,2,FALSE)</f>
        <v>#N/A</v>
      </c>
      <c r="F471" t="str">
        <f t="shared" si="14"/>
        <v>BACKEND</v>
      </c>
    </row>
    <row r="472" spans="1:6" x14ac:dyDescent="0.55000000000000004">
      <c r="A472">
        <f t="shared" si="15"/>
        <v>472</v>
      </c>
      <c r="B472" t="s">
        <v>1418</v>
      </c>
      <c r="C472" t="str">
        <f>VLOOKUP(B472,'BACKEND FILES'!A:B,2,FALSE)</f>
        <v>BACKEND</v>
      </c>
      <c r="D472" t="e">
        <f>VLOOKUP(B472,'FRONTEND FILES'!A:B,2,FALSE)</f>
        <v>#N/A</v>
      </c>
      <c r="E472" t="e">
        <f>VLOOKUP(B472,'SHARED FILES'!A:B,2,FALSE)</f>
        <v>#N/A</v>
      </c>
      <c r="F472" t="str">
        <f t="shared" si="14"/>
        <v>BACKEND</v>
      </c>
    </row>
    <row r="473" spans="1:6" x14ac:dyDescent="0.55000000000000004">
      <c r="A473">
        <f t="shared" si="15"/>
        <v>473</v>
      </c>
      <c r="B473" t="s">
        <v>1419</v>
      </c>
      <c r="C473" t="str">
        <f>VLOOKUP(B473,'BACKEND FILES'!A:B,2,FALSE)</f>
        <v>BACKEND</v>
      </c>
      <c r="D473" t="e">
        <f>VLOOKUP(B473,'FRONTEND FILES'!A:B,2,FALSE)</f>
        <v>#N/A</v>
      </c>
      <c r="E473" t="e">
        <f>VLOOKUP(B473,'SHARED FILES'!A:B,2,FALSE)</f>
        <v>#N/A</v>
      </c>
      <c r="F473" t="str">
        <f t="shared" si="14"/>
        <v>BACKEND</v>
      </c>
    </row>
    <row r="474" spans="1:6" x14ac:dyDescent="0.55000000000000004">
      <c r="A474">
        <f t="shared" si="15"/>
        <v>474</v>
      </c>
      <c r="B474" t="s">
        <v>1420</v>
      </c>
      <c r="C474" t="str">
        <f>VLOOKUP(B474,'BACKEND FILES'!A:B,2,FALSE)</f>
        <v>BACKEND</v>
      </c>
      <c r="D474" t="str">
        <f>VLOOKUP(B474,'FRONTEND FILES'!A:B,2,FALSE)</f>
        <v>FRONTEND</v>
      </c>
      <c r="E474" t="e">
        <f>VLOOKUP(B474,'SHARED FILES'!A:B,2,FALSE)</f>
        <v>#N/A</v>
      </c>
      <c r="F474" t="str">
        <f t="shared" si="14"/>
        <v>BACKEND</v>
      </c>
    </row>
    <row r="475" spans="1:6" x14ac:dyDescent="0.55000000000000004">
      <c r="A475">
        <f t="shared" si="15"/>
        <v>475</v>
      </c>
      <c r="B475" t="s">
        <v>1445</v>
      </c>
      <c r="C475" t="str">
        <f>VLOOKUP(B475,'BACKEND FILES'!A:B,2,FALSE)</f>
        <v>BACKEND</v>
      </c>
      <c r="D475" t="e">
        <f>VLOOKUP(B475,'FRONTEND FILES'!A:B,2,FALSE)</f>
        <v>#N/A</v>
      </c>
      <c r="E475" t="e">
        <f>VLOOKUP(B475,'SHARED FILES'!A:B,2,FALSE)</f>
        <v>#N/A</v>
      </c>
      <c r="F475" t="str">
        <f t="shared" si="14"/>
        <v>BACKEND</v>
      </c>
    </row>
    <row r="476" spans="1:6" x14ac:dyDescent="0.55000000000000004">
      <c r="A476">
        <f t="shared" si="15"/>
        <v>476</v>
      </c>
      <c r="B476" t="s">
        <v>1542</v>
      </c>
      <c r="C476" t="str">
        <f>VLOOKUP(B476,'BACKEND FILES'!A:B,2,FALSE)</f>
        <v>BACKEND</v>
      </c>
      <c r="D476" t="e">
        <f>VLOOKUP(B476,'FRONTEND FILES'!A:B,2,FALSE)</f>
        <v>#N/A</v>
      </c>
      <c r="E476" t="e">
        <f>VLOOKUP(B476,'SHARED FILES'!A:B,2,FALSE)</f>
        <v>#N/A</v>
      </c>
      <c r="F476" t="str">
        <f t="shared" si="14"/>
        <v>BACKEND</v>
      </c>
    </row>
    <row r="477" spans="1:6" x14ac:dyDescent="0.55000000000000004">
      <c r="A477">
        <f t="shared" si="15"/>
        <v>477</v>
      </c>
      <c r="B477" t="s">
        <v>1547</v>
      </c>
      <c r="C477" t="str">
        <f>VLOOKUP(B477,'BACKEND FILES'!A:B,2,FALSE)</f>
        <v>BACKEND</v>
      </c>
      <c r="D477" t="e">
        <f>VLOOKUP(B477,'FRONTEND FILES'!A:B,2,FALSE)</f>
        <v>#N/A</v>
      </c>
      <c r="E477" t="e">
        <f>VLOOKUP(B477,'SHARED FILES'!A:B,2,FALSE)</f>
        <v>#N/A</v>
      </c>
      <c r="F477" t="str">
        <f t="shared" si="14"/>
        <v>BACKEND</v>
      </c>
    </row>
    <row r="478" spans="1:6" x14ac:dyDescent="0.55000000000000004">
      <c r="A478">
        <f t="shared" si="15"/>
        <v>478</v>
      </c>
      <c r="B478" t="s">
        <v>1549</v>
      </c>
      <c r="C478" t="str">
        <f>VLOOKUP(B478,'BACKEND FILES'!A:B,2,FALSE)</f>
        <v>BACKEND</v>
      </c>
      <c r="D478" t="e">
        <f>VLOOKUP(B478,'FRONTEND FILES'!A:B,2,FALSE)</f>
        <v>#N/A</v>
      </c>
      <c r="E478" t="e">
        <f>VLOOKUP(B478,'SHARED FILES'!A:B,2,FALSE)</f>
        <v>#N/A</v>
      </c>
      <c r="F478" t="str">
        <f t="shared" si="14"/>
        <v>BACKEND</v>
      </c>
    </row>
    <row r="479" spans="1:6" x14ac:dyDescent="0.55000000000000004">
      <c r="A479">
        <f t="shared" si="15"/>
        <v>479</v>
      </c>
      <c r="B479" t="s">
        <v>1550</v>
      </c>
      <c r="C479" t="str">
        <f>VLOOKUP(B479,'BACKEND FILES'!A:B,2,FALSE)</f>
        <v>BACKEND</v>
      </c>
      <c r="D479" t="e">
        <f>VLOOKUP(B479,'FRONTEND FILES'!A:B,2,FALSE)</f>
        <v>#N/A</v>
      </c>
      <c r="E479" t="e">
        <f>VLOOKUP(B479,'SHARED FILES'!A:B,2,FALSE)</f>
        <v>#N/A</v>
      </c>
      <c r="F479" t="str">
        <f t="shared" si="14"/>
        <v>BACKEND</v>
      </c>
    </row>
    <row r="480" spans="1:6" x14ac:dyDescent="0.55000000000000004">
      <c r="A480">
        <f t="shared" si="15"/>
        <v>480</v>
      </c>
      <c r="B480" t="s">
        <v>1551</v>
      </c>
      <c r="C480" t="str">
        <f>VLOOKUP(B480,'BACKEND FILES'!A:B,2,FALSE)</f>
        <v>BACKEND</v>
      </c>
      <c r="D480" t="e">
        <f>VLOOKUP(B480,'FRONTEND FILES'!A:B,2,FALSE)</f>
        <v>#N/A</v>
      </c>
      <c r="E480" t="e">
        <f>VLOOKUP(B480,'SHARED FILES'!A:B,2,FALSE)</f>
        <v>#N/A</v>
      </c>
      <c r="F480" t="str">
        <f t="shared" si="14"/>
        <v>BACKEND</v>
      </c>
    </row>
    <row r="481" spans="1:6" x14ac:dyDescent="0.55000000000000004">
      <c r="A481">
        <f t="shared" si="15"/>
        <v>481</v>
      </c>
      <c r="B481" t="s">
        <v>1552</v>
      </c>
      <c r="C481" t="str">
        <f>VLOOKUP(B481,'BACKEND FILES'!A:B,2,FALSE)</f>
        <v>BACKEND</v>
      </c>
      <c r="D481" t="e">
        <f>VLOOKUP(B481,'FRONTEND FILES'!A:B,2,FALSE)</f>
        <v>#N/A</v>
      </c>
      <c r="E481" t="e">
        <f>VLOOKUP(B481,'SHARED FILES'!A:B,2,FALSE)</f>
        <v>#N/A</v>
      </c>
      <c r="F481" t="str">
        <f t="shared" si="14"/>
        <v>BACKEND</v>
      </c>
    </row>
    <row r="482" spans="1:6" x14ac:dyDescent="0.55000000000000004">
      <c r="A482">
        <f t="shared" si="15"/>
        <v>482</v>
      </c>
      <c r="B482" t="s">
        <v>1553</v>
      </c>
      <c r="C482" t="str">
        <f>VLOOKUP(B482,'BACKEND FILES'!A:B,2,FALSE)</f>
        <v>BACKEND</v>
      </c>
      <c r="D482" t="e">
        <f>VLOOKUP(B482,'FRONTEND FILES'!A:B,2,FALSE)</f>
        <v>#N/A</v>
      </c>
      <c r="E482" t="e">
        <f>VLOOKUP(B482,'SHARED FILES'!A:B,2,FALSE)</f>
        <v>#N/A</v>
      </c>
      <c r="F482" t="str">
        <f t="shared" si="14"/>
        <v>BACKEND</v>
      </c>
    </row>
    <row r="483" spans="1:6" x14ac:dyDescent="0.55000000000000004">
      <c r="A483">
        <f t="shared" si="15"/>
        <v>483</v>
      </c>
      <c r="B483" t="s">
        <v>1554</v>
      </c>
      <c r="C483" t="str">
        <f>VLOOKUP(B483,'BACKEND FILES'!A:B,2,FALSE)</f>
        <v>BACKEND</v>
      </c>
      <c r="D483" t="e">
        <f>VLOOKUP(B483,'FRONTEND FILES'!A:B,2,FALSE)</f>
        <v>#N/A</v>
      </c>
      <c r="E483" t="e">
        <f>VLOOKUP(B483,'SHARED FILES'!A:B,2,FALSE)</f>
        <v>#N/A</v>
      </c>
      <c r="F483" t="str">
        <f t="shared" si="14"/>
        <v>BACKEND</v>
      </c>
    </row>
    <row r="484" spans="1:6" x14ac:dyDescent="0.55000000000000004">
      <c r="A484">
        <f t="shared" si="15"/>
        <v>484</v>
      </c>
      <c r="B484" t="s">
        <v>1555</v>
      </c>
      <c r="C484" t="str">
        <f>VLOOKUP(B484,'BACKEND FILES'!A:B,2,FALSE)</f>
        <v>BACKEND</v>
      </c>
      <c r="D484" t="e">
        <f>VLOOKUP(B484,'FRONTEND FILES'!A:B,2,FALSE)</f>
        <v>#N/A</v>
      </c>
      <c r="E484" t="e">
        <f>VLOOKUP(B484,'SHARED FILES'!A:B,2,FALSE)</f>
        <v>#N/A</v>
      </c>
      <c r="F484" t="str">
        <f t="shared" si="14"/>
        <v>BACKEND</v>
      </c>
    </row>
    <row r="485" spans="1:6" x14ac:dyDescent="0.55000000000000004">
      <c r="A485">
        <f t="shared" si="15"/>
        <v>485</v>
      </c>
      <c r="B485" t="s">
        <v>1556</v>
      </c>
      <c r="C485" t="str">
        <f>VLOOKUP(B485,'BACKEND FILES'!A:B,2,FALSE)</f>
        <v>BACKEND</v>
      </c>
      <c r="D485" t="e">
        <f>VLOOKUP(B485,'FRONTEND FILES'!A:B,2,FALSE)</f>
        <v>#N/A</v>
      </c>
      <c r="E485" t="e">
        <f>VLOOKUP(B485,'SHARED FILES'!A:B,2,FALSE)</f>
        <v>#N/A</v>
      </c>
      <c r="F485" t="str">
        <f t="shared" si="14"/>
        <v>BACKEND</v>
      </c>
    </row>
    <row r="486" spans="1:6" x14ac:dyDescent="0.55000000000000004">
      <c r="A486">
        <f t="shared" si="15"/>
        <v>486</v>
      </c>
      <c r="B486" t="s">
        <v>1557</v>
      </c>
      <c r="C486" t="str">
        <f>VLOOKUP(B486,'BACKEND FILES'!A:B,2,FALSE)</f>
        <v>BACKEND</v>
      </c>
      <c r="D486" t="e">
        <f>VLOOKUP(B486,'FRONTEND FILES'!A:B,2,FALSE)</f>
        <v>#N/A</v>
      </c>
      <c r="E486" t="e">
        <f>VLOOKUP(B486,'SHARED FILES'!A:B,2,FALSE)</f>
        <v>#N/A</v>
      </c>
      <c r="F486" t="str">
        <f t="shared" si="14"/>
        <v>BACKEND</v>
      </c>
    </row>
    <row r="487" spans="1:6" x14ac:dyDescent="0.55000000000000004">
      <c r="A487">
        <f t="shared" si="15"/>
        <v>487</v>
      </c>
      <c r="B487" t="s">
        <v>1558</v>
      </c>
      <c r="C487" t="str">
        <f>VLOOKUP(B487,'BACKEND FILES'!A:B,2,FALSE)</f>
        <v>BACKEND</v>
      </c>
      <c r="D487" t="e">
        <f>VLOOKUP(B487,'FRONTEND FILES'!A:B,2,FALSE)</f>
        <v>#N/A</v>
      </c>
      <c r="E487" t="e">
        <f>VLOOKUP(B487,'SHARED FILES'!A:B,2,FALSE)</f>
        <v>#N/A</v>
      </c>
      <c r="F487" t="str">
        <f t="shared" si="14"/>
        <v>BACKEND</v>
      </c>
    </row>
    <row r="488" spans="1:6" x14ac:dyDescent="0.55000000000000004">
      <c r="A488">
        <f t="shared" si="15"/>
        <v>488</v>
      </c>
      <c r="B488" t="s">
        <v>1559</v>
      </c>
      <c r="C488" t="str">
        <f>VLOOKUP(B488,'BACKEND FILES'!A:B,2,FALSE)</f>
        <v>BACKEND</v>
      </c>
      <c r="D488" t="e">
        <f>VLOOKUP(B488,'FRONTEND FILES'!A:B,2,FALSE)</f>
        <v>#N/A</v>
      </c>
      <c r="E488" t="e">
        <f>VLOOKUP(B488,'SHARED FILES'!A:B,2,FALSE)</f>
        <v>#N/A</v>
      </c>
      <c r="F488" t="str">
        <f t="shared" si="14"/>
        <v>BACKEND</v>
      </c>
    </row>
    <row r="489" spans="1:6" x14ac:dyDescent="0.55000000000000004">
      <c r="A489">
        <f t="shared" si="15"/>
        <v>489</v>
      </c>
      <c r="B489" t="s">
        <v>1548</v>
      </c>
      <c r="C489" t="str">
        <f>VLOOKUP(B489,'BACKEND FILES'!A:B,2,FALSE)</f>
        <v>BACKEND</v>
      </c>
      <c r="D489" t="e">
        <f>VLOOKUP(B489,'FRONTEND FILES'!A:B,2,FALSE)</f>
        <v>#N/A</v>
      </c>
      <c r="E489" t="e">
        <f>VLOOKUP(B489,'SHARED FILES'!A:B,2,FALSE)</f>
        <v>#N/A</v>
      </c>
      <c r="F489" t="str">
        <f t="shared" si="14"/>
        <v>BACKEND</v>
      </c>
    </row>
    <row r="490" spans="1:6" x14ac:dyDescent="0.55000000000000004">
      <c r="A490">
        <f t="shared" si="15"/>
        <v>490</v>
      </c>
      <c r="B490" t="s">
        <v>1560</v>
      </c>
      <c r="C490" t="str">
        <f>VLOOKUP(B490,'BACKEND FILES'!A:B,2,FALSE)</f>
        <v>BACKEND</v>
      </c>
      <c r="D490" t="e">
        <f>VLOOKUP(B490,'FRONTEND FILES'!A:B,2,FALSE)</f>
        <v>#N/A</v>
      </c>
      <c r="E490" t="e">
        <f>VLOOKUP(B490,'SHARED FILES'!A:B,2,FALSE)</f>
        <v>#N/A</v>
      </c>
      <c r="F490" t="str">
        <f t="shared" si="14"/>
        <v>BACKEND</v>
      </c>
    </row>
    <row r="491" spans="1:6" x14ac:dyDescent="0.55000000000000004">
      <c r="A491">
        <f t="shared" si="15"/>
        <v>491</v>
      </c>
      <c r="B491" t="s">
        <v>1561</v>
      </c>
      <c r="C491" t="str">
        <f>VLOOKUP(B491,'BACKEND FILES'!A:B,2,FALSE)</f>
        <v>BACKEND</v>
      </c>
      <c r="D491" t="e">
        <f>VLOOKUP(B491,'FRONTEND FILES'!A:B,2,FALSE)</f>
        <v>#N/A</v>
      </c>
      <c r="E491" t="e">
        <f>VLOOKUP(B491,'SHARED FILES'!A:B,2,FALSE)</f>
        <v>#N/A</v>
      </c>
      <c r="F491" t="str">
        <f t="shared" si="14"/>
        <v>BACKEND</v>
      </c>
    </row>
    <row r="492" spans="1:6" x14ac:dyDescent="0.55000000000000004">
      <c r="A492">
        <f t="shared" si="15"/>
        <v>492</v>
      </c>
      <c r="B492" t="s">
        <v>1543</v>
      </c>
      <c r="C492" t="str">
        <f>VLOOKUP(B492,'BACKEND FILES'!A:B,2,FALSE)</f>
        <v>BACKEND</v>
      </c>
      <c r="D492" t="e">
        <f>VLOOKUP(B492,'FRONTEND FILES'!A:B,2,FALSE)</f>
        <v>#N/A</v>
      </c>
      <c r="E492" t="e">
        <f>VLOOKUP(B492,'SHARED FILES'!A:B,2,FALSE)</f>
        <v>#N/A</v>
      </c>
      <c r="F492" t="str">
        <f t="shared" si="14"/>
        <v>BACKEND</v>
      </c>
    </row>
    <row r="493" spans="1:6" x14ac:dyDescent="0.55000000000000004">
      <c r="A493">
        <f t="shared" si="15"/>
        <v>493</v>
      </c>
      <c r="B493" t="s">
        <v>1544</v>
      </c>
      <c r="C493" t="str">
        <f>VLOOKUP(B493,'BACKEND FILES'!A:B,2,FALSE)</f>
        <v>BACKEND</v>
      </c>
      <c r="D493" t="e">
        <f>VLOOKUP(B493,'FRONTEND FILES'!A:B,2,FALSE)</f>
        <v>#N/A</v>
      </c>
      <c r="E493" t="e">
        <f>VLOOKUP(B493,'SHARED FILES'!A:B,2,FALSE)</f>
        <v>#N/A</v>
      </c>
      <c r="F493" t="str">
        <f t="shared" si="14"/>
        <v>BACKEND</v>
      </c>
    </row>
    <row r="494" spans="1:6" x14ac:dyDescent="0.55000000000000004">
      <c r="A494">
        <f t="shared" si="15"/>
        <v>494</v>
      </c>
      <c r="B494" t="s">
        <v>1545</v>
      </c>
      <c r="C494" t="str">
        <f>VLOOKUP(B494,'BACKEND FILES'!A:B,2,FALSE)</f>
        <v>BACKEND</v>
      </c>
      <c r="D494" t="e">
        <f>VLOOKUP(B494,'FRONTEND FILES'!A:B,2,FALSE)</f>
        <v>#N/A</v>
      </c>
      <c r="E494" t="e">
        <f>VLOOKUP(B494,'SHARED FILES'!A:B,2,FALSE)</f>
        <v>#N/A</v>
      </c>
      <c r="F494" t="str">
        <f t="shared" si="14"/>
        <v>BACKEND</v>
      </c>
    </row>
    <row r="495" spans="1:6" x14ac:dyDescent="0.55000000000000004">
      <c r="A495">
        <f t="shared" si="15"/>
        <v>495</v>
      </c>
      <c r="B495" t="s">
        <v>1546</v>
      </c>
      <c r="C495" t="str">
        <f>VLOOKUP(B495,'BACKEND FILES'!A:B,2,FALSE)</f>
        <v>BACKEND</v>
      </c>
      <c r="D495" t="e">
        <f>VLOOKUP(B495,'FRONTEND FILES'!A:B,2,FALSE)</f>
        <v>#N/A</v>
      </c>
      <c r="E495" t="e">
        <f>VLOOKUP(B495,'SHARED FILES'!A:B,2,FALSE)</f>
        <v>#N/A</v>
      </c>
      <c r="F495" t="str">
        <f t="shared" si="14"/>
        <v>BACKEND</v>
      </c>
    </row>
    <row r="496" spans="1:6" x14ac:dyDescent="0.55000000000000004">
      <c r="A496">
        <f t="shared" si="15"/>
        <v>496</v>
      </c>
      <c r="B496" t="s">
        <v>1562</v>
      </c>
      <c r="C496" t="str">
        <f>VLOOKUP(B496,'BACKEND FILES'!A:B,2,FALSE)</f>
        <v>BACKEND</v>
      </c>
      <c r="D496" t="e">
        <f>VLOOKUP(B496,'FRONTEND FILES'!A:B,2,FALSE)</f>
        <v>#N/A</v>
      </c>
      <c r="E496" t="e">
        <f>VLOOKUP(B496,'SHARED FILES'!A:B,2,FALSE)</f>
        <v>#N/A</v>
      </c>
      <c r="F496" t="str">
        <f t="shared" si="14"/>
        <v>BACKEND</v>
      </c>
    </row>
    <row r="497" spans="1:6" x14ac:dyDescent="0.55000000000000004">
      <c r="A497">
        <f t="shared" si="15"/>
        <v>497</v>
      </c>
      <c r="B497" t="s">
        <v>1563</v>
      </c>
      <c r="C497" t="str">
        <f>VLOOKUP(B497,'BACKEND FILES'!A:B,2,FALSE)</f>
        <v>BACKEND</v>
      </c>
      <c r="D497" t="e">
        <f>VLOOKUP(B497,'FRONTEND FILES'!A:B,2,FALSE)</f>
        <v>#N/A</v>
      </c>
      <c r="E497" t="e">
        <f>VLOOKUP(B497,'SHARED FILES'!A:B,2,FALSE)</f>
        <v>#N/A</v>
      </c>
      <c r="F497" t="str">
        <f t="shared" si="14"/>
        <v>BACKEND</v>
      </c>
    </row>
    <row r="498" spans="1:6" x14ac:dyDescent="0.55000000000000004">
      <c r="A498">
        <f t="shared" si="15"/>
        <v>498</v>
      </c>
      <c r="B498" t="s">
        <v>1564</v>
      </c>
      <c r="C498" t="str">
        <f>VLOOKUP(B498,'BACKEND FILES'!A:B,2,FALSE)</f>
        <v>BACKEND</v>
      </c>
      <c r="D498" t="e">
        <f>VLOOKUP(B498,'FRONTEND FILES'!A:B,2,FALSE)</f>
        <v>#N/A</v>
      </c>
      <c r="E498" t="e">
        <f>VLOOKUP(B498,'SHARED FILES'!A:B,2,FALSE)</f>
        <v>#N/A</v>
      </c>
      <c r="F498" t="str">
        <f t="shared" si="14"/>
        <v>BACKEND</v>
      </c>
    </row>
    <row r="499" spans="1:6" x14ac:dyDescent="0.55000000000000004">
      <c r="A499">
        <f t="shared" si="15"/>
        <v>499</v>
      </c>
      <c r="B499" t="s">
        <v>1565</v>
      </c>
      <c r="C499" t="str">
        <f>VLOOKUP(B499,'BACKEND FILES'!A:B,2,FALSE)</f>
        <v>BACKEND</v>
      </c>
      <c r="D499" t="e">
        <f>VLOOKUP(B499,'FRONTEND FILES'!A:B,2,FALSE)</f>
        <v>#N/A</v>
      </c>
      <c r="E499" t="e">
        <f>VLOOKUP(B499,'SHARED FILES'!A:B,2,FALSE)</f>
        <v>#N/A</v>
      </c>
      <c r="F499" t="str">
        <f t="shared" si="14"/>
        <v>BACKEND</v>
      </c>
    </row>
    <row r="500" spans="1:6" x14ac:dyDescent="0.55000000000000004">
      <c r="A500">
        <f t="shared" si="15"/>
        <v>500</v>
      </c>
      <c r="B500" t="s">
        <v>1566</v>
      </c>
      <c r="C500" t="str">
        <f>VLOOKUP(B500,'BACKEND FILES'!A:B,2,FALSE)</f>
        <v>BACKEND</v>
      </c>
      <c r="D500" t="e">
        <f>VLOOKUP(B500,'FRONTEND FILES'!A:B,2,FALSE)</f>
        <v>#N/A</v>
      </c>
      <c r="E500" t="e">
        <f>VLOOKUP(B500,'SHARED FILES'!A:B,2,FALSE)</f>
        <v>#N/A</v>
      </c>
      <c r="F500" t="str">
        <f t="shared" si="14"/>
        <v>BACKEND</v>
      </c>
    </row>
    <row r="501" spans="1:6" x14ac:dyDescent="0.55000000000000004">
      <c r="A501">
        <f t="shared" si="15"/>
        <v>501</v>
      </c>
      <c r="B501" t="s">
        <v>1567</v>
      </c>
      <c r="C501" t="str">
        <f>VLOOKUP(B501,'BACKEND FILES'!A:B,2,FALSE)</f>
        <v>BACKEND</v>
      </c>
      <c r="D501" t="e">
        <f>VLOOKUP(B501,'FRONTEND FILES'!A:B,2,FALSE)</f>
        <v>#N/A</v>
      </c>
      <c r="E501" t="e">
        <f>VLOOKUP(B501,'SHARED FILES'!A:B,2,FALSE)</f>
        <v>#N/A</v>
      </c>
      <c r="F501" t="str">
        <f t="shared" si="14"/>
        <v>BACKEND</v>
      </c>
    </row>
    <row r="502" spans="1:6" x14ac:dyDescent="0.55000000000000004">
      <c r="A502">
        <f t="shared" si="15"/>
        <v>502</v>
      </c>
      <c r="B502" t="s">
        <v>1534</v>
      </c>
      <c r="C502" t="e">
        <f>VLOOKUP(B502,'BACKEND FILES'!A:B,2,FALSE)</f>
        <v>#N/A</v>
      </c>
      <c r="D502" t="e">
        <f>VLOOKUP(B502,'FRONTEND FILES'!A:B,2,FALSE)</f>
        <v>#N/A</v>
      </c>
      <c r="E502" t="e">
        <f>VLOOKUP(B502,'SHARED FILES'!A:B,2,FALSE)</f>
        <v>#N/A</v>
      </c>
      <c r="F502" t="str">
        <f t="shared" si="14"/>
        <v/>
      </c>
    </row>
    <row r="503" spans="1:6" x14ac:dyDescent="0.55000000000000004">
      <c r="A503">
        <f t="shared" si="15"/>
        <v>503</v>
      </c>
      <c r="B503" t="s">
        <v>1536</v>
      </c>
      <c r="C503" t="e">
        <f>VLOOKUP(B503,'BACKEND FILES'!A:B,2,FALSE)</f>
        <v>#N/A</v>
      </c>
      <c r="D503" t="e">
        <f>VLOOKUP(B503,'FRONTEND FILES'!A:B,2,FALSE)</f>
        <v>#N/A</v>
      </c>
      <c r="E503" t="e">
        <f>VLOOKUP(B503,'SHARED FILES'!A:B,2,FALSE)</f>
        <v>#N/A</v>
      </c>
      <c r="F503" t="str">
        <f t="shared" si="14"/>
        <v/>
      </c>
    </row>
    <row r="504" spans="1:6" x14ac:dyDescent="0.55000000000000004">
      <c r="A504">
        <f t="shared" si="15"/>
        <v>504</v>
      </c>
      <c r="B504" t="s">
        <v>1430</v>
      </c>
      <c r="C504" t="e">
        <f>VLOOKUP(B504,'BACKEND FILES'!A:B,2,FALSE)</f>
        <v>#N/A</v>
      </c>
      <c r="D504" t="e">
        <f>VLOOKUP(B504,'FRONTEND FILES'!A:B,2,FALSE)</f>
        <v>#N/A</v>
      </c>
      <c r="E504" t="e">
        <f>VLOOKUP(B504,'SHARED FILES'!A:B,2,FALSE)</f>
        <v>#N/A</v>
      </c>
      <c r="F504" t="str">
        <f t="shared" si="14"/>
        <v/>
      </c>
    </row>
    <row r="505" spans="1:6" x14ac:dyDescent="0.55000000000000004">
      <c r="A505">
        <f t="shared" si="15"/>
        <v>505</v>
      </c>
      <c r="B505" t="s">
        <v>1431</v>
      </c>
      <c r="C505" t="str">
        <f>VLOOKUP(B505,'BACKEND FILES'!A:B,2,FALSE)</f>
        <v>BACKEND</v>
      </c>
      <c r="D505" t="e">
        <f>VLOOKUP(B505,'FRONTEND FILES'!A:B,2,FALSE)</f>
        <v>#N/A</v>
      </c>
      <c r="E505" t="e">
        <f>VLOOKUP(B505,'SHARED FILES'!A:B,2,FALSE)</f>
        <v>#N/A</v>
      </c>
      <c r="F505" t="str">
        <f t="shared" si="14"/>
        <v>BACKEND</v>
      </c>
    </row>
    <row r="506" spans="1:6" x14ac:dyDescent="0.55000000000000004">
      <c r="A506">
        <f t="shared" si="15"/>
        <v>506</v>
      </c>
      <c r="B506" t="s">
        <v>1432</v>
      </c>
      <c r="C506" t="str">
        <f>VLOOKUP(B506,'BACKEND FILES'!A:B,2,FALSE)</f>
        <v>BACKEND</v>
      </c>
      <c r="D506" t="e">
        <f>VLOOKUP(B506,'FRONTEND FILES'!A:B,2,FALSE)</f>
        <v>#N/A</v>
      </c>
      <c r="E506" t="e">
        <f>VLOOKUP(B506,'SHARED FILES'!A:B,2,FALSE)</f>
        <v>#N/A</v>
      </c>
      <c r="F506" t="str">
        <f t="shared" si="14"/>
        <v>BACKEND</v>
      </c>
    </row>
    <row r="507" spans="1:6" x14ac:dyDescent="0.55000000000000004">
      <c r="A507">
        <f t="shared" si="15"/>
        <v>507</v>
      </c>
      <c r="B507" t="s">
        <v>1537</v>
      </c>
      <c r="C507" t="e">
        <f>VLOOKUP(B507,'BACKEND FILES'!A:B,2,FALSE)</f>
        <v>#N/A</v>
      </c>
      <c r="D507" t="e">
        <f>VLOOKUP(B507,'FRONTEND FILES'!A:B,2,FALSE)</f>
        <v>#N/A</v>
      </c>
      <c r="E507" t="e">
        <f>VLOOKUP(B507,'SHARED FILES'!A:B,2,FALSE)</f>
        <v>#N/A</v>
      </c>
      <c r="F507" t="str">
        <f t="shared" si="14"/>
        <v/>
      </c>
    </row>
    <row r="508" spans="1:6" x14ac:dyDescent="0.55000000000000004">
      <c r="A508">
        <f t="shared" si="15"/>
        <v>508</v>
      </c>
      <c r="B508" t="s">
        <v>1538</v>
      </c>
      <c r="C508" t="e">
        <f>VLOOKUP(B508,'BACKEND FILES'!A:B,2,FALSE)</f>
        <v>#N/A</v>
      </c>
      <c r="D508" t="e">
        <f>VLOOKUP(B508,'FRONTEND FILES'!A:B,2,FALSE)</f>
        <v>#N/A</v>
      </c>
      <c r="E508" t="e">
        <f>VLOOKUP(B508,'SHARED FILES'!A:B,2,FALSE)</f>
        <v>#N/A</v>
      </c>
      <c r="F508" t="str">
        <f t="shared" si="14"/>
        <v/>
      </c>
    </row>
    <row r="509" spans="1:6" x14ac:dyDescent="0.55000000000000004">
      <c r="A509">
        <f t="shared" si="15"/>
        <v>509</v>
      </c>
      <c r="B509" t="s">
        <v>1539</v>
      </c>
      <c r="C509" t="e">
        <f>VLOOKUP(B509,'BACKEND FILES'!A:B,2,FALSE)</f>
        <v>#N/A</v>
      </c>
      <c r="D509" t="e">
        <f>VLOOKUP(B509,'FRONTEND FILES'!A:B,2,FALSE)</f>
        <v>#N/A</v>
      </c>
      <c r="E509" t="e">
        <f>VLOOKUP(B509,'SHARED FILES'!A:B,2,FALSE)</f>
        <v>#N/A</v>
      </c>
      <c r="F509" t="str">
        <f t="shared" si="14"/>
        <v/>
      </c>
    </row>
    <row r="510" spans="1:6" x14ac:dyDescent="0.55000000000000004">
      <c r="A510">
        <f t="shared" si="15"/>
        <v>510</v>
      </c>
      <c r="B510" t="s">
        <v>1540</v>
      </c>
      <c r="C510" t="e">
        <f>VLOOKUP(B510,'BACKEND FILES'!A:B,2,FALSE)</f>
        <v>#N/A</v>
      </c>
      <c r="D510" t="e">
        <f>VLOOKUP(B510,'FRONTEND FILES'!A:B,2,FALSE)</f>
        <v>#N/A</v>
      </c>
      <c r="E510" t="e">
        <f>VLOOKUP(B510,'SHARED FILES'!A:B,2,FALSE)</f>
        <v>#N/A</v>
      </c>
      <c r="F510" t="str">
        <f t="shared" si="14"/>
        <v/>
      </c>
    </row>
    <row r="511" spans="1:6" x14ac:dyDescent="0.55000000000000004">
      <c r="A511">
        <f t="shared" si="15"/>
        <v>511</v>
      </c>
      <c r="B511" t="s">
        <v>1433</v>
      </c>
      <c r="C511" t="e">
        <f>VLOOKUP(B511,'BACKEND FILES'!A:B,2,FALSE)</f>
        <v>#N/A</v>
      </c>
      <c r="D511" t="e">
        <f>VLOOKUP(B511,'FRONTEND FILES'!A:B,2,FALSE)</f>
        <v>#N/A</v>
      </c>
      <c r="E511" t="str">
        <f>VLOOKUP(B511,'SHARED FILES'!A:B,2,FALSE)</f>
        <v>SHARING</v>
      </c>
      <c r="F511" t="str">
        <f t="shared" si="14"/>
        <v>SHARING</v>
      </c>
    </row>
    <row r="512" spans="1:6" x14ac:dyDescent="0.55000000000000004">
      <c r="A512">
        <f t="shared" si="15"/>
        <v>512</v>
      </c>
      <c r="B512" t="s">
        <v>1434</v>
      </c>
      <c r="C512" t="e">
        <f>VLOOKUP(B512,'BACKEND FILES'!A:B,2,FALSE)</f>
        <v>#N/A</v>
      </c>
      <c r="D512" t="e">
        <f>VLOOKUP(B512,'FRONTEND FILES'!A:B,2,FALSE)</f>
        <v>#N/A</v>
      </c>
      <c r="E512" t="str">
        <f>VLOOKUP(B512,'SHARED FILES'!A:B,2,FALSE)</f>
        <v>SHARING</v>
      </c>
      <c r="F512" t="str">
        <f t="shared" si="14"/>
        <v>SHARING</v>
      </c>
    </row>
    <row r="513" spans="1:6" x14ac:dyDescent="0.55000000000000004">
      <c r="A513">
        <f t="shared" si="15"/>
        <v>513</v>
      </c>
      <c r="B513" t="s">
        <v>1435</v>
      </c>
      <c r="C513" t="e">
        <f>VLOOKUP(B513,'BACKEND FILES'!A:B,2,FALSE)</f>
        <v>#N/A</v>
      </c>
      <c r="D513" t="e">
        <f>VLOOKUP(B513,'FRONTEND FILES'!A:B,2,FALSE)</f>
        <v>#N/A</v>
      </c>
      <c r="E513" t="str">
        <f>VLOOKUP(B513,'SHARED FILES'!A:B,2,FALSE)</f>
        <v>SHARING</v>
      </c>
      <c r="F513" t="str">
        <f t="shared" si="14"/>
        <v>SHARING</v>
      </c>
    </row>
    <row r="514" spans="1:6" x14ac:dyDescent="0.55000000000000004">
      <c r="A514">
        <f t="shared" si="15"/>
        <v>514</v>
      </c>
      <c r="B514" t="s">
        <v>1436</v>
      </c>
      <c r="C514" t="e">
        <f>VLOOKUP(B514,'BACKEND FILES'!A:B,2,FALSE)</f>
        <v>#N/A</v>
      </c>
      <c r="D514" t="e">
        <f>VLOOKUP(B514,'FRONTEND FILES'!A:B,2,FALSE)</f>
        <v>#N/A</v>
      </c>
      <c r="E514" t="str">
        <f>VLOOKUP(B514,'SHARED FILES'!A:B,2,FALSE)</f>
        <v>SHARING</v>
      </c>
      <c r="F514" t="str">
        <f t="shared" ref="F514:F523" si="16">_xlfn.IFNA(C514, _xlfn.IFNA(D514, _xlfn.IFNA(E514, "")))</f>
        <v>SHARING</v>
      </c>
    </row>
    <row r="515" spans="1:6" x14ac:dyDescent="0.55000000000000004">
      <c r="A515">
        <f t="shared" ref="A515:A523" si="17">A514+1</f>
        <v>515</v>
      </c>
      <c r="B515" t="s">
        <v>1437</v>
      </c>
      <c r="C515" t="e">
        <f>VLOOKUP(B515,'BACKEND FILES'!A:B,2,FALSE)</f>
        <v>#N/A</v>
      </c>
      <c r="D515" t="e">
        <f>VLOOKUP(B515,'FRONTEND FILES'!A:B,2,FALSE)</f>
        <v>#N/A</v>
      </c>
      <c r="E515" t="str">
        <f>VLOOKUP(B515,'SHARED FILES'!A:B,2,FALSE)</f>
        <v>SHARING</v>
      </c>
      <c r="F515" t="str">
        <f t="shared" si="16"/>
        <v>SHARING</v>
      </c>
    </row>
    <row r="516" spans="1:6" x14ac:dyDescent="0.55000000000000004">
      <c r="A516">
        <f t="shared" si="17"/>
        <v>516</v>
      </c>
      <c r="B516" t="s">
        <v>1438</v>
      </c>
      <c r="C516" t="e">
        <f>VLOOKUP(B516,'BACKEND FILES'!A:B,2,FALSE)</f>
        <v>#N/A</v>
      </c>
      <c r="D516" t="e">
        <f>VLOOKUP(B516,'FRONTEND FILES'!A:B,2,FALSE)</f>
        <v>#N/A</v>
      </c>
      <c r="E516" t="str">
        <f>VLOOKUP(B516,'SHARED FILES'!A:B,2,FALSE)</f>
        <v>SHARING</v>
      </c>
      <c r="F516" t="str">
        <f t="shared" si="16"/>
        <v>SHARING</v>
      </c>
    </row>
    <row r="517" spans="1:6" x14ac:dyDescent="0.55000000000000004">
      <c r="A517">
        <f t="shared" si="17"/>
        <v>517</v>
      </c>
      <c r="B517" t="s">
        <v>1439</v>
      </c>
      <c r="C517" t="e">
        <f>VLOOKUP(B517,'BACKEND FILES'!A:B,2,FALSE)</f>
        <v>#N/A</v>
      </c>
      <c r="D517" t="e">
        <f>VLOOKUP(B517,'FRONTEND FILES'!A:B,2,FALSE)</f>
        <v>#N/A</v>
      </c>
      <c r="E517" t="str">
        <f>VLOOKUP(B517,'SHARED FILES'!A:B,2,FALSE)</f>
        <v>SHARING</v>
      </c>
      <c r="F517" t="str">
        <f t="shared" si="16"/>
        <v>SHARING</v>
      </c>
    </row>
    <row r="518" spans="1:6" x14ac:dyDescent="0.55000000000000004">
      <c r="A518">
        <f t="shared" si="17"/>
        <v>518</v>
      </c>
      <c r="B518" t="s">
        <v>1440</v>
      </c>
      <c r="C518" t="e">
        <f>VLOOKUP(B518,'BACKEND FILES'!A:B,2,FALSE)</f>
        <v>#N/A</v>
      </c>
      <c r="D518" t="e">
        <f>VLOOKUP(B518,'FRONTEND FILES'!A:B,2,FALSE)</f>
        <v>#N/A</v>
      </c>
      <c r="E518" t="str">
        <f>VLOOKUP(B518,'SHARED FILES'!A:B,2,FALSE)</f>
        <v>SHARING</v>
      </c>
      <c r="F518" t="str">
        <f t="shared" si="16"/>
        <v>SHARING</v>
      </c>
    </row>
    <row r="519" spans="1:6" x14ac:dyDescent="0.55000000000000004">
      <c r="A519">
        <f t="shared" si="17"/>
        <v>519</v>
      </c>
      <c r="B519" t="s">
        <v>1441</v>
      </c>
      <c r="C519" t="e">
        <f>VLOOKUP(B519,'BACKEND FILES'!A:B,2,FALSE)</f>
        <v>#N/A</v>
      </c>
      <c r="D519" t="e">
        <f>VLOOKUP(B519,'FRONTEND FILES'!A:B,2,FALSE)</f>
        <v>#N/A</v>
      </c>
      <c r="E519" t="str">
        <f>VLOOKUP(B519,'SHARED FILES'!A:B,2,FALSE)</f>
        <v>SHARING</v>
      </c>
      <c r="F519" t="str">
        <f t="shared" si="16"/>
        <v>SHARING</v>
      </c>
    </row>
    <row r="520" spans="1:6" x14ac:dyDescent="0.55000000000000004">
      <c r="A520">
        <f t="shared" si="17"/>
        <v>520</v>
      </c>
      <c r="B520" t="s">
        <v>1442</v>
      </c>
      <c r="C520" t="e">
        <f>VLOOKUP(B520,'BACKEND FILES'!A:B,2,FALSE)</f>
        <v>#N/A</v>
      </c>
      <c r="D520" t="e">
        <f>VLOOKUP(B520,'FRONTEND FILES'!A:B,2,FALSE)</f>
        <v>#N/A</v>
      </c>
      <c r="E520" t="str">
        <f>VLOOKUP(B520,'SHARED FILES'!A:B,2,FALSE)</f>
        <v>SHARING</v>
      </c>
      <c r="F520" t="str">
        <f t="shared" si="16"/>
        <v>SHARING</v>
      </c>
    </row>
    <row r="521" spans="1:6" x14ac:dyDescent="0.55000000000000004">
      <c r="A521">
        <f t="shared" si="17"/>
        <v>521</v>
      </c>
      <c r="B521" t="s">
        <v>1443</v>
      </c>
      <c r="C521" t="e">
        <f>VLOOKUP(B521,'BACKEND FILES'!A:B,2,FALSE)</f>
        <v>#N/A</v>
      </c>
      <c r="D521" t="e">
        <f>VLOOKUP(B521,'FRONTEND FILES'!A:B,2,FALSE)</f>
        <v>#N/A</v>
      </c>
      <c r="E521" t="str">
        <f>VLOOKUP(B521,'SHARED FILES'!A:B,2,FALSE)</f>
        <v>SHARING</v>
      </c>
      <c r="F521" t="str">
        <f t="shared" si="16"/>
        <v>SHARING</v>
      </c>
    </row>
    <row r="522" spans="1:6" x14ac:dyDescent="0.55000000000000004">
      <c r="A522">
        <f t="shared" si="17"/>
        <v>522</v>
      </c>
      <c r="B522" t="s">
        <v>1444</v>
      </c>
      <c r="C522" t="e">
        <f>VLOOKUP(B522,'BACKEND FILES'!A:B,2,FALSE)</f>
        <v>#N/A</v>
      </c>
      <c r="D522" t="e">
        <f>VLOOKUP(B522,'FRONTEND FILES'!A:B,2,FALSE)</f>
        <v>#N/A</v>
      </c>
      <c r="E522" t="str">
        <f>VLOOKUP(B522,'SHARED FILES'!A:B,2,FALSE)</f>
        <v>SHARING</v>
      </c>
      <c r="F522" t="str">
        <f t="shared" si="16"/>
        <v>SHARING</v>
      </c>
    </row>
    <row r="523" spans="1:6" x14ac:dyDescent="0.55000000000000004">
      <c r="A523">
        <f t="shared" si="17"/>
        <v>523</v>
      </c>
      <c r="B523" t="s">
        <v>1541</v>
      </c>
      <c r="C523" t="e">
        <f>VLOOKUP(B523,'BACKEND FILES'!A:B,2,FALSE)</f>
        <v>#N/A</v>
      </c>
      <c r="D523" t="e">
        <f>VLOOKUP(B523,'FRONTEND FILES'!A:B,2,FALSE)</f>
        <v>#N/A</v>
      </c>
      <c r="E523" t="e">
        <f>VLOOKUP(B523,'SHARED FILES'!A:B,2,FALSE)</f>
        <v>#N/A</v>
      </c>
      <c r="F523" t="str">
        <f t="shared" si="16"/>
        <v/>
      </c>
    </row>
  </sheetData>
  <sortState xmlns:xlrd2="http://schemas.microsoft.com/office/spreadsheetml/2017/richdata2" ref="B1:B523">
    <sortCondition ref="B1:B523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1864B-E85E-4977-9BAA-02B9E9D754E7}">
  <sheetPr>
    <tabColor rgb="FF7030A0"/>
  </sheetPr>
  <dimension ref="A1:B195"/>
  <sheetViews>
    <sheetView workbookViewId="0">
      <selection activeCell="F10" sqref="F10"/>
    </sheetView>
  </sheetViews>
  <sheetFormatPr defaultRowHeight="14.4" x14ac:dyDescent="0.55000000000000004"/>
  <cols>
    <col min="1" max="1" width="51.578125" customWidth="1"/>
    <col min="2" max="2" width="13.578125" bestFit="1" customWidth="1"/>
  </cols>
  <sheetData>
    <row r="1" spans="1:2" x14ac:dyDescent="0.55000000000000004">
      <c r="A1" t="s">
        <v>1232</v>
      </c>
      <c r="B1" s="3" t="s">
        <v>1590</v>
      </c>
    </row>
    <row r="2" spans="1:2" x14ac:dyDescent="0.55000000000000004">
      <c r="A2" t="s">
        <v>1233</v>
      </c>
      <c r="B2" s="3" t="s">
        <v>1590</v>
      </c>
    </row>
    <row r="3" spans="1:2" x14ac:dyDescent="0.55000000000000004">
      <c r="A3" t="s">
        <v>1234</v>
      </c>
      <c r="B3" s="3" t="s">
        <v>1590</v>
      </c>
    </row>
    <row r="4" spans="1:2" x14ac:dyDescent="0.55000000000000004">
      <c r="A4" t="s">
        <v>1235</v>
      </c>
      <c r="B4" s="3" t="s">
        <v>1590</v>
      </c>
    </row>
    <row r="5" spans="1:2" x14ac:dyDescent="0.55000000000000004">
      <c r="A5" t="s">
        <v>1236</v>
      </c>
      <c r="B5" s="3" t="s">
        <v>1590</v>
      </c>
    </row>
    <row r="6" spans="1:2" x14ac:dyDescent="0.55000000000000004">
      <c r="A6" t="s">
        <v>1237</v>
      </c>
      <c r="B6" s="3" t="s">
        <v>1590</v>
      </c>
    </row>
    <row r="7" spans="1:2" x14ac:dyDescent="0.55000000000000004">
      <c r="A7" t="s">
        <v>1238</v>
      </c>
      <c r="B7" s="3" t="s">
        <v>1590</v>
      </c>
    </row>
    <row r="8" spans="1:2" x14ac:dyDescent="0.55000000000000004">
      <c r="A8" t="s">
        <v>1239</v>
      </c>
      <c r="B8" s="3" t="s">
        <v>1590</v>
      </c>
    </row>
    <row r="9" spans="1:2" x14ac:dyDescent="0.55000000000000004">
      <c r="A9" t="s">
        <v>1240</v>
      </c>
      <c r="B9" s="3" t="s">
        <v>1590</v>
      </c>
    </row>
    <row r="10" spans="1:2" x14ac:dyDescent="0.55000000000000004">
      <c r="A10" t="s">
        <v>1241</v>
      </c>
      <c r="B10" s="3" t="s">
        <v>1590</v>
      </c>
    </row>
    <row r="11" spans="1:2" x14ac:dyDescent="0.55000000000000004">
      <c r="A11" t="s">
        <v>1242</v>
      </c>
      <c r="B11" s="3" t="s">
        <v>1590</v>
      </c>
    </row>
    <row r="12" spans="1:2" x14ac:dyDescent="0.55000000000000004">
      <c r="A12" t="s">
        <v>1243</v>
      </c>
      <c r="B12" s="3" t="s">
        <v>1590</v>
      </c>
    </row>
    <row r="13" spans="1:2" x14ac:dyDescent="0.55000000000000004">
      <c r="A13" t="s">
        <v>1244</v>
      </c>
      <c r="B13" s="3" t="s">
        <v>1590</v>
      </c>
    </row>
    <row r="14" spans="1:2" x14ac:dyDescent="0.55000000000000004">
      <c r="A14" t="s">
        <v>1245</v>
      </c>
      <c r="B14" s="3" t="s">
        <v>1590</v>
      </c>
    </row>
    <row r="15" spans="1:2" x14ac:dyDescent="0.55000000000000004">
      <c r="A15" t="s">
        <v>1246</v>
      </c>
      <c r="B15" s="3" t="s">
        <v>1590</v>
      </c>
    </row>
    <row r="16" spans="1:2" x14ac:dyDescent="0.55000000000000004">
      <c r="A16" t="s">
        <v>1247</v>
      </c>
      <c r="B16" s="3" t="s">
        <v>1590</v>
      </c>
    </row>
    <row r="17" spans="1:2" x14ac:dyDescent="0.55000000000000004">
      <c r="A17" t="s">
        <v>1248</v>
      </c>
      <c r="B17" s="3" t="s">
        <v>1590</v>
      </c>
    </row>
    <row r="18" spans="1:2" x14ac:dyDescent="0.55000000000000004">
      <c r="A18" t="s">
        <v>1249</v>
      </c>
      <c r="B18" s="3" t="s">
        <v>1590</v>
      </c>
    </row>
    <row r="19" spans="1:2" x14ac:dyDescent="0.55000000000000004">
      <c r="A19" t="s">
        <v>1250</v>
      </c>
      <c r="B19" s="3" t="s">
        <v>1590</v>
      </c>
    </row>
    <row r="20" spans="1:2" x14ac:dyDescent="0.55000000000000004">
      <c r="A20" t="s">
        <v>1251</v>
      </c>
      <c r="B20" s="3" t="s">
        <v>1590</v>
      </c>
    </row>
    <row r="21" spans="1:2" x14ac:dyDescent="0.55000000000000004">
      <c r="A21" t="s">
        <v>1252</v>
      </c>
      <c r="B21" s="3" t="s">
        <v>1590</v>
      </c>
    </row>
    <row r="22" spans="1:2" x14ac:dyDescent="0.55000000000000004">
      <c r="A22" t="s">
        <v>1253</v>
      </c>
      <c r="B22" s="3" t="s">
        <v>1590</v>
      </c>
    </row>
    <row r="23" spans="1:2" x14ac:dyDescent="0.55000000000000004">
      <c r="A23" t="s">
        <v>1254</v>
      </c>
      <c r="B23" s="3" t="s">
        <v>1590</v>
      </c>
    </row>
    <row r="24" spans="1:2" x14ac:dyDescent="0.55000000000000004">
      <c r="A24" t="s">
        <v>1255</v>
      </c>
      <c r="B24" s="3" t="s">
        <v>1590</v>
      </c>
    </row>
    <row r="25" spans="1:2" x14ac:dyDescent="0.55000000000000004">
      <c r="A25" t="s">
        <v>1256</v>
      </c>
      <c r="B25" s="3" t="s">
        <v>1590</v>
      </c>
    </row>
    <row r="26" spans="1:2" x14ac:dyDescent="0.55000000000000004">
      <c r="A26" t="s">
        <v>1257</v>
      </c>
      <c r="B26" s="3" t="s">
        <v>1590</v>
      </c>
    </row>
    <row r="27" spans="1:2" x14ac:dyDescent="0.55000000000000004">
      <c r="A27" t="s">
        <v>1258</v>
      </c>
      <c r="B27" s="3" t="s">
        <v>1590</v>
      </c>
    </row>
    <row r="28" spans="1:2" x14ac:dyDescent="0.55000000000000004">
      <c r="A28" t="s">
        <v>1259</v>
      </c>
      <c r="B28" s="3" t="s">
        <v>1590</v>
      </c>
    </row>
    <row r="29" spans="1:2" x14ac:dyDescent="0.55000000000000004">
      <c r="A29" t="s">
        <v>1260</v>
      </c>
      <c r="B29" s="3" t="s">
        <v>1590</v>
      </c>
    </row>
    <row r="30" spans="1:2" x14ac:dyDescent="0.55000000000000004">
      <c r="A30" t="s">
        <v>1261</v>
      </c>
      <c r="B30" s="3" t="s">
        <v>1590</v>
      </c>
    </row>
    <row r="31" spans="1:2" x14ac:dyDescent="0.55000000000000004">
      <c r="A31" t="s">
        <v>1262</v>
      </c>
      <c r="B31" s="3" t="s">
        <v>1590</v>
      </c>
    </row>
    <row r="32" spans="1:2" x14ac:dyDescent="0.55000000000000004">
      <c r="A32" t="s">
        <v>1263</v>
      </c>
      <c r="B32" s="3" t="s">
        <v>1590</v>
      </c>
    </row>
    <row r="33" spans="1:2" x14ac:dyDescent="0.55000000000000004">
      <c r="A33" t="s">
        <v>1264</v>
      </c>
      <c r="B33" s="3" t="s">
        <v>1590</v>
      </c>
    </row>
    <row r="34" spans="1:2" x14ac:dyDescent="0.55000000000000004">
      <c r="A34" t="s">
        <v>1265</v>
      </c>
      <c r="B34" s="3" t="s">
        <v>1590</v>
      </c>
    </row>
    <row r="35" spans="1:2" x14ac:dyDescent="0.55000000000000004">
      <c r="A35" t="s">
        <v>1266</v>
      </c>
      <c r="B35" s="3" t="s">
        <v>1590</v>
      </c>
    </row>
    <row r="36" spans="1:2" x14ac:dyDescent="0.55000000000000004">
      <c r="A36" t="s">
        <v>1267</v>
      </c>
      <c r="B36" s="3" t="s">
        <v>1590</v>
      </c>
    </row>
    <row r="37" spans="1:2" x14ac:dyDescent="0.55000000000000004">
      <c r="A37" t="s">
        <v>1268</v>
      </c>
      <c r="B37" s="3" t="s">
        <v>1590</v>
      </c>
    </row>
    <row r="38" spans="1:2" x14ac:dyDescent="0.55000000000000004">
      <c r="A38" t="s">
        <v>1269</v>
      </c>
      <c r="B38" s="3" t="s">
        <v>1590</v>
      </c>
    </row>
    <row r="39" spans="1:2" x14ac:dyDescent="0.55000000000000004">
      <c r="A39" t="s">
        <v>1270</v>
      </c>
      <c r="B39" s="3" t="s">
        <v>1590</v>
      </c>
    </row>
    <row r="40" spans="1:2" x14ac:dyDescent="0.55000000000000004">
      <c r="A40" t="s">
        <v>1273</v>
      </c>
      <c r="B40" s="3" t="s">
        <v>1590</v>
      </c>
    </row>
    <row r="41" spans="1:2" x14ac:dyDescent="0.55000000000000004">
      <c r="A41" t="s">
        <v>1274</v>
      </c>
      <c r="B41" s="3" t="s">
        <v>1590</v>
      </c>
    </row>
    <row r="42" spans="1:2" x14ac:dyDescent="0.55000000000000004">
      <c r="A42" t="s">
        <v>1275</v>
      </c>
      <c r="B42" s="3" t="s">
        <v>1590</v>
      </c>
    </row>
    <row r="43" spans="1:2" x14ac:dyDescent="0.55000000000000004">
      <c r="A43" t="s">
        <v>1276</v>
      </c>
      <c r="B43" s="3" t="s">
        <v>1590</v>
      </c>
    </row>
    <row r="44" spans="1:2" x14ac:dyDescent="0.55000000000000004">
      <c r="A44" t="s">
        <v>1277</v>
      </c>
      <c r="B44" s="3" t="s">
        <v>1590</v>
      </c>
    </row>
    <row r="45" spans="1:2" x14ac:dyDescent="0.55000000000000004">
      <c r="A45" t="s">
        <v>1278</v>
      </c>
      <c r="B45" s="3" t="s">
        <v>1590</v>
      </c>
    </row>
    <row r="46" spans="1:2" x14ac:dyDescent="0.55000000000000004">
      <c r="A46" t="s">
        <v>1279</v>
      </c>
      <c r="B46" s="3" t="s">
        <v>1590</v>
      </c>
    </row>
    <row r="47" spans="1:2" x14ac:dyDescent="0.55000000000000004">
      <c r="A47" t="s">
        <v>1280</v>
      </c>
      <c r="B47" s="3" t="s">
        <v>1590</v>
      </c>
    </row>
    <row r="48" spans="1:2" x14ac:dyDescent="0.55000000000000004">
      <c r="A48" t="s">
        <v>1281</v>
      </c>
      <c r="B48" s="3" t="s">
        <v>1590</v>
      </c>
    </row>
    <row r="49" spans="1:2" x14ac:dyDescent="0.55000000000000004">
      <c r="A49" t="s">
        <v>1282</v>
      </c>
      <c r="B49" s="3" t="s">
        <v>1590</v>
      </c>
    </row>
    <row r="50" spans="1:2" x14ac:dyDescent="0.55000000000000004">
      <c r="A50" t="s">
        <v>1283</v>
      </c>
      <c r="B50" s="3" t="s">
        <v>1590</v>
      </c>
    </row>
    <row r="51" spans="1:2" x14ac:dyDescent="0.55000000000000004">
      <c r="A51" t="s">
        <v>1284</v>
      </c>
      <c r="B51" s="3" t="s">
        <v>1590</v>
      </c>
    </row>
    <row r="52" spans="1:2" x14ac:dyDescent="0.55000000000000004">
      <c r="A52" t="s">
        <v>1285</v>
      </c>
      <c r="B52" s="3" t="s">
        <v>1590</v>
      </c>
    </row>
    <row r="53" spans="1:2" x14ac:dyDescent="0.55000000000000004">
      <c r="A53" t="s">
        <v>1286</v>
      </c>
      <c r="B53" s="3" t="s">
        <v>1590</v>
      </c>
    </row>
    <row r="54" spans="1:2" x14ac:dyDescent="0.55000000000000004">
      <c r="A54" t="s">
        <v>1287</v>
      </c>
      <c r="B54" s="3" t="s">
        <v>1590</v>
      </c>
    </row>
    <row r="55" spans="1:2" x14ac:dyDescent="0.55000000000000004">
      <c r="A55" t="s">
        <v>1288</v>
      </c>
      <c r="B55" s="3" t="s">
        <v>1590</v>
      </c>
    </row>
    <row r="56" spans="1:2" x14ac:dyDescent="0.55000000000000004">
      <c r="A56" t="s">
        <v>1289</v>
      </c>
      <c r="B56" s="3" t="s">
        <v>1590</v>
      </c>
    </row>
    <row r="57" spans="1:2" x14ac:dyDescent="0.55000000000000004">
      <c r="A57" t="s">
        <v>1290</v>
      </c>
      <c r="B57" s="3" t="s">
        <v>1590</v>
      </c>
    </row>
    <row r="58" spans="1:2" x14ac:dyDescent="0.55000000000000004">
      <c r="A58" t="s">
        <v>1291</v>
      </c>
      <c r="B58" s="3" t="s">
        <v>1590</v>
      </c>
    </row>
    <row r="59" spans="1:2" x14ac:dyDescent="0.55000000000000004">
      <c r="A59" t="s">
        <v>1292</v>
      </c>
      <c r="B59" s="3" t="s">
        <v>1590</v>
      </c>
    </row>
    <row r="60" spans="1:2" x14ac:dyDescent="0.55000000000000004">
      <c r="A60" t="s">
        <v>1293</v>
      </c>
      <c r="B60" s="3" t="s">
        <v>1590</v>
      </c>
    </row>
    <row r="61" spans="1:2" x14ac:dyDescent="0.55000000000000004">
      <c r="A61" t="s">
        <v>1294</v>
      </c>
      <c r="B61" s="3" t="s">
        <v>1590</v>
      </c>
    </row>
    <row r="62" spans="1:2" x14ac:dyDescent="0.55000000000000004">
      <c r="A62" t="s">
        <v>1295</v>
      </c>
      <c r="B62" s="3" t="s">
        <v>1590</v>
      </c>
    </row>
    <row r="63" spans="1:2" x14ac:dyDescent="0.55000000000000004">
      <c r="A63" t="s">
        <v>1296</v>
      </c>
      <c r="B63" s="3" t="s">
        <v>1590</v>
      </c>
    </row>
    <row r="64" spans="1:2" x14ac:dyDescent="0.55000000000000004">
      <c r="A64" t="s">
        <v>1271</v>
      </c>
      <c r="B64" s="3" t="s">
        <v>1590</v>
      </c>
    </row>
    <row r="65" spans="1:2" x14ac:dyDescent="0.55000000000000004">
      <c r="A65" t="s">
        <v>1297</v>
      </c>
      <c r="B65" s="3" t="s">
        <v>1590</v>
      </c>
    </row>
    <row r="66" spans="1:2" x14ac:dyDescent="0.55000000000000004">
      <c r="A66" t="s">
        <v>1298</v>
      </c>
      <c r="B66" s="3" t="s">
        <v>1590</v>
      </c>
    </row>
    <row r="67" spans="1:2" x14ac:dyDescent="0.55000000000000004">
      <c r="A67" t="s">
        <v>1299</v>
      </c>
      <c r="B67" s="3" t="s">
        <v>1590</v>
      </c>
    </row>
    <row r="68" spans="1:2" x14ac:dyDescent="0.55000000000000004">
      <c r="A68" t="s">
        <v>1300</v>
      </c>
      <c r="B68" s="3" t="s">
        <v>1590</v>
      </c>
    </row>
    <row r="69" spans="1:2" x14ac:dyDescent="0.55000000000000004">
      <c r="A69" t="s">
        <v>1301</v>
      </c>
      <c r="B69" s="3" t="s">
        <v>1590</v>
      </c>
    </row>
    <row r="70" spans="1:2" x14ac:dyDescent="0.55000000000000004">
      <c r="A70" t="s">
        <v>1302</v>
      </c>
      <c r="B70" s="3" t="s">
        <v>1590</v>
      </c>
    </row>
    <row r="71" spans="1:2" x14ac:dyDescent="0.55000000000000004">
      <c r="A71" t="s">
        <v>1303</v>
      </c>
      <c r="B71" s="3" t="s">
        <v>1590</v>
      </c>
    </row>
    <row r="72" spans="1:2" x14ac:dyDescent="0.55000000000000004">
      <c r="A72" t="s">
        <v>1304</v>
      </c>
      <c r="B72" s="3" t="s">
        <v>1590</v>
      </c>
    </row>
    <row r="73" spans="1:2" x14ac:dyDescent="0.55000000000000004">
      <c r="A73" t="s">
        <v>1305</v>
      </c>
      <c r="B73" s="3" t="s">
        <v>1590</v>
      </c>
    </row>
    <row r="74" spans="1:2" x14ac:dyDescent="0.55000000000000004">
      <c r="A74" t="s">
        <v>1306</v>
      </c>
      <c r="B74" s="3" t="s">
        <v>1590</v>
      </c>
    </row>
    <row r="75" spans="1:2" x14ac:dyDescent="0.55000000000000004">
      <c r="A75" t="s">
        <v>1307</v>
      </c>
      <c r="B75" s="3" t="s">
        <v>1590</v>
      </c>
    </row>
    <row r="76" spans="1:2" x14ac:dyDescent="0.55000000000000004">
      <c r="A76" t="s">
        <v>1308</v>
      </c>
      <c r="B76" s="3" t="s">
        <v>1590</v>
      </c>
    </row>
    <row r="77" spans="1:2" x14ac:dyDescent="0.55000000000000004">
      <c r="A77" t="s">
        <v>1309</v>
      </c>
      <c r="B77" s="3" t="s">
        <v>1590</v>
      </c>
    </row>
    <row r="78" spans="1:2" x14ac:dyDescent="0.55000000000000004">
      <c r="A78" t="s">
        <v>1310</v>
      </c>
      <c r="B78" s="3" t="s">
        <v>1590</v>
      </c>
    </row>
    <row r="79" spans="1:2" x14ac:dyDescent="0.55000000000000004">
      <c r="A79" t="s">
        <v>1311</v>
      </c>
      <c r="B79" s="3" t="s">
        <v>1590</v>
      </c>
    </row>
    <row r="80" spans="1:2" x14ac:dyDescent="0.55000000000000004">
      <c r="A80" t="s">
        <v>1312</v>
      </c>
      <c r="B80" s="3" t="s">
        <v>1590</v>
      </c>
    </row>
    <row r="81" spans="1:2" x14ac:dyDescent="0.55000000000000004">
      <c r="A81" t="s">
        <v>1313</v>
      </c>
      <c r="B81" s="3" t="s">
        <v>1590</v>
      </c>
    </row>
    <row r="82" spans="1:2" x14ac:dyDescent="0.55000000000000004">
      <c r="A82" t="s">
        <v>1314</v>
      </c>
      <c r="B82" s="3" t="s">
        <v>1590</v>
      </c>
    </row>
    <row r="83" spans="1:2" x14ac:dyDescent="0.55000000000000004">
      <c r="A83" t="s">
        <v>1315</v>
      </c>
      <c r="B83" s="3" t="s">
        <v>1590</v>
      </c>
    </row>
    <row r="84" spans="1:2" x14ac:dyDescent="0.55000000000000004">
      <c r="A84" t="s">
        <v>1316</v>
      </c>
      <c r="B84" s="3" t="s">
        <v>1590</v>
      </c>
    </row>
    <row r="85" spans="1:2" x14ac:dyDescent="0.55000000000000004">
      <c r="A85" t="s">
        <v>1317</v>
      </c>
      <c r="B85" s="3" t="s">
        <v>1590</v>
      </c>
    </row>
    <row r="86" spans="1:2" x14ac:dyDescent="0.55000000000000004">
      <c r="A86" t="s">
        <v>1318</v>
      </c>
      <c r="B86" s="3" t="s">
        <v>1590</v>
      </c>
    </row>
    <row r="87" spans="1:2" x14ac:dyDescent="0.55000000000000004">
      <c r="A87" t="s">
        <v>1319</v>
      </c>
      <c r="B87" s="3" t="s">
        <v>1590</v>
      </c>
    </row>
    <row r="88" spans="1:2" x14ac:dyDescent="0.55000000000000004">
      <c r="A88" t="s">
        <v>1320</v>
      </c>
      <c r="B88" s="3" t="s">
        <v>1590</v>
      </c>
    </row>
    <row r="89" spans="1:2" x14ac:dyDescent="0.55000000000000004">
      <c r="A89" t="s">
        <v>1321</v>
      </c>
      <c r="B89" s="3" t="s">
        <v>1590</v>
      </c>
    </row>
    <row r="90" spans="1:2" x14ac:dyDescent="0.55000000000000004">
      <c r="A90" t="s">
        <v>1322</v>
      </c>
      <c r="B90" s="3" t="s">
        <v>1590</v>
      </c>
    </row>
    <row r="91" spans="1:2" x14ac:dyDescent="0.55000000000000004">
      <c r="A91" t="s">
        <v>1323</v>
      </c>
      <c r="B91" s="3" t="s">
        <v>1590</v>
      </c>
    </row>
    <row r="92" spans="1:2" x14ac:dyDescent="0.55000000000000004">
      <c r="A92" t="s">
        <v>1324</v>
      </c>
      <c r="B92" s="3" t="s">
        <v>1590</v>
      </c>
    </row>
    <row r="93" spans="1:2" x14ac:dyDescent="0.55000000000000004">
      <c r="A93" t="s">
        <v>1325</v>
      </c>
      <c r="B93" s="3" t="s">
        <v>1590</v>
      </c>
    </row>
    <row r="94" spans="1:2" x14ac:dyDescent="0.55000000000000004">
      <c r="A94" t="s">
        <v>1326</v>
      </c>
      <c r="B94" s="3" t="s">
        <v>1590</v>
      </c>
    </row>
    <row r="95" spans="1:2" x14ac:dyDescent="0.55000000000000004">
      <c r="A95" t="s">
        <v>1327</v>
      </c>
      <c r="B95" s="3" t="s">
        <v>1590</v>
      </c>
    </row>
    <row r="96" spans="1:2" x14ac:dyDescent="0.55000000000000004">
      <c r="A96" t="s">
        <v>1328</v>
      </c>
      <c r="B96" s="3" t="s">
        <v>1590</v>
      </c>
    </row>
    <row r="97" spans="1:2" x14ac:dyDescent="0.55000000000000004">
      <c r="A97" t="s">
        <v>1329</v>
      </c>
      <c r="B97" s="3" t="s">
        <v>1590</v>
      </c>
    </row>
    <row r="98" spans="1:2" x14ac:dyDescent="0.55000000000000004">
      <c r="A98" t="s">
        <v>1330</v>
      </c>
      <c r="B98" s="3" t="s">
        <v>1590</v>
      </c>
    </row>
    <row r="99" spans="1:2" x14ac:dyDescent="0.55000000000000004">
      <c r="A99" t="s">
        <v>1331</v>
      </c>
      <c r="B99" s="3" t="s">
        <v>1590</v>
      </c>
    </row>
    <row r="100" spans="1:2" x14ac:dyDescent="0.55000000000000004">
      <c r="A100" t="s">
        <v>1446</v>
      </c>
      <c r="B100" s="3" t="s">
        <v>1590</v>
      </c>
    </row>
    <row r="101" spans="1:2" x14ac:dyDescent="0.55000000000000004">
      <c r="A101" t="s">
        <v>1343</v>
      </c>
      <c r="B101" s="3" t="s">
        <v>1590</v>
      </c>
    </row>
    <row r="102" spans="1:2" x14ac:dyDescent="0.55000000000000004">
      <c r="A102" t="s">
        <v>1344</v>
      </c>
      <c r="B102" s="3" t="s">
        <v>1590</v>
      </c>
    </row>
    <row r="103" spans="1:2" x14ac:dyDescent="0.55000000000000004">
      <c r="A103" t="s">
        <v>1345</v>
      </c>
      <c r="B103" s="3" t="s">
        <v>1590</v>
      </c>
    </row>
    <row r="104" spans="1:2" x14ac:dyDescent="0.55000000000000004">
      <c r="A104" t="s">
        <v>1346</v>
      </c>
      <c r="B104" s="3" t="s">
        <v>1590</v>
      </c>
    </row>
    <row r="105" spans="1:2" x14ac:dyDescent="0.55000000000000004">
      <c r="A105" t="s">
        <v>1347</v>
      </c>
      <c r="B105" s="3" t="s">
        <v>1590</v>
      </c>
    </row>
    <row r="106" spans="1:2" x14ac:dyDescent="0.55000000000000004">
      <c r="A106" t="s">
        <v>1348</v>
      </c>
      <c r="B106" s="3" t="s">
        <v>1590</v>
      </c>
    </row>
    <row r="107" spans="1:2" x14ac:dyDescent="0.55000000000000004">
      <c r="A107" t="s">
        <v>1349</v>
      </c>
      <c r="B107" s="3" t="s">
        <v>1590</v>
      </c>
    </row>
    <row r="108" spans="1:2" x14ac:dyDescent="0.55000000000000004">
      <c r="A108" t="s">
        <v>1350</v>
      </c>
      <c r="B108" s="3" t="s">
        <v>1590</v>
      </c>
    </row>
    <row r="109" spans="1:2" x14ac:dyDescent="0.55000000000000004">
      <c r="A109" t="s">
        <v>1351</v>
      </c>
      <c r="B109" s="3" t="s">
        <v>1590</v>
      </c>
    </row>
    <row r="110" spans="1:2" x14ac:dyDescent="0.55000000000000004">
      <c r="A110" t="s">
        <v>1352</v>
      </c>
      <c r="B110" s="3" t="s">
        <v>1590</v>
      </c>
    </row>
    <row r="111" spans="1:2" x14ac:dyDescent="0.55000000000000004">
      <c r="A111" t="s">
        <v>1353</v>
      </c>
      <c r="B111" s="3" t="s">
        <v>1590</v>
      </c>
    </row>
    <row r="112" spans="1:2" x14ac:dyDescent="0.55000000000000004">
      <c r="A112" t="s">
        <v>1354</v>
      </c>
      <c r="B112" s="3" t="s">
        <v>1590</v>
      </c>
    </row>
    <row r="113" spans="1:2" x14ac:dyDescent="0.55000000000000004">
      <c r="A113" t="s">
        <v>1355</v>
      </c>
      <c r="B113" s="3" t="s">
        <v>1590</v>
      </c>
    </row>
    <row r="114" spans="1:2" x14ac:dyDescent="0.55000000000000004">
      <c r="A114" t="s">
        <v>1356</v>
      </c>
      <c r="B114" s="3" t="s">
        <v>1590</v>
      </c>
    </row>
    <row r="115" spans="1:2" x14ac:dyDescent="0.55000000000000004">
      <c r="A115" t="s">
        <v>1357</v>
      </c>
      <c r="B115" s="3" t="s">
        <v>1590</v>
      </c>
    </row>
    <row r="116" spans="1:2" x14ac:dyDescent="0.55000000000000004">
      <c r="A116" t="s">
        <v>1358</v>
      </c>
      <c r="B116" s="3" t="s">
        <v>1590</v>
      </c>
    </row>
    <row r="117" spans="1:2" x14ac:dyDescent="0.55000000000000004">
      <c r="A117" t="s">
        <v>1360</v>
      </c>
      <c r="B117" s="3" t="s">
        <v>1590</v>
      </c>
    </row>
    <row r="118" spans="1:2" x14ac:dyDescent="0.55000000000000004">
      <c r="A118" t="s">
        <v>1359</v>
      </c>
      <c r="B118" s="3" t="s">
        <v>1590</v>
      </c>
    </row>
    <row r="119" spans="1:2" x14ac:dyDescent="0.55000000000000004">
      <c r="A119" t="s">
        <v>1361</v>
      </c>
      <c r="B119" s="3" t="s">
        <v>1590</v>
      </c>
    </row>
    <row r="120" spans="1:2" x14ac:dyDescent="0.55000000000000004">
      <c r="A120" t="s">
        <v>1362</v>
      </c>
      <c r="B120" s="3" t="s">
        <v>1590</v>
      </c>
    </row>
    <row r="121" spans="1:2" x14ac:dyDescent="0.55000000000000004">
      <c r="A121" t="s">
        <v>1421</v>
      </c>
      <c r="B121" s="3" t="s">
        <v>1590</v>
      </c>
    </row>
    <row r="122" spans="1:2" x14ac:dyDescent="0.55000000000000004">
      <c r="A122" t="s">
        <v>1363</v>
      </c>
      <c r="B122" s="3" t="s">
        <v>1590</v>
      </c>
    </row>
    <row r="123" spans="1:2" x14ac:dyDescent="0.55000000000000004">
      <c r="A123" t="s">
        <v>1364</v>
      </c>
      <c r="B123" s="3" t="s">
        <v>1590</v>
      </c>
    </row>
    <row r="124" spans="1:2" x14ac:dyDescent="0.55000000000000004">
      <c r="A124" t="s">
        <v>1365</v>
      </c>
      <c r="B124" s="3" t="s">
        <v>1590</v>
      </c>
    </row>
    <row r="125" spans="1:2" x14ac:dyDescent="0.55000000000000004">
      <c r="A125" t="s">
        <v>1366</v>
      </c>
      <c r="B125" s="3" t="s">
        <v>1590</v>
      </c>
    </row>
    <row r="126" spans="1:2" x14ac:dyDescent="0.55000000000000004">
      <c r="A126" t="s">
        <v>1422</v>
      </c>
      <c r="B126" s="3" t="s">
        <v>1590</v>
      </c>
    </row>
    <row r="127" spans="1:2" x14ac:dyDescent="0.55000000000000004">
      <c r="A127" t="s">
        <v>1367</v>
      </c>
      <c r="B127" s="3" t="s">
        <v>1590</v>
      </c>
    </row>
    <row r="128" spans="1:2" x14ac:dyDescent="0.55000000000000004">
      <c r="A128" t="s">
        <v>1368</v>
      </c>
      <c r="B128" s="3" t="s">
        <v>1590</v>
      </c>
    </row>
    <row r="129" spans="1:2" x14ac:dyDescent="0.55000000000000004">
      <c r="A129" t="s">
        <v>1386</v>
      </c>
      <c r="B129" s="3" t="s">
        <v>1590</v>
      </c>
    </row>
    <row r="130" spans="1:2" x14ac:dyDescent="0.55000000000000004">
      <c r="A130" t="s">
        <v>1387</v>
      </c>
      <c r="B130" s="3" t="s">
        <v>1590</v>
      </c>
    </row>
    <row r="131" spans="1:2" x14ac:dyDescent="0.55000000000000004">
      <c r="A131" t="s">
        <v>1388</v>
      </c>
      <c r="B131" s="3" t="s">
        <v>1590</v>
      </c>
    </row>
    <row r="132" spans="1:2" x14ac:dyDescent="0.55000000000000004">
      <c r="A132" t="s">
        <v>1389</v>
      </c>
      <c r="B132" s="3" t="s">
        <v>1590</v>
      </c>
    </row>
    <row r="133" spans="1:2" x14ac:dyDescent="0.55000000000000004">
      <c r="A133" t="s">
        <v>1390</v>
      </c>
      <c r="B133" s="3" t="s">
        <v>1590</v>
      </c>
    </row>
    <row r="134" spans="1:2" x14ac:dyDescent="0.55000000000000004">
      <c r="A134" t="s">
        <v>1391</v>
      </c>
      <c r="B134" s="3" t="s">
        <v>1590</v>
      </c>
    </row>
    <row r="135" spans="1:2" x14ac:dyDescent="0.55000000000000004">
      <c r="A135" t="s">
        <v>1392</v>
      </c>
      <c r="B135" s="3" t="s">
        <v>1590</v>
      </c>
    </row>
    <row r="136" spans="1:2" x14ac:dyDescent="0.55000000000000004">
      <c r="A136" t="s">
        <v>1569</v>
      </c>
      <c r="B136" s="3" t="s">
        <v>1590</v>
      </c>
    </row>
    <row r="137" spans="1:2" x14ac:dyDescent="0.55000000000000004">
      <c r="A137" t="s">
        <v>1393</v>
      </c>
      <c r="B137" s="3" t="s">
        <v>1590</v>
      </c>
    </row>
    <row r="138" spans="1:2" x14ac:dyDescent="0.55000000000000004">
      <c r="A138" t="s">
        <v>1394</v>
      </c>
      <c r="B138" s="3" t="s">
        <v>1590</v>
      </c>
    </row>
    <row r="139" spans="1:2" x14ac:dyDescent="0.55000000000000004">
      <c r="A139" t="s">
        <v>1395</v>
      </c>
      <c r="B139" s="3" t="s">
        <v>1590</v>
      </c>
    </row>
    <row r="140" spans="1:2" x14ac:dyDescent="0.55000000000000004">
      <c r="A140" t="s">
        <v>1396</v>
      </c>
      <c r="B140" s="3" t="s">
        <v>1590</v>
      </c>
    </row>
    <row r="141" spans="1:2" x14ac:dyDescent="0.55000000000000004">
      <c r="A141" t="s">
        <v>1397</v>
      </c>
      <c r="B141" s="3" t="s">
        <v>1590</v>
      </c>
    </row>
    <row r="142" spans="1:2" x14ac:dyDescent="0.55000000000000004">
      <c r="A142" t="s">
        <v>1399</v>
      </c>
      <c r="B142" s="3" t="s">
        <v>1590</v>
      </c>
    </row>
    <row r="143" spans="1:2" x14ac:dyDescent="0.55000000000000004">
      <c r="A143" t="s">
        <v>1400</v>
      </c>
      <c r="B143" s="3" t="s">
        <v>1590</v>
      </c>
    </row>
    <row r="144" spans="1:2" x14ac:dyDescent="0.55000000000000004">
      <c r="A144" t="s">
        <v>1423</v>
      </c>
      <c r="B144" s="3" t="s">
        <v>1590</v>
      </c>
    </row>
    <row r="145" spans="1:2" x14ac:dyDescent="0.55000000000000004">
      <c r="A145" t="s">
        <v>1401</v>
      </c>
      <c r="B145" s="3" t="s">
        <v>1590</v>
      </c>
    </row>
    <row r="146" spans="1:2" x14ac:dyDescent="0.55000000000000004">
      <c r="A146" t="s">
        <v>1424</v>
      </c>
      <c r="B146" s="3" t="s">
        <v>1590</v>
      </c>
    </row>
    <row r="147" spans="1:2" x14ac:dyDescent="0.55000000000000004">
      <c r="A147" t="s">
        <v>1403</v>
      </c>
      <c r="B147" s="3" t="s">
        <v>1590</v>
      </c>
    </row>
    <row r="148" spans="1:2" x14ac:dyDescent="0.55000000000000004">
      <c r="A148" t="s">
        <v>1404</v>
      </c>
      <c r="B148" s="3" t="s">
        <v>1590</v>
      </c>
    </row>
    <row r="149" spans="1:2" x14ac:dyDescent="0.55000000000000004">
      <c r="A149" t="s">
        <v>1405</v>
      </c>
      <c r="B149" s="3" t="s">
        <v>1590</v>
      </c>
    </row>
    <row r="150" spans="1:2" x14ac:dyDescent="0.55000000000000004">
      <c r="A150" t="s">
        <v>1406</v>
      </c>
      <c r="B150" s="3" t="s">
        <v>1590</v>
      </c>
    </row>
    <row r="151" spans="1:2" x14ac:dyDescent="0.55000000000000004">
      <c r="A151" t="s">
        <v>1409</v>
      </c>
      <c r="B151" s="3" t="s">
        <v>1590</v>
      </c>
    </row>
    <row r="152" spans="1:2" x14ac:dyDescent="0.55000000000000004">
      <c r="A152" t="s">
        <v>1410</v>
      </c>
      <c r="B152" s="3" t="s">
        <v>1590</v>
      </c>
    </row>
    <row r="153" spans="1:2" x14ac:dyDescent="0.55000000000000004">
      <c r="A153" t="s">
        <v>1411</v>
      </c>
      <c r="B153" s="3" t="s">
        <v>1590</v>
      </c>
    </row>
    <row r="154" spans="1:2" x14ac:dyDescent="0.55000000000000004">
      <c r="A154" t="s">
        <v>1425</v>
      </c>
      <c r="B154" s="3" t="s">
        <v>1590</v>
      </c>
    </row>
    <row r="155" spans="1:2" x14ac:dyDescent="0.55000000000000004">
      <c r="A155" t="s">
        <v>1426</v>
      </c>
      <c r="B155" s="3" t="s">
        <v>1590</v>
      </c>
    </row>
    <row r="156" spans="1:2" x14ac:dyDescent="0.55000000000000004">
      <c r="A156" t="s">
        <v>1427</v>
      </c>
      <c r="B156" s="3" t="s">
        <v>1590</v>
      </c>
    </row>
    <row r="157" spans="1:2" x14ac:dyDescent="0.55000000000000004">
      <c r="A157" t="s">
        <v>1428</v>
      </c>
      <c r="B157" s="3" t="s">
        <v>1590</v>
      </c>
    </row>
    <row r="158" spans="1:2" x14ac:dyDescent="0.55000000000000004">
      <c r="A158" t="s">
        <v>1429</v>
      </c>
      <c r="B158" s="3" t="s">
        <v>1590</v>
      </c>
    </row>
    <row r="159" spans="1:2" x14ac:dyDescent="0.55000000000000004">
      <c r="A159" t="s">
        <v>1415</v>
      </c>
      <c r="B159" s="3" t="s">
        <v>1590</v>
      </c>
    </row>
    <row r="160" spans="1:2" x14ac:dyDescent="0.55000000000000004">
      <c r="A160" t="s">
        <v>1416</v>
      </c>
      <c r="B160" s="3" t="s">
        <v>1590</v>
      </c>
    </row>
    <row r="161" spans="1:2" x14ac:dyDescent="0.55000000000000004">
      <c r="A161" t="s">
        <v>1417</v>
      </c>
      <c r="B161" s="3" t="s">
        <v>1590</v>
      </c>
    </row>
    <row r="162" spans="1:2" x14ac:dyDescent="0.55000000000000004">
      <c r="A162" t="s">
        <v>1418</v>
      </c>
      <c r="B162" s="3" t="s">
        <v>1590</v>
      </c>
    </row>
    <row r="163" spans="1:2" x14ac:dyDescent="0.55000000000000004">
      <c r="A163" t="s">
        <v>1419</v>
      </c>
      <c r="B163" s="3" t="s">
        <v>1590</v>
      </c>
    </row>
    <row r="164" spans="1:2" x14ac:dyDescent="0.55000000000000004">
      <c r="A164" t="s">
        <v>1420</v>
      </c>
      <c r="B164" s="3" t="s">
        <v>1590</v>
      </c>
    </row>
    <row r="165" spans="1:2" x14ac:dyDescent="0.55000000000000004">
      <c r="A165" t="s">
        <v>1445</v>
      </c>
      <c r="B165" s="3" t="s">
        <v>1590</v>
      </c>
    </row>
    <row r="166" spans="1:2" x14ac:dyDescent="0.55000000000000004">
      <c r="A166" t="s">
        <v>1570</v>
      </c>
      <c r="B166" s="3" t="s">
        <v>1590</v>
      </c>
    </row>
    <row r="167" spans="1:2" x14ac:dyDescent="0.55000000000000004">
      <c r="A167" t="s">
        <v>1542</v>
      </c>
      <c r="B167" s="3" t="s">
        <v>1590</v>
      </c>
    </row>
    <row r="168" spans="1:2" x14ac:dyDescent="0.55000000000000004">
      <c r="A168" t="s">
        <v>1547</v>
      </c>
      <c r="B168" s="3" t="s">
        <v>1590</v>
      </c>
    </row>
    <row r="169" spans="1:2" x14ac:dyDescent="0.55000000000000004">
      <c r="A169" t="s">
        <v>1549</v>
      </c>
      <c r="B169" s="3" t="s">
        <v>1590</v>
      </c>
    </row>
    <row r="170" spans="1:2" x14ac:dyDescent="0.55000000000000004">
      <c r="A170" t="s">
        <v>1550</v>
      </c>
      <c r="B170" s="3" t="s">
        <v>1590</v>
      </c>
    </row>
    <row r="171" spans="1:2" x14ac:dyDescent="0.55000000000000004">
      <c r="A171" t="s">
        <v>1551</v>
      </c>
      <c r="B171" s="3" t="s">
        <v>1590</v>
      </c>
    </row>
    <row r="172" spans="1:2" x14ac:dyDescent="0.55000000000000004">
      <c r="A172" t="s">
        <v>1552</v>
      </c>
      <c r="B172" s="3" t="s">
        <v>1590</v>
      </c>
    </row>
    <row r="173" spans="1:2" x14ac:dyDescent="0.55000000000000004">
      <c r="A173" t="s">
        <v>1553</v>
      </c>
      <c r="B173" s="3" t="s">
        <v>1590</v>
      </c>
    </row>
    <row r="174" spans="1:2" x14ac:dyDescent="0.55000000000000004">
      <c r="A174" t="s">
        <v>1554</v>
      </c>
      <c r="B174" s="3" t="s">
        <v>1590</v>
      </c>
    </row>
    <row r="175" spans="1:2" x14ac:dyDescent="0.55000000000000004">
      <c r="A175" t="s">
        <v>1555</v>
      </c>
      <c r="B175" s="3" t="s">
        <v>1590</v>
      </c>
    </row>
    <row r="176" spans="1:2" x14ac:dyDescent="0.55000000000000004">
      <c r="A176" t="s">
        <v>1556</v>
      </c>
      <c r="B176" s="3" t="s">
        <v>1590</v>
      </c>
    </row>
    <row r="177" spans="1:2" x14ac:dyDescent="0.55000000000000004">
      <c r="A177" t="s">
        <v>1557</v>
      </c>
      <c r="B177" s="3" t="s">
        <v>1590</v>
      </c>
    </row>
    <row r="178" spans="1:2" x14ac:dyDescent="0.55000000000000004">
      <c r="A178" t="s">
        <v>1558</v>
      </c>
      <c r="B178" s="3" t="s">
        <v>1590</v>
      </c>
    </row>
    <row r="179" spans="1:2" x14ac:dyDescent="0.55000000000000004">
      <c r="A179" t="s">
        <v>1559</v>
      </c>
      <c r="B179" s="3" t="s">
        <v>1590</v>
      </c>
    </row>
    <row r="180" spans="1:2" x14ac:dyDescent="0.55000000000000004">
      <c r="A180" t="s">
        <v>1548</v>
      </c>
      <c r="B180" s="3" t="s">
        <v>1590</v>
      </c>
    </row>
    <row r="181" spans="1:2" x14ac:dyDescent="0.55000000000000004">
      <c r="A181" t="s">
        <v>1560</v>
      </c>
      <c r="B181" s="3" t="s">
        <v>1590</v>
      </c>
    </row>
    <row r="182" spans="1:2" x14ac:dyDescent="0.55000000000000004">
      <c r="A182" t="s">
        <v>1561</v>
      </c>
      <c r="B182" s="3" t="s">
        <v>1590</v>
      </c>
    </row>
    <row r="183" spans="1:2" x14ac:dyDescent="0.55000000000000004">
      <c r="A183" t="s">
        <v>1543</v>
      </c>
      <c r="B183" s="3" t="s">
        <v>1590</v>
      </c>
    </row>
    <row r="184" spans="1:2" x14ac:dyDescent="0.55000000000000004">
      <c r="A184" t="s">
        <v>1544</v>
      </c>
      <c r="B184" s="3" t="s">
        <v>1590</v>
      </c>
    </row>
    <row r="185" spans="1:2" x14ac:dyDescent="0.55000000000000004">
      <c r="A185" t="s">
        <v>1545</v>
      </c>
      <c r="B185" s="3" t="s">
        <v>1590</v>
      </c>
    </row>
    <row r="186" spans="1:2" x14ac:dyDescent="0.55000000000000004">
      <c r="A186" t="s">
        <v>1546</v>
      </c>
      <c r="B186" s="3" t="s">
        <v>1590</v>
      </c>
    </row>
    <row r="187" spans="1:2" x14ac:dyDescent="0.55000000000000004">
      <c r="A187" t="s">
        <v>1562</v>
      </c>
      <c r="B187" s="3" t="s">
        <v>1590</v>
      </c>
    </row>
    <row r="188" spans="1:2" x14ac:dyDescent="0.55000000000000004">
      <c r="A188" t="s">
        <v>1563</v>
      </c>
      <c r="B188" s="3" t="s">
        <v>1590</v>
      </c>
    </row>
    <row r="189" spans="1:2" x14ac:dyDescent="0.55000000000000004">
      <c r="A189" t="s">
        <v>1564</v>
      </c>
      <c r="B189" s="3" t="s">
        <v>1590</v>
      </c>
    </row>
    <row r="190" spans="1:2" x14ac:dyDescent="0.55000000000000004">
      <c r="A190" t="s">
        <v>1565</v>
      </c>
      <c r="B190" s="3" t="s">
        <v>1590</v>
      </c>
    </row>
    <row r="191" spans="1:2" x14ac:dyDescent="0.55000000000000004">
      <c r="A191" t="s">
        <v>1566</v>
      </c>
      <c r="B191" s="3" t="s">
        <v>1590</v>
      </c>
    </row>
    <row r="192" spans="1:2" x14ac:dyDescent="0.55000000000000004">
      <c r="A192" t="s">
        <v>1567</v>
      </c>
      <c r="B192" s="3" t="s">
        <v>1590</v>
      </c>
    </row>
    <row r="193" spans="1:2" x14ac:dyDescent="0.55000000000000004">
      <c r="A193" t="s">
        <v>1568</v>
      </c>
      <c r="B193" s="3" t="s">
        <v>1590</v>
      </c>
    </row>
    <row r="194" spans="1:2" x14ac:dyDescent="0.55000000000000004">
      <c r="A194" t="s">
        <v>1431</v>
      </c>
      <c r="B194" s="3" t="s">
        <v>1590</v>
      </c>
    </row>
    <row r="195" spans="1:2" x14ac:dyDescent="0.55000000000000004">
      <c r="A195" t="s">
        <v>1432</v>
      </c>
      <c r="B195" s="3" t="s">
        <v>1590</v>
      </c>
    </row>
  </sheetData>
  <sortState xmlns:xlrd2="http://schemas.microsoft.com/office/spreadsheetml/2017/richdata2" ref="A1:A195">
    <sortCondition ref="A1:A195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5599F-862C-4BE4-9F57-230085300986}">
  <sheetPr>
    <tabColor rgb="FF7030A0"/>
  </sheetPr>
  <dimension ref="A1:B46"/>
  <sheetViews>
    <sheetView workbookViewId="0">
      <selection activeCell="E10" sqref="E10"/>
    </sheetView>
  </sheetViews>
  <sheetFormatPr defaultRowHeight="14.4" x14ac:dyDescent="0.55000000000000004"/>
  <cols>
    <col min="1" max="1" width="35.47265625" customWidth="1"/>
    <col min="2" max="2" width="14.20703125" customWidth="1"/>
  </cols>
  <sheetData>
    <row r="1" spans="1:2" x14ac:dyDescent="0.55000000000000004">
      <c r="A1" t="s">
        <v>1</v>
      </c>
      <c r="B1" s="3" t="s">
        <v>698</v>
      </c>
    </row>
    <row r="2" spans="1:2" x14ac:dyDescent="0.55000000000000004">
      <c r="A2" t="s">
        <v>3</v>
      </c>
      <c r="B2" s="3" t="s">
        <v>698</v>
      </c>
    </row>
    <row r="3" spans="1:2" x14ac:dyDescent="0.55000000000000004">
      <c r="A3" t="s">
        <v>6</v>
      </c>
      <c r="B3" s="3" t="s">
        <v>698</v>
      </c>
    </row>
    <row r="4" spans="1:2" x14ac:dyDescent="0.55000000000000004">
      <c r="A4" t="s">
        <v>4</v>
      </c>
      <c r="B4" s="3" t="s">
        <v>698</v>
      </c>
    </row>
    <row r="5" spans="1:2" x14ac:dyDescent="0.55000000000000004">
      <c r="A5" t="s">
        <v>5</v>
      </c>
      <c r="B5" s="3" t="s">
        <v>698</v>
      </c>
    </row>
    <row r="6" spans="1:2" x14ac:dyDescent="0.55000000000000004">
      <c r="A6" t="s">
        <v>1571</v>
      </c>
      <c r="B6" s="3" t="s">
        <v>698</v>
      </c>
    </row>
    <row r="7" spans="1:2" x14ac:dyDescent="0.55000000000000004">
      <c r="A7" t="s">
        <v>178</v>
      </c>
      <c r="B7" s="3" t="s">
        <v>698</v>
      </c>
    </row>
    <row r="8" spans="1:2" x14ac:dyDescent="0.55000000000000004">
      <c r="A8" t="s">
        <v>143</v>
      </c>
      <c r="B8" s="3" t="s">
        <v>698</v>
      </c>
    </row>
    <row r="9" spans="1:2" x14ac:dyDescent="0.55000000000000004">
      <c r="A9" t="s">
        <v>144</v>
      </c>
      <c r="B9" s="3" t="s">
        <v>698</v>
      </c>
    </row>
    <row r="10" spans="1:2" x14ac:dyDescent="0.55000000000000004">
      <c r="A10" t="s">
        <v>122</v>
      </c>
      <c r="B10" s="3" t="s">
        <v>698</v>
      </c>
    </row>
    <row r="11" spans="1:2" x14ac:dyDescent="0.55000000000000004">
      <c r="A11" t="s">
        <v>1572</v>
      </c>
      <c r="B11" s="3" t="s">
        <v>698</v>
      </c>
    </row>
    <row r="12" spans="1:2" x14ac:dyDescent="0.55000000000000004">
      <c r="A12" t="s">
        <v>1573</v>
      </c>
      <c r="B12" s="3" t="s">
        <v>698</v>
      </c>
    </row>
    <row r="13" spans="1:2" x14ac:dyDescent="0.55000000000000004">
      <c r="A13" t="s">
        <v>168</v>
      </c>
      <c r="B13" s="3" t="s">
        <v>698</v>
      </c>
    </row>
    <row r="14" spans="1:2" x14ac:dyDescent="0.55000000000000004">
      <c r="A14" t="s">
        <v>321</v>
      </c>
      <c r="B14" s="3" t="s">
        <v>698</v>
      </c>
    </row>
    <row r="15" spans="1:2" x14ac:dyDescent="0.55000000000000004">
      <c r="A15" t="s">
        <v>1332</v>
      </c>
      <c r="B15" s="3" t="s">
        <v>698</v>
      </c>
    </row>
    <row r="16" spans="1:2" x14ac:dyDescent="0.55000000000000004">
      <c r="A16" t="s">
        <v>142</v>
      </c>
      <c r="B16" s="3" t="s">
        <v>698</v>
      </c>
    </row>
    <row r="17" spans="1:2" x14ac:dyDescent="0.55000000000000004">
      <c r="A17" t="s">
        <v>650</v>
      </c>
      <c r="B17" s="3" t="s">
        <v>698</v>
      </c>
    </row>
    <row r="18" spans="1:2" x14ac:dyDescent="0.55000000000000004">
      <c r="A18" t="s">
        <v>651</v>
      </c>
      <c r="B18" s="3" t="s">
        <v>698</v>
      </c>
    </row>
    <row r="19" spans="1:2" x14ac:dyDescent="0.55000000000000004">
      <c r="A19" t="s">
        <v>1574</v>
      </c>
      <c r="B19" s="3" t="s">
        <v>698</v>
      </c>
    </row>
    <row r="20" spans="1:2" x14ac:dyDescent="0.55000000000000004">
      <c r="A20" t="s">
        <v>1575</v>
      </c>
      <c r="B20" s="3" t="s">
        <v>698</v>
      </c>
    </row>
    <row r="21" spans="1:2" x14ac:dyDescent="0.55000000000000004">
      <c r="A21" t="s">
        <v>1333</v>
      </c>
      <c r="B21" s="3" t="s">
        <v>698</v>
      </c>
    </row>
    <row r="22" spans="1:2" x14ac:dyDescent="0.55000000000000004">
      <c r="A22" t="s">
        <v>1576</v>
      </c>
      <c r="B22" s="3" t="s">
        <v>698</v>
      </c>
    </row>
    <row r="23" spans="1:2" x14ac:dyDescent="0.55000000000000004">
      <c r="A23" t="s">
        <v>1577</v>
      </c>
      <c r="B23" s="3" t="s">
        <v>698</v>
      </c>
    </row>
    <row r="24" spans="1:2" x14ac:dyDescent="0.55000000000000004">
      <c r="A24" t="s">
        <v>1578</v>
      </c>
      <c r="B24" s="3" t="s">
        <v>698</v>
      </c>
    </row>
    <row r="25" spans="1:2" x14ac:dyDescent="0.55000000000000004">
      <c r="A25" t="s">
        <v>1579</v>
      </c>
      <c r="B25" s="3" t="s">
        <v>698</v>
      </c>
    </row>
    <row r="26" spans="1:2" x14ac:dyDescent="0.55000000000000004">
      <c r="A26" t="s">
        <v>1580</v>
      </c>
      <c r="B26" s="3" t="s">
        <v>698</v>
      </c>
    </row>
    <row r="27" spans="1:2" x14ac:dyDescent="0.55000000000000004">
      <c r="A27" t="s">
        <v>1581</v>
      </c>
      <c r="B27" s="3" t="s">
        <v>698</v>
      </c>
    </row>
    <row r="28" spans="1:2" x14ac:dyDescent="0.55000000000000004">
      <c r="A28" t="s">
        <v>1582</v>
      </c>
      <c r="B28" s="3" t="s">
        <v>698</v>
      </c>
    </row>
    <row r="29" spans="1:2" x14ac:dyDescent="0.55000000000000004">
      <c r="A29" t="s">
        <v>1583</v>
      </c>
      <c r="B29" s="3" t="s">
        <v>698</v>
      </c>
    </row>
    <row r="30" spans="1:2" x14ac:dyDescent="0.55000000000000004">
      <c r="A30" t="s">
        <v>1584</v>
      </c>
      <c r="B30" s="3" t="s">
        <v>698</v>
      </c>
    </row>
    <row r="31" spans="1:2" x14ac:dyDescent="0.55000000000000004">
      <c r="A31" t="s">
        <v>1334</v>
      </c>
      <c r="B31" s="3" t="s">
        <v>698</v>
      </c>
    </row>
    <row r="32" spans="1:2" x14ac:dyDescent="0.55000000000000004">
      <c r="A32" t="s">
        <v>1585</v>
      </c>
      <c r="B32" s="3" t="s">
        <v>698</v>
      </c>
    </row>
    <row r="33" spans="1:2" x14ac:dyDescent="0.55000000000000004">
      <c r="A33" t="s">
        <v>1586</v>
      </c>
      <c r="B33" s="3" t="s">
        <v>698</v>
      </c>
    </row>
    <row r="34" spans="1:2" x14ac:dyDescent="0.55000000000000004">
      <c r="A34" t="s">
        <v>1589</v>
      </c>
      <c r="B34" s="3" t="s">
        <v>698</v>
      </c>
    </row>
    <row r="35" spans="1:2" x14ac:dyDescent="0.55000000000000004">
      <c r="A35" t="s">
        <v>1587</v>
      </c>
      <c r="B35" s="3" t="s">
        <v>698</v>
      </c>
    </row>
    <row r="36" spans="1:2" x14ac:dyDescent="0.55000000000000004">
      <c r="A36" t="s">
        <v>1588</v>
      </c>
      <c r="B36" s="3" t="s">
        <v>698</v>
      </c>
    </row>
    <row r="37" spans="1:2" x14ac:dyDescent="0.55000000000000004">
      <c r="A37" t="s">
        <v>1335</v>
      </c>
      <c r="B37" s="3" t="s">
        <v>698</v>
      </c>
    </row>
    <row r="38" spans="1:2" x14ac:dyDescent="0.55000000000000004">
      <c r="A38" t="s">
        <v>1336</v>
      </c>
      <c r="B38" s="3" t="s">
        <v>698</v>
      </c>
    </row>
    <row r="39" spans="1:2" x14ac:dyDescent="0.55000000000000004">
      <c r="A39" t="s">
        <v>1337</v>
      </c>
      <c r="B39" s="3" t="s">
        <v>698</v>
      </c>
    </row>
    <row r="40" spans="1:2" x14ac:dyDescent="0.55000000000000004">
      <c r="A40" t="s">
        <v>1338</v>
      </c>
      <c r="B40" s="3" t="s">
        <v>698</v>
      </c>
    </row>
    <row r="41" spans="1:2" x14ac:dyDescent="0.55000000000000004">
      <c r="A41" t="s">
        <v>1339</v>
      </c>
      <c r="B41" s="3" t="s">
        <v>698</v>
      </c>
    </row>
    <row r="42" spans="1:2" x14ac:dyDescent="0.55000000000000004">
      <c r="A42" t="s">
        <v>1340</v>
      </c>
      <c r="B42" s="3" t="s">
        <v>698</v>
      </c>
    </row>
    <row r="43" spans="1:2" x14ac:dyDescent="0.55000000000000004">
      <c r="A43" t="s">
        <v>1341</v>
      </c>
      <c r="B43" s="3" t="s">
        <v>698</v>
      </c>
    </row>
    <row r="44" spans="1:2" x14ac:dyDescent="0.55000000000000004">
      <c r="A44" t="s">
        <v>1342</v>
      </c>
      <c r="B44" s="3" t="s">
        <v>698</v>
      </c>
    </row>
    <row r="45" spans="1:2" x14ac:dyDescent="0.55000000000000004">
      <c r="A45" t="s">
        <v>1398</v>
      </c>
      <c r="B45" s="3" t="s">
        <v>698</v>
      </c>
    </row>
    <row r="46" spans="1:2" x14ac:dyDescent="0.55000000000000004">
      <c r="A46" t="s">
        <v>1420</v>
      </c>
      <c r="B46" s="3" t="s">
        <v>698</v>
      </c>
    </row>
  </sheetData>
  <sortState xmlns:xlrd2="http://schemas.microsoft.com/office/spreadsheetml/2017/richdata2" ref="A1:A46">
    <sortCondition ref="A1:A46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B2AEE-224C-4D50-A2D6-C486916D216C}">
  <sheetPr>
    <tabColor rgb="FF7030A0"/>
  </sheetPr>
  <dimension ref="A1:B12"/>
  <sheetViews>
    <sheetView workbookViewId="0">
      <selection activeCell="F12" sqref="F12"/>
    </sheetView>
  </sheetViews>
  <sheetFormatPr defaultRowHeight="14.4" x14ac:dyDescent="0.55000000000000004"/>
  <cols>
    <col min="1" max="1" width="29.3671875" customWidth="1"/>
    <col min="2" max="2" width="15.734375" customWidth="1"/>
  </cols>
  <sheetData>
    <row r="1" spans="1:2" x14ac:dyDescent="0.55000000000000004">
      <c r="A1" t="s">
        <v>1433</v>
      </c>
      <c r="B1" t="s">
        <v>1591</v>
      </c>
    </row>
    <row r="2" spans="1:2" x14ac:dyDescent="0.55000000000000004">
      <c r="A2" t="s">
        <v>1434</v>
      </c>
      <c r="B2" t="s">
        <v>1591</v>
      </c>
    </row>
    <row r="3" spans="1:2" x14ac:dyDescent="0.55000000000000004">
      <c r="A3" t="s">
        <v>1435</v>
      </c>
      <c r="B3" t="s">
        <v>1591</v>
      </c>
    </row>
    <row r="4" spans="1:2" x14ac:dyDescent="0.55000000000000004">
      <c r="A4" t="s">
        <v>1436</v>
      </c>
      <c r="B4" t="s">
        <v>1591</v>
      </c>
    </row>
    <row r="5" spans="1:2" x14ac:dyDescent="0.55000000000000004">
      <c r="A5" t="s">
        <v>1437</v>
      </c>
      <c r="B5" t="s">
        <v>1591</v>
      </c>
    </row>
    <row r="6" spans="1:2" x14ac:dyDescent="0.55000000000000004">
      <c r="A6" t="s">
        <v>1438</v>
      </c>
      <c r="B6" t="s">
        <v>1591</v>
      </c>
    </row>
    <row r="7" spans="1:2" x14ac:dyDescent="0.55000000000000004">
      <c r="A7" t="s">
        <v>1439</v>
      </c>
      <c r="B7" t="s">
        <v>1591</v>
      </c>
    </row>
    <row r="8" spans="1:2" x14ac:dyDescent="0.55000000000000004">
      <c r="A8" t="s">
        <v>1440</v>
      </c>
      <c r="B8" t="s">
        <v>1591</v>
      </c>
    </row>
    <row r="9" spans="1:2" x14ac:dyDescent="0.55000000000000004">
      <c r="A9" t="s">
        <v>1441</v>
      </c>
      <c r="B9" t="s">
        <v>1591</v>
      </c>
    </row>
    <row r="10" spans="1:2" x14ac:dyDescent="0.55000000000000004">
      <c r="A10" t="s">
        <v>1442</v>
      </c>
      <c r="B10" t="s">
        <v>1591</v>
      </c>
    </row>
    <row r="11" spans="1:2" x14ac:dyDescent="0.55000000000000004">
      <c r="A11" t="s">
        <v>1443</v>
      </c>
      <c r="B11" t="s">
        <v>1591</v>
      </c>
    </row>
    <row r="12" spans="1:2" x14ac:dyDescent="0.55000000000000004">
      <c r="A12" t="s">
        <v>1444</v>
      </c>
      <c r="B12" t="s">
        <v>1591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Frontend from frontend</vt:lpstr>
      <vt:lpstr>Frontend from monolith</vt:lpstr>
      <vt:lpstr>Sheet6</vt:lpstr>
      <vt:lpstr>Frontend files Collation</vt:lpstr>
      <vt:lpstr>Exist in frontend but not root</vt:lpstr>
      <vt:lpstr>Exist in root but not frontend</vt:lpstr>
      <vt:lpstr>Frontend TSX</vt:lpstr>
      <vt:lpstr>Monolith TSX</vt:lpstr>
      <vt:lpstr>Frontend-Monolith TSX</vt:lpstr>
      <vt:lpstr>Frontend NON-TSX</vt:lpstr>
      <vt:lpstr>Monolith NON-TSX</vt:lpstr>
      <vt:lpstr>Frontend-Monolith NON-TSX</vt:lpstr>
      <vt:lpstr>Exhaustive List of Files</vt:lpstr>
      <vt:lpstr>BACKEND FILES</vt:lpstr>
      <vt:lpstr>FRONTEND FILES</vt:lpstr>
      <vt:lpstr>SHARED 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2026-01-25T23:26:05Z</dcterms:created>
  <dcterms:modified xsi:type="dcterms:W3CDTF">2026-01-31T23:56:16Z</dcterms:modified>
</cp:coreProperties>
</file>