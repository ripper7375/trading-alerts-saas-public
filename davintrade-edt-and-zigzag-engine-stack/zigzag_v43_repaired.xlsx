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43_New" sheetId="1" state="visible" r:id="rId3"/>
    <sheet name="Timestamp_Adjustment" sheetId="2" state="visible" r:id="rId4"/>
    <sheet name="EQH_EQL_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<sst xmlns="http://schemas.openxmlformats.org/spreadsheetml/2006/main" count="909" uniqueCount="189">
  <si>
    <t xml:space="preserve">TimeStamp</t>
  </si>
  <si>
    <t xml:space="preserve">symbol</t>
  </si>
  <si>
    <t xml:space="preserve">timeframe</t>
  </si>
  <si>
    <t xml:space="preserve">close</t>
  </si>
  <si>
    <t xml:space="preserve">Type</t>
  </si>
  <si>
    <t xml:space="preserve">CurrentPoint</t>
  </si>
  <si>
    <t xml:space="preserve">2PrevPoint</t>
  </si>
  <si>
    <t xml:space="preserve">4PrevPoint</t>
  </si>
  <si>
    <t xml:space="preserve">6PrevPoint</t>
  </si>
  <si>
    <t xml:space="preserve">8PrevPoint</t>
  </si>
  <si>
    <t xml:space="preserve">10PrevPoint</t>
  </si>
  <si>
    <t xml:space="preserve">12PrevPoint</t>
  </si>
  <si>
    <t xml:space="preserve">14PrevPoint</t>
  </si>
  <si>
    <t xml:space="preserve">16PrevPoint</t>
  </si>
  <si>
    <t xml:space="preserve">18PrevPoint</t>
  </si>
  <si>
    <t xml:space="preserve">20PrevPoint</t>
  </si>
  <si>
    <t xml:space="preserve">22PrevPoint</t>
  </si>
  <si>
    <t xml:space="preserve">CurrentPrChg</t>
  </si>
  <si>
    <t xml:space="preserve">2PrevPrChg</t>
  </si>
  <si>
    <t xml:space="preserve">4PrevPrChg</t>
  </si>
  <si>
    <t xml:space="preserve">6PrevPrChg</t>
  </si>
  <si>
    <t xml:space="preserve">8PrevPrChg</t>
  </si>
  <si>
    <t xml:space="preserve">10PrevPrChg</t>
  </si>
  <si>
    <t xml:space="preserve">12PrevPrChg</t>
  </si>
  <si>
    <t xml:space="preserve">14PrevPrChg</t>
  </si>
  <si>
    <t xml:space="preserve">16PrevPrChg</t>
  </si>
  <si>
    <t xml:space="preserve">18PrevPrChg</t>
  </si>
  <si>
    <t xml:space="preserve">20PrevPrChg</t>
  </si>
  <si>
    <t xml:space="preserve">22PrevPrChg</t>
  </si>
  <si>
    <t xml:space="preserve">Current%Chg</t>
  </si>
  <si>
    <t xml:space="preserve">2Prev%Chg</t>
  </si>
  <si>
    <t xml:space="preserve">4Prev%Chg</t>
  </si>
  <si>
    <t xml:space="preserve">6Prev%Chg</t>
  </si>
  <si>
    <t xml:space="preserve">8Prev%Chg</t>
  </si>
  <si>
    <t xml:space="preserve">10Prev%Chg</t>
  </si>
  <si>
    <t xml:space="preserve">12Prev%Chg</t>
  </si>
  <si>
    <t xml:space="preserve">14Prev%Chg</t>
  </si>
  <si>
    <t xml:space="preserve">16Prev%Chg</t>
  </si>
  <si>
    <t xml:space="preserve">18Prev%Chg</t>
  </si>
  <si>
    <t xml:space="preserve">20Prev%Chg</t>
  </si>
  <si>
    <t xml:space="preserve">22Prev%Chg</t>
  </si>
  <si>
    <t xml:space="preserve">Current%ChgClass</t>
  </si>
  <si>
    <t xml:space="preserve">2Prev%ChgClass</t>
  </si>
  <si>
    <t xml:space="preserve">4Prev%ChgClass</t>
  </si>
  <si>
    <t xml:space="preserve">6Prev%ChgClass</t>
  </si>
  <si>
    <t xml:space="preserve">8Prev%ChgClass</t>
  </si>
  <si>
    <t xml:space="preserve">10Prev%ChgClass</t>
  </si>
  <si>
    <t xml:space="preserve">12Prev%ChgClass</t>
  </si>
  <si>
    <t xml:space="preserve">14Prev%ChgClass</t>
  </si>
  <si>
    <t xml:space="preserve">16Prev%ChgClass</t>
  </si>
  <si>
    <t xml:space="preserve">18Prev%ChgClass</t>
  </si>
  <si>
    <t xml:space="preserve">20Prev%ChgClass</t>
  </si>
  <si>
    <t xml:space="preserve">22Prev%ChgClass</t>
  </si>
  <si>
    <t xml:space="preserve">CurrentBars</t>
  </si>
  <si>
    <t xml:space="preserve">2PrevBars</t>
  </si>
  <si>
    <t xml:space="preserve">4PrevBars</t>
  </si>
  <si>
    <t xml:space="preserve">6PrevBars</t>
  </si>
  <si>
    <t xml:space="preserve">8PrevBars</t>
  </si>
  <si>
    <t xml:space="preserve">10PrevBars</t>
  </si>
  <si>
    <t xml:space="preserve">12PrevBars</t>
  </si>
  <si>
    <t xml:space="preserve">14PrevBars</t>
  </si>
  <si>
    <t xml:space="preserve">16PrevBars</t>
  </si>
  <si>
    <t xml:space="preserve">18PrevBars</t>
  </si>
  <si>
    <t xml:space="preserve">20PrevBars</t>
  </si>
  <si>
    <t xml:space="preserve">22PrevBars</t>
  </si>
  <si>
    <t xml:space="preserve">CurrentBarsClass</t>
  </si>
  <si>
    <t xml:space="preserve">2PrevBarsClass</t>
  </si>
  <si>
    <t xml:space="preserve">4PrevBarsClass</t>
  </si>
  <si>
    <t xml:space="preserve">6PrevBarsClass</t>
  </si>
  <si>
    <t xml:space="preserve">8PrevBarsClass</t>
  </si>
  <si>
    <t xml:space="preserve">10PrevBarsClass</t>
  </si>
  <si>
    <t xml:space="preserve">12PrevBarsClass</t>
  </si>
  <si>
    <t xml:space="preserve">14PrevBarsClass</t>
  </si>
  <si>
    <t xml:space="preserve">16PrevBarsClass</t>
  </si>
  <si>
    <t xml:space="preserve">18PrevBarsClass</t>
  </si>
  <si>
    <t xml:space="preserve">20PrevBarsClass</t>
  </si>
  <si>
    <t xml:space="preserve">22PrevBarsClass</t>
  </si>
  <si>
    <t xml:space="preserve">CurrentPrPerBar</t>
  </si>
  <si>
    <t xml:space="preserve">2PrevPrPerBar</t>
  </si>
  <si>
    <t xml:space="preserve">4PrevPrPerBar</t>
  </si>
  <si>
    <t xml:space="preserve">6PrevPrPerBar</t>
  </si>
  <si>
    <t xml:space="preserve">8PrevPrPerBar</t>
  </si>
  <si>
    <t xml:space="preserve">10PrevPrPerBar</t>
  </si>
  <si>
    <t xml:space="preserve">12PrevPrPerBar</t>
  </si>
  <si>
    <t xml:space="preserve">14PrevPrPerBar</t>
  </si>
  <si>
    <t xml:space="preserve">16PrevPrPerBar</t>
  </si>
  <si>
    <t xml:space="preserve">18PrevPrPerBar</t>
  </si>
  <si>
    <t xml:space="preserve">20PrevPrPerBar</t>
  </si>
  <si>
    <t xml:space="preserve">22PrevPrPerBar</t>
  </si>
  <si>
    <t xml:space="preserve">CurrentPrPerBarClass</t>
  </si>
  <si>
    <t xml:space="preserve">2PrevPrPerBarClass</t>
  </si>
  <si>
    <t xml:space="preserve">4PrevPrPerBarClass</t>
  </si>
  <si>
    <t xml:space="preserve">6PrevPrPerBarClass</t>
  </si>
  <si>
    <t xml:space="preserve">8PrevPrPerBarClass</t>
  </si>
  <si>
    <t xml:space="preserve">10PrevPrPerBarClass</t>
  </si>
  <si>
    <t xml:space="preserve">12PrevPrPerBarClass</t>
  </si>
  <si>
    <t xml:space="preserve">14PrevPrPerBarClass</t>
  </si>
  <si>
    <t xml:space="preserve">16PrevPrPerBarClass</t>
  </si>
  <si>
    <t xml:space="preserve">18PrevPrPerBarClass</t>
  </si>
  <si>
    <t xml:space="preserve">20PrevPrPerBarClass</t>
  </si>
  <si>
    <t xml:space="preserve">22PrevPrPerBarClass</t>
  </si>
  <si>
    <t xml:space="preserve">CurrentSlope</t>
  </si>
  <si>
    <t xml:space="preserve">2PrevSlope</t>
  </si>
  <si>
    <t xml:space="preserve">4PrevSlope</t>
  </si>
  <si>
    <t xml:space="preserve">6PrevSlope</t>
  </si>
  <si>
    <t xml:space="preserve">8PrevSlope</t>
  </si>
  <si>
    <t xml:space="preserve">10PrevSlope</t>
  </si>
  <si>
    <t xml:space="preserve">12PrevSlope</t>
  </si>
  <si>
    <t xml:space="preserve">14PrevSlope</t>
  </si>
  <si>
    <t xml:space="preserve">16PrevSlope</t>
  </si>
  <si>
    <t xml:space="preserve">18PrevSlope</t>
  </si>
  <si>
    <t xml:space="preserve">20PrevSlope</t>
  </si>
  <si>
    <t xml:space="preserve">22PrevSlope</t>
  </si>
  <si>
    <t xml:space="preserve">CurrentCategory</t>
  </si>
  <si>
    <t xml:space="preserve">2PrevCategory</t>
  </si>
  <si>
    <t xml:space="preserve">4PrevCategory</t>
  </si>
  <si>
    <t xml:space="preserve">6PrevCategory</t>
  </si>
  <si>
    <t xml:space="preserve">8PrevCategory</t>
  </si>
  <si>
    <t xml:space="preserve">10PrevCategory</t>
  </si>
  <si>
    <t xml:space="preserve">12PrevCategory</t>
  </si>
  <si>
    <t xml:space="preserve">14PrevCategory</t>
  </si>
  <si>
    <t xml:space="preserve">16PrevCategory</t>
  </si>
  <si>
    <t xml:space="preserve">18PrevCategory</t>
  </si>
  <si>
    <t xml:space="preserve">20PrevCategory</t>
  </si>
  <si>
    <t xml:space="preserve">22PrevCategory</t>
  </si>
  <si>
    <t xml:space="preserve">2Prev%Diff</t>
  </si>
  <si>
    <t xml:space="preserve">4Prev%Diff</t>
  </si>
  <si>
    <t xml:space="preserve">6Prev%Diff</t>
  </si>
  <si>
    <t xml:space="preserve">8Prev%Diff</t>
  </si>
  <si>
    <t xml:space="preserve">10Prev%Diff</t>
  </si>
  <si>
    <t xml:space="preserve">12Prev%Diff</t>
  </si>
  <si>
    <t xml:space="preserve">14Prev%Diff</t>
  </si>
  <si>
    <t xml:space="preserve">16Prev%Diff</t>
  </si>
  <si>
    <t xml:space="preserve">18Prev%Diff</t>
  </si>
  <si>
    <t xml:space="preserve">20Prev%Diff</t>
  </si>
  <si>
    <t xml:space="preserve">22Prev%Diff</t>
  </si>
  <si>
    <t xml:space="preserve">2PrevEQHL</t>
  </si>
  <si>
    <t xml:space="preserve">4PrevEQHL</t>
  </si>
  <si>
    <t xml:space="preserve">6PrevEQHL</t>
  </si>
  <si>
    <t xml:space="preserve">8PrevEQHL</t>
  </si>
  <si>
    <t xml:space="preserve">10PrevEQHL</t>
  </si>
  <si>
    <t xml:space="preserve">12PrevEQHL</t>
  </si>
  <si>
    <t xml:space="preserve">14PrevEQHL</t>
  </si>
  <si>
    <t xml:space="preserve">16PrevEQHL</t>
  </si>
  <si>
    <t xml:space="preserve">18PrevEQHL</t>
  </si>
  <si>
    <t xml:space="preserve">20PrevEQHL</t>
  </si>
  <si>
    <t xml:space="preserve">22PrevEQHL</t>
  </si>
  <si>
    <t xml:space="preserve">2PrevS&amp;R</t>
  </si>
  <si>
    <t xml:space="preserve">4PrevS&amp;R</t>
  </si>
  <si>
    <t xml:space="preserve">6PrevS&amp;R</t>
  </si>
  <si>
    <t xml:space="preserve">8PrevS&amp;R</t>
  </si>
  <si>
    <t xml:space="preserve">10PrevS&amp;R</t>
  </si>
  <si>
    <t xml:space="preserve">12PrevS&amp;R</t>
  </si>
  <si>
    <t xml:space="preserve">14PrevS&amp;R</t>
  </si>
  <si>
    <t xml:space="preserve">16PrevS&amp;R</t>
  </si>
  <si>
    <t xml:space="preserve">18PrevS&amp;R</t>
  </si>
  <si>
    <t xml:space="preserve">20PrevS&amp;R</t>
  </si>
  <si>
    <t xml:space="preserve">22PrevS&amp;R</t>
  </si>
  <si>
    <t xml:space="preserve">2PrevImpEQHL</t>
  </si>
  <si>
    <t xml:space="preserve">4PrevImpEQHL</t>
  </si>
  <si>
    <t xml:space="preserve">6PrevImpEQHL</t>
  </si>
  <si>
    <t xml:space="preserve">8PrevImpEQHL</t>
  </si>
  <si>
    <t xml:space="preserve">10PrevImpEQHL</t>
  </si>
  <si>
    <t xml:space="preserve">12PrevImpEQHL</t>
  </si>
  <si>
    <t xml:space="preserve">14PrevImpEQHL</t>
  </si>
  <si>
    <t xml:space="preserve">16PrevImpEQHL</t>
  </si>
  <si>
    <t xml:space="preserve">18PrevImpEQHL</t>
  </si>
  <si>
    <t xml:space="preserve">20PrevImpEQHL</t>
  </si>
  <si>
    <t xml:space="preserve">22PrevImpEQHL</t>
  </si>
  <si>
    <t xml:space="preserve">XAUUSD</t>
  </si>
  <si>
    <t xml:space="preserve">M15</t>
  </si>
  <si>
    <t xml:space="preserve">Bottom</t>
  </si>
  <si>
    <t xml:space="preserve">LL</t>
  </si>
  <si>
    <t xml:space="preserve">Peak</t>
  </si>
  <si>
    <t xml:space="preserve">LH</t>
  </si>
  <si>
    <t xml:space="preserve">HL</t>
  </si>
  <si>
    <t xml:space="preserve">HH</t>
  </si>
  <si>
    <t xml:space="preserve">convert_to_readable_datetime</t>
  </si>
  <si>
    <t xml:space="preserve">round_to_nearest_datetime</t>
  </si>
  <si>
    <t xml:space="preserve">timestamp_adjusted</t>
  </si>
  <si>
    <t xml:space="preserve">CountEQHL</t>
  </si>
  <si>
    <t xml:space="preserve">ImpEQHL</t>
  </si>
  <si>
    <t xml:space="preserve">AvgEQHL</t>
  </si>
  <si>
    <t xml:space="preserve">MostRecentEQHL</t>
  </si>
  <si>
    <t xml:space="preserve">2MostRecentEQHL</t>
  </si>
  <si>
    <t xml:space="preserve">3MostRecentEQHL</t>
  </si>
  <si>
    <t xml:space="preserve">4MostRecentEQHL</t>
  </si>
  <si>
    <t xml:space="preserve">5MostRecentEQHL</t>
  </si>
  <si>
    <t xml:space="preserve">6MostRecentEQHL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</si>
</sst>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\ hh:mm:ss"/>
    <numFmt numFmtId="166" formatCode="yyyy\-mm\-dd\ hh:mm"/>
    <numFmt numFmtId="167" formatCode="_(* #,##0.00_);_(* \(#,##0.00\);_(* \-??_);_(@_)"/>
    <numFmt numFmtId="168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B050"/>
      <name val="Calibri"/>
      <family val="2"/>
      <charset val="1"/>
    </font>
    <font>
      <b val="true"/>
      <sz val="11"/>
      <color rgb="FF00B05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theme="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00B050"/>
        <bgColor rgb="FF008080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M183"/>
  <sheetViews>
    <sheetView showFormulas="false" showGridLines="true" showRowColHeaders="true" showZeros="true" rightToLeft="false" tabSelected="true" showOutlineSymbols="true" defaultGridColor="true" view="normal" topLeftCell="A1" colorId="64" zoomScale="50" zoomScaleNormal="50" zoomScalePageLayoutView="100" workbookViewId="0">
      <pane xSplit="5" ySplit="0" topLeftCell="EN1" activePane="topRight" state="frozen"/>
      <selection pane="topLeft" activeCell="A1" activeCellId="0" sqref="A1"/>
      <selection pane="topRight" activeCell="FK17" activeCellId="0" sqref="FK17"/>
    </sheetView>
  </sheetViews>
  <sheetFormatPr defaultColWidth="8.83984375" defaultRowHeight="14.25" customHeight="false" zeroHeight="false" outlineLevelRow="0" outlineLevelCol="0"/>
  <cols>
    <col collapsed="false" customWidth="true" hidden="false" outlineLevel="0" max="1" min="1" style="1" width="10.68"/>
    <col collapsed="false" customWidth="false" hidden="false" outlineLevel="0" max="3" min="2" style="1" width="8.84"/>
    <col collapsed="false" customWidth="true" hidden="false" outlineLevel="0" max="4" min="4" style="1" width="7.69"/>
    <col collapsed="false" customWidth="true" hidden="false" outlineLevel="0" max="5" min="5" style="1" width="6.74"/>
    <col collapsed="false" customWidth="true" hidden="false" outlineLevel="0" max="6" min="6" style="1" width="11"/>
    <col collapsed="false" customWidth="true" hidden="false" outlineLevel="0" max="17" min="7" style="2" width="11"/>
    <col collapsed="false" customWidth="true" hidden="false" outlineLevel="0" max="18" min="18" style="1" width="11.52"/>
    <col collapsed="false" customWidth="true" hidden="false" outlineLevel="0" max="29" min="19" style="2" width="11.52"/>
    <col collapsed="false" customWidth="true" hidden="false" outlineLevel="0" max="30" min="30" style="1" width="11.52"/>
    <col collapsed="false" customWidth="true" hidden="false" outlineLevel="0" max="41" min="31" style="2" width="11.26"/>
    <col collapsed="false" customWidth="true" hidden="false" outlineLevel="0" max="42" min="42" style="1" width="15.41"/>
    <col collapsed="false" customWidth="true" hidden="false" outlineLevel="0" max="53" min="43" style="2" width="15.41"/>
    <col collapsed="false" customWidth="true" hidden="false" outlineLevel="0" max="54" min="54" style="1" width="10.41"/>
    <col collapsed="false" customWidth="true" hidden="false" outlineLevel="0" max="65" min="55" style="2" width="10.41"/>
    <col collapsed="false" customWidth="true" hidden="false" outlineLevel="0" max="66" min="66" style="1" width="14.52"/>
    <col collapsed="false" customWidth="true" hidden="false" outlineLevel="0" max="77" min="67" style="2" width="14.52"/>
    <col collapsed="false" customWidth="true" hidden="false" outlineLevel="0" max="78" min="78" style="1" width="14"/>
    <col collapsed="false" customWidth="true" hidden="false" outlineLevel="0" max="89" min="79" style="2" width="14"/>
    <col collapsed="false" customWidth="true" hidden="false" outlineLevel="0" max="90" min="90" style="1" width="18.1"/>
    <col collapsed="false" customWidth="true" hidden="false" outlineLevel="0" max="101" min="91" style="2" width="18.1"/>
    <col collapsed="false" customWidth="true" hidden="false" outlineLevel="0" max="102" min="102" style="1" width="11.26"/>
    <col collapsed="false" customWidth="true" hidden="false" outlineLevel="0" max="113" min="103" style="2" width="11.26"/>
    <col collapsed="false" customWidth="true" hidden="false" outlineLevel="0" max="114" min="114" style="1" width="14.1"/>
    <col collapsed="false" customWidth="true" hidden="false" outlineLevel="0" max="118" min="115" style="2" width="12.42"/>
    <col collapsed="false" customWidth="true" hidden="false" outlineLevel="0" max="125" min="119" style="2" width="13.37"/>
    <col collapsed="false" customWidth="true" hidden="false" outlineLevel="0" max="129" min="126" style="2" width="9.52"/>
    <col collapsed="false" customWidth="true" hidden="false" outlineLevel="0" max="136" min="130" style="2" width="10.47"/>
    <col collapsed="false" customWidth="true" hidden="false" outlineLevel="0" max="137" min="137" style="2" width="9.52"/>
    <col collapsed="false" customWidth="true" hidden="false" outlineLevel="0" max="138" min="138" style="2" width="9.21"/>
    <col collapsed="false" customWidth="true" hidden="false" outlineLevel="0" max="139" min="139" style="2" width="9.52"/>
    <col collapsed="false" customWidth="true" hidden="false" outlineLevel="0" max="140" min="140" style="2" width="9.21"/>
    <col collapsed="false" customWidth="true" hidden="false" outlineLevel="0" max="141" min="141" style="2" width="10.52"/>
    <col collapsed="false" customWidth="true" hidden="false" outlineLevel="0" max="142" min="142" style="2" width="8.95"/>
    <col collapsed="false" customWidth="true" hidden="false" outlineLevel="0" max="145" min="143" style="2" width="10.52"/>
    <col collapsed="false" customWidth="true" hidden="false" outlineLevel="0" max="146" min="146" style="2" width="8.47"/>
    <col collapsed="false" customWidth="true" hidden="false" outlineLevel="0" max="147" min="147" style="2" width="10.52"/>
    <col collapsed="false" customWidth="true" hidden="false" outlineLevel="0" max="148" min="148" style="2" width="8.47"/>
    <col collapsed="false" customWidth="false" hidden="false" outlineLevel="0" max="151" min="149" style="2" width="8.84"/>
    <col collapsed="false" customWidth="true" hidden="false" outlineLevel="0" max="158" min="152" style="2" width="9.47"/>
    <col collapsed="false" customWidth="true" hidden="false" outlineLevel="0" max="162" min="159" style="2" width="12.57"/>
    <col collapsed="false" customWidth="true" hidden="false" outlineLevel="0" max="169" min="163" style="2" width="13.63"/>
    <col collapsed="false" customWidth="false" hidden="false" outlineLevel="0" max="16384" min="170" style="2" width="8.84"/>
  </cols>
  <sheetData>
    <row r="1" customFormat="false" ht="14.2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6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4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6" t="s">
        <v>41</v>
      </c>
      <c r="AQ1" s="7" t="s">
        <v>42</v>
      </c>
      <c r="AR1" s="7" t="s">
        <v>43</v>
      </c>
      <c r="AS1" s="7" t="s">
        <v>44</v>
      </c>
      <c r="AT1" s="7" t="s">
        <v>45</v>
      </c>
      <c r="AU1" s="7" t="s">
        <v>46</v>
      </c>
      <c r="AV1" s="7" t="s">
        <v>47</v>
      </c>
      <c r="AW1" s="7" t="s">
        <v>48</v>
      </c>
      <c r="AX1" s="7" t="s">
        <v>49</v>
      </c>
      <c r="AY1" s="7" t="s">
        <v>50</v>
      </c>
      <c r="AZ1" s="7" t="s">
        <v>51</v>
      </c>
      <c r="BA1" s="7" t="s">
        <v>52</v>
      </c>
      <c r="BB1" s="4" t="s">
        <v>53</v>
      </c>
      <c r="BC1" s="5" t="s">
        <v>54</v>
      </c>
      <c r="BD1" s="5" t="s">
        <v>55</v>
      </c>
      <c r="BE1" s="5" t="s">
        <v>56</v>
      </c>
      <c r="BF1" s="5" t="s">
        <v>57</v>
      </c>
      <c r="BG1" s="5" t="s">
        <v>58</v>
      </c>
      <c r="BH1" s="5" t="s">
        <v>59</v>
      </c>
      <c r="BI1" s="5" t="s">
        <v>60</v>
      </c>
      <c r="BJ1" s="5" t="s">
        <v>61</v>
      </c>
      <c r="BK1" s="5" t="s">
        <v>62</v>
      </c>
      <c r="BL1" s="5" t="s">
        <v>63</v>
      </c>
      <c r="BM1" s="5" t="s">
        <v>64</v>
      </c>
      <c r="BN1" s="6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7" t="s">
        <v>74</v>
      </c>
      <c r="BX1" s="7" t="s">
        <v>75</v>
      </c>
      <c r="BY1" s="7" t="s">
        <v>76</v>
      </c>
      <c r="BZ1" s="4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5" t="s">
        <v>83</v>
      </c>
      <c r="CG1" s="5" t="s">
        <v>84</v>
      </c>
      <c r="CH1" s="5" t="s">
        <v>85</v>
      </c>
      <c r="CI1" s="5" t="s">
        <v>86</v>
      </c>
      <c r="CJ1" s="5" t="s">
        <v>87</v>
      </c>
      <c r="CK1" s="5" t="s">
        <v>88</v>
      </c>
      <c r="CL1" s="6" t="s">
        <v>89</v>
      </c>
      <c r="CM1" s="7" t="s">
        <v>90</v>
      </c>
      <c r="CN1" s="7" t="s">
        <v>91</v>
      </c>
      <c r="CO1" s="7" t="s">
        <v>92</v>
      </c>
      <c r="CP1" s="7" t="s">
        <v>93</v>
      </c>
      <c r="CQ1" s="7" t="s">
        <v>94</v>
      </c>
      <c r="CR1" s="7" t="s">
        <v>95</v>
      </c>
      <c r="CS1" s="7" t="s">
        <v>96</v>
      </c>
      <c r="CT1" s="7" t="s">
        <v>97</v>
      </c>
      <c r="CU1" s="7" t="s">
        <v>98</v>
      </c>
      <c r="CV1" s="7" t="s">
        <v>99</v>
      </c>
      <c r="CW1" s="7" t="s">
        <v>100</v>
      </c>
      <c r="CX1" s="4" t="s">
        <v>101</v>
      </c>
      <c r="CY1" s="5" t="s">
        <v>102</v>
      </c>
      <c r="CZ1" s="5" t="s">
        <v>103</v>
      </c>
      <c r="DA1" s="5" t="s">
        <v>104</v>
      </c>
      <c r="DB1" s="5" t="s">
        <v>105</v>
      </c>
      <c r="DC1" s="5" t="s">
        <v>106</v>
      </c>
      <c r="DD1" s="5" t="s">
        <v>107</v>
      </c>
      <c r="DE1" s="5" t="s">
        <v>108</v>
      </c>
      <c r="DF1" s="5" t="s">
        <v>109</v>
      </c>
      <c r="DG1" s="5" t="s">
        <v>110</v>
      </c>
      <c r="DH1" s="5" t="s">
        <v>111</v>
      </c>
      <c r="DI1" s="5" t="s">
        <v>112</v>
      </c>
      <c r="DJ1" s="6" t="s">
        <v>113</v>
      </c>
      <c r="DK1" s="7" t="s">
        <v>114</v>
      </c>
      <c r="DL1" s="7" t="s">
        <v>115</v>
      </c>
      <c r="DM1" s="7" t="s">
        <v>116</v>
      </c>
      <c r="DN1" s="7" t="s">
        <v>117</v>
      </c>
      <c r="DO1" s="7" t="s">
        <v>118</v>
      </c>
      <c r="DP1" s="7" t="s">
        <v>119</v>
      </c>
      <c r="DQ1" s="7" t="s">
        <v>120</v>
      </c>
      <c r="DR1" s="7" t="s">
        <v>121</v>
      </c>
      <c r="DS1" s="7" t="s">
        <v>122</v>
      </c>
      <c r="DT1" s="7" t="s">
        <v>123</v>
      </c>
      <c r="DU1" s="7" t="s">
        <v>124</v>
      </c>
      <c r="DV1" s="8" t="s">
        <v>125</v>
      </c>
      <c r="DW1" s="8" t="s">
        <v>126</v>
      </c>
      <c r="DX1" s="8" t="s">
        <v>127</v>
      </c>
      <c r="DY1" s="8" t="s">
        <v>128</v>
      </c>
      <c r="DZ1" s="8" t="s">
        <v>129</v>
      </c>
      <c r="EA1" s="8" t="s">
        <v>130</v>
      </c>
      <c r="EB1" s="8" t="s">
        <v>131</v>
      </c>
      <c r="EC1" s="8" t="s">
        <v>132</v>
      </c>
      <c r="ED1" s="8" t="s">
        <v>133</v>
      </c>
      <c r="EE1" s="8" t="s">
        <v>134</v>
      </c>
      <c r="EF1" s="8" t="s">
        <v>135</v>
      </c>
      <c r="EG1" s="9" t="s">
        <v>136</v>
      </c>
      <c r="EH1" s="9" t="s">
        <v>137</v>
      </c>
      <c r="EI1" s="9" t="s">
        <v>138</v>
      </c>
      <c r="EJ1" s="9" t="s">
        <v>139</v>
      </c>
      <c r="EK1" s="9" t="s">
        <v>140</v>
      </c>
      <c r="EL1" s="9" t="s">
        <v>141</v>
      </c>
      <c r="EM1" s="9" t="s">
        <v>142</v>
      </c>
      <c r="EN1" s="9" t="s">
        <v>143</v>
      </c>
      <c r="EO1" s="9" t="s">
        <v>144</v>
      </c>
      <c r="EP1" s="9" t="s">
        <v>145</v>
      </c>
      <c r="EQ1" s="9" t="s">
        <v>146</v>
      </c>
      <c r="ER1" s="8" t="s">
        <v>147</v>
      </c>
      <c r="ES1" s="8" t="s">
        <v>148</v>
      </c>
      <c r="ET1" s="8" t="s">
        <v>149</v>
      </c>
      <c r="EU1" s="8" t="s">
        <v>150</v>
      </c>
      <c r="EV1" s="8" t="s">
        <v>151</v>
      </c>
      <c r="EW1" s="8" t="s">
        <v>152</v>
      </c>
      <c r="EX1" s="8" t="s">
        <v>153</v>
      </c>
      <c r="EY1" s="8" t="s">
        <v>154</v>
      </c>
      <c r="EZ1" s="8" t="s">
        <v>155</v>
      </c>
      <c r="FA1" s="8" t="s">
        <v>156</v>
      </c>
      <c r="FB1" s="8" t="s">
        <v>157</v>
      </c>
      <c r="FC1" s="9" t="s">
        <v>158</v>
      </c>
      <c r="FD1" s="9" t="s">
        <v>159</v>
      </c>
      <c r="FE1" s="9" t="s">
        <v>160</v>
      </c>
      <c r="FF1" s="9" t="s">
        <v>161</v>
      </c>
      <c r="FG1" s="9" t="s">
        <v>162</v>
      </c>
      <c r="FH1" s="9" t="s">
        <v>163</v>
      </c>
      <c r="FI1" s="9" t="s">
        <v>164</v>
      </c>
      <c r="FJ1" s="9" t="s">
        <v>165</v>
      </c>
      <c r="FK1" s="9" t="s">
        <v>166</v>
      </c>
      <c r="FL1" s="9" t="s">
        <v>167</v>
      </c>
      <c r="FM1" s="9" t="s">
        <v>168</v>
      </c>
    </row>
    <row r="2" customFormat="false" ht="14.25" hidden="false" customHeight="false" outlineLevel="0" collapsed="false">
      <c r="A2" s="1" t="n">
        <v>1776246302</v>
      </c>
      <c r="B2" s="1" t="s">
        <v>169</v>
      </c>
      <c r="C2" s="1" t="s">
        <v>170</v>
      </c>
      <c r="D2" s="1" t="n">
        <v>4798.21</v>
      </c>
      <c r="E2" s="1" t="s">
        <v>171</v>
      </c>
      <c r="F2" s="1" t="n">
        <v>4786.23</v>
      </c>
      <c r="R2" s="1" t="n">
        <v>-84.99</v>
      </c>
      <c r="AD2" s="1" t="n">
        <v>-1.74</v>
      </c>
      <c r="AP2" s="1" t="n">
        <v>3</v>
      </c>
      <c r="BB2" s="1" t="n">
        <v>34</v>
      </c>
      <c r="BN2" s="1" t="n">
        <v>3</v>
      </c>
      <c r="BZ2" s="1" t="n">
        <v>-2.49971</v>
      </c>
      <c r="CL2" s="1" t="n">
        <v>3</v>
      </c>
      <c r="CX2" s="1" t="n">
        <v>-68.1963</v>
      </c>
      <c r="DJ2" s="1" t="s">
        <v>172</v>
      </c>
      <c r="EG2" s="2" t="str">
        <f aca="false">IF(DV2="","",IF(AND(ABS(DV2)&lt;=0.25,$E2="Bottom",DK2="LL"),"EQL",IF(AND(ABS(DV2)&lt;=0.25,$E2="Peak",DK2="HH"),"EQH","")))</f>
        <v/>
      </c>
      <c r="EH2" s="2" t="str">
        <f aca="false">IF(DW2="","",IF(AND(ABS(DW2)&lt;=0.25,$E2="Bottom",DL2="LL"),"EQL",IF(AND(ABS(DW2)&lt;=0.25,$E2="Peak",DL2="HH"),"EQH","")))</f>
        <v/>
      </c>
      <c r="EI2" s="2" t="str">
        <f aca="false">IF(DX2="","",IF(AND(ABS(DX2)&lt;=0.25,$E2="Bottom",DM2="LL"),"EQL",IF(AND(ABS(DX2)&lt;=0.25,$E2="Peak",DM2="HH"),"EQH","")))</f>
        <v/>
      </c>
      <c r="EJ2" s="2" t="str">
        <f aca="false">IF(DY2="","",IF(AND(ABS(DY2)&lt;=0.25,$E2="Bottom",DN2="LL"),"EQL",IF(AND(ABS(DY2)&lt;=0.25,$E2="Peak",DN2="HH"),"EQH","")))</f>
        <v/>
      </c>
      <c r="EK2" s="2" t="str">
        <f aca="false">IF(DZ2="","",IF(AND(ABS(DZ2)&lt;=0.25,$E2="Bottom",DO2="LL"),"EQL",IF(AND(ABS(DZ2)&lt;=0.25,$E2="Peak",DO2="HH"),"EQH","")))</f>
        <v/>
      </c>
      <c r="EL2" s="2" t="str">
        <f aca="false">IF(EA2="","",IF(AND(ABS(EA2)&lt;=0.25,$E2="Bottom",DP2="LL"),"EQL",IF(AND(ABS(EA2)&lt;=0.25,$E2="Peak",DP2="HH"),"EQH","")))</f>
        <v/>
      </c>
      <c r="EM2" s="2" t="str">
        <f aca="false">IF(EB2="","",IF(AND(ABS(EB2)&lt;=0.25,$E2="Bottom",DQ2="LL"),"EQL",IF(AND(ABS(EB2)&lt;=0.25,$E2="Peak",DQ2="HH"),"EQH","")))</f>
        <v/>
      </c>
      <c r="EN2" s="2" t="str">
        <f aca="false">IF(EC2="","",IF(AND(ABS(EC2)&lt;=0.25,$E2="Bottom",DR2="LL"),"EQL",IF(AND(ABS(EC2)&lt;=0.25,$E2="Peak",DR2="HH"),"EQH","")))</f>
        <v/>
      </c>
      <c r="EO2" s="2" t="str">
        <f aca="false">IF(ED2="","",IF(AND(ABS(ED2)&lt;=0.25,$E2="Bottom",DS2="LL"),"EQL",IF(AND(ABS(ED2)&lt;=0.25,$E2="Peak",DS2="HH"),"EQH","")))</f>
        <v/>
      </c>
      <c r="EP2" s="2" t="str">
        <f aca="false">IF(EE2="","",IF(AND(ABS(EE2)&lt;=0.25,$E2="Bottom",DT2="LL"),"EQL",IF(AND(ABS(EE2)&lt;=0.25,$E2="Peak",DT2="HH"),"EQH","")))</f>
        <v/>
      </c>
      <c r="EQ2" s="2" t="str">
        <f aca="false">IF(EF2="","",IF(AND(ABS(EF2)&lt;=0.25,$E2="Bottom",DU2="LL"),"EQL",IF(AND(ABS(EF2)&lt;=0.25,$E2="Peak",DU2="HH"),"EQH","")))</f>
        <v/>
      </c>
      <c r="ER2" s="2" t="str">
        <f aca="false">IF(OR(EG2="EQL",EG2="EQH"),G2,"")</f>
        <v/>
      </c>
      <c r="ES2" s="2" t="str">
        <f aca="false">IF(OR(EH2="EQL",EH2="EQH"),H2,"")</f>
        <v/>
      </c>
      <c r="ET2" s="2" t="str">
        <f aca="false">IF(OR(EI2="EQL",EI2="EQH"),I2,"")</f>
        <v/>
      </c>
      <c r="EU2" s="2" t="str">
        <f aca="false">IF(OR(EJ2="EQL",EJ2="EQH"),J2,"")</f>
        <v/>
      </c>
      <c r="EV2" s="2" t="str">
        <f aca="false">IF(OR(EK2="EQL",EK2="EQH"),K2,"")</f>
        <v/>
      </c>
      <c r="EW2" s="2" t="str">
        <f aca="false">IF(OR(EL2="EQL",EL2="EQH"),L2,"")</f>
        <v/>
      </c>
      <c r="EX2" s="2" t="str">
        <f aca="false">IF(OR(EM2="EQL",EM2="EQH"),M2,"")</f>
        <v/>
      </c>
      <c r="EY2" s="2" t="str">
        <f aca="false">IF(OR(EN2="EQL",EN2="EQH"),N2,"")</f>
        <v/>
      </c>
      <c r="EZ2" s="2" t="str">
        <f aca="false">IF(OR(EO2="EQL",EO2="EQH"),O2,"")</f>
        <v/>
      </c>
      <c r="FA2" s="2" t="str">
        <f aca="false">IF(OR(EP2="EQL",EP2="EQH"),P2,"")</f>
        <v/>
      </c>
      <c r="FB2" s="2" t="str">
        <f aca="false">IF(OR(EQ2="EQL",EQ2="EQH"),Q2,"")</f>
        <v/>
      </c>
      <c r="FC2" s="2" t="str">
        <f aca="false">IF(AND(EG2="EQL",OR(AQ2=4,AQ2=5)),"IEQL",IF(AND(EG2="EQH",OR(AQ2=1,AQ2=2)),"IEQH",""))</f>
        <v/>
      </c>
      <c r="FD2" s="2" t="str">
        <f aca="false">IF(AND(EH2="EQL",OR(AR2=4,AR2=5)),"IEQL",IF(AND(EH2="EQH",OR(AR2=1,AR2=2)),"IEQH",""))</f>
        <v/>
      </c>
      <c r="FE2" s="2" t="str">
        <f aca="false">IF(AND(EI2="EQL",OR(AS2=4,AS2=5)),"IEQL",IF(AND(EI2="EQH",OR(AS2=1,AS2=2)),"IEQH",""))</f>
        <v/>
      </c>
      <c r="FF2" s="2" t="str">
        <f aca="false">IF(AND(EJ2="EQL",OR(AT2=4,AT2=5)),"IEQL",IF(AND(EJ2="EQH",OR(AT2=1,AT2=2)),"IEQH",""))</f>
        <v/>
      </c>
      <c r="FG2" s="2" t="str">
        <f aca="false">IF(AND(EK2="EQL",OR(AU2=4,AU2=5)),"IEQL",IF(AND(EK2="EQH",OR(AU2=1,AU2=2)),"IEQH",""))</f>
        <v/>
      </c>
      <c r="FH2" s="2" t="str">
        <f aca="false">IF(AND(EL2="EQL",OR(AV2=4,AV2=5)),"IEQL",IF(AND(EL2="EQH",OR(AV2=1,AV2=2)),"IEQH",""))</f>
        <v/>
      </c>
      <c r="FI2" s="2" t="str">
        <f aca="false">IF(AND(EM2="EQL",OR(AW2=4,AW2=5)),"IEQL",IF(AND(EM2="EQH",OR(AW2=1,AW2=2)),"IEQH",""))</f>
        <v/>
      </c>
      <c r="FJ2" s="2" t="str">
        <f aca="false">IF(AND(EN2="EQL",OR(AX2=4,AX2=5)),"IEQL",IF(AND(EN2="EQH",OR(AX2=1,AX2=2)),"IEQH",""))</f>
        <v/>
      </c>
      <c r="FK2" s="2" t="str">
        <f aca="false">IF(AND(EO2="EQL",OR(AY2=4,AY2=5)),"IEQL",IF(AND(EO2="EQH",OR(AY2=1,AY2=2)),"IEQH",""))</f>
        <v/>
      </c>
      <c r="FL2" s="2" t="str">
        <f aca="false">IF(AND(EP2="EQL",OR(AZ2=4,AZ2=5)),"IEQL",IF(AND(EP2="EQH",OR(AZ2=1,AZ2=2)),"IEQH",""))</f>
        <v/>
      </c>
      <c r="FM2" s="2" t="str">
        <f aca="false">IF(AND(EQ2="EQL",OR(BA2=4,BA2=5)),"IEQL",IF(AND(EQ2="EQH",OR(BA2=1,BA2=2)),"IEQH",""))</f>
        <v/>
      </c>
    </row>
    <row r="3" customFormat="false" ht="14.25" hidden="false" customHeight="false" outlineLevel="0" collapsed="false">
      <c r="A3" s="1" t="n">
        <v>1776262502</v>
      </c>
      <c r="B3" s="1" t="s">
        <v>169</v>
      </c>
      <c r="C3" s="1" t="s">
        <v>170</v>
      </c>
      <c r="D3" s="1" t="n">
        <v>4825.22</v>
      </c>
      <c r="E3" s="1" t="s">
        <v>173</v>
      </c>
      <c r="F3" s="1" t="n">
        <v>4830.39</v>
      </c>
      <c r="R3" s="1" t="n">
        <v>44.16</v>
      </c>
      <c r="AD3" s="1" t="n">
        <v>0.92</v>
      </c>
      <c r="AP3" s="1" t="n">
        <v>0</v>
      </c>
      <c r="BB3" s="1" t="n">
        <v>18</v>
      </c>
      <c r="BN3" s="1" t="n">
        <v>0</v>
      </c>
      <c r="BZ3" s="1" t="n">
        <v>2.45333</v>
      </c>
      <c r="CL3" s="1" t="n">
        <v>0</v>
      </c>
      <c r="CX3" s="1" t="n">
        <v>67.8238</v>
      </c>
      <c r="DJ3" s="1" t="s">
        <v>174</v>
      </c>
      <c r="EG3" s="2" t="str">
        <f aca="false">IF(DV3="","",IF(AND(ABS(DV3)&lt;=0.25,$E3="Bottom",DK3="LL"),"EQL",IF(AND(ABS(DV3)&lt;=0.25,$E3="Peak",DK3="HH"),"EQH","")))</f>
        <v/>
      </c>
      <c r="EH3" s="2" t="str">
        <f aca="false">IF(DW3="","",IF(AND(ABS(DW3)&lt;=0.25,$E3="Bottom",DL3="LL"),"EQL",IF(AND(ABS(DW3)&lt;=0.25,$E3="Peak",DL3="HH"),"EQH","")))</f>
        <v/>
      </c>
      <c r="EI3" s="2" t="str">
        <f aca="false">IF(DX3="","",IF(AND(ABS(DX3)&lt;=0.25,$E3="Bottom",DM3="LL"),"EQL",IF(AND(ABS(DX3)&lt;=0.25,$E3="Peak",DM3="HH"),"EQH","")))</f>
        <v/>
      </c>
      <c r="EJ3" s="2" t="str">
        <f aca="false">IF(DY3="","",IF(AND(ABS(DY3)&lt;=0.25,$E3="Bottom",DN3="LL"),"EQL",IF(AND(ABS(DY3)&lt;=0.25,$E3="Peak",DN3="HH"),"EQH","")))</f>
        <v/>
      </c>
      <c r="EK3" s="2" t="str">
        <f aca="false">IF(DZ3="","",IF(AND(ABS(DZ3)&lt;=0.25,$E3="Bottom",DO3="LL"),"EQL",IF(AND(ABS(DZ3)&lt;=0.25,$E3="Peak",DO3="HH"),"EQH","")))</f>
        <v/>
      </c>
      <c r="EL3" s="2" t="str">
        <f aca="false">IF(EA3="","",IF(AND(ABS(EA3)&lt;=0.25,$E3="Bottom",DP3="LL"),"EQL",IF(AND(ABS(EA3)&lt;=0.25,$E3="Peak",DP3="HH"),"EQH","")))</f>
        <v/>
      </c>
      <c r="EM3" s="2" t="str">
        <f aca="false">IF(EB3="","",IF(AND(ABS(EB3)&lt;=0.25,$E3="Bottom",DQ3="LL"),"EQL",IF(AND(ABS(EB3)&lt;=0.25,$E3="Peak",DQ3="HH"),"EQH","")))</f>
        <v/>
      </c>
      <c r="EN3" s="2" t="str">
        <f aca="false">IF(EC3="","",IF(AND(ABS(EC3)&lt;=0.25,$E3="Bottom",DR3="LL"),"EQL",IF(AND(ABS(EC3)&lt;=0.25,$E3="Peak",DR3="HH"),"EQH","")))</f>
        <v/>
      </c>
      <c r="EO3" s="2" t="str">
        <f aca="false">IF(ED3="","",IF(AND(ABS(ED3)&lt;=0.25,$E3="Bottom",DS3="LL"),"EQL",IF(AND(ABS(ED3)&lt;=0.25,$E3="Peak",DS3="HH"),"EQH","")))</f>
        <v/>
      </c>
      <c r="EP3" s="2" t="str">
        <f aca="false">IF(EE3="","",IF(AND(ABS(EE3)&lt;=0.25,$E3="Bottom",DT3="LL"),"EQL",IF(AND(ABS(EE3)&lt;=0.25,$E3="Peak",DT3="HH"),"EQH","")))</f>
        <v/>
      </c>
      <c r="EQ3" s="2" t="str">
        <f aca="false">IF(EF3="","",IF(AND(ABS(EF3)&lt;=0.25,$E3="Bottom",DU3="LL"),"EQL",IF(AND(ABS(EF3)&lt;=0.25,$E3="Peak",DU3="HH"),"EQH","")))</f>
        <v/>
      </c>
      <c r="ER3" s="2" t="str">
        <f aca="false">IF(OR(EG3="EQL",EG3="EQH"),G3,"")</f>
        <v/>
      </c>
      <c r="ES3" s="2" t="str">
        <f aca="false">IF(OR(EH3="EQL",EH3="EQH"),H3,"")</f>
        <v/>
      </c>
      <c r="ET3" s="2" t="str">
        <f aca="false">IF(OR(EI3="EQL",EI3="EQH"),I3,"")</f>
        <v/>
      </c>
      <c r="EU3" s="2" t="str">
        <f aca="false">IF(OR(EJ3="EQL",EJ3="EQH"),J3,"")</f>
        <v/>
      </c>
      <c r="EV3" s="2" t="str">
        <f aca="false">IF(OR(EK3="EQL",EK3="EQH"),K3,"")</f>
        <v/>
      </c>
      <c r="EW3" s="2" t="str">
        <f aca="false">IF(OR(EL3="EQL",EL3="EQH"),L3,"")</f>
        <v/>
      </c>
      <c r="EX3" s="2" t="str">
        <f aca="false">IF(OR(EM3="EQL",EM3="EQH"),M3,"")</f>
        <v/>
      </c>
      <c r="EY3" s="2" t="str">
        <f aca="false">IF(OR(EN3="EQL",EN3="EQH"),N3,"")</f>
        <v/>
      </c>
      <c r="EZ3" s="2" t="str">
        <f aca="false">IF(OR(EO3="EQL",EO3="EQH"),O3,"")</f>
        <v/>
      </c>
      <c r="FA3" s="2" t="str">
        <f aca="false">IF(OR(EP3="EQL",EP3="EQH"),P3,"")</f>
        <v/>
      </c>
      <c r="FB3" s="2" t="str">
        <f aca="false">IF(OR(EQ3="EQL",EQ3="EQH"),Q3,"")</f>
        <v/>
      </c>
      <c r="FC3" s="2" t="str">
        <f aca="false">IF(AND(EG3="EQL",OR(AQ3=4,AQ3=5)),"IEQL",IF(AND(EG3="EQH",OR(AQ3=1,AQ3=2)),"IEQH",""))</f>
        <v/>
      </c>
      <c r="FD3" s="2" t="str">
        <f aca="false">IF(AND(EH3="EQL",OR(AR3=4,AR3=5)),"IEQL",IF(AND(EH3="EQH",OR(AR3=1,AR3=2)),"IEQH",""))</f>
        <v/>
      </c>
      <c r="FE3" s="2" t="str">
        <f aca="false">IF(AND(EI3="EQL",OR(AS3=4,AS3=5)),"IEQL",IF(AND(EI3="EQH",OR(AS3=1,AS3=2)),"IEQH",""))</f>
        <v/>
      </c>
      <c r="FF3" s="2" t="str">
        <f aca="false">IF(AND(EJ3="EQL",OR(AT3=4,AT3=5)),"IEQL",IF(AND(EJ3="EQH",OR(AT3=1,AT3=2)),"IEQH",""))</f>
        <v/>
      </c>
      <c r="FG3" s="2" t="str">
        <f aca="false">IF(AND(EK3="EQL",OR(AU3=4,AU3=5)),"IEQL",IF(AND(EK3="EQH",OR(AU3=1,AU3=2)),"IEQH",""))</f>
        <v/>
      </c>
      <c r="FH3" s="2" t="str">
        <f aca="false">IF(AND(EL3="EQL",OR(AV3=4,AV3=5)),"IEQL",IF(AND(EL3="EQH",OR(AV3=1,AV3=2)),"IEQH",""))</f>
        <v/>
      </c>
      <c r="FI3" s="2" t="str">
        <f aca="false">IF(AND(EM3="EQL",OR(AW3=4,AW3=5)),"IEQL",IF(AND(EM3="EQH",OR(AW3=1,AW3=2)),"IEQH",""))</f>
        <v/>
      </c>
      <c r="FJ3" s="2" t="str">
        <f aca="false">IF(AND(EN3="EQL",OR(AX3=4,AX3=5)),"IEQL",IF(AND(EN3="EQH",OR(AX3=1,AX3=2)),"IEQH",""))</f>
        <v/>
      </c>
      <c r="FK3" s="2" t="str">
        <f aca="false">IF(AND(EO3="EQL",OR(AY3=4,AY3=5)),"IEQL",IF(AND(EO3="EQH",OR(AY3=1,AY3=2)),"IEQH",""))</f>
        <v/>
      </c>
      <c r="FL3" s="2" t="str">
        <f aca="false">IF(AND(EP3="EQL",OR(AZ3=4,AZ3=5)),"IEQL",IF(AND(EP3="EQH",OR(AZ3=1,AZ3=2)),"IEQH",""))</f>
        <v/>
      </c>
      <c r="FM3" s="2" t="str">
        <f aca="false">IF(AND(EQ3="EQL",OR(BA3=4,BA3=5)),"IEQL",IF(AND(EQ3="EQH",OR(BA3=1,BA3=2)),"IEQH",""))</f>
        <v/>
      </c>
    </row>
    <row r="4" customFormat="false" ht="14.25" hidden="false" customHeight="false" outlineLevel="0" collapsed="false">
      <c r="A4" s="1" t="n">
        <v>1776267002</v>
      </c>
      <c r="B4" s="1" t="s">
        <v>169</v>
      </c>
      <c r="C4" s="1" t="s">
        <v>170</v>
      </c>
      <c r="D4" s="1" t="n">
        <v>4803.64</v>
      </c>
      <c r="E4" s="1" t="s">
        <v>171</v>
      </c>
      <c r="F4" s="1" t="n">
        <v>4787.17</v>
      </c>
      <c r="G4" s="2" t="n">
        <f aca="false">F2</f>
        <v>4786.23</v>
      </c>
      <c r="R4" s="1" t="n">
        <v>-43.22</v>
      </c>
      <c r="S4" s="2" t="n">
        <f aca="false">R2</f>
        <v>-84.99</v>
      </c>
      <c r="AD4" s="1" t="n">
        <v>-0.89</v>
      </c>
      <c r="AE4" s="2" t="n">
        <f aca="false">AD2</f>
        <v>-1.74</v>
      </c>
      <c r="AP4" s="1" t="n">
        <v>3</v>
      </c>
      <c r="AQ4" s="2" t="n">
        <f aca="false">AP2</f>
        <v>3</v>
      </c>
      <c r="BB4" s="1" t="n">
        <v>5</v>
      </c>
      <c r="BC4" s="2" t="n">
        <f aca="false">BB2</f>
        <v>34</v>
      </c>
      <c r="BN4" s="1" t="n">
        <v>3</v>
      </c>
      <c r="BO4" s="2" t="n">
        <f aca="false">BN2</f>
        <v>3</v>
      </c>
      <c r="BZ4" s="1" t="n">
        <v>-8.644</v>
      </c>
      <c r="CA4" s="2" t="n">
        <f aca="false">BZ2</f>
        <v>-2.49971</v>
      </c>
      <c r="CL4" s="1" t="n">
        <v>3</v>
      </c>
      <c r="CM4" s="2" t="n">
        <f aca="false">CL2</f>
        <v>3</v>
      </c>
      <c r="CX4" s="1" t="n">
        <v>-83.4009</v>
      </c>
      <c r="CY4" s="2" t="n">
        <f aca="false">CX2</f>
        <v>-68.1963</v>
      </c>
      <c r="DJ4" s="1" t="s">
        <v>175</v>
      </c>
      <c r="DK4" s="2" t="str">
        <f aca="false">DJ2</f>
        <v>LL</v>
      </c>
      <c r="DV4" s="2" t="n">
        <f aca="false">IFERROR((G4-$F4)/$F4*100,"")</f>
        <v>-0.0196358182391791</v>
      </c>
      <c r="EG4" s="2" t="str">
        <f aca="false">IF(DV4="","",IF(AND(ABS(DV4)&lt;=0.25,$E4="Bottom",DK4="LL"),"EQL",IF(AND(ABS(DV4)&lt;=0.25,$E4="Peak",DK4="HH"),"EQH","")))</f>
        <v>EQL</v>
      </c>
      <c r="EH4" s="2" t="str">
        <f aca="false">IF(DW4="","",IF(AND(ABS(DW4)&lt;=0.25,$E4="Bottom",DL4="LL"),"EQL",IF(AND(ABS(DW4)&lt;=0.25,$E4="Peak",DL4="HH"),"EQH","")))</f>
        <v/>
      </c>
      <c r="EI4" s="2" t="str">
        <f aca="false">IF(DX4="","",IF(AND(ABS(DX4)&lt;=0.25,$E4="Bottom",DM4="LL"),"EQL",IF(AND(ABS(DX4)&lt;=0.25,$E4="Peak",DM4="HH"),"EQH","")))</f>
        <v/>
      </c>
      <c r="EJ4" s="2" t="str">
        <f aca="false">IF(DY4="","",IF(AND(ABS(DY4)&lt;=0.25,$E4="Bottom",DN4="LL"),"EQL",IF(AND(ABS(DY4)&lt;=0.25,$E4="Peak",DN4="HH"),"EQH","")))</f>
        <v/>
      </c>
      <c r="EK4" s="2" t="str">
        <f aca="false">IF(DZ4="","",IF(AND(ABS(DZ4)&lt;=0.25,$E4="Bottom",DO4="LL"),"EQL",IF(AND(ABS(DZ4)&lt;=0.25,$E4="Peak",DO4="HH"),"EQH","")))</f>
        <v/>
      </c>
      <c r="EL4" s="2" t="str">
        <f aca="false">IF(EA4="","",IF(AND(ABS(EA4)&lt;=0.25,$E4="Bottom",DP4="LL"),"EQL",IF(AND(ABS(EA4)&lt;=0.25,$E4="Peak",DP4="HH"),"EQH","")))</f>
        <v/>
      </c>
      <c r="EM4" s="2" t="str">
        <f aca="false">IF(EB4="","",IF(AND(ABS(EB4)&lt;=0.25,$E4="Bottom",DQ4="LL"),"EQL",IF(AND(ABS(EB4)&lt;=0.25,$E4="Peak",DQ4="HH"),"EQH","")))</f>
        <v/>
      </c>
      <c r="EN4" s="2" t="str">
        <f aca="false">IF(EC4="","",IF(AND(ABS(EC4)&lt;=0.25,$E4="Bottom",DR4="LL"),"EQL",IF(AND(ABS(EC4)&lt;=0.25,$E4="Peak",DR4="HH"),"EQH","")))</f>
        <v/>
      </c>
      <c r="EO4" s="2" t="str">
        <f aca="false">IF(ED4="","",IF(AND(ABS(ED4)&lt;=0.25,$E4="Bottom",DS4="LL"),"EQL",IF(AND(ABS(ED4)&lt;=0.25,$E4="Peak",DS4="HH"),"EQH","")))</f>
        <v/>
      </c>
      <c r="EP4" s="2" t="str">
        <f aca="false">IF(EE4="","",IF(AND(ABS(EE4)&lt;=0.25,$E4="Bottom",DT4="LL"),"EQL",IF(AND(ABS(EE4)&lt;=0.25,$E4="Peak",DT4="HH"),"EQH","")))</f>
        <v/>
      </c>
      <c r="EQ4" s="2" t="str">
        <f aca="false">IF(EF4="","",IF(AND(ABS(EF4)&lt;=0.25,$E4="Bottom",DU4="LL"),"EQL",IF(AND(ABS(EF4)&lt;=0.25,$E4="Peak",DU4="HH"),"EQH","")))</f>
        <v/>
      </c>
      <c r="ER4" s="2" t="n">
        <f aca="false">IF(OR(EG4="EQL",EG4="EQH"),G4,"")</f>
        <v>4786.23</v>
      </c>
      <c r="ES4" s="2" t="str">
        <f aca="false">IF(OR(EH4="EQL",EH4="EQH"),H4,"")</f>
        <v/>
      </c>
      <c r="ET4" s="2" t="str">
        <f aca="false">IF(OR(EI4="EQL",EI4="EQH"),I4,"")</f>
        <v/>
      </c>
      <c r="EU4" s="2" t="str">
        <f aca="false">IF(OR(EJ4="EQL",EJ4="EQH"),J4,"")</f>
        <v/>
      </c>
      <c r="EV4" s="2" t="str">
        <f aca="false">IF(OR(EK4="EQL",EK4="EQH"),K4,"")</f>
        <v/>
      </c>
      <c r="EW4" s="2" t="str">
        <f aca="false">IF(OR(EL4="EQL",EL4="EQH"),L4,"")</f>
        <v/>
      </c>
      <c r="EX4" s="2" t="str">
        <f aca="false">IF(OR(EM4="EQL",EM4="EQH"),M4,"")</f>
        <v/>
      </c>
      <c r="EY4" s="2" t="str">
        <f aca="false">IF(OR(EN4="EQL",EN4="EQH"),N4,"")</f>
        <v/>
      </c>
      <c r="EZ4" s="2" t="str">
        <f aca="false">IF(OR(EO4="EQL",EO4="EQH"),O4,"")</f>
        <v/>
      </c>
      <c r="FA4" s="2" t="str">
        <f aca="false">IF(OR(EP4="EQL",EP4="EQH"),P4,"")</f>
        <v/>
      </c>
      <c r="FB4" s="2" t="str">
        <f aca="false">IF(OR(EQ4="EQL",EQ4="EQH"),Q4,"")</f>
        <v/>
      </c>
      <c r="FC4" s="2" t="str">
        <f aca="false">IF(AND(EG4="EQL",OR(AQ4=4,AQ4=5)),"IEQL",IF(AND(EG4="EQH",OR(AQ4=1,AQ4=2)),"IEQH",""))</f>
        <v/>
      </c>
      <c r="FD4" s="2" t="str">
        <f aca="false">IF(AND(EH4="EQL",OR(AR4=4,AR4=5)),"IEQL",IF(AND(EH4="EQH",OR(AR4=1,AR4=2)),"IEQH",""))</f>
        <v/>
      </c>
      <c r="FE4" s="2" t="str">
        <f aca="false">IF(AND(EI4="EQL",OR(AS4=4,AS4=5)),"IEQL",IF(AND(EI4="EQH",OR(AS4=1,AS4=2)),"IEQH",""))</f>
        <v/>
      </c>
      <c r="FF4" s="2" t="str">
        <f aca="false">IF(AND(EJ4="EQL",OR(AT4=4,AT4=5)),"IEQL",IF(AND(EJ4="EQH",OR(AT4=1,AT4=2)),"IEQH",""))</f>
        <v/>
      </c>
      <c r="FG4" s="2" t="str">
        <f aca="false">IF(AND(EK4="EQL",OR(AU4=4,AU4=5)),"IEQL",IF(AND(EK4="EQH",OR(AU4=1,AU4=2)),"IEQH",""))</f>
        <v/>
      </c>
      <c r="FH4" s="2" t="str">
        <f aca="false">IF(AND(EL4="EQL",OR(AV4=4,AV4=5)),"IEQL",IF(AND(EL4="EQH",OR(AV4=1,AV4=2)),"IEQH",""))</f>
        <v/>
      </c>
      <c r="FI4" s="2" t="str">
        <f aca="false">IF(AND(EM4="EQL",OR(AW4=4,AW4=5)),"IEQL",IF(AND(EM4="EQH",OR(AW4=1,AW4=2)),"IEQH",""))</f>
        <v/>
      </c>
      <c r="FJ4" s="2" t="str">
        <f aca="false">IF(AND(EN4="EQL",OR(AX4=4,AX4=5)),"IEQL",IF(AND(EN4="EQH",OR(AX4=1,AX4=2)),"IEQH",""))</f>
        <v/>
      </c>
      <c r="FK4" s="2" t="str">
        <f aca="false">IF(AND(EO4="EQL",OR(AY4=4,AY4=5)),"IEQL",IF(AND(EO4="EQH",OR(AY4=1,AY4=2)),"IEQH",""))</f>
        <v/>
      </c>
      <c r="FL4" s="2" t="str">
        <f aca="false">IF(AND(EP4="EQL",OR(AZ4=4,AZ4=5)),"IEQL",IF(AND(EP4="EQH",OR(AZ4=1,AZ4=2)),"IEQH",""))</f>
        <v/>
      </c>
      <c r="FM4" s="2" t="str">
        <f aca="false">IF(AND(EQ4="EQL",OR(BA4=4,BA4=5)),"IEQL",IF(AND(EQ4="EQH",OR(BA4=1,BA4=2)),"IEQH",""))</f>
        <v/>
      </c>
    </row>
    <row r="5" customFormat="false" ht="14.25" hidden="false" customHeight="false" outlineLevel="0" collapsed="false">
      <c r="A5" s="1" t="n">
        <v>1776315602</v>
      </c>
      <c r="B5" s="1" t="s">
        <v>169</v>
      </c>
      <c r="C5" s="1" t="s">
        <v>170</v>
      </c>
      <c r="D5" s="1" t="n">
        <v>4834.26</v>
      </c>
      <c r="E5" s="1" t="s">
        <v>173</v>
      </c>
      <c r="F5" s="1" t="n">
        <v>4838.38</v>
      </c>
      <c r="G5" s="2" t="n">
        <f aca="false">F3</f>
        <v>4830.39</v>
      </c>
      <c r="R5" s="1" t="n">
        <v>51.21</v>
      </c>
      <c r="S5" s="2" t="n">
        <f aca="false">R3</f>
        <v>44.16</v>
      </c>
      <c r="AD5" s="1" t="n">
        <v>1.07</v>
      </c>
      <c r="AE5" s="2" t="n">
        <f aca="false">AD3</f>
        <v>0.92</v>
      </c>
      <c r="AP5" s="1" t="n">
        <v>0</v>
      </c>
      <c r="AQ5" s="2" t="n">
        <f aca="false">AP3</f>
        <v>0</v>
      </c>
      <c r="BB5" s="1" t="n">
        <v>50</v>
      </c>
      <c r="BC5" s="2" t="n">
        <f aca="false">BB3</f>
        <v>18</v>
      </c>
      <c r="BN5" s="1" t="n">
        <v>2</v>
      </c>
      <c r="BO5" s="2" t="n">
        <f aca="false">BN3</f>
        <v>0</v>
      </c>
      <c r="BZ5" s="1" t="n">
        <v>1.0242</v>
      </c>
      <c r="CA5" s="2" t="n">
        <f aca="false">BZ3</f>
        <v>2.45333</v>
      </c>
      <c r="CL5" s="1" t="n">
        <v>0</v>
      </c>
      <c r="CM5" s="2" t="n">
        <f aca="false">CL3</f>
        <v>0</v>
      </c>
      <c r="CX5" s="1" t="n">
        <v>45.685</v>
      </c>
      <c r="CY5" s="2" t="n">
        <f aca="false">CX3</f>
        <v>67.8238</v>
      </c>
      <c r="DJ5" s="1" t="s">
        <v>176</v>
      </c>
      <c r="DK5" s="2" t="str">
        <f aca="false">DJ3</f>
        <v>LH</v>
      </c>
      <c r="DV5" s="2" t="n">
        <f aca="false">IFERROR((G5-$F5)/$F5*100,"")</f>
        <v>-0.16513791806348</v>
      </c>
      <c r="EG5" s="2" t="str">
        <f aca="false">IF(DV5="","",IF(AND(ABS(DV5)&lt;=0.25,$E5="Bottom",DK5="LL"),"EQL",IF(AND(ABS(DV5)&lt;=0.25,$E5="Peak",DK5="HH"),"EQH","")))</f>
        <v/>
      </c>
      <c r="EH5" s="2" t="str">
        <f aca="false">IF(DW5="","",IF(AND(ABS(DW5)&lt;=0.25,$E5="Bottom",DL5="LL"),"EQL",IF(AND(ABS(DW5)&lt;=0.25,$E5="Peak",DL5="HH"),"EQH","")))</f>
        <v/>
      </c>
      <c r="EI5" s="2" t="str">
        <f aca="false">IF(DX5="","",IF(AND(ABS(DX5)&lt;=0.25,$E5="Bottom",DM5="LL"),"EQL",IF(AND(ABS(DX5)&lt;=0.25,$E5="Peak",DM5="HH"),"EQH","")))</f>
        <v/>
      </c>
      <c r="EJ5" s="2" t="str">
        <f aca="false">IF(DY5="","",IF(AND(ABS(DY5)&lt;=0.25,$E5="Bottom",DN5="LL"),"EQL",IF(AND(ABS(DY5)&lt;=0.25,$E5="Peak",DN5="HH"),"EQH","")))</f>
        <v/>
      </c>
      <c r="EK5" s="2" t="str">
        <f aca="false">IF(DZ5="","",IF(AND(ABS(DZ5)&lt;=0.25,$E5="Bottom",DO5="LL"),"EQL",IF(AND(ABS(DZ5)&lt;=0.25,$E5="Peak",DO5="HH"),"EQH","")))</f>
        <v/>
      </c>
      <c r="EL5" s="2" t="str">
        <f aca="false">IF(EA5="","",IF(AND(ABS(EA5)&lt;=0.25,$E5="Bottom",DP5="LL"),"EQL",IF(AND(ABS(EA5)&lt;=0.25,$E5="Peak",DP5="HH"),"EQH","")))</f>
        <v/>
      </c>
      <c r="EM5" s="2" t="str">
        <f aca="false">IF(EB5="","",IF(AND(ABS(EB5)&lt;=0.25,$E5="Bottom",DQ5="LL"),"EQL",IF(AND(ABS(EB5)&lt;=0.25,$E5="Peak",DQ5="HH"),"EQH","")))</f>
        <v/>
      </c>
      <c r="EN5" s="2" t="str">
        <f aca="false">IF(EC5="","",IF(AND(ABS(EC5)&lt;=0.25,$E5="Bottom",DR5="LL"),"EQL",IF(AND(ABS(EC5)&lt;=0.25,$E5="Peak",DR5="HH"),"EQH","")))</f>
        <v/>
      </c>
      <c r="EO5" s="2" t="str">
        <f aca="false">IF(ED5="","",IF(AND(ABS(ED5)&lt;=0.25,$E5="Bottom",DS5="LL"),"EQL",IF(AND(ABS(ED5)&lt;=0.25,$E5="Peak",DS5="HH"),"EQH","")))</f>
        <v/>
      </c>
      <c r="EP5" s="2" t="str">
        <f aca="false">IF(EE5="","",IF(AND(ABS(EE5)&lt;=0.25,$E5="Bottom",DT5="LL"),"EQL",IF(AND(ABS(EE5)&lt;=0.25,$E5="Peak",DT5="HH"),"EQH","")))</f>
        <v/>
      </c>
      <c r="EQ5" s="2" t="str">
        <f aca="false">IF(EF5="","",IF(AND(ABS(EF5)&lt;=0.25,$E5="Bottom",DU5="LL"),"EQL",IF(AND(ABS(EF5)&lt;=0.25,$E5="Peak",DU5="HH"),"EQH","")))</f>
        <v/>
      </c>
      <c r="ER5" s="2" t="str">
        <f aca="false">IF(OR(EG5="EQL",EG5="EQH"),G5,"")</f>
        <v/>
      </c>
      <c r="ES5" s="2" t="str">
        <f aca="false">IF(OR(EH5="EQL",EH5="EQH"),H5,"")</f>
        <v/>
      </c>
      <c r="ET5" s="2" t="str">
        <f aca="false">IF(OR(EI5="EQL",EI5="EQH"),I5,"")</f>
        <v/>
      </c>
      <c r="EU5" s="2" t="str">
        <f aca="false">IF(OR(EJ5="EQL",EJ5="EQH"),J5,"")</f>
        <v/>
      </c>
      <c r="EV5" s="2" t="str">
        <f aca="false">IF(OR(EK5="EQL",EK5="EQH"),K5,"")</f>
        <v/>
      </c>
      <c r="EW5" s="2" t="str">
        <f aca="false">IF(OR(EL5="EQL",EL5="EQH"),L5,"")</f>
        <v/>
      </c>
      <c r="EX5" s="2" t="str">
        <f aca="false">IF(OR(EM5="EQL",EM5="EQH"),M5,"")</f>
        <v/>
      </c>
      <c r="EY5" s="2" t="str">
        <f aca="false">IF(OR(EN5="EQL",EN5="EQH"),N5,"")</f>
        <v/>
      </c>
      <c r="EZ5" s="2" t="str">
        <f aca="false">IF(OR(EO5="EQL",EO5="EQH"),O5,"")</f>
        <v/>
      </c>
      <c r="FA5" s="2" t="str">
        <f aca="false">IF(OR(EP5="EQL",EP5="EQH"),P5,"")</f>
        <v/>
      </c>
      <c r="FB5" s="2" t="str">
        <f aca="false">IF(OR(EQ5="EQL",EQ5="EQH"),Q5,"")</f>
        <v/>
      </c>
      <c r="FC5" s="2" t="str">
        <f aca="false">IF(AND(EG5="EQL",OR(AQ5=4,AQ5=5)),"IEQL",IF(AND(EG5="EQH",OR(AQ5=1,AQ5=2)),"IEQH",""))</f>
        <v/>
      </c>
      <c r="FD5" s="2" t="str">
        <f aca="false">IF(AND(EH5="EQL",OR(AR5=4,AR5=5)),"IEQL",IF(AND(EH5="EQH",OR(AR5=1,AR5=2)),"IEQH",""))</f>
        <v/>
      </c>
      <c r="FE5" s="2" t="str">
        <f aca="false">IF(AND(EI5="EQL",OR(AS5=4,AS5=5)),"IEQL",IF(AND(EI5="EQH",OR(AS5=1,AS5=2)),"IEQH",""))</f>
        <v/>
      </c>
      <c r="FF5" s="2" t="str">
        <f aca="false">IF(AND(EJ5="EQL",OR(AT5=4,AT5=5)),"IEQL",IF(AND(EJ5="EQH",OR(AT5=1,AT5=2)),"IEQH",""))</f>
        <v/>
      </c>
      <c r="FG5" s="2" t="str">
        <f aca="false">IF(AND(EK5="EQL",OR(AU5=4,AU5=5)),"IEQL",IF(AND(EK5="EQH",OR(AU5=1,AU5=2)),"IEQH",""))</f>
        <v/>
      </c>
      <c r="FH5" s="2" t="str">
        <f aca="false">IF(AND(EL5="EQL",OR(AV5=4,AV5=5)),"IEQL",IF(AND(EL5="EQH",OR(AV5=1,AV5=2)),"IEQH",""))</f>
        <v/>
      </c>
      <c r="FI5" s="2" t="str">
        <f aca="false">IF(AND(EM5="EQL",OR(AW5=4,AW5=5)),"IEQL",IF(AND(EM5="EQH",OR(AW5=1,AW5=2)),"IEQH",""))</f>
        <v/>
      </c>
      <c r="FJ5" s="2" t="str">
        <f aca="false">IF(AND(EN5="EQL",OR(AX5=4,AX5=5)),"IEQL",IF(AND(EN5="EQH",OR(AX5=1,AX5=2)),"IEQH",""))</f>
        <v/>
      </c>
      <c r="FK5" s="2" t="str">
        <f aca="false">IF(AND(EO5="EQL",OR(AY5=4,AY5=5)),"IEQL",IF(AND(EO5="EQH",OR(AY5=1,AY5=2)),"IEQH",""))</f>
        <v/>
      </c>
      <c r="FL5" s="2" t="str">
        <f aca="false">IF(AND(EP5="EQL",OR(AZ5=4,AZ5=5)),"IEQL",IF(AND(EP5="EQH",OR(AZ5=1,AZ5=2)),"IEQH",""))</f>
        <v/>
      </c>
      <c r="FM5" s="2" t="str">
        <f aca="false">IF(AND(EQ5="EQL",OR(BA5=4,BA5=5)),"IEQL",IF(AND(EQ5="EQH",OR(BA5=1,BA5=2)),"IEQH",""))</f>
        <v/>
      </c>
    </row>
    <row r="6" customFormat="false" ht="14.25" hidden="false" customHeight="false" outlineLevel="0" collapsed="false">
      <c r="A6" s="1" t="n">
        <v>1776335402</v>
      </c>
      <c r="B6" s="1" t="s">
        <v>169</v>
      </c>
      <c r="C6" s="1" t="s">
        <v>170</v>
      </c>
      <c r="D6" s="1" t="n">
        <v>4808.4</v>
      </c>
      <c r="E6" s="1" t="s">
        <v>171</v>
      </c>
      <c r="F6" s="1" t="n">
        <v>4805.21</v>
      </c>
      <c r="G6" s="2" t="n">
        <f aca="false">F4</f>
        <v>4787.17</v>
      </c>
      <c r="H6" s="2" t="n">
        <f aca="false">F2</f>
        <v>4786.23</v>
      </c>
      <c r="R6" s="1" t="n">
        <v>-33.17</v>
      </c>
      <c r="S6" s="2" t="n">
        <f aca="false">R4</f>
        <v>-43.22</v>
      </c>
      <c r="T6" s="2" t="n">
        <f aca="false">R2</f>
        <v>-84.99</v>
      </c>
      <c r="AD6" s="1" t="n">
        <v>-0.69</v>
      </c>
      <c r="AE6" s="2" t="n">
        <f aca="false">AD4</f>
        <v>-0.89</v>
      </c>
      <c r="AF6" s="2" t="n">
        <f aca="false">AD2</f>
        <v>-1.74</v>
      </c>
      <c r="AP6" s="1" t="n">
        <v>3</v>
      </c>
      <c r="AQ6" s="2" t="n">
        <f aca="false">AP4</f>
        <v>3</v>
      </c>
      <c r="AR6" s="2" t="n">
        <f aca="false">AP2</f>
        <v>3</v>
      </c>
      <c r="BB6" s="1" t="n">
        <v>22</v>
      </c>
      <c r="BC6" s="2" t="n">
        <f aca="false">BB4</f>
        <v>5</v>
      </c>
      <c r="BD6" s="2" t="n">
        <f aca="false">BB2</f>
        <v>34</v>
      </c>
      <c r="BN6" s="1" t="n">
        <v>3</v>
      </c>
      <c r="BO6" s="2" t="n">
        <f aca="false">BN4</f>
        <v>3</v>
      </c>
      <c r="BP6" s="2" t="n">
        <f aca="false">BN2</f>
        <v>3</v>
      </c>
      <c r="BZ6" s="1" t="n">
        <v>-1.50773</v>
      </c>
      <c r="CA6" s="2" t="n">
        <f aca="false">BZ4</f>
        <v>-8.644</v>
      </c>
      <c r="CB6" s="2" t="n">
        <f aca="false">BZ2</f>
        <v>-2.49971</v>
      </c>
      <c r="CL6" s="1" t="n">
        <v>3</v>
      </c>
      <c r="CM6" s="2" t="n">
        <f aca="false">CL4</f>
        <v>3</v>
      </c>
      <c r="CN6" s="2" t="n">
        <f aca="false">CL2</f>
        <v>3</v>
      </c>
      <c r="CX6" s="1" t="n">
        <v>-56.4457</v>
      </c>
      <c r="CY6" s="2" t="n">
        <f aca="false">CX4</f>
        <v>-83.4009</v>
      </c>
      <c r="CZ6" s="2" t="n">
        <f aca="false">CX2</f>
        <v>-68.1963</v>
      </c>
      <c r="DJ6" s="1" t="s">
        <v>175</v>
      </c>
      <c r="DK6" s="2" t="str">
        <f aca="false">DJ4</f>
        <v>HL</v>
      </c>
      <c r="DL6" s="2" t="str">
        <f aca="false">DJ2</f>
        <v>LL</v>
      </c>
      <c r="DV6" s="2" t="n">
        <f aca="false">IFERROR((G6-$F6)/$F6*100,"")</f>
        <v>-0.375425839869641</v>
      </c>
      <c r="DW6" s="2" t="n">
        <f aca="false">IFERROR((H6-$F6)/$F6*100,"")</f>
        <v>-0.39498794017328</v>
      </c>
      <c r="EG6" s="2" t="str">
        <f aca="false">IF(DV6="","",IF(AND(ABS(DV6)&lt;=0.25,$E6="Bottom",DK6="LL"),"EQL",IF(AND(ABS(DV6)&lt;=0.25,$E6="Peak",DK6="HH"),"EQH","")))</f>
        <v/>
      </c>
      <c r="EH6" s="2" t="str">
        <f aca="false">IF(DW6="","",IF(AND(ABS(DW6)&lt;=0.25,$E6="Bottom",DL6="LL"),"EQL",IF(AND(ABS(DW6)&lt;=0.25,$E6="Peak",DL6="HH"),"EQH","")))</f>
        <v/>
      </c>
      <c r="EI6" s="2" t="str">
        <f aca="false">IF(DX6="","",IF(AND(ABS(DX6)&lt;=0.25,$E6="Bottom",DM6="LL"),"EQL",IF(AND(ABS(DX6)&lt;=0.25,$E6="Peak",DM6="HH"),"EQH","")))</f>
        <v/>
      </c>
      <c r="EJ6" s="2" t="str">
        <f aca="false">IF(DY6="","",IF(AND(ABS(DY6)&lt;=0.25,$E6="Bottom",DN6="LL"),"EQL",IF(AND(ABS(DY6)&lt;=0.25,$E6="Peak",DN6="HH"),"EQH","")))</f>
        <v/>
      </c>
      <c r="EK6" s="2" t="str">
        <f aca="false">IF(DZ6="","",IF(AND(ABS(DZ6)&lt;=0.25,$E6="Bottom",DO6="LL"),"EQL",IF(AND(ABS(DZ6)&lt;=0.25,$E6="Peak",DO6="HH"),"EQH","")))</f>
        <v/>
      </c>
      <c r="EL6" s="2" t="str">
        <f aca="false">IF(EA6="","",IF(AND(ABS(EA6)&lt;=0.25,$E6="Bottom",DP6="LL"),"EQL",IF(AND(ABS(EA6)&lt;=0.25,$E6="Peak",DP6="HH"),"EQH","")))</f>
        <v/>
      </c>
      <c r="EM6" s="2" t="str">
        <f aca="false">IF(EB6="","",IF(AND(ABS(EB6)&lt;=0.25,$E6="Bottom",DQ6="LL"),"EQL",IF(AND(ABS(EB6)&lt;=0.25,$E6="Peak",DQ6="HH"),"EQH","")))</f>
        <v/>
      </c>
      <c r="EN6" s="2" t="str">
        <f aca="false">IF(EC6="","",IF(AND(ABS(EC6)&lt;=0.25,$E6="Bottom",DR6="LL"),"EQL",IF(AND(ABS(EC6)&lt;=0.25,$E6="Peak",DR6="HH"),"EQH","")))</f>
        <v/>
      </c>
      <c r="EO6" s="2" t="str">
        <f aca="false">IF(ED6="","",IF(AND(ABS(ED6)&lt;=0.25,$E6="Bottom",DS6="LL"),"EQL",IF(AND(ABS(ED6)&lt;=0.25,$E6="Peak",DS6="HH"),"EQH","")))</f>
        <v/>
      </c>
      <c r="EP6" s="2" t="str">
        <f aca="false">IF(EE6="","",IF(AND(ABS(EE6)&lt;=0.25,$E6="Bottom",DT6="LL"),"EQL",IF(AND(ABS(EE6)&lt;=0.25,$E6="Peak",DT6="HH"),"EQH","")))</f>
        <v/>
      </c>
      <c r="EQ6" s="2" t="str">
        <f aca="false">IF(EF6="","",IF(AND(ABS(EF6)&lt;=0.25,$E6="Bottom",DU6="LL"),"EQL",IF(AND(ABS(EF6)&lt;=0.25,$E6="Peak",DU6="HH"),"EQH","")))</f>
        <v/>
      </c>
      <c r="ER6" s="2" t="str">
        <f aca="false">IF(OR(EG6="EQL",EG6="EQH"),G6,"")</f>
        <v/>
      </c>
      <c r="ES6" s="2" t="str">
        <f aca="false">IF(OR(EH6="EQL",EH6="EQH"),H6,"")</f>
        <v/>
      </c>
      <c r="ET6" s="2" t="str">
        <f aca="false">IF(OR(EI6="EQL",EI6="EQH"),I6,"")</f>
        <v/>
      </c>
      <c r="EU6" s="2" t="str">
        <f aca="false">IF(OR(EJ6="EQL",EJ6="EQH"),J6,"")</f>
        <v/>
      </c>
      <c r="EV6" s="2" t="str">
        <f aca="false">IF(OR(EK6="EQL",EK6="EQH"),K6,"")</f>
        <v/>
      </c>
      <c r="EW6" s="2" t="str">
        <f aca="false">IF(OR(EL6="EQL",EL6="EQH"),L6,"")</f>
        <v/>
      </c>
      <c r="EX6" s="2" t="str">
        <f aca="false">IF(OR(EM6="EQL",EM6="EQH"),M6,"")</f>
        <v/>
      </c>
      <c r="EY6" s="2" t="str">
        <f aca="false">IF(OR(EN6="EQL",EN6="EQH"),N6,"")</f>
        <v/>
      </c>
      <c r="EZ6" s="2" t="str">
        <f aca="false">IF(OR(EO6="EQL",EO6="EQH"),O6,"")</f>
        <v/>
      </c>
      <c r="FA6" s="2" t="str">
        <f aca="false">IF(OR(EP6="EQL",EP6="EQH"),P6,"")</f>
        <v/>
      </c>
      <c r="FB6" s="2" t="str">
        <f aca="false">IF(OR(EQ6="EQL",EQ6="EQH"),Q6,"")</f>
        <v/>
      </c>
      <c r="FC6" s="2" t="str">
        <f aca="false">IF(AND(EG6="EQL",OR(AQ6=4,AQ6=5)),"IEQL",IF(AND(EG6="EQH",OR(AQ6=1,AQ6=2)),"IEQH",""))</f>
        <v/>
      </c>
      <c r="FD6" s="2" t="str">
        <f aca="false">IF(AND(EH6="EQL",OR(AR6=4,AR6=5)),"IEQL",IF(AND(EH6="EQH",OR(AR6=1,AR6=2)),"IEQH",""))</f>
        <v/>
      </c>
      <c r="FE6" s="2" t="str">
        <f aca="false">IF(AND(EI6="EQL",OR(AS6=4,AS6=5)),"IEQL",IF(AND(EI6="EQH",OR(AS6=1,AS6=2)),"IEQH",""))</f>
        <v/>
      </c>
      <c r="FF6" s="2" t="str">
        <f aca="false">IF(AND(EJ6="EQL",OR(AT6=4,AT6=5)),"IEQL",IF(AND(EJ6="EQH",OR(AT6=1,AT6=2)),"IEQH",""))</f>
        <v/>
      </c>
      <c r="FG6" s="2" t="str">
        <f aca="false">IF(AND(EK6="EQL",OR(AU6=4,AU6=5)),"IEQL",IF(AND(EK6="EQH",OR(AU6=1,AU6=2)),"IEQH",""))</f>
        <v/>
      </c>
      <c r="FH6" s="2" t="str">
        <f aca="false">IF(AND(EL6="EQL",OR(AV6=4,AV6=5)),"IEQL",IF(AND(EL6="EQH",OR(AV6=1,AV6=2)),"IEQH",""))</f>
        <v/>
      </c>
      <c r="FI6" s="2" t="str">
        <f aca="false">IF(AND(EM6="EQL",OR(AW6=4,AW6=5)),"IEQL",IF(AND(EM6="EQH",OR(AW6=1,AW6=2)),"IEQH",""))</f>
        <v/>
      </c>
      <c r="FJ6" s="2" t="str">
        <f aca="false">IF(AND(EN6="EQL",OR(AX6=4,AX6=5)),"IEQL",IF(AND(EN6="EQH",OR(AX6=1,AX6=2)),"IEQH",""))</f>
        <v/>
      </c>
      <c r="FK6" s="2" t="str">
        <f aca="false">IF(AND(EO6="EQL",OR(AY6=4,AY6=5)),"IEQL",IF(AND(EO6="EQH",OR(AY6=1,AY6=2)),"IEQH",""))</f>
        <v/>
      </c>
      <c r="FL6" s="2" t="str">
        <f aca="false">IF(AND(EP6="EQL",OR(AZ6=4,AZ6=5)),"IEQL",IF(AND(EP6="EQH",OR(AZ6=1,AZ6=2)),"IEQH",""))</f>
        <v/>
      </c>
      <c r="FM6" s="2" t="str">
        <f aca="false">IF(AND(EQ6="EQL",OR(BA6=4,BA6=5)),"IEQL",IF(AND(EQ6="EQH",OR(BA6=1,BA6=2)),"IEQH",""))</f>
        <v/>
      </c>
    </row>
    <row r="7" customFormat="false" ht="14.25" hidden="false" customHeight="false" outlineLevel="0" collapsed="false">
      <c r="A7" s="1" t="n">
        <v>1776346202</v>
      </c>
      <c r="B7" s="1" t="s">
        <v>169</v>
      </c>
      <c r="C7" s="1" t="s">
        <v>170</v>
      </c>
      <c r="D7" s="1" t="n">
        <v>4816.26</v>
      </c>
      <c r="E7" s="1" t="s">
        <v>173</v>
      </c>
      <c r="F7" s="1" t="n">
        <v>4823.81</v>
      </c>
      <c r="G7" s="2" t="n">
        <f aca="false">F5</f>
        <v>4838.38</v>
      </c>
      <c r="H7" s="2" t="n">
        <f aca="false">F3</f>
        <v>4830.39</v>
      </c>
      <c r="R7" s="1" t="n">
        <v>18.6</v>
      </c>
      <c r="S7" s="2" t="n">
        <f aca="false">R5</f>
        <v>51.21</v>
      </c>
      <c r="T7" s="2" t="n">
        <f aca="false">R3</f>
        <v>44.16</v>
      </c>
      <c r="AD7" s="1" t="n">
        <v>0.39</v>
      </c>
      <c r="AE7" s="2" t="n">
        <f aca="false">AD5</f>
        <v>1.07</v>
      </c>
      <c r="AF7" s="2" t="n">
        <f aca="false">AD3</f>
        <v>0.92</v>
      </c>
      <c r="AP7" s="1" t="n">
        <v>0</v>
      </c>
      <c r="AQ7" s="2" t="n">
        <f aca="false">AP5</f>
        <v>0</v>
      </c>
      <c r="AR7" s="2" t="n">
        <f aca="false">AP3</f>
        <v>0</v>
      </c>
      <c r="BB7" s="1" t="n">
        <v>12</v>
      </c>
      <c r="BC7" s="2" t="n">
        <f aca="false">BB5</f>
        <v>50</v>
      </c>
      <c r="BD7" s="2" t="n">
        <f aca="false">BB3</f>
        <v>18</v>
      </c>
      <c r="BN7" s="1" t="n">
        <v>0</v>
      </c>
      <c r="BO7" s="2" t="n">
        <f aca="false">BN5</f>
        <v>2</v>
      </c>
      <c r="BP7" s="2" t="n">
        <f aca="false">BN3</f>
        <v>0</v>
      </c>
      <c r="BZ7" s="1" t="n">
        <v>1.55</v>
      </c>
      <c r="CA7" s="2" t="n">
        <f aca="false">BZ5</f>
        <v>1.0242</v>
      </c>
      <c r="CB7" s="2" t="n">
        <f aca="false">BZ3</f>
        <v>2.45333</v>
      </c>
      <c r="CL7" s="1" t="n">
        <v>0</v>
      </c>
      <c r="CM7" s="2" t="n">
        <f aca="false">CL5</f>
        <v>0</v>
      </c>
      <c r="CN7" s="2" t="n">
        <f aca="false">CL3</f>
        <v>0</v>
      </c>
      <c r="CX7" s="1" t="n">
        <v>57.1715</v>
      </c>
      <c r="CY7" s="2" t="n">
        <f aca="false">CX5</f>
        <v>45.685</v>
      </c>
      <c r="CZ7" s="2" t="n">
        <f aca="false">CX3</f>
        <v>67.8238</v>
      </c>
      <c r="DJ7" s="1" t="s">
        <v>174</v>
      </c>
      <c r="DK7" s="2" t="str">
        <f aca="false">DJ5</f>
        <v>HH</v>
      </c>
      <c r="DL7" s="2" t="str">
        <f aca="false">DJ3</f>
        <v>LH</v>
      </c>
      <c r="DV7" s="2" t="n">
        <f aca="false">IFERROR((G7-$F7)/$F7*100,"")</f>
        <v>0.302043405523843</v>
      </c>
      <c r="DW7" s="2" t="n">
        <f aca="false">IFERROR((H7-$F7)/$F7*100,"")</f>
        <v>0.136406699268834</v>
      </c>
      <c r="EG7" s="2" t="str">
        <f aca="false">IF(DV7="","",IF(AND(ABS(DV7)&lt;=0.25,$E7="Bottom",DK7="LL"),"EQL",IF(AND(ABS(DV7)&lt;=0.25,$E7="Peak",DK7="HH"),"EQH","")))</f>
        <v/>
      </c>
      <c r="EH7" s="2" t="str">
        <f aca="false">IF(DW7="","",IF(AND(ABS(DW7)&lt;=0.25,$E7="Bottom",DL7="LL"),"EQL",IF(AND(ABS(DW7)&lt;=0.25,$E7="Peak",DL7="HH"),"EQH","")))</f>
        <v/>
      </c>
      <c r="EI7" s="2" t="str">
        <f aca="false">IF(DX7="","",IF(AND(ABS(DX7)&lt;=0.25,$E7="Bottom",DM7="LL"),"EQL",IF(AND(ABS(DX7)&lt;=0.25,$E7="Peak",DM7="HH"),"EQH","")))</f>
        <v/>
      </c>
      <c r="EJ7" s="2" t="str">
        <f aca="false">IF(DY7="","",IF(AND(ABS(DY7)&lt;=0.25,$E7="Bottom",DN7="LL"),"EQL",IF(AND(ABS(DY7)&lt;=0.25,$E7="Peak",DN7="HH"),"EQH","")))</f>
        <v/>
      </c>
      <c r="EK7" s="2" t="str">
        <f aca="false">IF(DZ7="","",IF(AND(ABS(DZ7)&lt;=0.25,$E7="Bottom",DO7="LL"),"EQL",IF(AND(ABS(DZ7)&lt;=0.25,$E7="Peak",DO7="HH"),"EQH","")))</f>
        <v/>
      </c>
      <c r="EL7" s="2" t="str">
        <f aca="false">IF(EA7="","",IF(AND(ABS(EA7)&lt;=0.25,$E7="Bottom",DP7="LL"),"EQL",IF(AND(ABS(EA7)&lt;=0.25,$E7="Peak",DP7="HH"),"EQH","")))</f>
        <v/>
      </c>
      <c r="EM7" s="2" t="str">
        <f aca="false">IF(EB7="","",IF(AND(ABS(EB7)&lt;=0.25,$E7="Bottom",DQ7="LL"),"EQL",IF(AND(ABS(EB7)&lt;=0.25,$E7="Peak",DQ7="HH"),"EQH","")))</f>
        <v/>
      </c>
      <c r="EN7" s="2" t="str">
        <f aca="false">IF(EC7="","",IF(AND(ABS(EC7)&lt;=0.25,$E7="Bottom",DR7="LL"),"EQL",IF(AND(ABS(EC7)&lt;=0.25,$E7="Peak",DR7="HH"),"EQH","")))</f>
        <v/>
      </c>
      <c r="EO7" s="2" t="str">
        <f aca="false">IF(ED7="","",IF(AND(ABS(ED7)&lt;=0.25,$E7="Bottom",DS7="LL"),"EQL",IF(AND(ABS(ED7)&lt;=0.25,$E7="Peak",DS7="HH"),"EQH","")))</f>
        <v/>
      </c>
      <c r="EP7" s="2" t="str">
        <f aca="false">IF(EE7="","",IF(AND(ABS(EE7)&lt;=0.25,$E7="Bottom",DT7="LL"),"EQL",IF(AND(ABS(EE7)&lt;=0.25,$E7="Peak",DT7="HH"),"EQH","")))</f>
        <v/>
      </c>
      <c r="EQ7" s="2" t="str">
        <f aca="false">IF(EF7="","",IF(AND(ABS(EF7)&lt;=0.25,$E7="Bottom",DU7="LL"),"EQL",IF(AND(ABS(EF7)&lt;=0.25,$E7="Peak",DU7="HH"),"EQH","")))</f>
        <v/>
      </c>
      <c r="ER7" s="2" t="str">
        <f aca="false">IF(OR(EG7="EQL",EG7="EQH"),G7,"")</f>
        <v/>
      </c>
      <c r="ES7" s="2" t="str">
        <f aca="false">IF(OR(EH7="EQL",EH7="EQH"),H7,"")</f>
        <v/>
      </c>
      <c r="ET7" s="2" t="str">
        <f aca="false">IF(OR(EI7="EQL",EI7="EQH"),I7,"")</f>
        <v/>
      </c>
      <c r="EU7" s="2" t="str">
        <f aca="false">IF(OR(EJ7="EQL",EJ7="EQH"),J7,"")</f>
        <v/>
      </c>
      <c r="EV7" s="2" t="str">
        <f aca="false">IF(OR(EK7="EQL",EK7="EQH"),K7,"")</f>
        <v/>
      </c>
      <c r="EW7" s="2" t="str">
        <f aca="false">IF(OR(EL7="EQL",EL7="EQH"),L7,"")</f>
        <v/>
      </c>
      <c r="EX7" s="2" t="str">
        <f aca="false">IF(OR(EM7="EQL",EM7="EQH"),M7,"")</f>
        <v/>
      </c>
      <c r="EY7" s="2" t="str">
        <f aca="false">IF(OR(EN7="EQL",EN7="EQH"),N7,"")</f>
        <v/>
      </c>
      <c r="EZ7" s="2" t="str">
        <f aca="false">IF(OR(EO7="EQL",EO7="EQH"),O7,"")</f>
        <v/>
      </c>
      <c r="FA7" s="2" t="str">
        <f aca="false">IF(OR(EP7="EQL",EP7="EQH"),P7,"")</f>
        <v/>
      </c>
      <c r="FB7" s="2" t="str">
        <f aca="false">IF(OR(EQ7="EQL",EQ7="EQH"),Q7,"")</f>
        <v/>
      </c>
      <c r="FC7" s="2" t="str">
        <f aca="false">IF(AND(EG7="EQL",OR(AQ7=4,AQ7=5)),"IEQL",IF(AND(EG7="EQH",OR(AQ7=1,AQ7=2)),"IEQH",""))</f>
        <v/>
      </c>
      <c r="FD7" s="2" t="str">
        <f aca="false">IF(AND(EH7="EQL",OR(AR7=4,AR7=5)),"IEQL",IF(AND(EH7="EQH",OR(AR7=1,AR7=2)),"IEQH",""))</f>
        <v/>
      </c>
      <c r="FE7" s="2" t="str">
        <f aca="false">IF(AND(EI7="EQL",OR(AS7=4,AS7=5)),"IEQL",IF(AND(EI7="EQH",OR(AS7=1,AS7=2)),"IEQH",""))</f>
        <v/>
      </c>
      <c r="FF7" s="2" t="str">
        <f aca="false">IF(AND(EJ7="EQL",OR(AT7=4,AT7=5)),"IEQL",IF(AND(EJ7="EQH",OR(AT7=1,AT7=2)),"IEQH",""))</f>
        <v/>
      </c>
      <c r="FG7" s="2" t="str">
        <f aca="false">IF(AND(EK7="EQL",OR(AU7=4,AU7=5)),"IEQL",IF(AND(EK7="EQH",OR(AU7=1,AU7=2)),"IEQH",""))</f>
        <v/>
      </c>
      <c r="FH7" s="2" t="str">
        <f aca="false">IF(AND(EL7="EQL",OR(AV7=4,AV7=5)),"IEQL",IF(AND(EL7="EQH",OR(AV7=1,AV7=2)),"IEQH",""))</f>
        <v/>
      </c>
      <c r="FI7" s="2" t="str">
        <f aca="false">IF(AND(EM7="EQL",OR(AW7=4,AW7=5)),"IEQL",IF(AND(EM7="EQH",OR(AW7=1,AW7=2)),"IEQH",""))</f>
        <v/>
      </c>
      <c r="FJ7" s="2" t="str">
        <f aca="false">IF(AND(EN7="EQL",OR(AX7=4,AX7=5)),"IEQL",IF(AND(EN7="EQH",OR(AX7=1,AX7=2)),"IEQH",""))</f>
        <v/>
      </c>
      <c r="FK7" s="2" t="str">
        <f aca="false">IF(AND(EO7="EQL",OR(AY7=4,AY7=5)),"IEQL",IF(AND(EO7="EQH",OR(AY7=1,AY7=2)),"IEQH",""))</f>
        <v/>
      </c>
      <c r="FL7" s="2" t="str">
        <f aca="false">IF(AND(EP7="EQL",OR(AZ7=4,AZ7=5)),"IEQL",IF(AND(EP7="EQH",OR(AZ7=1,AZ7=2)),"IEQH",""))</f>
        <v/>
      </c>
      <c r="FM7" s="2" t="str">
        <f aca="false">IF(AND(EQ7="EQL",OR(BA7=4,BA7=5)),"IEQL",IF(AND(EQ7="EQH",OR(BA7=1,BA7=2)),"IEQH",""))</f>
        <v/>
      </c>
    </row>
    <row r="8" customFormat="false" ht="14.25" hidden="false" customHeight="false" outlineLevel="0" collapsed="false">
      <c r="A8" s="1" t="n">
        <v>1776349802</v>
      </c>
      <c r="B8" s="1" t="s">
        <v>169</v>
      </c>
      <c r="C8" s="1" t="s">
        <v>170</v>
      </c>
      <c r="D8" s="1" t="n">
        <v>4787.73</v>
      </c>
      <c r="E8" s="1" t="s">
        <v>171</v>
      </c>
      <c r="F8" s="1" t="n">
        <v>4772.67</v>
      </c>
      <c r="G8" s="2" t="n">
        <f aca="false">F6</f>
        <v>4805.21</v>
      </c>
      <c r="H8" s="2" t="n">
        <f aca="false">F4</f>
        <v>4787.17</v>
      </c>
      <c r="I8" s="2" t="n">
        <f aca="false">F2</f>
        <v>4786.23</v>
      </c>
      <c r="R8" s="1" t="n">
        <v>-51.14</v>
      </c>
      <c r="S8" s="2" t="n">
        <f aca="false">R6</f>
        <v>-33.17</v>
      </c>
      <c r="T8" s="2" t="n">
        <f aca="false">R4</f>
        <v>-43.22</v>
      </c>
      <c r="U8" s="2" t="n">
        <f aca="false">R2</f>
        <v>-84.99</v>
      </c>
      <c r="AD8" s="1" t="n">
        <v>-1.06</v>
      </c>
      <c r="AE8" s="2" t="n">
        <f aca="false">AD6</f>
        <v>-0.69</v>
      </c>
      <c r="AF8" s="2" t="n">
        <f aca="false">AD4</f>
        <v>-0.89</v>
      </c>
      <c r="AG8" s="2" t="n">
        <f aca="false">AD2</f>
        <v>-1.74</v>
      </c>
      <c r="AP8" s="1" t="n">
        <v>3</v>
      </c>
      <c r="AQ8" s="2" t="n">
        <f aca="false">AP6</f>
        <v>3</v>
      </c>
      <c r="AR8" s="2" t="n">
        <f aca="false">AP4</f>
        <v>3</v>
      </c>
      <c r="AS8" s="2" t="n">
        <f aca="false">AP2</f>
        <v>3</v>
      </c>
      <c r="BB8" s="1" t="n">
        <v>4</v>
      </c>
      <c r="BC8" s="2" t="n">
        <f aca="false">BB6</f>
        <v>22</v>
      </c>
      <c r="BD8" s="2" t="n">
        <f aca="false">BB4</f>
        <v>5</v>
      </c>
      <c r="BE8" s="2" t="n">
        <f aca="false">BB2</f>
        <v>34</v>
      </c>
      <c r="BN8" s="1" t="n">
        <v>3</v>
      </c>
      <c r="BO8" s="2" t="n">
        <f aca="false">BN6</f>
        <v>3</v>
      </c>
      <c r="BP8" s="2" t="n">
        <f aca="false">BN4</f>
        <v>3</v>
      </c>
      <c r="BQ8" s="2" t="n">
        <f aca="false">BN2</f>
        <v>3</v>
      </c>
      <c r="BZ8" s="1" t="n">
        <v>-12.785</v>
      </c>
      <c r="CA8" s="2" t="n">
        <f aca="false">BZ6</f>
        <v>-1.50773</v>
      </c>
      <c r="CB8" s="2" t="n">
        <f aca="false">BZ4</f>
        <v>-8.644</v>
      </c>
      <c r="CC8" s="2" t="n">
        <f aca="false">BZ2</f>
        <v>-2.49971</v>
      </c>
      <c r="CL8" s="1" t="n">
        <v>5</v>
      </c>
      <c r="CM8" s="2" t="n">
        <f aca="false">CL6</f>
        <v>3</v>
      </c>
      <c r="CN8" s="2" t="n">
        <f aca="false">CL4</f>
        <v>3</v>
      </c>
      <c r="CO8" s="2" t="n">
        <f aca="false">CL2</f>
        <v>3</v>
      </c>
      <c r="CX8" s="1" t="n">
        <v>-85.5276</v>
      </c>
      <c r="CY8" s="2" t="n">
        <f aca="false">CX6</f>
        <v>-56.4457</v>
      </c>
      <c r="CZ8" s="2" t="n">
        <f aca="false">CX4</f>
        <v>-83.4009</v>
      </c>
      <c r="DA8" s="2" t="n">
        <f aca="false">CX2</f>
        <v>-68.1963</v>
      </c>
      <c r="DJ8" s="1" t="s">
        <v>172</v>
      </c>
      <c r="DK8" s="2" t="str">
        <f aca="false">DJ6</f>
        <v>HL</v>
      </c>
      <c r="DL8" s="2" t="str">
        <f aca="false">DJ4</f>
        <v>HL</v>
      </c>
      <c r="DM8" s="2" t="str">
        <f aca="false">DJ2</f>
        <v>LL</v>
      </c>
      <c r="DV8" s="2" t="n">
        <f aca="false">IFERROR((G8-$F8)/$F8*100,"")</f>
        <v>0.681798657774369</v>
      </c>
      <c r="DW8" s="2" t="n">
        <f aca="false">IFERROR((H8-$F8)/$F8*100,"")</f>
        <v>0.303813169567559</v>
      </c>
      <c r="DX8" s="2" t="n">
        <f aca="false">IFERROR((I8-$F8)/$F8*100,"")</f>
        <v>0.284117695126617</v>
      </c>
      <c r="EG8" s="2" t="str">
        <f aca="false">IF(DV8="","",IF(AND(ABS(DV8)&lt;=0.25,$E8="Bottom",DK8="LL"),"EQL",IF(AND(ABS(DV8)&lt;=0.25,$E8="Peak",DK8="HH"),"EQH","")))</f>
        <v/>
      </c>
      <c r="EH8" s="2" t="str">
        <f aca="false">IF(DW8="","",IF(AND(ABS(DW8)&lt;=0.25,$E8="Bottom",DL8="LL"),"EQL",IF(AND(ABS(DW8)&lt;=0.25,$E8="Peak",DL8="HH"),"EQH","")))</f>
        <v/>
      </c>
      <c r="EI8" s="2" t="str">
        <f aca="false">IF(DX8="","",IF(AND(ABS(DX8)&lt;=0.25,$E8="Bottom",DM8="LL"),"EQL",IF(AND(ABS(DX8)&lt;=0.25,$E8="Peak",DM8="HH"),"EQH","")))</f>
        <v/>
      </c>
      <c r="EJ8" s="2" t="str">
        <f aca="false">IF(DY8="","",IF(AND(ABS(DY8)&lt;=0.25,$E8="Bottom",DN8="LL"),"EQL",IF(AND(ABS(DY8)&lt;=0.25,$E8="Peak",DN8="HH"),"EQH","")))</f>
        <v/>
      </c>
      <c r="EK8" s="2" t="str">
        <f aca="false">IF(DZ8="","",IF(AND(ABS(DZ8)&lt;=0.25,$E8="Bottom",DO8="LL"),"EQL",IF(AND(ABS(DZ8)&lt;=0.25,$E8="Peak",DO8="HH"),"EQH","")))</f>
        <v/>
      </c>
      <c r="EL8" s="2" t="str">
        <f aca="false">IF(EA8="","",IF(AND(ABS(EA8)&lt;=0.25,$E8="Bottom",DP8="LL"),"EQL",IF(AND(ABS(EA8)&lt;=0.25,$E8="Peak",DP8="HH"),"EQH","")))</f>
        <v/>
      </c>
      <c r="EM8" s="2" t="str">
        <f aca="false">IF(EB8="","",IF(AND(ABS(EB8)&lt;=0.25,$E8="Bottom",DQ8="LL"),"EQL",IF(AND(ABS(EB8)&lt;=0.25,$E8="Peak",DQ8="HH"),"EQH","")))</f>
        <v/>
      </c>
      <c r="EN8" s="2" t="str">
        <f aca="false">IF(EC8="","",IF(AND(ABS(EC8)&lt;=0.25,$E8="Bottom",DR8="LL"),"EQL",IF(AND(ABS(EC8)&lt;=0.25,$E8="Peak",DR8="HH"),"EQH","")))</f>
        <v/>
      </c>
      <c r="EO8" s="2" t="str">
        <f aca="false">IF(ED8="","",IF(AND(ABS(ED8)&lt;=0.25,$E8="Bottom",DS8="LL"),"EQL",IF(AND(ABS(ED8)&lt;=0.25,$E8="Peak",DS8="HH"),"EQH","")))</f>
        <v/>
      </c>
      <c r="EP8" s="2" t="str">
        <f aca="false">IF(EE8="","",IF(AND(ABS(EE8)&lt;=0.25,$E8="Bottom",DT8="LL"),"EQL",IF(AND(ABS(EE8)&lt;=0.25,$E8="Peak",DT8="HH"),"EQH","")))</f>
        <v/>
      </c>
      <c r="EQ8" s="2" t="str">
        <f aca="false">IF(EF8="","",IF(AND(ABS(EF8)&lt;=0.25,$E8="Bottom",DU8="LL"),"EQL",IF(AND(ABS(EF8)&lt;=0.25,$E8="Peak",DU8="HH"),"EQH","")))</f>
        <v/>
      </c>
      <c r="ER8" s="2" t="str">
        <f aca="false">IF(OR(EG8="EQL",EG8="EQH"),G8,"")</f>
        <v/>
      </c>
      <c r="ES8" s="2" t="str">
        <f aca="false">IF(OR(EH8="EQL",EH8="EQH"),H8,"")</f>
        <v/>
      </c>
      <c r="ET8" s="2" t="str">
        <f aca="false">IF(OR(EI8="EQL",EI8="EQH"),I8,"")</f>
        <v/>
      </c>
      <c r="EU8" s="2" t="str">
        <f aca="false">IF(OR(EJ8="EQL",EJ8="EQH"),J8,"")</f>
        <v/>
      </c>
      <c r="EV8" s="2" t="str">
        <f aca="false">IF(OR(EK8="EQL",EK8="EQH"),K8,"")</f>
        <v/>
      </c>
      <c r="EW8" s="2" t="str">
        <f aca="false">IF(OR(EL8="EQL",EL8="EQH"),L8,"")</f>
        <v/>
      </c>
      <c r="EX8" s="2" t="str">
        <f aca="false">IF(OR(EM8="EQL",EM8="EQH"),M8,"")</f>
        <v/>
      </c>
      <c r="EY8" s="2" t="str">
        <f aca="false">IF(OR(EN8="EQL",EN8="EQH"),N8,"")</f>
        <v/>
      </c>
      <c r="EZ8" s="2" t="str">
        <f aca="false">IF(OR(EO8="EQL",EO8="EQH"),O8,"")</f>
        <v/>
      </c>
      <c r="FA8" s="2" t="str">
        <f aca="false">IF(OR(EP8="EQL",EP8="EQH"),P8,"")</f>
        <v/>
      </c>
      <c r="FB8" s="2" t="str">
        <f aca="false">IF(OR(EQ8="EQL",EQ8="EQH"),Q8,"")</f>
        <v/>
      </c>
      <c r="FC8" s="2" t="str">
        <f aca="false">IF(AND(EG8="EQL",OR(AQ8=4,AQ8=5)),"IEQL",IF(AND(EG8="EQH",OR(AQ8=1,AQ8=2)),"IEQH",""))</f>
        <v/>
      </c>
      <c r="FD8" s="2" t="str">
        <f aca="false">IF(AND(EH8="EQL",OR(AR8=4,AR8=5)),"IEQL",IF(AND(EH8="EQH",OR(AR8=1,AR8=2)),"IEQH",""))</f>
        <v/>
      </c>
      <c r="FE8" s="2" t="str">
        <f aca="false">IF(AND(EI8="EQL",OR(AS8=4,AS8=5)),"IEQL",IF(AND(EI8="EQH",OR(AS8=1,AS8=2)),"IEQH",""))</f>
        <v/>
      </c>
      <c r="FF8" s="2" t="str">
        <f aca="false">IF(AND(EJ8="EQL",OR(AT8=4,AT8=5)),"IEQL",IF(AND(EJ8="EQH",OR(AT8=1,AT8=2)),"IEQH",""))</f>
        <v/>
      </c>
      <c r="FG8" s="2" t="str">
        <f aca="false">IF(AND(EK8="EQL",OR(AU8=4,AU8=5)),"IEQL",IF(AND(EK8="EQH",OR(AU8=1,AU8=2)),"IEQH",""))</f>
        <v/>
      </c>
      <c r="FH8" s="2" t="str">
        <f aca="false">IF(AND(EL8="EQL",OR(AV8=4,AV8=5)),"IEQL",IF(AND(EL8="EQH",OR(AV8=1,AV8=2)),"IEQH",""))</f>
        <v/>
      </c>
      <c r="FI8" s="2" t="str">
        <f aca="false">IF(AND(EM8="EQL",OR(AW8=4,AW8=5)),"IEQL",IF(AND(EM8="EQH",OR(AW8=1,AW8=2)),"IEQH",""))</f>
        <v/>
      </c>
      <c r="FJ8" s="2" t="str">
        <f aca="false">IF(AND(EN8="EQL",OR(AX8=4,AX8=5)),"IEQL",IF(AND(EN8="EQH",OR(AX8=1,AX8=2)),"IEQH",""))</f>
        <v/>
      </c>
      <c r="FK8" s="2" t="str">
        <f aca="false">IF(AND(EO8="EQL",OR(AY8=4,AY8=5)),"IEQL",IF(AND(EO8="EQH",OR(AY8=1,AY8=2)),"IEQH",""))</f>
        <v/>
      </c>
      <c r="FL8" s="2" t="str">
        <f aca="false">IF(AND(EP8="EQL",OR(AZ8=4,AZ8=5)),"IEQL",IF(AND(EP8="EQH",OR(AZ8=1,AZ8=2)),"IEQH",""))</f>
        <v/>
      </c>
      <c r="FM8" s="2" t="str">
        <f aca="false">IF(AND(EQ8="EQL",OR(BA8=4,BA8=5)),"IEQL",IF(AND(EQ8="EQH",OR(BA8=1,BA8=2)),"IEQH",""))</f>
        <v/>
      </c>
    </row>
    <row r="9" customFormat="false" ht="14.25" hidden="false" customHeight="false" outlineLevel="0" collapsed="false">
      <c r="A9" s="1" t="n">
        <v>1776368702</v>
      </c>
      <c r="B9" s="1" t="s">
        <v>169</v>
      </c>
      <c r="C9" s="1" t="s">
        <v>170</v>
      </c>
      <c r="D9" s="1" t="n">
        <v>4793.52</v>
      </c>
      <c r="E9" s="1" t="s">
        <v>173</v>
      </c>
      <c r="F9" s="1" t="n">
        <v>4798.58</v>
      </c>
      <c r="G9" s="2" t="n">
        <f aca="false">F7</f>
        <v>4823.81</v>
      </c>
      <c r="H9" s="2" t="n">
        <f aca="false">F5</f>
        <v>4838.38</v>
      </c>
      <c r="I9" s="2" t="n">
        <f aca="false">F3</f>
        <v>4830.39</v>
      </c>
      <c r="R9" s="1" t="n">
        <v>25.91</v>
      </c>
      <c r="S9" s="2" t="n">
        <f aca="false">R7</f>
        <v>18.6</v>
      </c>
      <c r="T9" s="2" t="n">
        <f aca="false">R5</f>
        <v>51.21</v>
      </c>
      <c r="U9" s="2" t="n">
        <f aca="false">R3</f>
        <v>44.16</v>
      </c>
      <c r="AD9" s="1" t="n">
        <v>0.54</v>
      </c>
      <c r="AE9" s="2" t="n">
        <f aca="false">AD7</f>
        <v>0.39</v>
      </c>
      <c r="AF9" s="2" t="n">
        <f aca="false">AD5</f>
        <v>1.07</v>
      </c>
      <c r="AG9" s="2" t="n">
        <f aca="false">AD3</f>
        <v>0.92</v>
      </c>
      <c r="AP9" s="1" t="n">
        <v>0</v>
      </c>
      <c r="AQ9" s="2" t="n">
        <f aca="false">AP7</f>
        <v>0</v>
      </c>
      <c r="AR9" s="2" t="n">
        <f aca="false">AP5</f>
        <v>0</v>
      </c>
      <c r="AS9" s="2" t="n">
        <f aca="false">AP3</f>
        <v>0</v>
      </c>
      <c r="BB9" s="1" t="n">
        <v>21</v>
      </c>
      <c r="BC9" s="2" t="n">
        <f aca="false">BB7</f>
        <v>12</v>
      </c>
      <c r="BD9" s="2" t="n">
        <f aca="false">BB5</f>
        <v>50</v>
      </c>
      <c r="BE9" s="2" t="n">
        <f aca="false">BB3</f>
        <v>18</v>
      </c>
      <c r="BN9" s="1" t="n">
        <v>0</v>
      </c>
      <c r="BO9" s="2" t="n">
        <f aca="false">BN7</f>
        <v>0</v>
      </c>
      <c r="BP9" s="2" t="n">
        <f aca="false">BN5</f>
        <v>2</v>
      </c>
      <c r="BQ9" s="2" t="n">
        <f aca="false">BN3</f>
        <v>0</v>
      </c>
      <c r="BZ9" s="1" t="n">
        <v>1.23381</v>
      </c>
      <c r="CA9" s="2" t="n">
        <f aca="false">BZ7</f>
        <v>1.55</v>
      </c>
      <c r="CB9" s="2" t="n">
        <f aca="false">BZ5</f>
        <v>1.0242</v>
      </c>
      <c r="CC9" s="2" t="n">
        <f aca="false">BZ3</f>
        <v>2.45333</v>
      </c>
      <c r="CL9" s="1" t="n">
        <v>0</v>
      </c>
      <c r="CM9" s="2" t="n">
        <f aca="false">CL7</f>
        <v>0</v>
      </c>
      <c r="CN9" s="2" t="n">
        <f aca="false">CL5</f>
        <v>0</v>
      </c>
      <c r="CO9" s="2" t="n">
        <f aca="false">CL3</f>
        <v>0</v>
      </c>
      <c r="CX9" s="1" t="n">
        <v>50.9753</v>
      </c>
      <c r="CY9" s="2" t="n">
        <f aca="false">CX7</f>
        <v>57.1715</v>
      </c>
      <c r="CZ9" s="2" t="n">
        <f aca="false">CX5</f>
        <v>45.685</v>
      </c>
      <c r="DA9" s="2" t="n">
        <f aca="false">CX3</f>
        <v>67.8238</v>
      </c>
      <c r="DJ9" s="1" t="s">
        <v>174</v>
      </c>
      <c r="DK9" s="2" t="str">
        <f aca="false">DJ7</f>
        <v>LH</v>
      </c>
      <c r="DL9" s="2" t="str">
        <f aca="false">DJ5</f>
        <v>HH</v>
      </c>
      <c r="DM9" s="2" t="str">
        <f aca="false">DJ3</f>
        <v>LH</v>
      </c>
      <c r="DV9" s="2" t="n">
        <f aca="false">IFERROR((G9-$F9)/$F9*100,"")</f>
        <v>0.525780543410769</v>
      </c>
      <c r="DW9" s="2" t="n">
        <f aca="false">IFERROR((H9-$F9)/$F9*100,"")</f>
        <v>0.829412034393512</v>
      </c>
      <c r="DX9" s="2" t="n">
        <f aca="false">IFERROR((I9-$F9)/$F9*100,"")</f>
        <v>0.662904442564267</v>
      </c>
      <c r="EG9" s="2" t="str">
        <f aca="false">IF(DV9="","",IF(AND(ABS(DV9)&lt;=0.25,$E9="Bottom",DK9="LL"),"EQL",IF(AND(ABS(DV9)&lt;=0.25,$E9="Peak",DK9="HH"),"EQH","")))</f>
        <v/>
      </c>
      <c r="EH9" s="2" t="str">
        <f aca="false">IF(DW9="","",IF(AND(ABS(DW9)&lt;=0.25,$E9="Bottom",DL9="LL"),"EQL",IF(AND(ABS(DW9)&lt;=0.25,$E9="Peak",DL9="HH"),"EQH","")))</f>
        <v/>
      </c>
      <c r="EI9" s="2" t="str">
        <f aca="false">IF(DX9="","",IF(AND(ABS(DX9)&lt;=0.25,$E9="Bottom",DM9="LL"),"EQL",IF(AND(ABS(DX9)&lt;=0.25,$E9="Peak",DM9="HH"),"EQH","")))</f>
        <v/>
      </c>
      <c r="EJ9" s="2" t="str">
        <f aca="false">IF(DY9="","",IF(AND(ABS(DY9)&lt;=0.25,$E9="Bottom",DN9="LL"),"EQL",IF(AND(ABS(DY9)&lt;=0.25,$E9="Peak",DN9="HH"),"EQH","")))</f>
        <v/>
      </c>
      <c r="EK9" s="2" t="str">
        <f aca="false">IF(DZ9="","",IF(AND(ABS(DZ9)&lt;=0.25,$E9="Bottom",DO9="LL"),"EQL",IF(AND(ABS(DZ9)&lt;=0.25,$E9="Peak",DO9="HH"),"EQH","")))</f>
        <v/>
      </c>
      <c r="EL9" s="2" t="str">
        <f aca="false">IF(EA9="","",IF(AND(ABS(EA9)&lt;=0.25,$E9="Bottom",DP9="LL"),"EQL",IF(AND(ABS(EA9)&lt;=0.25,$E9="Peak",DP9="HH"),"EQH","")))</f>
        <v/>
      </c>
      <c r="EM9" s="2" t="str">
        <f aca="false">IF(EB9="","",IF(AND(ABS(EB9)&lt;=0.25,$E9="Bottom",DQ9="LL"),"EQL",IF(AND(ABS(EB9)&lt;=0.25,$E9="Peak",DQ9="HH"),"EQH","")))</f>
        <v/>
      </c>
      <c r="EN9" s="2" t="str">
        <f aca="false">IF(EC9="","",IF(AND(ABS(EC9)&lt;=0.25,$E9="Bottom",DR9="LL"),"EQL",IF(AND(ABS(EC9)&lt;=0.25,$E9="Peak",DR9="HH"),"EQH","")))</f>
        <v/>
      </c>
      <c r="EO9" s="2" t="str">
        <f aca="false">IF(ED9="","",IF(AND(ABS(ED9)&lt;=0.25,$E9="Bottom",DS9="LL"),"EQL",IF(AND(ABS(ED9)&lt;=0.25,$E9="Peak",DS9="HH"),"EQH","")))</f>
        <v/>
      </c>
      <c r="EP9" s="2" t="str">
        <f aca="false">IF(EE9="","",IF(AND(ABS(EE9)&lt;=0.25,$E9="Bottom",DT9="LL"),"EQL",IF(AND(ABS(EE9)&lt;=0.25,$E9="Peak",DT9="HH"),"EQH","")))</f>
        <v/>
      </c>
      <c r="EQ9" s="2" t="str">
        <f aca="false">IF(EF9="","",IF(AND(ABS(EF9)&lt;=0.25,$E9="Bottom",DU9="LL"),"EQL",IF(AND(ABS(EF9)&lt;=0.25,$E9="Peak",DU9="HH"),"EQH","")))</f>
        <v/>
      </c>
      <c r="ER9" s="2" t="str">
        <f aca="false">IF(OR(EG9="EQL",EG9="EQH"),G9,"")</f>
        <v/>
      </c>
      <c r="ES9" s="2" t="str">
        <f aca="false">IF(OR(EH9="EQL",EH9="EQH"),H9,"")</f>
        <v/>
      </c>
      <c r="ET9" s="2" t="str">
        <f aca="false">IF(OR(EI9="EQL",EI9="EQH"),I9,"")</f>
        <v/>
      </c>
      <c r="EU9" s="2" t="str">
        <f aca="false">IF(OR(EJ9="EQL",EJ9="EQH"),J9,"")</f>
        <v/>
      </c>
      <c r="EV9" s="2" t="str">
        <f aca="false">IF(OR(EK9="EQL",EK9="EQH"),K9,"")</f>
        <v/>
      </c>
      <c r="EW9" s="2" t="str">
        <f aca="false">IF(OR(EL9="EQL",EL9="EQH"),L9,"")</f>
        <v/>
      </c>
      <c r="EX9" s="2" t="str">
        <f aca="false">IF(OR(EM9="EQL",EM9="EQH"),M9,"")</f>
        <v/>
      </c>
      <c r="EY9" s="2" t="str">
        <f aca="false">IF(OR(EN9="EQL",EN9="EQH"),N9,"")</f>
        <v/>
      </c>
      <c r="EZ9" s="2" t="str">
        <f aca="false">IF(OR(EO9="EQL",EO9="EQH"),O9,"")</f>
        <v/>
      </c>
      <c r="FA9" s="2" t="str">
        <f aca="false">IF(OR(EP9="EQL",EP9="EQH"),P9,"")</f>
        <v/>
      </c>
      <c r="FB9" s="2" t="str">
        <f aca="false">IF(OR(EQ9="EQL",EQ9="EQH"),Q9,"")</f>
        <v/>
      </c>
      <c r="FC9" s="2" t="str">
        <f aca="false">IF(AND(EG9="EQL",OR(AQ9=4,AQ9=5)),"IEQL",IF(AND(EG9="EQH",OR(AQ9=1,AQ9=2)),"IEQH",""))</f>
        <v/>
      </c>
      <c r="FD9" s="2" t="str">
        <f aca="false">IF(AND(EH9="EQL",OR(AR9=4,AR9=5)),"IEQL",IF(AND(EH9="EQH",OR(AR9=1,AR9=2)),"IEQH",""))</f>
        <v/>
      </c>
      <c r="FE9" s="2" t="str">
        <f aca="false">IF(AND(EI9="EQL",OR(AS9=4,AS9=5)),"IEQL",IF(AND(EI9="EQH",OR(AS9=1,AS9=2)),"IEQH",""))</f>
        <v/>
      </c>
      <c r="FF9" s="2" t="str">
        <f aca="false">IF(AND(EJ9="EQL",OR(AT9=4,AT9=5)),"IEQL",IF(AND(EJ9="EQH",OR(AT9=1,AT9=2)),"IEQH",""))</f>
        <v/>
      </c>
      <c r="FG9" s="2" t="str">
        <f aca="false">IF(AND(EK9="EQL",OR(AU9=4,AU9=5)),"IEQL",IF(AND(EK9="EQH",OR(AU9=1,AU9=2)),"IEQH",""))</f>
        <v/>
      </c>
      <c r="FH9" s="2" t="str">
        <f aca="false">IF(AND(EL9="EQL",OR(AV9=4,AV9=5)),"IEQL",IF(AND(EL9="EQH",OR(AV9=1,AV9=2)),"IEQH",""))</f>
        <v/>
      </c>
      <c r="FI9" s="2" t="str">
        <f aca="false">IF(AND(EM9="EQL",OR(AW9=4,AW9=5)),"IEQL",IF(AND(EM9="EQH",OR(AW9=1,AW9=2)),"IEQH",""))</f>
        <v/>
      </c>
      <c r="FJ9" s="2" t="str">
        <f aca="false">IF(AND(EN9="EQL",OR(AX9=4,AX9=5)),"IEQL",IF(AND(EN9="EQH",OR(AX9=1,AX9=2)),"IEQH",""))</f>
        <v/>
      </c>
      <c r="FK9" s="2" t="str">
        <f aca="false">IF(AND(EO9="EQL",OR(AY9=4,AY9=5)),"IEQL",IF(AND(EO9="EQH",OR(AY9=1,AY9=2)),"IEQH",""))</f>
        <v/>
      </c>
      <c r="FL9" s="2" t="str">
        <f aca="false">IF(AND(EP9="EQL",OR(AZ9=4,AZ9=5)),"IEQL",IF(AND(EP9="EQH",OR(AZ9=1,AZ9=2)),"IEQH",""))</f>
        <v/>
      </c>
      <c r="FM9" s="2" t="str">
        <f aca="false">IF(AND(EQ9="EQL",OR(BA9=4,BA9=5)),"IEQL",IF(AND(EQ9="EQH",OR(BA9=1,BA9=2)),"IEQH",""))</f>
        <v/>
      </c>
    </row>
    <row r="10" customFormat="false" ht="14.25" hidden="false" customHeight="false" outlineLevel="0" collapsed="false">
      <c r="A10" s="1" t="n">
        <v>1776384002</v>
      </c>
      <c r="B10" s="1" t="s">
        <v>169</v>
      </c>
      <c r="C10" s="1" t="s">
        <v>170</v>
      </c>
      <c r="D10" s="1" t="n">
        <v>4790.4</v>
      </c>
      <c r="E10" s="1" t="s">
        <v>171</v>
      </c>
      <c r="F10" s="1" t="n">
        <v>4786.1</v>
      </c>
      <c r="G10" s="2" t="n">
        <f aca="false">F8</f>
        <v>4772.67</v>
      </c>
      <c r="H10" s="2" t="n">
        <f aca="false">F6</f>
        <v>4805.21</v>
      </c>
      <c r="I10" s="2" t="n">
        <f aca="false">F4</f>
        <v>4787.17</v>
      </c>
      <c r="J10" s="2" t="n">
        <f aca="false">F2</f>
        <v>4786.23</v>
      </c>
      <c r="R10" s="1" t="n">
        <v>-12.48</v>
      </c>
      <c r="S10" s="2" t="n">
        <f aca="false">R8</f>
        <v>-51.14</v>
      </c>
      <c r="T10" s="2" t="n">
        <f aca="false">R6</f>
        <v>-33.17</v>
      </c>
      <c r="U10" s="2" t="n">
        <f aca="false">R4</f>
        <v>-43.22</v>
      </c>
      <c r="V10" s="2" t="n">
        <f aca="false">R2</f>
        <v>-84.99</v>
      </c>
      <c r="AD10" s="1" t="n">
        <v>-0.26</v>
      </c>
      <c r="AE10" s="2" t="n">
        <f aca="false">AD8</f>
        <v>-1.06</v>
      </c>
      <c r="AF10" s="2" t="n">
        <f aca="false">AD6</f>
        <v>-0.69</v>
      </c>
      <c r="AG10" s="2" t="n">
        <f aca="false">AD4</f>
        <v>-0.89</v>
      </c>
      <c r="AH10" s="2" t="n">
        <f aca="false">AD2</f>
        <v>-1.74</v>
      </c>
      <c r="AP10" s="1" t="n">
        <v>3</v>
      </c>
      <c r="AQ10" s="2" t="n">
        <f aca="false">AP8</f>
        <v>3</v>
      </c>
      <c r="AR10" s="2" t="n">
        <f aca="false">AP6</f>
        <v>3</v>
      </c>
      <c r="AS10" s="2" t="n">
        <f aca="false">AP4</f>
        <v>3</v>
      </c>
      <c r="AT10" s="2" t="n">
        <f aca="false">AP2</f>
        <v>3</v>
      </c>
      <c r="BB10" s="1" t="n">
        <v>13</v>
      </c>
      <c r="BC10" s="2" t="n">
        <f aca="false">BB8</f>
        <v>4</v>
      </c>
      <c r="BD10" s="2" t="n">
        <f aca="false">BB6</f>
        <v>22</v>
      </c>
      <c r="BE10" s="2" t="n">
        <f aca="false">BB4</f>
        <v>5</v>
      </c>
      <c r="BF10" s="2" t="n">
        <f aca="false">BB2</f>
        <v>34</v>
      </c>
      <c r="BN10" s="1" t="n">
        <v>3</v>
      </c>
      <c r="BO10" s="2" t="n">
        <f aca="false">BN8</f>
        <v>3</v>
      </c>
      <c r="BP10" s="2" t="n">
        <f aca="false">BN6</f>
        <v>3</v>
      </c>
      <c r="BQ10" s="2" t="n">
        <f aca="false">BN4</f>
        <v>3</v>
      </c>
      <c r="BR10" s="2" t="n">
        <f aca="false">BN2</f>
        <v>3</v>
      </c>
      <c r="BZ10" s="1" t="n">
        <v>-0.96</v>
      </c>
      <c r="CA10" s="2" t="n">
        <f aca="false">BZ8</f>
        <v>-12.785</v>
      </c>
      <c r="CB10" s="2" t="n">
        <f aca="false">BZ6</f>
        <v>-1.50773</v>
      </c>
      <c r="CC10" s="2" t="n">
        <f aca="false">BZ4</f>
        <v>-8.644</v>
      </c>
      <c r="CD10" s="2" t="n">
        <f aca="false">BZ2</f>
        <v>-2.49971</v>
      </c>
      <c r="CL10" s="1" t="n">
        <v>3</v>
      </c>
      <c r="CM10" s="2" t="n">
        <f aca="false">CL8</f>
        <v>5</v>
      </c>
      <c r="CN10" s="2" t="n">
        <f aca="false">CL6</f>
        <v>3</v>
      </c>
      <c r="CO10" s="2" t="n">
        <f aca="false">CL4</f>
        <v>3</v>
      </c>
      <c r="CP10" s="2" t="n">
        <f aca="false">CL2</f>
        <v>3</v>
      </c>
      <c r="CX10" s="1" t="n">
        <v>-43.8309</v>
      </c>
      <c r="CY10" s="2" t="n">
        <f aca="false">CX8</f>
        <v>-85.5276</v>
      </c>
      <c r="CZ10" s="2" t="n">
        <f aca="false">CX6</f>
        <v>-56.4457</v>
      </c>
      <c r="DA10" s="2" t="n">
        <f aca="false">CX4</f>
        <v>-83.4009</v>
      </c>
      <c r="DB10" s="2" t="n">
        <f aca="false">CX2</f>
        <v>-68.1963</v>
      </c>
      <c r="DJ10" s="1" t="s">
        <v>175</v>
      </c>
      <c r="DK10" s="2" t="str">
        <f aca="false">DJ8</f>
        <v>LL</v>
      </c>
      <c r="DL10" s="2" t="str">
        <f aca="false">DJ6</f>
        <v>HL</v>
      </c>
      <c r="DM10" s="2" t="str">
        <f aca="false">DJ4</f>
        <v>HL</v>
      </c>
      <c r="DN10" s="2" t="str">
        <f aca="false">DJ2</f>
        <v>LL</v>
      </c>
      <c r="DV10" s="2" t="n">
        <f aca="false">IFERROR((G10-$F10)/$F10*100,"")</f>
        <v>-0.280604249806738</v>
      </c>
      <c r="DW10" s="2" t="n">
        <f aca="false">IFERROR((H10-$F10)/$F10*100,"")</f>
        <v>0.399281251958791</v>
      </c>
      <c r="DX10" s="2" t="n">
        <f aca="false">IFERROR((I10-$F10)/$F10*100,"")</f>
        <v>0.0223564070955414</v>
      </c>
      <c r="DY10" s="2" t="n">
        <f aca="false">IFERROR((J10-$F10)/$F10*100,"")</f>
        <v>0.00271619899290027</v>
      </c>
      <c r="EG10" s="2" t="str">
        <f aca="false">IF(DV10="","",IF(AND(ABS(DV10)&lt;=0.25,$E10="Bottom",DK10="LL"),"EQL",IF(AND(ABS(DV10)&lt;=0.25,$E10="Peak",DK10="HH"),"EQH","")))</f>
        <v/>
      </c>
      <c r="EH10" s="2" t="str">
        <f aca="false">IF(DW10="","",IF(AND(ABS(DW10)&lt;=0.25,$E10="Bottom",DL10="LL"),"EQL",IF(AND(ABS(DW10)&lt;=0.25,$E10="Peak",DL10="HH"),"EQH","")))</f>
        <v/>
      </c>
      <c r="EI10" s="2" t="str">
        <f aca="false">IF(DX10="","",IF(AND(ABS(DX10)&lt;=0.25,$E10="Bottom",DM10="LL"),"EQL",IF(AND(ABS(DX10)&lt;=0.25,$E10="Peak",DM10="HH"),"EQH","")))</f>
        <v/>
      </c>
      <c r="EJ10" s="2" t="str">
        <f aca="false">IF(DY10="","",IF(AND(ABS(DY10)&lt;=0.25,$E10="Bottom",DN10="LL"),"EQL",IF(AND(ABS(DY10)&lt;=0.25,$E10="Peak",DN10="HH"),"EQH","")))</f>
        <v>EQL</v>
      </c>
      <c r="EK10" s="2" t="str">
        <f aca="false">IF(DZ10="","",IF(AND(ABS(DZ10)&lt;=0.25,$E10="Bottom",DO10="LL"),"EQL",IF(AND(ABS(DZ10)&lt;=0.25,$E10="Peak",DO10="HH"),"EQH","")))</f>
        <v/>
      </c>
      <c r="EL10" s="2" t="str">
        <f aca="false">IF(EA10="","",IF(AND(ABS(EA10)&lt;=0.25,$E10="Bottom",DP10="LL"),"EQL",IF(AND(ABS(EA10)&lt;=0.25,$E10="Peak",DP10="HH"),"EQH","")))</f>
        <v/>
      </c>
      <c r="EM10" s="2" t="str">
        <f aca="false">IF(EB10="","",IF(AND(ABS(EB10)&lt;=0.25,$E10="Bottom",DQ10="LL"),"EQL",IF(AND(ABS(EB10)&lt;=0.25,$E10="Peak",DQ10="HH"),"EQH","")))</f>
        <v/>
      </c>
      <c r="EN10" s="2" t="str">
        <f aca="false">IF(EC10="","",IF(AND(ABS(EC10)&lt;=0.25,$E10="Bottom",DR10="LL"),"EQL",IF(AND(ABS(EC10)&lt;=0.25,$E10="Peak",DR10="HH"),"EQH","")))</f>
        <v/>
      </c>
      <c r="EO10" s="2" t="str">
        <f aca="false">IF(ED10="","",IF(AND(ABS(ED10)&lt;=0.25,$E10="Bottom",DS10="LL"),"EQL",IF(AND(ABS(ED10)&lt;=0.25,$E10="Peak",DS10="HH"),"EQH","")))</f>
        <v/>
      </c>
      <c r="EP10" s="2" t="str">
        <f aca="false">IF(EE10="","",IF(AND(ABS(EE10)&lt;=0.25,$E10="Bottom",DT10="LL"),"EQL",IF(AND(ABS(EE10)&lt;=0.25,$E10="Peak",DT10="HH"),"EQH","")))</f>
        <v/>
      </c>
      <c r="EQ10" s="2" t="str">
        <f aca="false">IF(EF10="","",IF(AND(ABS(EF10)&lt;=0.25,$E10="Bottom",DU10="LL"),"EQL",IF(AND(ABS(EF10)&lt;=0.25,$E10="Peak",DU10="HH"),"EQH","")))</f>
        <v/>
      </c>
      <c r="ER10" s="2" t="str">
        <f aca="false">IF(OR(EG10="EQL",EG10="EQH"),G10,"")</f>
        <v/>
      </c>
      <c r="ES10" s="2" t="str">
        <f aca="false">IF(OR(EH10="EQL",EH10="EQH"),H10,"")</f>
        <v/>
      </c>
      <c r="ET10" s="2" t="str">
        <f aca="false">IF(OR(EI10="EQL",EI10="EQH"),I10,"")</f>
        <v/>
      </c>
      <c r="EU10" s="2" t="n">
        <f aca="false">IF(OR(EJ10="EQL",EJ10="EQH"),J10,"")</f>
        <v>4786.23</v>
      </c>
      <c r="EV10" s="2" t="str">
        <f aca="false">IF(OR(EK10="EQL",EK10="EQH"),K10,"")</f>
        <v/>
      </c>
      <c r="EW10" s="2" t="str">
        <f aca="false">IF(OR(EL10="EQL",EL10="EQH"),L10,"")</f>
        <v/>
      </c>
      <c r="EX10" s="2" t="str">
        <f aca="false">IF(OR(EM10="EQL",EM10="EQH"),M10,"")</f>
        <v/>
      </c>
      <c r="EY10" s="2" t="str">
        <f aca="false">IF(OR(EN10="EQL",EN10="EQH"),N10,"")</f>
        <v/>
      </c>
      <c r="EZ10" s="2" t="str">
        <f aca="false">IF(OR(EO10="EQL",EO10="EQH"),O10,"")</f>
        <v/>
      </c>
      <c r="FA10" s="2" t="str">
        <f aca="false">IF(OR(EP10="EQL",EP10="EQH"),P10,"")</f>
        <v/>
      </c>
      <c r="FB10" s="2" t="str">
        <f aca="false">IF(OR(EQ10="EQL",EQ10="EQH"),Q10,"")</f>
        <v/>
      </c>
      <c r="FC10" s="2" t="str">
        <f aca="false">IF(AND(EG10="EQL",OR(AQ10=4,AQ10=5)),"IEQL",IF(AND(EG10="EQH",OR(AQ10=1,AQ10=2)),"IEQH",""))</f>
        <v/>
      </c>
      <c r="FD10" s="2" t="str">
        <f aca="false">IF(AND(EH10="EQL",OR(AR10=4,AR10=5)),"IEQL",IF(AND(EH10="EQH",OR(AR10=1,AR10=2)),"IEQH",""))</f>
        <v/>
      </c>
      <c r="FE10" s="2" t="str">
        <f aca="false">IF(AND(EI10="EQL",OR(AS10=4,AS10=5)),"IEQL",IF(AND(EI10="EQH",OR(AS10=1,AS10=2)),"IEQH",""))</f>
        <v/>
      </c>
      <c r="FF10" s="2" t="str">
        <f aca="false">IF(AND(EJ10="EQL",OR(AT10=4,AT10=5)),"IEQL",IF(AND(EJ10="EQH",OR(AT10=1,AT10=2)),"IEQH",""))</f>
        <v/>
      </c>
      <c r="FG10" s="2" t="str">
        <f aca="false">IF(AND(EK10="EQL",OR(AU10=4,AU10=5)),"IEQL",IF(AND(EK10="EQH",OR(AU10=1,AU10=2)),"IEQH",""))</f>
        <v/>
      </c>
      <c r="FH10" s="2" t="str">
        <f aca="false">IF(AND(EL10="EQL",OR(AV10=4,AV10=5)),"IEQL",IF(AND(EL10="EQH",OR(AV10=1,AV10=2)),"IEQH",""))</f>
        <v/>
      </c>
      <c r="FI10" s="2" t="str">
        <f aca="false">IF(AND(EM10="EQL",OR(AW10=4,AW10=5)),"IEQL",IF(AND(EM10="EQH",OR(AW10=1,AW10=2)),"IEQH",""))</f>
        <v/>
      </c>
      <c r="FJ10" s="2" t="str">
        <f aca="false">IF(AND(EN10="EQL",OR(AX10=4,AX10=5)),"IEQL",IF(AND(EN10="EQH",OR(AX10=1,AX10=2)),"IEQH",""))</f>
        <v/>
      </c>
      <c r="FK10" s="2" t="str">
        <f aca="false">IF(AND(EO10="EQL",OR(AY10=4,AY10=5)),"IEQL",IF(AND(EO10="EQH",OR(AY10=1,AY10=2)),"IEQH",""))</f>
        <v/>
      </c>
      <c r="FL10" s="2" t="str">
        <f aca="false">IF(AND(EP10="EQL",OR(AZ10=4,AZ10=5)),"IEQL",IF(AND(EP10="EQH",OR(AZ10=1,AZ10=2)),"IEQH",""))</f>
        <v/>
      </c>
      <c r="FM10" s="2" t="str">
        <f aca="false">IF(AND(EQ10="EQL",OR(BA10=4,BA10=5)),"IEQL",IF(AND(EQ10="EQH",OR(BA10=1,BA10=2)),"IEQH",""))</f>
        <v/>
      </c>
    </row>
    <row r="11" customFormat="false" ht="14.25" hidden="false" customHeight="false" outlineLevel="0" collapsed="false">
      <c r="A11" s="1" t="n">
        <v>1776386702</v>
      </c>
      <c r="B11" s="1" t="s">
        <v>169</v>
      </c>
      <c r="C11" s="1" t="s">
        <v>170</v>
      </c>
      <c r="D11" s="1" t="n">
        <v>4794.9</v>
      </c>
      <c r="E11" s="1" t="s">
        <v>173</v>
      </c>
      <c r="F11" s="1" t="n">
        <v>4801.12</v>
      </c>
      <c r="G11" s="2" t="n">
        <f aca="false">F9</f>
        <v>4798.58</v>
      </c>
      <c r="H11" s="2" t="n">
        <f aca="false">F7</f>
        <v>4823.81</v>
      </c>
      <c r="I11" s="2" t="n">
        <f aca="false">F5</f>
        <v>4838.38</v>
      </c>
      <c r="J11" s="2" t="n">
        <f aca="false">F3</f>
        <v>4830.39</v>
      </c>
      <c r="R11" s="1" t="n">
        <v>15.02</v>
      </c>
      <c r="S11" s="2" t="n">
        <f aca="false">R9</f>
        <v>25.91</v>
      </c>
      <c r="T11" s="2" t="n">
        <f aca="false">R7</f>
        <v>18.6</v>
      </c>
      <c r="U11" s="2" t="n">
        <f aca="false">R5</f>
        <v>51.21</v>
      </c>
      <c r="V11" s="2" t="n">
        <f aca="false">R3</f>
        <v>44.16</v>
      </c>
      <c r="AD11" s="1" t="n">
        <v>0.31</v>
      </c>
      <c r="AE11" s="2" t="n">
        <f aca="false">AD9</f>
        <v>0.54</v>
      </c>
      <c r="AF11" s="2" t="n">
        <f aca="false">AD7</f>
        <v>0.39</v>
      </c>
      <c r="AG11" s="2" t="n">
        <f aca="false">AD5</f>
        <v>1.07</v>
      </c>
      <c r="AH11" s="2" t="n">
        <f aca="false">AD3</f>
        <v>0.92</v>
      </c>
      <c r="AP11" s="1" t="n">
        <v>0</v>
      </c>
      <c r="AQ11" s="2" t="n">
        <f aca="false">AP9</f>
        <v>0</v>
      </c>
      <c r="AR11" s="2" t="n">
        <f aca="false">AP7</f>
        <v>0</v>
      </c>
      <c r="AS11" s="2" t="n">
        <f aca="false">AP5</f>
        <v>0</v>
      </c>
      <c r="AT11" s="2" t="n">
        <f aca="false">AP3</f>
        <v>0</v>
      </c>
      <c r="BB11" s="1" t="n">
        <v>3</v>
      </c>
      <c r="BC11" s="2" t="n">
        <f aca="false">BB9</f>
        <v>21</v>
      </c>
      <c r="BD11" s="2" t="n">
        <f aca="false">BB7</f>
        <v>12</v>
      </c>
      <c r="BE11" s="2" t="n">
        <f aca="false">BB5</f>
        <v>50</v>
      </c>
      <c r="BF11" s="2" t="n">
        <f aca="false">BB3</f>
        <v>18</v>
      </c>
      <c r="BN11" s="1" t="n">
        <v>0</v>
      </c>
      <c r="BO11" s="2" t="n">
        <f aca="false">BN9</f>
        <v>0</v>
      </c>
      <c r="BP11" s="2" t="n">
        <f aca="false">BN7</f>
        <v>0</v>
      </c>
      <c r="BQ11" s="2" t="n">
        <f aca="false">BN5</f>
        <v>2</v>
      </c>
      <c r="BR11" s="2" t="n">
        <f aca="false">BN3</f>
        <v>0</v>
      </c>
      <c r="BZ11" s="1" t="n">
        <v>5.00667</v>
      </c>
      <c r="CA11" s="2" t="n">
        <f aca="false">BZ9</f>
        <v>1.23381</v>
      </c>
      <c r="CB11" s="2" t="n">
        <f aca="false">BZ7</f>
        <v>1.55</v>
      </c>
      <c r="CC11" s="2" t="n">
        <f aca="false">BZ5</f>
        <v>1.0242</v>
      </c>
      <c r="CD11" s="2" t="n">
        <f aca="false">BZ3</f>
        <v>2.45333</v>
      </c>
      <c r="CL11" s="1" t="n">
        <v>0</v>
      </c>
      <c r="CM11" s="2" t="n">
        <f aca="false">CL9</f>
        <v>0</v>
      </c>
      <c r="CN11" s="2" t="n">
        <f aca="false">CL7</f>
        <v>0</v>
      </c>
      <c r="CO11" s="2" t="n">
        <f aca="false">CL5</f>
        <v>0</v>
      </c>
      <c r="CP11" s="2" t="n">
        <f aca="false">CL3</f>
        <v>0</v>
      </c>
      <c r="CX11" s="1" t="n">
        <v>78.7047</v>
      </c>
      <c r="CY11" s="2" t="n">
        <f aca="false">CX9</f>
        <v>50.9753</v>
      </c>
      <c r="CZ11" s="2" t="n">
        <f aca="false">CX7</f>
        <v>57.1715</v>
      </c>
      <c r="DA11" s="2" t="n">
        <f aca="false">CX5</f>
        <v>45.685</v>
      </c>
      <c r="DB11" s="2" t="n">
        <f aca="false">CX3</f>
        <v>67.8238</v>
      </c>
      <c r="DJ11" s="1" t="s">
        <v>176</v>
      </c>
      <c r="DK11" s="2" t="str">
        <f aca="false">DJ9</f>
        <v>LH</v>
      </c>
      <c r="DL11" s="2" t="str">
        <f aca="false">DJ7</f>
        <v>LH</v>
      </c>
      <c r="DM11" s="2" t="str">
        <f aca="false">DJ5</f>
        <v>HH</v>
      </c>
      <c r="DN11" s="2" t="str">
        <f aca="false">DJ3</f>
        <v>LH</v>
      </c>
      <c r="DV11" s="2" t="n">
        <f aca="false">IFERROR((G11-$F11)/$F11*100,"")</f>
        <v>-0.0529043223247901</v>
      </c>
      <c r="DW11" s="2" t="n">
        <f aca="false">IFERROR((H11-$F11)/$F11*100,"")</f>
        <v>0.472598060452572</v>
      </c>
      <c r="DX11" s="2" t="n">
        <f aca="false">IFERROR((I11-$F11)/$F11*100,"")</f>
        <v>0.776068917252646</v>
      </c>
      <c r="DY11" s="2" t="n">
        <f aca="false">IFERROR((J11-$F11)/$F11*100,"")</f>
        <v>0.609649415136477</v>
      </c>
      <c r="EG11" s="2" t="str">
        <f aca="false">IF(DV11="","",IF(AND(ABS(DV11)&lt;=0.25,$E11="Bottom",DK11="LL"),"EQL",IF(AND(ABS(DV11)&lt;=0.25,$E11="Peak",DK11="HH"),"EQH","")))</f>
        <v/>
      </c>
      <c r="EH11" s="2" t="str">
        <f aca="false">IF(DW11="","",IF(AND(ABS(DW11)&lt;=0.25,$E11="Bottom",DL11="LL"),"EQL",IF(AND(ABS(DW11)&lt;=0.25,$E11="Peak",DL11="HH"),"EQH","")))</f>
        <v/>
      </c>
      <c r="EI11" s="2" t="str">
        <f aca="false">IF(DX11="","",IF(AND(ABS(DX11)&lt;=0.25,$E11="Bottom",DM11="LL"),"EQL",IF(AND(ABS(DX11)&lt;=0.25,$E11="Peak",DM11="HH"),"EQH","")))</f>
        <v/>
      </c>
      <c r="EJ11" s="2" t="str">
        <f aca="false">IF(DY11="","",IF(AND(ABS(DY11)&lt;=0.25,$E11="Bottom",DN11="LL"),"EQL",IF(AND(ABS(DY11)&lt;=0.25,$E11="Peak",DN11="HH"),"EQH","")))</f>
        <v/>
      </c>
      <c r="EK11" s="2" t="str">
        <f aca="false">IF(DZ11="","",IF(AND(ABS(DZ11)&lt;=0.25,$E11="Bottom",DO11="LL"),"EQL",IF(AND(ABS(DZ11)&lt;=0.25,$E11="Peak",DO11="HH"),"EQH","")))</f>
        <v/>
      </c>
      <c r="EL11" s="2" t="str">
        <f aca="false">IF(EA11="","",IF(AND(ABS(EA11)&lt;=0.25,$E11="Bottom",DP11="LL"),"EQL",IF(AND(ABS(EA11)&lt;=0.25,$E11="Peak",DP11="HH"),"EQH","")))</f>
        <v/>
      </c>
      <c r="EM11" s="2" t="str">
        <f aca="false">IF(EB11="","",IF(AND(ABS(EB11)&lt;=0.25,$E11="Bottom",DQ11="LL"),"EQL",IF(AND(ABS(EB11)&lt;=0.25,$E11="Peak",DQ11="HH"),"EQH","")))</f>
        <v/>
      </c>
      <c r="EN11" s="2" t="str">
        <f aca="false">IF(EC11="","",IF(AND(ABS(EC11)&lt;=0.25,$E11="Bottom",DR11="LL"),"EQL",IF(AND(ABS(EC11)&lt;=0.25,$E11="Peak",DR11="HH"),"EQH","")))</f>
        <v/>
      </c>
      <c r="EO11" s="2" t="str">
        <f aca="false">IF(ED11="","",IF(AND(ABS(ED11)&lt;=0.25,$E11="Bottom",DS11="LL"),"EQL",IF(AND(ABS(ED11)&lt;=0.25,$E11="Peak",DS11="HH"),"EQH","")))</f>
        <v/>
      </c>
      <c r="EP11" s="2" t="str">
        <f aca="false">IF(EE11="","",IF(AND(ABS(EE11)&lt;=0.25,$E11="Bottom",DT11="LL"),"EQL",IF(AND(ABS(EE11)&lt;=0.25,$E11="Peak",DT11="HH"),"EQH","")))</f>
        <v/>
      </c>
      <c r="EQ11" s="2" t="str">
        <f aca="false">IF(EF11="","",IF(AND(ABS(EF11)&lt;=0.25,$E11="Bottom",DU11="LL"),"EQL",IF(AND(ABS(EF11)&lt;=0.25,$E11="Peak",DU11="HH"),"EQH","")))</f>
        <v/>
      </c>
      <c r="ER11" s="2" t="str">
        <f aca="false">IF(OR(EG11="EQL",EG11="EQH"),G11,"")</f>
        <v/>
      </c>
      <c r="ES11" s="2" t="str">
        <f aca="false">IF(OR(EH11="EQL",EH11="EQH"),H11,"")</f>
        <v/>
      </c>
      <c r="ET11" s="2" t="str">
        <f aca="false">IF(OR(EI11="EQL",EI11="EQH"),I11,"")</f>
        <v/>
      </c>
      <c r="EU11" s="2" t="str">
        <f aca="false">IF(OR(EJ11="EQL",EJ11="EQH"),J11,"")</f>
        <v/>
      </c>
      <c r="EV11" s="2" t="str">
        <f aca="false">IF(OR(EK11="EQL",EK11="EQH"),K11,"")</f>
        <v/>
      </c>
      <c r="EW11" s="2" t="str">
        <f aca="false">IF(OR(EL11="EQL",EL11="EQH"),L11,"")</f>
        <v/>
      </c>
      <c r="EX11" s="2" t="str">
        <f aca="false">IF(OR(EM11="EQL",EM11="EQH"),M11,"")</f>
        <v/>
      </c>
      <c r="EY11" s="2" t="str">
        <f aca="false">IF(OR(EN11="EQL",EN11="EQH"),N11,"")</f>
        <v/>
      </c>
      <c r="EZ11" s="2" t="str">
        <f aca="false">IF(OR(EO11="EQL",EO11="EQH"),O11,"")</f>
        <v/>
      </c>
      <c r="FA11" s="2" t="str">
        <f aca="false">IF(OR(EP11="EQL",EP11="EQH"),P11,"")</f>
        <v/>
      </c>
      <c r="FB11" s="2" t="str">
        <f aca="false">IF(OR(EQ11="EQL",EQ11="EQH"),Q11,"")</f>
        <v/>
      </c>
      <c r="FC11" s="2" t="str">
        <f aca="false">IF(AND(EG11="EQL",OR(AQ11=4,AQ11=5)),"IEQL",IF(AND(EG11="EQH",OR(AQ11=1,AQ11=2)),"IEQH",""))</f>
        <v/>
      </c>
      <c r="FD11" s="2" t="str">
        <f aca="false">IF(AND(EH11="EQL",OR(AR11=4,AR11=5)),"IEQL",IF(AND(EH11="EQH",OR(AR11=1,AR11=2)),"IEQH",""))</f>
        <v/>
      </c>
      <c r="FE11" s="2" t="str">
        <f aca="false">IF(AND(EI11="EQL",OR(AS11=4,AS11=5)),"IEQL",IF(AND(EI11="EQH",OR(AS11=1,AS11=2)),"IEQH",""))</f>
        <v/>
      </c>
      <c r="FF11" s="2" t="str">
        <f aca="false">IF(AND(EJ11="EQL",OR(AT11=4,AT11=5)),"IEQL",IF(AND(EJ11="EQH",OR(AT11=1,AT11=2)),"IEQH",""))</f>
        <v/>
      </c>
      <c r="FG11" s="2" t="str">
        <f aca="false">IF(AND(EK11="EQL",OR(AU11=4,AU11=5)),"IEQL",IF(AND(EK11="EQH",OR(AU11=1,AU11=2)),"IEQH",""))</f>
        <v/>
      </c>
      <c r="FH11" s="2" t="str">
        <f aca="false">IF(AND(EL11="EQL",OR(AV11=4,AV11=5)),"IEQL",IF(AND(EL11="EQH",OR(AV11=1,AV11=2)),"IEQH",""))</f>
        <v/>
      </c>
      <c r="FI11" s="2" t="str">
        <f aca="false">IF(AND(EM11="EQL",OR(AW11=4,AW11=5)),"IEQL",IF(AND(EM11="EQH",OR(AW11=1,AW11=2)),"IEQH",""))</f>
        <v/>
      </c>
      <c r="FJ11" s="2" t="str">
        <f aca="false">IF(AND(EN11="EQL",OR(AX11=4,AX11=5)),"IEQL",IF(AND(EN11="EQH",OR(AX11=1,AX11=2)),"IEQH",""))</f>
        <v/>
      </c>
      <c r="FK11" s="2" t="str">
        <f aca="false">IF(AND(EO11="EQL",OR(AY11=4,AY11=5)),"IEQL",IF(AND(EO11="EQH",OR(AY11=1,AY11=2)),"IEQH",""))</f>
        <v/>
      </c>
      <c r="FL11" s="2" t="str">
        <f aca="false">IF(AND(EP11="EQL",OR(AZ11=4,AZ11=5)),"IEQL",IF(AND(EP11="EQH",OR(AZ11=1,AZ11=2)),"IEQH",""))</f>
        <v/>
      </c>
      <c r="FM11" s="2" t="str">
        <f aca="false">IF(AND(EQ11="EQL",OR(BA11=4,BA11=5)),"IEQL",IF(AND(EQ11="EQH",OR(BA11=1,BA11=2)),"IEQH",""))</f>
        <v/>
      </c>
    </row>
    <row r="12" customFormat="false" ht="14.25" hidden="false" customHeight="false" outlineLevel="0" collapsed="false">
      <c r="A12" s="1" t="n">
        <v>1776389402</v>
      </c>
      <c r="B12" s="1" t="s">
        <v>169</v>
      </c>
      <c r="C12" s="1" t="s">
        <v>170</v>
      </c>
      <c r="D12" s="1" t="n">
        <v>4777.87</v>
      </c>
      <c r="E12" s="1" t="s">
        <v>171</v>
      </c>
      <c r="F12" s="1" t="n">
        <v>4768.07</v>
      </c>
      <c r="G12" s="2" t="n">
        <f aca="false">F10</f>
        <v>4786.1</v>
      </c>
      <c r="H12" s="2" t="n">
        <f aca="false">F8</f>
        <v>4772.67</v>
      </c>
      <c r="I12" s="2" t="n">
        <f aca="false">F6</f>
        <v>4805.21</v>
      </c>
      <c r="J12" s="2" t="n">
        <f aca="false">F4</f>
        <v>4787.17</v>
      </c>
      <c r="K12" s="2" t="n">
        <f aca="false">F2</f>
        <v>4786.23</v>
      </c>
      <c r="R12" s="1" t="n">
        <v>-33.05</v>
      </c>
      <c r="S12" s="2" t="n">
        <f aca="false">R10</f>
        <v>-12.48</v>
      </c>
      <c r="T12" s="2" t="n">
        <f aca="false">R8</f>
        <v>-51.14</v>
      </c>
      <c r="U12" s="2" t="n">
        <f aca="false">R6</f>
        <v>-33.17</v>
      </c>
      <c r="V12" s="2" t="n">
        <f aca="false">R4</f>
        <v>-43.22</v>
      </c>
      <c r="W12" s="2" t="n">
        <f aca="false">R2</f>
        <v>-84.99</v>
      </c>
      <c r="AD12" s="1" t="n">
        <v>-0.69</v>
      </c>
      <c r="AE12" s="2" t="n">
        <f aca="false">AD10</f>
        <v>-0.26</v>
      </c>
      <c r="AF12" s="2" t="n">
        <f aca="false">AD8</f>
        <v>-1.06</v>
      </c>
      <c r="AG12" s="2" t="n">
        <f aca="false">AD6</f>
        <v>-0.69</v>
      </c>
      <c r="AH12" s="2" t="n">
        <f aca="false">AD4</f>
        <v>-0.89</v>
      </c>
      <c r="AI12" s="2" t="n">
        <f aca="false">AD2</f>
        <v>-1.74</v>
      </c>
      <c r="AP12" s="1" t="n">
        <v>3</v>
      </c>
      <c r="AQ12" s="2" t="n">
        <f aca="false">AP10</f>
        <v>3</v>
      </c>
      <c r="AR12" s="2" t="n">
        <f aca="false">AP8</f>
        <v>3</v>
      </c>
      <c r="AS12" s="2" t="n">
        <f aca="false">AP6</f>
        <v>3</v>
      </c>
      <c r="AT12" s="2" t="n">
        <f aca="false">AP4</f>
        <v>3</v>
      </c>
      <c r="AU12" s="2" t="n">
        <f aca="false">AP2</f>
        <v>3</v>
      </c>
      <c r="BB12" s="1" t="n">
        <v>3</v>
      </c>
      <c r="BC12" s="2" t="n">
        <f aca="false">BB10</f>
        <v>13</v>
      </c>
      <c r="BD12" s="2" t="n">
        <f aca="false">BB8</f>
        <v>4</v>
      </c>
      <c r="BE12" s="2" t="n">
        <f aca="false">BB6</f>
        <v>22</v>
      </c>
      <c r="BF12" s="2" t="n">
        <f aca="false">BB4</f>
        <v>5</v>
      </c>
      <c r="BG12" s="2" t="n">
        <f aca="false">BB2</f>
        <v>34</v>
      </c>
      <c r="BN12" s="1" t="n">
        <v>3</v>
      </c>
      <c r="BO12" s="2" t="n">
        <f aca="false">BN10</f>
        <v>3</v>
      </c>
      <c r="BP12" s="2" t="n">
        <f aca="false">BN8</f>
        <v>3</v>
      </c>
      <c r="BQ12" s="2" t="n">
        <f aca="false">BN6</f>
        <v>3</v>
      </c>
      <c r="BR12" s="2" t="n">
        <f aca="false">BN4</f>
        <v>3</v>
      </c>
      <c r="BS12" s="2" t="n">
        <f aca="false">BN2</f>
        <v>3</v>
      </c>
      <c r="BZ12" s="1" t="n">
        <v>-11.01667</v>
      </c>
      <c r="CA12" s="2" t="n">
        <f aca="false">BZ10</f>
        <v>-0.96</v>
      </c>
      <c r="CB12" s="2" t="n">
        <f aca="false">BZ8</f>
        <v>-12.785</v>
      </c>
      <c r="CC12" s="2" t="n">
        <f aca="false">BZ6</f>
        <v>-1.50773</v>
      </c>
      <c r="CD12" s="2" t="n">
        <f aca="false">BZ4</f>
        <v>-8.644</v>
      </c>
      <c r="CE12" s="2" t="n">
        <f aca="false">BZ2</f>
        <v>-2.49971</v>
      </c>
      <c r="CL12" s="1" t="n">
        <v>5</v>
      </c>
      <c r="CM12" s="2" t="n">
        <f aca="false">CL10</f>
        <v>3</v>
      </c>
      <c r="CN12" s="2" t="n">
        <f aca="false">CL8</f>
        <v>5</v>
      </c>
      <c r="CO12" s="2" t="n">
        <f aca="false">CL6</f>
        <v>3</v>
      </c>
      <c r="CP12" s="2" t="n">
        <f aca="false">CL4</f>
        <v>3</v>
      </c>
      <c r="CQ12" s="2" t="n">
        <f aca="false">CL2</f>
        <v>3</v>
      </c>
      <c r="CX12" s="1" t="n">
        <v>-84.8134</v>
      </c>
      <c r="CY12" s="2" t="n">
        <f aca="false">CX10</f>
        <v>-43.8309</v>
      </c>
      <c r="CZ12" s="2" t="n">
        <f aca="false">CX8</f>
        <v>-85.5276</v>
      </c>
      <c r="DA12" s="2" t="n">
        <f aca="false">CX6</f>
        <v>-56.4457</v>
      </c>
      <c r="DB12" s="2" t="n">
        <f aca="false">CX4</f>
        <v>-83.4009</v>
      </c>
      <c r="DC12" s="2" t="n">
        <f aca="false">CX2</f>
        <v>-68.1963</v>
      </c>
      <c r="DJ12" s="1" t="s">
        <v>172</v>
      </c>
      <c r="DK12" s="2" t="str">
        <f aca="false">DJ10</f>
        <v>HL</v>
      </c>
      <c r="DL12" s="2" t="str">
        <f aca="false">DJ8</f>
        <v>LL</v>
      </c>
      <c r="DM12" s="2" t="str">
        <f aca="false">DJ6</f>
        <v>HL</v>
      </c>
      <c r="DN12" s="2" t="str">
        <f aca="false">DJ4</f>
        <v>HL</v>
      </c>
      <c r="DO12" s="2" t="str">
        <f aca="false">DJ2</f>
        <v>LL</v>
      </c>
      <c r="DV12" s="2" t="n">
        <f aca="false">IFERROR((G12-$F12)/$F12*100,"")</f>
        <v>0.378140421596173</v>
      </c>
      <c r="DW12" s="2" t="n">
        <f aca="false">IFERROR((H12-$F12)/$F12*100,"")</f>
        <v>0.0964750936961992</v>
      </c>
      <c r="DX12" s="2" t="n">
        <f aca="false">IFERROR((I12-$F12)/$F12*100,"")</f>
        <v>0.778931517364475</v>
      </c>
      <c r="DY12" s="2" t="n">
        <f aca="false">IFERROR((J12-$F12)/$F12*100,"")</f>
        <v>0.40058136730376</v>
      </c>
      <c r="DZ12" s="2" t="n">
        <f aca="false">IFERROR((K12-$F12)/$F12*100,"")</f>
        <v>0.380866891635397</v>
      </c>
      <c r="EG12" s="2" t="str">
        <f aca="false">IF(DV12="","",IF(AND(ABS(DV12)&lt;=0.25,$E12="Bottom",DK12="LL"),"EQL",IF(AND(ABS(DV12)&lt;=0.25,$E12="Peak",DK12="HH"),"EQH","")))</f>
        <v/>
      </c>
      <c r="EH12" s="2" t="str">
        <f aca="false">IF(DW12="","",IF(AND(ABS(DW12)&lt;=0.25,$E12="Bottom",DL12="LL"),"EQL",IF(AND(ABS(DW12)&lt;=0.25,$E12="Peak",DL12="HH"),"EQH","")))</f>
        <v>EQL</v>
      </c>
      <c r="EI12" s="2" t="str">
        <f aca="false">IF(DX12="","",IF(AND(ABS(DX12)&lt;=0.25,$E12="Bottom",DM12="LL"),"EQL",IF(AND(ABS(DX12)&lt;=0.25,$E12="Peak",DM12="HH"),"EQH","")))</f>
        <v/>
      </c>
      <c r="EJ12" s="2" t="str">
        <f aca="false">IF(DY12="","",IF(AND(ABS(DY12)&lt;=0.25,$E12="Bottom",DN12="LL"),"EQL",IF(AND(ABS(DY12)&lt;=0.25,$E12="Peak",DN12="HH"),"EQH","")))</f>
        <v/>
      </c>
      <c r="EK12" s="2" t="str">
        <f aca="false">IF(DZ12="","",IF(AND(ABS(DZ12)&lt;=0.25,$E12="Bottom",DO12="LL"),"EQL",IF(AND(ABS(DZ12)&lt;=0.25,$E12="Peak",DO12="HH"),"EQH","")))</f>
        <v/>
      </c>
      <c r="EL12" s="2" t="str">
        <f aca="false">IF(EA12="","",IF(AND(ABS(EA12)&lt;=0.25,$E12="Bottom",DP12="LL"),"EQL",IF(AND(ABS(EA12)&lt;=0.25,$E12="Peak",DP12="HH"),"EQH","")))</f>
        <v/>
      </c>
      <c r="EM12" s="2" t="str">
        <f aca="false">IF(EB12="","",IF(AND(ABS(EB12)&lt;=0.25,$E12="Bottom",DQ12="LL"),"EQL",IF(AND(ABS(EB12)&lt;=0.25,$E12="Peak",DQ12="HH"),"EQH","")))</f>
        <v/>
      </c>
      <c r="EN12" s="2" t="str">
        <f aca="false">IF(EC12="","",IF(AND(ABS(EC12)&lt;=0.25,$E12="Bottom",DR12="LL"),"EQL",IF(AND(ABS(EC12)&lt;=0.25,$E12="Peak",DR12="HH"),"EQH","")))</f>
        <v/>
      </c>
      <c r="EO12" s="2" t="str">
        <f aca="false">IF(ED12="","",IF(AND(ABS(ED12)&lt;=0.25,$E12="Bottom",DS12="LL"),"EQL",IF(AND(ABS(ED12)&lt;=0.25,$E12="Peak",DS12="HH"),"EQH","")))</f>
        <v/>
      </c>
      <c r="EP12" s="2" t="str">
        <f aca="false">IF(EE12="","",IF(AND(ABS(EE12)&lt;=0.25,$E12="Bottom",DT12="LL"),"EQL",IF(AND(ABS(EE12)&lt;=0.25,$E12="Peak",DT12="HH"),"EQH","")))</f>
        <v/>
      </c>
      <c r="EQ12" s="2" t="str">
        <f aca="false">IF(EF12="","",IF(AND(ABS(EF12)&lt;=0.25,$E12="Bottom",DU12="LL"),"EQL",IF(AND(ABS(EF12)&lt;=0.25,$E12="Peak",DU12="HH"),"EQH","")))</f>
        <v/>
      </c>
      <c r="ER12" s="2" t="str">
        <f aca="false">IF(OR(EG12="EQL",EG12="EQH"),G12,"")</f>
        <v/>
      </c>
      <c r="ES12" s="2" t="n">
        <f aca="false">IF(OR(EH12="EQL",EH12="EQH"),H12,"")</f>
        <v>4772.67</v>
      </c>
      <c r="ET12" s="2" t="str">
        <f aca="false">IF(OR(EI12="EQL",EI12="EQH"),I12,"")</f>
        <v/>
      </c>
      <c r="EU12" s="2" t="str">
        <f aca="false">IF(OR(EJ12="EQL",EJ12="EQH"),J12,"")</f>
        <v/>
      </c>
      <c r="EV12" s="2" t="str">
        <f aca="false">IF(OR(EK12="EQL",EK12="EQH"),K12,"")</f>
        <v/>
      </c>
      <c r="EW12" s="2" t="str">
        <f aca="false">IF(OR(EL12="EQL",EL12="EQH"),L12,"")</f>
        <v/>
      </c>
      <c r="EX12" s="2" t="str">
        <f aca="false">IF(OR(EM12="EQL",EM12="EQH"),M12,"")</f>
        <v/>
      </c>
      <c r="EY12" s="2" t="str">
        <f aca="false">IF(OR(EN12="EQL",EN12="EQH"),N12,"")</f>
        <v/>
      </c>
      <c r="EZ12" s="2" t="str">
        <f aca="false">IF(OR(EO12="EQL",EO12="EQH"),O12,"")</f>
        <v/>
      </c>
      <c r="FA12" s="2" t="str">
        <f aca="false">IF(OR(EP12="EQL",EP12="EQH"),P12,"")</f>
        <v/>
      </c>
      <c r="FB12" s="2" t="str">
        <f aca="false">IF(OR(EQ12="EQL",EQ12="EQH"),Q12,"")</f>
        <v/>
      </c>
      <c r="FC12" s="2" t="str">
        <f aca="false">IF(AND(EG12="EQL",OR(AQ12=4,AQ12=5)),"IEQL",IF(AND(EG12="EQH",OR(AQ12=1,AQ12=2)),"IEQH",""))</f>
        <v/>
      </c>
      <c r="FD12" s="2" t="str">
        <f aca="false">IF(AND(EH12="EQL",OR(AR12=4,AR12=5)),"IEQL",IF(AND(EH12="EQH",OR(AR12=1,AR12=2)),"IEQH",""))</f>
        <v/>
      </c>
      <c r="FE12" s="2" t="str">
        <f aca="false">IF(AND(EI12="EQL",OR(AS12=4,AS12=5)),"IEQL",IF(AND(EI12="EQH",OR(AS12=1,AS12=2)),"IEQH",""))</f>
        <v/>
      </c>
      <c r="FF12" s="2" t="str">
        <f aca="false">IF(AND(EJ12="EQL",OR(AT12=4,AT12=5)),"IEQL",IF(AND(EJ12="EQH",OR(AT12=1,AT12=2)),"IEQH",""))</f>
        <v/>
      </c>
      <c r="FG12" s="2" t="str">
        <f aca="false">IF(AND(EK12="EQL",OR(AU12=4,AU12=5)),"IEQL",IF(AND(EK12="EQH",OR(AU12=1,AU12=2)),"IEQH",""))</f>
        <v/>
      </c>
      <c r="FH12" s="2" t="str">
        <f aca="false">IF(AND(EL12="EQL",OR(AV12=4,AV12=5)),"IEQL",IF(AND(EL12="EQH",OR(AV12=1,AV12=2)),"IEQH",""))</f>
        <v/>
      </c>
      <c r="FI12" s="2" t="str">
        <f aca="false">IF(AND(EM12="EQL",OR(AW12=4,AW12=5)),"IEQL",IF(AND(EM12="EQH",OR(AW12=1,AW12=2)),"IEQH",""))</f>
        <v/>
      </c>
      <c r="FJ12" s="2" t="str">
        <f aca="false">IF(AND(EN12="EQL",OR(AX12=4,AX12=5)),"IEQL",IF(AND(EN12="EQH",OR(AX12=1,AX12=2)),"IEQH",""))</f>
        <v/>
      </c>
      <c r="FK12" s="2" t="str">
        <f aca="false">IF(AND(EO12="EQL",OR(AY12=4,AY12=5)),"IEQL",IF(AND(EO12="EQH",OR(AY12=1,AY12=2)),"IEQH",""))</f>
        <v/>
      </c>
      <c r="FL12" s="2" t="str">
        <f aca="false">IF(AND(EP12="EQL",OR(AZ12=4,AZ12=5)),"IEQL",IF(AND(EP12="EQH",OR(AZ12=1,AZ12=2)),"IEQH",""))</f>
        <v/>
      </c>
      <c r="FM12" s="2" t="str">
        <f aca="false">IF(AND(EQ12="EQL",OR(BA12=4,BA12=5)),"IEQL",IF(AND(EQ12="EQH",OR(BA12=1,BA12=2)),"IEQH",""))</f>
        <v/>
      </c>
    </row>
    <row r="13" customFormat="false" ht="14.25" hidden="false" customHeight="false" outlineLevel="0" collapsed="false">
      <c r="A13" s="1" t="n">
        <v>1776402002</v>
      </c>
      <c r="B13" s="1" t="s">
        <v>169</v>
      </c>
      <c r="C13" s="1" t="s">
        <v>170</v>
      </c>
      <c r="D13" s="1" t="n">
        <v>4804.78</v>
      </c>
      <c r="E13" s="1" t="s">
        <v>173</v>
      </c>
      <c r="F13" s="1" t="n">
        <v>4805.97</v>
      </c>
      <c r="G13" s="2" t="n">
        <f aca="false">F11</f>
        <v>4801.12</v>
      </c>
      <c r="H13" s="2" t="n">
        <f aca="false">F9</f>
        <v>4798.58</v>
      </c>
      <c r="I13" s="2" t="n">
        <f aca="false">F7</f>
        <v>4823.81</v>
      </c>
      <c r="J13" s="2" t="n">
        <f aca="false">F5</f>
        <v>4838.38</v>
      </c>
      <c r="K13" s="2" t="n">
        <f aca="false">F3</f>
        <v>4830.39</v>
      </c>
      <c r="R13" s="1" t="n">
        <v>37.9</v>
      </c>
      <c r="S13" s="2" t="n">
        <f aca="false">R11</f>
        <v>15.02</v>
      </c>
      <c r="T13" s="2" t="n">
        <f aca="false">R9</f>
        <v>25.91</v>
      </c>
      <c r="U13" s="2" t="n">
        <f aca="false">R7</f>
        <v>18.6</v>
      </c>
      <c r="V13" s="2" t="n">
        <f aca="false">R5</f>
        <v>51.21</v>
      </c>
      <c r="W13" s="2" t="n">
        <f aca="false">R3</f>
        <v>44.16</v>
      </c>
      <c r="AD13" s="1" t="n">
        <v>0.79</v>
      </c>
      <c r="AE13" s="2" t="n">
        <f aca="false">AD11</f>
        <v>0.31</v>
      </c>
      <c r="AF13" s="2" t="n">
        <f aca="false">AD9</f>
        <v>0.54</v>
      </c>
      <c r="AG13" s="2" t="n">
        <f aca="false">AD7</f>
        <v>0.39</v>
      </c>
      <c r="AH13" s="2" t="n">
        <f aca="false">AD5</f>
        <v>1.07</v>
      </c>
      <c r="AI13" s="2" t="n">
        <f aca="false">AD3</f>
        <v>0.92</v>
      </c>
      <c r="AP13" s="1" t="n">
        <v>0</v>
      </c>
      <c r="AQ13" s="2" t="n">
        <f aca="false">AP11</f>
        <v>0</v>
      </c>
      <c r="AR13" s="2" t="n">
        <f aca="false">AP9</f>
        <v>0</v>
      </c>
      <c r="AS13" s="2" t="n">
        <f aca="false">AP7</f>
        <v>0</v>
      </c>
      <c r="AT13" s="2" t="n">
        <f aca="false">AP5</f>
        <v>0</v>
      </c>
      <c r="AU13" s="2" t="n">
        <f aca="false">AP3</f>
        <v>0</v>
      </c>
      <c r="BB13" s="1" t="n">
        <v>14</v>
      </c>
      <c r="BC13" s="2" t="n">
        <f aca="false">BB11</f>
        <v>3</v>
      </c>
      <c r="BD13" s="2" t="n">
        <f aca="false">BB9</f>
        <v>21</v>
      </c>
      <c r="BE13" s="2" t="n">
        <f aca="false">BB7</f>
        <v>12</v>
      </c>
      <c r="BF13" s="2" t="n">
        <f aca="false">BB5</f>
        <v>50</v>
      </c>
      <c r="BG13" s="2" t="n">
        <f aca="false">BB3</f>
        <v>18</v>
      </c>
      <c r="BN13" s="1" t="n">
        <v>0</v>
      </c>
      <c r="BO13" s="2" t="n">
        <f aca="false">BN11</f>
        <v>0</v>
      </c>
      <c r="BP13" s="2" t="n">
        <f aca="false">BN9</f>
        <v>0</v>
      </c>
      <c r="BQ13" s="2" t="n">
        <f aca="false">BN7</f>
        <v>0</v>
      </c>
      <c r="BR13" s="2" t="n">
        <f aca="false">BN5</f>
        <v>2</v>
      </c>
      <c r="BS13" s="2" t="n">
        <f aca="false">BN3</f>
        <v>0</v>
      </c>
      <c r="BZ13" s="1" t="n">
        <v>2.70714</v>
      </c>
      <c r="CA13" s="2" t="n">
        <f aca="false">BZ11</f>
        <v>5.00667</v>
      </c>
      <c r="CB13" s="2" t="n">
        <f aca="false">BZ9</f>
        <v>1.23381</v>
      </c>
      <c r="CC13" s="2" t="n">
        <f aca="false">BZ7</f>
        <v>1.55</v>
      </c>
      <c r="CD13" s="2" t="n">
        <f aca="false">BZ5</f>
        <v>1.0242</v>
      </c>
      <c r="CE13" s="2" t="n">
        <f aca="false">BZ3</f>
        <v>2.45333</v>
      </c>
      <c r="CL13" s="1" t="n">
        <v>0</v>
      </c>
      <c r="CM13" s="2" t="n">
        <f aca="false">CL11</f>
        <v>0</v>
      </c>
      <c r="CN13" s="2" t="n">
        <f aca="false">CL9</f>
        <v>0</v>
      </c>
      <c r="CO13" s="2" t="n">
        <f aca="false">CL7</f>
        <v>0</v>
      </c>
      <c r="CP13" s="2" t="n">
        <f aca="false">CL5</f>
        <v>0</v>
      </c>
      <c r="CQ13" s="2" t="n">
        <f aca="false">CL3</f>
        <v>0</v>
      </c>
      <c r="CX13" s="1" t="n">
        <v>69.7261</v>
      </c>
      <c r="CY13" s="2" t="n">
        <f aca="false">CX11</f>
        <v>78.7047</v>
      </c>
      <c r="CZ13" s="2" t="n">
        <f aca="false">CX9</f>
        <v>50.9753</v>
      </c>
      <c r="DA13" s="2" t="n">
        <f aca="false">CX7</f>
        <v>57.1715</v>
      </c>
      <c r="DB13" s="2" t="n">
        <f aca="false">CX5</f>
        <v>45.685</v>
      </c>
      <c r="DC13" s="2" t="n">
        <f aca="false">CX3</f>
        <v>67.8238</v>
      </c>
      <c r="DJ13" s="1" t="s">
        <v>176</v>
      </c>
      <c r="DK13" s="2" t="str">
        <f aca="false">DJ11</f>
        <v>HH</v>
      </c>
      <c r="DL13" s="2" t="str">
        <f aca="false">DJ9</f>
        <v>LH</v>
      </c>
      <c r="DM13" s="2" t="str">
        <f aca="false">DJ7</f>
        <v>LH</v>
      </c>
      <c r="DN13" s="2" t="str">
        <f aca="false">DJ5</f>
        <v>HH</v>
      </c>
      <c r="DO13" s="2" t="str">
        <f aca="false">DJ3</f>
        <v>LH</v>
      </c>
      <c r="DV13" s="2" t="n">
        <f aca="false">IFERROR((G13-$F13)/$F13*100,"")</f>
        <v>-0.100916152202373</v>
      </c>
      <c r="DW13" s="2" t="n">
        <f aca="false">IFERROR((H13-$F13)/$F13*100,"")</f>
        <v>-0.153767085520724</v>
      </c>
      <c r="DX13" s="2" t="n">
        <f aca="false">IFERROR((I13-$F13)/$F13*100,"")</f>
        <v>0.371204980472207</v>
      </c>
      <c r="DY13" s="2" t="n">
        <f aca="false">IFERROR((J13-$F13)/$F13*100,"")</f>
        <v>0.674369586160543</v>
      </c>
      <c r="DZ13" s="2" t="n">
        <f aca="false">IFERROR((K13-$F13)/$F13*100,"")</f>
        <v>0.508118028202425</v>
      </c>
      <c r="EG13" s="2" t="str">
        <f aca="false">IF(DV13="","",IF(AND(ABS(DV13)&lt;=0.25,$E13="Bottom",DK13="LL"),"EQL",IF(AND(ABS(DV13)&lt;=0.25,$E13="Peak",DK13="HH"),"EQH","")))</f>
        <v>EQH</v>
      </c>
      <c r="EH13" s="2" t="str">
        <f aca="false">IF(DW13="","",IF(AND(ABS(DW13)&lt;=0.25,$E13="Bottom",DL13="LL"),"EQL",IF(AND(ABS(DW13)&lt;=0.25,$E13="Peak",DL13="HH"),"EQH","")))</f>
        <v/>
      </c>
      <c r="EI13" s="2" t="str">
        <f aca="false">IF(DX13="","",IF(AND(ABS(DX13)&lt;=0.25,$E13="Bottom",DM13="LL"),"EQL",IF(AND(ABS(DX13)&lt;=0.25,$E13="Peak",DM13="HH"),"EQH","")))</f>
        <v/>
      </c>
      <c r="EJ13" s="2" t="str">
        <f aca="false">IF(DY13="","",IF(AND(ABS(DY13)&lt;=0.25,$E13="Bottom",DN13="LL"),"EQL",IF(AND(ABS(DY13)&lt;=0.25,$E13="Peak",DN13="HH"),"EQH","")))</f>
        <v/>
      </c>
      <c r="EK13" s="2" t="str">
        <f aca="false">IF(DZ13="","",IF(AND(ABS(DZ13)&lt;=0.25,$E13="Bottom",DO13="LL"),"EQL",IF(AND(ABS(DZ13)&lt;=0.25,$E13="Peak",DO13="HH"),"EQH","")))</f>
        <v/>
      </c>
      <c r="EL13" s="2" t="str">
        <f aca="false">IF(EA13="","",IF(AND(ABS(EA13)&lt;=0.25,$E13="Bottom",DP13="LL"),"EQL",IF(AND(ABS(EA13)&lt;=0.25,$E13="Peak",DP13="HH"),"EQH","")))</f>
        <v/>
      </c>
      <c r="EM13" s="2" t="str">
        <f aca="false">IF(EB13="","",IF(AND(ABS(EB13)&lt;=0.25,$E13="Bottom",DQ13="LL"),"EQL",IF(AND(ABS(EB13)&lt;=0.25,$E13="Peak",DQ13="HH"),"EQH","")))</f>
        <v/>
      </c>
      <c r="EN13" s="2" t="str">
        <f aca="false">IF(EC13="","",IF(AND(ABS(EC13)&lt;=0.25,$E13="Bottom",DR13="LL"),"EQL",IF(AND(ABS(EC13)&lt;=0.25,$E13="Peak",DR13="HH"),"EQH","")))</f>
        <v/>
      </c>
      <c r="EO13" s="2" t="str">
        <f aca="false">IF(ED13="","",IF(AND(ABS(ED13)&lt;=0.25,$E13="Bottom",DS13="LL"),"EQL",IF(AND(ABS(ED13)&lt;=0.25,$E13="Peak",DS13="HH"),"EQH","")))</f>
        <v/>
      </c>
      <c r="EP13" s="2" t="str">
        <f aca="false">IF(EE13="","",IF(AND(ABS(EE13)&lt;=0.25,$E13="Bottom",DT13="LL"),"EQL",IF(AND(ABS(EE13)&lt;=0.25,$E13="Peak",DT13="HH"),"EQH","")))</f>
        <v/>
      </c>
      <c r="EQ13" s="2" t="str">
        <f aca="false">IF(EF13="","",IF(AND(ABS(EF13)&lt;=0.25,$E13="Bottom",DU13="LL"),"EQL",IF(AND(ABS(EF13)&lt;=0.25,$E13="Peak",DU13="HH"),"EQH","")))</f>
        <v/>
      </c>
      <c r="ER13" s="2" t="n">
        <f aca="false">IF(OR(EG13="EQL",EG13="EQH"),G13,"")</f>
        <v>4801.12</v>
      </c>
      <c r="ES13" s="2" t="str">
        <f aca="false">IF(OR(EH13="EQL",EH13="EQH"),H13,"")</f>
        <v/>
      </c>
      <c r="ET13" s="2" t="str">
        <f aca="false">IF(OR(EI13="EQL",EI13="EQH"),I13,"")</f>
        <v/>
      </c>
      <c r="EU13" s="2" t="str">
        <f aca="false">IF(OR(EJ13="EQL",EJ13="EQH"),J13,"")</f>
        <v/>
      </c>
      <c r="EV13" s="2" t="str">
        <f aca="false">IF(OR(EK13="EQL",EK13="EQH"),K13,"")</f>
        <v/>
      </c>
      <c r="EW13" s="2" t="str">
        <f aca="false">IF(OR(EL13="EQL",EL13="EQH"),L13,"")</f>
        <v/>
      </c>
      <c r="EX13" s="2" t="str">
        <f aca="false">IF(OR(EM13="EQL",EM13="EQH"),M13,"")</f>
        <v/>
      </c>
      <c r="EY13" s="2" t="str">
        <f aca="false">IF(OR(EN13="EQL",EN13="EQH"),N13,"")</f>
        <v/>
      </c>
      <c r="EZ13" s="2" t="str">
        <f aca="false">IF(OR(EO13="EQL",EO13="EQH"),O13,"")</f>
        <v/>
      </c>
      <c r="FA13" s="2" t="str">
        <f aca="false">IF(OR(EP13="EQL",EP13="EQH"),P13,"")</f>
        <v/>
      </c>
      <c r="FB13" s="2" t="str">
        <f aca="false">IF(OR(EQ13="EQL",EQ13="EQH"),Q13,"")</f>
        <v/>
      </c>
      <c r="FC13" s="2" t="str">
        <f aca="false">IF(AND(EG13="EQL",OR(AQ13=4,AQ13=5)),"IEQL",IF(AND(EG13="EQH",OR(AQ13=1,AQ13=2)),"IEQH",""))</f>
        <v/>
      </c>
      <c r="FD13" s="2" t="str">
        <f aca="false">IF(AND(EH13="EQL",OR(AR13=4,AR13=5)),"IEQL",IF(AND(EH13="EQH",OR(AR13=1,AR13=2)),"IEQH",""))</f>
        <v/>
      </c>
      <c r="FE13" s="2" t="str">
        <f aca="false">IF(AND(EI13="EQL",OR(AS13=4,AS13=5)),"IEQL",IF(AND(EI13="EQH",OR(AS13=1,AS13=2)),"IEQH",""))</f>
        <v/>
      </c>
      <c r="FF13" s="2" t="str">
        <f aca="false">IF(AND(EJ13="EQL",OR(AT13=4,AT13=5)),"IEQL",IF(AND(EJ13="EQH",OR(AT13=1,AT13=2)),"IEQH",""))</f>
        <v/>
      </c>
      <c r="FG13" s="2" t="str">
        <f aca="false">IF(AND(EK13="EQL",OR(AU13=4,AU13=5)),"IEQL",IF(AND(EK13="EQH",OR(AU13=1,AU13=2)),"IEQH",""))</f>
        <v/>
      </c>
      <c r="FH13" s="2" t="str">
        <f aca="false">IF(AND(EL13="EQL",OR(AV13=4,AV13=5)),"IEQL",IF(AND(EL13="EQH",OR(AV13=1,AV13=2)),"IEQH",""))</f>
        <v/>
      </c>
      <c r="FI13" s="2" t="str">
        <f aca="false">IF(AND(EM13="EQL",OR(AW13=4,AW13=5)),"IEQL",IF(AND(EM13="EQH",OR(AW13=1,AW13=2)),"IEQH",""))</f>
        <v/>
      </c>
      <c r="FJ13" s="2" t="str">
        <f aca="false">IF(AND(EN13="EQL",OR(AX13=4,AX13=5)),"IEQL",IF(AND(EN13="EQH",OR(AX13=1,AX13=2)),"IEQH",""))</f>
        <v/>
      </c>
      <c r="FK13" s="2" t="str">
        <f aca="false">IF(AND(EO13="EQL",OR(AY13=4,AY13=5)),"IEQL",IF(AND(EO13="EQH",OR(AY13=1,AY13=2)),"IEQH",""))</f>
        <v/>
      </c>
      <c r="FL13" s="2" t="str">
        <f aca="false">IF(AND(EP13="EQL",OR(AZ13=4,AZ13=5)),"IEQL",IF(AND(EP13="EQH",OR(AZ13=1,AZ13=2)),"IEQH",""))</f>
        <v/>
      </c>
      <c r="FM13" s="2" t="str">
        <f aca="false">IF(AND(EQ13="EQL",OR(BA13=4,BA13=5)),"IEQL",IF(AND(EQ13="EQH",OR(BA13=1,BA13=2)),"IEQH",""))</f>
        <v/>
      </c>
    </row>
    <row r="14" customFormat="false" ht="14.25" hidden="false" customHeight="false" outlineLevel="0" collapsed="false">
      <c r="A14" s="1" t="n">
        <v>1776411902</v>
      </c>
      <c r="B14" s="1" t="s">
        <v>169</v>
      </c>
      <c r="C14" s="1" t="s">
        <v>170</v>
      </c>
      <c r="D14" s="1" t="n">
        <v>4784.38</v>
      </c>
      <c r="E14" s="1" t="s">
        <v>171</v>
      </c>
      <c r="F14" s="1" t="n">
        <v>4778.83</v>
      </c>
      <c r="G14" s="2" t="n">
        <f aca="false">F12</f>
        <v>4768.07</v>
      </c>
      <c r="H14" s="2" t="n">
        <f aca="false">F10</f>
        <v>4786.1</v>
      </c>
      <c r="I14" s="2" t="n">
        <f aca="false">F8</f>
        <v>4772.67</v>
      </c>
      <c r="J14" s="2" t="n">
        <f aca="false">F6</f>
        <v>4805.21</v>
      </c>
      <c r="K14" s="2" t="n">
        <f aca="false">F4</f>
        <v>4787.17</v>
      </c>
      <c r="L14" s="2" t="n">
        <f aca="false">F2</f>
        <v>4786.23</v>
      </c>
      <c r="R14" s="1" t="n">
        <v>-27.14</v>
      </c>
      <c r="S14" s="2" t="n">
        <f aca="false">R12</f>
        <v>-33.05</v>
      </c>
      <c r="T14" s="2" t="n">
        <f aca="false">R10</f>
        <v>-12.48</v>
      </c>
      <c r="U14" s="2" t="n">
        <f aca="false">R8</f>
        <v>-51.14</v>
      </c>
      <c r="V14" s="2" t="n">
        <f aca="false">R6</f>
        <v>-33.17</v>
      </c>
      <c r="W14" s="2" t="n">
        <f aca="false">R4</f>
        <v>-43.22</v>
      </c>
      <c r="X14" s="2" t="n">
        <f aca="false">R2</f>
        <v>-84.99</v>
      </c>
      <c r="AD14" s="1" t="n">
        <v>-0.56</v>
      </c>
      <c r="AE14" s="2" t="n">
        <f aca="false">AD12</f>
        <v>-0.69</v>
      </c>
      <c r="AF14" s="2" t="n">
        <f aca="false">AD10</f>
        <v>-0.26</v>
      </c>
      <c r="AG14" s="2" t="n">
        <f aca="false">AD8</f>
        <v>-1.06</v>
      </c>
      <c r="AH14" s="2" t="n">
        <f aca="false">AD6</f>
        <v>-0.69</v>
      </c>
      <c r="AI14" s="2" t="n">
        <f aca="false">AD4</f>
        <v>-0.89</v>
      </c>
      <c r="AJ14" s="2" t="n">
        <f aca="false">AD2</f>
        <v>-1.74</v>
      </c>
      <c r="AP14" s="1" t="n">
        <v>3</v>
      </c>
      <c r="AQ14" s="2" t="n">
        <f aca="false">AP12</f>
        <v>3</v>
      </c>
      <c r="AR14" s="2" t="n">
        <f aca="false">AP10</f>
        <v>3</v>
      </c>
      <c r="AS14" s="2" t="n">
        <f aca="false">AP8</f>
        <v>3</v>
      </c>
      <c r="AT14" s="2" t="n">
        <f aca="false">AP6</f>
        <v>3</v>
      </c>
      <c r="AU14" s="2" t="n">
        <f aca="false">AP4</f>
        <v>3</v>
      </c>
      <c r="AV14" s="2" t="n">
        <f aca="false">AP2</f>
        <v>3</v>
      </c>
      <c r="BB14" s="1" t="n">
        <v>11</v>
      </c>
      <c r="BC14" s="2" t="n">
        <f aca="false">BB12</f>
        <v>3</v>
      </c>
      <c r="BD14" s="2" t="n">
        <f aca="false">BB10</f>
        <v>13</v>
      </c>
      <c r="BE14" s="2" t="n">
        <f aca="false">BB8</f>
        <v>4</v>
      </c>
      <c r="BF14" s="2" t="n">
        <f aca="false">BB6</f>
        <v>22</v>
      </c>
      <c r="BG14" s="2" t="n">
        <f aca="false">BB4</f>
        <v>5</v>
      </c>
      <c r="BH14" s="2" t="n">
        <f aca="false">BB2</f>
        <v>34</v>
      </c>
      <c r="BN14" s="1" t="n">
        <v>3</v>
      </c>
      <c r="BO14" s="2" t="n">
        <f aca="false">BN12</f>
        <v>3</v>
      </c>
      <c r="BP14" s="2" t="n">
        <f aca="false">BN10</f>
        <v>3</v>
      </c>
      <c r="BQ14" s="2" t="n">
        <f aca="false">BN8</f>
        <v>3</v>
      </c>
      <c r="BR14" s="2" t="n">
        <f aca="false">BN6</f>
        <v>3</v>
      </c>
      <c r="BS14" s="2" t="n">
        <f aca="false">BN4</f>
        <v>3</v>
      </c>
      <c r="BT14" s="2" t="n">
        <f aca="false">BN2</f>
        <v>3</v>
      </c>
      <c r="BZ14" s="1" t="n">
        <v>-2.46727</v>
      </c>
      <c r="CA14" s="2" t="n">
        <f aca="false">BZ12</f>
        <v>-11.01667</v>
      </c>
      <c r="CB14" s="2" t="n">
        <f aca="false">BZ10</f>
        <v>-0.96</v>
      </c>
      <c r="CC14" s="2" t="n">
        <f aca="false">BZ8</f>
        <v>-12.785</v>
      </c>
      <c r="CD14" s="2" t="n">
        <f aca="false">BZ6</f>
        <v>-1.50773</v>
      </c>
      <c r="CE14" s="2" t="n">
        <f aca="false">BZ4</f>
        <v>-8.644</v>
      </c>
      <c r="CF14" s="2" t="n">
        <f aca="false">BZ2</f>
        <v>-2.49971</v>
      </c>
      <c r="CL14" s="1" t="n">
        <v>3</v>
      </c>
      <c r="CM14" s="2" t="n">
        <f aca="false">CL12</f>
        <v>5</v>
      </c>
      <c r="CN14" s="2" t="n">
        <f aca="false">CL10</f>
        <v>3</v>
      </c>
      <c r="CO14" s="2" t="n">
        <f aca="false">CL8</f>
        <v>5</v>
      </c>
      <c r="CP14" s="2" t="n">
        <f aca="false">CL6</f>
        <v>3</v>
      </c>
      <c r="CQ14" s="2" t="n">
        <f aca="false">CL4</f>
        <v>3</v>
      </c>
      <c r="CR14" s="2" t="n">
        <f aca="false">CL2</f>
        <v>3</v>
      </c>
      <c r="CX14" s="1" t="n">
        <v>-67.937</v>
      </c>
      <c r="CY14" s="2" t="n">
        <f aca="false">CX12</f>
        <v>-84.8134</v>
      </c>
      <c r="CZ14" s="2" t="n">
        <f aca="false">CX10</f>
        <v>-43.8309</v>
      </c>
      <c r="DA14" s="2" t="n">
        <f aca="false">CX8</f>
        <v>-85.5276</v>
      </c>
      <c r="DB14" s="2" t="n">
        <f aca="false">CX6</f>
        <v>-56.4457</v>
      </c>
      <c r="DC14" s="2" t="n">
        <f aca="false">CX4</f>
        <v>-83.4009</v>
      </c>
      <c r="DD14" s="2" t="n">
        <f aca="false">CX2</f>
        <v>-68.1963</v>
      </c>
      <c r="DJ14" s="1" t="s">
        <v>175</v>
      </c>
      <c r="DK14" s="2" t="str">
        <f aca="false">DJ12</f>
        <v>LL</v>
      </c>
      <c r="DL14" s="2" t="str">
        <f aca="false">DJ10</f>
        <v>HL</v>
      </c>
      <c r="DM14" s="2" t="str">
        <f aca="false">DJ8</f>
        <v>LL</v>
      </c>
      <c r="DN14" s="2" t="str">
        <f aca="false">DJ6</f>
        <v>HL</v>
      </c>
      <c r="DO14" s="2" t="str">
        <f aca="false">DJ4</f>
        <v>HL</v>
      </c>
      <c r="DP14" s="2" t="str">
        <f aca="false">DJ2</f>
        <v>LL</v>
      </c>
      <c r="DV14" s="2" t="n">
        <f aca="false">IFERROR((G14-$F14)/$F14*100,"")</f>
        <v>-0.2251597148256</v>
      </c>
      <c r="DW14" s="2" t="n">
        <f aca="false">IFERROR((H14-$F14)/$F14*100,"")</f>
        <v>0.152129286875667</v>
      </c>
      <c r="DX14" s="2" t="n">
        <f aca="false">IFERROR((I14-$F14)/$F14*100,"")</f>
        <v>-0.128901844175245</v>
      </c>
      <c r="DY14" s="2" t="n">
        <f aca="false">IFERROR((J14-$F14)/$F14*100,"")</f>
        <v>0.552017962555691</v>
      </c>
      <c r="DZ14" s="2" t="n">
        <f aca="false">IFERROR((K14-$F14)/$F14*100,"")</f>
        <v>0.174519704613894</v>
      </c>
      <c r="EA14" s="2" t="n">
        <f aca="false">IFERROR((L14-$F14)/$F14*100,"")</f>
        <v>0.154849618002725</v>
      </c>
      <c r="EG14" s="2" t="str">
        <f aca="false">IF(DV14="","",IF(AND(ABS(DV14)&lt;=0.25,$E14="Bottom",DK14="LL"),"EQL",IF(AND(ABS(DV14)&lt;=0.25,$E14="Peak",DK14="HH"),"EQH","")))</f>
        <v>EQL</v>
      </c>
      <c r="EH14" s="2" t="str">
        <f aca="false">IF(DW14="","",IF(AND(ABS(DW14)&lt;=0.25,$E14="Bottom",DL14="LL"),"EQL",IF(AND(ABS(DW14)&lt;=0.25,$E14="Peak",DL14="HH"),"EQH","")))</f>
        <v/>
      </c>
      <c r="EI14" s="2" t="str">
        <f aca="false">IF(DX14="","",IF(AND(ABS(DX14)&lt;=0.25,$E14="Bottom",DM14="LL"),"EQL",IF(AND(ABS(DX14)&lt;=0.25,$E14="Peak",DM14="HH"),"EQH","")))</f>
        <v>EQL</v>
      </c>
      <c r="EJ14" s="2" t="str">
        <f aca="false">IF(DY14="","",IF(AND(ABS(DY14)&lt;=0.25,$E14="Bottom",DN14="LL"),"EQL",IF(AND(ABS(DY14)&lt;=0.25,$E14="Peak",DN14="HH"),"EQH","")))</f>
        <v/>
      </c>
      <c r="EK14" s="2" t="str">
        <f aca="false">IF(DZ14="","",IF(AND(ABS(DZ14)&lt;=0.25,$E14="Bottom",DO14="LL"),"EQL",IF(AND(ABS(DZ14)&lt;=0.25,$E14="Peak",DO14="HH"),"EQH","")))</f>
        <v/>
      </c>
      <c r="EL14" s="2" t="str">
        <f aca="false">IF(EA14="","",IF(AND(ABS(EA14)&lt;=0.25,$E14="Bottom",DP14="LL"),"EQL",IF(AND(ABS(EA14)&lt;=0.25,$E14="Peak",DP14="HH"),"EQH","")))</f>
        <v>EQL</v>
      </c>
      <c r="EM14" s="2" t="str">
        <f aca="false">IF(EB14="","",IF(AND(ABS(EB14)&lt;=0.25,$E14="Bottom",DQ14="LL"),"EQL",IF(AND(ABS(EB14)&lt;=0.25,$E14="Peak",DQ14="HH"),"EQH","")))</f>
        <v/>
      </c>
      <c r="EN14" s="2" t="str">
        <f aca="false">IF(EC14="","",IF(AND(ABS(EC14)&lt;=0.25,$E14="Bottom",DR14="LL"),"EQL",IF(AND(ABS(EC14)&lt;=0.25,$E14="Peak",DR14="HH"),"EQH","")))</f>
        <v/>
      </c>
      <c r="EO14" s="2" t="str">
        <f aca="false">IF(ED14="","",IF(AND(ABS(ED14)&lt;=0.25,$E14="Bottom",DS14="LL"),"EQL",IF(AND(ABS(ED14)&lt;=0.25,$E14="Peak",DS14="HH"),"EQH","")))</f>
        <v/>
      </c>
      <c r="EP14" s="2" t="str">
        <f aca="false">IF(EE14="","",IF(AND(ABS(EE14)&lt;=0.25,$E14="Bottom",DT14="LL"),"EQL",IF(AND(ABS(EE14)&lt;=0.25,$E14="Peak",DT14="HH"),"EQH","")))</f>
        <v/>
      </c>
      <c r="EQ14" s="2" t="str">
        <f aca="false">IF(EF14="","",IF(AND(ABS(EF14)&lt;=0.25,$E14="Bottom",DU14="LL"),"EQL",IF(AND(ABS(EF14)&lt;=0.25,$E14="Peak",DU14="HH"),"EQH","")))</f>
        <v/>
      </c>
      <c r="ER14" s="2" t="n">
        <f aca="false">IF(OR(EG14="EQL",EG14="EQH"),G14,"")</f>
        <v>4768.07</v>
      </c>
      <c r="ES14" s="2" t="str">
        <f aca="false">IF(OR(EH14="EQL",EH14="EQH"),H14,"")</f>
        <v/>
      </c>
      <c r="ET14" s="2" t="n">
        <f aca="false">IF(OR(EI14="EQL",EI14="EQH"),I14,"")</f>
        <v>4772.67</v>
      </c>
      <c r="EU14" s="2" t="str">
        <f aca="false">IF(OR(EJ14="EQL",EJ14="EQH"),J14,"")</f>
        <v/>
      </c>
      <c r="EV14" s="2" t="str">
        <f aca="false">IF(OR(EK14="EQL",EK14="EQH"),K14,"")</f>
        <v/>
      </c>
      <c r="EW14" s="2" t="n">
        <f aca="false">IF(OR(EL14="EQL",EL14="EQH"),L14,"")</f>
        <v>4786.23</v>
      </c>
      <c r="EX14" s="2" t="str">
        <f aca="false">IF(OR(EM14="EQL",EM14="EQH"),M14,"")</f>
        <v/>
      </c>
      <c r="EY14" s="2" t="str">
        <f aca="false">IF(OR(EN14="EQL",EN14="EQH"),N14,"")</f>
        <v/>
      </c>
      <c r="EZ14" s="2" t="str">
        <f aca="false">IF(OR(EO14="EQL",EO14="EQH"),O14,"")</f>
        <v/>
      </c>
      <c r="FA14" s="2" t="str">
        <f aca="false">IF(OR(EP14="EQL",EP14="EQH"),P14,"")</f>
        <v/>
      </c>
      <c r="FB14" s="2" t="str">
        <f aca="false">IF(OR(EQ14="EQL",EQ14="EQH"),Q14,"")</f>
        <v/>
      </c>
      <c r="FC14" s="2" t="str">
        <f aca="false">IF(AND(EG14="EQL",OR(AQ14=4,AQ14=5)),"IEQL",IF(AND(EG14="EQH",OR(AQ14=1,AQ14=2)),"IEQH",""))</f>
        <v/>
      </c>
      <c r="FD14" s="2" t="str">
        <f aca="false">IF(AND(EH14="EQL",OR(AR14=4,AR14=5)),"IEQL",IF(AND(EH14="EQH",OR(AR14=1,AR14=2)),"IEQH",""))</f>
        <v/>
      </c>
      <c r="FE14" s="2" t="str">
        <f aca="false">IF(AND(EI14="EQL",OR(AS14=4,AS14=5)),"IEQL",IF(AND(EI14="EQH",OR(AS14=1,AS14=2)),"IEQH",""))</f>
        <v/>
      </c>
      <c r="FF14" s="2" t="str">
        <f aca="false">IF(AND(EJ14="EQL",OR(AT14=4,AT14=5)),"IEQL",IF(AND(EJ14="EQH",OR(AT14=1,AT14=2)),"IEQH",""))</f>
        <v/>
      </c>
      <c r="FG14" s="2" t="str">
        <f aca="false">IF(AND(EK14="EQL",OR(AU14=4,AU14=5)),"IEQL",IF(AND(EK14="EQH",OR(AU14=1,AU14=2)),"IEQH",""))</f>
        <v/>
      </c>
      <c r="FH14" s="2" t="str">
        <f aca="false">IF(AND(EL14="EQL",OR(AV14=4,AV14=5)),"IEQL",IF(AND(EL14="EQH",OR(AV14=1,AV14=2)),"IEQH",""))</f>
        <v/>
      </c>
      <c r="FI14" s="2" t="str">
        <f aca="false">IF(AND(EM14="EQL",OR(AW14=4,AW14=5)),"IEQL",IF(AND(EM14="EQH",OR(AW14=1,AW14=2)),"IEQH",""))</f>
        <v/>
      </c>
      <c r="FJ14" s="2" t="str">
        <f aca="false">IF(AND(EN14="EQL",OR(AX14=4,AX14=5)),"IEQL",IF(AND(EN14="EQH",OR(AX14=1,AX14=2)),"IEQH",""))</f>
        <v/>
      </c>
      <c r="FK14" s="2" t="str">
        <f aca="false">IF(AND(EO14="EQL",OR(AY14=4,AY14=5)),"IEQL",IF(AND(EO14="EQH",OR(AY14=1,AY14=2)),"IEQH",""))</f>
        <v/>
      </c>
      <c r="FL14" s="2" t="str">
        <f aca="false">IF(AND(EP14="EQL",OR(AZ14=4,AZ14=5)),"IEQL",IF(AND(EP14="EQH",OR(AZ14=1,AZ14=2)),"IEQH",""))</f>
        <v/>
      </c>
      <c r="FM14" s="2" t="str">
        <f aca="false">IF(AND(EQ14="EQL",OR(BA14=4,BA14=5)),"IEQL",IF(AND(EQ14="EQH",OR(BA14=1,BA14=2)),"IEQH",""))</f>
        <v/>
      </c>
    </row>
    <row r="15" customFormat="false" ht="14.25" hidden="false" customHeight="false" outlineLevel="0" collapsed="false">
      <c r="A15" s="1" t="n">
        <v>1776430802</v>
      </c>
      <c r="B15" s="1" t="s">
        <v>169</v>
      </c>
      <c r="C15" s="1" t="s">
        <v>170</v>
      </c>
      <c r="D15" s="1" t="n">
        <v>4883.6</v>
      </c>
      <c r="E15" s="1" t="s">
        <v>173</v>
      </c>
      <c r="F15" s="1" t="n">
        <v>4889.21</v>
      </c>
      <c r="G15" s="2" t="n">
        <f aca="false">F13</f>
        <v>4805.97</v>
      </c>
      <c r="H15" s="2" t="n">
        <f aca="false">F11</f>
        <v>4801.12</v>
      </c>
      <c r="I15" s="2" t="n">
        <f aca="false">F9</f>
        <v>4798.58</v>
      </c>
      <c r="J15" s="2" t="n">
        <f aca="false">F7</f>
        <v>4823.81</v>
      </c>
      <c r="K15" s="2" t="n">
        <f aca="false">F5</f>
        <v>4838.38</v>
      </c>
      <c r="L15" s="2" t="n">
        <f aca="false">F3</f>
        <v>4830.39</v>
      </c>
      <c r="R15" s="1" t="n">
        <v>110.38</v>
      </c>
      <c r="S15" s="2" t="n">
        <f aca="false">R13</f>
        <v>37.9</v>
      </c>
      <c r="T15" s="2" t="n">
        <f aca="false">R11</f>
        <v>15.02</v>
      </c>
      <c r="U15" s="2" t="n">
        <f aca="false">R9</f>
        <v>25.91</v>
      </c>
      <c r="V15" s="2" t="n">
        <f aca="false">R7</f>
        <v>18.6</v>
      </c>
      <c r="W15" s="2" t="n">
        <f aca="false">R5</f>
        <v>51.21</v>
      </c>
      <c r="X15" s="2" t="n">
        <f aca="false">R3</f>
        <v>44.16</v>
      </c>
      <c r="AD15" s="1" t="n">
        <v>2.31</v>
      </c>
      <c r="AE15" s="2" t="n">
        <f aca="false">AD13</f>
        <v>0.79</v>
      </c>
      <c r="AF15" s="2" t="n">
        <f aca="false">AD11</f>
        <v>0.31</v>
      </c>
      <c r="AG15" s="2" t="n">
        <f aca="false">AD9</f>
        <v>0.54</v>
      </c>
      <c r="AH15" s="2" t="n">
        <f aca="false">AD7</f>
        <v>0.39</v>
      </c>
      <c r="AI15" s="2" t="n">
        <f aca="false">AD5</f>
        <v>1.07</v>
      </c>
      <c r="AJ15" s="2" t="n">
        <f aca="false">AD3</f>
        <v>0.92</v>
      </c>
      <c r="AP15" s="1" t="n">
        <v>0</v>
      </c>
      <c r="AQ15" s="2" t="n">
        <f aca="false">AP13</f>
        <v>0</v>
      </c>
      <c r="AR15" s="2" t="n">
        <f aca="false">AP11</f>
        <v>0</v>
      </c>
      <c r="AS15" s="2" t="n">
        <f aca="false">AP9</f>
        <v>0</v>
      </c>
      <c r="AT15" s="2" t="n">
        <f aca="false">AP7</f>
        <v>0</v>
      </c>
      <c r="AU15" s="2" t="n">
        <f aca="false">AP5</f>
        <v>0</v>
      </c>
      <c r="AV15" s="2" t="n">
        <f aca="false">AP3</f>
        <v>0</v>
      </c>
      <c r="BB15" s="1" t="n">
        <v>21</v>
      </c>
      <c r="BC15" s="2" t="n">
        <f aca="false">BB13</f>
        <v>14</v>
      </c>
      <c r="BD15" s="2" t="n">
        <f aca="false">BB11</f>
        <v>3</v>
      </c>
      <c r="BE15" s="2" t="n">
        <f aca="false">BB9</f>
        <v>21</v>
      </c>
      <c r="BF15" s="2" t="n">
        <f aca="false">BB7</f>
        <v>12</v>
      </c>
      <c r="BG15" s="2" t="n">
        <f aca="false">BB5</f>
        <v>50</v>
      </c>
      <c r="BH15" s="2" t="n">
        <f aca="false">BB3</f>
        <v>18</v>
      </c>
      <c r="BN15" s="1" t="n">
        <v>0</v>
      </c>
      <c r="BO15" s="2" t="n">
        <f aca="false">BN13</f>
        <v>0</v>
      </c>
      <c r="BP15" s="2" t="n">
        <f aca="false">BN11</f>
        <v>0</v>
      </c>
      <c r="BQ15" s="2" t="n">
        <f aca="false">BN9</f>
        <v>0</v>
      </c>
      <c r="BR15" s="2" t="n">
        <f aca="false">BN7</f>
        <v>0</v>
      </c>
      <c r="BS15" s="2" t="n">
        <f aca="false">BN5</f>
        <v>2</v>
      </c>
      <c r="BT15" s="2" t="n">
        <f aca="false">BN3</f>
        <v>0</v>
      </c>
      <c r="BZ15" s="1" t="n">
        <v>5.25619</v>
      </c>
      <c r="CA15" s="2" t="n">
        <f aca="false">BZ13</f>
        <v>2.70714</v>
      </c>
      <c r="CB15" s="2" t="n">
        <f aca="false">BZ11</f>
        <v>5.00667</v>
      </c>
      <c r="CC15" s="2" t="n">
        <f aca="false">BZ9</f>
        <v>1.23381</v>
      </c>
      <c r="CD15" s="2" t="n">
        <f aca="false">BZ7</f>
        <v>1.55</v>
      </c>
      <c r="CE15" s="2" t="n">
        <f aca="false">BZ5</f>
        <v>1.0242</v>
      </c>
      <c r="CF15" s="2" t="n">
        <f aca="false">BZ3</f>
        <v>2.45333</v>
      </c>
      <c r="CL15" s="1" t="n">
        <v>0</v>
      </c>
      <c r="CM15" s="2" t="n">
        <f aca="false">CL13</f>
        <v>0</v>
      </c>
      <c r="CN15" s="2" t="n">
        <f aca="false">CL11</f>
        <v>0</v>
      </c>
      <c r="CO15" s="2" t="n">
        <f aca="false">CL9</f>
        <v>0</v>
      </c>
      <c r="CP15" s="2" t="n">
        <f aca="false">CL7</f>
        <v>0</v>
      </c>
      <c r="CQ15" s="2" t="n">
        <f aca="false">CL5</f>
        <v>0</v>
      </c>
      <c r="CR15" s="2" t="n">
        <f aca="false">CL3</f>
        <v>0</v>
      </c>
      <c r="CX15" s="1" t="n">
        <v>79.2281</v>
      </c>
      <c r="CY15" s="2" t="n">
        <f aca="false">CX13</f>
        <v>69.7261</v>
      </c>
      <c r="CZ15" s="2" t="n">
        <f aca="false">CX11</f>
        <v>78.7047</v>
      </c>
      <c r="DA15" s="2" t="n">
        <f aca="false">CX9</f>
        <v>50.9753</v>
      </c>
      <c r="DB15" s="2" t="n">
        <f aca="false">CX7</f>
        <v>57.1715</v>
      </c>
      <c r="DC15" s="2" t="n">
        <f aca="false">CX5</f>
        <v>45.685</v>
      </c>
      <c r="DD15" s="2" t="n">
        <f aca="false">CX3</f>
        <v>67.8238</v>
      </c>
      <c r="DJ15" s="1" t="s">
        <v>176</v>
      </c>
      <c r="DK15" s="2" t="str">
        <f aca="false">DJ13</f>
        <v>HH</v>
      </c>
      <c r="DL15" s="2" t="str">
        <f aca="false">DJ11</f>
        <v>HH</v>
      </c>
      <c r="DM15" s="2" t="str">
        <f aca="false">DJ9</f>
        <v>LH</v>
      </c>
      <c r="DN15" s="2" t="str">
        <f aca="false">DJ7</f>
        <v>LH</v>
      </c>
      <c r="DO15" s="2" t="str">
        <f aca="false">DJ5</f>
        <v>HH</v>
      </c>
      <c r="DP15" s="2" t="str">
        <f aca="false">DJ3</f>
        <v>LH</v>
      </c>
      <c r="DV15" s="2" t="n">
        <f aca="false">IFERROR((G15-$F15)/$F15*100,"")</f>
        <v>-1.70252453872916</v>
      </c>
      <c r="DW15" s="2" t="n">
        <f aca="false">IFERROR((H15-$F15)/$F15*100,"")</f>
        <v>-1.80172256867674</v>
      </c>
      <c r="DX15" s="2" t="n">
        <f aca="false">IFERROR((I15-$F15)/$F15*100,"")</f>
        <v>-1.8536737018864</v>
      </c>
      <c r="DY15" s="2" t="n">
        <f aca="false">IFERROR((J15-$F15)/$F15*100,"")</f>
        <v>-1.33763941413847</v>
      </c>
      <c r="DZ15" s="2" t="n">
        <f aca="false">IFERROR((K15-$F15)/$F15*100,"")</f>
        <v>-1.03963626025472</v>
      </c>
      <c r="EA15" s="2" t="n">
        <f aca="false">IFERROR((L15-$F15)/$F15*100,"")</f>
        <v>-1.20305734464258</v>
      </c>
      <c r="EG15" s="2" t="str">
        <f aca="false">IF(DV15="","",IF(AND(ABS(DV15)&lt;=0.25,$E15="Bottom",DK15="LL"),"EQL",IF(AND(ABS(DV15)&lt;=0.25,$E15="Peak",DK15="HH"),"EQH","")))</f>
        <v/>
      </c>
      <c r="EH15" s="2" t="str">
        <f aca="false">IF(DW15="","",IF(AND(ABS(DW15)&lt;=0.25,$E15="Bottom",DL15="LL"),"EQL",IF(AND(ABS(DW15)&lt;=0.25,$E15="Peak",DL15="HH"),"EQH","")))</f>
        <v/>
      </c>
      <c r="EI15" s="2" t="str">
        <f aca="false">IF(DX15="","",IF(AND(ABS(DX15)&lt;=0.25,$E15="Bottom",DM15="LL"),"EQL",IF(AND(ABS(DX15)&lt;=0.25,$E15="Peak",DM15="HH"),"EQH","")))</f>
        <v/>
      </c>
      <c r="EJ15" s="2" t="str">
        <f aca="false">IF(DY15="","",IF(AND(ABS(DY15)&lt;=0.25,$E15="Bottom",DN15="LL"),"EQL",IF(AND(ABS(DY15)&lt;=0.25,$E15="Peak",DN15="HH"),"EQH","")))</f>
        <v/>
      </c>
      <c r="EK15" s="2" t="str">
        <f aca="false">IF(DZ15="","",IF(AND(ABS(DZ15)&lt;=0.25,$E15="Bottom",DO15="LL"),"EQL",IF(AND(ABS(DZ15)&lt;=0.25,$E15="Peak",DO15="HH"),"EQH","")))</f>
        <v/>
      </c>
      <c r="EL15" s="2" t="str">
        <f aca="false">IF(EA15="","",IF(AND(ABS(EA15)&lt;=0.25,$E15="Bottom",DP15="LL"),"EQL",IF(AND(ABS(EA15)&lt;=0.25,$E15="Peak",DP15="HH"),"EQH","")))</f>
        <v/>
      </c>
      <c r="EM15" s="2" t="str">
        <f aca="false">IF(EB15="","",IF(AND(ABS(EB15)&lt;=0.25,$E15="Bottom",DQ15="LL"),"EQL",IF(AND(ABS(EB15)&lt;=0.25,$E15="Peak",DQ15="HH"),"EQH","")))</f>
        <v/>
      </c>
      <c r="EN15" s="2" t="str">
        <f aca="false">IF(EC15="","",IF(AND(ABS(EC15)&lt;=0.25,$E15="Bottom",DR15="LL"),"EQL",IF(AND(ABS(EC15)&lt;=0.25,$E15="Peak",DR15="HH"),"EQH","")))</f>
        <v/>
      </c>
      <c r="EO15" s="2" t="str">
        <f aca="false">IF(ED15="","",IF(AND(ABS(ED15)&lt;=0.25,$E15="Bottom",DS15="LL"),"EQL",IF(AND(ABS(ED15)&lt;=0.25,$E15="Peak",DS15="HH"),"EQH","")))</f>
        <v/>
      </c>
      <c r="EP15" s="2" t="str">
        <f aca="false">IF(EE15="","",IF(AND(ABS(EE15)&lt;=0.25,$E15="Bottom",DT15="LL"),"EQL",IF(AND(ABS(EE15)&lt;=0.25,$E15="Peak",DT15="HH"),"EQH","")))</f>
        <v/>
      </c>
      <c r="EQ15" s="2" t="str">
        <f aca="false">IF(EF15="","",IF(AND(ABS(EF15)&lt;=0.25,$E15="Bottom",DU15="LL"),"EQL",IF(AND(ABS(EF15)&lt;=0.25,$E15="Peak",DU15="HH"),"EQH","")))</f>
        <v/>
      </c>
      <c r="ER15" s="2" t="str">
        <f aca="false">IF(OR(EG15="EQL",EG15="EQH"),G15,"")</f>
        <v/>
      </c>
      <c r="ES15" s="2" t="str">
        <f aca="false">IF(OR(EH15="EQL",EH15="EQH"),H15,"")</f>
        <v/>
      </c>
      <c r="ET15" s="2" t="str">
        <f aca="false">IF(OR(EI15="EQL",EI15="EQH"),I15,"")</f>
        <v/>
      </c>
      <c r="EU15" s="2" t="str">
        <f aca="false">IF(OR(EJ15="EQL",EJ15="EQH"),J15,"")</f>
        <v/>
      </c>
      <c r="EV15" s="2" t="str">
        <f aca="false">IF(OR(EK15="EQL",EK15="EQH"),K15,"")</f>
        <v/>
      </c>
      <c r="EW15" s="2" t="str">
        <f aca="false">IF(OR(EL15="EQL",EL15="EQH"),L15,"")</f>
        <v/>
      </c>
      <c r="EX15" s="2" t="str">
        <f aca="false">IF(OR(EM15="EQL",EM15="EQH"),M15,"")</f>
        <v/>
      </c>
      <c r="EY15" s="2" t="str">
        <f aca="false">IF(OR(EN15="EQL",EN15="EQH"),N15,"")</f>
        <v/>
      </c>
      <c r="EZ15" s="2" t="str">
        <f aca="false">IF(OR(EO15="EQL",EO15="EQH"),O15,"")</f>
        <v/>
      </c>
      <c r="FA15" s="2" t="str">
        <f aca="false">IF(OR(EP15="EQL",EP15="EQH"),P15,"")</f>
        <v/>
      </c>
      <c r="FB15" s="2" t="str">
        <f aca="false">IF(OR(EQ15="EQL",EQ15="EQH"),Q15,"")</f>
        <v/>
      </c>
      <c r="FC15" s="2" t="str">
        <f aca="false">IF(AND(EG15="EQL",OR(AQ15=4,AQ15=5)),"IEQL",IF(AND(EG15="EQH",OR(AQ15=1,AQ15=2)),"IEQH",""))</f>
        <v/>
      </c>
      <c r="FD15" s="2" t="str">
        <f aca="false">IF(AND(EH15="EQL",OR(AR15=4,AR15=5)),"IEQL",IF(AND(EH15="EQH",OR(AR15=1,AR15=2)),"IEQH",""))</f>
        <v/>
      </c>
      <c r="FE15" s="2" t="str">
        <f aca="false">IF(AND(EI15="EQL",OR(AS15=4,AS15=5)),"IEQL",IF(AND(EI15="EQH",OR(AS15=1,AS15=2)),"IEQH",""))</f>
        <v/>
      </c>
      <c r="FF15" s="2" t="str">
        <f aca="false">IF(AND(EJ15="EQL",OR(AT15=4,AT15=5)),"IEQL",IF(AND(EJ15="EQH",OR(AT15=1,AT15=2)),"IEQH",""))</f>
        <v/>
      </c>
      <c r="FG15" s="2" t="str">
        <f aca="false">IF(AND(EK15="EQL",OR(AU15=4,AU15=5)),"IEQL",IF(AND(EK15="EQH",OR(AU15=1,AU15=2)),"IEQH",""))</f>
        <v/>
      </c>
      <c r="FH15" s="2" t="str">
        <f aca="false">IF(AND(EL15="EQL",OR(AV15=4,AV15=5)),"IEQL",IF(AND(EL15="EQH",OR(AV15=1,AV15=2)),"IEQH",""))</f>
        <v/>
      </c>
      <c r="FI15" s="2" t="str">
        <f aca="false">IF(AND(EM15="EQL",OR(AW15=4,AW15=5)),"IEQL",IF(AND(EM15="EQH",OR(AW15=1,AW15=2)),"IEQH",""))</f>
        <v/>
      </c>
      <c r="FJ15" s="2" t="str">
        <f aca="false">IF(AND(EN15="EQL",OR(AX15=4,AX15=5)),"IEQL",IF(AND(EN15="EQH",OR(AX15=1,AX15=2)),"IEQH",""))</f>
        <v/>
      </c>
      <c r="FK15" s="2" t="str">
        <f aca="false">IF(AND(EO15="EQL",OR(AY15=4,AY15=5)),"IEQL",IF(AND(EO15="EQH",OR(AY15=1,AY15=2)),"IEQH",""))</f>
        <v/>
      </c>
      <c r="FL15" s="2" t="str">
        <f aca="false">IF(AND(EP15="EQL",OR(AZ15=4,AZ15=5)),"IEQL",IF(AND(EP15="EQH",OR(AZ15=1,AZ15=2)),"IEQH",""))</f>
        <v/>
      </c>
      <c r="FM15" s="2" t="str">
        <f aca="false">IF(AND(EQ15="EQL",OR(BA15=4,BA15=5)),"IEQL",IF(AND(EQ15="EQH",OR(BA15=1,BA15=2)),"IEQH",""))</f>
        <v/>
      </c>
    </row>
    <row r="16" customFormat="false" ht="14.25" hidden="false" customHeight="false" outlineLevel="0" collapsed="false">
      <c r="A16" s="1" t="n">
        <v>1776642302</v>
      </c>
      <c r="B16" s="1" t="s">
        <v>169</v>
      </c>
      <c r="C16" s="1" t="s">
        <v>170</v>
      </c>
      <c r="D16" s="1" t="n">
        <v>4755.07</v>
      </c>
      <c r="E16" s="1" t="s">
        <v>171</v>
      </c>
      <c r="F16" s="1" t="n">
        <v>4736.96</v>
      </c>
      <c r="G16" s="2" t="n">
        <f aca="false">F14</f>
        <v>4778.83</v>
      </c>
      <c r="H16" s="2" t="n">
        <f aca="false">F12</f>
        <v>4768.07</v>
      </c>
      <c r="I16" s="2" t="n">
        <f aca="false">F10</f>
        <v>4786.1</v>
      </c>
      <c r="J16" s="2" t="n">
        <f aca="false">F8</f>
        <v>4772.67</v>
      </c>
      <c r="K16" s="2" t="n">
        <f aca="false">F6</f>
        <v>4805.21</v>
      </c>
      <c r="L16" s="2" t="n">
        <f aca="false">F4</f>
        <v>4787.17</v>
      </c>
      <c r="M16" s="2" t="n">
        <f aca="false">F2</f>
        <v>4786.23</v>
      </c>
      <c r="R16" s="1" t="n">
        <v>-152.25</v>
      </c>
      <c r="S16" s="2" t="n">
        <f aca="false">R14</f>
        <v>-27.14</v>
      </c>
      <c r="T16" s="2" t="n">
        <f aca="false">R12</f>
        <v>-33.05</v>
      </c>
      <c r="U16" s="2" t="n">
        <f aca="false">R10</f>
        <v>-12.48</v>
      </c>
      <c r="V16" s="2" t="n">
        <f aca="false">R8</f>
        <v>-51.14</v>
      </c>
      <c r="W16" s="2" t="n">
        <f aca="false">R6</f>
        <v>-33.17</v>
      </c>
      <c r="X16" s="2" t="n">
        <f aca="false">R4</f>
        <v>-43.22</v>
      </c>
      <c r="Y16" s="2" t="n">
        <f aca="false">R2</f>
        <v>-84.99</v>
      </c>
      <c r="AD16" s="1" t="n">
        <v>-3.11</v>
      </c>
      <c r="AE16" s="2" t="n">
        <f aca="false">AD14</f>
        <v>-0.56</v>
      </c>
      <c r="AF16" s="2" t="n">
        <f aca="false">AD12</f>
        <v>-0.69</v>
      </c>
      <c r="AG16" s="2" t="n">
        <f aca="false">AD10</f>
        <v>-0.26</v>
      </c>
      <c r="AH16" s="2" t="n">
        <f aca="false">AD8</f>
        <v>-1.06</v>
      </c>
      <c r="AI16" s="2" t="n">
        <f aca="false">AD6</f>
        <v>-0.69</v>
      </c>
      <c r="AJ16" s="2" t="n">
        <f aca="false">AD4</f>
        <v>-0.89</v>
      </c>
      <c r="AK16" s="2" t="n">
        <f aca="false">AD2</f>
        <v>-1.74</v>
      </c>
      <c r="AP16" s="1" t="n">
        <v>5</v>
      </c>
      <c r="AQ16" s="2" t="n">
        <f aca="false">AP14</f>
        <v>3</v>
      </c>
      <c r="AR16" s="2" t="n">
        <f aca="false">AP12</f>
        <v>3</v>
      </c>
      <c r="AS16" s="2" t="n">
        <f aca="false">AP10</f>
        <v>3</v>
      </c>
      <c r="AT16" s="2" t="n">
        <f aca="false">AP8</f>
        <v>3</v>
      </c>
      <c r="AU16" s="2" t="n">
        <f aca="false">AP6</f>
        <v>3</v>
      </c>
      <c r="AV16" s="2" t="n">
        <f aca="false">AP4</f>
        <v>3</v>
      </c>
      <c r="AW16" s="2" t="n">
        <f aca="false">AP2</f>
        <v>3</v>
      </c>
      <c r="BB16" s="1" t="n">
        <v>39</v>
      </c>
      <c r="BC16" s="2" t="n">
        <f aca="false">BB14</f>
        <v>11</v>
      </c>
      <c r="BD16" s="2" t="n">
        <f aca="false">BB12</f>
        <v>3</v>
      </c>
      <c r="BE16" s="2" t="n">
        <f aca="false">BB10</f>
        <v>13</v>
      </c>
      <c r="BF16" s="2" t="n">
        <f aca="false">BB8</f>
        <v>4</v>
      </c>
      <c r="BG16" s="2" t="n">
        <f aca="false">BB6</f>
        <v>22</v>
      </c>
      <c r="BH16" s="2" t="n">
        <f aca="false">BB4</f>
        <v>5</v>
      </c>
      <c r="BI16" s="2" t="n">
        <f aca="false">BB2</f>
        <v>34</v>
      </c>
      <c r="BN16" s="1" t="n">
        <v>4</v>
      </c>
      <c r="BO16" s="2" t="n">
        <f aca="false">BN14</f>
        <v>3</v>
      </c>
      <c r="BP16" s="2" t="n">
        <f aca="false">BN12</f>
        <v>3</v>
      </c>
      <c r="BQ16" s="2" t="n">
        <f aca="false">BN10</f>
        <v>3</v>
      </c>
      <c r="BR16" s="2" t="n">
        <f aca="false">BN8</f>
        <v>3</v>
      </c>
      <c r="BS16" s="2" t="n">
        <f aca="false">BN6</f>
        <v>3</v>
      </c>
      <c r="BT16" s="2" t="n">
        <f aca="false">BN4</f>
        <v>3</v>
      </c>
      <c r="BU16" s="2" t="n">
        <f aca="false">BN2</f>
        <v>3</v>
      </c>
      <c r="BZ16" s="1" t="n">
        <v>-3.90385</v>
      </c>
      <c r="CA16" s="2" t="n">
        <f aca="false">BZ14</f>
        <v>-2.46727</v>
      </c>
      <c r="CB16" s="2" t="n">
        <f aca="false">BZ12</f>
        <v>-11.01667</v>
      </c>
      <c r="CC16" s="2" t="n">
        <f aca="false">BZ10</f>
        <v>-0.96</v>
      </c>
      <c r="CD16" s="2" t="n">
        <f aca="false">BZ8</f>
        <v>-12.785</v>
      </c>
      <c r="CE16" s="2" t="n">
        <f aca="false">BZ6</f>
        <v>-1.50773</v>
      </c>
      <c r="CF16" s="2" t="n">
        <f aca="false">BZ4</f>
        <v>-8.644</v>
      </c>
      <c r="CG16" s="2" t="n">
        <f aca="false">BZ2</f>
        <v>-2.49971</v>
      </c>
      <c r="CL16" s="1" t="n">
        <v>3</v>
      </c>
      <c r="CM16" s="2" t="n">
        <f aca="false">CL14</f>
        <v>3</v>
      </c>
      <c r="CN16" s="2" t="n">
        <f aca="false">CL12</f>
        <v>5</v>
      </c>
      <c r="CO16" s="2" t="n">
        <f aca="false">CL10</f>
        <v>3</v>
      </c>
      <c r="CP16" s="2" t="n">
        <f aca="false">CL8</f>
        <v>5</v>
      </c>
      <c r="CQ16" s="2" t="n">
        <f aca="false">CL6</f>
        <v>3</v>
      </c>
      <c r="CR16" s="2" t="n">
        <f aca="false">CL4</f>
        <v>3</v>
      </c>
      <c r="CS16" s="2" t="n">
        <f aca="false">CL2</f>
        <v>3</v>
      </c>
      <c r="CX16" s="1" t="n">
        <v>-75.6322</v>
      </c>
      <c r="CY16" s="2" t="n">
        <f aca="false">CX14</f>
        <v>-67.937</v>
      </c>
      <c r="CZ16" s="2" t="n">
        <f aca="false">CX12</f>
        <v>-84.8134</v>
      </c>
      <c r="DA16" s="2" t="n">
        <f aca="false">CX10</f>
        <v>-43.8309</v>
      </c>
      <c r="DB16" s="2" t="n">
        <f aca="false">CX8</f>
        <v>-85.5276</v>
      </c>
      <c r="DC16" s="2" t="n">
        <f aca="false">CX6</f>
        <v>-56.4457</v>
      </c>
      <c r="DD16" s="2" t="n">
        <f aca="false">CX4</f>
        <v>-83.4009</v>
      </c>
      <c r="DE16" s="2" t="n">
        <f aca="false">CX2</f>
        <v>-68.1963</v>
      </c>
      <c r="DJ16" s="1" t="s">
        <v>172</v>
      </c>
      <c r="DK16" s="2" t="str">
        <f aca="false">DJ14</f>
        <v>HL</v>
      </c>
      <c r="DL16" s="2" t="str">
        <f aca="false">DJ12</f>
        <v>LL</v>
      </c>
      <c r="DM16" s="2" t="str">
        <f aca="false">DJ10</f>
        <v>HL</v>
      </c>
      <c r="DN16" s="2" t="str">
        <f aca="false">DJ8</f>
        <v>LL</v>
      </c>
      <c r="DO16" s="2" t="str">
        <f aca="false">DJ6</f>
        <v>HL</v>
      </c>
      <c r="DP16" s="2" t="str">
        <f aca="false">DJ4</f>
        <v>HL</v>
      </c>
      <c r="DQ16" s="2" t="str">
        <f aca="false">DJ2</f>
        <v>LL</v>
      </c>
      <c r="DV16" s="2" t="n">
        <f aca="false">IFERROR((G16-$F16)/$F16*100,"")</f>
        <v>0.883900222927783</v>
      </c>
      <c r="DW16" s="2" t="n">
        <f aca="false">IFERROR((H16-$F16)/$F16*100,"")</f>
        <v>0.656750320880896</v>
      </c>
      <c r="DX16" s="2" t="n">
        <f aca="false">IFERROR((I16-$F16)/$F16*100,"")</f>
        <v>1.03737418090928</v>
      </c>
      <c r="DY16" s="2" t="n">
        <f aca="false">IFERROR((J16-$F16)/$F16*100,"")</f>
        <v>0.753859015064515</v>
      </c>
      <c r="DZ16" s="2" t="n">
        <f aca="false">IFERROR((K16-$F16)/$F16*100,"")</f>
        <v>1.4407974734851</v>
      </c>
      <c r="EA16" s="2" t="n">
        <f aca="false">IFERROR((L16-$F16)/$F16*100,"")</f>
        <v>1.05996250759981</v>
      </c>
      <c r="EB16" s="2" t="n">
        <f aca="false">IFERROR((M16-$F16)/$F16*100,"")</f>
        <v>1.04011855704924</v>
      </c>
      <c r="EG16" s="2" t="str">
        <f aca="false">IF(DV16="","",IF(AND(ABS(DV16)&lt;=0.25,$E16="Bottom",DK16="LL"),"EQL",IF(AND(ABS(DV16)&lt;=0.25,$E16="Peak",DK16="HH"),"EQH","")))</f>
        <v/>
      </c>
      <c r="EH16" s="2" t="str">
        <f aca="false">IF(DW16="","",IF(AND(ABS(DW16)&lt;=0.25,$E16="Bottom",DL16="LL"),"EQL",IF(AND(ABS(DW16)&lt;=0.25,$E16="Peak",DL16="HH"),"EQH","")))</f>
        <v/>
      </c>
      <c r="EI16" s="2" t="str">
        <f aca="false">IF(DX16="","",IF(AND(ABS(DX16)&lt;=0.25,$E16="Bottom",DM16="LL"),"EQL",IF(AND(ABS(DX16)&lt;=0.25,$E16="Peak",DM16="HH"),"EQH","")))</f>
        <v/>
      </c>
      <c r="EJ16" s="2" t="str">
        <f aca="false">IF(DY16="","",IF(AND(ABS(DY16)&lt;=0.25,$E16="Bottom",DN16="LL"),"EQL",IF(AND(ABS(DY16)&lt;=0.25,$E16="Peak",DN16="HH"),"EQH","")))</f>
        <v/>
      </c>
      <c r="EK16" s="2" t="str">
        <f aca="false">IF(DZ16="","",IF(AND(ABS(DZ16)&lt;=0.25,$E16="Bottom",DO16="LL"),"EQL",IF(AND(ABS(DZ16)&lt;=0.25,$E16="Peak",DO16="HH"),"EQH","")))</f>
        <v/>
      </c>
      <c r="EL16" s="2" t="str">
        <f aca="false">IF(EA16="","",IF(AND(ABS(EA16)&lt;=0.25,$E16="Bottom",DP16="LL"),"EQL",IF(AND(ABS(EA16)&lt;=0.25,$E16="Peak",DP16="HH"),"EQH","")))</f>
        <v/>
      </c>
      <c r="EM16" s="2" t="str">
        <f aca="false">IF(EB16="","",IF(AND(ABS(EB16)&lt;=0.25,$E16="Bottom",DQ16="LL"),"EQL",IF(AND(ABS(EB16)&lt;=0.25,$E16="Peak",DQ16="HH"),"EQH","")))</f>
        <v/>
      </c>
      <c r="EN16" s="2" t="str">
        <f aca="false">IF(EC16="","",IF(AND(ABS(EC16)&lt;=0.25,$E16="Bottom",DR16="LL"),"EQL",IF(AND(ABS(EC16)&lt;=0.25,$E16="Peak",DR16="HH"),"EQH","")))</f>
        <v/>
      </c>
      <c r="EO16" s="2" t="str">
        <f aca="false">IF(ED16="","",IF(AND(ABS(ED16)&lt;=0.25,$E16="Bottom",DS16="LL"),"EQL",IF(AND(ABS(ED16)&lt;=0.25,$E16="Peak",DS16="HH"),"EQH","")))</f>
        <v/>
      </c>
      <c r="EP16" s="2" t="str">
        <f aca="false">IF(EE16="","",IF(AND(ABS(EE16)&lt;=0.25,$E16="Bottom",DT16="LL"),"EQL",IF(AND(ABS(EE16)&lt;=0.25,$E16="Peak",DT16="HH"),"EQH","")))</f>
        <v/>
      </c>
      <c r="EQ16" s="2" t="str">
        <f aca="false">IF(EF16="","",IF(AND(ABS(EF16)&lt;=0.25,$E16="Bottom",DU16="LL"),"EQL",IF(AND(ABS(EF16)&lt;=0.25,$E16="Peak",DU16="HH"),"EQH","")))</f>
        <v/>
      </c>
      <c r="ER16" s="2" t="str">
        <f aca="false">IF(OR(EG16="EQL",EG16="EQH"),G16,"")</f>
        <v/>
      </c>
      <c r="ES16" s="2" t="str">
        <f aca="false">IF(OR(EH16="EQL",EH16="EQH"),H16,"")</f>
        <v/>
      </c>
      <c r="ET16" s="2" t="str">
        <f aca="false">IF(OR(EI16="EQL",EI16="EQH"),I16,"")</f>
        <v/>
      </c>
      <c r="EU16" s="2" t="str">
        <f aca="false">IF(OR(EJ16="EQL",EJ16="EQH"),J16,"")</f>
        <v/>
      </c>
      <c r="EV16" s="2" t="str">
        <f aca="false">IF(OR(EK16="EQL",EK16="EQH"),K16,"")</f>
        <v/>
      </c>
      <c r="EW16" s="2" t="str">
        <f aca="false">IF(OR(EL16="EQL",EL16="EQH"),L16,"")</f>
        <v/>
      </c>
      <c r="EX16" s="2" t="str">
        <f aca="false">IF(OR(EM16="EQL",EM16="EQH"),M16,"")</f>
        <v/>
      </c>
      <c r="EY16" s="2" t="str">
        <f aca="false">IF(OR(EN16="EQL",EN16="EQH"),N16,"")</f>
        <v/>
      </c>
      <c r="EZ16" s="2" t="str">
        <f aca="false">IF(OR(EO16="EQL",EO16="EQH"),O16,"")</f>
        <v/>
      </c>
      <c r="FA16" s="2" t="str">
        <f aca="false">IF(OR(EP16="EQL",EP16="EQH"),P16,"")</f>
        <v/>
      </c>
      <c r="FB16" s="2" t="str">
        <f aca="false">IF(OR(EQ16="EQL",EQ16="EQH"),Q16,"")</f>
        <v/>
      </c>
      <c r="FC16" s="2" t="str">
        <f aca="false">IF(AND(EG16="EQL",OR(AQ16=4,AQ16=5)),"IEQL",IF(AND(EG16="EQH",OR(AQ16=1,AQ16=2)),"IEQH",""))</f>
        <v/>
      </c>
      <c r="FD16" s="2" t="str">
        <f aca="false">IF(AND(EH16="EQL",OR(AR16=4,AR16=5)),"IEQL",IF(AND(EH16="EQH",OR(AR16=1,AR16=2)),"IEQH",""))</f>
        <v/>
      </c>
      <c r="FE16" s="2" t="str">
        <f aca="false">IF(AND(EI16="EQL",OR(AS16=4,AS16=5)),"IEQL",IF(AND(EI16="EQH",OR(AS16=1,AS16=2)),"IEQH",""))</f>
        <v/>
      </c>
      <c r="FF16" s="2" t="str">
        <f aca="false">IF(AND(EJ16="EQL",OR(AT16=4,AT16=5)),"IEQL",IF(AND(EJ16="EQH",OR(AT16=1,AT16=2)),"IEQH",""))</f>
        <v/>
      </c>
      <c r="FG16" s="2" t="str">
        <f aca="false">IF(AND(EK16="EQL",OR(AU16=4,AU16=5)),"IEQL",IF(AND(EK16="EQH",OR(AU16=1,AU16=2)),"IEQH",""))</f>
        <v/>
      </c>
      <c r="FH16" s="2" t="str">
        <f aca="false">IF(AND(EL16="EQL",OR(AV16=4,AV16=5)),"IEQL",IF(AND(EL16="EQH",OR(AV16=1,AV16=2)),"IEQH",""))</f>
        <v/>
      </c>
      <c r="FI16" s="2" t="str">
        <f aca="false">IF(AND(EM16="EQL",OR(AW16=4,AW16=5)),"IEQL",IF(AND(EM16="EQH",OR(AW16=1,AW16=2)),"IEQH",""))</f>
        <v/>
      </c>
      <c r="FJ16" s="2" t="str">
        <f aca="false">IF(AND(EN16="EQL",OR(AX16=4,AX16=5)),"IEQL",IF(AND(EN16="EQH",OR(AX16=1,AX16=2)),"IEQH",""))</f>
        <v/>
      </c>
      <c r="FK16" s="2" t="str">
        <f aca="false">IF(AND(EO16="EQL",OR(AY16=4,AY16=5)),"IEQL",IF(AND(EO16="EQH",OR(AY16=1,AY16=2)),"IEQH",""))</f>
        <v/>
      </c>
      <c r="FL16" s="2" t="str">
        <f aca="false">IF(AND(EP16="EQL",OR(AZ16=4,AZ16=5)),"IEQL",IF(AND(EP16="EQH",OR(AZ16=1,AZ16=2)),"IEQH",""))</f>
        <v/>
      </c>
      <c r="FM16" s="2" t="str">
        <f aca="false">IF(AND(EQ16="EQL",OR(BA16=4,BA16=5)),"IEQL",IF(AND(EQ16="EQH",OR(BA16=1,BA16=2)),"IEQH",""))</f>
        <v/>
      </c>
    </row>
    <row r="17" customFormat="false" ht="14.25" hidden="false" customHeight="false" outlineLevel="0" collapsed="false">
      <c r="A17" s="1" t="n">
        <v>1776649502</v>
      </c>
      <c r="B17" s="1" t="s">
        <v>169</v>
      </c>
      <c r="C17" s="1" t="s">
        <v>170</v>
      </c>
      <c r="D17" s="1" t="n">
        <v>4807.6</v>
      </c>
      <c r="E17" s="1" t="s">
        <v>173</v>
      </c>
      <c r="F17" s="1" t="n">
        <v>4814.28</v>
      </c>
      <c r="G17" s="2" t="n">
        <f aca="false">F15</f>
        <v>4889.21</v>
      </c>
      <c r="H17" s="2" t="n">
        <f aca="false">F13</f>
        <v>4805.97</v>
      </c>
      <c r="I17" s="2" t="n">
        <f aca="false">F11</f>
        <v>4801.12</v>
      </c>
      <c r="J17" s="2" t="n">
        <f aca="false">F9</f>
        <v>4798.58</v>
      </c>
      <c r="K17" s="2" t="n">
        <f aca="false">F7</f>
        <v>4823.81</v>
      </c>
      <c r="L17" s="2" t="n">
        <f aca="false">F5</f>
        <v>4838.38</v>
      </c>
      <c r="M17" s="2" t="n">
        <f aca="false">F3</f>
        <v>4830.39</v>
      </c>
      <c r="R17" s="1" t="n">
        <v>77.32</v>
      </c>
      <c r="S17" s="2" t="n">
        <f aca="false">R15</f>
        <v>110.38</v>
      </c>
      <c r="T17" s="2" t="n">
        <f aca="false">R13</f>
        <v>37.9</v>
      </c>
      <c r="U17" s="2" t="n">
        <f aca="false">R11</f>
        <v>15.02</v>
      </c>
      <c r="V17" s="2" t="n">
        <f aca="false">R9</f>
        <v>25.91</v>
      </c>
      <c r="W17" s="2" t="n">
        <f aca="false">R7</f>
        <v>18.6</v>
      </c>
      <c r="X17" s="2" t="n">
        <f aca="false">R5</f>
        <v>51.21</v>
      </c>
      <c r="Y17" s="2" t="n">
        <f aca="false">R3</f>
        <v>44.16</v>
      </c>
      <c r="AD17" s="1" t="n">
        <v>1.63</v>
      </c>
      <c r="AE17" s="2" t="n">
        <f aca="false">AD15</f>
        <v>2.31</v>
      </c>
      <c r="AF17" s="2" t="n">
        <f aca="false">AD13</f>
        <v>0.79</v>
      </c>
      <c r="AG17" s="2" t="n">
        <f aca="false">AD11</f>
        <v>0.31</v>
      </c>
      <c r="AH17" s="2" t="n">
        <f aca="false">AD9</f>
        <v>0.54</v>
      </c>
      <c r="AI17" s="2" t="n">
        <f aca="false">AD7</f>
        <v>0.39</v>
      </c>
      <c r="AJ17" s="2" t="n">
        <f aca="false">AD5</f>
        <v>1.07</v>
      </c>
      <c r="AK17" s="2" t="n">
        <f aca="false">AD3</f>
        <v>0.92</v>
      </c>
      <c r="AP17" s="1" t="n">
        <v>0</v>
      </c>
      <c r="AQ17" s="2" t="n">
        <f aca="false">AP15</f>
        <v>0</v>
      </c>
      <c r="AR17" s="2" t="n">
        <f aca="false">AP13</f>
        <v>0</v>
      </c>
      <c r="AS17" s="2" t="n">
        <f aca="false">AP11</f>
        <v>0</v>
      </c>
      <c r="AT17" s="2" t="n">
        <f aca="false">AP9</f>
        <v>0</v>
      </c>
      <c r="AU17" s="2" t="n">
        <f aca="false">AP7</f>
        <v>0</v>
      </c>
      <c r="AV17" s="2" t="n">
        <f aca="false">AP5</f>
        <v>0</v>
      </c>
      <c r="AW17" s="2" t="n">
        <f aca="false">AP3</f>
        <v>0</v>
      </c>
      <c r="BB17" s="1" t="n">
        <v>8</v>
      </c>
      <c r="BC17" s="2" t="n">
        <f aca="false">BB15</f>
        <v>21</v>
      </c>
      <c r="BD17" s="2" t="n">
        <f aca="false">BB13</f>
        <v>14</v>
      </c>
      <c r="BE17" s="2" t="n">
        <f aca="false">BB11</f>
        <v>3</v>
      </c>
      <c r="BF17" s="2" t="n">
        <f aca="false">BB9</f>
        <v>21</v>
      </c>
      <c r="BG17" s="2" t="n">
        <f aca="false">BB7</f>
        <v>12</v>
      </c>
      <c r="BH17" s="2" t="n">
        <f aca="false">BB5</f>
        <v>50</v>
      </c>
      <c r="BI17" s="2" t="n">
        <f aca="false">BB3</f>
        <v>18</v>
      </c>
      <c r="BN17" s="1" t="n">
        <v>0</v>
      </c>
      <c r="BO17" s="2" t="n">
        <f aca="false">BN15</f>
        <v>0</v>
      </c>
      <c r="BP17" s="2" t="n">
        <f aca="false">BN13</f>
        <v>0</v>
      </c>
      <c r="BQ17" s="2" t="n">
        <f aca="false">BN11</f>
        <v>0</v>
      </c>
      <c r="BR17" s="2" t="n">
        <f aca="false">BN9</f>
        <v>0</v>
      </c>
      <c r="BS17" s="2" t="n">
        <f aca="false">BN7</f>
        <v>0</v>
      </c>
      <c r="BT17" s="2" t="n">
        <f aca="false">BN5</f>
        <v>2</v>
      </c>
      <c r="BU17" s="2" t="n">
        <f aca="false">BN3</f>
        <v>0</v>
      </c>
      <c r="BZ17" s="1" t="n">
        <v>9.665</v>
      </c>
      <c r="CA17" s="2" t="n">
        <f aca="false">BZ15</f>
        <v>5.25619</v>
      </c>
      <c r="CB17" s="2" t="n">
        <f aca="false">BZ13</f>
        <v>2.70714</v>
      </c>
      <c r="CC17" s="2" t="n">
        <f aca="false">BZ11</f>
        <v>5.00667</v>
      </c>
      <c r="CD17" s="2" t="n">
        <f aca="false">BZ9</f>
        <v>1.23381</v>
      </c>
      <c r="CE17" s="2" t="n">
        <f aca="false">BZ7</f>
        <v>1.55</v>
      </c>
      <c r="CF17" s="2" t="n">
        <f aca="false">BZ5</f>
        <v>1.0242</v>
      </c>
      <c r="CG17" s="2" t="n">
        <f aca="false">BZ3</f>
        <v>2.45333</v>
      </c>
      <c r="CL17" s="1" t="n">
        <v>1</v>
      </c>
      <c r="CM17" s="2" t="n">
        <f aca="false">CL15</f>
        <v>0</v>
      </c>
      <c r="CN17" s="2" t="n">
        <f aca="false">CL13</f>
        <v>0</v>
      </c>
      <c r="CO17" s="2" t="n">
        <f aca="false">CL11</f>
        <v>0</v>
      </c>
      <c r="CP17" s="2" t="n">
        <f aca="false">CL9</f>
        <v>0</v>
      </c>
      <c r="CQ17" s="2" t="n">
        <f aca="false">CL7</f>
        <v>0</v>
      </c>
      <c r="CR17" s="2" t="n">
        <f aca="false">CL5</f>
        <v>0</v>
      </c>
      <c r="CS17" s="2" t="n">
        <f aca="false">CL3</f>
        <v>0</v>
      </c>
      <c r="CX17" s="1" t="n">
        <v>84.0928</v>
      </c>
      <c r="CY17" s="2" t="n">
        <f aca="false">CX15</f>
        <v>79.2281</v>
      </c>
      <c r="CZ17" s="2" t="n">
        <f aca="false">CX13</f>
        <v>69.7261</v>
      </c>
      <c r="DA17" s="2" t="n">
        <f aca="false">CX11</f>
        <v>78.7047</v>
      </c>
      <c r="DB17" s="2" t="n">
        <f aca="false">CX9</f>
        <v>50.9753</v>
      </c>
      <c r="DC17" s="2" t="n">
        <f aca="false">CX7</f>
        <v>57.1715</v>
      </c>
      <c r="DD17" s="2" t="n">
        <f aca="false">CX5</f>
        <v>45.685</v>
      </c>
      <c r="DE17" s="2" t="n">
        <f aca="false">CX3</f>
        <v>67.8238</v>
      </c>
      <c r="DJ17" s="1" t="s">
        <v>174</v>
      </c>
      <c r="DK17" s="2" t="str">
        <f aca="false">DJ15</f>
        <v>HH</v>
      </c>
      <c r="DL17" s="2" t="str">
        <f aca="false">DJ13</f>
        <v>HH</v>
      </c>
      <c r="DM17" s="2" t="str">
        <f aca="false">DJ11</f>
        <v>HH</v>
      </c>
      <c r="DN17" s="2" t="str">
        <f aca="false">DJ9</f>
        <v>LH</v>
      </c>
      <c r="DO17" s="2" t="str">
        <f aca="false">DJ7</f>
        <v>LH</v>
      </c>
      <c r="DP17" s="2" t="str">
        <f aca="false">DJ5</f>
        <v>HH</v>
      </c>
      <c r="DQ17" s="2" t="str">
        <f aca="false">DJ3</f>
        <v>LH</v>
      </c>
      <c r="DV17" s="2" t="n">
        <f aca="false">IFERROR((G17-$F17)/$F17*100,"")</f>
        <v>1.55641134292148</v>
      </c>
      <c r="DW17" s="2" t="n">
        <f aca="false">IFERROR((H17-$F17)/$F17*100,"")</f>
        <v>-0.172611480844477</v>
      </c>
      <c r="DX17" s="2" t="n">
        <f aca="false">IFERROR((I17-$F17)/$F17*100,"")</f>
        <v>-0.273353440182122</v>
      </c>
      <c r="DY17" s="2" t="n">
        <f aca="false">IFERROR((J17-$F17)/$F17*100,"")</f>
        <v>-0.326113146721832</v>
      </c>
      <c r="DZ17" s="2" t="n">
        <f aca="false">IFERROR((K17-$F17)/$F17*100,"")</f>
        <v>0.197952757213969</v>
      </c>
      <c r="EA17" s="2" t="n">
        <f aca="false">IFERROR((L17-$F17)/$F17*100,"")</f>
        <v>0.50059406598703</v>
      </c>
      <c r="EB17" s="2" t="n">
        <f aca="false">IFERROR((M17-$F17)/$F17*100,"")</f>
        <v>0.33462947730503</v>
      </c>
      <c r="EG17" s="2" t="str">
        <f aca="false">IF(DV17="","",IF(AND(ABS(DV17)&lt;=0.25,$E17="Bottom",DK17="LL"),"EQL",IF(AND(ABS(DV17)&lt;=0.25,$E17="Peak",DK17="HH"),"EQH","")))</f>
        <v/>
      </c>
      <c r="EH17" s="2" t="str">
        <f aca="false">IF(DW17="","",IF(AND(ABS(DW17)&lt;=0.25,$E17="Bottom",DL17="LL"),"EQL",IF(AND(ABS(DW17)&lt;=0.25,$E17="Peak",DL17="HH"),"EQH","")))</f>
        <v>EQH</v>
      </c>
      <c r="EI17" s="2" t="str">
        <f aca="false">IF(DX17="","",IF(AND(ABS(DX17)&lt;=0.25,$E17="Bottom",DM17="LL"),"EQL",IF(AND(ABS(DX17)&lt;=0.25,$E17="Peak",DM17="HH"),"EQH","")))</f>
        <v/>
      </c>
      <c r="EJ17" s="2" t="str">
        <f aca="false">IF(DY17="","",IF(AND(ABS(DY17)&lt;=0.25,$E17="Bottom",DN17="LL"),"EQL",IF(AND(ABS(DY17)&lt;=0.25,$E17="Peak",DN17="HH"),"EQH","")))</f>
        <v/>
      </c>
      <c r="EK17" s="2" t="str">
        <f aca="false">IF(DZ17="","",IF(AND(ABS(DZ17)&lt;=0.25,$E17="Bottom",DO17="LL"),"EQL",IF(AND(ABS(DZ17)&lt;=0.25,$E17="Peak",DO17="HH"),"EQH","")))</f>
        <v/>
      </c>
      <c r="EL17" s="2" t="str">
        <f aca="false">IF(EA17="","",IF(AND(ABS(EA17)&lt;=0.25,$E17="Bottom",DP17="LL"),"EQL",IF(AND(ABS(EA17)&lt;=0.25,$E17="Peak",DP17="HH"),"EQH","")))</f>
        <v/>
      </c>
      <c r="EM17" s="2" t="str">
        <f aca="false">IF(EB17="","",IF(AND(ABS(EB17)&lt;=0.25,$E17="Bottom",DQ17="LL"),"EQL",IF(AND(ABS(EB17)&lt;=0.25,$E17="Peak",DQ17="HH"),"EQH","")))</f>
        <v/>
      </c>
      <c r="EN17" s="2" t="str">
        <f aca="false">IF(EC17="","",IF(AND(ABS(EC17)&lt;=0.25,$E17="Bottom",DR17="LL"),"EQL",IF(AND(ABS(EC17)&lt;=0.25,$E17="Peak",DR17="HH"),"EQH","")))</f>
        <v/>
      </c>
      <c r="EO17" s="2" t="str">
        <f aca="false">IF(ED17="","",IF(AND(ABS(ED17)&lt;=0.25,$E17="Bottom",DS17="LL"),"EQL",IF(AND(ABS(ED17)&lt;=0.25,$E17="Peak",DS17="HH"),"EQH","")))</f>
        <v/>
      </c>
      <c r="EP17" s="2" t="str">
        <f aca="false">IF(EE17="","",IF(AND(ABS(EE17)&lt;=0.25,$E17="Bottom",DT17="LL"),"EQL",IF(AND(ABS(EE17)&lt;=0.25,$E17="Peak",DT17="HH"),"EQH","")))</f>
        <v/>
      </c>
      <c r="EQ17" s="2" t="str">
        <f aca="false">IF(EF17="","",IF(AND(ABS(EF17)&lt;=0.25,$E17="Bottom",DU17="LL"),"EQL",IF(AND(ABS(EF17)&lt;=0.25,$E17="Peak",DU17="HH"),"EQH","")))</f>
        <v/>
      </c>
      <c r="ER17" s="2" t="str">
        <f aca="false">IF(OR(EG17="EQL",EG17="EQH"),G17,"")</f>
        <v/>
      </c>
      <c r="ES17" s="2" t="n">
        <f aca="false">IF(OR(EH17="EQL",EH17="EQH"),H17,"")</f>
        <v>4805.97</v>
      </c>
      <c r="ET17" s="2" t="str">
        <f aca="false">IF(OR(EI17="EQL",EI17="EQH"),I17,"")</f>
        <v/>
      </c>
      <c r="EU17" s="2" t="str">
        <f aca="false">IF(OR(EJ17="EQL",EJ17="EQH"),J17,"")</f>
        <v/>
      </c>
      <c r="EV17" s="2" t="str">
        <f aca="false">IF(OR(EK17="EQL",EK17="EQH"),K17,"")</f>
        <v/>
      </c>
      <c r="EW17" s="2" t="str">
        <f aca="false">IF(OR(EL17="EQL",EL17="EQH"),L17,"")</f>
        <v/>
      </c>
      <c r="EX17" s="2" t="str">
        <f aca="false">IF(OR(EM17="EQL",EM17="EQH"),M17,"")</f>
        <v/>
      </c>
      <c r="EY17" s="2" t="str">
        <f aca="false">IF(OR(EN17="EQL",EN17="EQH"),N17,"")</f>
        <v/>
      </c>
      <c r="EZ17" s="2" t="str">
        <f aca="false">IF(OR(EO17="EQL",EO17="EQH"),O17,"")</f>
        <v/>
      </c>
      <c r="FA17" s="2" t="str">
        <f aca="false">IF(OR(EP17="EQL",EP17="EQH"),P17,"")</f>
        <v/>
      </c>
      <c r="FB17" s="2" t="str">
        <f aca="false">IF(OR(EQ17="EQL",EQ17="EQH"),Q17,"")</f>
        <v/>
      </c>
      <c r="FC17" s="2" t="str">
        <f aca="false">IF(AND(EG17="EQL",OR(AQ17=4,AQ17=5)),"IEQL",IF(AND(EG17="EQH",OR(AQ17=1,AQ17=2)),"IEQH",""))</f>
        <v/>
      </c>
      <c r="FD17" s="2" t="str">
        <f aca="false">IF(AND(EH17="EQL",OR(AR17=4,AR17=5)),"IEQL",IF(AND(EH17="EQH",OR(AR17=1,AR17=2)),"IEQH",""))</f>
        <v/>
      </c>
      <c r="FE17" s="2" t="str">
        <f aca="false">IF(AND(EI17="EQL",OR(AS17=4,AS17=5)),"IEQL",IF(AND(EI17="EQH",OR(AS17=1,AS17=2)),"IEQH",""))</f>
        <v/>
      </c>
      <c r="FF17" s="2" t="str">
        <f aca="false">IF(AND(EJ17="EQL",OR(AT17=4,AT17=5)),"IEQL",IF(AND(EJ17="EQH",OR(AT17=1,AT17=2)),"IEQH",""))</f>
        <v/>
      </c>
      <c r="FG17" s="2" t="str">
        <f aca="false">IF(AND(EK17="EQL",OR(AU17=4,AU17=5)),"IEQL",IF(AND(EK17="EQH",OR(AU17=1,AU17=2)),"IEQH",""))</f>
        <v/>
      </c>
      <c r="FH17" s="2" t="str">
        <f aca="false">IF(AND(EL17="EQL",OR(AV17=4,AV17=5)),"IEQL",IF(AND(EL17="EQH",OR(AV17=1,AV17=2)),"IEQH",""))</f>
        <v/>
      </c>
      <c r="FI17" s="2" t="str">
        <f aca="false">IF(AND(EM17="EQL",OR(AW17=4,AW17=5)),"IEQL",IF(AND(EM17="EQH",OR(AW17=1,AW17=2)),"IEQH",""))</f>
        <v/>
      </c>
      <c r="FJ17" s="2" t="str">
        <f aca="false">IF(AND(EN17="EQL",OR(AX17=4,AX17=5)),"IEQL",IF(AND(EN17="EQH",OR(AX17=1,AX17=2)),"IEQH",""))</f>
        <v/>
      </c>
      <c r="FK17" s="2" t="str">
        <f aca="false">IF(AND(EO17="EQL",OR(AY17=4,AY17=5)),"IEQL",IF(AND(EO17="EQH",OR(AY17=1,AY17=2)),"IEQH",""))</f>
        <v/>
      </c>
      <c r="FL17" s="2" t="str">
        <f aca="false">IF(AND(EP17="EQL",OR(AZ17=4,AZ17=5)),"IEQL",IF(AND(EP17="EQH",OR(AZ17=1,AZ17=2)),"IEQH",""))</f>
        <v/>
      </c>
      <c r="FM17" s="2" t="str">
        <f aca="false">IF(AND(EQ17="EQL",OR(BA17=4,BA17=5)),"IEQL",IF(AND(EQ17="EQH",OR(BA17=1,BA17=2)),"IEQH",""))</f>
        <v/>
      </c>
    </row>
    <row r="18" customFormat="false" ht="14.25" hidden="false" customHeight="false" outlineLevel="0" collapsed="false">
      <c r="A18" s="1" t="n">
        <v>1776663002</v>
      </c>
      <c r="B18" s="1" t="s">
        <v>169</v>
      </c>
      <c r="C18" s="1" t="s">
        <v>170</v>
      </c>
      <c r="D18" s="1" t="n">
        <v>4780.97</v>
      </c>
      <c r="E18" s="1" t="s">
        <v>171</v>
      </c>
      <c r="F18" s="1" t="n">
        <v>4779.8</v>
      </c>
      <c r="G18" s="2" t="n">
        <f aca="false">F16</f>
        <v>4736.96</v>
      </c>
      <c r="H18" s="2" t="n">
        <f aca="false">F14</f>
        <v>4778.83</v>
      </c>
      <c r="I18" s="2" t="n">
        <f aca="false">F12</f>
        <v>4768.07</v>
      </c>
      <c r="J18" s="2" t="n">
        <f aca="false">F10</f>
        <v>4786.1</v>
      </c>
      <c r="K18" s="2" t="n">
        <f aca="false">F8</f>
        <v>4772.67</v>
      </c>
      <c r="L18" s="2" t="n">
        <f aca="false">F6</f>
        <v>4805.21</v>
      </c>
      <c r="M18" s="2" t="n">
        <f aca="false">F4</f>
        <v>4787.17</v>
      </c>
      <c r="N18" s="2" t="n">
        <f aca="false">F2</f>
        <v>4786.23</v>
      </c>
      <c r="R18" s="1" t="n">
        <v>-34.48</v>
      </c>
      <c r="S18" s="2" t="n">
        <f aca="false">R16</f>
        <v>-152.25</v>
      </c>
      <c r="T18" s="2" t="n">
        <f aca="false">R14</f>
        <v>-27.14</v>
      </c>
      <c r="U18" s="2" t="n">
        <f aca="false">R12</f>
        <v>-33.05</v>
      </c>
      <c r="V18" s="2" t="n">
        <f aca="false">R10</f>
        <v>-12.48</v>
      </c>
      <c r="W18" s="2" t="n">
        <f aca="false">R8</f>
        <v>-51.14</v>
      </c>
      <c r="X18" s="2" t="n">
        <f aca="false">R6</f>
        <v>-33.17</v>
      </c>
      <c r="Y18" s="2" t="n">
        <f aca="false">R4</f>
        <v>-43.22</v>
      </c>
      <c r="Z18" s="2" t="n">
        <f aca="false">R2</f>
        <v>-84.99</v>
      </c>
      <c r="AD18" s="1" t="n">
        <v>-0.72</v>
      </c>
      <c r="AE18" s="2" t="n">
        <f aca="false">AD16</f>
        <v>-3.11</v>
      </c>
      <c r="AF18" s="2" t="n">
        <f aca="false">AD14</f>
        <v>-0.56</v>
      </c>
      <c r="AG18" s="2" t="n">
        <f aca="false">AD12</f>
        <v>-0.69</v>
      </c>
      <c r="AH18" s="2" t="n">
        <f aca="false">AD10</f>
        <v>-0.26</v>
      </c>
      <c r="AI18" s="2" t="n">
        <f aca="false">AD8</f>
        <v>-1.06</v>
      </c>
      <c r="AJ18" s="2" t="n">
        <f aca="false">AD6</f>
        <v>-0.69</v>
      </c>
      <c r="AK18" s="2" t="n">
        <f aca="false">AD4</f>
        <v>-0.89</v>
      </c>
      <c r="AL18" s="2" t="n">
        <f aca="false">AD2</f>
        <v>-1.74</v>
      </c>
      <c r="AP18" s="1" t="n">
        <v>3</v>
      </c>
      <c r="AQ18" s="2" t="n">
        <f aca="false">AP16</f>
        <v>5</v>
      </c>
      <c r="AR18" s="2" t="n">
        <f aca="false">AP14</f>
        <v>3</v>
      </c>
      <c r="AS18" s="2" t="n">
        <f aca="false">AP12</f>
        <v>3</v>
      </c>
      <c r="AT18" s="2" t="n">
        <f aca="false">AP10</f>
        <v>3</v>
      </c>
      <c r="AU18" s="2" t="n">
        <f aca="false">AP8</f>
        <v>3</v>
      </c>
      <c r="AV18" s="2" t="n">
        <f aca="false">AP6</f>
        <v>3</v>
      </c>
      <c r="AW18" s="2" t="n">
        <f aca="false">AP4</f>
        <v>3</v>
      </c>
      <c r="AX18" s="2" t="n">
        <f aca="false">AP2</f>
        <v>3</v>
      </c>
      <c r="BB18" s="1" t="n">
        <v>15</v>
      </c>
      <c r="BC18" s="2" t="n">
        <f aca="false">BB16</f>
        <v>39</v>
      </c>
      <c r="BD18" s="2" t="n">
        <f aca="false">BB14</f>
        <v>11</v>
      </c>
      <c r="BE18" s="2" t="n">
        <f aca="false">BB12</f>
        <v>3</v>
      </c>
      <c r="BF18" s="2" t="n">
        <f aca="false">BB10</f>
        <v>13</v>
      </c>
      <c r="BG18" s="2" t="n">
        <f aca="false">BB8</f>
        <v>4</v>
      </c>
      <c r="BH18" s="2" t="n">
        <f aca="false">BB6</f>
        <v>22</v>
      </c>
      <c r="BI18" s="2" t="n">
        <f aca="false">BB4</f>
        <v>5</v>
      </c>
      <c r="BJ18" s="2" t="n">
        <f aca="false">BB2</f>
        <v>34</v>
      </c>
      <c r="BN18" s="1" t="n">
        <v>3</v>
      </c>
      <c r="BO18" s="2" t="n">
        <f aca="false">BN16</f>
        <v>4</v>
      </c>
      <c r="BP18" s="2" t="n">
        <f aca="false">BN14</f>
        <v>3</v>
      </c>
      <c r="BQ18" s="2" t="n">
        <f aca="false">BN12</f>
        <v>3</v>
      </c>
      <c r="BR18" s="2" t="n">
        <f aca="false">BN10</f>
        <v>3</v>
      </c>
      <c r="BS18" s="2" t="n">
        <f aca="false">BN8</f>
        <v>3</v>
      </c>
      <c r="BT18" s="2" t="n">
        <f aca="false">BN6</f>
        <v>3</v>
      </c>
      <c r="BU18" s="2" t="n">
        <f aca="false">BN4</f>
        <v>3</v>
      </c>
      <c r="BV18" s="2" t="n">
        <f aca="false">BN2</f>
        <v>3</v>
      </c>
      <c r="BZ18" s="1" t="n">
        <v>-2.29867</v>
      </c>
      <c r="CA18" s="2" t="n">
        <f aca="false">BZ16</f>
        <v>-3.90385</v>
      </c>
      <c r="CB18" s="2" t="n">
        <f aca="false">BZ14</f>
        <v>-2.46727</v>
      </c>
      <c r="CC18" s="2" t="n">
        <f aca="false">BZ12</f>
        <v>-11.01667</v>
      </c>
      <c r="CD18" s="2" t="n">
        <f aca="false">BZ10</f>
        <v>-0.96</v>
      </c>
      <c r="CE18" s="2" t="n">
        <f aca="false">BZ8</f>
        <v>-12.785</v>
      </c>
      <c r="CF18" s="2" t="n">
        <f aca="false">BZ6</f>
        <v>-1.50773</v>
      </c>
      <c r="CG18" s="2" t="n">
        <f aca="false">BZ4</f>
        <v>-8.644</v>
      </c>
      <c r="CH18" s="2" t="n">
        <f aca="false">BZ2</f>
        <v>-2.49971</v>
      </c>
      <c r="CL18" s="1" t="n">
        <v>3</v>
      </c>
      <c r="CM18" s="2" t="n">
        <f aca="false">CL16</f>
        <v>3</v>
      </c>
      <c r="CN18" s="2" t="n">
        <f aca="false">CL14</f>
        <v>3</v>
      </c>
      <c r="CO18" s="2" t="n">
        <f aca="false">CL12</f>
        <v>5</v>
      </c>
      <c r="CP18" s="2" t="n">
        <f aca="false">CL10</f>
        <v>3</v>
      </c>
      <c r="CQ18" s="2" t="n">
        <f aca="false">CL8</f>
        <v>5</v>
      </c>
      <c r="CR18" s="2" t="n">
        <f aca="false">CL6</f>
        <v>3</v>
      </c>
      <c r="CS18" s="2" t="n">
        <f aca="false">CL4</f>
        <v>3</v>
      </c>
      <c r="CT18" s="2" t="n">
        <f aca="false">CL2</f>
        <v>3</v>
      </c>
      <c r="CX18" s="1" t="n">
        <v>-66.4893</v>
      </c>
      <c r="CY18" s="2" t="n">
        <f aca="false">CX16</f>
        <v>-75.6322</v>
      </c>
      <c r="CZ18" s="2" t="n">
        <f aca="false">CX14</f>
        <v>-67.937</v>
      </c>
      <c r="DA18" s="2" t="n">
        <f aca="false">CX12</f>
        <v>-84.8134</v>
      </c>
      <c r="DB18" s="2" t="n">
        <f aca="false">CX10</f>
        <v>-43.8309</v>
      </c>
      <c r="DC18" s="2" t="n">
        <f aca="false">CX8</f>
        <v>-85.5276</v>
      </c>
      <c r="DD18" s="2" t="n">
        <f aca="false">CX6</f>
        <v>-56.4457</v>
      </c>
      <c r="DE18" s="2" t="n">
        <f aca="false">CX4</f>
        <v>-83.4009</v>
      </c>
      <c r="DF18" s="2" t="n">
        <f aca="false">CX2</f>
        <v>-68.1963</v>
      </c>
      <c r="DJ18" s="1" t="s">
        <v>175</v>
      </c>
      <c r="DK18" s="2" t="str">
        <f aca="false">DJ16</f>
        <v>LL</v>
      </c>
      <c r="DL18" s="2" t="str">
        <f aca="false">DJ14</f>
        <v>HL</v>
      </c>
      <c r="DM18" s="2" t="str">
        <f aca="false">DJ12</f>
        <v>LL</v>
      </c>
      <c r="DN18" s="2" t="str">
        <f aca="false">DJ10</f>
        <v>HL</v>
      </c>
      <c r="DO18" s="2" t="str">
        <f aca="false">DJ8</f>
        <v>LL</v>
      </c>
      <c r="DP18" s="2" t="str">
        <f aca="false">DJ6</f>
        <v>HL</v>
      </c>
      <c r="DQ18" s="2" t="str">
        <f aca="false">DJ4</f>
        <v>HL</v>
      </c>
      <c r="DR18" s="2" t="str">
        <f aca="false">DJ2</f>
        <v>LL</v>
      </c>
      <c r="DV18" s="2" t="n">
        <f aca="false">IFERROR((G18-$F18)/$F18*100,"")</f>
        <v>-0.896271810536009</v>
      </c>
      <c r="DW18" s="2" t="n">
        <f aca="false">IFERROR((H18-$F18)/$F18*100,"")</f>
        <v>-0.0202937361395928</v>
      </c>
      <c r="DX18" s="2" t="n">
        <f aca="false">IFERROR((I18-$F18)/$F18*100,"")</f>
        <v>-0.245407757646773</v>
      </c>
      <c r="DY18" s="2" t="n">
        <f aca="false">IFERROR((J18-$F18)/$F18*100,"")</f>
        <v>0.131804678020005</v>
      </c>
      <c r="DZ18" s="2" t="n">
        <f aca="false">IFERROR((K18-$F18)/$F18*100,"")</f>
        <v>-0.149169421314702</v>
      </c>
      <c r="EA18" s="2" t="n">
        <f aca="false">IFERROR((L18-$F18)/$F18*100,"")</f>
        <v>0.531612201347334</v>
      </c>
      <c r="EB18" s="2" t="n">
        <f aca="false">IFERROR((M18-$F18)/$F18*100,"")</f>
        <v>0.154190551905935</v>
      </c>
      <c r="EC18" s="2" t="n">
        <f aca="false">IFERROR((N18-$F18)/$F18*100,"")</f>
        <v>0.134524457090242</v>
      </c>
      <c r="EG18" s="2" t="str">
        <f aca="false">IF(DV18="","",IF(AND(ABS(DV18)&lt;=0.25,$E18="Bottom",DK18="LL"),"EQL",IF(AND(ABS(DV18)&lt;=0.25,$E18="Peak",DK18="HH"),"EQH","")))</f>
        <v/>
      </c>
      <c r="EH18" s="2" t="str">
        <f aca="false">IF(DW18="","",IF(AND(ABS(DW18)&lt;=0.25,$E18="Bottom",DL18="LL"),"EQL",IF(AND(ABS(DW18)&lt;=0.25,$E18="Peak",DL18="HH"),"EQH","")))</f>
        <v/>
      </c>
      <c r="EI18" s="2" t="str">
        <f aca="false">IF(DX18="","",IF(AND(ABS(DX18)&lt;=0.25,$E18="Bottom",DM18="LL"),"EQL",IF(AND(ABS(DX18)&lt;=0.25,$E18="Peak",DM18="HH"),"EQH","")))</f>
        <v>EQL</v>
      </c>
      <c r="EJ18" s="2" t="str">
        <f aca="false">IF(DY18="","",IF(AND(ABS(DY18)&lt;=0.25,$E18="Bottom",DN18="LL"),"EQL",IF(AND(ABS(DY18)&lt;=0.25,$E18="Peak",DN18="HH"),"EQH","")))</f>
        <v/>
      </c>
      <c r="EK18" s="2" t="str">
        <f aca="false">IF(DZ18="","",IF(AND(ABS(DZ18)&lt;=0.25,$E18="Bottom",DO18="LL"),"EQL",IF(AND(ABS(DZ18)&lt;=0.25,$E18="Peak",DO18="HH"),"EQH","")))</f>
        <v>EQL</v>
      </c>
      <c r="EL18" s="2" t="str">
        <f aca="false">IF(EA18="","",IF(AND(ABS(EA18)&lt;=0.25,$E18="Bottom",DP18="LL"),"EQL",IF(AND(ABS(EA18)&lt;=0.25,$E18="Peak",DP18="HH"),"EQH","")))</f>
        <v/>
      </c>
      <c r="EM18" s="2" t="str">
        <f aca="false">IF(EB18="","",IF(AND(ABS(EB18)&lt;=0.25,$E18="Bottom",DQ18="LL"),"EQL",IF(AND(ABS(EB18)&lt;=0.25,$E18="Peak",DQ18="HH"),"EQH","")))</f>
        <v/>
      </c>
      <c r="EN18" s="2" t="str">
        <f aca="false">IF(EC18="","",IF(AND(ABS(EC18)&lt;=0.25,$E18="Bottom",DR18="LL"),"EQL",IF(AND(ABS(EC18)&lt;=0.25,$E18="Peak",DR18="HH"),"EQH","")))</f>
        <v>EQL</v>
      </c>
      <c r="EO18" s="2" t="str">
        <f aca="false">IF(ED18="","",IF(AND(ABS(ED18)&lt;=0.25,$E18="Bottom",DS18="LL"),"EQL",IF(AND(ABS(ED18)&lt;=0.25,$E18="Peak",DS18="HH"),"EQH","")))</f>
        <v/>
      </c>
      <c r="EP18" s="2" t="str">
        <f aca="false">IF(EE18="","",IF(AND(ABS(EE18)&lt;=0.25,$E18="Bottom",DT18="LL"),"EQL",IF(AND(ABS(EE18)&lt;=0.25,$E18="Peak",DT18="HH"),"EQH","")))</f>
        <v/>
      </c>
      <c r="EQ18" s="2" t="str">
        <f aca="false">IF(EF18="","",IF(AND(ABS(EF18)&lt;=0.25,$E18="Bottom",DU18="LL"),"EQL",IF(AND(ABS(EF18)&lt;=0.25,$E18="Peak",DU18="HH"),"EQH","")))</f>
        <v/>
      </c>
      <c r="ER18" s="2" t="str">
        <f aca="false">IF(OR(EG18="EQL",EG18="EQH"),G18,"")</f>
        <v/>
      </c>
      <c r="ES18" s="2" t="str">
        <f aca="false">IF(OR(EH18="EQL",EH18="EQH"),H18,"")</f>
        <v/>
      </c>
      <c r="ET18" s="2" t="n">
        <f aca="false">IF(OR(EI18="EQL",EI18="EQH"),I18,"")</f>
        <v>4768.07</v>
      </c>
      <c r="EU18" s="2" t="str">
        <f aca="false">IF(OR(EJ18="EQL",EJ18="EQH"),J18,"")</f>
        <v/>
      </c>
      <c r="EV18" s="2" t="n">
        <f aca="false">IF(OR(EK18="EQL",EK18="EQH"),K18,"")</f>
        <v>4772.67</v>
      </c>
      <c r="EW18" s="2" t="str">
        <f aca="false">IF(OR(EL18="EQL",EL18="EQH"),L18,"")</f>
        <v/>
      </c>
      <c r="EX18" s="2" t="str">
        <f aca="false">IF(OR(EM18="EQL",EM18="EQH"),M18,"")</f>
        <v/>
      </c>
      <c r="EY18" s="2" t="n">
        <f aca="false">IF(OR(EN18="EQL",EN18="EQH"),N18,"")</f>
        <v>4786.23</v>
      </c>
      <c r="EZ18" s="2" t="str">
        <f aca="false">IF(OR(EO18="EQL",EO18="EQH"),O18,"")</f>
        <v/>
      </c>
      <c r="FA18" s="2" t="str">
        <f aca="false">IF(OR(EP18="EQL",EP18="EQH"),P18,"")</f>
        <v/>
      </c>
      <c r="FB18" s="2" t="str">
        <f aca="false">IF(OR(EQ18="EQL",EQ18="EQH"),Q18,"")</f>
        <v/>
      </c>
      <c r="FC18" s="2" t="str">
        <f aca="false">IF(AND(EG18="EQL",OR(AQ18=4,AQ18=5)),"IEQL",IF(AND(EG18="EQH",OR(AQ18=1,AQ18=2)),"IEQH",""))</f>
        <v/>
      </c>
      <c r="FD18" s="2" t="str">
        <f aca="false">IF(AND(EH18="EQL",OR(AR18=4,AR18=5)),"IEQL",IF(AND(EH18="EQH",OR(AR18=1,AR18=2)),"IEQH",""))</f>
        <v/>
      </c>
      <c r="FE18" s="2" t="str">
        <f aca="false">IF(AND(EI18="EQL",OR(AS18=4,AS18=5)),"IEQL",IF(AND(EI18="EQH",OR(AS18=1,AS18=2)),"IEQH",""))</f>
        <v/>
      </c>
      <c r="FF18" s="2" t="str">
        <f aca="false">IF(AND(EJ18="EQL",OR(AT18=4,AT18=5)),"IEQL",IF(AND(EJ18="EQH",OR(AT18=1,AT18=2)),"IEQH",""))</f>
        <v/>
      </c>
      <c r="FG18" s="2" t="str">
        <f aca="false">IF(AND(EK18="EQL",OR(AU18=4,AU18=5)),"IEQL",IF(AND(EK18="EQH",OR(AU18=1,AU18=2)),"IEQH",""))</f>
        <v/>
      </c>
      <c r="FH18" s="2" t="str">
        <f aca="false">IF(AND(EL18="EQL",OR(AV18=4,AV18=5)),"IEQL",IF(AND(EL18="EQH",OR(AV18=1,AV18=2)),"IEQH",""))</f>
        <v/>
      </c>
      <c r="FI18" s="2" t="str">
        <f aca="false">IF(AND(EM18="EQL",OR(AW18=4,AW18=5)),"IEQL",IF(AND(EM18="EQH",OR(AW18=1,AW18=2)),"IEQH",""))</f>
        <v/>
      </c>
      <c r="FJ18" s="2" t="str">
        <f aca="false">IF(AND(EN18="EQL",OR(AX18=4,AX18=5)),"IEQL",IF(AND(EN18="EQH",OR(AX18=1,AX18=2)),"IEQH",""))</f>
        <v/>
      </c>
      <c r="FK18" s="2" t="str">
        <f aca="false">IF(AND(EO18="EQL",OR(AY18=4,AY18=5)),"IEQL",IF(AND(EO18="EQH",OR(AY18=1,AY18=2)),"IEQH",""))</f>
        <v/>
      </c>
      <c r="FL18" s="2" t="str">
        <f aca="false">IF(AND(EP18="EQL",OR(AZ18=4,AZ18=5)),"IEQL",IF(AND(EP18="EQH",OR(AZ18=1,AZ18=2)),"IEQH",""))</f>
        <v/>
      </c>
      <c r="FM18" s="2" t="str">
        <f aca="false">IF(AND(EQ18="EQL",OR(BA18=4,BA18=5)),"IEQL",IF(AND(EQ18="EQH",OR(BA18=1,BA18=2)),"IEQH",""))</f>
        <v/>
      </c>
    </row>
    <row r="19" customFormat="false" ht="14.25" hidden="false" customHeight="false" outlineLevel="0" collapsed="false">
      <c r="A19" s="1" t="n">
        <v>1776669302</v>
      </c>
      <c r="B19" s="1" t="s">
        <v>169</v>
      </c>
      <c r="C19" s="1" t="s">
        <v>170</v>
      </c>
      <c r="D19" s="1" t="n">
        <v>4797.92</v>
      </c>
      <c r="E19" s="1" t="s">
        <v>173</v>
      </c>
      <c r="F19" s="1" t="n">
        <v>4805.79</v>
      </c>
      <c r="G19" s="2" t="n">
        <f aca="false">F17</f>
        <v>4814.28</v>
      </c>
      <c r="H19" s="2" t="n">
        <f aca="false">F15</f>
        <v>4889.21</v>
      </c>
      <c r="I19" s="2" t="n">
        <f aca="false">F13</f>
        <v>4805.97</v>
      </c>
      <c r="J19" s="2" t="n">
        <f aca="false">F11</f>
        <v>4801.12</v>
      </c>
      <c r="K19" s="2" t="n">
        <f aca="false">F9</f>
        <v>4798.58</v>
      </c>
      <c r="L19" s="2" t="n">
        <f aca="false">F7</f>
        <v>4823.81</v>
      </c>
      <c r="M19" s="2" t="n">
        <f aca="false">F5</f>
        <v>4838.38</v>
      </c>
      <c r="N19" s="2" t="n">
        <f aca="false">F3</f>
        <v>4830.39</v>
      </c>
      <c r="R19" s="1" t="n">
        <v>25.99</v>
      </c>
      <c r="S19" s="2" t="n">
        <f aca="false">R17</f>
        <v>77.32</v>
      </c>
      <c r="T19" s="2" t="n">
        <f aca="false">R15</f>
        <v>110.38</v>
      </c>
      <c r="U19" s="2" t="n">
        <f aca="false">R13</f>
        <v>37.9</v>
      </c>
      <c r="V19" s="2" t="n">
        <f aca="false">R11</f>
        <v>15.02</v>
      </c>
      <c r="W19" s="2" t="n">
        <f aca="false">R9</f>
        <v>25.91</v>
      </c>
      <c r="X19" s="2" t="n">
        <f aca="false">R7</f>
        <v>18.6</v>
      </c>
      <c r="Y19" s="2" t="n">
        <f aca="false">R5</f>
        <v>51.21</v>
      </c>
      <c r="Z19" s="2" t="n">
        <f aca="false">R3</f>
        <v>44.16</v>
      </c>
      <c r="AD19" s="1" t="n">
        <v>0.54</v>
      </c>
      <c r="AE19" s="2" t="n">
        <f aca="false">AD17</f>
        <v>1.63</v>
      </c>
      <c r="AF19" s="2" t="n">
        <f aca="false">AD15</f>
        <v>2.31</v>
      </c>
      <c r="AG19" s="2" t="n">
        <f aca="false">AD13</f>
        <v>0.79</v>
      </c>
      <c r="AH19" s="2" t="n">
        <f aca="false">AD11</f>
        <v>0.31</v>
      </c>
      <c r="AI19" s="2" t="n">
        <f aca="false">AD9</f>
        <v>0.54</v>
      </c>
      <c r="AJ19" s="2" t="n">
        <f aca="false">AD7</f>
        <v>0.39</v>
      </c>
      <c r="AK19" s="2" t="n">
        <f aca="false">AD5</f>
        <v>1.07</v>
      </c>
      <c r="AL19" s="2" t="n">
        <f aca="false">AD3</f>
        <v>0.92</v>
      </c>
      <c r="AP19" s="1" t="n">
        <v>0</v>
      </c>
      <c r="AQ19" s="2" t="n">
        <f aca="false">AP17</f>
        <v>0</v>
      </c>
      <c r="AR19" s="2" t="n">
        <f aca="false">AP15</f>
        <v>0</v>
      </c>
      <c r="AS19" s="2" t="n">
        <f aca="false">AP13</f>
        <v>0</v>
      </c>
      <c r="AT19" s="2" t="n">
        <f aca="false">AP11</f>
        <v>0</v>
      </c>
      <c r="AU19" s="2" t="n">
        <f aca="false">AP9</f>
        <v>0</v>
      </c>
      <c r="AV19" s="2" t="n">
        <f aca="false">AP7</f>
        <v>0</v>
      </c>
      <c r="AW19" s="2" t="n">
        <f aca="false">AP5</f>
        <v>0</v>
      </c>
      <c r="AX19" s="2" t="n">
        <f aca="false">AP3</f>
        <v>0</v>
      </c>
      <c r="BB19" s="1" t="n">
        <v>7</v>
      </c>
      <c r="BC19" s="2" t="n">
        <f aca="false">BB17</f>
        <v>8</v>
      </c>
      <c r="BD19" s="2" t="n">
        <f aca="false">BB15</f>
        <v>21</v>
      </c>
      <c r="BE19" s="2" t="n">
        <f aca="false">BB13</f>
        <v>14</v>
      </c>
      <c r="BF19" s="2" t="n">
        <f aca="false">BB11</f>
        <v>3</v>
      </c>
      <c r="BG19" s="2" t="n">
        <f aca="false">BB9</f>
        <v>21</v>
      </c>
      <c r="BH19" s="2" t="n">
        <f aca="false">BB7</f>
        <v>12</v>
      </c>
      <c r="BI19" s="2" t="n">
        <f aca="false">BB5</f>
        <v>50</v>
      </c>
      <c r="BJ19" s="2" t="n">
        <f aca="false">BB3</f>
        <v>18</v>
      </c>
      <c r="BN19" s="1" t="n">
        <v>0</v>
      </c>
      <c r="BO19" s="2" t="n">
        <f aca="false">BN17</f>
        <v>0</v>
      </c>
      <c r="BP19" s="2" t="n">
        <f aca="false">BN15</f>
        <v>0</v>
      </c>
      <c r="BQ19" s="2" t="n">
        <f aca="false">BN13</f>
        <v>0</v>
      </c>
      <c r="BR19" s="2" t="n">
        <f aca="false">BN11</f>
        <v>0</v>
      </c>
      <c r="BS19" s="2" t="n">
        <f aca="false">BN9</f>
        <v>0</v>
      </c>
      <c r="BT19" s="2" t="n">
        <f aca="false">BN7</f>
        <v>0</v>
      </c>
      <c r="BU19" s="2" t="n">
        <f aca="false">BN5</f>
        <v>2</v>
      </c>
      <c r="BV19" s="2" t="n">
        <f aca="false">BN3</f>
        <v>0</v>
      </c>
      <c r="BZ19" s="1" t="n">
        <v>3.71286</v>
      </c>
      <c r="CA19" s="2" t="n">
        <f aca="false">BZ17</f>
        <v>9.665</v>
      </c>
      <c r="CB19" s="2" t="n">
        <f aca="false">BZ15</f>
        <v>5.25619</v>
      </c>
      <c r="CC19" s="2" t="n">
        <f aca="false">BZ13</f>
        <v>2.70714</v>
      </c>
      <c r="CD19" s="2" t="n">
        <f aca="false">BZ11</f>
        <v>5.00667</v>
      </c>
      <c r="CE19" s="2" t="n">
        <f aca="false">BZ9</f>
        <v>1.23381</v>
      </c>
      <c r="CF19" s="2" t="n">
        <f aca="false">BZ7</f>
        <v>1.55</v>
      </c>
      <c r="CG19" s="2" t="n">
        <f aca="false">BZ5</f>
        <v>1.0242</v>
      </c>
      <c r="CH19" s="2" t="n">
        <f aca="false">BZ3</f>
        <v>2.45333</v>
      </c>
      <c r="CL19" s="1" t="n">
        <v>0</v>
      </c>
      <c r="CM19" s="2" t="n">
        <f aca="false">CL17</f>
        <v>1</v>
      </c>
      <c r="CN19" s="2" t="n">
        <f aca="false">CL15</f>
        <v>0</v>
      </c>
      <c r="CO19" s="2" t="n">
        <f aca="false">CL13</f>
        <v>0</v>
      </c>
      <c r="CP19" s="2" t="n">
        <f aca="false">CL11</f>
        <v>0</v>
      </c>
      <c r="CQ19" s="2" t="n">
        <f aca="false">CL9</f>
        <v>0</v>
      </c>
      <c r="CR19" s="2" t="n">
        <f aca="false">CL7</f>
        <v>0</v>
      </c>
      <c r="CS19" s="2" t="n">
        <f aca="false">CL5</f>
        <v>0</v>
      </c>
      <c r="CT19" s="2" t="n">
        <f aca="false">CL3</f>
        <v>0</v>
      </c>
      <c r="CX19" s="1" t="n">
        <v>74.926</v>
      </c>
      <c r="CY19" s="2" t="n">
        <f aca="false">CX17</f>
        <v>84.0928</v>
      </c>
      <c r="CZ19" s="2" t="n">
        <f aca="false">CX15</f>
        <v>79.2281</v>
      </c>
      <c r="DA19" s="2" t="n">
        <f aca="false">CX13</f>
        <v>69.7261</v>
      </c>
      <c r="DB19" s="2" t="n">
        <f aca="false">CX11</f>
        <v>78.7047</v>
      </c>
      <c r="DC19" s="2" t="n">
        <f aca="false">CX9</f>
        <v>50.9753</v>
      </c>
      <c r="DD19" s="2" t="n">
        <f aca="false">CX7</f>
        <v>57.1715</v>
      </c>
      <c r="DE19" s="2" t="n">
        <f aca="false">CX5</f>
        <v>45.685</v>
      </c>
      <c r="DF19" s="2" t="n">
        <f aca="false">CX3</f>
        <v>67.8238</v>
      </c>
      <c r="DJ19" s="1" t="s">
        <v>174</v>
      </c>
      <c r="DK19" s="2" t="str">
        <f aca="false">DJ17</f>
        <v>LH</v>
      </c>
      <c r="DL19" s="2" t="str">
        <f aca="false">DJ15</f>
        <v>HH</v>
      </c>
      <c r="DM19" s="2" t="str">
        <f aca="false">DJ13</f>
        <v>HH</v>
      </c>
      <c r="DN19" s="2" t="str">
        <f aca="false">DJ11</f>
        <v>HH</v>
      </c>
      <c r="DO19" s="2" t="str">
        <f aca="false">DJ9</f>
        <v>LH</v>
      </c>
      <c r="DP19" s="2" t="str">
        <f aca="false">DJ7</f>
        <v>LH</v>
      </c>
      <c r="DQ19" s="2" t="str">
        <f aca="false">DJ5</f>
        <v>HH</v>
      </c>
      <c r="DR19" s="2" t="str">
        <f aca="false">DJ3</f>
        <v>LH</v>
      </c>
      <c r="DV19" s="2" t="n">
        <f aca="false">IFERROR((G19-$F19)/$F19*100,"")</f>
        <v>0.176661901581213</v>
      </c>
      <c r="DW19" s="2" t="n">
        <f aca="false">IFERROR((H19-$F19)/$F19*100,"")</f>
        <v>1.73582283037753</v>
      </c>
      <c r="DX19" s="2" t="n">
        <f aca="false">IFERROR((I19-$F19)/$F19*100,"")</f>
        <v>0.00374548201232869</v>
      </c>
      <c r="DY19" s="2" t="n">
        <f aca="false">IFERROR((J19-$F19)/$F19*100,"")</f>
        <v>-0.0971744499863721</v>
      </c>
      <c r="DZ19" s="2" t="n">
        <f aca="false">IFERROR((K19-$F19)/$F19*100,"")</f>
        <v>-0.150027362826924</v>
      </c>
      <c r="EA19" s="2" t="n">
        <f aca="false">IFERROR((L19-$F19)/$F19*100,"")</f>
        <v>0.374964365900309</v>
      </c>
      <c r="EB19" s="2" t="n">
        <f aca="false">IFERROR((M19-$F19)/$F19*100,"")</f>
        <v>0.678140326564418</v>
      </c>
      <c r="EC19" s="2" t="n">
        <f aca="false">IFERROR((N19-$F19)/$F19*100,"")</f>
        <v>0.511882541684101</v>
      </c>
      <c r="EG19" s="2" t="str">
        <f aca="false">IF(DV19="","",IF(AND(ABS(DV19)&lt;=0.25,$E19="Bottom",DK19="LL"),"EQL",IF(AND(ABS(DV19)&lt;=0.25,$E19="Peak",DK19="HH"),"EQH","")))</f>
        <v/>
      </c>
      <c r="EH19" s="2" t="str">
        <f aca="false">IF(DW19="","",IF(AND(ABS(DW19)&lt;=0.25,$E19="Bottom",DL19="LL"),"EQL",IF(AND(ABS(DW19)&lt;=0.25,$E19="Peak",DL19="HH"),"EQH","")))</f>
        <v/>
      </c>
      <c r="EI19" s="2" t="str">
        <f aca="false">IF(DX19="","",IF(AND(ABS(DX19)&lt;=0.25,$E19="Bottom",DM19="LL"),"EQL",IF(AND(ABS(DX19)&lt;=0.25,$E19="Peak",DM19="HH"),"EQH","")))</f>
        <v>EQH</v>
      </c>
      <c r="EJ19" s="2" t="str">
        <f aca="false">IF(DY19="","",IF(AND(ABS(DY19)&lt;=0.25,$E19="Bottom",DN19="LL"),"EQL",IF(AND(ABS(DY19)&lt;=0.25,$E19="Peak",DN19="HH"),"EQH","")))</f>
        <v>EQH</v>
      </c>
      <c r="EK19" s="2" t="str">
        <f aca="false">IF(DZ19="","",IF(AND(ABS(DZ19)&lt;=0.25,$E19="Bottom",DO19="LL"),"EQL",IF(AND(ABS(DZ19)&lt;=0.25,$E19="Peak",DO19="HH"),"EQH","")))</f>
        <v/>
      </c>
      <c r="EL19" s="2" t="str">
        <f aca="false">IF(EA19="","",IF(AND(ABS(EA19)&lt;=0.25,$E19="Bottom",DP19="LL"),"EQL",IF(AND(ABS(EA19)&lt;=0.25,$E19="Peak",DP19="HH"),"EQH","")))</f>
        <v/>
      </c>
      <c r="EM19" s="2" t="str">
        <f aca="false">IF(EB19="","",IF(AND(ABS(EB19)&lt;=0.25,$E19="Bottom",DQ19="LL"),"EQL",IF(AND(ABS(EB19)&lt;=0.25,$E19="Peak",DQ19="HH"),"EQH","")))</f>
        <v/>
      </c>
      <c r="EN19" s="2" t="str">
        <f aca="false">IF(EC19="","",IF(AND(ABS(EC19)&lt;=0.25,$E19="Bottom",DR19="LL"),"EQL",IF(AND(ABS(EC19)&lt;=0.25,$E19="Peak",DR19="HH"),"EQH","")))</f>
        <v/>
      </c>
      <c r="EO19" s="2" t="str">
        <f aca="false">IF(ED19="","",IF(AND(ABS(ED19)&lt;=0.25,$E19="Bottom",DS19="LL"),"EQL",IF(AND(ABS(ED19)&lt;=0.25,$E19="Peak",DS19="HH"),"EQH","")))</f>
        <v/>
      </c>
      <c r="EP19" s="2" t="str">
        <f aca="false">IF(EE19="","",IF(AND(ABS(EE19)&lt;=0.25,$E19="Bottom",DT19="LL"),"EQL",IF(AND(ABS(EE19)&lt;=0.25,$E19="Peak",DT19="HH"),"EQH","")))</f>
        <v/>
      </c>
      <c r="EQ19" s="2" t="str">
        <f aca="false">IF(EF19="","",IF(AND(ABS(EF19)&lt;=0.25,$E19="Bottom",DU19="LL"),"EQL",IF(AND(ABS(EF19)&lt;=0.25,$E19="Peak",DU19="HH"),"EQH","")))</f>
        <v/>
      </c>
      <c r="ER19" s="2" t="str">
        <f aca="false">IF(OR(EG19="EQL",EG19="EQH"),G19,"")</f>
        <v/>
      </c>
      <c r="ES19" s="2" t="str">
        <f aca="false">IF(OR(EH19="EQL",EH19="EQH"),H19,"")</f>
        <v/>
      </c>
      <c r="ET19" s="2" t="n">
        <f aca="false">IF(OR(EI19="EQL",EI19="EQH"),I19,"")</f>
        <v>4805.97</v>
      </c>
      <c r="EU19" s="2" t="n">
        <f aca="false">IF(OR(EJ19="EQL",EJ19="EQH"),J19,"")</f>
        <v>4801.12</v>
      </c>
      <c r="EV19" s="2" t="str">
        <f aca="false">IF(OR(EK19="EQL",EK19="EQH"),K19,"")</f>
        <v/>
      </c>
      <c r="EW19" s="2" t="str">
        <f aca="false">IF(OR(EL19="EQL",EL19="EQH"),L19,"")</f>
        <v/>
      </c>
      <c r="EX19" s="2" t="str">
        <f aca="false">IF(OR(EM19="EQL",EM19="EQH"),M19,"")</f>
        <v/>
      </c>
      <c r="EY19" s="2" t="str">
        <f aca="false">IF(OR(EN19="EQL",EN19="EQH"),N19,"")</f>
        <v/>
      </c>
      <c r="EZ19" s="2" t="str">
        <f aca="false">IF(OR(EO19="EQL",EO19="EQH"),O19,"")</f>
        <v/>
      </c>
      <c r="FA19" s="2" t="str">
        <f aca="false">IF(OR(EP19="EQL",EP19="EQH"),P19,"")</f>
        <v/>
      </c>
      <c r="FB19" s="2" t="str">
        <f aca="false">IF(OR(EQ19="EQL",EQ19="EQH"),Q19,"")</f>
        <v/>
      </c>
      <c r="FC19" s="2" t="str">
        <f aca="false">IF(AND(EG19="EQL",OR(AQ19=4,AQ19=5)),"IEQL",IF(AND(EG19="EQH",OR(AQ19=1,AQ19=2)),"IEQH",""))</f>
        <v/>
      </c>
      <c r="FD19" s="2" t="str">
        <f aca="false">IF(AND(EH19="EQL",OR(AR19=4,AR19=5)),"IEQL",IF(AND(EH19="EQH",OR(AR19=1,AR19=2)),"IEQH",""))</f>
        <v/>
      </c>
      <c r="FE19" s="2" t="str">
        <f aca="false">IF(AND(EI19="EQL",OR(AS19=4,AS19=5)),"IEQL",IF(AND(EI19="EQH",OR(AS19=1,AS19=2)),"IEQH",""))</f>
        <v/>
      </c>
      <c r="FF19" s="2" t="str">
        <f aca="false">IF(AND(EJ19="EQL",OR(AT19=4,AT19=5)),"IEQL",IF(AND(EJ19="EQH",OR(AT19=1,AT19=2)),"IEQH",""))</f>
        <v/>
      </c>
      <c r="FG19" s="2" t="str">
        <f aca="false">IF(AND(EK19="EQL",OR(AU19=4,AU19=5)),"IEQL",IF(AND(EK19="EQH",OR(AU19=1,AU19=2)),"IEQH",""))</f>
        <v/>
      </c>
      <c r="FH19" s="2" t="str">
        <f aca="false">IF(AND(EL19="EQL",OR(AV19=4,AV19=5)),"IEQL",IF(AND(EL19="EQH",OR(AV19=1,AV19=2)),"IEQH",""))</f>
        <v/>
      </c>
      <c r="FI19" s="2" t="str">
        <f aca="false">IF(AND(EM19="EQL",OR(AW19=4,AW19=5)),"IEQL",IF(AND(EM19="EQH",OR(AW19=1,AW19=2)),"IEQH",""))</f>
        <v/>
      </c>
      <c r="FJ19" s="2" t="str">
        <f aca="false">IF(AND(EN19="EQL",OR(AX19=4,AX19=5)),"IEQL",IF(AND(EN19="EQH",OR(AX19=1,AX19=2)),"IEQH",""))</f>
        <v/>
      </c>
      <c r="FK19" s="2" t="str">
        <f aca="false">IF(AND(EO19="EQL",OR(AY19=4,AY19=5)),"IEQL",IF(AND(EO19="EQH",OR(AY19=1,AY19=2)),"IEQH",""))</f>
        <v/>
      </c>
      <c r="FL19" s="2" t="str">
        <f aca="false">IF(AND(EP19="EQL",OR(AZ19=4,AZ19=5)),"IEQL",IF(AND(EP19="EQH",OR(AZ19=1,AZ19=2)),"IEQH",""))</f>
        <v/>
      </c>
      <c r="FM19" s="2" t="str">
        <f aca="false">IF(AND(EQ19="EQL",OR(BA19=4,BA19=5)),"IEQL",IF(AND(EQ19="EQH",OR(BA19=1,BA19=2)),"IEQH",""))</f>
        <v/>
      </c>
    </row>
    <row r="20" customFormat="false" ht="14.25" hidden="false" customHeight="false" outlineLevel="0" collapsed="false">
      <c r="A20" s="1" t="n">
        <v>1776677402</v>
      </c>
      <c r="B20" s="1" t="s">
        <v>169</v>
      </c>
      <c r="C20" s="1" t="s">
        <v>170</v>
      </c>
      <c r="D20" s="1" t="n">
        <v>4791.96</v>
      </c>
      <c r="E20" s="1" t="s">
        <v>171</v>
      </c>
      <c r="F20" s="1" t="n">
        <v>4783.51</v>
      </c>
      <c r="G20" s="2" t="n">
        <f aca="false">F18</f>
        <v>4779.8</v>
      </c>
      <c r="H20" s="2" t="n">
        <f aca="false">F16</f>
        <v>4736.96</v>
      </c>
      <c r="I20" s="2" t="n">
        <f aca="false">F14</f>
        <v>4778.83</v>
      </c>
      <c r="J20" s="2" t="n">
        <f aca="false">F12</f>
        <v>4768.07</v>
      </c>
      <c r="K20" s="2" t="n">
        <f aca="false">F10</f>
        <v>4786.1</v>
      </c>
      <c r="L20" s="2" t="n">
        <f aca="false">F8</f>
        <v>4772.67</v>
      </c>
      <c r="M20" s="2" t="n">
        <f aca="false">F6</f>
        <v>4805.21</v>
      </c>
      <c r="N20" s="2" t="n">
        <f aca="false">F4</f>
        <v>4787.17</v>
      </c>
      <c r="O20" s="2" t="n">
        <f aca="false">F2</f>
        <v>4786.23</v>
      </c>
      <c r="R20" s="1" t="n">
        <v>-22.28</v>
      </c>
      <c r="S20" s="2" t="n">
        <f aca="false">R18</f>
        <v>-34.48</v>
      </c>
      <c r="T20" s="2" t="n">
        <f aca="false">R16</f>
        <v>-152.25</v>
      </c>
      <c r="U20" s="2" t="n">
        <f aca="false">R14</f>
        <v>-27.14</v>
      </c>
      <c r="V20" s="2" t="n">
        <f aca="false">R12</f>
        <v>-33.05</v>
      </c>
      <c r="W20" s="2" t="n">
        <f aca="false">R10</f>
        <v>-12.48</v>
      </c>
      <c r="X20" s="2" t="n">
        <f aca="false">R8</f>
        <v>-51.14</v>
      </c>
      <c r="Y20" s="2" t="n">
        <f aca="false">R6</f>
        <v>-33.17</v>
      </c>
      <c r="Z20" s="2" t="n">
        <f aca="false">R4</f>
        <v>-43.22</v>
      </c>
      <c r="AA20" s="2" t="n">
        <f aca="false">R2</f>
        <v>-84.99</v>
      </c>
      <c r="AD20" s="1" t="n">
        <v>-0.46</v>
      </c>
      <c r="AE20" s="2" t="n">
        <f aca="false">AD18</f>
        <v>-0.72</v>
      </c>
      <c r="AF20" s="2" t="n">
        <f aca="false">AD16</f>
        <v>-3.11</v>
      </c>
      <c r="AG20" s="2" t="n">
        <f aca="false">AD14</f>
        <v>-0.56</v>
      </c>
      <c r="AH20" s="2" t="n">
        <f aca="false">AD12</f>
        <v>-0.69</v>
      </c>
      <c r="AI20" s="2" t="n">
        <f aca="false">AD10</f>
        <v>-0.26</v>
      </c>
      <c r="AJ20" s="2" t="n">
        <f aca="false">AD8</f>
        <v>-1.06</v>
      </c>
      <c r="AK20" s="2" t="n">
        <f aca="false">AD6</f>
        <v>-0.69</v>
      </c>
      <c r="AL20" s="2" t="n">
        <f aca="false">AD4</f>
        <v>-0.89</v>
      </c>
      <c r="AM20" s="2" t="n">
        <f aca="false">AD2</f>
        <v>-1.74</v>
      </c>
      <c r="AP20" s="1" t="n">
        <v>3</v>
      </c>
      <c r="AQ20" s="2" t="n">
        <f aca="false">AP18</f>
        <v>3</v>
      </c>
      <c r="AR20" s="2" t="n">
        <f aca="false">AP16</f>
        <v>5</v>
      </c>
      <c r="AS20" s="2" t="n">
        <f aca="false">AP14</f>
        <v>3</v>
      </c>
      <c r="AT20" s="2" t="n">
        <f aca="false">AP12</f>
        <v>3</v>
      </c>
      <c r="AU20" s="2" t="n">
        <f aca="false">AP10</f>
        <v>3</v>
      </c>
      <c r="AV20" s="2" t="n">
        <f aca="false">AP8</f>
        <v>3</v>
      </c>
      <c r="AW20" s="2" t="n">
        <f aca="false">AP6</f>
        <v>3</v>
      </c>
      <c r="AX20" s="2" t="n">
        <f aca="false">AP4</f>
        <v>3</v>
      </c>
      <c r="AY20" s="2" t="n">
        <f aca="false">AP2</f>
        <v>3</v>
      </c>
      <c r="BB20" s="1" t="n">
        <v>9</v>
      </c>
      <c r="BC20" s="2" t="n">
        <f aca="false">BB18</f>
        <v>15</v>
      </c>
      <c r="BD20" s="2" t="n">
        <f aca="false">BB16</f>
        <v>39</v>
      </c>
      <c r="BE20" s="2" t="n">
        <f aca="false">BB14</f>
        <v>11</v>
      </c>
      <c r="BF20" s="2" t="n">
        <f aca="false">BB12</f>
        <v>3</v>
      </c>
      <c r="BG20" s="2" t="n">
        <f aca="false">BB10</f>
        <v>13</v>
      </c>
      <c r="BH20" s="2" t="n">
        <f aca="false">BB8</f>
        <v>4</v>
      </c>
      <c r="BI20" s="2" t="n">
        <f aca="false">BB6</f>
        <v>22</v>
      </c>
      <c r="BJ20" s="2" t="n">
        <f aca="false">BB4</f>
        <v>5</v>
      </c>
      <c r="BK20" s="2" t="n">
        <f aca="false">BB2</f>
        <v>34</v>
      </c>
      <c r="BN20" s="1" t="n">
        <v>3</v>
      </c>
      <c r="BO20" s="2" t="n">
        <f aca="false">BN18</f>
        <v>3</v>
      </c>
      <c r="BP20" s="2" t="n">
        <f aca="false">BN16</f>
        <v>4</v>
      </c>
      <c r="BQ20" s="2" t="n">
        <f aca="false">BN14</f>
        <v>3</v>
      </c>
      <c r="BR20" s="2" t="n">
        <f aca="false">BN12</f>
        <v>3</v>
      </c>
      <c r="BS20" s="2" t="n">
        <f aca="false">BN10</f>
        <v>3</v>
      </c>
      <c r="BT20" s="2" t="n">
        <f aca="false">BN8</f>
        <v>3</v>
      </c>
      <c r="BU20" s="2" t="n">
        <f aca="false">BN6</f>
        <v>3</v>
      </c>
      <c r="BV20" s="2" t="n">
        <f aca="false">BN4</f>
        <v>3</v>
      </c>
      <c r="BW20" s="2" t="n">
        <f aca="false">BN2</f>
        <v>3</v>
      </c>
      <c r="BZ20" s="1" t="n">
        <v>-2.47556</v>
      </c>
      <c r="CA20" s="2" t="n">
        <f aca="false">BZ18</f>
        <v>-2.29867</v>
      </c>
      <c r="CB20" s="2" t="n">
        <f aca="false">BZ16</f>
        <v>-3.90385</v>
      </c>
      <c r="CC20" s="2" t="n">
        <f aca="false">BZ14</f>
        <v>-2.46727</v>
      </c>
      <c r="CD20" s="2" t="n">
        <f aca="false">BZ12</f>
        <v>-11.01667</v>
      </c>
      <c r="CE20" s="2" t="n">
        <f aca="false">BZ10</f>
        <v>-0.96</v>
      </c>
      <c r="CF20" s="2" t="n">
        <f aca="false">BZ8</f>
        <v>-12.785</v>
      </c>
      <c r="CG20" s="2" t="n">
        <f aca="false">BZ6</f>
        <v>-1.50773</v>
      </c>
      <c r="CH20" s="2" t="n">
        <f aca="false">BZ4</f>
        <v>-8.644</v>
      </c>
      <c r="CI20" s="2" t="n">
        <f aca="false">BZ2</f>
        <v>-2.49971</v>
      </c>
      <c r="CL20" s="1" t="n">
        <v>3</v>
      </c>
      <c r="CM20" s="2" t="n">
        <f aca="false">CL18</f>
        <v>3</v>
      </c>
      <c r="CN20" s="2" t="n">
        <f aca="false">CL16</f>
        <v>3</v>
      </c>
      <c r="CO20" s="2" t="n">
        <f aca="false">CL14</f>
        <v>3</v>
      </c>
      <c r="CP20" s="2" t="n">
        <f aca="false">CL12</f>
        <v>5</v>
      </c>
      <c r="CQ20" s="2" t="n">
        <f aca="false">CL10</f>
        <v>3</v>
      </c>
      <c r="CR20" s="2" t="n">
        <f aca="false">CL8</f>
        <v>5</v>
      </c>
      <c r="CS20" s="2" t="n">
        <f aca="false">CL6</f>
        <v>3</v>
      </c>
      <c r="CT20" s="2" t="n">
        <f aca="false">CL4</f>
        <v>3</v>
      </c>
      <c r="CU20" s="2" t="n">
        <f aca="false">CL2</f>
        <v>3</v>
      </c>
      <c r="CX20" s="1" t="n">
        <v>-68.0038</v>
      </c>
      <c r="CY20" s="2" t="n">
        <f aca="false">CX18</f>
        <v>-66.4893</v>
      </c>
      <c r="CZ20" s="2" t="n">
        <f aca="false">CX16</f>
        <v>-75.6322</v>
      </c>
      <c r="DA20" s="2" t="n">
        <f aca="false">CX14</f>
        <v>-67.937</v>
      </c>
      <c r="DB20" s="2" t="n">
        <f aca="false">CX12</f>
        <v>-84.8134</v>
      </c>
      <c r="DC20" s="2" t="n">
        <f aca="false">CX10</f>
        <v>-43.8309</v>
      </c>
      <c r="DD20" s="2" t="n">
        <f aca="false">CX8</f>
        <v>-85.5276</v>
      </c>
      <c r="DE20" s="2" t="n">
        <f aca="false">CX6</f>
        <v>-56.4457</v>
      </c>
      <c r="DF20" s="2" t="n">
        <f aca="false">CX4</f>
        <v>-83.4009</v>
      </c>
      <c r="DG20" s="2" t="n">
        <f aca="false">CX2</f>
        <v>-68.1963</v>
      </c>
      <c r="DJ20" s="1" t="s">
        <v>175</v>
      </c>
      <c r="DK20" s="2" t="str">
        <f aca="false">DJ18</f>
        <v>HL</v>
      </c>
      <c r="DL20" s="2" t="str">
        <f aca="false">DJ16</f>
        <v>LL</v>
      </c>
      <c r="DM20" s="2" t="str">
        <f aca="false">DJ14</f>
        <v>HL</v>
      </c>
      <c r="DN20" s="2" t="str">
        <f aca="false">DJ12</f>
        <v>LL</v>
      </c>
      <c r="DO20" s="2" t="str">
        <f aca="false">DJ10</f>
        <v>HL</v>
      </c>
      <c r="DP20" s="2" t="str">
        <f aca="false">DJ8</f>
        <v>LL</v>
      </c>
      <c r="DQ20" s="2" t="str">
        <f aca="false">DJ6</f>
        <v>HL</v>
      </c>
      <c r="DR20" s="2" t="str">
        <f aca="false">DJ4</f>
        <v>HL</v>
      </c>
      <c r="DS20" s="2" t="str">
        <f aca="false">DJ2</f>
        <v>LL</v>
      </c>
      <c r="DV20" s="2" t="n">
        <f aca="false">IFERROR((G20-$F20)/$F20*100,"")</f>
        <v>-0.0775581110941555</v>
      </c>
      <c r="DW20" s="2" t="n">
        <f aca="false">IFERROR((H20-$F20)/$F20*100,"")</f>
        <v>-0.973134790143643</v>
      </c>
      <c r="DX20" s="2" t="n">
        <f aca="false">IFERROR((I20-$F20)/$F20*100,"")</f>
        <v>-0.0978361077953279</v>
      </c>
      <c r="DY20" s="2" t="n">
        <f aca="false">IFERROR((J20-$F20)/$F20*100,"")</f>
        <v>-0.32277553511962</v>
      </c>
      <c r="DZ20" s="2" t="n">
        <f aca="false">IFERROR((K20-$F20)/$F20*100,"")</f>
        <v>0.0541443417072431</v>
      </c>
      <c r="EA20" s="2" t="n">
        <f aca="false">IFERROR((L20-$F20)/$F20*100,"")</f>
        <v>-0.226611839423355</v>
      </c>
      <c r="EB20" s="2" t="n">
        <f aca="false">IFERROR((M20-$F20)/$F20*100,"")</f>
        <v>0.453641781871467</v>
      </c>
      <c r="EC20" s="2" t="n">
        <f aca="false">IFERROR((N20-$F20)/$F20*100,"")</f>
        <v>0.0765128535322358</v>
      </c>
      <c r="ED20" s="2" t="n">
        <f aca="false">IFERROR((O20-$F20)/$F20*100,"")</f>
        <v>0.0568620113682076</v>
      </c>
      <c r="EG20" s="2" t="str">
        <f aca="false">IF(DV20="","",IF(AND(ABS(DV20)&lt;=0.25,$E20="Bottom",DK20="LL"),"EQL",IF(AND(ABS(DV20)&lt;=0.25,$E20="Peak",DK20="HH"),"EQH","")))</f>
        <v/>
      </c>
      <c r="EH20" s="2" t="str">
        <f aca="false">IF(DW20="","",IF(AND(ABS(DW20)&lt;=0.25,$E20="Bottom",DL20="LL"),"EQL",IF(AND(ABS(DW20)&lt;=0.25,$E20="Peak",DL20="HH"),"EQH","")))</f>
        <v/>
      </c>
      <c r="EI20" s="2" t="str">
        <f aca="false">IF(DX20="","",IF(AND(ABS(DX20)&lt;=0.25,$E20="Bottom",DM20="LL"),"EQL",IF(AND(ABS(DX20)&lt;=0.25,$E20="Peak",DM20="HH"),"EQH","")))</f>
        <v/>
      </c>
      <c r="EJ20" s="2" t="str">
        <f aca="false">IF(DY20="","",IF(AND(ABS(DY20)&lt;=0.25,$E20="Bottom",DN20="LL"),"EQL",IF(AND(ABS(DY20)&lt;=0.25,$E20="Peak",DN20="HH"),"EQH","")))</f>
        <v/>
      </c>
      <c r="EK20" s="2" t="str">
        <f aca="false">IF(DZ20="","",IF(AND(ABS(DZ20)&lt;=0.25,$E20="Bottom",DO20="LL"),"EQL",IF(AND(ABS(DZ20)&lt;=0.25,$E20="Peak",DO20="HH"),"EQH","")))</f>
        <v/>
      </c>
      <c r="EL20" s="2" t="str">
        <f aca="false">IF(EA20="","",IF(AND(ABS(EA20)&lt;=0.25,$E20="Bottom",DP20="LL"),"EQL",IF(AND(ABS(EA20)&lt;=0.25,$E20="Peak",DP20="HH"),"EQH","")))</f>
        <v>EQL</v>
      </c>
      <c r="EM20" s="2" t="str">
        <f aca="false">IF(EB20="","",IF(AND(ABS(EB20)&lt;=0.25,$E20="Bottom",DQ20="LL"),"EQL",IF(AND(ABS(EB20)&lt;=0.25,$E20="Peak",DQ20="HH"),"EQH","")))</f>
        <v/>
      </c>
      <c r="EN20" s="2" t="str">
        <f aca="false">IF(EC20="","",IF(AND(ABS(EC20)&lt;=0.25,$E20="Bottom",DR20="LL"),"EQL",IF(AND(ABS(EC20)&lt;=0.25,$E20="Peak",DR20="HH"),"EQH","")))</f>
        <v/>
      </c>
      <c r="EO20" s="2" t="str">
        <f aca="false">IF(ED20="","",IF(AND(ABS(ED20)&lt;=0.25,$E20="Bottom",DS20="LL"),"EQL",IF(AND(ABS(ED20)&lt;=0.25,$E20="Peak",DS20="HH"),"EQH","")))</f>
        <v>EQL</v>
      </c>
      <c r="EP20" s="2" t="str">
        <f aca="false">IF(EE20="","",IF(AND(ABS(EE20)&lt;=0.25,$E20="Bottom",DT20="LL"),"EQL",IF(AND(ABS(EE20)&lt;=0.25,$E20="Peak",DT20="HH"),"EQH","")))</f>
        <v/>
      </c>
      <c r="EQ20" s="2" t="str">
        <f aca="false">IF(EF20="","",IF(AND(ABS(EF20)&lt;=0.25,$E20="Bottom",DU20="LL"),"EQL",IF(AND(ABS(EF20)&lt;=0.25,$E20="Peak",DU20="HH"),"EQH","")))</f>
        <v/>
      </c>
      <c r="ER20" s="2" t="str">
        <f aca="false">IF(OR(EG20="EQL",EG20="EQH"),G20,"")</f>
        <v/>
      </c>
      <c r="ES20" s="2" t="str">
        <f aca="false">IF(OR(EH20="EQL",EH20="EQH"),H20,"")</f>
        <v/>
      </c>
      <c r="ET20" s="2" t="str">
        <f aca="false">IF(OR(EI20="EQL",EI20="EQH"),I20,"")</f>
        <v/>
      </c>
      <c r="EU20" s="2" t="str">
        <f aca="false">IF(OR(EJ20="EQL",EJ20="EQH"),J20,"")</f>
        <v/>
      </c>
      <c r="EV20" s="2" t="str">
        <f aca="false">IF(OR(EK20="EQL",EK20="EQH"),K20,"")</f>
        <v/>
      </c>
      <c r="EW20" s="2" t="n">
        <f aca="false">IF(OR(EL20="EQL",EL20="EQH"),L20,"")</f>
        <v>4772.67</v>
      </c>
      <c r="EX20" s="2" t="str">
        <f aca="false">IF(OR(EM20="EQL",EM20="EQH"),M20,"")</f>
        <v/>
      </c>
      <c r="EY20" s="2" t="str">
        <f aca="false">IF(OR(EN20="EQL",EN20="EQH"),N20,"")</f>
        <v/>
      </c>
      <c r="EZ20" s="2" t="n">
        <f aca="false">IF(OR(EO20="EQL",EO20="EQH"),O20,"")</f>
        <v>4786.23</v>
      </c>
      <c r="FA20" s="2" t="str">
        <f aca="false">IF(OR(EP20="EQL",EP20="EQH"),P20,"")</f>
        <v/>
      </c>
      <c r="FB20" s="2" t="str">
        <f aca="false">IF(OR(EQ20="EQL",EQ20="EQH"),Q20,"")</f>
        <v/>
      </c>
      <c r="FC20" s="2" t="str">
        <f aca="false">IF(AND(EG20="EQL",OR(AQ20=4,AQ20=5)),"IEQL",IF(AND(EG20="EQH",OR(AQ20=1,AQ20=2)),"IEQH",""))</f>
        <v/>
      </c>
      <c r="FD20" s="2" t="str">
        <f aca="false">IF(AND(EH20="EQL",OR(AR20=4,AR20=5)),"IEQL",IF(AND(EH20="EQH",OR(AR20=1,AR20=2)),"IEQH",""))</f>
        <v/>
      </c>
      <c r="FE20" s="2" t="str">
        <f aca="false">IF(AND(EI20="EQL",OR(AS20=4,AS20=5)),"IEQL",IF(AND(EI20="EQH",OR(AS20=1,AS20=2)),"IEQH",""))</f>
        <v/>
      </c>
      <c r="FF20" s="2" t="str">
        <f aca="false">IF(AND(EJ20="EQL",OR(AT20=4,AT20=5)),"IEQL",IF(AND(EJ20="EQH",OR(AT20=1,AT20=2)),"IEQH",""))</f>
        <v/>
      </c>
      <c r="FG20" s="2" t="str">
        <f aca="false">IF(AND(EK20="EQL",OR(AU20=4,AU20=5)),"IEQL",IF(AND(EK20="EQH",OR(AU20=1,AU20=2)),"IEQH",""))</f>
        <v/>
      </c>
      <c r="FH20" s="2" t="str">
        <f aca="false">IF(AND(EL20="EQL",OR(AV20=4,AV20=5)),"IEQL",IF(AND(EL20="EQH",OR(AV20=1,AV20=2)),"IEQH",""))</f>
        <v/>
      </c>
      <c r="FI20" s="2" t="str">
        <f aca="false">IF(AND(EM20="EQL",OR(AW20=4,AW20=5)),"IEQL",IF(AND(EM20="EQH",OR(AW20=1,AW20=2)),"IEQH",""))</f>
        <v/>
      </c>
      <c r="FJ20" s="2" t="str">
        <f aca="false">IF(AND(EN20="EQL",OR(AX20=4,AX20=5)),"IEQL",IF(AND(EN20="EQH",OR(AX20=1,AX20=2)),"IEQH",""))</f>
        <v/>
      </c>
      <c r="FK20" s="2" t="str">
        <f aca="false">IF(AND(EO20="EQL",OR(AY20=4,AY20=5)),"IEQL",IF(AND(EO20="EQH",OR(AY20=1,AY20=2)),"IEQH",""))</f>
        <v/>
      </c>
      <c r="FL20" s="2" t="str">
        <f aca="false">IF(AND(EP20="EQL",OR(AZ20=4,AZ20=5)),"IEQL",IF(AND(EP20="EQH",OR(AZ20=1,AZ20=2)),"IEQH",""))</f>
        <v/>
      </c>
      <c r="FM20" s="2" t="str">
        <f aca="false">IF(AND(EQ20="EQL",OR(BA20=4,BA20=5)),"IEQL",IF(AND(EQ20="EQH",OR(BA20=1,BA20=2)),"IEQH",""))</f>
        <v/>
      </c>
    </row>
    <row r="21" customFormat="false" ht="14.25" hidden="false" customHeight="false" outlineLevel="0" collapsed="false">
      <c r="A21" s="1" t="n">
        <v>1776695402</v>
      </c>
      <c r="B21" s="1" t="s">
        <v>169</v>
      </c>
      <c r="C21" s="1" t="s">
        <v>170</v>
      </c>
      <c r="D21" s="1" t="n">
        <v>4814.18</v>
      </c>
      <c r="E21" s="1" t="s">
        <v>173</v>
      </c>
      <c r="F21" s="1" t="n">
        <v>4827.74</v>
      </c>
      <c r="G21" s="2" t="n">
        <f aca="false">F19</f>
        <v>4805.79</v>
      </c>
      <c r="H21" s="2" t="n">
        <f aca="false">F17</f>
        <v>4814.28</v>
      </c>
      <c r="I21" s="2" t="n">
        <f aca="false">F15</f>
        <v>4889.21</v>
      </c>
      <c r="J21" s="2" t="n">
        <f aca="false">F13</f>
        <v>4805.97</v>
      </c>
      <c r="K21" s="2" t="n">
        <f aca="false">F11</f>
        <v>4801.12</v>
      </c>
      <c r="L21" s="2" t="n">
        <f aca="false">F9</f>
        <v>4798.58</v>
      </c>
      <c r="M21" s="2" t="n">
        <f aca="false">F7</f>
        <v>4823.81</v>
      </c>
      <c r="N21" s="2" t="n">
        <f aca="false">F5</f>
        <v>4838.38</v>
      </c>
      <c r="O21" s="2" t="n">
        <f aca="false">F3</f>
        <v>4830.39</v>
      </c>
      <c r="R21" s="1" t="n">
        <v>44.23</v>
      </c>
      <c r="S21" s="2" t="n">
        <f aca="false">R19</f>
        <v>25.99</v>
      </c>
      <c r="T21" s="2" t="n">
        <f aca="false">R17</f>
        <v>77.32</v>
      </c>
      <c r="U21" s="2" t="n">
        <f aca="false">R15</f>
        <v>110.38</v>
      </c>
      <c r="V21" s="2" t="n">
        <f aca="false">R13</f>
        <v>37.9</v>
      </c>
      <c r="W21" s="2" t="n">
        <f aca="false">R11</f>
        <v>15.02</v>
      </c>
      <c r="X21" s="2" t="n">
        <f aca="false">R9</f>
        <v>25.91</v>
      </c>
      <c r="Y21" s="2" t="n">
        <f aca="false">R7</f>
        <v>18.6</v>
      </c>
      <c r="Z21" s="2" t="n">
        <f aca="false">R5</f>
        <v>51.21</v>
      </c>
      <c r="AA21" s="2" t="n">
        <f aca="false">R3</f>
        <v>44.16</v>
      </c>
      <c r="AD21" s="1" t="n">
        <v>0.92</v>
      </c>
      <c r="AE21" s="2" t="n">
        <f aca="false">AD19</f>
        <v>0.54</v>
      </c>
      <c r="AF21" s="2" t="n">
        <f aca="false">AD17</f>
        <v>1.63</v>
      </c>
      <c r="AG21" s="2" t="n">
        <f aca="false">AD15</f>
        <v>2.31</v>
      </c>
      <c r="AH21" s="2" t="n">
        <f aca="false">AD13</f>
        <v>0.79</v>
      </c>
      <c r="AI21" s="2" t="n">
        <f aca="false">AD11</f>
        <v>0.31</v>
      </c>
      <c r="AJ21" s="2" t="n">
        <f aca="false">AD9</f>
        <v>0.54</v>
      </c>
      <c r="AK21" s="2" t="n">
        <f aca="false">AD7</f>
        <v>0.39</v>
      </c>
      <c r="AL21" s="2" t="n">
        <f aca="false">AD5</f>
        <v>1.07</v>
      </c>
      <c r="AM21" s="2" t="n">
        <f aca="false">AD3</f>
        <v>0.92</v>
      </c>
      <c r="AP21" s="1" t="n">
        <v>0</v>
      </c>
      <c r="AQ21" s="2" t="n">
        <f aca="false">AP19</f>
        <v>0</v>
      </c>
      <c r="AR21" s="2" t="n">
        <f aca="false">AP17</f>
        <v>0</v>
      </c>
      <c r="AS21" s="2" t="n">
        <f aca="false">AP15</f>
        <v>0</v>
      </c>
      <c r="AT21" s="2" t="n">
        <f aca="false">AP13</f>
        <v>0</v>
      </c>
      <c r="AU21" s="2" t="n">
        <f aca="false">AP11</f>
        <v>0</v>
      </c>
      <c r="AV21" s="2" t="n">
        <f aca="false">AP9</f>
        <v>0</v>
      </c>
      <c r="AW21" s="2" t="n">
        <f aca="false">AP7</f>
        <v>0</v>
      </c>
      <c r="AX21" s="2" t="n">
        <f aca="false">AP5</f>
        <v>0</v>
      </c>
      <c r="AY21" s="2" t="n">
        <f aca="false">AP3</f>
        <v>0</v>
      </c>
      <c r="BB21" s="1" t="n">
        <v>20</v>
      </c>
      <c r="BC21" s="2" t="n">
        <f aca="false">BB19</f>
        <v>7</v>
      </c>
      <c r="BD21" s="2" t="n">
        <f aca="false">BB17</f>
        <v>8</v>
      </c>
      <c r="BE21" s="2" t="n">
        <f aca="false">BB15</f>
        <v>21</v>
      </c>
      <c r="BF21" s="2" t="n">
        <f aca="false">BB13</f>
        <v>14</v>
      </c>
      <c r="BG21" s="2" t="n">
        <f aca="false">BB11</f>
        <v>3</v>
      </c>
      <c r="BH21" s="2" t="n">
        <f aca="false">BB9</f>
        <v>21</v>
      </c>
      <c r="BI21" s="2" t="n">
        <f aca="false">BB7</f>
        <v>12</v>
      </c>
      <c r="BJ21" s="2" t="n">
        <f aca="false">BB5</f>
        <v>50</v>
      </c>
      <c r="BK21" s="2" t="n">
        <f aca="false">BB3</f>
        <v>18</v>
      </c>
      <c r="BN21" s="1" t="n">
        <v>0</v>
      </c>
      <c r="BO21" s="2" t="n">
        <f aca="false">BN19</f>
        <v>0</v>
      </c>
      <c r="BP21" s="2" t="n">
        <f aca="false">BN17</f>
        <v>0</v>
      </c>
      <c r="BQ21" s="2" t="n">
        <f aca="false">BN15</f>
        <v>0</v>
      </c>
      <c r="BR21" s="2" t="n">
        <f aca="false">BN13</f>
        <v>0</v>
      </c>
      <c r="BS21" s="2" t="n">
        <f aca="false">BN11</f>
        <v>0</v>
      </c>
      <c r="BT21" s="2" t="n">
        <f aca="false">BN9</f>
        <v>0</v>
      </c>
      <c r="BU21" s="2" t="n">
        <f aca="false">BN7</f>
        <v>0</v>
      </c>
      <c r="BV21" s="2" t="n">
        <f aca="false">BN5</f>
        <v>2</v>
      </c>
      <c r="BW21" s="2" t="n">
        <f aca="false">BN3</f>
        <v>0</v>
      </c>
      <c r="BZ21" s="1" t="n">
        <v>2.2115</v>
      </c>
      <c r="CA21" s="2" t="n">
        <f aca="false">BZ19</f>
        <v>3.71286</v>
      </c>
      <c r="CB21" s="2" t="n">
        <f aca="false">BZ17</f>
        <v>9.665</v>
      </c>
      <c r="CC21" s="2" t="n">
        <f aca="false">BZ15</f>
        <v>5.25619</v>
      </c>
      <c r="CD21" s="2" t="n">
        <f aca="false">BZ13</f>
        <v>2.70714</v>
      </c>
      <c r="CE21" s="2" t="n">
        <f aca="false">BZ11</f>
        <v>5.00667</v>
      </c>
      <c r="CF21" s="2" t="n">
        <f aca="false">BZ9</f>
        <v>1.23381</v>
      </c>
      <c r="CG21" s="2" t="n">
        <f aca="false">BZ7</f>
        <v>1.55</v>
      </c>
      <c r="CH21" s="2" t="n">
        <f aca="false">BZ5</f>
        <v>1.0242</v>
      </c>
      <c r="CI21" s="2" t="n">
        <f aca="false">BZ3</f>
        <v>2.45333</v>
      </c>
      <c r="CL21" s="1" t="n">
        <v>0</v>
      </c>
      <c r="CM21" s="2" t="n">
        <f aca="false">CL19</f>
        <v>0</v>
      </c>
      <c r="CN21" s="2" t="n">
        <f aca="false">CL17</f>
        <v>1</v>
      </c>
      <c r="CO21" s="2" t="n">
        <f aca="false">CL15</f>
        <v>0</v>
      </c>
      <c r="CP21" s="2" t="n">
        <f aca="false">CL13</f>
        <v>0</v>
      </c>
      <c r="CQ21" s="2" t="n">
        <f aca="false">CL11</f>
        <v>0</v>
      </c>
      <c r="CR21" s="2" t="n">
        <f aca="false">CL9</f>
        <v>0</v>
      </c>
      <c r="CS21" s="2" t="n">
        <f aca="false">CL7</f>
        <v>0</v>
      </c>
      <c r="CT21" s="2" t="n">
        <f aca="false">CL5</f>
        <v>0</v>
      </c>
      <c r="CU21" s="2" t="n">
        <f aca="false">CL3</f>
        <v>0</v>
      </c>
      <c r="CX21" s="1" t="n">
        <v>65.6684</v>
      </c>
      <c r="CY21" s="2" t="n">
        <f aca="false">CX19</f>
        <v>74.926</v>
      </c>
      <c r="CZ21" s="2" t="n">
        <f aca="false">CX17</f>
        <v>84.0928</v>
      </c>
      <c r="DA21" s="2" t="n">
        <f aca="false">CX15</f>
        <v>79.2281</v>
      </c>
      <c r="DB21" s="2" t="n">
        <f aca="false">CX13</f>
        <v>69.7261</v>
      </c>
      <c r="DC21" s="2" t="n">
        <f aca="false">CX11</f>
        <v>78.7047</v>
      </c>
      <c r="DD21" s="2" t="n">
        <f aca="false">CX9</f>
        <v>50.9753</v>
      </c>
      <c r="DE21" s="2" t="n">
        <f aca="false">CX7</f>
        <v>57.1715</v>
      </c>
      <c r="DF21" s="2" t="n">
        <f aca="false">CX5</f>
        <v>45.685</v>
      </c>
      <c r="DG21" s="2" t="n">
        <f aca="false">CX3</f>
        <v>67.8238</v>
      </c>
      <c r="DJ21" s="1" t="s">
        <v>176</v>
      </c>
      <c r="DK21" s="2" t="str">
        <f aca="false">DJ19</f>
        <v>LH</v>
      </c>
      <c r="DL21" s="2" t="str">
        <f aca="false">DJ17</f>
        <v>LH</v>
      </c>
      <c r="DM21" s="2" t="str">
        <f aca="false">DJ15</f>
        <v>HH</v>
      </c>
      <c r="DN21" s="2" t="str">
        <f aca="false">DJ13</f>
        <v>HH</v>
      </c>
      <c r="DO21" s="2" t="str">
        <f aca="false">DJ11</f>
        <v>HH</v>
      </c>
      <c r="DP21" s="2" t="str">
        <f aca="false">DJ9</f>
        <v>LH</v>
      </c>
      <c r="DQ21" s="2" t="str">
        <f aca="false">DJ7</f>
        <v>LH</v>
      </c>
      <c r="DR21" s="2" t="str">
        <f aca="false">DJ5</f>
        <v>HH</v>
      </c>
      <c r="DS21" s="2" t="str">
        <f aca="false">DJ3</f>
        <v>LH</v>
      </c>
      <c r="DV21" s="2" t="n">
        <f aca="false">IFERROR((G21-$F21)/$F21*100,"")</f>
        <v>-0.454664087129792</v>
      </c>
      <c r="DW21" s="2" t="n">
        <f aca="false">IFERROR((H21-$F21)/$F21*100,"")</f>
        <v>-0.278805403770709</v>
      </c>
      <c r="DX21" s="2" t="n">
        <f aca="false">IFERROR((I21-$F21)/$F21*100,"")</f>
        <v>1.27326658022181</v>
      </c>
      <c r="DY21" s="2" t="n">
        <f aca="false">IFERROR((J21-$F21)/$F21*100,"")</f>
        <v>-0.450935634479063</v>
      </c>
      <c r="DZ21" s="2" t="n">
        <f aca="false">IFERROR((K21-$F21)/$F21*100,"")</f>
        <v>-0.55139671979021</v>
      </c>
      <c r="EA21" s="2" t="n">
        <f aca="false">IFERROR((L21-$F21)/$F21*100,"")</f>
        <v>-0.604009329417074</v>
      </c>
      <c r="EB21" s="2" t="n">
        <f aca="false">IFERROR((M21-$F21)/$F21*100,"")</f>
        <v>-0.0814045495407661</v>
      </c>
      <c r="EC21" s="2" t="n">
        <f aca="false">IFERROR((N21-$F21)/$F21*100,"")</f>
        <v>0.220392978909393</v>
      </c>
      <c r="ED21" s="2" t="n">
        <f aca="false">IFERROR((O21-$F21)/$F21*100,"")</f>
        <v>0.0548911084689844</v>
      </c>
      <c r="EG21" s="2" t="str">
        <f aca="false">IF(DV21="","",IF(AND(ABS(DV21)&lt;=0.25,$E21="Bottom",DK21="LL"),"EQL",IF(AND(ABS(DV21)&lt;=0.25,$E21="Peak",DK21="HH"),"EQH","")))</f>
        <v/>
      </c>
      <c r="EH21" s="2" t="str">
        <f aca="false">IF(DW21="","",IF(AND(ABS(DW21)&lt;=0.25,$E21="Bottom",DL21="LL"),"EQL",IF(AND(ABS(DW21)&lt;=0.25,$E21="Peak",DL21="HH"),"EQH","")))</f>
        <v/>
      </c>
      <c r="EI21" s="2" t="str">
        <f aca="false">IF(DX21="","",IF(AND(ABS(DX21)&lt;=0.25,$E21="Bottom",DM21="LL"),"EQL",IF(AND(ABS(DX21)&lt;=0.25,$E21="Peak",DM21="HH"),"EQH","")))</f>
        <v/>
      </c>
      <c r="EJ21" s="2" t="str">
        <f aca="false">IF(DY21="","",IF(AND(ABS(DY21)&lt;=0.25,$E21="Bottom",DN21="LL"),"EQL",IF(AND(ABS(DY21)&lt;=0.25,$E21="Peak",DN21="HH"),"EQH","")))</f>
        <v/>
      </c>
      <c r="EK21" s="2" t="str">
        <f aca="false">IF(DZ21="","",IF(AND(ABS(DZ21)&lt;=0.25,$E21="Bottom",DO21="LL"),"EQL",IF(AND(ABS(DZ21)&lt;=0.25,$E21="Peak",DO21="HH"),"EQH","")))</f>
        <v/>
      </c>
      <c r="EL21" s="2" t="str">
        <f aca="false">IF(EA21="","",IF(AND(ABS(EA21)&lt;=0.25,$E21="Bottom",DP21="LL"),"EQL",IF(AND(ABS(EA21)&lt;=0.25,$E21="Peak",DP21="HH"),"EQH","")))</f>
        <v/>
      </c>
      <c r="EM21" s="2" t="str">
        <f aca="false">IF(EB21="","",IF(AND(ABS(EB21)&lt;=0.25,$E21="Bottom",DQ21="LL"),"EQL",IF(AND(ABS(EB21)&lt;=0.25,$E21="Peak",DQ21="HH"),"EQH","")))</f>
        <v/>
      </c>
      <c r="EN21" s="2" t="str">
        <f aca="false">IF(EC21="","",IF(AND(ABS(EC21)&lt;=0.25,$E21="Bottom",DR21="LL"),"EQL",IF(AND(ABS(EC21)&lt;=0.25,$E21="Peak",DR21="HH"),"EQH","")))</f>
        <v>EQH</v>
      </c>
      <c r="EO21" s="2" t="str">
        <f aca="false">IF(ED21="","",IF(AND(ABS(ED21)&lt;=0.25,$E21="Bottom",DS21="LL"),"EQL",IF(AND(ABS(ED21)&lt;=0.25,$E21="Peak",DS21="HH"),"EQH","")))</f>
        <v/>
      </c>
      <c r="EP21" s="2" t="str">
        <f aca="false">IF(EE21="","",IF(AND(ABS(EE21)&lt;=0.25,$E21="Bottom",DT21="LL"),"EQL",IF(AND(ABS(EE21)&lt;=0.25,$E21="Peak",DT21="HH"),"EQH","")))</f>
        <v/>
      </c>
      <c r="EQ21" s="2" t="str">
        <f aca="false">IF(EF21="","",IF(AND(ABS(EF21)&lt;=0.25,$E21="Bottom",DU21="LL"),"EQL",IF(AND(ABS(EF21)&lt;=0.25,$E21="Peak",DU21="HH"),"EQH","")))</f>
        <v/>
      </c>
      <c r="ER21" s="2" t="str">
        <f aca="false">IF(OR(EG21="EQL",EG21="EQH"),G21,"")</f>
        <v/>
      </c>
      <c r="ES21" s="2" t="str">
        <f aca="false">IF(OR(EH21="EQL",EH21="EQH"),H21,"")</f>
        <v/>
      </c>
      <c r="ET21" s="2" t="str">
        <f aca="false">IF(OR(EI21="EQL",EI21="EQH"),I21,"")</f>
        <v/>
      </c>
      <c r="EU21" s="2" t="str">
        <f aca="false">IF(OR(EJ21="EQL",EJ21="EQH"),J21,"")</f>
        <v/>
      </c>
      <c r="EV21" s="2" t="str">
        <f aca="false">IF(OR(EK21="EQL",EK21="EQH"),K21,"")</f>
        <v/>
      </c>
      <c r="EW21" s="2" t="str">
        <f aca="false">IF(OR(EL21="EQL",EL21="EQH"),L21,"")</f>
        <v/>
      </c>
      <c r="EX21" s="2" t="str">
        <f aca="false">IF(OR(EM21="EQL",EM21="EQH"),M21,"")</f>
        <v/>
      </c>
      <c r="EY21" s="2" t="n">
        <f aca="false">IF(OR(EN21="EQL",EN21="EQH"),N21,"")</f>
        <v>4838.38</v>
      </c>
      <c r="EZ21" s="2" t="str">
        <f aca="false">IF(OR(EO21="EQL",EO21="EQH"),O21,"")</f>
        <v/>
      </c>
      <c r="FA21" s="2" t="str">
        <f aca="false">IF(OR(EP21="EQL",EP21="EQH"),P21,"")</f>
        <v/>
      </c>
      <c r="FB21" s="2" t="str">
        <f aca="false">IF(OR(EQ21="EQL",EQ21="EQH"),Q21,"")</f>
        <v/>
      </c>
      <c r="FC21" s="2" t="str">
        <f aca="false">IF(AND(EG21="EQL",OR(AQ21=4,AQ21=5)),"IEQL",IF(AND(EG21="EQH",OR(AQ21=1,AQ21=2)),"IEQH",""))</f>
        <v/>
      </c>
      <c r="FD21" s="2" t="str">
        <f aca="false">IF(AND(EH21="EQL",OR(AR21=4,AR21=5)),"IEQL",IF(AND(EH21="EQH",OR(AR21=1,AR21=2)),"IEQH",""))</f>
        <v/>
      </c>
      <c r="FE21" s="2" t="str">
        <f aca="false">IF(AND(EI21="EQL",OR(AS21=4,AS21=5)),"IEQL",IF(AND(EI21="EQH",OR(AS21=1,AS21=2)),"IEQH",""))</f>
        <v/>
      </c>
      <c r="FF21" s="2" t="str">
        <f aca="false">IF(AND(EJ21="EQL",OR(AT21=4,AT21=5)),"IEQL",IF(AND(EJ21="EQH",OR(AT21=1,AT21=2)),"IEQH",""))</f>
        <v/>
      </c>
      <c r="FG21" s="2" t="str">
        <f aca="false">IF(AND(EK21="EQL",OR(AU21=4,AU21=5)),"IEQL",IF(AND(EK21="EQH",OR(AU21=1,AU21=2)),"IEQH",""))</f>
        <v/>
      </c>
      <c r="FH21" s="2" t="str">
        <f aca="false">IF(AND(EL21="EQL",OR(AV21=4,AV21=5)),"IEQL",IF(AND(EL21="EQH",OR(AV21=1,AV21=2)),"IEQH",""))</f>
        <v/>
      </c>
      <c r="FI21" s="2" t="str">
        <f aca="false">IF(AND(EM21="EQL",OR(AW21=4,AW21=5)),"IEQL",IF(AND(EM21="EQH",OR(AW21=1,AW21=2)),"IEQH",""))</f>
        <v/>
      </c>
      <c r="FJ21" s="2" t="str">
        <f aca="false">IF(AND(EN21="EQL",OR(AX21=4,AX21=5)),"IEQL",IF(AND(EN21="EQH",OR(AX21=1,AX21=2)),"IEQH",""))</f>
        <v/>
      </c>
      <c r="FK21" s="2" t="str">
        <f aca="false">IF(AND(EO21="EQL",OR(AY21=4,AY21=5)),"IEQL",IF(AND(EO21="EQH",OR(AY21=1,AY21=2)),"IEQH",""))</f>
        <v/>
      </c>
      <c r="FL21" s="2" t="str">
        <f aca="false">IF(AND(EP21="EQL",OR(AZ21=4,AZ21=5)),"IEQL",IF(AND(EP21="EQH",OR(AZ21=1,AZ21=2)),"IEQH",""))</f>
        <v/>
      </c>
      <c r="FM21" s="2" t="str">
        <f aca="false">IF(AND(EQ21="EQL",OR(BA21=4,BA21=5)),"IEQL",IF(AND(EQ21="EQH",OR(BA21=1,BA21=2)),"IEQH",""))</f>
        <v/>
      </c>
    </row>
    <row r="22" customFormat="false" ht="14.25" hidden="false" customHeight="false" outlineLevel="0" collapsed="false">
      <c r="A22" s="1" t="n">
        <v>1776696302</v>
      </c>
      <c r="B22" s="1" t="s">
        <v>169</v>
      </c>
      <c r="C22" s="1" t="s">
        <v>170</v>
      </c>
      <c r="D22" s="1" t="n">
        <v>4805.31</v>
      </c>
      <c r="E22" s="1" t="s">
        <v>171</v>
      </c>
      <c r="F22" s="1" t="n">
        <v>4792.42</v>
      </c>
      <c r="G22" s="2" t="n">
        <f aca="false">F20</f>
        <v>4783.51</v>
      </c>
      <c r="H22" s="2" t="n">
        <f aca="false">F18</f>
        <v>4779.8</v>
      </c>
      <c r="I22" s="2" t="n">
        <f aca="false">F16</f>
        <v>4736.96</v>
      </c>
      <c r="J22" s="2" t="n">
        <f aca="false">F14</f>
        <v>4778.83</v>
      </c>
      <c r="K22" s="2" t="n">
        <f aca="false">F12</f>
        <v>4768.07</v>
      </c>
      <c r="L22" s="2" t="n">
        <f aca="false">F10</f>
        <v>4786.1</v>
      </c>
      <c r="M22" s="2" t="n">
        <f aca="false">F8</f>
        <v>4772.67</v>
      </c>
      <c r="N22" s="2" t="n">
        <f aca="false">F6</f>
        <v>4805.21</v>
      </c>
      <c r="O22" s="2" t="n">
        <f aca="false">F4</f>
        <v>4787.17</v>
      </c>
      <c r="P22" s="2" t="n">
        <f aca="false">F2</f>
        <v>4786.23</v>
      </c>
      <c r="R22" s="1" t="n">
        <v>-35.32</v>
      </c>
      <c r="S22" s="2" t="n">
        <f aca="false">R20</f>
        <v>-22.28</v>
      </c>
      <c r="T22" s="2" t="n">
        <f aca="false">R18</f>
        <v>-34.48</v>
      </c>
      <c r="U22" s="2" t="n">
        <f aca="false">R16</f>
        <v>-152.25</v>
      </c>
      <c r="V22" s="2" t="n">
        <f aca="false">R14</f>
        <v>-27.14</v>
      </c>
      <c r="W22" s="2" t="n">
        <f aca="false">R12</f>
        <v>-33.05</v>
      </c>
      <c r="X22" s="2" t="n">
        <f aca="false">R10</f>
        <v>-12.48</v>
      </c>
      <c r="Y22" s="2" t="n">
        <f aca="false">R8</f>
        <v>-51.14</v>
      </c>
      <c r="Z22" s="2" t="n">
        <f aca="false">R6</f>
        <v>-33.17</v>
      </c>
      <c r="AA22" s="2" t="n">
        <f aca="false">R4</f>
        <v>-43.22</v>
      </c>
      <c r="AB22" s="2" t="n">
        <f aca="false">R2</f>
        <v>-84.99</v>
      </c>
      <c r="AD22" s="1" t="n">
        <v>-0.73</v>
      </c>
      <c r="AE22" s="2" t="n">
        <f aca="false">AD20</f>
        <v>-0.46</v>
      </c>
      <c r="AF22" s="2" t="n">
        <f aca="false">AD18</f>
        <v>-0.72</v>
      </c>
      <c r="AG22" s="2" t="n">
        <f aca="false">AD16</f>
        <v>-3.11</v>
      </c>
      <c r="AH22" s="2" t="n">
        <f aca="false">AD14</f>
        <v>-0.56</v>
      </c>
      <c r="AI22" s="2" t="n">
        <f aca="false">AD12</f>
        <v>-0.69</v>
      </c>
      <c r="AJ22" s="2" t="n">
        <f aca="false">AD10</f>
        <v>-0.26</v>
      </c>
      <c r="AK22" s="2" t="n">
        <f aca="false">AD8</f>
        <v>-1.06</v>
      </c>
      <c r="AL22" s="2" t="n">
        <f aca="false">AD6</f>
        <v>-0.69</v>
      </c>
      <c r="AM22" s="2" t="n">
        <f aca="false">AD4</f>
        <v>-0.89</v>
      </c>
      <c r="AN22" s="2" t="n">
        <f aca="false">AD2</f>
        <v>-1.74</v>
      </c>
      <c r="AP22" s="1" t="n">
        <v>3</v>
      </c>
      <c r="AQ22" s="2" t="n">
        <f aca="false">AP20</f>
        <v>3</v>
      </c>
      <c r="AR22" s="2" t="n">
        <f aca="false">AP18</f>
        <v>3</v>
      </c>
      <c r="AS22" s="2" t="n">
        <f aca="false">AP16</f>
        <v>5</v>
      </c>
      <c r="AT22" s="2" t="n">
        <f aca="false">AP14</f>
        <v>3</v>
      </c>
      <c r="AU22" s="2" t="n">
        <f aca="false">AP12</f>
        <v>3</v>
      </c>
      <c r="AV22" s="2" t="n">
        <f aca="false">AP10</f>
        <v>3</v>
      </c>
      <c r="AW22" s="2" t="n">
        <f aca="false">AP8</f>
        <v>3</v>
      </c>
      <c r="AX22" s="2" t="n">
        <f aca="false">AP6</f>
        <v>3</v>
      </c>
      <c r="AY22" s="2" t="n">
        <f aca="false">AP4</f>
        <v>3</v>
      </c>
      <c r="AZ22" s="2" t="n">
        <f aca="false">AP2</f>
        <v>3</v>
      </c>
      <c r="BB22" s="1" t="n">
        <v>1</v>
      </c>
      <c r="BC22" s="2" t="n">
        <f aca="false">BB20</f>
        <v>9</v>
      </c>
      <c r="BD22" s="2" t="n">
        <f aca="false">BB18</f>
        <v>15</v>
      </c>
      <c r="BE22" s="2" t="n">
        <f aca="false">BB16</f>
        <v>39</v>
      </c>
      <c r="BF22" s="2" t="n">
        <f aca="false">BB14</f>
        <v>11</v>
      </c>
      <c r="BG22" s="2" t="n">
        <f aca="false">BB12</f>
        <v>3</v>
      </c>
      <c r="BH22" s="2" t="n">
        <f aca="false">BB10</f>
        <v>13</v>
      </c>
      <c r="BI22" s="2" t="n">
        <f aca="false">BB8</f>
        <v>4</v>
      </c>
      <c r="BJ22" s="2" t="n">
        <f aca="false">BB6</f>
        <v>22</v>
      </c>
      <c r="BK22" s="2" t="n">
        <f aca="false">BB4</f>
        <v>5</v>
      </c>
      <c r="BL22" s="2" t="n">
        <f aca="false">BB2</f>
        <v>34</v>
      </c>
      <c r="BN22" s="1" t="n">
        <v>3</v>
      </c>
      <c r="BO22" s="2" t="n">
        <f aca="false">BN20</f>
        <v>3</v>
      </c>
      <c r="BP22" s="2" t="n">
        <f aca="false">BN18</f>
        <v>3</v>
      </c>
      <c r="BQ22" s="2" t="n">
        <f aca="false">BN16</f>
        <v>4</v>
      </c>
      <c r="BR22" s="2" t="n">
        <f aca="false">BN14</f>
        <v>3</v>
      </c>
      <c r="BS22" s="2" t="n">
        <f aca="false">BN12</f>
        <v>3</v>
      </c>
      <c r="BT22" s="2" t="n">
        <f aca="false">BN10</f>
        <v>3</v>
      </c>
      <c r="BU22" s="2" t="n">
        <f aca="false">BN8</f>
        <v>3</v>
      </c>
      <c r="BV22" s="2" t="n">
        <f aca="false">BN6</f>
        <v>3</v>
      </c>
      <c r="BW22" s="2" t="n">
        <f aca="false">BN4</f>
        <v>3</v>
      </c>
      <c r="BX22" s="2" t="n">
        <f aca="false">BN2</f>
        <v>3</v>
      </c>
      <c r="BZ22" s="1" t="n">
        <v>-35.32</v>
      </c>
      <c r="CA22" s="2" t="n">
        <f aca="false">BZ20</f>
        <v>-2.47556</v>
      </c>
      <c r="CB22" s="2" t="n">
        <f aca="false">BZ18</f>
        <v>-2.29867</v>
      </c>
      <c r="CC22" s="2" t="n">
        <f aca="false">BZ16</f>
        <v>-3.90385</v>
      </c>
      <c r="CD22" s="2" t="n">
        <f aca="false">BZ14</f>
        <v>-2.46727</v>
      </c>
      <c r="CE22" s="2" t="n">
        <f aca="false">BZ12</f>
        <v>-11.01667</v>
      </c>
      <c r="CF22" s="2" t="n">
        <f aca="false">BZ10</f>
        <v>-0.96</v>
      </c>
      <c r="CG22" s="2" t="n">
        <f aca="false">BZ8</f>
        <v>-12.785</v>
      </c>
      <c r="CH22" s="2" t="n">
        <f aca="false">BZ6</f>
        <v>-1.50773</v>
      </c>
      <c r="CI22" s="2" t="n">
        <f aca="false">BZ4</f>
        <v>-8.644</v>
      </c>
      <c r="CJ22" s="2" t="n">
        <f aca="false">BZ2</f>
        <v>-2.49971</v>
      </c>
      <c r="CL22" s="1" t="n">
        <v>5</v>
      </c>
      <c r="CM22" s="2" t="n">
        <f aca="false">CL20</f>
        <v>3</v>
      </c>
      <c r="CN22" s="2" t="n">
        <f aca="false">CL18</f>
        <v>3</v>
      </c>
      <c r="CO22" s="2" t="n">
        <f aca="false">CL16</f>
        <v>3</v>
      </c>
      <c r="CP22" s="2" t="n">
        <f aca="false">CL14</f>
        <v>3</v>
      </c>
      <c r="CQ22" s="2" t="n">
        <f aca="false">CL12</f>
        <v>5</v>
      </c>
      <c r="CR22" s="2" t="n">
        <f aca="false">CL10</f>
        <v>3</v>
      </c>
      <c r="CS22" s="2" t="n">
        <f aca="false">CL8</f>
        <v>5</v>
      </c>
      <c r="CT22" s="2" t="n">
        <f aca="false">CL6</f>
        <v>3</v>
      </c>
      <c r="CU22" s="2" t="n">
        <f aca="false">CL4</f>
        <v>3</v>
      </c>
      <c r="CV22" s="2" t="n">
        <f aca="false">CL2</f>
        <v>3</v>
      </c>
      <c r="CX22" s="1" t="n">
        <v>-88.3782</v>
      </c>
      <c r="CY22" s="2" t="n">
        <f aca="false">CX20</f>
        <v>-68.0038</v>
      </c>
      <c r="CZ22" s="2" t="n">
        <f aca="false">CX18</f>
        <v>-66.4893</v>
      </c>
      <c r="DA22" s="2" t="n">
        <f aca="false">CX16</f>
        <v>-75.6322</v>
      </c>
      <c r="DB22" s="2" t="n">
        <f aca="false">CX14</f>
        <v>-67.937</v>
      </c>
      <c r="DC22" s="2" t="n">
        <f aca="false">CX12</f>
        <v>-84.8134</v>
      </c>
      <c r="DD22" s="2" t="n">
        <f aca="false">CX10</f>
        <v>-43.8309</v>
      </c>
      <c r="DE22" s="2" t="n">
        <f aca="false">CX8</f>
        <v>-85.5276</v>
      </c>
      <c r="DF22" s="2" t="n">
        <f aca="false">CX6</f>
        <v>-56.4457</v>
      </c>
      <c r="DG22" s="2" t="n">
        <f aca="false">CX4</f>
        <v>-83.4009</v>
      </c>
      <c r="DH22" s="2" t="n">
        <f aca="false">CX2</f>
        <v>-68.1963</v>
      </c>
      <c r="DJ22" s="1" t="s">
        <v>175</v>
      </c>
      <c r="DK22" s="2" t="str">
        <f aca="false">DJ20</f>
        <v>HL</v>
      </c>
      <c r="DL22" s="2" t="str">
        <f aca="false">DJ18</f>
        <v>HL</v>
      </c>
      <c r="DM22" s="2" t="str">
        <f aca="false">DJ16</f>
        <v>LL</v>
      </c>
      <c r="DN22" s="2" t="str">
        <f aca="false">DJ14</f>
        <v>HL</v>
      </c>
      <c r="DO22" s="2" t="str">
        <f aca="false">DJ12</f>
        <v>LL</v>
      </c>
      <c r="DP22" s="2" t="str">
        <f aca="false">DJ10</f>
        <v>HL</v>
      </c>
      <c r="DQ22" s="2" t="str">
        <f aca="false">DJ8</f>
        <v>LL</v>
      </c>
      <c r="DR22" s="2" t="str">
        <f aca="false">DJ6</f>
        <v>HL</v>
      </c>
      <c r="DS22" s="2" t="str">
        <f aca="false">DJ4</f>
        <v>HL</v>
      </c>
      <c r="DT22" s="2" t="str">
        <f aca="false">DJ2</f>
        <v>LL</v>
      </c>
      <c r="DV22" s="2" t="n">
        <f aca="false">IFERROR((G22-$F22)/$F22*100,"")</f>
        <v>-0.185918596450225</v>
      </c>
      <c r="DW22" s="2" t="n">
        <f aca="false">IFERROR((H22-$F22)/$F22*100,"")</f>
        <v>-0.263332512592801</v>
      </c>
      <c r="DX22" s="2" t="n">
        <f aca="false">IFERROR((I22-$F22)/$F22*100,"")</f>
        <v>-1.15724414805046</v>
      </c>
      <c r="DY22" s="2" t="n">
        <f aca="false">IFERROR((J22-$F22)/$F22*100,"")</f>
        <v>-0.283572808727118</v>
      </c>
      <c r="DZ22" s="2" t="n">
        <f aca="false">IFERROR((K22-$F22)/$F22*100,"")</f>
        <v>-0.508094031825265</v>
      </c>
      <c r="EA22" s="2" t="n">
        <f aca="false">IFERROR((L22-$F22)/$F22*100,"")</f>
        <v>-0.131874919143141</v>
      </c>
      <c r="EB22" s="2" t="n">
        <f aca="false">IFERROR((M22-$F22)/$F22*100,"")</f>
        <v>-0.412109122322334</v>
      </c>
      <c r="EC22" s="2" t="n">
        <f aca="false">IFERROR((N22-$F22)/$F22*100,"")</f>
        <v>0.266879780987475</v>
      </c>
      <c r="ED22" s="2" t="n">
        <f aca="false">IFERROR((O22-$F22)/$F22*100,"")</f>
        <v>-0.10954799454138</v>
      </c>
      <c r="EE22" s="2" t="n">
        <f aca="false">IFERROR((P22-$F22)/$F22*100,"")</f>
        <v>-0.129162302135466</v>
      </c>
      <c r="EG22" s="2" t="str">
        <f aca="false">IF(DV22="","",IF(AND(ABS(DV22)&lt;=0.25,$E22="Bottom",DK22="LL"),"EQL",IF(AND(ABS(DV22)&lt;=0.25,$E22="Peak",DK22="HH"),"EQH","")))</f>
        <v/>
      </c>
      <c r="EH22" s="2" t="str">
        <f aca="false">IF(DW22="","",IF(AND(ABS(DW22)&lt;=0.25,$E22="Bottom",DL22="LL"),"EQL",IF(AND(ABS(DW22)&lt;=0.25,$E22="Peak",DL22="HH"),"EQH","")))</f>
        <v/>
      </c>
      <c r="EI22" s="2" t="str">
        <f aca="false">IF(DX22="","",IF(AND(ABS(DX22)&lt;=0.25,$E22="Bottom",DM22="LL"),"EQL",IF(AND(ABS(DX22)&lt;=0.25,$E22="Peak",DM22="HH"),"EQH","")))</f>
        <v/>
      </c>
      <c r="EJ22" s="2" t="str">
        <f aca="false">IF(DY22="","",IF(AND(ABS(DY22)&lt;=0.25,$E22="Bottom",DN22="LL"),"EQL",IF(AND(ABS(DY22)&lt;=0.25,$E22="Peak",DN22="HH"),"EQH","")))</f>
        <v/>
      </c>
      <c r="EK22" s="2" t="str">
        <f aca="false">IF(DZ22="","",IF(AND(ABS(DZ22)&lt;=0.25,$E22="Bottom",DO22="LL"),"EQL",IF(AND(ABS(DZ22)&lt;=0.25,$E22="Peak",DO22="HH"),"EQH","")))</f>
        <v/>
      </c>
      <c r="EL22" s="2" t="str">
        <f aca="false">IF(EA22="","",IF(AND(ABS(EA22)&lt;=0.25,$E22="Bottom",DP22="LL"),"EQL",IF(AND(ABS(EA22)&lt;=0.25,$E22="Peak",DP22="HH"),"EQH","")))</f>
        <v/>
      </c>
      <c r="EM22" s="2" t="str">
        <f aca="false">IF(EB22="","",IF(AND(ABS(EB22)&lt;=0.25,$E22="Bottom",DQ22="LL"),"EQL",IF(AND(ABS(EB22)&lt;=0.25,$E22="Peak",DQ22="HH"),"EQH","")))</f>
        <v/>
      </c>
      <c r="EN22" s="2" t="str">
        <f aca="false">IF(EC22="","",IF(AND(ABS(EC22)&lt;=0.25,$E22="Bottom",DR22="LL"),"EQL",IF(AND(ABS(EC22)&lt;=0.25,$E22="Peak",DR22="HH"),"EQH","")))</f>
        <v/>
      </c>
      <c r="EO22" s="2" t="str">
        <f aca="false">IF(ED22="","",IF(AND(ABS(ED22)&lt;=0.25,$E22="Bottom",DS22="LL"),"EQL",IF(AND(ABS(ED22)&lt;=0.25,$E22="Peak",DS22="HH"),"EQH","")))</f>
        <v/>
      </c>
      <c r="EP22" s="2" t="str">
        <f aca="false">IF(EE22="","",IF(AND(ABS(EE22)&lt;=0.25,$E22="Bottom",DT22="LL"),"EQL",IF(AND(ABS(EE22)&lt;=0.25,$E22="Peak",DT22="HH"),"EQH","")))</f>
        <v>EQL</v>
      </c>
      <c r="EQ22" s="2" t="str">
        <f aca="false">IF(EF22="","",IF(AND(ABS(EF22)&lt;=0.25,$E22="Bottom",DU22="LL"),"EQL",IF(AND(ABS(EF22)&lt;=0.25,$E22="Peak",DU22="HH"),"EQH","")))</f>
        <v/>
      </c>
      <c r="ER22" s="2" t="str">
        <f aca="false">IF(OR(EG22="EQL",EG22="EQH"),G22,"")</f>
        <v/>
      </c>
      <c r="ES22" s="2" t="str">
        <f aca="false">IF(OR(EH22="EQL",EH22="EQH"),H22,"")</f>
        <v/>
      </c>
      <c r="ET22" s="2" t="str">
        <f aca="false">IF(OR(EI22="EQL",EI22="EQH"),I22,"")</f>
        <v/>
      </c>
      <c r="EU22" s="2" t="str">
        <f aca="false">IF(OR(EJ22="EQL",EJ22="EQH"),J22,"")</f>
        <v/>
      </c>
      <c r="EV22" s="2" t="str">
        <f aca="false">IF(OR(EK22="EQL",EK22="EQH"),K22,"")</f>
        <v/>
      </c>
      <c r="EW22" s="2" t="str">
        <f aca="false">IF(OR(EL22="EQL",EL22="EQH"),L22,"")</f>
        <v/>
      </c>
      <c r="EX22" s="2" t="str">
        <f aca="false">IF(OR(EM22="EQL",EM22="EQH"),M22,"")</f>
        <v/>
      </c>
      <c r="EY22" s="2" t="str">
        <f aca="false">IF(OR(EN22="EQL",EN22="EQH"),N22,"")</f>
        <v/>
      </c>
      <c r="EZ22" s="2" t="str">
        <f aca="false">IF(OR(EO22="EQL",EO22="EQH"),O22,"")</f>
        <v/>
      </c>
      <c r="FA22" s="2" t="n">
        <f aca="false">IF(OR(EP22="EQL",EP22="EQH"),P22,"")</f>
        <v>4786.23</v>
      </c>
      <c r="FB22" s="2" t="str">
        <f aca="false">IF(OR(EQ22="EQL",EQ22="EQH"),Q22,"")</f>
        <v/>
      </c>
      <c r="FC22" s="2" t="str">
        <f aca="false">IF(AND(EG22="EQL",OR(AQ22=4,AQ22=5)),"IEQL",IF(AND(EG22="EQH",OR(AQ22=1,AQ22=2)),"IEQH",""))</f>
        <v/>
      </c>
      <c r="FD22" s="2" t="str">
        <f aca="false">IF(AND(EH22="EQL",OR(AR22=4,AR22=5)),"IEQL",IF(AND(EH22="EQH",OR(AR22=1,AR22=2)),"IEQH",""))</f>
        <v/>
      </c>
      <c r="FE22" s="2" t="str">
        <f aca="false">IF(AND(EI22="EQL",OR(AS22=4,AS22=5)),"IEQL",IF(AND(EI22="EQH",OR(AS22=1,AS22=2)),"IEQH",""))</f>
        <v/>
      </c>
      <c r="FF22" s="2" t="str">
        <f aca="false">IF(AND(EJ22="EQL",OR(AT22=4,AT22=5)),"IEQL",IF(AND(EJ22="EQH",OR(AT22=1,AT22=2)),"IEQH",""))</f>
        <v/>
      </c>
      <c r="FG22" s="2" t="str">
        <f aca="false">IF(AND(EK22="EQL",OR(AU22=4,AU22=5)),"IEQL",IF(AND(EK22="EQH",OR(AU22=1,AU22=2)),"IEQH",""))</f>
        <v/>
      </c>
      <c r="FH22" s="2" t="str">
        <f aca="false">IF(AND(EL22="EQL",OR(AV22=4,AV22=5)),"IEQL",IF(AND(EL22="EQH",OR(AV22=1,AV22=2)),"IEQH",""))</f>
        <v/>
      </c>
      <c r="FI22" s="2" t="str">
        <f aca="false">IF(AND(EM22="EQL",OR(AW22=4,AW22=5)),"IEQL",IF(AND(EM22="EQH",OR(AW22=1,AW22=2)),"IEQH",""))</f>
        <v/>
      </c>
      <c r="FJ22" s="2" t="str">
        <f aca="false">IF(AND(EN22="EQL",OR(AX22=4,AX22=5)),"IEQL",IF(AND(EN22="EQH",OR(AX22=1,AX22=2)),"IEQH",""))</f>
        <v/>
      </c>
      <c r="FK22" s="2" t="str">
        <f aca="false">IF(AND(EO22="EQL",OR(AY22=4,AY22=5)),"IEQL",IF(AND(EO22="EQH",OR(AY22=1,AY22=2)),"IEQH",""))</f>
        <v/>
      </c>
      <c r="FL22" s="2" t="str">
        <f aca="false">IF(AND(EP22="EQL",OR(AZ22=4,AZ22=5)),"IEQL",IF(AND(EP22="EQH",OR(AZ22=1,AZ22=2)),"IEQH",""))</f>
        <v/>
      </c>
      <c r="FM22" s="2" t="str">
        <f aca="false">IF(AND(EQ22="EQL",OR(BA22=4,BA22=5)),"IEQL",IF(AND(EQ22="EQH",OR(BA22=1,BA22=2)),"IEQH",""))</f>
        <v/>
      </c>
    </row>
    <row r="23" customFormat="false" ht="14.25" hidden="false" customHeight="false" outlineLevel="0" collapsed="false">
      <c r="A23" s="1" t="n">
        <v>1776723302</v>
      </c>
      <c r="B23" s="1" t="s">
        <v>169</v>
      </c>
      <c r="C23" s="1" t="s">
        <v>170</v>
      </c>
      <c r="D23" s="1" t="n">
        <v>4828.53</v>
      </c>
      <c r="E23" s="1" t="s">
        <v>173</v>
      </c>
      <c r="F23" s="1" t="n">
        <v>4833.25</v>
      </c>
      <c r="G23" s="2" t="n">
        <f aca="false">F21</f>
        <v>4827.74</v>
      </c>
      <c r="H23" s="2" t="n">
        <f aca="false">F19</f>
        <v>4805.79</v>
      </c>
      <c r="I23" s="2" t="n">
        <f aca="false">F17</f>
        <v>4814.28</v>
      </c>
      <c r="J23" s="2" t="n">
        <f aca="false">F15</f>
        <v>4889.21</v>
      </c>
      <c r="K23" s="2" t="n">
        <f aca="false">F13</f>
        <v>4805.97</v>
      </c>
      <c r="L23" s="2" t="n">
        <f aca="false">F11</f>
        <v>4801.12</v>
      </c>
      <c r="M23" s="2" t="n">
        <f aca="false">F9</f>
        <v>4798.58</v>
      </c>
      <c r="N23" s="2" t="n">
        <f aca="false">F7</f>
        <v>4823.81</v>
      </c>
      <c r="O23" s="2" t="n">
        <f aca="false">F5</f>
        <v>4838.38</v>
      </c>
      <c r="P23" s="2" t="n">
        <f aca="false">F3</f>
        <v>4830.39</v>
      </c>
      <c r="R23" s="1" t="n">
        <v>40.83</v>
      </c>
      <c r="S23" s="2" t="n">
        <f aca="false">R21</f>
        <v>44.23</v>
      </c>
      <c r="T23" s="2" t="n">
        <f aca="false">R19</f>
        <v>25.99</v>
      </c>
      <c r="U23" s="2" t="n">
        <f aca="false">R17</f>
        <v>77.32</v>
      </c>
      <c r="V23" s="2" t="n">
        <f aca="false">R15</f>
        <v>110.38</v>
      </c>
      <c r="W23" s="2" t="n">
        <f aca="false">R13</f>
        <v>37.9</v>
      </c>
      <c r="X23" s="2" t="n">
        <f aca="false">R11</f>
        <v>15.02</v>
      </c>
      <c r="Y23" s="2" t="n">
        <f aca="false">R9</f>
        <v>25.91</v>
      </c>
      <c r="Z23" s="2" t="n">
        <f aca="false">R7</f>
        <v>18.6</v>
      </c>
      <c r="AA23" s="2" t="n">
        <f aca="false">R5</f>
        <v>51.21</v>
      </c>
      <c r="AB23" s="2" t="n">
        <f aca="false">R3</f>
        <v>44.16</v>
      </c>
      <c r="AD23" s="1" t="n">
        <v>0.85</v>
      </c>
      <c r="AE23" s="2" t="n">
        <f aca="false">AD21</f>
        <v>0.92</v>
      </c>
      <c r="AF23" s="2" t="n">
        <f aca="false">AD19</f>
        <v>0.54</v>
      </c>
      <c r="AG23" s="2" t="n">
        <f aca="false">AD17</f>
        <v>1.63</v>
      </c>
      <c r="AH23" s="2" t="n">
        <f aca="false">AD15</f>
        <v>2.31</v>
      </c>
      <c r="AI23" s="2" t="n">
        <f aca="false">AD13</f>
        <v>0.79</v>
      </c>
      <c r="AJ23" s="2" t="n">
        <f aca="false">AD11</f>
        <v>0.31</v>
      </c>
      <c r="AK23" s="2" t="n">
        <f aca="false">AD9</f>
        <v>0.54</v>
      </c>
      <c r="AL23" s="2" t="n">
        <f aca="false">AD7</f>
        <v>0.39</v>
      </c>
      <c r="AM23" s="2" t="n">
        <f aca="false">AD5</f>
        <v>1.07</v>
      </c>
      <c r="AN23" s="2" t="n">
        <f aca="false">AD3</f>
        <v>0.92</v>
      </c>
      <c r="AP23" s="1" t="n">
        <v>0</v>
      </c>
      <c r="AQ23" s="2" t="n">
        <f aca="false">AP21</f>
        <v>0</v>
      </c>
      <c r="AR23" s="2" t="n">
        <f aca="false">AP19</f>
        <v>0</v>
      </c>
      <c r="AS23" s="2" t="n">
        <f aca="false">AP17</f>
        <v>0</v>
      </c>
      <c r="AT23" s="2" t="n">
        <f aca="false">AP15</f>
        <v>0</v>
      </c>
      <c r="AU23" s="2" t="n">
        <f aca="false">AP13</f>
        <v>0</v>
      </c>
      <c r="AV23" s="2" t="n">
        <f aca="false">AP11</f>
        <v>0</v>
      </c>
      <c r="AW23" s="2" t="n">
        <f aca="false">AP9</f>
        <v>0</v>
      </c>
      <c r="AX23" s="2" t="n">
        <f aca="false">AP7</f>
        <v>0</v>
      </c>
      <c r="AY23" s="2" t="n">
        <f aca="false">AP5</f>
        <v>0</v>
      </c>
      <c r="AZ23" s="2" t="n">
        <f aca="false">AP3</f>
        <v>0</v>
      </c>
      <c r="BB23" s="1" t="n">
        <v>26</v>
      </c>
      <c r="BC23" s="2" t="n">
        <f aca="false">BB21</f>
        <v>20</v>
      </c>
      <c r="BD23" s="2" t="n">
        <f aca="false">BB19</f>
        <v>7</v>
      </c>
      <c r="BE23" s="2" t="n">
        <f aca="false">BB17</f>
        <v>8</v>
      </c>
      <c r="BF23" s="2" t="n">
        <f aca="false">BB15</f>
        <v>21</v>
      </c>
      <c r="BG23" s="2" t="n">
        <f aca="false">BB13</f>
        <v>14</v>
      </c>
      <c r="BH23" s="2" t="n">
        <f aca="false">BB11</f>
        <v>3</v>
      </c>
      <c r="BI23" s="2" t="n">
        <f aca="false">BB9</f>
        <v>21</v>
      </c>
      <c r="BJ23" s="2" t="n">
        <f aca="false">BB7</f>
        <v>12</v>
      </c>
      <c r="BK23" s="2" t="n">
        <f aca="false">BB5</f>
        <v>50</v>
      </c>
      <c r="BL23" s="2" t="n">
        <f aca="false">BB3</f>
        <v>18</v>
      </c>
      <c r="BN23" s="1" t="n">
        <v>0</v>
      </c>
      <c r="BO23" s="2" t="n">
        <f aca="false">BN21</f>
        <v>0</v>
      </c>
      <c r="BP23" s="2" t="n">
        <f aca="false">BN19</f>
        <v>0</v>
      </c>
      <c r="BQ23" s="2" t="n">
        <f aca="false">BN17</f>
        <v>0</v>
      </c>
      <c r="BR23" s="2" t="n">
        <f aca="false">BN15</f>
        <v>0</v>
      </c>
      <c r="BS23" s="2" t="n">
        <f aca="false">BN13</f>
        <v>0</v>
      </c>
      <c r="BT23" s="2" t="n">
        <f aca="false">BN11</f>
        <v>0</v>
      </c>
      <c r="BU23" s="2" t="n">
        <f aca="false">BN9</f>
        <v>0</v>
      </c>
      <c r="BV23" s="2" t="n">
        <f aca="false">BN7</f>
        <v>0</v>
      </c>
      <c r="BW23" s="2" t="n">
        <f aca="false">BN5</f>
        <v>2</v>
      </c>
      <c r="BX23" s="2" t="n">
        <f aca="false">BN3</f>
        <v>0</v>
      </c>
      <c r="BZ23" s="1" t="n">
        <v>1.57038</v>
      </c>
      <c r="CA23" s="2" t="n">
        <f aca="false">BZ21</f>
        <v>2.2115</v>
      </c>
      <c r="CB23" s="2" t="n">
        <f aca="false">BZ19</f>
        <v>3.71286</v>
      </c>
      <c r="CC23" s="2" t="n">
        <f aca="false">BZ17</f>
        <v>9.665</v>
      </c>
      <c r="CD23" s="2" t="n">
        <f aca="false">BZ15</f>
        <v>5.25619</v>
      </c>
      <c r="CE23" s="2" t="n">
        <f aca="false">BZ13</f>
        <v>2.70714</v>
      </c>
      <c r="CF23" s="2" t="n">
        <f aca="false">BZ11</f>
        <v>5.00667</v>
      </c>
      <c r="CG23" s="2" t="n">
        <f aca="false">BZ9</f>
        <v>1.23381</v>
      </c>
      <c r="CH23" s="2" t="n">
        <f aca="false">BZ7</f>
        <v>1.55</v>
      </c>
      <c r="CI23" s="2" t="n">
        <f aca="false">BZ5</f>
        <v>1.0242</v>
      </c>
      <c r="CJ23" s="2" t="n">
        <f aca="false">BZ3</f>
        <v>2.45333</v>
      </c>
      <c r="CL23" s="1" t="n">
        <v>0</v>
      </c>
      <c r="CM23" s="2" t="n">
        <f aca="false">CL21</f>
        <v>0</v>
      </c>
      <c r="CN23" s="2" t="n">
        <f aca="false">CL19</f>
        <v>0</v>
      </c>
      <c r="CO23" s="2" t="n">
        <f aca="false">CL17</f>
        <v>1</v>
      </c>
      <c r="CP23" s="2" t="n">
        <f aca="false">CL15</f>
        <v>0</v>
      </c>
      <c r="CQ23" s="2" t="n">
        <f aca="false">CL13</f>
        <v>0</v>
      </c>
      <c r="CR23" s="2" t="n">
        <f aca="false">CL11</f>
        <v>0</v>
      </c>
      <c r="CS23" s="2" t="n">
        <f aca="false">CL9</f>
        <v>0</v>
      </c>
      <c r="CT23" s="2" t="n">
        <f aca="false">CL7</f>
        <v>0</v>
      </c>
      <c r="CU23" s="2" t="n">
        <f aca="false">CL5</f>
        <v>0</v>
      </c>
      <c r="CV23" s="2" t="n">
        <f aca="false">CL3</f>
        <v>0</v>
      </c>
      <c r="CX23" s="1" t="n">
        <v>57.5116</v>
      </c>
      <c r="CY23" s="2" t="n">
        <f aca="false">CX21</f>
        <v>65.6684</v>
      </c>
      <c r="CZ23" s="2" t="n">
        <f aca="false">CX19</f>
        <v>74.926</v>
      </c>
      <c r="DA23" s="2" t="n">
        <f aca="false">CX17</f>
        <v>84.0928</v>
      </c>
      <c r="DB23" s="2" t="n">
        <f aca="false">CX15</f>
        <v>79.2281</v>
      </c>
      <c r="DC23" s="2" t="n">
        <f aca="false">CX13</f>
        <v>69.7261</v>
      </c>
      <c r="DD23" s="2" t="n">
        <f aca="false">CX11</f>
        <v>78.7047</v>
      </c>
      <c r="DE23" s="2" t="n">
        <f aca="false">CX9</f>
        <v>50.9753</v>
      </c>
      <c r="DF23" s="2" t="n">
        <f aca="false">CX7</f>
        <v>57.1715</v>
      </c>
      <c r="DG23" s="2" t="n">
        <f aca="false">CX5</f>
        <v>45.685</v>
      </c>
      <c r="DH23" s="2" t="n">
        <f aca="false">CX3</f>
        <v>67.8238</v>
      </c>
      <c r="DJ23" s="1" t="s">
        <v>176</v>
      </c>
      <c r="DK23" s="2" t="str">
        <f aca="false">DJ21</f>
        <v>HH</v>
      </c>
      <c r="DL23" s="2" t="str">
        <f aca="false">DJ19</f>
        <v>LH</v>
      </c>
      <c r="DM23" s="2" t="str">
        <f aca="false">DJ17</f>
        <v>LH</v>
      </c>
      <c r="DN23" s="2" t="str">
        <f aca="false">DJ15</f>
        <v>HH</v>
      </c>
      <c r="DO23" s="2" t="str">
        <f aca="false">DJ13</f>
        <v>HH</v>
      </c>
      <c r="DP23" s="2" t="str">
        <f aca="false">DJ11</f>
        <v>HH</v>
      </c>
      <c r="DQ23" s="2" t="str">
        <f aca="false">DJ9</f>
        <v>LH</v>
      </c>
      <c r="DR23" s="2" t="str">
        <f aca="false">DJ7</f>
        <v>LH</v>
      </c>
      <c r="DS23" s="2" t="str">
        <f aca="false">DJ5</f>
        <v>HH</v>
      </c>
      <c r="DT23" s="2" t="str">
        <f aca="false">DJ3</f>
        <v>LH</v>
      </c>
      <c r="DV23" s="2" t="n">
        <f aca="false">IFERROR((G23-$F23)/$F23*100,"")</f>
        <v>-0.114001965551135</v>
      </c>
      <c r="DW23" s="2" t="n">
        <f aca="false">IFERROR((H23-$F23)/$F23*100,"")</f>
        <v>-0.568147726684944</v>
      </c>
      <c r="DX23" s="2" t="n">
        <f aca="false">IFERROR((I23-$F23)/$F23*100,"")</f>
        <v>-0.392489525681483</v>
      </c>
      <c r="DY23" s="2" t="n">
        <f aca="false">IFERROR((J23-$F23)/$F23*100,"")</f>
        <v>1.15781306574251</v>
      </c>
      <c r="DZ23" s="2" t="n">
        <f aca="false">IFERROR((K23-$F23)/$F23*100,"")</f>
        <v>-0.564423524543521</v>
      </c>
      <c r="EA23" s="2" t="n">
        <f aca="false">IFERROR((L23-$F23)/$F23*100,"")</f>
        <v>-0.6647700822428</v>
      </c>
      <c r="EB23" s="2" t="n">
        <f aca="false">IFERROR((M23-$F23)/$F23*100,"")</f>
        <v>-0.717322712460561</v>
      </c>
      <c r="EC23" s="2" t="n">
        <f aca="false">IFERROR((N23-$F23)/$F23*100,"")</f>
        <v>-0.195313712305376</v>
      </c>
      <c r="ED23" s="2" t="n">
        <f aca="false">IFERROR((O23-$F23)/$F23*100,"")</f>
        <v>0.106139761030365</v>
      </c>
      <c r="EE23" s="2" t="n">
        <f aca="false">IFERROR((P23-$F23)/$F23*100,"")</f>
        <v>-0.0591734340247178</v>
      </c>
      <c r="EG23" s="2" t="str">
        <f aca="false">IF(DV23="","",IF(AND(ABS(DV23)&lt;=0.25,$E23="Bottom",DK23="LL"),"EQL",IF(AND(ABS(DV23)&lt;=0.25,$E23="Peak",DK23="HH"),"EQH","")))</f>
        <v>EQH</v>
      </c>
      <c r="EH23" s="2" t="str">
        <f aca="false">IF(DW23="","",IF(AND(ABS(DW23)&lt;=0.25,$E23="Bottom",DL23="LL"),"EQL",IF(AND(ABS(DW23)&lt;=0.25,$E23="Peak",DL23="HH"),"EQH","")))</f>
        <v/>
      </c>
      <c r="EI23" s="2" t="str">
        <f aca="false">IF(DX23="","",IF(AND(ABS(DX23)&lt;=0.25,$E23="Bottom",DM23="LL"),"EQL",IF(AND(ABS(DX23)&lt;=0.25,$E23="Peak",DM23="HH"),"EQH","")))</f>
        <v/>
      </c>
      <c r="EJ23" s="2" t="str">
        <f aca="false">IF(DY23="","",IF(AND(ABS(DY23)&lt;=0.25,$E23="Bottom",DN23="LL"),"EQL",IF(AND(ABS(DY23)&lt;=0.25,$E23="Peak",DN23="HH"),"EQH","")))</f>
        <v/>
      </c>
      <c r="EK23" s="2" t="str">
        <f aca="false">IF(DZ23="","",IF(AND(ABS(DZ23)&lt;=0.25,$E23="Bottom",DO23="LL"),"EQL",IF(AND(ABS(DZ23)&lt;=0.25,$E23="Peak",DO23="HH"),"EQH","")))</f>
        <v/>
      </c>
      <c r="EL23" s="2" t="str">
        <f aca="false">IF(EA23="","",IF(AND(ABS(EA23)&lt;=0.25,$E23="Bottom",DP23="LL"),"EQL",IF(AND(ABS(EA23)&lt;=0.25,$E23="Peak",DP23="HH"),"EQH","")))</f>
        <v/>
      </c>
      <c r="EM23" s="2" t="str">
        <f aca="false">IF(EB23="","",IF(AND(ABS(EB23)&lt;=0.25,$E23="Bottom",DQ23="LL"),"EQL",IF(AND(ABS(EB23)&lt;=0.25,$E23="Peak",DQ23="HH"),"EQH","")))</f>
        <v/>
      </c>
      <c r="EN23" s="2" t="str">
        <f aca="false">IF(EC23="","",IF(AND(ABS(EC23)&lt;=0.25,$E23="Bottom",DR23="LL"),"EQL",IF(AND(ABS(EC23)&lt;=0.25,$E23="Peak",DR23="HH"),"EQH","")))</f>
        <v/>
      </c>
      <c r="EO23" s="2" t="str">
        <f aca="false">IF(ED23="","",IF(AND(ABS(ED23)&lt;=0.25,$E23="Bottom",DS23="LL"),"EQL",IF(AND(ABS(ED23)&lt;=0.25,$E23="Peak",DS23="HH"),"EQH","")))</f>
        <v>EQH</v>
      </c>
      <c r="EP23" s="2" t="str">
        <f aca="false">IF(EE23="","",IF(AND(ABS(EE23)&lt;=0.25,$E23="Bottom",DT23="LL"),"EQL",IF(AND(ABS(EE23)&lt;=0.25,$E23="Peak",DT23="HH"),"EQH","")))</f>
        <v/>
      </c>
      <c r="EQ23" s="2" t="str">
        <f aca="false">IF(EF23="","",IF(AND(ABS(EF23)&lt;=0.25,$E23="Bottom",DU23="LL"),"EQL",IF(AND(ABS(EF23)&lt;=0.25,$E23="Peak",DU23="HH"),"EQH","")))</f>
        <v/>
      </c>
      <c r="ER23" s="2" t="n">
        <f aca="false">IF(OR(EG23="EQL",EG23="EQH"),G23,"")</f>
        <v>4827.74</v>
      </c>
      <c r="ES23" s="2" t="str">
        <f aca="false">IF(OR(EH23="EQL",EH23="EQH"),H23,"")</f>
        <v/>
      </c>
      <c r="ET23" s="2" t="str">
        <f aca="false">IF(OR(EI23="EQL",EI23="EQH"),I23,"")</f>
        <v/>
      </c>
      <c r="EU23" s="2" t="str">
        <f aca="false">IF(OR(EJ23="EQL",EJ23="EQH"),J23,"")</f>
        <v/>
      </c>
      <c r="EV23" s="2" t="str">
        <f aca="false">IF(OR(EK23="EQL",EK23="EQH"),K23,"")</f>
        <v/>
      </c>
      <c r="EW23" s="2" t="str">
        <f aca="false">IF(OR(EL23="EQL",EL23="EQH"),L23,"")</f>
        <v/>
      </c>
      <c r="EX23" s="2" t="str">
        <f aca="false">IF(OR(EM23="EQL",EM23="EQH"),M23,"")</f>
        <v/>
      </c>
      <c r="EY23" s="2" t="str">
        <f aca="false">IF(OR(EN23="EQL",EN23="EQH"),N23,"")</f>
        <v/>
      </c>
      <c r="EZ23" s="2" t="n">
        <f aca="false">IF(OR(EO23="EQL",EO23="EQH"),O23,"")</f>
        <v>4838.38</v>
      </c>
      <c r="FA23" s="2" t="str">
        <f aca="false">IF(OR(EP23="EQL",EP23="EQH"),P23,"")</f>
        <v/>
      </c>
      <c r="FB23" s="2" t="str">
        <f aca="false">IF(OR(EQ23="EQL",EQ23="EQH"),Q23,"")</f>
        <v/>
      </c>
      <c r="FC23" s="2" t="str">
        <f aca="false">IF(AND(EG23="EQL",OR(AQ23=4,AQ23=5)),"IEQL",IF(AND(EG23="EQH",OR(AQ23=1,AQ23=2)),"IEQH",""))</f>
        <v/>
      </c>
      <c r="FD23" s="2" t="str">
        <f aca="false">IF(AND(EH23="EQL",OR(AR23=4,AR23=5)),"IEQL",IF(AND(EH23="EQH",OR(AR23=1,AR23=2)),"IEQH",""))</f>
        <v/>
      </c>
      <c r="FE23" s="2" t="str">
        <f aca="false">IF(AND(EI23="EQL",OR(AS23=4,AS23=5)),"IEQL",IF(AND(EI23="EQH",OR(AS23=1,AS23=2)),"IEQH",""))</f>
        <v/>
      </c>
      <c r="FF23" s="2" t="str">
        <f aca="false">IF(AND(EJ23="EQL",OR(AT23=4,AT23=5)),"IEQL",IF(AND(EJ23="EQH",OR(AT23=1,AT23=2)),"IEQH",""))</f>
        <v/>
      </c>
      <c r="FG23" s="2" t="str">
        <f aca="false">IF(AND(EK23="EQL",OR(AU23=4,AU23=5)),"IEQL",IF(AND(EK23="EQH",OR(AU23=1,AU23=2)),"IEQH",""))</f>
        <v/>
      </c>
      <c r="FH23" s="2" t="str">
        <f aca="false">IF(AND(EL23="EQL",OR(AV23=4,AV23=5)),"IEQL",IF(AND(EL23="EQH",OR(AV23=1,AV23=2)),"IEQH",""))</f>
        <v/>
      </c>
      <c r="FI23" s="2" t="str">
        <f aca="false">IF(AND(EM23="EQL",OR(AW23=4,AW23=5)),"IEQL",IF(AND(EM23="EQH",OR(AW23=1,AW23=2)),"IEQH",""))</f>
        <v/>
      </c>
      <c r="FJ23" s="2" t="str">
        <f aca="false">IF(AND(EN23="EQL",OR(AX23=4,AX23=5)),"IEQL",IF(AND(EN23="EQH",OR(AX23=1,AX23=2)),"IEQH",""))</f>
        <v/>
      </c>
      <c r="FK23" s="2" t="str">
        <f aca="false">IF(AND(EO23="EQL",OR(AY23=4,AY23=5)),"IEQL",IF(AND(EO23="EQH",OR(AY23=1,AY23=2)),"IEQH",""))</f>
        <v/>
      </c>
      <c r="FL23" s="2" t="str">
        <f aca="false">IF(AND(EP23="EQL",OR(AZ23=4,AZ23=5)),"IEQL",IF(AND(EP23="EQH",OR(AZ23=1,AZ23=2)),"IEQH",""))</f>
        <v/>
      </c>
      <c r="FM23" s="2" t="str">
        <f aca="false">IF(AND(EQ23="EQL",OR(BA23=4,BA23=5)),"IEQL",IF(AND(EQ23="EQH",OR(BA23=1,BA23=2)),"IEQH",""))</f>
        <v/>
      </c>
    </row>
    <row r="24" customFormat="false" ht="14.25" hidden="false" customHeight="false" outlineLevel="0" collapsed="false">
      <c r="A24" s="1" t="n">
        <v>1776754802</v>
      </c>
      <c r="B24" s="1" t="s">
        <v>169</v>
      </c>
      <c r="C24" s="1" t="s">
        <v>170</v>
      </c>
      <c r="D24" s="1" t="n">
        <v>4782.82</v>
      </c>
      <c r="E24" s="1" t="s">
        <v>171</v>
      </c>
      <c r="F24" s="1" t="n">
        <v>4772.78</v>
      </c>
      <c r="G24" s="2" t="n">
        <f aca="false">F22</f>
        <v>4792.42</v>
      </c>
      <c r="H24" s="2" t="n">
        <f aca="false">F20</f>
        <v>4783.51</v>
      </c>
      <c r="I24" s="2" t="n">
        <f aca="false">F18</f>
        <v>4779.8</v>
      </c>
      <c r="J24" s="2" t="n">
        <f aca="false">F16</f>
        <v>4736.96</v>
      </c>
      <c r="K24" s="2" t="n">
        <f aca="false">F14</f>
        <v>4778.83</v>
      </c>
      <c r="L24" s="2" t="n">
        <f aca="false">F12</f>
        <v>4768.07</v>
      </c>
      <c r="M24" s="2" t="n">
        <f aca="false">F10</f>
        <v>4786.1</v>
      </c>
      <c r="N24" s="2" t="n">
        <f aca="false">F8</f>
        <v>4772.67</v>
      </c>
      <c r="O24" s="2" t="n">
        <f aca="false">F6</f>
        <v>4805.21</v>
      </c>
      <c r="P24" s="2" t="n">
        <f aca="false">F4</f>
        <v>4787.17</v>
      </c>
      <c r="Q24" s="2" t="n">
        <f aca="false">F2</f>
        <v>4786.23</v>
      </c>
      <c r="R24" s="1" t="n">
        <v>-60.47</v>
      </c>
      <c r="S24" s="2" t="n">
        <f aca="false">R22</f>
        <v>-35.32</v>
      </c>
      <c r="T24" s="2" t="n">
        <f aca="false">R20</f>
        <v>-22.28</v>
      </c>
      <c r="U24" s="2" t="n">
        <f aca="false">R18</f>
        <v>-34.48</v>
      </c>
      <c r="V24" s="2" t="n">
        <f aca="false">R16</f>
        <v>-152.25</v>
      </c>
      <c r="W24" s="2" t="n">
        <f aca="false">R14</f>
        <v>-27.14</v>
      </c>
      <c r="X24" s="2" t="n">
        <f aca="false">R12</f>
        <v>-33.05</v>
      </c>
      <c r="Y24" s="2" t="n">
        <f aca="false">R10</f>
        <v>-12.48</v>
      </c>
      <c r="Z24" s="2" t="n">
        <f aca="false">R8</f>
        <v>-51.14</v>
      </c>
      <c r="AA24" s="2" t="n">
        <f aca="false">R6</f>
        <v>-33.17</v>
      </c>
      <c r="AB24" s="2" t="n">
        <f aca="false">R4</f>
        <v>-43.22</v>
      </c>
      <c r="AC24" s="2" t="n">
        <f aca="false">R2</f>
        <v>-84.99</v>
      </c>
      <c r="AD24" s="1" t="n">
        <v>-1.25</v>
      </c>
      <c r="AE24" s="2" t="n">
        <f aca="false">AD22</f>
        <v>-0.73</v>
      </c>
      <c r="AF24" s="2" t="n">
        <f aca="false">AD20</f>
        <v>-0.46</v>
      </c>
      <c r="AG24" s="2" t="n">
        <f aca="false">AD18</f>
        <v>-0.72</v>
      </c>
      <c r="AH24" s="2" t="n">
        <f aca="false">AD16</f>
        <v>-3.11</v>
      </c>
      <c r="AI24" s="2" t="n">
        <f aca="false">AD14</f>
        <v>-0.56</v>
      </c>
      <c r="AJ24" s="2" t="n">
        <f aca="false">AD12</f>
        <v>-0.69</v>
      </c>
      <c r="AK24" s="2" t="n">
        <f aca="false">AD10</f>
        <v>-0.26</v>
      </c>
      <c r="AL24" s="2" t="n">
        <f aca="false">AD8</f>
        <v>-1.06</v>
      </c>
      <c r="AM24" s="2" t="n">
        <f aca="false">AD6</f>
        <v>-0.69</v>
      </c>
      <c r="AN24" s="2" t="n">
        <f aca="false">AD4</f>
        <v>-0.89</v>
      </c>
      <c r="AO24" s="2" t="n">
        <f aca="false">AD2</f>
        <v>-1.74</v>
      </c>
      <c r="AP24" s="1" t="n">
        <v>3</v>
      </c>
      <c r="AQ24" s="2" t="n">
        <f aca="false">AP22</f>
        <v>3</v>
      </c>
      <c r="AR24" s="2" t="n">
        <f aca="false">AP20</f>
        <v>3</v>
      </c>
      <c r="AS24" s="2" t="n">
        <f aca="false">AP18</f>
        <v>3</v>
      </c>
      <c r="AT24" s="2" t="n">
        <f aca="false">AP16</f>
        <v>5</v>
      </c>
      <c r="AU24" s="2" t="n">
        <f aca="false">AP14</f>
        <v>3</v>
      </c>
      <c r="AV24" s="2" t="n">
        <f aca="false">AP12</f>
        <v>3</v>
      </c>
      <c r="AW24" s="2" t="n">
        <f aca="false">AP10</f>
        <v>3</v>
      </c>
      <c r="AX24" s="2" t="n">
        <f aca="false">AP8</f>
        <v>3</v>
      </c>
      <c r="AY24" s="2" t="n">
        <f aca="false">AP6</f>
        <v>3</v>
      </c>
      <c r="AZ24" s="2" t="n">
        <f aca="false">AP4</f>
        <v>3</v>
      </c>
      <c r="BA24" s="2" t="n">
        <f aca="false">AP2</f>
        <v>3</v>
      </c>
      <c r="BB24" s="1" t="n">
        <v>35</v>
      </c>
      <c r="BC24" s="2" t="n">
        <f aca="false">BB22</f>
        <v>1</v>
      </c>
      <c r="BD24" s="2" t="n">
        <f aca="false">BB20</f>
        <v>9</v>
      </c>
      <c r="BE24" s="2" t="n">
        <f aca="false">BB18</f>
        <v>15</v>
      </c>
      <c r="BF24" s="2" t="n">
        <f aca="false">BB16</f>
        <v>39</v>
      </c>
      <c r="BG24" s="2" t="n">
        <f aca="false">BB14</f>
        <v>11</v>
      </c>
      <c r="BH24" s="2" t="n">
        <f aca="false">BB12</f>
        <v>3</v>
      </c>
      <c r="BI24" s="2" t="n">
        <f aca="false">BB10</f>
        <v>13</v>
      </c>
      <c r="BJ24" s="2" t="n">
        <f aca="false">BB8</f>
        <v>4</v>
      </c>
      <c r="BK24" s="2" t="n">
        <f aca="false">BB6</f>
        <v>22</v>
      </c>
      <c r="BL24" s="2" t="n">
        <f aca="false">BB4</f>
        <v>5</v>
      </c>
      <c r="BM24" s="2" t="n">
        <f aca="false">BB2</f>
        <v>34</v>
      </c>
      <c r="BN24" s="1" t="n">
        <v>3</v>
      </c>
      <c r="BO24" s="2" t="n">
        <f aca="false">BN22</f>
        <v>3</v>
      </c>
      <c r="BP24" s="2" t="n">
        <f aca="false">BN20</f>
        <v>3</v>
      </c>
      <c r="BQ24" s="2" t="n">
        <f aca="false">BN18</f>
        <v>3</v>
      </c>
      <c r="BR24" s="2" t="n">
        <f aca="false">BN16</f>
        <v>4</v>
      </c>
      <c r="BS24" s="2" t="n">
        <f aca="false">BN14</f>
        <v>3</v>
      </c>
      <c r="BT24" s="2" t="n">
        <f aca="false">BN12</f>
        <v>3</v>
      </c>
      <c r="BU24" s="2" t="n">
        <f aca="false">BN10</f>
        <v>3</v>
      </c>
      <c r="BV24" s="2" t="n">
        <f aca="false">BN8</f>
        <v>3</v>
      </c>
      <c r="BW24" s="2" t="n">
        <f aca="false">BN6</f>
        <v>3</v>
      </c>
      <c r="BX24" s="2" t="n">
        <f aca="false">BN4</f>
        <v>3</v>
      </c>
      <c r="BY24" s="2" t="n">
        <f aca="false">BN2</f>
        <v>3</v>
      </c>
      <c r="BZ24" s="1" t="n">
        <v>-1.72771</v>
      </c>
      <c r="CA24" s="2" t="n">
        <f aca="false">BZ22</f>
        <v>-35.32</v>
      </c>
      <c r="CB24" s="2" t="n">
        <f aca="false">BZ20</f>
        <v>-2.47556</v>
      </c>
      <c r="CC24" s="2" t="n">
        <f aca="false">BZ18</f>
        <v>-2.29867</v>
      </c>
      <c r="CD24" s="2" t="n">
        <f aca="false">BZ16</f>
        <v>-3.90385</v>
      </c>
      <c r="CE24" s="2" t="n">
        <f aca="false">BZ14</f>
        <v>-2.46727</v>
      </c>
      <c r="CF24" s="2" t="n">
        <f aca="false">BZ12</f>
        <v>-11.01667</v>
      </c>
      <c r="CG24" s="2" t="n">
        <f aca="false">BZ10</f>
        <v>-0.96</v>
      </c>
      <c r="CH24" s="2" t="n">
        <f aca="false">BZ8</f>
        <v>-12.785</v>
      </c>
      <c r="CI24" s="2" t="n">
        <f aca="false">BZ6</f>
        <v>-1.50773</v>
      </c>
      <c r="CJ24" s="2" t="n">
        <f aca="false">BZ4</f>
        <v>-8.644</v>
      </c>
      <c r="CK24" s="2" t="n">
        <f aca="false">BZ2</f>
        <v>-2.49971</v>
      </c>
      <c r="CL24" s="1" t="n">
        <v>3</v>
      </c>
      <c r="CM24" s="2" t="n">
        <f aca="false">CL22</f>
        <v>5</v>
      </c>
      <c r="CN24" s="2" t="n">
        <f aca="false">CL20</f>
        <v>3</v>
      </c>
      <c r="CO24" s="2" t="n">
        <f aca="false">CL18</f>
        <v>3</v>
      </c>
      <c r="CP24" s="2" t="n">
        <f aca="false">CL16</f>
        <v>3</v>
      </c>
      <c r="CQ24" s="2" t="n">
        <f aca="false">CL14</f>
        <v>3</v>
      </c>
      <c r="CR24" s="2" t="n">
        <f aca="false">CL12</f>
        <v>5</v>
      </c>
      <c r="CS24" s="2" t="n">
        <f aca="false">CL10</f>
        <v>3</v>
      </c>
      <c r="CT24" s="2" t="n">
        <f aca="false">CL8</f>
        <v>5</v>
      </c>
      <c r="CU24" s="2" t="n">
        <f aca="false">CL6</f>
        <v>3</v>
      </c>
      <c r="CV24" s="2" t="n">
        <f aca="false">CL4</f>
        <v>3</v>
      </c>
      <c r="CW24" s="2" t="n">
        <f aca="false">CL2</f>
        <v>3</v>
      </c>
      <c r="CX24" s="1" t="n">
        <v>-59.9378</v>
      </c>
      <c r="CY24" s="2" t="n">
        <f aca="false">CX22</f>
        <v>-88.3782</v>
      </c>
      <c r="CZ24" s="2" t="n">
        <f aca="false">CX20</f>
        <v>-68.0038</v>
      </c>
      <c r="DA24" s="2" t="n">
        <f aca="false">CX18</f>
        <v>-66.4893</v>
      </c>
      <c r="DB24" s="2" t="n">
        <f aca="false">CX16</f>
        <v>-75.6322</v>
      </c>
      <c r="DC24" s="2" t="n">
        <f aca="false">CX14</f>
        <v>-67.937</v>
      </c>
      <c r="DD24" s="2" t="n">
        <f aca="false">CX12</f>
        <v>-84.8134</v>
      </c>
      <c r="DE24" s="2" t="n">
        <f aca="false">CX10</f>
        <v>-43.8309</v>
      </c>
      <c r="DF24" s="2" t="n">
        <f aca="false">CX8</f>
        <v>-85.5276</v>
      </c>
      <c r="DG24" s="2" t="n">
        <f aca="false">CX6</f>
        <v>-56.4457</v>
      </c>
      <c r="DH24" s="2" t="n">
        <f aca="false">CX4</f>
        <v>-83.4009</v>
      </c>
      <c r="DI24" s="2" t="n">
        <f aca="false">CX2</f>
        <v>-68.1963</v>
      </c>
      <c r="DJ24" s="1" t="s">
        <v>172</v>
      </c>
      <c r="DK24" s="2" t="str">
        <f aca="false">DJ22</f>
        <v>HL</v>
      </c>
      <c r="DL24" s="2" t="str">
        <f aca="false">DJ20</f>
        <v>HL</v>
      </c>
      <c r="DM24" s="2" t="str">
        <f aca="false">DJ18</f>
        <v>HL</v>
      </c>
      <c r="DN24" s="2" t="str">
        <f aca="false">DJ16</f>
        <v>LL</v>
      </c>
      <c r="DO24" s="2" t="str">
        <f aca="false">DJ14</f>
        <v>HL</v>
      </c>
      <c r="DP24" s="2" t="str">
        <f aca="false">DJ12</f>
        <v>LL</v>
      </c>
      <c r="DQ24" s="2" t="str">
        <f aca="false">DJ10</f>
        <v>HL</v>
      </c>
      <c r="DR24" s="2" t="str">
        <f aca="false">DJ8</f>
        <v>LL</v>
      </c>
      <c r="DS24" s="2" t="str">
        <f aca="false">DJ6</f>
        <v>HL</v>
      </c>
      <c r="DT24" s="2" t="str">
        <f aca="false">DJ4</f>
        <v>HL</v>
      </c>
      <c r="DU24" s="2" t="str">
        <f aca="false">DJ2</f>
        <v>LL</v>
      </c>
      <c r="DV24" s="2" t="n">
        <f aca="false">IFERROR((G24-$F24)/$F24*100,"")</f>
        <v>0.411500215807147</v>
      </c>
      <c r="DW24" s="2" t="n">
        <f aca="false">IFERROR((H24-$F24)/$F24*100,"")</f>
        <v>0.224816563931304</v>
      </c>
      <c r="DX24" s="2" t="n">
        <f aca="false">IFERROR((I24-$F24)/$F24*100,"")</f>
        <v>0.147084089356736</v>
      </c>
      <c r="DY24" s="2" t="n">
        <f aca="false">IFERROR((J24-$F24)/$F24*100,"")</f>
        <v>-0.750505994409961</v>
      </c>
      <c r="DZ24" s="2" t="n">
        <f aca="false">IFERROR((K24-$F24)/$F24*100,"")</f>
        <v>0.126760504360146</v>
      </c>
      <c r="EA24" s="2" t="n">
        <f aca="false">IFERROR((L24-$F24)/$F24*100,"")</f>
        <v>-0.0986846240555826</v>
      </c>
      <c r="EB24" s="2" t="n">
        <f aca="false">IFERROR((M24-$F24)/$F24*100,"")</f>
        <v>0.279082631087136</v>
      </c>
      <c r="EC24" s="2" t="n">
        <f aca="false">IFERROR((N24-$F24)/$F24*100,"")</f>
        <v>-0.00230473644290482</v>
      </c>
      <c r="ED24" s="2" t="n">
        <f aca="false">IFERROR((O24-$F24)/$F24*100,"")</f>
        <v>0.679478207669331</v>
      </c>
      <c r="EE24" s="2" t="n">
        <f aca="false">IFERROR((P24-$F24)/$F24*100,"")</f>
        <v>0.301501431031816</v>
      </c>
      <c r="EF24" s="2" t="n">
        <f aca="false">IFERROR((Q24-$F24)/$F24*100,"")</f>
        <v>0.281806410519651</v>
      </c>
      <c r="EG24" s="2" t="str">
        <f aca="false">IF(DV24="","",IF(AND(ABS(DV24)&lt;=0.25,$E24="Bottom",DK24="LL"),"EQL",IF(AND(ABS(DV24)&lt;=0.25,$E24="Peak",DK24="HH"),"EQH","")))</f>
        <v/>
      </c>
      <c r="EH24" s="2" t="str">
        <f aca="false">IF(DW24="","",IF(AND(ABS(DW24)&lt;=0.25,$E24="Bottom",DL24="LL"),"EQL",IF(AND(ABS(DW24)&lt;=0.25,$E24="Peak",DL24="HH"),"EQH","")))</f>
        <v/>
      </c>
      <c r="EI24" s="2" t="str">
        <f aca="false">IF(DX24="","",IF(AND(ABS(DX24)&lt;=0.25,$E24="Bottom",DM24="LL"),"EQL",IF(AND(ABS(DX24)&lt;=0.25,$E24="Peak",DM24="HH"),"EQH","")))</f>
        <v/>
      </c>
      <c r="EJ24" s="2" t="str">
        <f aca="false">IF(DY24="","",IF(AND(ABS(DY24)&lt;=0.25,$E24="Bottom",DN24="LL"),"EQL",IF(AND(ABS(DY24)&lt;=0.25,$E24="Peak",DN24="HH"),"EQH","")))</f>
        <v/>
      </c>
      <c r="EK24" s="2" t="str">
        <f aca="false">IF(DZ24="","",IF(AND(ABS(DZ24)&lt;=0.25,$E24="Bottom",DO24="LL"),"EQL",IF(AND(ABS(DZ24)&lt;=0.25,$E24="Peak",DO24="HH"),"EQH","")))</f>
        <v/>
      </c>
      <c r="EL24" s="2" t="str">
        <f aca="false">IF(EA24="","",IF(AND(ABS(EA24)&lt;=0.25,$E24="Bottom",DP24="LL"),"EQL",IF(AND(ABS(EA24)&lt;=0.25,$E24="Peak",DP24="HH"),"EQH","")))</f>
        <v>EQL</v>
      </c>
      <c r="EM24" s="2" t="str">
        <f aca="false">IF(EB24="","",IF(AND(ABS(EB24)&lt;=0.25,$E24="Bottom",DQ24="LL"),"EQL",IF(AND(ABS(EB24)&lt;=0.25,$E24="Peak",DQ24="HH"),"EQH","")))</f>
        <v/>
      </c>
      <c r="EN24" s="2" t="str">
        <f aca="false">IF(EC24="","",IF(AND(ABS(EC24)&lt;=0.25,$E24="Bottom",DR24="LL"),"EQL",IF(AND(ABS(EC24)&lt;=0.25,$E24="Peak",DR24="HH"),"EQH","")))</f>
        <v>EQL</v>
      </c>
      <c r="EO24" s="2" t="str">
        <f aca="false">IF(ED24="","",IF(AND(ABS(ED24)&lt;=0.25,$E24="Bottom",DS24="LL"),"EQL",IF(AND(ABS(ED24)&lt;=0.25,$E24="Peak",DS24="HH"),"EQH","")))</f>
        <v/>
      </c>
      <c r="EP24" s="2" t="str">
        <f aca="false">IF(EE24="","",IF(AND(ABS(EE24)&lt;=0.25,$E24="Bottom",DT24="LL"),"EQL",IF(AND(ABS(EE24)&lt;=0.25,$E24="Peak",DT24="HH"),"EQH","")))</f>
        <v/>
      </c>
      <c r="EQ24" s="2" t="str">
        <f aca="false">IF(EF24="","",IF(AND(ABS(EF24)&lt;=0.25,$E24="Bottom",DU24="LL"),"EQL",IF(AND(ABS(EF24)&lt;=0.25,$E24="Peak",DU24="HH"),"EQH","")))</f>
        <v/>
      </c>
      <c r="ER24" s="2" t="str">
        <f aca="false">IF(OR(EG24="EQL",EG24="EQH"),G24,"")</f>
        <v/>
      </c>
      <c r="ES24" s="2" t="str">
        <f aca="false">IF(OR(EH24="EQL",EH24="EQH"),H24,"")</f>
        <v/>
      </c>
      <c r="ET24" s="2" t="str">
        <f aca="false">IF(OR(EI24="EQL",EI24="EQH"),I24,"")</f>
        <v/>
      </c>
      <c r="EU24" s="2" t="str">
        <f aca="false">IF(OR(EJ24="EQL",EJ24="EQH"),J24,"")</f>
        <v/>
      </c>
      <c r="EV24" s="2" t="str">
        <f aca="false">IF(OR(EK24="EQL",EK24="EQH"),K24,"")</f>
        <v/>
      </c>
      <c r="EW24" s="2" t="n">
        <f aca="false">IF(OR(EL24="EQL",EL24="EQH"),L24,"")</f>
        <v>4768.07</v>
      </c>
      <c r="EX24" s="2" t="str">
        <f aca="false">IF(OR(EM24="EQL",EM24="EQH"),M24,"")</f>
        <v/>
      </c>
      <c r="EY24" s="2" t="n">
        <f aca="false">IF(OR(EN24="EQL",EN24="EQH"),N24,"")</f>
        <v>4772.67</v>
      </c>
      <c r="EZ24" s="2" t="str">
        <f aca="false">IF(OR(EO24="EQL",EO24="EQH"),O24,"")</f>
        <v/>
      </c>
      <c r="FA24" s="2" t="str">
        <f aca="false">IF(OR(EP24="EQL",EP24="EQH"),P24,"")</f>
        <v/>
      </c>
      <c r="FB24" s="2" t="str">
        <f aca="false">IF(OR(EQ24="EQL",EQ24="EQH"),Q24,"")</f>
        <v/>
      </c>
      <c r="FC24" s="2" t="str">
        <f aca="false">IF(AND(EG24="EQL",OR(AQ24=4,AQ24=5)),"IEQL",IF(AND(EG24="EQH",OR(AQ24=1,AQ24=2)),"IEQH",""))</f>
        <v/>
      </c>
      <c r="FD24" s="2" t="str">
        <f aca="false">IF(AND(EH24="EQL",OR(AR24=4,AR24=5)),"IEQL",IF(AND(EH24="EQH",OR(AR24=1,AR24=2)),"IEQH",""))</f>
        <v/>
      </c>
      <c r="FE24" s="2" t="str">
        <f aca="false">IF(AND(EI24="EQL",OR(AS24=4,AS24=5)),"IEQL",IF(AND(EI24="EQH",OR(AS24=1,AS24=2)),"IEQH",""))</f>
        <v/>
      </c>
      <c r="FF24" s="2" t="str">
        <f aca="false">IF(AND(EJ24="EQL",OR(AT24=4,AT24=5)),"IEQL",IF(AND(EJ24="EQH",OR(AT24=1,AT24=2)),"IEQH",""))</f>
        <v/>
      </c>
      <c r="FG24" s="2" t="str">
        <f aca="false">IF(AND(EK24="EQL",OR(AU24=4,AU24=5)),"IEQL",IF(AND(EK24="EQH",OR(AU24=1,AU24=2)),"IEQH",""))</f>
        <v/>
      </c>
      <c r="FH24" s="2" t="str">
        <f aca="false">IF(AND(EL24="EQL",OR(AV24=4,AV24=5)),"IEQL",IF(AND(EL24="EQH",OR(AV24=1,AV24=2)),"IEQH",""))</f>
        <v/>
      </c>
      <c r="FI24" s="2" t="str">
        <f aca="false">IF(AND(EM24="EQL",OR(AW24=4,AW24=5)),"IEQL",IF(AND(EM24="EQH",OR(AW24=1,AW24=2)),"IEQH",""))</f>
        <v/>
      </c>
      <c r="FJ24" s="2" t="str">
        <f aca="false">IF(AND(EN24="EQL",OR(AX24=4,AX24=5)),"IEQL",IF(AND(EN24="EQH",OR(AX24=1,AX24=2)),"IEQH",""))</f>
        <v/>
      </c>
      <c r="FK24" s="2" t="str">
        <f aca="false">IF(AND(EO24="EQL",OR(AY24=4,AY24=5)),"IEQL",IF(AND(EO24="EQH",OR(AY24=1,AY24=2)),"IEQH",""))</f>
        <v/>
      </c>
      <c r="FL24" s="2" t="str">
        <f aca="false">IF(AND(EP24="EQL",OR(AZ24=4,AZ24=5)),"IEQL",IF(AND(EP24="EQH",OR(AZ24=1,AZ24=2)),"IEQH",""))</f>
        <v/>
      </c>
      <c r="FM24" s="2" t="str">
        <f aca="false">IF(AND(EQ24="EQL",OR(BA24=4,BA24=5)),"IEQL",IF(AND(EQ24="EQH",OR(BA24=1,BA24=2)),"IEQH",""))</f>
        <v/>
      </c>
    </row>
    <row r="25" customFormat="false" ht="14.25" hidden="false" customHeight="false" outlineLevel="0" collapsed="false">
      <c r="A25" s="1" t="n">
        <v>1776771902</v>
      </c>
      <c r="B25" s="1" t="s">
        <v>169</v>
      </c>
      <c r="C25" s="1" t="s">
        <v>170</v>
      </c>
      <c r="D25" s="1" t="n">
        <v>4794.61</v>
      </c>
      <c r="E25" s="1" t="s">
        <v>173</v>
      </c>
      <c r="F25" s="1" t="n">
        <v>4797.91</v>
      </c>
      <c r="G25" s="2" t="n">
        <f aca="false">F23</f>
        <v>4833.25</v>
      </c>
      <c r="H25" s="2" t="n">
        <f aca="false">F21</f>
        <v>4827.74</v>
      </c>
      <c r="I25" s="2" t="n">
        <f aca="false">F19</f>
        <v>4805.79</v>
      </c>
      <c r="J25" s="2" t="n">
        <f aca="false">F17</f>
        <v>4814.28</v>
      </c>
      <c r="K25" s="2" t="n">
        <f aca="false">F15</f>
        <v>4889.21</v>
      </c>
      <c r="L25" s="2" t="n">
        <f aca="false">F13</f>
        <v>4805.97</v>
      </c>
      <c r="M25" s="2" t="n">
        <f aca="false">F11</f>
        <v>4801.12</v>
      </c>
      <c r="N25" s="2" t="n">
        <f aca="false">F9</f>
        <v>4798.58</v>
      </c>
      <c r="O25" s="2" t="n">
        <f aca="false">F7</f>
        <v>4823.81</v>
      </c>
      <c r="P25" s="2" t="n">
        <f aca="false">F5</f>
        <v>4838.38</v>
      </c>
      <c r="Q25" s="2" t="n">
        <f aca="false">F3</f>
        <v>4830.39</v>
      </c>
      <c r="R25" s="1" t="n">
        <v>25.13</v>
      </c>
      <c r="S25" s="2" t="n">
        <f aca="false">R23</f>
        <v>40.83</v>
      </c>
      <c r="T25" s="2" t="n">
        <f aca="false">R21</f>
        <v>44.23</v>
      </c>
      <c r="U25" s="2" t="n">
        <f aca="false">R19</f>
        <v>25.99</v>
      </c>
      <c r="V25" s="2" t="n">
        <f aca="false">R17</f>
        <v>77.32</v>
      </c>
      <c r="W25" s="2" t="n">
        <f aca="false">R15</f>
        <v>110.38</v>
      </c>
      <c r="X25" s="2" t="n">
        <f aca="false">R13</f>
        <v>37.9</v>
      </c>
      <c r="Y25" s="2" t="n">
        <f aca="false">R11</f>
        <v>15.02</v>
      </c>
      <c r="Z25" s="2" t="n">
        <f aca="false">R9</f>
        <v>25.91</v>
      </c>
      <c r="AA25" s="2" t="n">
        <f aca="false">R7</f>
        <v>18.6</v>
      </c>
      <c r="AB25" s="2" t="n">
        <f aca="false">R5</f>
        <v>51.21</v>
      </c>
      <c r="AC25" s="2" t="n">
        <f aca="false">R3</f>
        <v>44.16</v>
      </c>
      <c r="AD25" s="1" t="n">
        <v>0.53</v>
      </c>
      <c r="AE25" s="2" t="n">
        <f aca="false">AD23</f>
        <v>0.85</v>
      </c>
      <c r="AF25" s="2" t="n">
        <f aca="false">AD21</f>
        <v>0.92</v>
      </c>
      <c r="AG25" s="2" t="n">
        <f aca="false">AD19</f>
        <v>0.54</v>
      </c>
      <c r="AH25" s="2" t="n">
        <f aca="false">AD17</f>
        <v>1.63</v>
      </c>
      <c r="AI25" s="2" t="n">
        <f aca="false">AD15</f>
        <v>2.31</v>
      </c>
      <c r="AJ25" s="2" t="n">
        <f aca="false">AD13</f>
        <v>0.79</v>
      </c>
      <c r="AK25" s="2" t="n">
        <f aca="false">AD11</f>
        <v>0.31</v>
      </c>
      <c r="AL25" s="2" t="n">
        <f aca="false">AD9</f>
        <v>0.54</v>
      </c>
      <c r="AM25" s="2" t="n">
        <f aca="false">AD7</f>
        <v>0.39</v>
      </c>
      <c r="AN25" s="2" t="n">
        <f aca="false">AD5</f>
        <v>1.07</v>
      </c>
      <c r="AO25" s="2" t="n">
        <f aca="false">AD3</f>
        <v>0.92</v>
      </c>
      <c r="AP25" s="1" t="n">
        <v>0</v>
      </c>
      <c r="AQ25" s="2" t="n">
        <f aca="false">AP23</f>
        <v>0</v>
      </c>
      <c r="AR25" s="2" t="n">
        <f aca="false">AP21</f>
        <v>0</v>
      </c>
      <c r="AS25" s="2" t="n">
        <f aca="false">AP19</f>
        <v>0</v>
      </c>
      <c r="AT25" s="2" t="n">
        <f aca="false">AP17</f>
        <v>0</v>
      </c>
      <c r="AU25" s="2" t="n">
        <f aca="false">AP15</f>
        <v>0</v>
      </c>
      <c r="AV25" s="2" t="n">
        <f aca="false">AP13</f>
        <v>0</v>
      </c>
      <c r="AW25" s="2" t="n">
        <f aca="false">AP11</f>
        <v>0</v>
      </c>
      <c r="AX25" s="2" t="n">
        <f aca="false">AP9</f>
        <v>0</v>
      </c>
      <c r="AY25" s="2" t="n">
        <f aca="false">AP7</f>
        <v>0</v>
      </c>
      <c r="AZ25" s="2" t="n">
        <f aca="false">AP5</f>
        <v>0</v>
      </c>
      <c r="BA25" s="2" t="n">
        <f aca="false">AP3</f>
        <v>0</v>
      </c>
      <c r="BB25" s="1" t="n">
        <v>19</v>
      </c>
      <c r="BC25" s="2" t="n">
        <f aca="false">BB23</f>
        <v>26</v>
      </c>
      <c r="BD25" s="2" t="n">
        <f aca="false">BB21</f>
        <v>20</v>
      </c>
      <c r="BE25" s="2" t="n">
        <f aca="false">BB19</f>
        <v>7</v>
      </c>
      <c r="BF25" s="2" t="n">
        <f aca="false">BB17</f>
        <v>8</v>
      </c>
      <c r="BG25" s="2" t="n">
        <f aca="false">BB15</f>
        <v>21</v>
      </c>
      <c r="BH25" s="2" t="n">
        <f aca="false">BB13</f>
        <v>14</v>
      </c>
      <c r="BI25" s="2" t="n">
        <f aca="false">BB11</f>
        <v>3</v>
      </c>
      <c r="BJ25" s="2" t="n">
        <f aca="false">BB9</f>
        <v>21</v>
      </c>
      <c r="BK25" s="2" t="n">
        <f aca="false">BB7</f>
        <v>12</v>
      </c>
      <c r="BL25" s="2" t="n">
        <f aca="false">BB5</f>
        <v>50</v>
      </c>
      <c r="BM25" s="2" t="n">
        <f aca="false">BB3</f>
        <v>18</v>
      </c>
      <c r="BN25" s="1" t="n">
        <v>0</v>
      </c>
      <c r="BO25" s="2" t="n">
        <f aca="false">BN23</f>
        <v>0</v>
      </c>
      <c r="BP25" s="2" t="n">
        <f aca="false">BN21</f>
        <v>0</v>
      </c>
      <c r="BQ25" s="2" t="n">
        <f aca="false">BN19</f>
        <v>0</v>
      </c>
      <c r="BR25" s="2" t="n">
        <f aca="false">BN17</f>
        <v>0</v>
      </c>
      <c r="BS25" s="2" t="n">
        <f aca="false">BN15</f>
        <v>0</v>
      </c>
      <c r="BT25" s="2" t="n">
        <f aca="false">BN13</f>
        <v>0</v>
      </c>
      <c r="BU25" s="2" t="n">
        <f aca="false">BN11</f>
        <v>0</v>
      </c>
      <c r="BV25" s="2" t="n">
        <f aca="false">BN9</f>
        <v>0</v>
      </c>
      <c r="BW25" s="2" t="n">
        <f aca="false">BN7</f>
        <v>0</v>
      </c>
      <c r="BX25" s="2" t="n">
        <f aca="false">BN5</f>
        <v>2</v>
      </c>
      <c r="BY25" s="2" t="n">
        <f aca="false">BN3</f>
        <v>0</v>
      </c>
      <c r="BZ25" s="1" t="n">
        <v>1.32263</v>
      </c>
      <c r="CA25" s="2" t="n">
        <f aca="false">BZ23</f>
        <v>1.57038</v>
      </c>
      <c r="CB25" s="2" t="n">
        <f aca="false">BZ21</f>
        <v>2.2115</v>
      </c>
      <c r="CC25" s="2" t="n">
        <f aca="false">BZ19</f>
        <v>3.71286</v>
      </c>
      <c r="CD25" s="2" t="n">
        <f aca="false">BZ17</f>
        <v>9.665</v>
      </c>
      <c r="CE25" s="2" t="n">
        <f aca="false">BZ15</f>
        <v>5.25619</v>
      </c>
      <c r="CF25" s="2" t="n">
        <f aca="false">BZ13</f>
        <v>2.70714</v>
      </c>
      <c r="CG25" s="2" t="n">
        <f aca="false">BZ11</f>
        <v>5.00667</v>
      </c>
      <c r="CH25" s="2" t="n">
        <f aca="false">BZ9</f>
        <v>1.23381</v>
      </c>
      <c r="CI25" s="2" t="n">
        <f aca="false">BZ7</f>
        <v>1.55</v>
      </c>
      <c r="CJ25" s="2" t="n">
        <f aca="false">BZ5</f>
        <v>1.0242</v>
      </c>
      <c r="CK25" s="2" t="n">
        <f aca="false">BZ3</f>
        <v>2.45333</v>
      </c>
      <c r="CL25" s="1" t="n">
        <v>0</v>
      </c>
      <c r="CM25" s="2" t="n">
        <f aca="false">CL23</f>
        <v>0</v>
      </c>
      <c r="CN25" s="2" t="n">
        <f aca="false">CL21</f>
        <v>0</v>
      </c>
      <c r="CO25" s="2" t="n">
        <f aca="false">CL19</f>
        <v>0</v>
      </c>
      <c r="CP25" s="2" t="n">
        <f aca="false">CL17</f>
        <v>1</v>
      </c>
      <c r="CQ25" s="2" t="n">
        <f aca="false">CL15</f>
        <v>0</v>
      </c>
      <c r="CR25" s="2" t="n">
        <f aca="false">CL13</f>
        <v>0</v>
      </c>
      <c r="CS25" s="2" t="n">
        <f aca="false">CL11</f>
        <v>0</v>
      </c>
      <c r="CT25" s="2" t="n">
        <f aca="false">CL9</f>
        <v>0</v>
      </c>
      <c r="CU25" s="2" t="n">
        <f aca="false">CL7</f>
        <v>0</v>
      </c>
      <c r="CV25" s="2" t="n">
        <f aca="false">CL5</f>
        <v>0</v>
      </c>
      <c r="CW25" s="2" t="n">
        <f aca="false">CL3</f>
        <v>0</v>
      </c>
      <c r="CX25" s="1" t="n">
        <v>52.9082</v>
      </c>
      <c r="CY25" s="2" t="n">
        <f aca="false">CX23</f>
        <v>57.5116</v>
      </c>
      <c r="CZ25" s="2" t="n">
        <f aca="false">CX21</f>
        <v>65.6684</v>
      </c>
      <c r="DA25" s="2" t="n">
        <f aca="false">CX19</f>
        <v>74.926</v>
      </c>
      <c r="DB25" s="2" t="n">
        <f aca="false">CX17</f>
        <v>84.0928</v>
      </c>
      <c r="DC25" s="2" t="n">
        <f aca="false">CX15</f>
        <v>79.2281</v>
      </c>
      <c r="DD25" s="2" t="n">
        <f aca="false">CX13</f>
        <v>69.7261</v>
      </c>
      <c r="DE25" s="2" t="n">
        <f aca="false">CX11</f>
        <v>78.7047</v>
      </c>
      <c r="DF25" s="2" t="n">
        <f aca="false">CX9</f>
        <v>50.9753</v>
      </c>
      <c r="DG25" s="2" t="n">
        <f aca="false">CX7</f>
        <v>57.1715</v>
      </c>
      <c r="DH25" s="2" t="n">
        <f aca="false">CX5</f>
        <v>45.685</v>
      </c>
      <c r="DI25" s="2" t="n">
        <f aca="false">CX3</f>
        <v>67.8238</v>
      </c>
      <c r="DJ25" s="1" t="s">
        <v>174</v>
      </c>
      <c r="DK25" s="2" t="str">
        <f aca="false">DJ23</f>
        <v>HH</v>
      </c>
      <c r="DL25" s="2" t="str">
        <f aca="false">DJ21</f>
        <v>HH</v>
      </c>
      <c r="DM25" s="2" t="str">
        <f aca="false">DJ19</f>
        <v>LH</v>
      </c>
      <c r="DN25" s="2" t="str">
        <f aca="false">DJ17</f>
        <v>LH</v>
      </c>
      <c r="DO25" s="2" t="str">
        <f aca="false">DJ15</f>
        <v>HH</v>
      </c>
      <c r="DP25" s="2" t="str">
        <f aca="false">DJ13</f>
        <v>HH</v>
      </c>
      <c r="DQ25" s="2" t="str">
        <f aca="false">DJ11</f>
        <v>HH</v>
      </c>
      <c r="DR25" s="2" t="str">
        <f aca="false">DJ9</f>
        <v>LH</v>
      </c>
      <c r="DS25" s="2" t="str">
        <f aca="false">DJ7</f>
        <v>LH</v>
      </c>
      <c r="DT25" s="2" t="str">
        <f aca="false">DJ5</f>
        <v>HH</v>
      </c>
      <c r="DU25" s="2" t="str">
        <f aca="false">DJ3</f>
        <v>LH</v>
      </c>
      <c r="DV25" s="2" t="n">
        <f aca="false">IFERROR((G25-$F25)/$F25*100,"")</f>
        <v>0.736570715165565</v>
      </c>
      <c r="DW25" s="2" t="n">
        <f aca="false">IFERROR((H25-$F25)/$F25*100,"")</f>
        <v>0.621729044521467</v>
      </c>
      <c r="DX25" s="2" t="n">
        <f aca="false">IFERROR((I25-$F25)/$F25*100,"")</f>
        <v>0.164238178706981</v>
      </c>
      <c r="DY25" s="2" t="n">
        <f aca="false">IFERROR((J25-$F25)/$F25*100,"")</f>
        <v>0.34119022657782</v>
      </c>
      <c r="DZ25" s="2" t="n">
        <f aca="false">IFERROR((K25-$F25)/$F25*100,"")</f>
        <v>1.9029118928867</v>
      </c>
      <c r="EA25" s="2" t="n">
        <f aca="false">IFERROR((L25-$F25)/$F25*100,"")</f>
        <v>0.167989812230751</v>
      </c>
      <c r="EB25" s="2" t="n">
        <f aca="false">IFERROR((M25-$F25)/$F25*100,"")</f>
        <v>0.0669041311737827</v>
      </c>
      <c r="EC25" s="2" t="n">
        <f aca="false">IFERROR((N25-$F25)/$F25*100,"")</f>
        <v>0.0139644136717878</v>
      </c>
      <c r="ED25" s="2" t="n">
        <f aca="false">IFERROR((O25-$F25)/$F25*100,"")</f>
        <v>0.539818379252644</v>
      </c>
      <c r="EE25" s="2" t="n">
        <f aca="false">IFERROR((P25-$F25)/$F25*100,"")</f>
        <v>0.843492270592826</v>
      </c>
      <c r="EF25" s="2" t="n">
        <f aca="false">IFERROR((Q25-$F25)/$F25*100,"")</f>
        <v>0.676961426954663</v>
      </c>
      <c r="EG25" s="2" t="str">
        <f aca="false">IF(DV25="","",IF(AND(ABS(DV25)&lt;=0.25,$E25="Bottom",DK25="LL"),"EQL",IF(AND(ABS(DV25)&lt;=0.25,$E25="Peak",DK25="HH"),"EQH","")))</f>
        <v/>
      </c>
      <c r="EH25" s="2" t="str">
        <f aca="false">IF(DW25="","",IF(AND(ABS(DW25)&lt;=0.25,$E25="Bottom",DL25="LL"),"EQL",IF(AND(ABS(DW25)&lt;=0.25,$E25="Peak",DL25="HH"),"EQH","")))</f>
        <v/>
      </c>
      <c r="EI25" s="2" t="str">
        <f aca="false">IF(DX25="","",IF(AND(ABS(DX25)&lt;=0.25,$E25="Bottom",DM25="LL"),"EQL",IF(AND(ABS(DX25)&lt;=0.25,$E25="Peak",DM25="HH"),"EQH","")))</f>
        <v/>
      </c>
      <c r="EJ25" s="2" t="str">
        <f aca="false">IF(DY25="","",IF(AND(ABS(DY25)&lt;=0.25,$E25="Bottom",DN25="LL"),"EQL",IF(AND(ABS(DY25)&lt;=0.25,$E25="Peak",DN25="HH"),"EQH","")))</f>
        <v/>
      </c>
      <c r="EK25" s="2" t="str">
        <f aca="false">IF(DZ25="","",IF(AND(ABS(DZ25)&lt;=0.25,$E25="Bottom",DO25="LL"),"EQL",IF(AND(ABS(DZ25)&lt;=0.25,$E25="Peak",DO25="HH"),"EQH","")))</f>
        <v/>
      </c>
      <c r="EL25" s="2" t="str">
        <f aca="false">IF(EA25="","",IF(AND(ABS(EA25)&lt;=0.25,$E25="Bottom",DP25="LL"),"EQL",IF(AND(ABS(EA25)&lt;=0.25,$E25="Peak",DP25="HH"),"EQH","")))</f>
        <v>EQH</v>
      </c>
      <c r="EM25" s="2" t="str">
        <f aca="false">IF(EB25="","",IF(AND(ABS(EB25)&lt;=0.25,$E25="Bottom",DQ25="LL"),"EQL",IF(AND(ABS(EB25)&lt;=0.25,$E25="Peak",DQ25="HH"),"EQH","")))</f>
        <v>EQH</v>
      </c>
      <c r="EN25" s="2" t="str">
        <f aca="false">IF(EC25="","",IF(AND(ABS(EC25)&lt;=0.25,$E25="Bottom",DR25="LL"),"EQL",IF(AND(ABS(EC25)&lt;=0.25,$E25="Peak",DR25="HH"),"EQH","")))</f>
        <v/>
      </c>
      <c r="EO25" s="2" t="str">
        <f aca="false">IF(ED25="","",IF(AND(ABS(ED25)&lt;=0.25,$E25="Bottom",DS25="LL"),"EQL",IF(AND(ABS(ED25)&lt;=0.25,$E25="Peak",DS25="HH"),"EQH","")))</f>
        <v/>
      </c>
      <c r="EP25" s="2" t="str">
        <f aca="false">IF(EE25="","",IF(AND(ABS(EE25)&lt;=0.25,$E25="Bottom",DT25="LL"),"EQL",IF(AND(ABS(EE25)&lt;=0.25,$E25="Peak",DT25="HH"),"EQH","")))</f>
        <v/>
      </c>
      <c r="EQ25" s="2" t="str">
        <f aca="false">IF(EF25="","",IF(AND(ABS(EF25)&lt;=0.25,$E25="Bottom",DU25="LL"),"EQL",IF(AND(ABS(EF25)&lt;=0.25,$E25="Peak",DU25="HH"),"EQH","")))</f>
        <v/>
      </c>
      <c r="ER25" s="2" t="str">
        <f aca="false">IF(OR(EG25="EQL",EG25="EQH"),G25,"")</f>
        <v/>
      </c>
      <c r="ES25" s="2" t="str">
        <f aca="false">IF(OR(EH25="EQL",EH25="EQH"),H25,"")</f>
        <v/>
      </c>
      <c r="ET25" s="2" t="str">
        <f aca="false">IF(OR(EI25="EQL",EI25="EQH"),I25,"")</f>
        <v/>
      </c>
      <c r="EU25" s="2" t="str">
        <f aca="false">IF(OR(EJ25="EQL",EJ25="EQH"),J25,"")</f>
        <v/>
      </c>
      <c r="EV25" s="2" t="str">
        <f aca="false">IF(OR(EK25="EQL",EK25="EQH"),K25,"")</f>
        <v/>
      </c>
      <c r="EW25" s="2" t="n">
        <f aca="false">IF(OR(EL25="EQL",EL25="EQH"),L25,"")</f>
        <v>4805.97</v>
      </c>
      <c r="EX25" s="2" t="n">
        <f aca="false">IF(OR(EM25="EQL",EM25="EQH"),M25,"")</f>
        <v>4801.12</v>
      </c>
      <c r="EY25" s="2" t="str">
        <f aca="false">IF(OR(EN25="EQL",EN25="EQH"),N25,"")</f>
        <v/>
      </c>
      <c r="EZ25" s="2" t="str">
        <f aca="false">IF(OR(EO25="EQL",EO25="EQH"),O25,"")</f>
        <v/>
      </c>
      <c r="FA25" s="2" t="str">
        <f aca="false">IF(OR(EP25="EQL",EP25="EQH"),P25,"")</f>
        <v/>
      </c>
      <c r="FB25" s="2" t="str">
        <f aca="false">IF(OR(EQ25="EQL",EQ25="EQH"),Q25,"")</f>
        <v/>
      </c>
      <c r="FC25" s="2" t="str">
        <f aca="false">IF(AND(EG25="EQL",OR(AQ25=4,AQ25=5)),"IEQL",IF(AND(EG25="EQH",OR(AQ25=1,AQ25=2)),"IEQH",""))</f>
        <v/>
      </c>
      <c r="FD25" s="2" t="str">
        <f aca="false">IF(AND(EH25="EQL",OR(AR25=4,AR25=5)),"IEQL",IF(AND(EH25="EQH",OR(AR25=1,AR25=2)),"IEQH",""))</f>
        <v/>
      </c>
      <c r="FE25" s="2" t="str">
        <f aca="false">IF(AND(EI25="EQL",OR(AS25=4,AS25=5)),"IEQL",IF(AND(EI25="EQH",OR(AS25=1,AS25=2)),"IEQH",""))</f>
        <v/>
      </c>
      <c r="FF25" s="2" t="str">
        <f aca="false">IF(AND(EJ25="EQL",OR(AT25=4,AT25=5)),"IEQL",IF(AND(EJ25="EQH",OR(AT25=1,AT25=2)),"IEQH",""))</f>
        <v/>
      </c>
      <c r="FG25" s="2" t="str">
        <f aca="false">IF(AND(EK25="EQL",OR(AU25=4,AU25=5)),"IEQL",IF(AND(EK25="EQH",OR(AU25=1,AU25=2)),"IEQH",""))</f>
        <v/>
      </c>
      <c r="FH25" s="2" t="str">
        <f aca="false">IF(AND(EL25="EQL",OR(AV25=4,AV25=5)),"IEQL",IF(AND(EL25="EQH",OR(AV25=1,AV25=2)),"IEQH",""))</f>
        <v/>
      </c>
      <c r="FI25" s="2" t="str">
        <f aca="false">IF(AND(EM25="EQL",OR(AW25=4,AW25=5)),"IEQL",IF(AND(EM25="EQH",OR(AW25=1,AW25=2)),"IEQH",""))</f>
        <v/>
      </c>
      <c r="FJ25" s="2" t="str">
        <f aca="false">IF(AND(EN25="EQL",OR(AX25=4,AX25=5)),"IEQL",IF(AND(EN25="EQH",OR(AX25=1,AX25=2)),"IEQH",""))</f>
        <v/>
      </c>
      <c r="FK25" s="2" t="str">
        <f aca="false">IF(AND(EO25="EQL",OR(AY25=4,AY25=5)),"IEQL",IF(AND(EO25="EQH",OR(AY25=1,AY25=2)),"IEQH",""))</f>
        <v/>
      </c>
      <c r="FL25" s="2" t="str">
        <f aca="false">IF(AND(EP25="EQL",OR(AZ25=4,AZ25=5)),"IEQL",IF(AND(EP25="EQH",OR(AZ25=1,AZ25=2)),"IEQH",""))</f>
        <v/>
      </c>
      <c r="FM25" s="2" t="str">
        <f aca="false">IF(AND(EQ25="EQL",OR(BA25=4,BA25=5)),"IEQL",IF(AND(EQ25="EQH",OR(BA25=1,BA25=2)),"IEQH",""))</f>
        <v/>
      </c>
    </row>
    <row r="26" customFormat="false" ht="14.25" hidden="false" customHeight="false" outlineLevel="0" collapsed="false">
      <c r="A26" s="1" t="n">
        <v>1776799802</v>
      </c>
      <c r="B26" s="1" t="s">
        <v>169</v>
      </c>
      <c r="C26" s="1" t="s">
        <v>170</v>
      </c>
      <c r="D26" s="1" t="n">
        <v>4671.47</v>
      </c>
      <c r="E26" s="1" t="s">
        <v>171</v>
      </c>
      <c r="F26" s="1" t="n">
        <v>4668.61</v>
      </c>
      <c r="G26" s="2" t="n">
        <f aca="false">F24</f>
        <v>4772.78</v>
      </c>
      <c r="H26" s="2" t="n">
        <f aca="false">F22</f>
        <v>4792.42</v>
      </c>
      <c r="I26" s="2" t="n">
        <f aca="false">F20</f>
        <v>4783.51</v>
      </c>
      <c r="J26" s="2" t="n">
        <f aca="false">F18</f>
        <v>4779.8</v>
      </c>
      <c r="K26" s="2" t="n">
        <f aca="false">F16</f>
        <v>4736.96</v>
      </c>
      <c r="L26" s="2" t="n">
        <f aca="false">F14</f>
        <v>4778.83</v>
      </c>
      <c r="M26" s="2" t="n">
        <f aca="false">F12</f>
        <v>4768.07</v>
      </c>
      <c r="N26" s="2" t="n">
        <f aca="false">F10</f>
        <v>4786.1</v>
      </c>
      <c r="O26" s="2" t="n">
        <f aca="false">F8</f>
        <v>4772.67</v>
      </c>
      <c r="P26" s="2" t="n">
        <f aca="false">F6</f>
        <v>4805.21</v>
      </c>
      <c r="Q26" s="2" t="n">
        <f aca="false">F4</f>
        <v>4787.17</v>
      </c>
      <c r="R26" s="1" t="n">
        <v>-129.3</v>
      </c>
      <c r="S26" s="2" t="n">
        <f aca="false">R24</f>
        <v>-60.47</v>
      </c>
      <c r="T26" s="2" t="n">
        <f aca="false">R22</f>
        <v>-35.32</v>
      </c>
      <c r="U26" s="2" t="n">
        <f aca="false">R20</f>
        <v>-22.28</v>
      </c>
      <c r="V26" s="2" t="n">
        <f aca="false">R18</f>
        <v>-34.48</v>
      </c>
      <c r="W26" s="2" t="n">
        <f aca="false">R16</f>
        <v>-152.25</v>
      </c>
      <c r="X26" s="2" t="n">
        <f aca="false">R14</f>
        <v>-27.14</v>
      </c>
      <c r="Y26" s="2" t="n">
        <f aca="false">R12</f>
        <v>-33.05</v>
      </c>
      <c r="Z26" s="2" t="n">
        <f aca="false">R10</f>
        <v>-12.48</v>
      </c>
      <c r="AA26" s="2" t="n">
        <f aca="false">R8</f>
        <v>-51.14</v>
      </c>
      <c r="AB26" s="2" t="n">
        <f aca="false">R6</f>
        <v>-33.17</v>
      </c>
      <c r="AC26" s="2" t="n">
        <f aca="false">R4</f>
        <v>-43.22</v>
      </c>
      <c r="AD26" s="1" t="n">
        <v>-2.69</v>
      </c>
      <c r="AE26" s="2" t="n">
        <f aca="false">AD24</f>
        <v>-1.25</v>
      </c>
      <c r="AF26" s="2" t="n">
        <f aca="false">AD22</f>
        <v>-0.73</v>
      </c>
      <c r="AG26" s="2" t="n">
        <f aca="false">AD20</f>
        <v>-0.46</v>
      </c>
      <c r="AH26" s="2" t="n">
        <f aca="false">AD18</f>
        <v>-0.72</v>
      </c>
      <c r="AI26" s="2" t="n">
        <f aca="false">AD16</f>
        <v>-3.11</v>
      </c>
      <c r="AJ26" s="2" t="n">
        <f aca="false">AD14</f>
        <v>-0.56</v>
      </c>
      <c r="AK26" s="2" t="n">
        <f aca="false">AD12</f>
        <v>-0.69</v>
      </c>
      <c r="AL26" s="2" t="n">
        <f aca="false">AD10</f>
        <v>-0.26</v>
      </c>
      <c r="AM26" s="2" t="n">
        <f aca="false">AD8</f>
        <v>-1.06</v>
      </c>
      <c r="AN26" s="2" t="n">
        <f aca="false">AD6</f>
        <v>-0.69</v>
      </c>
      <c r="AO26" s="2" t="n">
        <f aca="false">AD4</f>
        <v>-0.89</v>
      </c>
      <c r="AP26" s="1" t="n">
        <v>5</v>
      </c>
      <c r="AQ26" s="2" t="n">
        <f aca="false">AP24</f>
        <v>3</v>
      </c>
      <c r="AR26" s="2" t="n">
        <f aca="false">AP22</f>
        <v>3</v>
      </c>
      <c r="AS26" s="2" t="n">
        <f aca="false">AP20</f>
        <v>3</v>
      </c>
      <c r="AT26" s="2" t="n">
        <f aca="false">AP18</f>
        <v>3</v>
      </c>
      <c r="AU26" s="2" t="n">
        <f aca="false">AP16</f>
        <v>5</v>
      </c>
      <c r="AV26" s="2" t="n">
        <f aca="false">AP14</f>
        <v>3</v>
      </c>
      <c r="AW26" s="2" t="n">
        <f aca="false">AP12</f>
        <v>3</v>
      </c>
      <c r="AX26" s="2" t="n">
        <f aca="false">AP10</f>
        <v>3</v>
      </c>
      <c r="AY26" s="2" t="n">
        <f aca="false">AP8</f>
        <v>3</v>
      </c>
      <c r="AZ26" s="2" t="n">
        <f aca="false">AP6</f>
        <v>3</v>
      </c>
      <c r="BA26" s="2" t="n">
        <f aca="false">AP4</f>
        <v>3</v>
      </c>
      <c r="BB26" s="1" t="n">
        <v>31</v>
      </c>
      <c r="BC26" s="2" t="n">
        <f aca="false">BB24</f>
        <v>35</v>
      </c>
      <c r="BD26" s="2" t="n">
        <f aca="false">BB22</f>
        <v>1</v>
      </c>
      <c r="BE26" s="2" t="n">
        <f aca="false">BB20</f>
        <v>9</v>
      </c>
      <c r="BF26" s="2" t="n">
        <f aca="false">BB18</f>
        <v>15</v>
      </c>
      <c r="BG26" s="2" t="n">
        <f aca="false">BB16</f>
        <v>39</v>
      </c>
      <c r="BH26" s="2" t="n">
        <f aca="false">BB14</f>
        <v>11</v>
      </c>
      <c r="BI26" s="2" t="n">
        <f aca="false">BB12</f>
        <v>3</v>
      </c>
      <c r="BJ26" s="2" t="n">
        <f aca="false">BB10</f>
        <v>13</v>
      </c>
      <c r="BK26" s="2" t="n">
        <f aca="false">BB8</f>
        <v>4</v>
      </c>
      <c r="BL26" s="2" t="n">
        <f aca="false">BB6</f>
        <v>22</v>
      </c>
      <c r="BM26" s="2" t="n">
        <f aca="false">BB4</f>
        <v>5</v>
      </c>
      <c r="BN26" s="1" t="n">
        <v>3</v>
      </c>
      <c r="BO26" s="2" t="n">
        <f aca="false">BN24</f>
        <v>3</v>
      </c>
      <c r="BP26" s="2" t="n">
        <f aca="false">BN22</f>
        <v>3</v>
      </c>
      <c r="BQ26" s="2" t="n">
        <f aca="false">BN20</f>
        <v>3</v>
      </c>
      <c r="BR26" s="2" t="n">
        <f aca="false">BN18</f>
        <v>3</v>
      </c>
      <c r="BS26" s="2" t="n">
        <f aca="false">BN16</f>
        <v>4</v>
      </c>
      <c r="BT26" s="2" t="n">
        <f aca="false">BN14</f>
        <v>3</v>
      </c>
      <c r="BU26" s="2" t="n">
        <f aca="false">BN12</f>
        <v>3</v>
      </c>
      <c r="BV26" s="2" t="n">
        <f aca="false">BN10</f>
        <v>3</v>
      </c>
      <c r="BW26" s="2" t="n">
        <f aca="false">BN8</f>
        <v>3</v>
      </c>
      <c r="BX26" s="2" t="n">
        <f aca="false">BN6</f>
        <v>3</v>
      </c>
      <c r="BY26" s="2" t="n">
        <f aca="false">BN4</f>
        <v>3</v>
      </c>
      <c r="BZ26" s="1" t="n">
        <v>-4.17097</v>
      </c>
      <c r="CA26" s="2" t="n">
        <f aca="false">BZ24</f>
        <v>-1.72771</v>
      </c>
      <c r="CB26" s="2" t="n">
        <f aca="false">BZ22</f>
        <v>-35.32</v>
      </c>
      <c r="CC26" s="2" t="n">
        <f aca="false">BZ20</f>
        <v>-2.47556</v>
      </c>
      <c r="CD26" s="2" t="n">
        <f aca="false">BZ18</f>
        <v>-2.29867</v>
      </c>
      <c r="CE26" s="2" t="n">
        <f aca="false">BZ16</f>
        <v>-3.90385</v>
      </c>
      <c r="CF26" s="2" t="n">
        <f aca="false">BZ14</f>
        <v>-2.46727</v>
      </c>
      <c r="CG26" s="2" t="n">
        <f aca="false">BZ12</f>
        <v>-11.01667</v>
      </c>
      <c r="CH26" s="2" t="n">
        <f aca="false">BZ10</f>
        <v>-0.96</v>
      </c>
      <c r="CI26" s="2" t="n">
        <f aca="false">BZ8</f>
        <v>-12.785</v>
      </c>
      <c r="CJ26" s="2" t="n">
        <f aca="false">BZ6</f>
        <v>-1.50773</v>
      </c>
      <c r="CK26" s="2" t="n">
        <f aca="false">BZ4</f>
        <v>-8.644</v>
      </c>
      <c r="CL26" s="1" t="n">
        <v>3</v>
      </c>
      <c r="CM26" s="2" t="n">
        <f aca="false">CL24</f>
        <v>3</v>
      </c>
      <c r="CN26" s="2" t="n">
        <f aca="false">CL22</f>
        <v>5</v>
      </c>
      <c r="CO26" s="2" t="n">
        <f aca="false">CL20</f>
        <v>3</v>
      </c>
      <c r="CP26" s="2" t="n">
        <f aca="false">CL18</f>
        <v>3</v>
      </c>
      <c r="CQ26" s="2" t="n">
        <f aca="false">CL16</f>
        <v>3</v>
      </c>
      <c r="CR26" s="2" t="n">
        <f aca="false">CL14</f>
        <v>3</v>
      </c>
      <c r="CS26" s="2" t="n">
        <f aca="false">CL12</f>
        <v>5</v>
      </c>
      <c r="CT26" s="2" t="n">
        <f aca="false">CL10</f>
        <v>3</v>
      </c>
      <c r="CU26" s="2" t="n">
        <f aca="false">CL8</f>
        <v>5</v>
      </c>
      <c r="CV26" s="2" t="n">
        <f aca="false">CL6</f>
        <v>3</v>
      </c>
      <c r="CW26" s="2" t="n">
        <f aca="false">CL4</f>
        <v>3</v>
      </c>
      <c r="CX26" s="1" t="n">
        <v>-76.5177</v>
      </c>
      <c r="CY26" s="2" t="n">
        <f aca="false">CX24</f>
        <v>-59.9378</v>
      </c>
      <c r="CZ26" s="2" t="n">
        <f aca="false">CX22</f>
        <v>-88.3782</v>
      </c>
      <c r="DA26" s="2" t="n">
        <f aca="false">CX20</f>
        <v>-68.0038</v>
      </c>
      <c r="DB26" s="2" t="n">
        <f aca="false">CX18</f>
        <v>-66.4893</v>
      </c>
      <c r="DC26" s="2" t="n">
        <f aca="false">CX16</f>
        <v>-75.6322</v>
      </c>
      <c r="DD26" s="2" t="n">
        <f aca="false">CX14</f>
        <v>-67.937</v>
      </c>
      <c r="DE26" s="2" t="n">
        <f aca="false">CX12</f>
        <v>-84.8134</v>
      </c>
      <c r="DF26" s="2" t="n">
        <f aca="false">CX10</f>
        <v>-43.8309</v>
      </c>
      <c r="DG26" s="2" t="n">
        <f aca="false">CX8</f>
        <v>-85.5276</v>
      </c>
      <c r="DH26" s="2" t="n">
        <f aca="false">CX6</f>
        <v>-56.4457</v>
      </c>
      <c r="DI26" s="2" t="n">
        <f aca="false">CX4</f>
        <v>-83.4009</v>
      </c>
      <c r="DJ26" s="1" t="s">
        <v>172</v>
      </c>
      <c r="DK26" s="2" t="str">
        <f aca="false">DJ24</f>
        <v>LL</v>
      </c>
      <c r="DL26" s="2" t="str">
        <f aca="false">DJ22</f>
        <v>HL</v>
      </c>
      <c r="DM26" s="2" t="str">
        <f aca="false">DJ20</f>
        <v>HL</v>
      </c>
      <c r="DN26" s="2" t="str">
        <f aca="false">DJ18</f>
        <v>HL</v>
      </c>
      <c r="DO26" s="2" t="str">
        <f aca="false">DJ16</f>
        <v>LL</v>
      </c>
      <c r="DP26" s="2" t="str">
        <f aca="false">DJ14</f>
        <v>HL</v>
      </c>
      <c r="DQ26" s="2" t="str">
        <f aca="false">DJ12</f>
        <v>LL</v>
      </c>
      <c r="DR26" s="2" t="str">
        <f aca="false">DJ10</f>
        <v>HL</v>
      </c>
      <c r="DS26" s="2" t="str">
        <f aca="false">DJ8</f>
        <v>LL</v>
      </c>
      <c r="DT26" s="2" t="str">
        <f aca="false">DJ6</f>
        <v>HL</v>
      </c>
      <c r="DU26" s="2" t="str">
        <f aca="false">DJ4</f>
        <v>HL</v>
      </c>
      <c r="DV26" s="2" t="n">
        <f aca="false">IFERROR((G26-$F26)/$F26*100,"")</f>
        <v>2.23128511484146</v>
      </c>
      <c r="DW26" s="2" t="n">
        <f aca="false">IFERROR((H26-$F26)/$F26*100,"")</f>
        <v>2.65196707371146</v>
      </c>
      <c r="DX26" s="2" t="n">
        <f aca="false">IFERROR((I26-$F26)/$F26*100,"")</f>
        <v>2.46111797729947</v>
      </c>
      <c r="DY26" s="2" t="n">
        <f aca="false">IFERROR((J26-$F26)/$F26*100,"")</f>
        <v>2.38165106959032</v>
      </c>
      <c r="DZ26" s="2" t="n">
        <f aca="false">IFERROR((K26-$F26)/$F26*100,"")</f>
        <v>1.46403319189224</v>
      </c>
      <c r="EA26" s="2" t="n">
        <f aca="false">IFERROR((L26-$F26)/$F26*100,"")</f>
        <v>2.3608740074669</v>
      </c>
      <c r="EB26" s="2" t="n">
        <f aca="false">IFERROR((M26-$F26)/$F26*100,"")</f>
        <v>2.13039855545869</v>
      </c>
      <c r="EC26" s="2" t="n">
        <f aca="false">IFERROR((N26-$F26)/$F26*100,"")</f>
        <v>2.51659487513416</v>
      </c>
      <c r="ED26" s="2" t="n">
        <f aca="false">IFERROR((O26-$F26)/$F26*100,"")</f>
        <v>2.22892895315737</v>
      </c>
      <c r="EE26" s="2" t="n">
        <f aca="false">IFERROR((P26-$F26)/$F26*100,"")</f>
        <v>2.92592441861711</v>
      </c>
      <c r="EF26" s="2" t="n">
        <f aca="false">IFERROR((Q26-$F26)/$F26*100,"")</f>
        <v>2.53951390242493</v>
      </c>
      <c r="EG26" s="2" t="str">
        <f aca="false">IF(DV26="","",IF(AND(ABS(DV26)&lt;=0.25,$E26="Bottom",DK26="LL"),"EQL",IF(AND(ABS(DV26)&lt;=0.25,$E26="Peak",DK26="HH"),"EQH","")))</f>
        <v/>
      </c>
      <c r="EH26" s="2" t="str">
        <f aca="false">IF(DW26="","",IF(AND(ABS(DW26)&lt;=0.25,$E26="Bottom",DL26="LL"),"EQL",IF(AND(ABS(DW26)&lt;=0.25,$E26="Peak",DL26="HH"),"EQH","")))</f>
        <v/>
      </c>
      <c r="EI26" s="2" t="str">
        <f aca="false">IF(DX26="","",IF(AND(ABS(DX26)&lt;=0.25,$E26="Bottom",DM26="LL"),"EQL",IF(AND(ABS(DX26)&lt;=0.25,$E26="Peak",DM26="HH"),"EQH","")))</f>
        <v/>
      </c>
      <c r="EJ26" s="2" t="str">
        <f aca="false">IF(DY26="","",IF(AND(ABS(DY26)&lt;=0.25,$E26="Bottom",DN26="LL"),"EQL",IF(AND(ABS(DY26)&lt;=0.25,$E26="Peak",DN26="HH"),"EQH","")))</f>
        <v/>
      </c>
      <c r="EK26" s="2" t="str">
        <f aca="false">IF(DZ26="","",IF(AND(ABS(DZ26)&lt;=0.25,$E26="Bottom",DO26="LL"),"EQL",IF(AND(ABS(DZ26)&lt;=0.25,$E26="Peak",DO26="HH"),"EQH","")))</f>
        <v/>
      </c>
      <c r="EL26" s="2" t="str">
        <f aca="false">IF(EA26="","",IF(AND(ABS(EA26)&lt;=0.25,$E26="Bottom",DP26="LL"),"EQL",IF(AND(ABS(EA26)&lt;=0.25,$E26="Peak",DP26="HH"),"EQH","")))</f>
        <v/>
      </c>
      <c r="EM26" s="2" t="str">
        <f aca="false">IF(EB26="","",IF(AND(ABS(EB26)&lt;=0.25,$E26="Bottom",DQ26="LL"),"EQL",IF(AND(ABS(EB26)&lt;=0.25,$E26="Peak",DQ26="HH"),"EQH","")))</f>
        <v/>
      </c>
      <c r="EN26" s="2" t="str">
        <f aca="false">IF(EC26="","",IF(AND(ABS(EC26)&lt;=0.25,$E26="Bottom",DR26="LL"),"EQL",IF(AND(ABS(EC26)&lt;=0.25,$E26="Peak",DR26="HH"),"EQH","")))</f>
        <v/>
      </c>
      <c r="EO26" s="2" t="str">
        <f aca="false">IF(ED26="","",IF(AND(ABS(ED26)&lt;=0.25,$E26="Bottom",DS26="LL"),"EQL",IF(AND(ABS(ED26)&lt;=0.25,$E26="Peak",DS26="HH"),"EQH","")))</f>
        <v/>
      </c>
      <c r="EP26" s="2" t="str">
        <f aca="false">IF(EE26="","",IF(AND(ABS(EE26)&lt;=0.25,$E26="Bottom",DT26="LL"),"EQL",IF(AND(ABS(EE26)&lt;=0.25,$E26="Peak",DT26="HH"),"EQH","")))</f>
        <v/>
      </c>
      <c r="EQ26" s="2" t="str">
        <f aca="false">IF(EF26="","",IF(AND(ABS(EF26)&lt;=0.25,$E26="Bottom",DU26="LL"),"EQL",IF(AND(ABS(EF26)&lt;=0.25,$E26="Peak",DU26="HH"),"EQH","")))</f>
        <v/>
      </c>
      <c r="ER26" s="2" t="str">
        <f aca="false">IF(OR(EG26="EQL",EG26="EQH"),G26,"")</f>
        <v/>
      </c>
      <c r="ES26" s="2" t="str">
        <f aca="false">IF(OR(EH26="EQL",EH26="EQH"),H26,"")</f>
        <v/>
      </c>
      <c r="ET26" s="2" t="str">
        <f aca="false">IF(OR(EI26="EQL",EI26="EQH"),I26,"")</f>
        <v/>
      </c>
      <c r="EU26" s="2" t="str">
        <f aca="false">IF(OR(EJ26="EQL",EJ26="EQH"),J26,"")</f>
        <v/>
      </c>
      <c r="EV26" s="2" t="str">
        <f aca="false">IF(OR(EK26="EQL",EK26="EQH"),K26,"")</f>
        <v/>
      </c>
      <c r="EW26" s="2" t="str">
        <f aca="false">IF(OR(EL26="EQL",EL26="EQH"),L26,"")</f>
        <v/>
      </c>
      <c r="EX26" s="2" t="str">
        <f aca="false">IF(OR(EM26="EQL",EM26="EQH"),M26,"")</f>
        <v/>
      </c>
      <c r="EY26" s="2" t="str">
        <f aca="false">IF(OR(EN26="EQL",EN26="EQH"),N26,"")</f>
        <v/>
      </c>
      <c r="EZ26" s="2" t="str">
        <f aca="false">IF(OR(EO26="EQL",EO26="EQH"),O26,"")</f>
        <v/>
      </c>
      <c r="FA26" s="2" t="str">
        <f aca="false">IF(OR(EP26="EQL",EP26="EQH"),P26,"")</f>
        <v/>
      </c>
      <c r="FB26" s="2" t="str">
        <f aca="false">IF(OR(EQ26="EQL",EQ26="EQH"),Q26,"")</f>
        <v/>
      </c>
      <c r="FC26" s="2" t="str">
        <f aca="false">IF(AND(EG26="EQL",OR(AQ26=4,AQ26=5)),"IEQL",IF(AND(EG26="EQH",OR(AQ26=1,AQ26=2)),"IEQH",""))</f>
        <v/>
      </c>
      <c r="FD26" s="2" t="str">
        <f aca="false">IF(AND(EH26="EQL",OR(AR26=4,AR26=5)),"IEQL",IF(AND(EH26="EQH",OR(AR26=1,AR26=2)),"IEQH",""))</f>
        <v/>
      </c>
      <c r="FE26" s="2" t="str">
        <f aca="false">IF(AND(EI26="EQL",OR(AS26=4,AS26=5)),"IEQL",IF(AND(EI26="EQH",OR(AS26=1,AS26=2)),"IEQH",""))</f>
        <v/>
      </c>
      <c r="FF26" s="2" t="str">
        <f aca="false">IF(AND(EJ26="EQL",OR(AT26=4,AT26=5)),"IEQL",IF(AND(EJ26="EQH",OR(AT26=1,AT26=2)),"IEQH",""))</f>
        <v/>
      </c>
      <c r="FG26" s="2" t="str">
        <f aca="false">IF(AND(EK26="EQL",OR(AU26=4,AU26=5)),"IEQL",IF(AND(EK26="EQH",OR(AU26=1,AU26=2)),"IEQH",""))</f>
        <v/>
      </c>
      <c r="FH26" s="2" t="str">
        <f aca="false">IF(AND(EL26="EQL",OR(AV26=4,AV26=5)),"IEQL",IF(AND(EL26="EQH",OR(AV26=1,AV26=2)),"IEQH",""))</f>
        <v/>
      </c>
      <c r="FI26" s="2" t="str">
        <f aca="false">IF(AND(EM26="EQL",OR(AW26=4,AW26=5)),"IEQL",IF(AND(EM26="EQH",OR(AW26=1,AW26=2)),"IEQH",""))</f>
        <v/>
      </c>
      <c r="FJ26" s="2" t="str">
        <f aca="false">IF(AND(EN26="EQL",OR(AX26=4,AX26=5)),"IEQL",IF(AND(EN26="EQH",OR(AX26=1,AX26=2)),"IEQH",""))</f>
        <v/>
      </c>
      <c r="FK26" s="2" t="str">
        <f aca="false">IF(AND(EO26="EQL",OR(AY26=4,AY26=5)),"IEQL",IF(AND(EO26="EQH",OR(AY26=1,AY26=2)),"IEQH",""))</f>
        <v/>
      </c>
      <c r="FL26" s="2" t="str">
        <f aca="false">IF(AND(EP26="EQL",OR(AZ26=4,AZ26=5)),"IEQL",IF(AND(EP26="EQH",OR(AZ26=1,AZ26=2)),"IEQH",""))</f>
        <v/>
      </c>
      <c r="FM26" s="2" t="str">
        <f aca="false">IF(AND(EQ26="EQL",OR(BA26=4,BA26=5)),"IEQL",IF(AND(EQ26="EQH",OR(BA26=1,BA26=2)),"IEQH",""))</f>
        <v/>
      </c>
    </row>
    <row r="27" customFormat="false" ht="14.25" hidden="false" customHeight="false" outlineLevel="0" collapsed="false">
      <c r="A27" s="1" t="n">
        <v>1776841202</v>
      </c>
      <c r="B27" s="1" t="s">
        <v>169</v>
      </c>
      <c r="C27" s="1" t="s">
        <v>170</v>
      </c>
      <c r="D27" s="1" t="n">
        <v>4765.67</v>
      </c>
      <c r="E27" s="1" t="s">
        <v>173</v>
      </c>
      <c r="F27" s="1" t="n">
        <v>4772.15</v>
      </c>
      <c r="G27" s="2" t="n">
        <f aca="false">F25</f>
        <v>4797.91</v>
      </c>
      <c r="H27" s="2" t="n">
        <f aca="false">F23</f>
        <v>4833.25</v>
      </c>
      <c r="I27" s="2" t="n">
        <f aca="false">F21</f>
        <v>4827.74</v>
      </c>
      <c r="J27" s="2" t="n">
        <f aca="false">F19</f>
        <v>4805.79</v>
      </c>
      <c r="K27" s="2" t="n">
        <f aca="false">F17</f>
        <v>4814.28</v>
      </c>
      <c r="L27" s="2" t="n">
        <f aca="false">F15</f>
        <v>4889.21</v>
      </c>
      <c r="M27" s="2" t="n">
        <f aca="false">F13</f>
        <v>4805.97</v>
      </c>
      <c r="N27" s="2" t="n">
        <f aca="false">F11</f>
        <v>4801.12</v>
      </c>
      <c r="O27" s="2" t="n">
        <f aca="false">F9</f>
        <v>4798.58</v>
      </c>
      <c r="P27" s="2" t="n">
        <f aca="false">F7</f>
        <v>4823.81</v>
      </c>
      <c r="Q27" s="2" t="n">
        <f aca="false">F5</f>
        <v>4838.38</v>
      </c>
      <c r="R27" s="1" t="n">
        <v>103.54</v>
      </c>
      <c r="S27" s="2" t="n">
        <f aca="false">R25</f>
        <v>25.13</v>
      </c>
      <c r="T27" s="2" t="n">
        <f aca="false">R23</f>
        <v>40.83</v>
      </c>
      <c r="U27" s="2" t="n">
        <f aca="false">R21</f>
        <v>44.23</v>
      </c>
      <c r="V27" s="2" t="n">
        <f aca="false">R19</f>
        <v>25.99</v>
      </c>
      <c r="W27" s="2" t="n">
        <f aca="false">R17</f>
        <v>77.32</v>
      </c>
      <c r="X27" s="2" t="n">
        <f aca="false">R15</f>
        <v>110.38</v>
      </c>
      <c r="Y27" s="2" t="n">
        <f aca="false">R13</f>
        <v>37.9</v>
      </c>
      <c r="Z27" s="2" t="n">
        <f aca="false">R11</f>
        <v>15.02</v>
      </c>
      <c r="AA27" s="2" t="n">
        <f aca="false">R9</f>
        <v>25.91</v>
      </c>
      <c r="AB27" s="2" t="n">
        <f aca="false">R7</f>
        <v>18.6</v>
      </c>
      <c r="AC27" s="2" t="n">
        <f aca="false">R5</f>
        <v>51.21</v>
      </c>
      <c r="AD27" s="1" t="n">
        <v>2.22</v>
      </c>
      <c r="AE27" s="2" t="n">
        <f aca="false">AD25</f>
        <v>0.53</v>
      </c>
      <c r="AF27" s="2" t="n">
        <f aca="false">AD23</f>
        <v>0.85</v>
      </c>
      <c r="AG27" s="2" t="n">
        <f aca="false">AD21</f>
        <v>0.92</v>
      </c>
      <c r="AH27" s="2" t="n">
        <f aca="false">AD19</f>
        <v>0.54</v>
      </c>
      <c r="AI27" s="2" t="n">
        <f aca="false">AD17</f>
        <v>1.63</v>
      </c>
      <c r="AJ27" s="2" t="n">
        <f aca="false">AD15</f>
        <v>2.31</v>
      </c>
      <c r="AK27" s="2" t="n">
        <f aca="false">AD13</f>
        <v>0.79</v>
      </c>
      <c r="AL27" s="2" t="n">
        <f aca="false">AD11</f>
        <v>0.31</v>
      </c>
      <c r="AM27" s="2" t="n">
        <f aca="false">AD9</f>
        <v>0.54</v>
      </c>
      <c r="AN27" s="2" t="n">
        <f aca="false">AD7</f>
        <v>0.39</v>
      </c>
      <c r="AO27" s="2" t="n">
        <f aca="false">AD5</f>
        <v>1.07</v>
      </c>
      <c r="AP27" s="1" t="n">
        <v>1</v>
      </c>
      <c r="AQ27" s="2" t="n">
        <f aca="false">AP25</f>
        <v>0</v>
      </c>
      <c r="AR27" s="2" t="n">
        <f aca="false">AP23</f>
        <v>0</v>
      </c>
      <c r="AS27" s="2" t="n">
        <f aca="false">AP21</f>
        <v>0</v>
      </c>
      <c r="AT27" s="2" t="n">
        <f aca="false">AP19</f>
        <v>0</v>
      </c>
      <c r="AU27" s="2" t="n">
        <f aca="false">AP17</f>
        <v>0</v>
      </c>
      <c r="AV27" s="2" t="n">
        <f aca="false">AP15</f>
        <v>0</v>
      </c>
      <c r="AW27" s="2" t="n">
        <f aca="false">AP13</f>
        <v>0</v>
      </c>
      <c r="AX27" s="2" t="n">
        <f aca="false">AP11</f>
        <v>0</v>
      </c>
      <c r="AY27" s="2" t="n">
        <f aca="false">AP9</f>
        <v>0</v>
      </c>
      <c r="AZ27" s="2" t="n">
        <f aca="false">AP7</f>
        <v>0</v>
      </c>
      <c r="BA27" s="2" t="n">
        <f aca="false">AP5</f>
        <v>0</v>
      </c>
      <c r="BB27" s="1" t="n">
        <v>42</v>
      </c>
      <c r="BC27" s="2" t="n">
        <f aca="false">BB25</f>
        <v>19</v>
      </c>
      <c r="BD27" s="2" t="n">
        <f aca="false">BB23</f>
        <v>26</v>
      </c>
      <c r="BE27" s="2" t="n">
        <f aca="false">BB21</f>
        <v>20</v>
      </c>
      <c r="BF27" s="2" t="n">
        <f aca="false">BB19</f>
        <v>7</v>
      </c>
      <c r="BG27" s="2" t="n">
        <f aca="false">BB17</f>
        <v>8</v>
      </c>
      <c r="BH27" s="2" t="n">
        <f aca="false">BB15</f>
        <v>21</v>
      </c>
      <c r="BI27" s="2" t="n">
        <f aca="false">BB13</f>
        <v>14</v>
      </c>
      <c r="BJ27" s="2" t="n">
        <f aca="false">BB11</f>
        <v>3</v>
      </c>
      <c r="BK27" s="2" t="n">
        <f aca="false">BB9</f>
        <v>21</v>
      </c>
      <c r="BL27" s="2" t="n">
        <f aca="false">BB7</f>
        <v>12</v>
      </c>
      <c r="BM27" s="2" t="n">
        <f aca="false">BB5</f>
        <v>50</v>
      </c>
      <c r="BN27" s="1" t="n">
        <v>1</v>
      </c>
      <c r="BO27" s="2" t="n">
        <f aca="false">BN25</f>
        <v>0</v>
      </c>
      <c r="BP27" s="2" t="n">
        <f aca="false">BN23</f>
        <v>0</v>
      </c>
      <c r="BQ27" s="2" t="n">
        <f aca="false">BN21</f>
        <v>0</v>
      </c>
      <c r="BR27" s="2" t="n">
        <f aca="false">BN19</f>
        <v>0</v>
      </c>
      <c r="BS27" s="2" t="n">
        <f aca="false">BN17</f>
        <v>0</v>
      </c>
      <c r="BT27" s="2" t="n">
        <f aca="false">BN15</f>
        <v>0</v>
      </c>
      <c r="BU27" s="2" t="n">
        <f aca="false">BN13</f>
        <v>0</v>
      </c>
      <c r="BV27" s="2" t="n">
        <f aca="false">BN11</f>
        <v>0</v>
      </c>
      <c r="BW27" s="2" t="n">
        <f aca="false">BN9</f>
        <v>0</v>
      </c>
      <c r="BX27" s="2" t="n">
        <f aca="false">BN7</f>
        <v>0</v>
      </c>
      <c r="BY27" s="2" t="n">
        <f aca="false">BN5</f>
        <v>2</v>
      </c>
      <c r="BZ27" s="1" t="n">
        <v>2.46524</v>
      </c>
      <c r="CA27" s="2" t="n">
        <f aca="false">BZ25</f>
        <v>1.32263</v>
      </c>
      <c r="CB27" s="2" t="n">
        <f aca="false">BZ23</f>
        <v>1.57038</v>
      </c>
      <c r="CC27" s="2" t="n">
        <f aca="false">BZ21</f>
        <v>2.2115</v>
      </c>
      <c r="CD27" s="2" t="n">
        <f aca="false">BZ19</f>
        <v>3.71286</v>
      </c>
      <c r="CE27" s="2" t="n">
        <f aca="false">BZ17</f>
        <v>9.665</v>
      </c>
      <c r="CF27" s="2" t="n">
        <f aca="false">BZ15</f>
        <v>5.25619</v>
      </c>
      <c r="CG27" s="2" t="n">
        <f aca="false">BZ13</f>
        <v>2.70714</v>
      </c>
      <c r="CH27" s="2" t="n">
        <f aca="false">BZ11</f>
        <v>5.00667</v>
      </c>
      <c r="CI27" s="2" t="n">
        <f aca="false">BZ9</f>
        <v>1.23381</v>
      </c>
      <c r="CJ27" s="2" t="n">
        <f aca="false">BZ7</f>
        <v>1.55</v>
      </c>
      <c r="CK27" s="2" t="n">
        <f aca="false">BZ5</f>
        <v>1.0242</v>
      </c>
      <c r="CL27" s="1" t="n">
        <v>0</v>
      </c>
      <c r="CM27" s="2" t="n">
        <f aca="false">CL25</f>
        <v>0</v>
      </c>
      <c r="CN27" s="2" t="n">
        <f aca="false">CL23</f>
        <v>0</v>
      </c>
      <c r="CO27" s="2" t="n">
        <f aca="false">CL21</f>
        <v>0</v>
      </c>
      <c r="CP27" s="2" t="n">
        <f aca="false">CL19</f>
        <v>0</v>
      </c>
      <c r="CQ27" s="2" t="n">
        <f aca="false">CL17</f>
        <v>1</v>
      </c>
      <c r="CR27" s="2" t="n">
        <f aca="false">CL15</f>
        <v>0</v>
      </c>
      <c r="CS27" s="2" t="n">
        <f aca="false">CL13</f>
        <v>0</v>
      </c>
      <c r="CT27" s="2" t="n">
        <f aca="false">CL11</f>
        <v>0</v>
      </c>
      <c r="CU27" s="2" t="n">
        <f aca="false">CL9</f>
        <v>0</v>
      </c>
      <c r="CV27" s="2" t="n">
        <f aca="false">CL7</f>
        <v>0</v>
      </c>
      <c r="CW27" s="2" t="n">
        <f aca="false">CL5</f>
        <v>0</v>
      </c>
      <c r="CX27" s="1" t="n">
        <v>67.9205</v>
      </c>
      <c r="CY27" s="2" t="n">
        <f aca="false">CX25</f>
        <v>52.9082</v>
      </c>
      <c r="CZ27" s="2" t="n">
        <f aca="false">CX23</f>
        <v>57.5116</v>
      </c>
      <c r="DA27" s="2" t="n">
        <f aca="false">CX21</f>
        <v>65.6684</v>
      </c>
      <c r="DB27" s="2" t="n">
        <f aca="false">CX19</f>
        <v>74.926</v>
      </c>
      <c r="DC27" s="2" t="n">
        <f aca="false">CX17</f>
        <v>84.0928</v>
      </c>
      <c r="DD27" s="2" t="n">
        <f aca="false">CX15</f>
        <v>79.2281</v>
      </c>
      <c r="DE27" s="2" t="n">
        <f aca="false">CX13</f>
        <v>69.7261</v>
      </c>
      <c r="DF27" s="2" t="n">
        <f aca="false">CX11</f>
        <v>78.7047</v>
      </c>
      <c r="DG27" s="2" t="n">
        <f aca="false">CX9</f>
        <v>50.9753</v>
      </c>
      <c r="DH27" s="2" t="n">
        <f aca="false">CX7</f>
        <v>57.1715</v>
      </c>
      <c r="DI27" s="2" t="n">
        <f aca="false">CX5</f>
        <v>45.685</v>
      </c>
      <c r="DJ27" s="1" t="s">
        <v>174</v>
      </c>
      <c r="DK27" s="2" t="str">
        <f aca="false">DJ25</f>
        <v>LH</v>
      </c>
      <c r="DL27" s="2" t="str">
        <f aca="false">DJ23</f>
        <v>HH</v>
      </c>
      <c r="DM27" s="2" t="str">
        <f aca="false">DJ21</f>
        <v>HH</v>
      </c>
      <c r="DN27" s="2" t="str">
        <f aca="false">DJ19</f>
        <v>LH</v>
      </c>
      <c r="DO27" s="2" t="str">
        <f aca="false">DJ17</f>
        <v>LH</v>
      </c>
      <c r="DP27" s="2" t="str">
        <f aca="false">DJ15</f>
        <v>HH</v>
      </c>
      <c r="DQ27" s="2" t="str">
        <f aca="false">DJ13</f>
        <v>HH</v>
      </c>
      <c r="DR27" s="2" t="str">
        <f aca="false">DJ11</f>
        <v>HH</v>
      </c>
      <c r="DS27" s="2" t="str">
        <f aca="false">DJ9</f>
        <v>LH</v>
      </c>
      <c r="DT27" s="2" t="str">
        <f aca="false">DJ7</f>
        <v>LH</v>
      </c>
      <c r="DU27" s="2" t="str">
        <f aca="false">DJ5</f>
        <v>HH</v>
      </c>
      <c r="DV27" s="2" t="n">
        <f aca="false">IFERROR((G27-$F27)/$F27*100,"")</f>
        <v>0.539798623262056</v>
      </c>
      <c r="DW27" s="2" t="n">
        <f aca="false">IFERROR((H27-$F27)/$F27*100,"")</f>
        <v>1.28034533700744</v>
      </c>
      <c r="DX27" s="2" t="n">
        <f aca="false">IFERROR((I27-$F27)/$F27*100,"")</f>
        <v>1.16488375260627</v>
      </c>
      <c r="DY27" s="2" t="n">
        <f aca="false">IFERROR((J27-$F27)/$F27*100,"")</f>
        <v>0.704923357396568</v>
      </c>
      <c r="DZ27" s="2" t="n">
        <f aca="false">IFERROR((K27-$F27)/$F27*100,"")</f>
        <v>0.882830589985648</v>
      </c>
      <c r="EA27" s="2" t="n">
        <f aca="false">IFERROR((L27-$F27)/$F27*100,"")</f>
        <v>2.45298240834845</v>
      </c>
      <c r="EB27" s="2" t="n">
        <f aca="false">IFERROR((M27-$F27)/$F27*100,"")</f>
        <v>0.708695242186449</v>
      </c>
      <c r="EC27" s="2" t="n">
        <f aca="false">IFERROR((N27-$F27)/$F27*100,"")</f>
        <v>0.607063902014821</v>
      </c>
      <c r="ED27" s="2" t="n">
        <f aca="false">IFERROR((O27-$F27)/$F27*100,"")</f>
        <v>0.553838416646591</v>
      </c>
      <c r="EE27" s="2" t="n">
        <f aca="false">IFERROR((P27-$F27)/$F27*100,"")</f>
        <v>1.08253093469402</v>
      </c>
      <c r="EF27" s="2" t="n">
        <f aca="false">IFERROR((Q27-$F27)/$F27*100,"")</f>
        <v>1.38784405351886</v>
      </c>
      <c r="EG27" s="2" t="str">
        <f aca="false">IF(DV27="","",IF(AND(ABS(DV27)&lt;=0.25,$E27="Bottom",DK27="LL"),"EQL",IF(AND(ABS(DV27)&lt;=0.25,$E27="Peak",DK27="HH"),"EQH","")))</f>
        <v/>
      </c>
      <c r="EH27" s="2" t="str">
        <f aca="false">IF(DW27="","",IF(AND(ABS(DW27)&lt;=0.25,$E27="Bottom",DL27="LL"),"EQL",IF(AND(ABS(DW27)&lt;=0.25,$E27="Peak",DL27="HH"),"EQH","")))</f>
        <v/>
      </c>
      <c r="EI27" s="2" t="str">
        <f aca="false">IF(DX27="","",IF(AND(ABS(DX27)&lt;=0.25,$E27="Bottom",DM27="LL"),"EQL",IF(AND(ABS(DX27)&lt;=0.25,$E27="Peak",DM27="HH"),"EQH","")))</f>
        <v/>
      </c>
      <c r="EJ27" s="2" t="str">
        <f aca="false">IF(DY27="","",IF(AND(ABS(DY27)&lt;=0.25,$E27="Bottom",DN27="LL"),"EQL",IF(AND(ABS(DY27)&lt;=0.25,$E27="Peak",DN27="HH"),"EQH","")))</f>
        <v/>
      </c>
      <c r="EK27" s="2" t="str">
        <f aca="false">IF(DZ27="","",IF(AND(ABS(DZ27)&lt;=0.25,$E27="Bottom",DO27="LL"),"EQL",IF(AND(ABS(DZ27)&lt;=0.25,$E27="Peak",DO27="HH"),"EQH","")))</f>
        <v/>
      </c>
      <c r="EL27" s="2" t="str">
        <f aca="false">IF(EA27="","",IF(AND(ABS(EA27)&lt;=0.25,$E27="Bottom",DP27="LL"),"EQL",IF(AND(ABS(EA27)&lt;=0.25,$E27="Peak",DP27="HH"),"EQH","")))</f>
        <v/>
      </c>
      <c r="EM27" s="2" t="str">
        <f aca="false">IF(EB27="","",IF(AND(ABS(EB27)&lt;=0.25,$E27="Bottom",DQ27="LL"),"EQL",IF(AND(ABS(EB27)&lt;=0.25,$E27="Peak",DQ27="HH"),"EQH","")))</f>
        <v/>
      </c>
      <c r="EN27" s="2" t="str">
        <f aca="false">IF(EC27="","",IF(AND(ABS(EC27)&lt;=0.25,$E27="Bottom",DR27="LL"),"EQL",IF(AND(ABS(EC27)&lt;=0.25,$E27="Peak",DR27="HH"),"EQH","")))</f>
        <v/>
      </c>
      <c r="EO27" s="2" t="str">
        <f aca="false">IF(ED27="","",IF(AND(ABS(ED27)&lt;=0.25,$E27="Bottom",DS27="LL"),"EQL",IF(AND(ABS(ED27)&lt;=0.25,$E27="Peak",DS27="HH"),"EQH","")))</f>
        <v/>
      </c>
      <c r="EP27" s="2" t="str">
        <f aca="false">IF(EE27="","",IF(AND(ABS(EE27)&lt;=0.25,$E27="Bottom",DT27="LL"),"EQL",IF(AND(ABS(EE27)&lt;=0.25,$E27="Peak",DT27="HH"),"EQH","")))</f>
        <v/>
      </c>
      <c r="EQ27" s="2" t="str">
        <f aca="false">IF(EF27="","",IF(AND(ABS(EF27)&lt;=0.25,$E27="Bottom",DU27="LL"),"EQL",IF(AND(ABS(EF27)&lt;=0.25,$E27="Peak",DU27="HH"),"EQH","")))</f>
        <v/>
      </c>
      <c r="ER27" s="2" t="str">
        <f aca="false">IF(OR(EG27="EQL",EG27="EQH"),G27,"")</f>
        <v/>
      </c>
      <c r="ES27" s="2" t="str">
        <f aca="false">IF(OR(EH27="EQL",EH27="EQH"),H27,"")</f>
        <v/>
      </c>
      <c r="ET27" s="2" t="str">
        <f aca="false">IF(OR(EI27="EQL",EI27="EQH"),I27,"")</f>
        <v/>
      </c>
      <c r="EU27" s="2" t="str">
        <f aca="false">IF(OR(EJ27="EQL",EJ27="EQH"),J27,"")</f>
        <v/>
      </c>
      <c r="EV27" s="2" t="str">
        <f aca="false">IF(OR(EK27="EQL",EK27="EQH"),K27,"")</f>
        <v/>
      </c>
      <c r="EW27" s="2" t="str">
        <f aca="false">IF(OR(EL27="EQL",EL27="EQH"),L27,"")</f>
        <v/>
      </c>
      <c r="EX27" s="2" t="str">
        <f aca="false">IF(OR(EM27="EQL",EM27="EQH"),M27,"")</f>
        <v/>
      </c>
      <c r="EY27" s="2" t="str">
        <f aca="false">IF(OR(EN27="EQL",EN27="EQH"),N27,"")</f>
        <v/>
      </c>
      <c r="EZ27" s="2" t="str">
        <f aca="false">IF(OR(EO27="EQL",EO27="EQH"),O27,"")</f>
        <v/>
      </c>
      <c r="FA27" s="2" t="str">
        <f aca="false">IF(OR(EP27="EQL",EP27="EQH"),P27,"")</f>
        <v/>
      </c>
      <c r="FB27" s="2" t="str">
        <f aca="false">IF(OR(EQ27="EQL",EQ27="EQH"),Q27,"")</f>
        <v/>
      </c>
      <c r="FC27" s="2" t="str">
        <f aca="false">IF(AND(EG27="EQL",OR(AQ27=4,AQ27=5)),"IEQL",IF(AND(EG27="EQH",OR(AQ27=1,AQ27=2)),"IEQH",""))</f>
        <v/>
      </c>
      <c r="FD27" s="2" t="str">
        <f aca="false">IF(AND(EH27="EQL",OR(AR27=4,AR27=5)),"IEQL",IF(AND(EH27="EQH",OR(AR27=1,AR27=2)),"IEQH",""))</f>
        <v/>
      </c>
      <c r="FE27" s="2" t="str">
        <f aca="false">IF(AND(EI27="EQL",OR(AS27=4,AS27=5)),"IEQL",IF(AND(EI27="EQH",OR(AS27=1,AS27=2)),"IEQH",""))</f>
        <v/>
      </c>
      <c r="FF27" s="2" t="str">
        <f aca="false">IF(AND(EJ27="EQL",OR(AT27=4,AT27=5)),"IEQL",IF(AND(EJ27="EQH",OR(AT27=1,AT27=2)),"IEQH",""))</f>
        <v/>
      </c>
      <c r="FG27" s="2" t="str">
        <f aca="false">IF(AND(EK27="EQL",OR(AU27=4,AU27=5)),"IEQL",IF(AND(EK27="EQH",OR(AU27=1,AU27=2)),"IEQH",""))</f>
        <v/>
      </c>
      <c r="FH27" s="2" t="str">
        <f aca="false">IF(AND(EL27="EQL",OR(AV27=4,AV27=5)),"IEQL",IF(AND(EL27="EQH",OR(AV27=1,AV27=2)),"IEQH",""))</f>
        <v/>
      </c>
      <c r="FI27" s="2" t="str">
        <f aca="false">IF(AND(EM27="EQL",OR(AW27=4,AW27=5)),"IEQL",IF(AND(EM27="EQH",OR(AW27=1,AW27=2)),"IEQH",""))</f>
        <v/>
      </c>
      <c r="FJ27" s="2" t="str">
        <f aca="false">IF(AND(EN27="EQL",OR(AX27=4,AX27=5)),"IEQL",IF(AND(EN27="EQH",OR(AX27=1,AX27=2)),"IEQH",""))</f>
        <v/>
      </c>
      <c r="FK27" s="2" t="str">
        <f aca="false">IF(AND(EO27="EQL",OR(AY27=4,AY27=5)),"IEQL",IF(AND(EO27="EQH",OR(AY27=1,AY27=2)),"IEQH",""))</f>
        <v/>
      </c>
      <c r="FL27" s="2" t="str">
        <f aca="false">IF(AND(EP27="EQL",OR(AZ27=4,AZ27=5)),"IEQL",IF(AND(EP27="EQH",OR(AZ27=1,AZ27=2)),"IEQH",""))</f>
        <v/>
      </c>
      <c r="FM27" s="2" t="str">
        <f aca="false">IF(AND(EQ27="EQL",OR(BA27=4,BA27=5)),"IEQL",IF(AND(EQ27="EQH",OR(BA27=1,BA27=2)),"IEQH",""))</f>
        <v/>
      </c>
    </row>
    <row r="28" customFormat="false" ht="14.25" hidden="false" customHeight="false" outlineLevel="0" collapsed="false">
      <c r="A28" s="1" t="n">
        <v>1776875402</v>
      </c>
      <c r="B28" s="1" t="s">
        <v>169</v>
      </c>
      <c r="C28" s="1" t="s">
        <v>170</v>
      </c>
      <c r="D28" s="1" t="n">
        <v>4728.3</v>
      </c>
      <c r="E28" s="1" t="s">
        <v>171</v>
      </c>
      <c r="F28" s="1" t="n">
        <v>4724.03</v>
      </c>
      <c r="G28" s="2" t="n">
        <f aca="false">F26</f>
        <v>4668.61</v>
      </c>
      <c r="H28" s="2" t="n">
        <f aca="false">F24</f>
        <v>4772.78</v>
      </c>
      <c r="I28" s="2" t="n">
        <f aca="false">F22</f>
        <v>4792.42</v>
      </c>
      <c r="J28" s="2" t="n">
        <f aca="false">F20</f>
        <v>4783.51</v>
      </c>
      <c r="K28" s="2" t="n">
        <f aca="false">F18</f>
        <v>4779.8</v>
      </c>
      <c r="L28" s="2" t="n">
        <f aca="false">F16</f>
        <v>4736.96</v>
      </c>
      <c r="M28" s="2" t="n">
        <f aca="false">F14</f>
        <v>4778.83</v>
      </c>
      <c r="N28" s="2" t="n">
        <f aca="false">F12</f>
        <v>4768.07</v>
      </c>
      <c r="O28" s="2" t="n">
        <f aca="false">F10</f>
        <v>4786.1</v>
      </c>
      <c r="P28" s="2" t="n">
        <f aca="false">F8</f>
        <v>4772.67</v>
      </c>
      <c r="Q28" s="2" t="n">
        <f aca="false">F6</f>
        <v>4805.21</v>
      </c>
      <c r="R28" s="1" t="n">
        <v>-48.12</v>
      </c>
      <c r="S28" s="2" t="n">
        <f aca="false">R26</f>
        <v>-129.3</v>
      </c>
      <c r="T28" s="2" t="n">
        <f aca="false">R24</f>
        <v>-60.47</v>
      </c>
      <c r="U28" s="2" t="n">
        <f aca="false">R22</f>
        <v>-35.32</v>
      </c>
      <c r="V28" s="2" t="n">
        <f aca="false">R20</f>
        <v>-22.28</v>
      </c>
      <c r="W28" s="2" t="n">
        <f aca="false">R18</f>
        <v>-34.48</v>
      </c>
      <c r="X28" s="2" t="n">
        <f aca="false">R16</f>
        <v>-152.25</v>
      </c>
      <c r="Y28" s="2" t="n">
        <f aca="false">R14</f>
        <v>-27.14</v>
      </c>
      <c r="Z28" s="2" t="n">
        <f aca="false">R12</f>
        <v>-33.05</v>
      </c>
      <c r="AA28" s="2" t="n">
        <f aca="false">R10</f>
        <v>-12.48</v>
      </c>
      <c r="AB28" s="2" t="n">
        <f aca="false">R8</f>
        <v>-51.14</v>
      </c>
      <c r="AC28" s="2" t="n">
        <f aca="false">R6</f>
        <v>-33.17</v>
      </c>
      <c r="AD28" s="1" t="n">
        <v>-1.01</v>
      </c>
      <c r="AE28" s="2" t="n">
        <f aca="false">AD26</f>
        <v>-2.69</v>
      </c>
      <c r="AF28" s="2" t="n">
        <f aca="false">AD24</f>
        <v>-1.25</v>
      </c>
      <c r="AG28" s="2" t="n">
        <f aca="false">AD22</f>
        <v>-0.73</v>
      </c>
      <c r="AH28" s="2" t="n">
        <f aca="false">AD20</f>
        <v>-0.46</v>
      </c>
      <c r="AI28" s="2" t="n">
        <f aca="false">AD18</f>
        <v>-0.72</v>
      </c>
      <c r="AJ28" s="2" t="n">
        <f aca="false">AD16</f>
        <v>-3.11</v>
      </c>
      <c r="AK28" s="2" t="n">
        <f aca="false">AD14</f>
        <v>-0.56</v>
      </c>
      <c r="AL28" s="2" t="n">
        <f aca="false">AD12</f>
        <v>-0.69</v>
      </c>
      <c r="AM28" s="2" t="n">
        <f aca="false">AD10</f>
        <v>-0.26</v>
      </c>
      <c r="AN28" s="2" t="n">
        <f aca="false">AD8</f>
        <v>-1.06</v>
      </c>
      <c r="AO28" s="2" t="n">
        <f aca="false">AD6</f>
        <v>-0.69</v>
      </c>
      <c r="AP28" s="1" t="n">
        <v>3</v>
      </c>
      <c r="AQ28" s="2" t="n">
        <f aca="false">AP26</f>
        <v>5</v>
      </c>
      <c r="AR28" s="2" t="n">
        <f aca="false">AP24</f>
        <v>3</v>
      </c>
      <c r="AS28" s="2" t="n">
        <f aca="false">AP22</f>
        <v>3</v>
      </c>
      <c r="AT28" s="2" t="n">
        <f aca="false">AP20</f>
        <v>3</v>
      </c>
      <c r="AU28" s="2" t="n">
        <f aca="false">AP18</f>
        <v>3</v>
      </c>
      <c r="AV28" s="2" t="n">
        <f aca="false">AP16</f>
        <v>5</v>
      </c>
      <c r="AW28" s="2" t="n">
        <f aca="false">AP14</f>
        <v>3</v>
      </c>
      <c r="AX28" s="2" t="n">
        <f aca="false">AP12</f>
        <v>3</v>
      </c>
      <c r="AY28" s="2" t="n">
        <f aca="false">AP10</f>
        <v>3</v>
      </c>
      <c r="AZ28" s="2" t="n">
        <f aca="false">AP8</f>
        <v>3</v>
      </c>
      <c r="BA28" s="2" t="n">
        <f aca="false">AP6</f>
        <v>3</v>
      </c>
      <c r="BB28" s="1" t="n">
        <v>38</v>
      </c>
      <c r="BC28" s="2" t="n">
        <f aca="false">BB26</f>
        <v>31</v>
      </c>
      <c r="BD28" s="2" t="n">
        <f aca="false">BB24</f>
        <v>35</v>
      </c>
      <c r="BE28" s="2" t="n">
        <f aca="false">BB22</f>
        <v>1</v>
      </c>
      <c r="BF28" s="2" t="n">
        <f aca="false">BB20</f>
        <v>9</v>
      </c>
      <c r="BG28" s="2" t="n">
        <f aca="false">BB18</f>
        <v>15</v>
      </c>
      <c r="BH28" s="2" t="n">
        <f aca="false">BB16</f>
        <v>39</v>
      </c>
      <c r="BI28" s="2" t="n">
        <f aca="false">BB14</f>
        <v>11</v>
      </c>
      <c r="BJ28" s="2" t="n">
        <f aca="false">BB12</f>
        <v>3</v>
      </c>
      <c r="BK28" s="2" t="n">
        <f aca="false">BB10</f>
        <v>13</v>
      </c>
      <c r="BL28" s="2" t="n">
        <f aca="false">BB8</f>
        <v>4</v>
      </c>
      <c r="BM28" s="2" t="n">
        <f aca="false">BB6</f>
        <v>22</v>
      </c>
      <c r="BN28" s="1" t="n">
        <v>4</v>
      </c>
      <c r="BO28" s="2" t="n">
        <f aca="false">BN26</f>
        <v>3</v>
      </c>
      <c r="BP28" s="2" t="n">
        <f aca="false">BN24</f>
        <v>3</v>
      </c>
      <c r="BQ28" s="2" t="n">
        <f aca="false">BN22</f>
        <v>3</v>
      </c>
      <c r="BR28" s="2" t="n">
        <f aca="false">BN20</f>
        <v>3</v>
      </c>
      <c r="BS28" s="2" t="n">
        <f aca="false">BN18</f>
        <v>3</v>
      </c>
      <c r="BT28" s="2" t="n">
        <f aca="false">BN16</f>
        <v>4</v>
      </c>
      <c r="BU28" s="2" t="n">
        <f aca="false">BN14</f>
        <v>3</v>
      </c>
      <c r="BV28" s="2" t="n">
        <f aca="false">BN12</f>
        <v>3</v>
      </c>
      <c r="BW28" s="2" t="n">
        <f aca="false">BN10</f>
        <v>3</v>
      </c>
      <c r="BX28" s="2" t="n">
        <f aca="false">BN8</f>
        <v>3</v>
      </c>
      <c r="BY28" s="2" t="n">
        <f aca="false">BN6</f>
        <v>3</v>
      </c>
      <c r="BZ28" s="1" t="n">
        <v>-1.26632</v>
      </c>
      <c r="CA28" s="2" t="n">
        <f aca="false">BZ26</f>
        <v>-4.17097</v>
      </c>
      <c r="CB28" s="2" t="n">
        <f aca="false">BZ24</f>
        <v>-1.72771</v>
      </c>
      <c r="CC28" s="2" t="n">
        <f aca="false">BZ22</f>
        <v>-35.32</v>
      </c>
      <c r="CD28" s="2" t="n">
        <f aca="false">BZ20</f>
        <v>-2.47556</v>
      </c>
      <c r="CE28" s="2" t="n">
        <f aca="false">BZ18</f>
        <v>-2.29867</v>
      </c>
      <c r="CF28" s="2" t="n">
        <f aca="false">BZ16</f>
        <v>-3.90385</v>
      </c>
      <c r="CG28" s="2" t="n">
        <f aca="false">BZ14</f>
        <v>-2.46727</v>
      </c>
      <c r="CH28" s="2" t="n">
        <f aca="false">BZ12</f>
        <v>-11.01667</v>
      </c>
      <c r="CI28" s="2" t="n">
        <f aca="false">BZ10</f>
        <v>-0.96</v>
      </c>
      <c r="CJ28" s="2" t="n">
        <f aca="false">BZ8</f>
        <v>-12.785</v>
      </c>
      <c r="CK28" s="2" t="n">
        <f aca="false">BZ6</f>
        <v>-1.50773</v>
      </c>
      <c r="CL28" s="1" t="n">
        <v>3</v>
      </c>
      <c r="CM28" s="2" t="n">
        <f aca="false">CL26</f>
        <v>3</v>
      </c>
      <c r="CN28" s="2" t="n">
        <f aca="false">CL24</f>
        <v>3</v>
      </c>
      <c r="CO28" s="2" t="n">
        <f aca="false">CL22</f>
        <v>5</v>
      </c>
      <c r="CP28" s="2" t="n">
        <f aca="false">CL20</f>
        <v>3</v>
      </c>
      <c r="CQ28" s="2" t="n">
        <f aca="false">CL18</f>
        <v>3</v>
      </c>
      <c r="CR28" s="2" t="n">
        <f aca="false">CL16</f>
        <v>3</v>
      </c>
      <c r="CS28" s="2" t="n">
        <f aca="false">CL14</f>
        <v>3</v>
      </c>
      <c r="CT28" s="2" t="n">
        <f aca="false">CL12</f>
        <v>5</v>
      </c>
      <c r="CU28" s="2" t="n">
        <f aca="false">CL10</f>
        <v>3</v>
      </c>
      <c r="CV28" s="2" t="n">
        <f aca="false">CL8</f>
        <v>5</v>
      </c>
      <c r="CW28" s="2" t="n">
        <f aca="false">CL6</f>
        <v>3</v>
      </c>
      <c r="CX28" s="1" t="n">
        <v>-51.7021</v>
      </c>
      <c r="CY28" s="2" t="n">
        <f aca="false">CX26</f>
        <v>-76.5177</v>
      </c>
      <c r="CZ28" s="2" t="n">
        <f aca="false">CX24</f>
        <v>-59.9378</v>
      </c>
      <c r="DA28" s="2" t="n">
        <f aca="false">CX22</f>
        <v>-88.3782</v>
      </c>
      <c r="DB28" s="2" t="n">
        <f aca="false">CX20</f>
        <v>-68.0038</v>
      </c>
      <c r="DC28" s="2" t="n">
        <f aca="false">CX18</f>
        <v>-66.4893</v>
      </c>
      <c r="DD28" s="2" t="n">
        <f aca="false">CX16</f>
        <v>-75.6322</v>
      </c>
      <c r="DE28" s="2" t="n">
        <f aca="false">CX14</f>
        <v>-67.937</v>
      </c>
      <c r="DF28" s="2" t="n">
        <f aca="false">CX12</f>
        <v>-84.8134</v>
      </c>
      <c r="DG28" s="2" t="n">
        <f aca="false">CX10</f>
        <v>-43.8309</v>
      </c>
      <c r="DH28" s="2" t="n">
        <f aca="false">CX8</f>
        <v>-85.5276</v>
      </c>
      <c r="DI28" s="2" t="n">
        <f aca="false">CX6</f>
        <v>-56.4457</v>
      </c>
      <c r="DJ28" s="1" t="s">
        <v>175</v>
      </c>
      <c r="DK28" s="2" t="str">
        <f aca="false">DJ26</f>
        <v>LL</v>
      </c>
      <c r="DL28" s="2" t="str">
        <f aca="false">DJ24</f>
        <v>LL</v>
      </c>
      <c r="DM28" s="2" t="str">
        <f aca="false">DJ22</f>
        <v>HL</v>
      </c>
      <c r="DN28" s="2" t="str">
        <f aca="false">DJ20</f>
        <v>HL</v>
      </c>
      <c r="DO28" s="2" t="str">
        <f aca="false">DJ18</f>
        <v>HL</v>
      </c>
      <c r="DP28" s="2" t="str">
        <f aca="false">DJ16</f>
        <v>LL</v>
      </c>
      <c r="DQ28" s="2" t="str">
        <f aca="false">DJ14</f>
        <v>HL</v>
      </c>
      <c r="DR28" s="2" t="str">
        <f aca="false">DJ12</f>
        <v>LL</v>
      </c>
      <c r="DS28" s="2" t="str">
        <f aca="false">DJ10</f>
        <v>HL</v>
      </c>
      <c r="DT28" s="2" t="str">
        <f aca="false">DJ8</f>
        <v>LL</v>
      </c>
      <c r="DU28" s="2" t="str">
        <f aca="false">DJ6</f>
        <v>HL</v>
      </c>
      <c r="DV28" s="2" t="n">
        <f aca="false">IFERROR((G28-$F28)/$F28*100,"")</f>
        <v>-1.17315089023567</v>
      </c>
      <c r="DW28" s="2" t="n">
        <f aca="false">IFERROR((H28-$F28)/$F28*100,"")</f>
        <v>1.03195788341734</v>
      </c>
      <c r="DX28" s="2" t="n">
        <f aca="false">IFERROR((I28-$F28)/$F28*100,"")</f>
        <v>1.44770460814178</v>
      </c>
      <c r="DY28" s="2" t="n">
        <f aca="false">IFERROR((J28-$F28)/$F28*100,"")</f>
        <v>1.25909445960336</v>
      </c>
      <c r="DZ28" s="2" t="n">
        <f aca="false">IFERROR((K28-$F28)/$F28*100,"")</f>
        <v>1.18055981862944</v>
      </c>
      <c r="EA28" s="2" t="n">
        <f aca="false">IFERROR((L28-$F28)/$F28*100,"")</f>
        <v>0.273706983232543</v>
      </c>
      <c r="EB28" s="2" t="n">
        <f aca="false">IFERROR((M28-$F28)/$F28*100,"")</f>
        <v>1.16002650279529</v>
      </c>
      <c r="EC28" s="2" t="n">
        <f aca="false">IFERROR((N28-$F28)/$F28*100,"")</f>
        <v>0.932254875604092</v>
      </c>
      <c r="ED28" s="2" t="n">
        <f aca="false">IFERROR((O28-$F28)/$F28*100,"")</f>
        <v>1.31392052971723</v>
      </c>
      <c r="EE28" s="2" t="n">
        <f aca="false">IFERROR((P28-$F28)/$F28*100,"")</f>
        <v>1.02962936306502</v>
      </c>
      <c r="EF28" s="2" t="n">
        <f aca="false">IFERROR((Q28-$F28)/$F28*100,"")</f>
        <v>1.71844802001681</v>
      </c>
      <c r="EG28" s="2" t="str">
        <f aca="false">IF(DV28="","",IF(AND(ABS(DV28)&lt;=0.25,$E28="Bottom",DK28="LL"),"EQL",IF(AND(ABS(DV28)&lt;=0.25,$E28="Peak",DK28="HH"),"EQH","")))</f>
        <v/>
      </c>
      <c r="EH28" s="2" t="str">
        <f aca="false">IF(DW28="","",IF(AND(ABS(DW28)&lt;=0.25,$E28="Bottom",DL28="LL"),"EQL",IF(AND(ABS(DW28)&lt;=0.25,$E28="Peak",DL28="HH"),"EQH","")))</f>
        <v/>
      </c>
      <c r="EI28" s="2" t="str">
        <f aca="false">IF(DX28="","",IF(AND(ABS(DX28)&lt;=0.25,$E28="Bottom",DM28="LL"),"EQL",IF(AND(ABS(DX28)&lt;=0.25,$E28="Peak",DM28="HH"),"EQH","")))</f>
        <v/>
      </c>
      <c r="EJ28" s="2" t="str">
        <f aca="false">IF(DY28="","",IF(AND(ABS(DY28)&lt;=0.25,$E28="Bottom",DN28="LL"),"EQL",IF(AND(ABS(DY28)&lt;=0.25,$E28="Peak",DN28="HH"),"EQH","")))</f>
        <v/>
      </c>
      <c r="EK28" s="2" t="str">
        <f aca="false">IF(DZ28="","",IF(AND(ABS(DZ28)&lt;=0.25,$E28="Bottom",DO28="LL"),"EQL",IF(AND(ABS(DZ28)&lt;=0.25,$E28="Peak",DO28="HH"),"EQH","")))</f>
        <v/>
      </c>
      <c r="EL28" s="2" t="str">
        <f aca="false">IF(EA28="","",IF(AND(ABS(EA28)&lt;=0.25,$E28="Bottom",DP28="LL"),"EQL",IF(AND(ABS(EA28)&lt;=0.25,$E28="Peak",DP28="HH"),"EQH","")))</f>
        <v/>
      </c>
      <c r="EM28" s="2" t="str">
        <f aca="false">IF(EB28="","",IF(AND(ABS(EB28)&lt;=0.25,$E28="Bottom",DQ28="LL"),"EQL",IF(AND(ABS(EB28)&lt;=0.25,$E28="Peak",DQ28="HH"),"EQH","")))</f>
        <v/>
      </c>
      <c r="EN28" s="2" t="str">
        <f aca="false">IF(EC28="","",IF(AND(ABS(EC28)&lt;=0.25,$E28="Bottom",DR28="LL"),"EQL",IF(AND(ABS(EC28)&lt;=0.25,$E28="Peak",DR28="HH"),"EQH","")))</f>
        <v/>
      </c>
      <c r="EO28" s="2" t="str">
        <f aca="false">IF(ED28="","",IF(AND(ABS(ED28)&lt;=0.25,$E28="Bottom",DS28="LL"),"EQL",IF(AND(ABS(ED28)&lt;=0.25,$E28="Peak",DS28="HH"),"EQH","")))</f>
        <v/>
      </c>
      <c r="EP28" s="2" t="str">
        <f aca="false">IF(EE28="","",IF(AND(ABS(EE28)&lt;=0.25,$E28="Bottom",DT28="LL"),"EQL",IF(AND(ABS(EE28)&lt;=0.25,$E28="Peak",DT28="HH"),"EQH","")))</f>
        <v/>
      </c>
      <c r="EQ28" s="2" t="str">
        <f aca="false">IF(EF28="","",IF(AND(ABS(EF28)&lt;=0.25,$E28="Bottom",DU28="LL"),"EQL",IF(AND(ABS(EF28)&lt;=0.25,$E28="Peak",DU28="HH"),"EQH","")))</f>
        <v/>
      </c>
      <c r="ER28" s="2" t="str">
        <f aca="false">IF(OR(EG28="EQL",EG28="EQH"),G28,"")</f>
        <v/>
      </c>
      <c r="ES28" s="2" t="str">
        <f aca="false">IF(OR(EH28="EQL",EH28="EQH"),H28,"")</f>
        <v/>
      </c>
      <c r="ET28" s="2" t="str">
        <f aca="false">IF(OR(EI28="EQL",EI28="EQH"),I28,"")</f>
        <v/>
      </c>
      <c r="EU28" s="2" t="str">
        <f aca="false">IF(OR(EJ28="EQL",EJ28="EQH"),J28,"")</f>
        <v/>
      </c>
      <c r="EV28" s="2" t="str">
        <f aca="false">IF(OR(EK28="EQL",EK28="EQH"),K28,"")</f>
        <v/>
      </c>
      <c r="EW28" s="2" t="str">
        <f aca="false">IF(OR(EL28="EQL",EL28="EQH"),L28,"")</f>
        <v/>
      </c>
      <c r="EX28" s="2" t="str">
        <f aca="false">IF(OR(EM28="EQL",EM28="EQH"),M28,"")</f>
        <v/>
      </c>
      <c r="EY28" s="2" t="str">
        <f aca="false">IF(OR(EN28="EQL",EN28="EQH"),N28,"")</f>
        <v/>
      </c>
      <c r="EZ28" s="2" t="str">
        <f aca="false">IF(OR(EO28="EQL",EO28="EQH"),O28,"")</f>
        <v/>
      </c>
      <c r="FA28" s="2" t="str">
        <f aca="false">IF(OR(EP28="EQL",EP28="EQH"),P28,"")</f>
        <v/>
      </c>
      <c r="FB28" s="2" t="str">
        <f aca="false">IF(OR(EQ28="EQL",EQ28="EQH"),Q28,"")</f>
        <v/>
      </c>
      <c r="FC28" s="2" t="str">
        <f aca="false">IF(AND(EG28="EQL",OR(AQ28=4,AQ28=5)),"IEQL",IF(AND(EG28="EQH",OR(AQ28=1,AQ28=2)),"IEQH",""))</f>
        <v/>
      </c>
      <c r="FD28" s="2" t="str">
        <f aca="false">IF(AND(EH28="EQL",OR(AR28=4,AR28=5)),"IEQL",IF(AND(EH28="EQH",OR(AR28=1,AR28=2)),"IEQH",""))</f>
        <v/>
      </c>
      <c r="FE28" s="2" t="str">
        <f aca="false">IF(AND(EI28="EQL",OR(AS28=4,AS28=5)),"IEQL",IF(AND(EI28="EQH",OR(AS28=1,AS28=2)),"IEQH",""))</f>
        <v/>
      </c>
      <c r="FF28" s="2" t="str">
        <f aca="false">IF(AND(EJ28="EQL",OR(AT28=4,AT28=5)),"IEQL",IF(AND(EJ28="EQH",OR(AT28=1,AT28=2)),"IEQH",""))</f>
        <v/>
      </c>
      <c r="FG28" s="2" t="str">
        <f aca="false">IF(AND(EK28="EQL",OR(AU28=4,AU28=5)),"IEQL",IF(AND(EK28="EQH",OR(AU28=1,AU28=2)),"IEQH",""))</f>
        <v/>
      </c>
      <c r="FH28" s="2" t="str">
        <f aca="false">IF(AND(EL28="EQL",OR(AV28=4,AV28=5)),"IEQL",IF(AND(EL28="EQH",OR(AV28=1,AV28=2)),"IEQH",""))</f>
        <v/>
      </c>
      <c r="FI28" s="2" t="str">
        <f aca="false">IF(AND(EM28="EQL",OR(AW28=4,AW28=5)),"IEQL",IF(AND(EM28="EQH",OR(AW28=1,AW28=2)),"IEQH",""))</f>
        <v/>
      </c>
      <c r="FJ28" s="2" t="str">
        <f aca="false">IF(AND(EN28="EQL",OR(AX28=4,AX28=5)),"IEQL",IF(AND(EN28="EQH",OR(AX28=1,AX28=2)),"IEQH",""))</f>
        <v/>
      </c>
      <c r="FK28" s="2" t="str">
        <f aca="false">IF(AND(EO28="EQL",OR(AY28=4,AY28=5)),"IEQL",IF(AND(EO28="EQH",OR(AY28=1,AY28=2)),"IEQH",""))</f>
        <v/>
      </c>
      <c r="FL28" s="2" t="str">
        <f aca="false">IF(AND(EP28="EQL",OR(AZ28=4,AZ28=5)),"IEQL",IF(AND(EP28="EQH",OR(AZ28=1,AZ28=2)),"IEQH",""))</f>
        <v/>
      </c>
      <c r="FM28" s="2" t="str">
        <f aca="false">IF(AND(EQ28="EQL",OR(BA28=4,BA28=5)),"IEQL",IF(AND(EQ28="EQH",OR(BA28=1,BA28=2)),"IEQH",""))</f>
        <v/>
      </c>
    </row>
    <row r="29" customFormat="false" ht="14.25" hidden="false" customHeight="false" outlineLevel="0" collapsed="false">
      <c r="A29" s="1" t="n">
        <v>1776883502</v>
      </c>
      <c r="B29" s="1" t="s">
        <v>169</v>
      </c>
      <c r="C29" s="1" t="s">
        <v>170</v>
      </c>
      <c r="D29" s="1" t="n">
        <v>4741.69</v>
      </c>
      <c r="E29" s="1" t="s">
        <v>173</v>
      </c>
      <c r="F29" s="1" t="n">
        <v>4749.34</v>
      </c>
      <c r="G29" s="2" t="n">
        <f aca="false">F27</f>
        <v>4772.15</v>
      </c>
      <c r="H29" s="2" t="n">
        <f aca="false">F25</f>
        <v>4797.91</v>
      </c>
      <c r="I29" s="2" t="n">
        <f aca="false">F23</f>
        <v>4833.25</v>
      </c>
      <c r="J29" s="2" t="n">
        <f aca="false">F21</f>
        <v>4827.74</v>
      </c>
      <c r="K29" s="2" t="n">
        <f aca="false">F19</f>
        <v>4805.79</v>
      </c>
      <c r="L29" s="2" t="n">
        <f aca="false">F17</f>
        <v>4814.28</v>
      </c>
      <c r="M29" s="2" t="n">
        <f aca="false">F15</f>
        <v>4889.21</v>
      </c>
      <c r="N29" s="2" t="n">
        <f aca="false">F13</f>
        <v>4805.97</v>
      </c>
      <c r="O29" s="2" t="n">
        <f aca="false">F11</f>
        <v>4801.12</v>
      </c>
      <c r="P29" s="2" t="n">
        <f aca="false">F9</f>
        <v>4798.58</v>
      </c>
      <c r="Q29" s="2" t="n">
        <f aca="false">F7</f>
        <v>4823.81</v>
      </c>
      <c r="R29" s="1" t="n">
        <v>25.31</v>
      </c>
      <c r="S29" s="2" t="n">
        <f aca="false">R27</f>
        <v>103.54</v>
      </c>
      <c r="T29" s="2" t="n">
        <f aca="false">R25</f>
        <v>25.13</v>
      </c>
      <c r="U29" s="2" t="n">
        <f aca="false">R23</f>
        <v>40.83</v>
      </c>
      <c r="V29" s="2" t="n">
        <f aca="false">R21</f>
        <v>44.23</v>
      </c>
      <c r="W29" s="2" t="n">
        <f aca="false">R19</f>
        <v>25.99</v>
      </c>
      <c r="X29" s="2" t="n">
        <f aca="false">R17</f>
        <v>77.32</v>
      </c>
      <c r="Y29" s="2" t="n">
        <f aca="false">R15</f>
        <v>110.38</v>
      </c>
      <c r="Z29" s="2" t="n">
        <f aca="false">R13</f>
        <v>37.9</v>
      </c>
      <c r="AA29" s="2" t="n">
        <f aca="false">R11</f>
        <v>15.02</v>
      </c>
      <c r="AB29" s="2" t="n">
        <f aca="false">R9</f>
        <v>25.91</v>
      </c>
      <c r="AC29" s="2" t="n">
        <f aca="false">R7</f>
        <v>18.6</v>
      </c>
      <c r="AD29" s="1" t="n">
        <v>0.54</v>
      </c>
      <c r="AE29" s="2" t="n">
        <f aca="false">AD27</f>
        <v>2.22</v>
      </c>
      <c r="AF29" s="2" t="n">
        <f aca="false">AD25</f>
        <v>0.53</v>
      </c>
      <c r="AG29" s="2" t="n">
        <f aca="false">AD23</f>
        <v>0.85</v>
      </c>
      <c r="AH29" s="2" t="n">
        <f aca="false">AD21</f>
        <v>0.92</v>
      </c>
      <c r="AI29" s="2" t="n">
        <f aca="false">AD19</f>
        <v>0.54</v>
      </c>
      <c r="AJ29" s="2" t="n">
        <f aca="false">AD17</f>
        <v>1.63</v>
      </c>
      <c r="AK29" s="2" t="n">
        <f aca="false">AD15</f>
        <v>2.31</v>
      </c>
      <c r="AL29" s="2" t="n">
        <f aca="false">AD13</f>
        <v>0.79</v>
      </c>
      <c r="AM29" s="2" t="n">
        <f aca="false">AD11</f>
        <v>0.31</v>
      </c>
      <c r="AN29" s="2" t="n">
        <f aca="false">AD9</f>
        <v>0.54</v>
      </c>
      <c r="AO29" s="2" t="n">
        <f aca="false">AD7</f>
        <v>0.39</v>
      </c>
      <c r="AP29" s="1" t="n">
        <v>0</v>
      </c>
      <c r="AQ29" s="2" t="n">
        <f aca="false">AP27</f>
        <v>1</v>
      </c>
      <c r="AR29" s="2" t="n">
        <f aca="false">AP25</f>
        <v>0</v>
      </c>
      <c r="AS29" s="2" t="n">
        <f aca="false">AP23</f>
        <v>0</v>
      </c>
      <c r="AT29" s="2" t="n">
        <f aca="false">AP21</f>
        <v>0</v>
      </c>
      <c r="AU29" s="2" t="n">
        <f aca="false">AP19</f>
        <v>0</v>
      </c>
      <c r="AV29" s="2" t="n">
        <f aca="false">AP17</f>
        <v>0</v>
      </c>
      <c r="AW29" s="2" t="n">
        <f aca="false">AP15</f>
        <v>0</v>
      </c>
      <c r="AX29" s="2" t="n">
        <f aca="false">AP13</f>
        <v>0</v>
      </c>
      <c r="AY29" s="2" t="n">
        <f aca="false">AP11</f>
        <v>0</v>
      </c>
      <c r="AZ29" s="2" t="n">
        <f aca="false">AP9</f>
        <v>0</v>
      </c>
      <c r="BA29" s="2" t="n">
        <f aca="false">AP7</f>
        <v>0</v>
      </c>
      <c r="BB29" s="1" t="n">
        <v>9</v>
      </c>
      <c r="BC29" s="2" t="n">
        <f aca="false">BB27</f>
        <v>42</v>
      </c>
      <c r="BD29" s="2" t="n">
        <f aca="false">BB25</f>
        <v>19</v>
      </c>
      <c r="BE29" s="2" t="n">
        <f aca="false">BB23</f>
        <v>26</v>
      </c>
      <c r="BF29" s="2" t="n">
        <f aca="false">BB21</f>
        <v>20</v>
      </c>
      <c r="BG29" s="2" t="n">
        <f aca="false">BB19</f>
        <v>7</v>
      </c>
      <c r="BH29" s="2" t="n">
        <f aca="false">BB17</f>
        <v>8</v>
      </c>
      <c r="BI29" s="2" t="n">
        <f aca="false">BB15</f>
        <v>21</v>
      </c>
      <c r="BJ29" s="2" t="n">
        <f aca="false">BB13</f>
        <v>14</v>
      </c>
      <c r="BK29" s="2" t="n">
        <f aca="false">BB11</f>
        <v>3</v>
      </c>
      <c r="BL29" s="2" t="n">
        <f aca="false">BB9</f>
        <v>21</v>
      </c>
      <c r="BM29" s="2" t="n">
        <f aca="false">BB7</f>
        <v>12</v>
      </c>
      <c r="BN29" s="1" t="n">
        <v>0</v>
      </c>
      <c r="BO29" s="2" t="n">
        <f aca="false">BN27</f>
        <v>1</v>
      </c>
      <c r="BP29" s="2" t="n">
        <f aca="false">BN25</f>
        <v>0</v>
      </c>
      <c r="BQ29" s="2" t="n">
        <f aca="false">BN23</f>
        <v>0</v>
      </c>
      <c r="BR29" s="2" t="n">
        <f aca="false">BN21</f>
        <v>0</v>
      </c>
      <c r="BS29" s="2" t="n">
        <f aca="false">BN19</f>
        <v>0</v>
      </c>
      <c r="BT29" s="2" t="n">
        <f aca="false">BN17</f>
        <v>0</v>
      </c>
      <c r="BU29" s="2" t="n">
        <f aca="false">BN15</f>
        <v>0</v>
      </c>
      <c r="BV29" s="2" t="n">
        <f aca="false">BN13</f>
        <v>0</v>
      </c>
      <c r="BW29" s="2" t="n">
        <f aca="false">BN11</f>
        <v>0</v>
      </c>
      <c r="BX29" s="2" t="n">
        <f aca="false">BN9</f>
        <v>0</v>
      </c>
      <c r="BY29" s="2" t="n">
        <f aca="false">BN7</f>
        <v>0</v>
      </c>
      <c r="BZ29" s="1" t="n">
        <v>2.81222</v>
      </c>
      <c r="CA29" s="2" t="n">
        <f aca="false">BZ27</f>
        <v>2.46524</v>
      </c>
      <c r="CB29" s="2" t="n">
        <f aca="false">BZ25</f>
        <v>1.32263</v>
      </c>
      <c r="CC29" s="2" t="n">
        <f aca="false">BZ23</f>
        <v>1.57038</v>
      </c>
      <c r="CD29" s="2" t="n">
        <f aca="false">BZ21</f>
        <v>2.2115</v>
      </c>
      <c r="CE29" s="2" t="n">
        <f aca="false">BZ19</f>
        <v>3.71286</v>
      </c>
      <c r="CF29" s="2" t="n">
        <f aca="false">BZ17</f>
        <v>9.665</v>
      </c>
      <c r="CG29" s="2" t="n">
        <f aca="false">BZ15</f>
        <v>5.25619</v>
      </c>
      <c r="CH29" s="2" t="n">
        <f aca="false">BZ13</f>
        <v>2.70714</v>
      </c>
      <c r="CI29" s="2" t="n">
        <f aca="false">BZ11</f>
        <v>5.00667</v>
      </c>
      <c r="CJ29" s="2" t="n">
        <f aca="false">BZ9</f>
        <v>1.23381</v>
      </c>
      <c r="CK29" s="2" t="n">
        <f aca="false">BZ7</f>
        <v>1.55</v>
      </c>
      <c r="CL29" s="1" t="n">
        <v>0</v>
      </c>
      <c r="CM29" s="2" t="n">
        <f aca="false">CL27</f>
        <v>0</v>
      </c>
      <c r="CN29" s="2" t="n">
        <f aca="false">CL25</f>
        <v>0</v>
      </c>
      <c r="CO29" s="2" t="n">
        <f aca="false">CL23</f>
        <v>0</v>
      </c>
      <c r="CP29" s="2" t="n">
        <f aca="false">CL21</f>
        <v>0</v>
      </c>
      <c r="CQ29" s="2" t="n">
        <f aca="false">CL19</f>
        <v>0</v>
      </c>
      <c r="CR29" s="2" t="n">
        <f aca="false">CL17</f>
        <v>1</v>
      </c>
      <c r="CS29" s="2" t="n">
        <f aca="false">CL15</f>
        <v>0</v>
      </c>
      <c r="CT29" s="2" t="n">
        <f aca="false">CL13</f>
        <v>0</v>
      </c>
      <c r="CU29" s="2" t="n">
        <f aca="false">CL11</f>
        <v>0</v>
      </c>
      <c r="CV29" s="2" t="n">
        <f aca="false">CL9</f>
        <v>0</v>
      </c>
      <c r="CW29" s="2" t="n">
        <f aca="false">CL7</f>
        <v>0</v>
      </c>
      <c r="CX29" s="1" t="n">
        <v>70.4251</v>
      </c>
      <c r="CY29" s="2" t="n">
        <f aca="false">CX27</f>
        <v>67.9205</v>
      </c>
      <c r="CZ29" s="2" t="n">
        <f aca="false">CX25</f>
        <v>52.9082</v>
      </c>
      <c r="DA29" s="2" t="n">
        <f aca="false">CX23</f>
        <v>57.5116</v>
      </c>
      <c r="DB29" s="2" t="n">
        <f aca="false">CX21</f>
        <v>65.6684</v>
      </c>
      <c r="DC29" s="2" t="n">
        <f aca="false">CX19</f>
        <v>74.926</v>
      </c>
      <c r="DD29" s="2" t="n">
        <f aca="false">CX17</f>
        <v>84.0928</v>
      </c>
      <c r="DE29" s="2" t="n">
        <f aca="false">CX15</f>
        <v>79.2281</v>
      </c>
      <c r="DF29" s="2" t="n">
        <f aca="false">CX13</f>
        <v>69.7261</v>
      </c>
      <c r="DG29" s="2" t="n">
        <f aca="false">CX11</f>
        <v>78.7047</v>
      </c>
      <c r="DH29" s="2" t="n">
        <f aca="false">CX9</f>
        <v>50.9753</v>
      </c>
      <c r="DI29" s="2" t="n">
        <f aca="false">CX7</f>
        <v>57.1715</v>
      </c>
      <c r="DJ29" s="1" t="s">
        <v>174</v>
      </c>
      <c r="DK29" s="2" t="str">
        <f aca="false">DJ27</f>
        <v>LH</v>
      </c>
      <c r="DL29" s="2" t="str">
        <f aca="false">DJ25</f>
        <v>LH</v>
      </c>
      <c r="DM29" s="2" t="str">
        <f aca="false">DJ23</f>
        <v>HH</v>
      </c>
      <c r="DN29" s="2" t="str">
        <f aca="false">DJ21</f>
        <v>HH</v>
      </c>
      <c r="DO29" s="2" t="str">
        <f aca="false">DJ19</f>
        <v>LH</v>
      </c>
      <c r="DP29" s="2" t="str">
        <f aca="false">DJ17</f>
        <v>LH</v>
      </c>
      <c r="DQ29" s="2" t="str">
        <f aca="false">DJ15</f>
        <v>HH</v>
      </c>
      <c r="DR29" s="2" t="str">
        <f aca="false">DJ13</f>
        <v>HH</v>
      </c>
      <c r="DS29" s="2" t="str">
        <f aca="false">DJ11</f>
        <v>HH</v>
      </c>
      <c r="DT29" s="2" t="str">
        <f aca="false">DJ9</f>
        <v>LH</v>
      </c>
      <c r="DU29" s="2" t="str">
        <f aca="false">DJ7</f>
        <v>LH</v>
      </c>
      <c r="DV29" s="2" t="n">
        <f aca="false">IFERROR((G29-$F29)/$F29*100,"")</f>
        <v>0.480277259577109</v>
      </c>
      <c r="DW29" s="2" t="n">
        <f aca="false">IFERROR((H29-$F29)/$F29*100,"")</f>
        <v>1.0226684128742</v>
      </c>
      <c r="DX29" s="2" t="n">
        <f aca="false">IFERROR((I29-$F29)/$F29*100,"")</f>
        <v>1.76677180408225</v>
      </c>
      <c r="DY29" s="2" t="n">
        <f aca="false">IFERROR((J29-$F29)/$F29*100,"")</f>
        <v>1.65075568394766</v>
      </c>
      <c r="DZ29" s="2" t="n">
        <f aca="false">IFERROR((K29-$F29)/$F29*100,"")</f>
        <v>1.1885862035567</v>
      </c>
      <c r="EA29" s="2" t="n">
        <f aca="false">IFERROR((L29-$F29)/$F29*100,"")</f>
        <v>1.36734788412705</v>
      </c>
      <c r="EB29" s="2" t="n">
        <f aca="false">IFERROR((M29-$F29)/$F29*100,"")</f>
        <v>2.94504078461428</v>
      </c>
      <c r="EC29" s="2" t="n">
        <f aca="false">IFERROR((N29-$F29)/$F29*100,"")</f>
        <v>1.19237620385149</v>
      </c>
      <c r="ED29" s="2" t="n">
        <f aca="false">IFERROR((O29-$F29)/$F29*100,"")</f>
        <v>1.09025675146441</v>
      </c>
      <c r="EE29" s="2" t="n">
        <f aca="false">IFERROR((P29-$F29)/$F29*100,"")</f>
        <v>1.03677563619366</v>
      </c>
      <c r="EF29" s="2" t="n">
        <f aca="false">IFERROR((Q29-$F29)/$F29*100,"")</f>
        <v>1.56800734417835</v>
      </c>
      <c r="EG29" s="2" t="str">
        <f aca="false">IF(DV29="","",IF(AND(ABS(DV29)&lt;=0.25,$E29="Bottom",DK29="LL"),"EQL",IF(AND(ABS(DV29)&lt;=0.25,$E29="Peak",DK29="HH"),"EQH","")))</f>
        <v/>
      </c>
      <c r="EH29" s="2" t="str">
        <f aca="false">IF(DW29="","",IF(AND(ABS(DW29)&lt;=0.25,$E29="Bottom",DL29="LL"),"EQL",IF(AND(ABS(DW29)&lt;=0.25,$E29="Peak",DL29="HH"),"EQH","")))</f>
        <v/>
      </c>
      <c r="EI29" s="2" t="str">
        <f aca="false">IF(DX29="","",IF(AND(ABS(DX29)&lt;=0.25,$E29="Bottom",DM29="LL"),"EQL",IF(AND(ABS(DX29)&lt;=0.25,$E29="Peak",DM29="HH"),"EQH","")))</f>
        <v/>
      </c>
      <c r="EJ29" s="2" t="str">
        <f aca="false">IF(DY29="","",IF(AND(ABS(DY29)&lt;=0.25,$E29="Bottom",DN29="LL"),"EQL",IF(AND(ABS(DY29)&lt;=0.25,$E29="Peak",DN29="HH"),"EQH","")))</f>
        <v/>
      </c>
      <c r="EK29" s="2" t="str">
        <f aca="false">IF(DZ29="","",IF(AND(ABS(DZ29)&lt;=0.25,$E29="Bottom",DO29="LL"),"EQL",IF(AND(ABS(DZ29)&lt;=0.25,$E29="Peak",DO29="HH"),"EQH","")))</f>
        <v/>
      </c>
      <c r="EL29" s="2" t="str">
        <f aca="false">IF(EA29="","",IF(AND(ABS(EA29)&lt;=0.25,$E29="Bottom",DP29="LL"),"EQL",IF(AND(ABS(EA29)&lt;=0.25,$E29="Peak",DP29="HH"),"EQH","")))</f>
        <v/>
      </c>
      <c r="EM29" s="2" t="str">
        <f aca="false">IF(EB29="","",IF(AND(ABS(EB29)&lt;=0.25,$E29="Bottom",DQ29="LL"),"EQL",IF(AND(ABS(EB29)&lt;=0.25,$E29="Peak",DQ29="HH"),"EQH","")))</f>
        <v/>
      </c>
      <c r="EN29" s="2" t="str">
        <f aca="false">IF(EC29="","",IF(AND(ABS(EC29)&lt;=0.25,$E29="Bottom",DR29="LL"),"EQL",IF(AND(ABS(EC29)&lt;=0.25,$E29="Peak",DR29="HH"),"EQH","")))</f>
        <v/>
      </c>
      <c r="EO29" s="2" t="str">
        <f aca="false">IF(ED29="","",IF(AND(ABS(ED29)&lt;=0.25,$E29="Bottom",DS29="LL"),"EQL",IF(AND(ABS(ED29)&lt;=0.25,$E29="Peak",DS29="HH"),"EQH","")))</f>
        <v/>
      </c>
      <c r="EP29" s="2" t="str">
        <f aca="false">IF(EE29="","",IF(AND(ABS(EE29)&lt;=0.25,$E29="Bottom",DT29="LL"),"EQL",IF(AND(ABS(EE29)&lt;=0.25,$E29="Peak",DT29="HH"),"EQH","")))</f>
        <v/>
      </c>
      <c r="EQ29" s="2" t="str">
        <f aca="false">IF(EF29="","",IF(AND(ABS(EF29)&lt;=0.25,$E29="Bottom",DU29="LL"),"EQL",IF(AND(ABS(EF29)&lt;=0.25,$E29="Peak",DU29="HH"),"EQH","")))</f>
        <v/>
      </c>
      <c r="ER29" s="2" t="str">
        <f aca="false">IF(OR(EG29="EQL",EG29="EQH"),G29,"")</f>
        <v/>
      </c>
      <c r="ES29" s="2" t="str">
        <f aca="false">IF(OR(EH29="EQL",EH29="EQH"),H29,"")</f>
        <v/>
      </c>
      <c r="ET29" s="2" t="str">
        <f aca="false">IF(OR(EI29="EQL",EI29="EQH"),I29,"")</f>
        <v/>
      </c>
      <c r="EU29" s="2" t="str">
        <f aca="false">IF(OR(EJ29="EQL",EJ29="EQH"),J29,"")</f>
        <v/>
      </c>
      <c r="EV29" s="2" t="str">
        <f aca="false">IF(OR(EK29="EQL",EK29="EQH"),K29,"")</f>
        <v/>
      </c>
      <c r="EW29" s="2" t="str">
        <f aca="false">IF(OR(EL29="EQL",EL29="EQH"),L29,"")</f>
        <v/>
      </c>
      <c r="EX29" s="2" t="str">
        <f aca="false">IF(OR(EM29="EQL",EM29="EQH"),M29,"")</f>
        <v/>
      </c>
      <c r="EY29" s="2" t="str">
        <f aca="false">IF(OR(EN29="EQL",EN29="EQH"),N29,"")</f>
        <v/>
      </c>
      <c r="EZ29" s="2" t="str">
        <f aca="false">IF(OR(EO29="EQL",EO29="EQH"),O29,"")</f>
        <v/>
      </c>
      <c r="FA29" s="2" t="str">
        <f aca="false">IF(OR(EP29="EQL",EP29="EQH"),P29,"")</f>
        <v/>
      </c>
      <c r="FB29" s="2" t="str">
        <f aca="false">IF(OR(EQ29="EQL",EQ29="EQH"),Q29,"")</f>
        <v/>
      </c>
      <c r="FC29" s="2" t="str">
        <f aca="false">IF(AND(EG29="EQL",OR(AQ29=4,AQ29=5)),"IEQL",IF(AND(EG29="EQH",OR(AQ29=1,AQ29=2)),"IEQH",""))</f>
        <v/>
      </c>
      <c r="FD29" s="2" t="str">
        <f aca="false">IF(AND(EH29="EQL",OR(AR29=4,AR29=5)),"IEQL",IF(AND(EH29="EQH",OR(AR29=1,AR29=2)),"IEQH",""))</f>
        <v/>
      </c>
      <c r="FE29" s="2" t="str">
        <f aca="false">IF(AND(EI29="EQL",OR(AS29=4,AS29=5)),"IEQL",IF(AND(EI29="EQH",OR(AS29=1,AS29=2)),"IEQH",""))</f>
        <v/>
      </c>
      <c r="FF29" s="2" t="str">
        <f aca="false">IF(AND(EJ29="EQL",OR(AT29=4,AT29=5)),"IEQL",IF(AND(EJ29="EQH",OR(AT29=1,AT29=2)),"IEQH",""))</f>
        <v/>
      </c>
      <c r="FG29" s="2" t="str">
        <f aca="false">IF(AND(EK29="EQL",OR(AU29=4,AU29=5)),"IEQL",IF(AND(EK29="EQH",OR(AU29=1,AU29=2)),"IEQH",""))</f>
        <v/>
      </c>
      <c r="FH29" s="2" t="str">
        <f aca="false">IF(AND(EL29="EQL",OR(AV29=4,AV29=5)),"IEQL",IF(AND(EL29="EQH",OR(AV29=1,AV29=2)),"IEQH",""))</f>
        <v/>
      </c>
      <c r="FI29" s="2" t="str">
        <f aca="false">IF(AND(EM29="EQL",OR(AW29=4,AW29=5)),"IEQL",IF(AND(EM29="EQH",OR(AW29=1,AW29=2)),"IEQH",""))</f>
        <v/>
      </c>
      <c r="FJ29" s="2" t="str">
        <f aca="false">IF(AND(EN29="EQL",OR(AX29=4,AX29=5)),"IEQL",IF(AND(EN29="EQH",OR(AX29=1,AX29=2)),"IEQH",""))</f>
        <v/>
      </c>
      <c r="FK29" s="2" t="str">
        <f aca="false">IF(AND(EO29="EQL",OR(AY29=4,AY29=5)),"IEQL",IF(AND(EO29="EQH",OR(AY29=1,AY29=2)),"IEQH",""))</f>
        <v/>
      </c>
      <c r="FL29" s="2" t="str">
        <f aca="false">IF(AND(EP29="EQL",OR(AZ29=4,AZ29=5)),"IEQL",IF(AND(EP29="EQH",OR(AZ29=1,AZ29=2)),"IEQH",""))</f>
        <v/>
      </c>
      <c r="FM29" s="2" t="str">
        <f aca="false">IF(AND(EQ29="EQL",OR(BA29=4,BA29=5)),"IEQL",IF(AND(EQ29="EQH",OR(BA29=1,BA29=2)),"IEQH",""))</f>
        <v/>
      </c>
    </row>
    <row r="30" customFormat="false" ht="14.25" hidden="false" customHeight="false" outlineLevel="0" collapsed="false">
      <c r="A30" s="1" t="n">
        <v>1776903302</v>
      </c>
      <c r="B30" s="1" t="s">
        <v>169</v>
      </c>
      <c r="C30" s="1" t="s">
        <v>170</v>
      </c>
      <c r="D30" s="1" t="n">
        <v>4741.59</v>
      </c>
      <c r="E30" s="1" t="s">
        <v>171</v>
      </c>
      <c r="F30" s="1" t="n">
        <v>4694.34</v>
      </c>
      <c r="G30" s="2" t="n">
        <f aca="false">F28</f>
        <v>4724.03</v>
      </c>
      <c r="H30" s="2" t="n">
        <f aca="false">F26</f>
        <v>4668.61</v>
      </c>
      <c r="I30" s="2" t="n">
        <f aca="false">F24</f>
        <v>4772.78</v>
      </c>
      <c r="J30" s="2" t="n">
        <f aca="false">F22</f>
        <v>4792.42</v>
      </c>
      <c r="K30" s="2" t="n">
        <f aca="false">F20</f>
        <v>4783.51</v>
      </c>
      <c r="L30" s="2" t="n">
        <f aca="false">F18</f>
        <v>4779.8</v>
      </c>
      <c r="M30" s="2" t="n">
        <f aca="false">F16</f>
        <v>4736.96</v>
      </c>
      <c r="N30" s="2" t="n">
        <f aca="false">F14</f>
        <v>4778.83</v>
      </c>
      <c r="O30" s="2" t="n">
        <f aca="false">F12</f>
        <v>4768.07</v>
      </c>
      <c r="P30" s="2" t="n">
        <f aca="false">F10</f>
        <v>4786.1</v>
      </c>
      <c r="Q30" s="2" t="n">
        <f aca="false">F8</f>
        <v>4772.67</v>
      </c>
      <c r="R30" s="1" t="n">
        <v>-55</v>
      </c>
      <c r="S30" s="2" t="n">
        <f aca="false">R28</f>
        <v>-48.12</v>
      </c>
      <c r="T30" s="2" t="n">
        <f aca="false">R26</f>
        <v>-129.3</v>
      </c>
      <c r="U30" s="2" t="n">
        <f aca="false">R24</f>
        <v>-60.47</v>
      </c>
      <c r="V30" s="2" t="n">
        <f aca="false">R22</f>
        <v>-35.32</v>
      </c>
      <c r="W30" s="2" t="n">
        <f aca="false">R20</f>
        <v>-22.28</v>
      </c>
      <c r="X30" s="2" t="n">
        <f aca="false">R18</f>
        <v>-34.48</v>
      </c>
      <c r="Y30" s="2" t="n">
        <f aca="false">R16</f>
        <v>-152.25</v>
      </c>
      <c r="Z30" s="2" t="n">
        <f aca="false">R14</f>
        <v>-27.14</v>
      </c>
      <c r="AA30" s="2" t="n">
        <f aca="false">R12</f>
        <v>-33.05</v>
      </c>
      <c r="AB30" s="2" t="n">
        <f aca="false">R10</f>
        <v>-12.48</v>
      </c>
      <c r="AC30" s="2" t="n">
        <f aca="false">R8</f>
        <v>-51.14</v>
      </c>
      <c r="AD30" s="1" t="n">
        <v>-1.16</v>
      </c>
      <c r="AE30" s="2" t="n">
        <f aca="false">AD28</f>
        <v>-1.01</v>
      </c>
      <c r="AF30" s="2" t="n">
        <f aca="false">AD26</f>
        <v>-2.69</v>
      </c>
      <c r="AG30" s="2" t="n">
        <f aca="false">AD24</f>
        <v>-1.25</v>
      </c>
      <c r="AH30" s="2" t="n">
        <f aca="false">AD22</f>
        <v>-0.73</v>
      </c>
      <c r="AI30" s="2" t="n">
        <f aca="false">AD20</f>
        <v>-0.46</v>
      </c>
      <c r="AJ30" s="2" t="n">
        <f aca="false">AD18</f>
        <v>-0.72</v>
      </c>
      <c r="AK30" s="2" t="n">
        <f aca="false">AD16</f>
        <v>-3.11</v>
      </c>
      <c r="AL30" s="2" t="n">
        <f aca="false">AD14</f>
        <v>-0.56</v>
      </c>
      <c r="AM30" s="2" t="n">
        <f aca="false">AD12</f>
        <v>-0.69</v>
      </c>
      <c r="AN30" s="2" t="n">
        <f aca="false">AD10</f>
        <v>-0.26</v>
      </c>
      <c r="AO30" s="2" t="n">
        <f aca="false">AD8</f>
        <v>-1.06</v>
      </c>
      <c r="AP30" s="1" t="n">
        <v>3</v>
      </c>
      <c r="AQ30" s="2" t="n">
        <f aca="false">AP28</f>
        <v>3</v>
      </c>
      <c r="AR30" s="2" t="n">
        <f aca="false">AP26</f>
        <v>5</v>
      </c>
      <c r="AS30" s="2" t="n">
        <f aca="false">AP24</f>
        <v>3</v>
      </c>
      <c r="AT30" s="2" t="n">
        <f aca="false">AP22</f>
        <v>3</v>
      </c>
      <c r="AU30" s="2" t="n">
        <f aca="false">AP20</f>
        <v>3</v>
      </c>
      <c r="AV30" s="2" t="n">
        <f aca="false">AP18</f>
        <v>3</v>
      </c>
      <c r="AW30" s="2" t="n">
        <f aca="false">AP16</f>
        <v>5</v>
      </c>
      <c r="AX30" s="2" t="n">
        <f aca="false">AP14</f>
        <v>3</v>
      </c>
      <c r="AY30" s="2" t="n">
        <f aca="false">AP12</f>
        <v>3</v>
      </c>
      <c r="AZ30" s="2" t="n">
        <f aca="false">AP10</f>
        <v>3</v>
      </c>
      <c r="BA30" s="2" t="n">
        <f aca="false">AP8</f>
        <v>3</v>
      </c>
      <c r="BB30" s="1" t="n">
        <v>18</v>
      </c>
      <c r="BC30" s="2" t="n">
        <f aca="false">BB28</f>
        <v>38</v>
      </c>
      <c r="BD30" s="2" t="n">
        <f aca="false">BB26</f>
        <v>31</v>
      </c>
      <c r="BE30" s="2" t="n">
        <f aca="false">BB24</f>
        <v>35</v>
      </c>
      <c r="BF30" s="2" t="n">
        <f aca="false">BB22</f>
        <v>1</v>
      </c>
      <c r="BG30" s="2" t="n">
        <f aca="false">BB20</f>
        <v>9</v>
      </c>
      <c r="BH30" s="2" t="n">
        <f aca="false">BB18</f>
        <v>15</v>
      </c>
      <c r="BI30" s="2" t="n">
        <f aca="false">BB16</f>
        <v>39</v>
      </c>
      <c r="BJ30" s="2" t="n">
        <f aca="false">BB14</f>
        <v>11</v>
      </c>
      <c r="BK30" s="2" t="n">
        <f aca="false">BB12</f>
        <v>3</v>
      </c>
      <c r="BL30" s="2" t="n">
        <f aca="false">BB10</f>
        <v>13</v>
      </c>
      <c r="BM30" s="2" t="n">
        <f aca="false">BB8</f>
        <v>4</v>
      </c>
      <c r="BN30" s="1" t="n">
        <v>3</v>
      </c>
      <c r="BO30" s="2" t="n">
        <f aca="false">BN28</f>
        <v>4</v>
      </c>
      <c r="BP30" s="2" t="n">
        <f aca="false">BN26</f>
        <v>3</v>
      </c>
      <c r="BQ30" s="2" t="n">
        <f aca="false">BN24</f>
        <v>3</v>
      </c>
      <c r="BR30" s="2" t="n">
        <f aca="false">BN22</f>
        <v>3</v>
      </c>
      <c r="BS30" s="2" t="n">
        <f aca="false">BN20</f>
        <v>3</v>
      </c>
      <c r="BT30" s="2" t="n">
        <f aca="false">BN18</f>
        <v>3</v>
      </c>
      <c r="BU30" s="2" t="n">
        <f aca="false">BN16</f>
        <v>4</v>
      </c>
      <c r="BV30" s="2" t="n">
        <f aca="false">BN14</f>
        <v>3</v>
      </c>
      <c r="BW30" s="2" t="n">
        <f aca="false">BN12</f>
        <v>3</v>
      </c>
      <c r="BX30" s="2" t="n">
        <f aca="false">BN10</f>
        <v>3</v>
      </c>
      <c r="BY30" s="2" t="n">
        <f aca="false">BN8</f>
        <v>3</v>
      </c>
      <c r="BZ30" s="1" t="n">
        <v>-3.05556</v>
      </c>
      <c r="CA30" s="2" t="n">
        <f aca="false">BZ28</f>
        <v>-1.26632</v>
      </c>
      <c r="CB30" s="2" t="n">
        <f aca="false">BZ26</f>
        <v>-4.17097</v>
      </c>
      <c r="CC30" s="2" t="n">
        <f aca="false">BZ24</f>
        <v>-1.72771</v>
      </c>
      <c r="CD30" s="2" t="n">
        <f aca="false">BZ22</f>
        <v>-35.32</v>
      </c>
      <c r="CE30" s="2" t="n">
        <f aca="false">BZ20</f>
        <v>-2.47556</v>
      </c>
      <c r="CF30" s="2" t="n">
        <f aca="false">BZ18</f>
        <v>-2.29867</v>
      </c>
      <c r="CG30" s="2" t="n">
        <f aca="false">BZ16</f>
        <v>-3.90385</v>
      </c>
      <c r="CH30" s="2" t="n">
        <f aca="false">BZ14</f>
        <v>-2.46727</v>
      </c>
      <c r="CI30" s="2" t="n">
        <f aca="false">BZ12</f>
        <v>-11.01667</v>
      </c>
      <c r="CJ30" s="2" t="n">
        <f aca="false">BZ10</f>
        <v>-0.96</v>
      </c>
      <c r="CK30" s="2" t="n">
        <f aca="false">BZ8</f>
        <v>-12.785</v>
      </c>
      <c r="CL30" s="1" t="n">
        <v>3</v>
      </c>
      <c r="CM30" s="2" t="n">
        <f aca="false">CL28</f>
        <v>3</v>
      </c>
      <c r="CN30" s="2" t="n">
        <f aca="false">CL26</f>
        <v>3</v>
      </c>
      <c r="CO30" s="2" t="n">
        <f aca="false">CL24</f>
        <v>3</v>
      </c>
      <c r="CP30" s="2" t="n">
        <f aca="false">CL22</f>
        <v>5</v>
      </c>
      <c r="CQ30" s="2" t="n">
        <f aca="false">CL20</f>
        <v>3</v>
      </c>
      <c r="CR30" s="2" t="n">
        <f aca="false">CL18</f>
        <v>3</v>
      </c>
      <c r="CS30" s="2" t="n">
        <f aca="false">CL16</f>
        <v>3</v>
      </c>
      <c r="CT30" s="2" t="n">
        <f aca="false">CL14</f>
        <v>3</v>
      </c>
      <c r="CU30" s="2" t="n">
        <f aca="false">CL12</f>
        <v>5</v>
      </c>
      <c r="CV30" s="2" t="n">
        <f aca="false">CL10</f>
        <v>3</v>
      </c>
      <c r="CW30" s="2" t="n">
        <f aca="false">CL8</f>
        <v>5</v>
      </c>
      <c r="CX30" s="1" t="n">
        <v>-71.8781</v>
      </c>
      <c r="CY30" s="2" t="n">
        <f aca="false">CX28</f>
        <v>-51.7021</v>
      </c>
      <c r="CZ30" s="2" t="n">
        <f aca="false">CX26</f>
        <v>-76.5177</v>
      </c>
      <c r="DA30" s="2" t="n">
        <f aca="false">CX24</f>
        <v>-59.9378</v>
      </c>
      <c r="DB30" s="2" t="n">
        <f aca="false">CX22</f>
        <v>-88.3782</v>
      </c>
      <c r="DC30" s="2" t="n">
        <f aca="false">CX20</f>
        <v>-68.0038</v>
      </c>
      <c r="DD30" s="2" t="n">
        <f aca="false">CX18</f>
        <v>-66.4893</v>
      </c>
      <c r="DE30" s="2" t="n">
        <f aca="false">CX16</f>
        <v>-75.6322</v>
      </c>
      <c r="DF30" s="2" t="n">
        <f aca="false">CX14</f>
        <v>-67.937</v>
      </c>
      <c r="DG30" s="2" t="n">
        <f aca="false">CX12</f>
        <v>-84.8134</v>
      </c>
      <c r="DH30" s="2" t="n">
        <f aca="false">CX10</f>
        <v>-43.8309</v>
      </c>
      <c r="DI30" s="2" t="n">
        <f aca="false">CX8</f>
        <v>-85.5276</v>
      </c>
      <c r="DJ30" s="1" t="s">
        <v>172</v>
      </c>
      <c r="DK30" s="2" t="str">
        <f aca="false">DJ28</f>
        <v>HL</v>
      </c>
      <c r="DL30" s="2" t="str">
        <f aca="false">DJ26</f>
        <v>LL</v>
      </c>
      <c r="DM30" s="2" t="str">
        <f aca="false">DJ24</f>
        <v>LL</v>
      </c>
      <c r="DN30" s="2" t="str">
        <f aca="false">DJ22</f>
        <v>HL</v>
      </c>
      <c r="DO30" s="2" t="str">
        <f aca="false">DJ20</f>
        <v>HL</v>
      </c>
      <c r="DP30" s="2" t="str">
        <f aca="false">DJ18</f>
        <v>HL</v>
      </c>
      <c r="DQ30" s="2" t="str">
        <f aca="false">DJ16</f>
        <v>LL</v>
      </c>
      <c r="DR30" s="2" t="str">
        <f aca="false">DJ14</f>
        <v>HL</v>
      </c>
      <c r="DS30" s="2" t="str">
        <f aca="false">DJ12</f>
        <v>LL</v>
      </c>
      <c r="DT30" s="2" t="str">
        <f aca="false">DJ10</f>
        <v>HL</v>
      </c>
      <c r="DU30" s="2" t="str">
        <f aca="false">DJ8</f>
        <v>LL</v>
      </c>
      <c r="DV30" s="2" t="n">
        <f aca="false">IFERROR((G30-$F30)/$F30*100,"")</f>
        <v>0.632463775525411</v>
      </c>
      <c r="DW30" s="2" t="n">
        <f aca="false">IFERROR((H30-$F30)/$F30*100,"")</f>
        <v>-0.548106869123252</v>
      </c>
      <c r="DX30" s="2" t="n">
        <f aca="false">IFERROR((I30-$F30)/$F30*100,"")</f>
        <v>1.67094841873404</v>
      </c>
      <c r="DY30" s="2" t="n">
        <f aca="false">IFERROR((J30-$F30)/$F30*100,"")</f>
        <v>2.0893245908903</v>
      </c>
      <c r="DZ30" s="2" t="n">
        <f aca="false">IFERROR((K30-$F30)/$F30*100,"")</f>
        <v>1.89952155148541</v>
      </c>
      <c r="EA30" s="2" t="n">
        <f aca="false">IFERROR((L30-$F30)/$F30*100,"")</f>
        <v>1.82049020735609</v>
      </c>
      <c r="EB30" s="2" t="n">
        <f aca="false">IFERROR((M30-$F30)/$F30*100,"")</f>
        <v>0.907901856277984</v>
      </c>
      <c r="EC30" s="2" t="n">
        <f aca="false">IFERROR((N30-$F30)/$F30*100,"")</f>
        <v>1.79982702573737</v>
      </c>
      <c r="ED30" s="2" t="n">
        <f aca="false">IFERROR((O30-$F30)/$F30*100,"")</f>
        <v>1.57061482551327</v>
      </c>
      <c r="EE30" s="2" t="n">
        <f aca="false">IFERROR((P30-$F30)/$F30*100,"")</f>
        <v>1.95469437663229</v>
      </c>
      <c r="EF30" s="2" t="n">
        <f aca="false">IFERROR((Q30-$F30)/$F30*100,"")</f>
        <v>1.66860517133399</v>
      </c>
      <c r="EG30" s="2" t="str">
        <f aca="false">IF(DV30="","",IF(AND(ABS(DV30)&lt;=0.25,$E30="Bottom",DK30="LL"),"EQL",IF(AND(ABS(DV30)&lt;=0.25,$E30="Peak",DK30="HH"),"EQH","")))</f>
        <v/>
      </c>
      <c r="EH30" s="2" t="str">
        <f aca="false">IF(DW30="","",IF(AND(ABS(DW30)&lt;=0.25,$E30="Bottom",DL30="LL"),"EQL",IF(AND(ABS(DW30)&lt;=0.25,$E30="Peak",DL30="HH"),"EQH","")))</f>
        <v/>
      </c>
      <c r="EI30" s="2" t="str">
        <f aca="false">IF(DX30="","",IF(AND(ABS(DX30)&lt;=0.25,$E30="Bottom",DM30="LL"),"EQL",IF(AND(ABS(DX30)&lt;=0.25,$E30="Peak",DM30="HH"),"EQH","")))</f>
        <v/>
      </c>
      <c r="EJ30" s="2" t="str">
        <f aca="false">IF(DY30="","",IF(AND(ABS(DY30)&lt;=0.25,$E30="Bottom",DN30="LL"),"EQL",IF(AND(ABS(DY30)&lt;=0.25,$E30="Peak",DN30="HH"),"EQH","")))</f>
        <v/>
      </c>
      <c r="EK30" s="2" t="str">
        <f aca="false">IF(DZ30="","",IF(AND(ABS(DZ30)&lt;=0.25,$E30="Bottom",DO30="LL"),"EQL",IF(AND(ABS(DZ30)&lt;=0.25,$E30="Peak",DO30="HH"),"EQH","")))</f>
        <v/>
      </c>
      <c r="EL30" s="2" t="str">
        <f aca="false">IF(EA30="","",IF(AND(ABS(EA30)&lt;=0.25,$E30="Bottom",DP30="LL"),"EQL",IF(AND(ABS(EA30)&lt;=0.25,$E30="Peak",DP30="HH"),"EQH","")))</f>
        <v/>
      </c>
      <c r="EM30" s="2" t="str">
        <f aca="false">IF(EB30="","",IF(AND(ABS(EB30)&lt;=0.25,$E30="Bottom",DQ30="LL"),"EQL",IF(AND(ABS(EB30)&lt;=0.25,$E30="Peak",DQ30="HH"),"EQH","")))</f>
        <v/>
      </c>
      <c r="EN30" s="2" t="str">
        <f aca="false">IF(EC30="","",IF(AND(ABS(EC30)&lt;=0.25,$E30="Bottom",DR30="LL"),"EQL",IF(AND(ABS(EC30)&lt;=0.25,$E30="Peak",DR30="HH"),"EQH","")))</f>
        <v/>
      </c>
      <c r="EO30" s="2" t="str">
        <f aca="false">IF(ED30="","",IF(AND(ABS(ED30)&lt;=0.25,$E30="Bottom",DS30="LL"),"EQL",IF(AND(ABS(ED30)&lt;=0.25,$E30="Peak",DS30="HH"),"EQH","")))</f>
        <v/>
      </c>
      <c r="EP30" s="2" t="str">
        <f aca="false">IF(EE30="","",IF(AND(ABS(EE30)&lt;=0.25,$E30="Bottom",DT30="LL"),"EQL",IF(AND(ABS(EE30)&lt;=0.25,$E30="Peak",DT30="HH"),"EQH","")))</f>
        <v/>
      </c>
      <c r="EQ30" s="2" t="str">
        <f aca="false">IF(EF30="","",IF(AND(ABS(EF30)&lt;=0.25,$E30="Bottom",DU30="LL"),"EQL",IF(AND(ABS(EF30)&lt;=0.25,$E30="Peak",DU30="HH"),"EQH","")))</f>
        <v/>
      </c>
      <c r="ER30" s="2" t="str">
        <f aca="false">IF(OR(EG30="EQL",EG30="EQH"),G30,"")</f>
        <v/>
      </c>
      <c r="ES30" s="2" t="str">
        <f aca="false">IF(OR(EH30="EQL",EH30="EQH"),H30,"")</f>
        <v/>
      </c>
      <c r="ET30" s="2" t="str">
        <f aca="false">IF(OR(EI30="EQL",EI30="EQH"),I30,"")</f>
        <v/>
      </c>
      <c r="EU30" s="2" t="str">
        <f aca="false">IF(OR(EJ30="EQL",EJ30="EQH"),J30,"")</f>
        <v/>
      </c>
      <c r="EV30" s="2" t="str">
        <f aca="false">IF(OR(EK30="EQL",EK30="EQH"),K30,"")</f>
        <v/>
      </c>
      <c r="EW30" s="2" t="str">
        <f aca="false">IF(OR(EL30="EQL",EL30="EQH"),L30,"")</f>
        <v/>
      </c>
      <c r="EX30" s="2" t="str">
        <f aca="false">IF(OR(EM30="EQL",EM30="EQH"),M30,"")</f>
        <v/>
      </c>
      <c r="EY30" s="2" t="str">
        <f aca="false">IF(OR(EN30="EQL",EN30="EQH"),N30,"")</f>
        <v/>
      </c>
      <c r="EZ30" s="2" t="str">
        <f aca="false">IF(OR(EO30="EQL",EO30="EQH"),O30,"")</f>
        <v/>
      </c>
      <c r="FA30" s="2" t="str">
        <f aca="false">IF(OR(EP30="EQL",EP30="EQH"),P30,"")</f>
        <v/>
      </c>
      <c r="FB30" s="2" t="str">
        <f aca="false">IF(OR(EQ30="EQL",EQ30="EQH"),Q30,"")</f>
        <v/>
      </c>
      <c r="FC30" s="2" t="str">
        <f aca="false">IF(AND(EG30="EQL",OR(AQ30=4,AQ30=5)),"IEQL",IF(AND(EG30="EQH",OR(AQ30=1,AQ30=2)),"IEQH",""))</f>
        <v/>
      </c>
      <c r="FD30" s="2" t="str">
        <f aca="false">IF(AND(EH30="EQL",OR(AR30=4,AR30=5)),"IEQL",IF(AND(EH30="EQH",OR(AR30=1,AR30=2)),"IEQH",""))</f>
        <v/>
      </c>
      <c r="FE30" s="2" t="str">
        <f aca="false">IF(AND(EI30="EQL",OR(AS30=4,AS30=5)),"IEQL",IF(AND(EI30="EQH",OR(AS30=1,AS30=2)),"IEQH",""))</f>
        <v/>
      </c>
      <c r="FF30" s="2" t="str">
        <f aca="false">IF(AND(EJ30="EQL",OR(AT30=4,AT30=5)),"IEQL",IF(AND(EJ30="EQH",OR(AT30=1,AT30=2)),"IEQH",""))</f>
        <v/>
      </c>
      <c r="FG30" s="2" t="str">
        <f aca="false">IF(AND(EK30="EQL",OR(AU30=4,AU30=5)),"IEQL",IF(AND(EK30="EQH",OR(AU30=1,AU30=2)),"IEQH",""))</f>
        <v/>
      </c>
      <c r="FH30" s="2" t="str">
        <f aca="false">IF(AND(EL30="EQL",OR(AV30=4,AV30=5)),"IEQL",IF(AND(EL30="EQH",OR(AV30=1,AV30=2)),"IEQH",""))</f>
        <v/>
      </c>
      <c r="FI30" s="2" t="str">
        <f aca="false">IF(AND(EM30="EQL",OR(AW30=4,AW30=5)),"IEQL",IF(AND(EM30="EQH",OR(AW30=1,AW30=2)),"IEQH",""))</f>
        <v/>
      </c>
      <c r="FJ30" s="2" t="str">
        <f aca="false">IF(AND(EN30="EQL",OR(AX30=4,AX30=5)),"IEQL",IF(AND(EN30="EQH",OR(AX30=1,AX30=2)),"IEQH",""))</f>
        <v/>
      </c>
      <c r="FK30" s="2" t="str">
        <f aca="false">IF(AND(EO30="EQL",OR(AY30=4,AY30=5)),"IEQL",IF(AND(EO30="EQH",OR(AY30=1,AY30=2)),"IEQH",""))</f>
        <v/>
      </c>
      <c r="FL30" s="2" t="str">
        <f aca="false">IF(AND(EP30="EQL",OR(AZ30=4,AZ30=5)),"IEQL",IF(AND(EP30="EQH",OR(AZ30=1,AZ30=2)),"IEQH",""))</f>
        <v/>
      </c>
      <c r="FM30" s="2" t="str">
        <f aca="false">IF(AND(EQ30="EQL",OR(BA30=4,BA30=5)),"IEQL",IF(AND(EQ30="EQH",OR(BA30=1,BA30=2)),"IEQH",""))</f>
        <v/>
      </c>
    </row>
    <row r="31" customFormat="false" ht="14.25" hidden="false" customHeight="false" outlineLevel="0" collapsed="false">
      <c r="A31" s="1" t="n">
        <v>1776905102</v>
      </c>
      <c r="B31" s="1" t="s">
        <v>169</v>
      </c>
      <c r="C31" s="1" t="s">
        <v>170</v>
      </c>
      <c r="D31" s="1" t="n">
        <v>4748.05</v>
      </c>
      <c r="E31" s="1" t="s">
        <v>173</v>
      </c>
      <c r="F31" s="1" t="n">
        <v>4753.33</v>
      </c>
      <c r="G31" s="2" t="n">
        <f aca="false">F29</f>
        <v>4749.34</v>
      </c>
      <c r="H31" s="2" t="n">
        <f aca="false">F27</f>
        <v>4772.15</v>
      </c>
      <c r="I31" s="2" t="n">
        <f aca="false">F25</f>
        <v>4797.91</v>
      </c>
      <c r="J31" s="2" t="n">
        <f aca="false">F23</f>
        <v>4833.25</v>
      </c>
      <c r="K31" s="2" t="n">
        <f aca="false">F21</f>
        <v>4827.74</v>
      </c>
      <c r="L31" s="2" t="n">
        <f aca="false">F19</f>
        <v>4805.79</v>
      </c>
      <c r="M31" s="2" t="n">
        <f aca="false">F17</f>
        <v>4814.28</v>
      </c>
      <c r="N31" s="2" t="n">
        <f aca="false">F15</f>
        <v>4889.21</v>
      </c>
      <c r="O31" s="2" t="n">
        <f aca="false">F13</f>
        <v>4805.97</v>
      </c>
      <c r="P31" s="2" t="n">
        <f aca="false">F11</f>
        <v>4801.12</v>
      </c>
      <c r="Q31" s="2" t="n">
        <f aca="false">F9</f>
        <v>4798.58</v>
      </c>
      <c r="R31" s="1" t="n">
        <v>58.99</v>
      </c>
      <c r="S31" s="2" t="n">
        <f aca="false">R29</f>
        <v>25.31</v>
      </c>
      <c r="T31" s="2" t="n">
        <f aca="false">R27</f>
        <v>103.54</v>
      </c>
      <c r="U31" s="2" t="n">
        <f aca="false">R25</f>
        <v>25.13</v>
      </c>
      <c r="V31" s="2" t="n">
        <f aca="false">R23</f>
        <v>40.83</v>
      </c>
      <c r="W31" s="2" t="n">
        <f aca="false">R21</f>
        <v>44.23</v>
      </c>
      <c r="X31" s="2" t="n">
        <f aca="false">R19</f>
        <v>25.99</v>
      </c>
      <c r="Y31" s="2" t="n">
        <f aca="false">R17</f>
        <v>77.32</v>
      </c>
      <c r="Z31" s="2" t="n">
        <f aca="false">R15</f>
        <v>110.38</v>
      </c>
      <c r="AA31" s="2" t="n">
        <f aca="false">R13</f>
        <v>37.9</v>
      </c>
      <c r="AB31" s="2" t="n">
        <f aca="false">R11</f>
        <v>15.02</v>
      </c>
      <c r="AC31" s="2" t="n">
        <f aca="false">R9</f>
        <v>25.91</v>
      </c>
      <c r="AD31" s="1" t="n">
        <v>1.26</v>
      </c>
      <c r="AE31" s="2" t="n">
        <f aca="false">AD29</f>
        <v>0.54</v>
      </c>
      <c r="AF31" s="2" t="n">
        <f aca="false">AD27</f>
        <v>2.22</v>
      </c>
      <c r="AG31" s="2" t="n">
        <f aca="false">AD25</f>
        <v>0.53</v>
      </c>
      <c r="AH31" s="2" t="n">
        <f aca="false">AD23</f>
        <v>0.85</v>
      </c>
      <c r="AI31" s="2" t="n">
        <f aca="false">AD21</f>
        <v>0.92</v>
      </c>
      <c r="AJ31" s="2" t="n">
        <f aca="false">AD19</f>
        <v>0.54</v>
      </c>
      <c r="AK31" s="2" t="n">
        <f aca="false">AD17</f>
        <v>1.63</v>
      </c>
      <c r="AL31" s="2" t="n">
        <f aca="false">AD15</f>
        <v>2.31</v>
      </c>
      <c r="AM31" s="2" t="n">
        <f aca="false">AD13</f>
        <v>0.79</v>
      </c>
      <c r="AN31" s="2" t="n">
        <f aca="false">AD11</f>
        <v>0.31</v>
      </c>
      <c r="AO31" s="2" t="n">
        <f aca="false">AD9</f>
        <v>0.54</v>
      </c>
      <c r="AP31" s="1" t="n">
        <v>0</v>
      </c>
      <c r="AQ31" s="2" t="n">
        <f aca="false">AP29</f>
        <v>0</v>
      </c>
      <c r="AR31" s="2" t="n">
        <f aca="false">AP27</f>
        <v>1</v>
      </c>
      <c r="AS31" s="2" t="n">
        <f aca="false">AP25</f>
        <v>0</v>
      </c>
      <c r="AT31" s="2" t="n">
        <f aca="false">AP23</f>
        <v>0</v>
      </c>
      <c r="AU31" s="2" t="n">
        <f aca="false">AP21</f>
        <v>0</v>
      </c>
      <c r="AV31" s="2" t="n">
        <f aca="false">AP19</f>
        <v>0</v>
      </c>
      <c r="AW31" s="2" t="n">
        <f aca="false">AP17</f>
        <v>0</v>
      </c>
      <c r="AX31" s="2" t="n">
        <f aca="false">AP15</f>
        <v>0</v>
      </c>
      <c r="AY31" s="2" t="n">
        <f aca="false">AP13</f>
        <v>0</v>
      </c>
      <c r="AZ31" s="2" t="n">
        <f aca="false">AP11</f>
        <v>0</v>
      </c>
      <c r="BA31" s="2" t="n">
        <f aca="false">AP9</f>
        <v>0</v>
      </c>
      <c r="BB31" s="1" t="n">
        <v>2</v>
      </c>
      <c r="BC31" s="2" t="n">
        <f aca="false">BB29</f>
        <v>9</v>
      </c>
      <c r="BD31" s="2" t="n">
        <f aca="false">BB27</f>
        <v>42</v>
      </c>
      <c r="BE31" s="2" t="n">
        <f aca="false">BB25</f>
        <v>19</v>
      </c>
      <c r="BF31" s="2" t="n">
        <f aca="false">BB23</f>
        <v>26</v>
      </c>
      <c r="BG31" s="2" t="n">
        <f aca="false">BB21</f>
        <v>20</v>
      </c>
      <c r="BH31" s="2" t="n">
        <f aca="false">BB19</f>
        <v>7</v>
      </c>
      <c r="BI31" s="2" t="n">
        <f aca="false">BB17</f>
        <v>8</v>
      </c>
      <c r="BJ31" s="2" t="n">
        <f aca="false">BB15</f>
        <v>21</v>
      </c>
      <c r="BK31" s="2" t="n">
        <f aca="false">BB13</f>
        <v>14</v>
      </c>
      <c r="BL31" s="2" t="n">
        <f aca="false">BB11</f>
        <v>3</v>
      </c>
      <c r="BM31" s="2" t="n">
        <f aca="false">BB9</f>
        <v>21</v>
      </c>
      <c r="BN31" s="1" t="n">
        <v>0</v>
      </c>
      <c r="BO31" s="2" t="n">
        <f aca="false">BN29</f>
        <v>0</v>
      </c>
      <c r="BP31" s="2" t="n">
        <f aca="false">BN27</f>
        <v>1</v>
      </c>
      <c r="BQ31" s="2" t="n">
        <f aca="false">BN25</f>
        <v>0</v>
      </c>
      <c r="BR31" s="2" t="n">
        <f aca="false">BN23</f>
        <v>0</v>
      </c>
      <c r="BS31" s="2" t="n">
        <f aca="false">BN21</f>
        <v>0</v>
      </c>
      <c r="BT31" s="2" t="n">
        <f aca="false">BN19</f>
        <v>0</v>
      </c>
      <c r="BU31" s="2" t="n">
        <f aca="false">BN17</f>
        <v>0</v>
      </c>
      <c r="BV31" s="2" t="n">
        <f aca="false">BN15</f>
        <v>0</v>
      </c>
      <c r="BW31" s="2" t="n">
        <f aca="false">BN13</f>
        <v>0</v>
      </c>
      <c r="BX31" s="2" t="n">
        <f aca="false">BN11</f>
        <v>0</v>
      </c>
      <c r="BY31" s="2" t="n">
        <f aca="false">BN9</f>
        <v>0</v>
      </c>
      <c r="BZ31" s="1" t="n">
        <v>29.495</v>
      </c>
      <c r="CA31" s="2" t="n">
        <f aca="false">BZ29</f>
        <v>2.81222</v>
      </c>
      <c r="CB31" s="2" t="n">
        <f aca="false">BZ27</f>
        <v>2.46524</v>
      </c>
      <c r="CC31" s="2" t="n">
        <f aca="false">BZ25</f>
        <v>1.32263</v>
      </c>
      <c r="CD31" s="2" t="n">
        <f aca="false">BZ23</f>
        <v>1.57038</v>
      </c>
      <c r="CE31" s="2" t="n">
        <f aca="false">BZ21</f>
        <v>2.2115</v>
      </c>
      <c r="CF31" s="2" t="n">
        <f aca="false">BZ19</f>
        <v>3.71286</v>
      </c>
      <c r="CG31" s="2" t="n">
        <f aca="false">BZ17</f>
        <v>9.665</v>
      </c>
      <c r="CH31" s="2" t="n">
        <f aca="false">BZ15</f>
        <v>5.25619</v>
      </c>
      <c r="CI31" s="2" t="n">
        <f aca="false">BZ13</f>
        <v>2.70714</v>
      </c>
      <c r="CJ31" s="2" t="n">
        <f aca="false">BZ11</f>
        <v>5.00667</v>
      </c>
      <c r="CK31" s="2" t="n">
        <f aca="false">BZ9</f>
        <v>1.23381</v>
      </c>
      <c r="CL31" s="1" t="n">
        <v>2</v>
      </c>
      <c r="CM31" s="2" t="n">
        <f aca="false">CL29</f>
        <v>0</v>
      </c>
      <c r="CN31" s="2" t="n">
        <f aca="false">CL27</f>
        <v>0</v>
      </c>
      <c r="CO31" s="2" t="n">
        <f aca="false">CL25</f>
        <v>0</v>
      </c>
      <c r="CP31" s="2" t="n">
        <f aca="false">CL23</f>
        <v>0</v>
      </c>
      <c r="CQ31" s="2" t="n">
        <f aca="false">CL21</f>
        <v>0</v>
      </c>
      <c r="CR31" s="2" t="n">
        <f aca="false">CL19</f>
        <v>0</v>
      </c>
      <c r="CS31" s="2" t="n">
        <f aca="false">CL17</f>
        <v>1</v>
      </c>
      <c r="CT31" s="2" t="n">
        <f aca="false">CL15</f>
        <v>0</v>
      </c>
      <c r="CU31" s="2" t="n">
        <f aca="false">CL13</f>
        <v>0</v>
      </c>
      <c r="CV31" s="2" t="n">
        <f aca="false">CL11</f>
        <v>0</v>
      </c>
      <c r="CW31" s="2" t="n">
        <f aca="false">CL9</f>
        <v>0</v>
      </c>
      <c r="CX31" s="1" t="n">
        <v>88.0582</v>
      </c>
      <c r="CY31" s="2" t="n">
        <f aca="false">CX29</f>
        <v>70.4251</v>
      </c>
      <c r="CZ31" s="2" t="n">
        <f aca="false">CX27</f>
        <v>67.9205</v>
      </c>
      <c r="DA31" s="2" t="n">
        <f aca="false">CX25</f>
        <v>52.9082</v>
      </c>
      <c r="DB31" s="2" t="n">
        <f aca="false">CX23</f>
        <v>57.5116</v>
      </c>
      <c r="DC31" s="2" t="n">
        <f aca="false">CX21</f>
        <v>65.6684</v>
      </c>
      <c r="DD31" s="2" t="n">
        <f aca="false">CX19</f>
        <v>74.926</v>
      </c>
      <c r="DE31" s="2" t="n">
        <f aca="false">CX17</f>
        <v>84.0928</v>
      </c>
      <c r="DF31" s="2" t="n">
        <f aca="false">CX15</f>
        <v>79.2281</v>
      </c>
      <c r="DG31" s="2" t="n">
        <f aca="false">CX13</f>
        <v>69.7261</v>
      </c>
      <c r="DH31" s="2" t="n">
        <f aca="false">CX11</f>
        <v>78.7047</v>
      </c>
      <c r="DI31" s="2" t="n">
        <f aca="false">CX9</f>
        <v>50.9753</v>
      </c>
      <c r="DJ31" s="1" t="s">
        <v>176</v>
      </c>
      <c r="DK31" s="2" t="str">
        <f aca="false">DJ29</f>
        <v>LH</v>
      </c>
      <c r="DL31" s="2" t="str">
        <f aca="false">DJ27</f>
        <v>LH</v>
      </c>
      <c r="DM31" s="2" t="str">
        <f aca="false">DJ25</f>
        <v>LH</v>
      </c>
      <c r="DN31" s="2" t="str">
        <f aca="false">DJ23</f>
        <v>HH</v>
      </c>
      <c r="DO31" s="2" t="str">
        <f aca="false">DJ21</f>
        <v>HH</v>
      </c>
      <c r="DP31" s="2" t="str">
        <f aca="false">DJ19</f>
        <v>LH</v>
      </c>
      <c r="DQ31" s="2" t="str">
        <f aca="false">DJ17</f>
        <v>LH</v>
      </c>
      <c r="DR31" s="2" t="str">
        <f aca="false">DJ15</f>
        <v>HH</v>
      </c>
      <c r="DS31" s="2" t="str">
        <f aca="false">DJ13</f>
        <v>HH</v>
      </c>
      <c r="DT31" s="2" t="str">
        <f aca="false">DJ11</f>
        <v>HH</v>
      </c>
      <c r="DU31" s="2" t="str">
        <f aca="false">DJ9</f>
        <v>LH</v>
      </c>
      <c r="DV31" s="2" t="n">
        <f aca="false">IFERROR((G31-$F31)/$F31*100,"")</f>
        <v>-0.0839411528339034</v>
      </c>
      <c r="DW31" s="2" t="n">
        <f aca="false">IFERROR((H31-$F31)/$F31*100,"")</f>
        <v>0.395932956474718</v>
      </c>
      <c r="DX31" s="2" t="n">
        <f aca="false">IFERROR((I31-$F31)/$F31*100,"")</f>
        <v>0.937868820384865</v>
      </c>
      <c r="DY31" s="2" t="n">
        <f aca="false">IFERROR((J31-$F31)/$F31*100,"")</f>
        <v>1.68134760262805</v>
      </c>
      <c r="DZ31" s="2" t="n">
        <f aca="false">IFERROR((K31-$F31)/$F31*100,"")</f>
        <v>1.56542886776218</v>
      </c>
      <c r="EA31" s="2" t="n">
        <f aca="false">IFERROR((L31-$F31)/$F31*100,"")</f>
        <v>1.10364733776111</v>
      </c>
      <c r="EB31" s="2" t="n">
        <f aca="false">IFERROR((M31-$F31)/$F31*100,"")</f>
        <v>1.28225896371596</v>
      </c>
      <c r="EC31" s="2" t="n">
        <f aca="false">IFERROR((N31-$F31)/$F31*100,"")</f>
        <v>2.85862753059434</v>
      </c>
      <c r="ED31" s="2" t="n">
        <f aca="false">IFERROR((O31-$F31)/$F31*100,"")</f>
        <v>1.10743415668595</v>
      </c>
      <c r="EE31" s="2" t="n">
        <f aca="false">IFERROR((P31-$F31)/$F31*100,"")</f>
        <v>1.00540042454448</v>
      </c>
      <c r="EF31" s="2" t="n">
        <f aca="false">IFERROR((Q31-$F31)/$F31*100,"")</f>
        <v>0.951964201938431</v>
      </c>
      <c r="EG31" s="2" t="str">
        <f aca="false">IF(DV31="","",IF(AND(ABS(DV31)&lt;=0.25,$E31="Bottom",DK31="LL"),"EQL",IF(AND(ABS(DV31)&lt;=0.25,$E31="Peak",DK31="HH"),"EQH","")))</f>
        <v/>
      </c>
      <c r="EH31" s="2" t="str">
        <f aca="false">IF(DW31="","",IF(AND(ABS(DW31)&lt;=0.25,$E31="Bottom",DL31="LL"),"EQL",IF(AND(ABS(DW31)&lt;=0.25,$E31="Peak",DL31="HH"),"EQH","")))</f>
        <v/>
      </c>
      <c r="EI31" s="2" t="str">
        <f aca="false">IF(DX31="","",IF(AND(ABS(DX31)&lt;=0.25,$E31="Bottom",DM31="LL"),"EQL",IF(AND(ABS(DX31)&lt;=0.25,$E31="Peak",DM31="HH"),"EQH","")))</f>
        <v/>
      </c>
      <c r="EJ31" s="2" t="str">
        <f aca="false">IF(DY31="","",IF(AND(ABS(DY31)&lt;=0.25,$E31="Bottom",DN31="LL"),"EQL",IF(AND(ABS(DY31)&lt;=0.25,$E31="Peak",DN31="HH"),"EQH","")))</f>
        <v/>
      </c>
      <c r="EK31" s="2" t="str">
        <f aca="false">IF(DZ31="","",IF(AND(ABS(DZ31)&lt;=0.25,$E31="Bottom",DO31="LL"),"EQL",IF(AND(ABS(DZ31)&lt;=0.25,$E31="Peak",DO31="HH"),"EQH","")))</f>
        <v/>
      </c>
      <c r="EL31" s="2" t="str">
        <f aca="false">IF(EA31="","",IF(AND(ABS(EA31)&lt;=0.25,$E31="Bottom",DP31="LL"),"EQL",IF(AND(ABS(EA31)&lt;=0.25,$E31="Peak",DP31="HH"),"EQH","")))</f>
        <v/>
      </c>
      <c r="EM31" s="2" t="str">
        <f aca="false">IF(EB31="","",IF(AND(ABS(EB31)&lt;=0.25,$E31="Bottom",DQ31="LL"),"EQL",IF(AND(ABS(EB31)&lt;=0.25,$E31="Peak",DQ31="HH"),"EQH","")))</f>
        <v/>
      </c>
      <c r="EN31" s="2" t="str">
        <f aca="false">IF(EC31="","",IF(AND(ABS(EC31)&lt;=0.25,$E31="Bottom",DR31="LL"),"EQL",IF(AND(ABS(EC31)&lt;=0.25,$E31="Peak",DR31="HH"),"EQH","")))</f>
        <v/>
      </c>
      <c r="EO31" s="2" t="str">
        <f aca="false">IF(ED31="","",IF(AND(ABS(ED31)&lt;=0.25,$E31="Bottom",DS31="LL"),"EQL",IF(AND(ABS(ED31)&lt;=0.25,$E31="Peak",DS31="HH"),"EQH","")))</f>
        <v/>
      </c>
      <c r="EP31" s="2" t="str">
        <f aca="false">IF(EE31="","",IF(AND(ABS(EE31)&lt;=0.25,$E31="Bottom",DT31="LL"),"EQL",IF(AND(ABS(EE31)&lt;=0.25,$E31="Peak",DT31="HH"),"EQH","")))</f>
        <v/>
      </c>
      <c r="EQ31" s="2" t="str">
        <f aca="false">IF(EF31="","",IF(AND(ABS(EF31)&lt;=0.25,$E31="Bottom",DU31="LL"),"EQL",IF(AND(ABS(EF31)&lt;=0.25,$E31="Peak",DU31="HH"),"EQH","")))</f>
        <v/>
      </c>
      <c r="ER31" s="2" t="str">
        <f aca="false">IF(OR(EG31="EQL",EG31="EQH"),G31,"")</f>
        <v/>
      </c>
      <c r="ES31" s="2" t="str">
        <f aca="false">IF(OR(EH31="EQL",EH31="EQH"),H31,"")</f>
        <v/>
      </c>
      <c r="ET31" s="2" t="str">
        <f aca="false">IF(OR(EI31="EQL",EI31="EQH"),I31,"")</f>
        <v/>
      </c>
      <c r="EU31" s="2" t="str">
        <f aca="false">IF(OR(EJ31="EQL",EJ31="EQH"),J31,"")</f>
        <v/>
      </c>
      <c r="EV31" s="2" t="str">
        <f aca="false">IF(OR(EK31="EQL",EK31="EQH"),K31,"")</f>
        <v/>
      </c>
      <c r="EW31" s="2" t="str">
        <f aca="false">IF(OR(EL31="EQL",EL31="EQH"),L31,"")</f>
        <v/>
      </c>
      <c r="EX31" s="2" t="str">
        <f aca="false">IF(OR(EM31="EQL",EM31="EQH"),M31,"")</f>
        <v/>
      </c>
      <c r="EY31" s="2" t="str">
        <f aca="false">IF(OR(EN31="EQL",EN31="EQH"),N31,"")</f>
        <v/>
      </c>
      <c r="EZ31" s="2" t="str">
        <f aca="false">IF(OR(EO31="EQL",EO31="EQH"),O31,"")</f>
        <v/>
      </c>
      <c r="FA31" s="2" t="str">
        <f aca="false">IF(OR(EP31="EQL",EP31="EQH"),P31,"")</f>
        <v/>
      </c>
      <c r="FB31" s="2" t="str">
        <f aca="false">IF(OR(EQ31="EQL",EQ31="EQH"),Q31,"")</f>
        <v/>
      </c>
      <c r="FC31" s="2" t="str">
        <f aca="false">IF(AND(EG31="EQL",OR(AQ31=4,AQ31=5)),"IEQL",IF(AND(EG31="EQH",OR(AQ31=1,AQ31=2)),"IEQH",""))</f>
        <v/>
      </c>
      <c r="FD31" s="2" t="str">
        <f aca="false">IF(AND(EH31="EQL",OR(AR31=4,AR31=5)),"IEQL",IF(AND(EH31="EQH",OR(AR31=1,AR31=2)),"IEQH",""))</f>
        <v/>
      </c>
      <c r="FE31" s="2" t="str">
        <f aca="false">IF(AND(EI31="EQL",OR(AS31=4,AS31=5)),"IEQL",IF(AND(EI31="EQH",OR(AS31=1,AS31=2)),"IEQH",""))</f>
        <v/>
      </c>
      <c r="FF31" s="2" t="str">
        <f aca="false">IF(AND(EJ31="EQL",OR(AT31=4,AT31=5)),"IEQL",IF(AND(EJ31="EQH",OR(AT31=1,AT31=2)),"IEQH",""))</f>
        <v/>
      </c>
      <c r="FG31" s="2" t="str">
        <f aca="false">IF(AND(EK31="EQL",OR(AU31=4,AU31=5)),"IEQL",IF(AND(EK31="EQH",OR(AU31=1,AU31=2)),"IEQH",""))</f>
        <v/>
      </c>
      <c r="FH31" s="2" t="str">
        <f aca="false">IF(AND(EL31="EQL",OR(AV31=4,AV31=5)),"IEQL",IF(AND(EL31="EQH",OR(AV31=1,AV31=2)),"IEQH",""))</f>
        <v/>
      </c>
      <c r="FI31" s="2" t="str">
        <f aca="false">IF(AND(EM31="EQL",OR(AW31=4,AW31=5)),"IEQL",IF(AND(EM31="EQH",OR(AW31=1,AW31=2)),"IEQH",""))</f>
        <v/>
      </c>
      <c r="FJ31" s="2" t="str">
        <f aca="false">IF(AND(EN31="EQL",OR(AX31=4,AX31=5)),"IEQL",IF(AND(EN31="EQH",OR(AX31=1,AX31=2)),"IEQH",""))</f>
        <v/>
      </c>
      <c r="FK31" s="2" t="str">
        <f aca="false">IF(AND(EO31="EQL",OR(AY31=4,AY31=5)),"IEQL",IF(AND(EO31="EQH",OR(AY31=1,AY31=2)),"IEQH",""))</f>
        <v/>
      </c>
      <c r="FL31" s="2" t="str">
        <f aca="false">IF(AND(EP31="EQL",OR(AZ31=4,AZ31=5)),"IEQL",IF(AND(EP31="EQH",OR(AZ31=1,AZ31=2)),"IEQH",""))</f>
        <v/>
      </c>
      <c r="FM31" s="2" t="str">
        <f aca="false">IF(AND(EQ31="EQL",OR(BA31=4,BA31=5)),"IEQL",IF(AND(EQ31="EQH",OR(BA31=1,BA31=2)),"IEQH",""))</f>
        <v/>
      </c>
    </row>
    <row r="32" customFormat="false" ht="14.25" hidden="false" customHeight="false" outlineLevel="0" collapsed="false">
      <c r="A32" s="1" t="n">
        <v>1776922202</v>
      </c>
      <c r="B32" s="1" t="s">
        <v>169</v>
      </c>
      <c r="C32" s="1" t="s">
        <v>170</v>
      </c>
      <c r="D32" s="1" t="n">
        <v>4701.58</v>
      </c>
      <c r="E32" s="1" t="s">
        <v>171</v>
      </c>
      <c r="F32" s="1" t="n">
        <v>4693.06</v>
      </c>
      <c r="G32" s="2" t="n">
        <f aca="false">F30</f>
        <v>4694.34</v>
      </c>
      <c r="H32" s="2" t="n">
        <f aca="false">F28</f>
        <v>4724.03</v>
      </c>
      <c r="I32" s="2" t="n">
        <f aca="false">F26</f>
        <v>4668.61</v>
      </c>
      <c r="J32" s="2" t="n">
        <f aca="false">F24</f>
        <v>4772.78</v>
      </c>
      <c r="K32" s="2" t="n">
        <f aca="false">F22</f>
        <v>4792.42</v>
      </c>
      <c r="L32" s="2" t="n">
        <f aca="false">F20</f>
        <v>4783.51</v>
      </c>
      <c r="M32" s="2" t="n">
        <f aca="false">F18</f>
        <v>4779.8</v>
      </c>
      <c r="N32" s="2" t="n">
        <f aca="false">F16</f>
        <v>4736.96</v>
      </c>
      <c r="O32" s="2" t="n">
        <f aca="false">F14</f>
        <v>4778.83</v>
      </c>
      <c r="P32" s="2" t="n">
        <f aca="false">F12</f>
        <v>4768.07</v>
      </c>
      <c r="Q32" s="2" t="n">
        <f aca="false">F10</f>
        <v>4786.1</v>
      </c>
      <c r="R32" s="1" t="n">
        <v>-60.27</v>
      </c>
      <c r="S32" s="2" t="n">
        <f aca="false">R30</f>
        <v>-55</v>
      </c>
      <c r="T32" s="2" t="n">
        <f aca="false">R28</f>
        <v>-48.12</v>
      </c>
      <c r="U32" s="2" t="n">
        <f aca="false">R26</f>
        <v>-129.3</v>
      </c>
      <c r="V32" s="2" t="n">
        <f aca="false">R24</f>
        <v>-60.47</v>
      </c>
      <c r="W32" s="2" t="n">
        <f aca="false">R22</f>
        <v>-35.32</v>
      </c>
      <c r="X32" s="2" t="n">
        <f aca="false">R20</f>
        <v>-22.28</v>
      </c>
      <c r="Y32" s="2" t="n">
        <f aca="false">R18</f>
        <v>-34.48</v>
      </c>
      <c r="Z32" s="2" t="n">
        <f aca="false">R16</f>
        <v>-152.25</v>
      </c>
      <c r="AA32" s="2" t="n">
        <f aca="false">R14</f>
        <v>-27.14</v>
      </c>
      <c r="AB32" s="2" t="n">
        <f aca="false">R12</f>
        <v>-33.05</v>
      </c>
      <c r="AC32" s="2" t="n">
        <f aca="false">R10</f>
        <v>-12.48</v>
      </c>
      <c r="AD32" s="1" t="n">
        <v>-1.27</v>
      </c>
      <c r="AE32" s="2" t="n">
        <f aca="false">AD30</f>
        <v>-1.16</v>
      </c>
      <c r="AF32" s="2" t="n">
        <f aca="false">AD28</f>
        <v>-1.01</v>
      </c>
      <c r="AG32" s="2" t="n">
        <f aca="false">AD26</f>
        <v>-2.69</v>
      </c>
      <c r="AH32" s="2" t="n">
        <f aca="false">AD24</f>
        <v>-1.25</v>
      </c>
      <c r="AI32" s="2" t="n">
        <f aca="false">AD22</f>
        <v>-0.73</v>
      </c>
      <c r="AJ32" s="2" t="n">
        <f aca="false">AD20</f>
        <v>-0.46</v>
      </c>
      <c r="AK32" s="2" t="n">
        <f aca="false">AD18</f>
        <v>-0.72</v>
      </c>
      <c r="AL32" s="2" t="n">
        <f aca="false">AD16</f>
        <v>-3.11</v>
      </c>
      <c r="AM32" s="2" t="n">
        <f aca="false">AD14</f>
        <v>-0.56</v>
      </c>
      <c r="AN32" s="2" t="n">
        <f aca="false">AD12</f>
        <v>-0.69</v>
      </c>
      <c r="AO32" s="2" t="n">
        <f aca="false">AD10</f>
        <v>-0.26</v>
      </c>
      <c r="AP32" s="1" t="n">
        <v>3</v>
      </c>
      <c r="AQ32" s="2" t="n">
        <f aca="false">AP30</f>
        <v>3</v>
      </c>
      <c r="AR32" s="2" t="n">
        <f aca="false">AP28</f>
        <v>3</v>
      </c>
      <c r="AS32" s="2" t="n">
        <f aca="false">AP26</f>
        <v>5</v>
      </c>
      <c r="AT32" s="2" t="n">
        <f aca="false">AP24</f>
        <v>3</v>
      </c>
      <c r="AU32" s="2" t="n">
        <f aca="false">AP22</f>
        <v>3</v>
      </c>
      <c r="AV32" s="2" t="n">
        <f aca="false">AP20</f>
        <v>3</v>
      </c>
      <c r="AW32" s="2" t="n">
        <f aca="false">AP18</f>
        <v>3</v>
      </c>
      <c r="AX32" s="2" t="n">
        <f aca="false">AP16</f>
        <v>5</v>
      </c>
      <c r="AY32" s="2" t="n">
        <f aca="false">AP14</f>
        <v>3</v>
      </c>
      <c r="AZ32" s="2" t="n">
        <f aca="false">AP12</f>
        <v>3</v>
      </c>
      <c r="BA32" s="2" t="n">
        <f aca="false">AP10</f>
        <v>3</v>
      </c>
      <c r="BB32" s="1" t="n">
        <v>19</v>
      </c>
      <c r="BC32" s="2" t="n">
        <f aca="false">BB30</f>
        <v>18</v>
      </c>
      <c r="BD32" s="2" t="n">
        <f aca="false">BB28</f>
        <v>38</v>
      </c>
      <c r="BE32" s="2" t="n">
        <f aca="false">BB26</f>
        <v>31</v>
      </c>
      <c r="BF32" s="2" t="n">
        <f aca="false">BB24</f>
        <v>35</v>
      </c>
      <c r="BG32" s="2" t="n">
        <f aca="false">BB22</f>
        <v>1</v>
      </c>
      <c r="BH32" s="2" t="n">
        <f aca="false">BB20</f>
        <v>9</v>
      </c>
      <c r="BI32" s="2" t="n">
        <f aca="false">BB18</f>
        <v>15</v>
      </c>
      <c r="BJ32" s="2" t="n">
        <f aca="false">BB16</f>
        <v>39</v>
      </c>
      <c r="BK32" s="2" t="n">
        <f aca="false">BB14</f>
        <v>11</v>
      </c>
      <c r="BL32" s="2" t="n">
        <f aca="false">BB12</f>
        <v>3</v>
      </c>
      <c r="BM32" s="2" t="n">
        <f aca="false">BB10</f>
        <v>13</v>
      </c>
      <c r="BN32" s="1" t="n">
        <v>3</v>
      </c>
      <c r="BO32" s="2" t="n">
        <f aca="false">BN30</f>
        <v>3</v>
      </c>
      <c r="BP32" s="2" t="n">
        <f aca="false">BN28</f>
        <v>4</v>
      </c>
      <c r="BQ32" s="2" t="n">
        <f aca="false">BN26</f>
        <v>3</v>
      </c>
      <c r="BR32" s="2" t="n">
        <f aca="false">BN24</f>
        <v>3</v>
      </c>
      <c r="BS32" s="2" t="n">
        <f aca="false">BN22</f>
        <v>3</v>
      </c>
      <c r="BT32" s="2" t="n">
        <f aca="false">BN20</f>
        <v>3</v>
      </c>
      <c r="BU32" s="2" t="n">
        <f aca="false">BN18</f>
        <v>3</v>
      </c>
      <c r="BV32" s="2" t="n">
        <f aca="false">BN16</f>
        <v>4</v>
      </c>
      <c r="BW32" s="2" t="n">
        <f aca="false">BN14</f>
        <v>3</v>
      </c>
      <c r="BX32" s="2" t="n">
        <f aca="false">BN12</f>
        <v>3</v>
      </c>
      <c r="BY32" s="2" t="n">
        <f aca="false">BN10</f>
        <v>3</v>
      </c>
      <c r="BZ32" s="1" t="n">
        <v>-3.17211</v>
      </c>
      <c r="CA32" s="2" t="n">
        <f aca="false">BZ30</f>
        <v>-3.05556</v>
      </c>
      <c r="CB32" s="2" t="n">
        <f aca="false">BZ28</f>
        <v>-1.26632</v>
      </c>
      <c r="CC32" s="2" t="n">
        <f aca="false">BZ26</f>
        <v>-4.17097</v>
      </c>
      <c r="CD32" s="2" t="n">
        <f aca="false">BZ24</f>
        <v>-1.72771</v>
      </c>
      <c r="CE32" s="2" t="n">
        <f aca="false">BZ22</f>
        <v>-35.32</v>
      </c>
      <c r="CF32" s="2" t="n">
        <f aca="false">BZ20</f>
        <v>-2.47556</v>
      </c>
      <c r="CG32" s="2" t="n">
        <f aca="false">BZ18</f>
        <v>-2.29867</v>
      </c>
      <c r="CH32" s="2" t="n">
        <f aca="false">BZ16</f>
        <v>-3.90385</v>
      </c>
      <c r="CI32" s="2" t="n">
        <f aca="false">BZ14</f>
        <v>-2.46727</v>
      </c>
      <c r="CJ32" s="2" t="n">
        <f aca="false">BZ12</f>
        <v>-11.01667</v>
      </c>
      <c r="CK32" s="2" t="n">
        <f aca="false">BZ10</f>
        <v>-0.96</v>
      </c>
      <c r="CL32" s="1" t="n">
        <v>3</v>
      </c>
      <c r="CM32" s="2" t="n">
        <f aca="false">CL30</f>
        <v>3</v>
      </c>
      <c r="CN32" s="2" t="n">
        <f aca="false">CL28</f>
        <v>3</v>
      </c>
      <c r="CO32" s="2" t="n">
        <f aca="false">CL26</f>
        <v>3</v>
      </c>
      <c r="CP32" s="2" t="n">
        <f aca="false">CL24</f>
        <v>3</v>
      </c>
      <c r="CQ32" s="2" t="n">
        <f aca="false">CL22</f>
        <v>5</v>
      </c>
      <c r="CR32" s="2" t="n">
        <f aca="false">CL20</f>
        <v>3</v>
      </c>
      <c r="CS32" s="2" t="n">
        <f aca="false">CL18</f>
        <v>3</v>
      </c>
      <c r="CT32" s="2" t="n">
        <f aca="false">CL16</f>
        <v>3</v>
      </c>
      <c r="CU32" s="2" t="n">
        <f aca="false">CL14</f>
        <v>3</v>
      </c>
      <c r="CV32" s="2" t="n">
        <f aca="false">CL12</f>
        <v>5</v>
      </c>
      <c r="CW32" s="2" t="n">
        <f aca="false">CL10</f>
        <v>3</v>
      </c>
      <c r="CX32" s="1" t="n">
        <v>-72.5026</v>
      </c>
      <c r="CY32" s="2" t="n">
        <f aca="false">CX30</f>
        <v>-71.8781</v>
      </c>
      <c r="CZ32" s="2" t="n">
        <f aca="false">CX28</f>
        <v>-51.7021</v>
      </c>
      <c r="DA32" s="2" t="n">
        <f aca="false">CX26</f>
        <v>-76.5177</v>
      </c>
      <c r="DB32" s="2" t="n">
        <f aca="false">CX24</f>
        <v>-59.9378</v>
      </c>
      <c r="DC32" s="2" t="n">
        <f aca="false">CX22</f>
        <v>-88.3782</v>
      </c>
      <c r="DD32" s="2" t="n">
        <f aca="false">CX20</f>
        <v>-68.0038</v>
      </c>
      <c r="DE32" s="2" t="n">
        <f aca="false">CX18</f>
        <v>-66.4893</v>
      </c>
      <c r="DF32" s="2" t="n">
        <f aca="false">CX16</f>
        <v>-75.6322</v>
      </c>
      <c r="DG32" s="2" t="n">
        <f aca="false">CX14</f>
        <v>-67.937</v>
      </c>
      <c r="DH32" s="2" t="n">
        <f aca="false">CX12</f>
        <v>-84.8134</v>
      </c>
      <c r="DI32" s="2" t="n">
        <f aca="false">CX10</f>
        <v>-43.8309</v>
      </c>
      <c r="DJ32" s="1" t="s">
        <v>172</v>
      </c>
      <c r="DK32" s="2" t="str">
        <f aca="false">DJ30</f>
        <v>LL</v>
      </c>
      <c r="DL32" s="2" t="str">
        <f aca="false">DJ28</f>
        <v>HL</v>
      </c>
      <c r="DM32" s="2" t="str">
        <f aca="false">DJ26</f>
        <v>LL</v>
      </c>
      <c r="DN32" s="2" t="str">
        <f aca="false">DJ24</f>
        <v>LL</v>
      </c>
      <c r="DO32" s="2" t="str">
        <f aca="false">DJ22</f>
        <v>HL</v>
      </c>
      <c r="DP32" s="2" t="str">
        <f aca="false">DJ20</f>
        <v>HL</v>
      </c>
      <c r="DQ32" s="2" t="str">
        <f aca="false">DJ18</f>
        <v>HL</v>
      </c>
      <c r="DR32" s="2" t="str">
        <f aca="false">DJ16</f>
        <v>LL</v>
      </c>
      <c r="DS32" s="2" t="str">
        <f aca="false">DJ14</f>
        <v>HL</v>
      </c>
      <c r="DT32" s="2" t="str">
        <f aca="false">DJ12</f>
        <v>LL</v>
      </c>
      <c r="DU32" s="2" t="str">
        <f aca="false">DJ10</f>
        <v>HL</v>
      </c>
      <c r="DV32" s="2" t="n">
        <f aca="false">IFERROR((G32-$F32)/$F32*100,"")</f>
        <v>0.0272743156916755</v>
      </c>
      <c r="DW32" s="2" t="n">
        <f aca="false">IFERROR((H32-$F32)/$F32*100,"")</f>
        <v>0.659910591383859</v>
      </c>
      <c r="DX32" s="2" t="n">
        <f aca="false">IFERROR((I32-$F32)/$F32*100,"")</f>
        <v>-0.520982045829389</v>
      </c>
      <c r="DY32" s="2" t="n">
        <f aca="false">IFERROR((J32-$F32)/$F32*100,"")</f>
        <v>1.69867847417249</v>
      </c>
      <c r="DZ32" s="2" t="n">
        <f aca="false">IFERROR((K32-$F32)/$F32*100,"")</f>
        <v>2.11716875556672</v>
      </c>
      <c r="EA32" s="2" t="n">
        <f aca="false">IFERROR((L32-$F32)/$F32*100,"")</f>
        <v>1.92731394868167</v>
      </c>
      <c r="EB32" s="2" t="n">
        <f aca="false">IFERROR((M32-$F32)/$F32*100,"")</f>
        <v>1.84826104929406</v>
      </c>
      <c r="EC32" s="2" t="n">
        <f aca="false">IFERROR((N32-$F32)/$F32*100,"")</f>
        <v>0.935423795988111</v>
      </c>
      <c r="ED32" s="2" t="n">
        <f aca="false">IFERROR((O32-$F32)/$F32*100,"")</f>
        <v>1.82759223193395</v>
      </c>
      <c r="EE32" s="2" t="n">
        <f aca="false">IFERROR((P32-$F32)/$F32*100,"")</f>
        <v>1.59831751565075</v>
      </c>
      <c r="EF32" s="2" t="n">
        <f aca="false">IFERROR((Q32-$F32)/$F32*100,"")</f>
        <v>1.98250182183905</v>
      </c>
      <c r="EG32" s="2" t="str">
        <f aca="false">IF(DV32="","",IF(AND(ABS(DV32)&lt;=0.25,$E32="Bottom",DK32="LL"),"EQL",IF(AND(ABS(DV32)&lt;=0.25,$E32="Peak",DK32="HH"),"EQH","")))</f>
        <v>EQL</v>
      </c>
      <c r="EH32" s="2" t="str">
        <f aca="false">IF(DW32="","",IF(AND(ABS(DW32)&lt;=0.25,$E32="Bottom",DL32="LL"),"EQL",IF(AND(ABS(DW32)&lt;=0.25,$E32="Peak",DL32="HH"),"EQH","")))</f>
        <v/>
      </c>
      <c r="EI32" s="2" t="str">
        <f aca="false">IF(DX32="","",IF(AND(ABS(DX32)&lt;=0.25,$E32="Bottom",DM32="LL"),"EQL",IF(AND(ABS(DX32)&lt;=0.25,$E32="Peak",DM32="HH"),"EQH","")))</f>
        <v/>
      </c>
      <c r="EJ32" s="2" t="str">
        <f aca="false">IF(DY32="","",IF(AND(ABS(DY32)&lt;=0.25,$E32="Bottom",DN32="LL"),"EQL",IF(AND(ABS(DY32)&lt;=0.25,$E32="Peak",DN32="HH"),"EQH","")))</f>
        <v/>
      </c>
      <c r="EK32" s="2" t="str">
        <f aca="false">IF(DZ32="","",IF(AND(ABS(DZ32)&lt;=0.25,$E32="Bottom",DO32="LL"),"EQL",IF(AND(ABS(DZ32)&lt;=0.25,$E32="Peak",DO32="HH"),"EQH","")))</f>
        <v/>
      </c>
      <c r="EL32" s="2" t="str">
        <f aca="false">IF(EA32="","",IF(AND(ABS(EA32)&lt;=0.25,$E32="Bottom",DP32="LL"),"EQL",IF(AND(ABS(EA32)&lt;=0.25,$E32="Peak",DP32="HH"),"EQH","")))</f>
        <v/>
      </c>
      <c r="EM32" s="2" t="str">
        <f aca="false">IF(EB32="","",IF(AND(ABS(EB32)&lt;=0.25,$E32="Bottom",DQ32="LL"),"EQL",IF(AND(ABS(EB32)&lt;=0.25,$E32="Peak",DQ32="HH"),"EQH","")))</f>
        <v/>
      </c>
      <c r="EN32" s="2" t="str">
        <f aca="false">IF(EC32="","",IF(AND(ABS(EC32)&lt;=0.25,$E32="Bottom",DR32="LL"),"EQL",IF(AND(ABS(EC32)&lt;=0.25,$E32="Peak",DR32="HH"),"EQH","")))</f>
        <v/>
      </c>
      <c r="EO32" s="2" t="str">
        <f aca="false">IF(ED32="","",IF(AND(ABS(ED32)&lt;=0.25,$E32="Bottom",DS32="LL"),"EQL",IF(AND(ABS(ED32)&lt;=0.25,$E32="Peak",DS32="HH"),"EQH","")))</f>
        <v/>
      </c>
      <c r="EP32" s="2" t="str">
        <f aca="false">IF(EE32="","",IF(AND(ABS(EE32)&lt;=0.25,$E32="Bottom",DT32="LL"),"EQL",IF(AND(ABS(EE32)&lt;=0.25,$E32="Peak",DT32="HH"),"EQH","")))</f>
        <v/>
      </c>
      <c r="EQ32" s="2" t="str">
        <f aca="false">IF(EF32="","",IF(AND(ABS(EF32)&lt;=0.25,$E32="Bottom",DU32="LL"),"EQL",IF(AND(ABS(EF32)&lt;=0.25,$E32="Peak",DU32="HH"),"EQH","")))</f>
        <v/>
      </c>
      <c r="ER32" s="2" t="n">
        <f aca="false">IF(OR(EG32="EQL",EG32="EQH"),G32,"")</f>
        <v>4694.34</v>
      </c>
      <c r="ES32" s="2" t="str">
        <f aca="false">IF(OR(EH32="EQL",EH32="EQH"),H32,"")</f>
        <v/>
      </c>
      <c r="ET32" s="2" t="str">
        <f aca="false">IF(OR(EI32="EQL",EI32="EQH"),I32,"")</f>
        <v/>
      </c>
      <c r="EU32" s="2" t="str">
        <f aca="false">IF(OR(EJ32="EQL",EJ32="EQH"),J32,"")</f>
        <v/>
      </c>
      <c r="EV32" s="2" t="str">
        <f aca="false">IF(OR(EK32="EQL",EK32="EQH"),K32,"")</f>
        <v/>
      </c>
      <c r="EW32" s="2" t="str">
        <f aca="false">IF(OR(EL32="EQL",EL32="EQH"),L32,"")</f>
        <v/>
      </c>
      <c r="EX32" s="2" t="str">
        <f aca="false">IF(OR(EM32="EQL",EM32="EQH"),M32,"")</f>
        <v/>
      </c>
      <c r="EY32" s="2" t="str">
        <f aca="false">IF(OR(EN32="EQL",EN32="EQH"),N32,"")</f>
        <v/>
      </c>
      <c r="EZ32" s="2" t="str">
        <f aca="false">IF(OR(EO32="EQL",EO32="EQH"),O32,"")</f>
        <v/>
      </c>
      <c r="FA32" s="2" t="str">
        <f aca="false">IF(OR(EP32="EQL",EP32="EQH"),P32,"")</f>
        <v/>
      </c>
      <c r="FB32" s="2" t="str">
        <f aca="false">IF(OR(EQ32="EQL",EQ32="EQH"),Q32,"")</f>
        <v/>
      </c>
      <c r="FC32" s="2" t="str">
        <f aca="false">IF(AND(EG32="EQL",OR(AQ32=4,AQ32=5)),"IEQL",IF(AND(EG32="EQH",OR(AQ32=1,AQ32=2)),"IEQH",""))</f>
        <v/>
      </c>
      <c r="FD32" s="2" t="str">
        <f aca="false">IF(AND(EH32="EQL",OR(AR32=4,AR32=5)),"IEQL",IF(AND(EH32="EQH",OR(AR32=1,AR32=2)),"IEQH",""))</f>
        <v/>
      </c>
      <c r="FE32" s="2" t="str">
        <f aca="false">IF(AND(EI32="EQL",OR(AS32=4,AS32=5)),"IEQL",IF(AND(EI32="EQH",OR(AS32=1,AS32=2)),"IEQH",""))</f>
        <v/>
      </c>
      <c r="FF32" s="2" t="str">
        <f aca="false">IF(AND(EJ32="EQL",OR(AT32=4,AT32=5)),"IEQL",IF(AND(EJ32="EQH",OR(AT32=1,AT32=2)),"IEQH",""))</f>
        <v/>
      </c>
      <c r="FG32" s="2" t="str">
        <f aca="false">IF(AND(EK32="EQL",OR(AU32=4,AU32=5)),"IEQL",IF(AND(EK32="EQH",OR(AU32=1,AU32=2)),"IEQH",""))</f>
        <v/>
      </c>
      <c r="FH32" s="2" t="str">
        <f aca="false">IF(AND(EL32="EQL",OR(AV32=4,AV32=5)),"IEQL",IF(AND(EL32="EQH",OR(AV32=1,AV32=2)),"IEQH",""))</f>
        <v/>
      </c>
      <c r="FI32" s="2" t="str">
        <f aca="false">IF(AND(EM32="EQL",OR(AW32=4,AW32=5)),"IEQL",IF(AND(EM32="EQH",OR(AW32=1,AW32=2)),"IEQH",""))</f>
        <v/>
      </c>
      <c r="FJ32" s="2" t="str">
        <f aca="false">IF(AND(EN32="EQL",OR(AX32=4,AX32=5)),"IEQL",IF(AND(EN32="EQH",OR(AX32=1,AX32=2)),"IEQH",""))</f>
        <v/>
      </c>
      <c r="FK32" s="2" t="str">
        <f aca="false">IF(AND(EO32="EQL",OR(AY32=4,AY32=5)),"IEQL",IF(AND(EO32="EQH",OR(AY32=1,AY32=2)),"IEQH",""))</f>
        <v/>
      </c>
      <c r="FL32" s="2" t="str">
        <f aca="false">IF(AND(EP32="EQL",OR(AZ32=4,AZ32=5)),"IEQL",IF(AND(EP32="EQH",OR(AZ32=1,AZ32=2)),"IEQH",""))</f>
        <v/>
      </c>
      <c r="FM32" s="2" t="str">
        <f aca="false">IF(AND(EQ32="EQL",OR(BA32=4,BA32=5)),"IEQL",IF(AND(EQ32="EQH",OR(BA32=1,BA32=2)),"IEQH",""))</f>
        <v/>
      </c>
    </row>
    <row r="33" customFormat="false" ht="14.25" hidden="false" customHeight="false" outlineLevel="0" collapsed="false">
      <c r="A33" s="1" t="n">
        <v>1776931202</v>
      </c>
      <c r="B33" s="1" t="s">
        <v>169</v>
      </c>
      <c r="C33" s="1" t="s">
        <v>170</v>
      </c>
      <c r="D33" s="1" t="n">
        <v>4718.21</v>
      </c>
      <c r="E33" s="1" t="s">
        <v>173</v>
      </c>
      <c r="F33" s="1" t="n">
        <v>4724.89</v>
      </c>
      <c r="G33" s="2" t="n">
        <f aca="false">F31</f>
        <v>4753.33</v>
      </c>
      <c r="H33" s="2" t="n">
        <f aca="false">F29</f>
        <v>4749.34</v>
      </c>
      <c r="I33" s="2" t="n">
        <f aca="false">F27</f>
        <v>4772.15</v>
      </c>
      <c r="J33" s="2" t="n">
        <f aca="false">F25</f>
        <v>4797.91</v>
      </c>
      <c r="K33" s="2" t="n">
        <f aca="false">F23</f>
        <v>4833.25</v>
      </c>
      <c r="L33" s="2" t="n">
        <f aca="false">F21</f>
        <v>4827.74</v>
      </c>
      <c r="M33" s="2" t="n">
        <f aca="false">F19</f>
        <v>4805.79</v>
      </c>
      <c r="N33" s="2" t="n">
        <f aca="false">F17</f>
        <v>4814.28</v>
      </c>
      <c r="O33" s="2" t="n">
        <f aca="false">F15</f>
        <v>4889.21</v>
      </c>
      <c r="P33" s="2" t="n">
        <f aca="false">F13</f>
        <v>4805.97</v>
      </c>
      <c r="Q33" s="2" t="n">
        <f aca="false">F11</f>
        <v>4801.12</v>
      </c>
      <c r="R33" s="1" t="n">
        <v>31.83</v>
      </c>
      <c r="S33" s="2" t="n">
        <f aca="false">R31</f>
        <v>58.99</v>
      </c>
      <c r="T33" s="2" t="n">
        <f aca="false">R29</f>
        <v>25.31</v>
      </c>
      <c r="U33" s="2" t="n">
        <f aca="false">R27</f>
        <v>103.54</v>
      </c>
      <c r="V33" s="2" t="n">
        <f aca="false">R25</f>
        <v>25.13</v>
      </c>
      <c r="W33" s="2" t="n">
        <f aca="false">R23</f>
        <v>40.83</v>
      </c>
      <c r="X33" s="2" t="n">
        <f aca="false">R21</f>
        <v>44.23</v>
      </c>
      <c r="Y33" s="2" t="n">
        <f aca="false">R19</f>
        <v>25.99</v>
      </c>
      <c r="Z33" s="2" t="n">
        <f aca="false">R17</f>
        <v>77.32</v>
      </c>
      <c r="AA33" s="2" t="n">
        <f aca="false">R15</f>
        <v>110.38</v>
      </c>
      <c r="AB33" s="2" t="n">
        <f aca="false">R13</f>
        <v>37.9</v>
      </c>
      <c r="AC33" s="2" t="n">
        <f aca="false">R11</f>
        <v>15.02</v>
      </c>
      <c r="AD33" s="1" t="n">
        <v>0.68</v>
      </c>
      <c r="AE33" s="2" t="n">
        <f aca="false">AD31</f>
        <v>1.26</v>
      </c>
      <c r="AF33" s="2" t="n">
        <f aca="false">AD29</f>
        <v>0.54</v>
      </c>
      <c r="AG33" s="2" t="n">
        <f aca="false">AD27</f>
        <v>2.22</v>
      </c>
      <c r="AH33" s="2" t="n">
        <f aca="false">AD25</f>
        <v>0.53</v>
      </c>
      <c r="AI33" s="2" t="n">
        <f aca="false">AD23</f>
        <v>0.85</v>
      </c>
      <c r="AJ33" s="2" t="n">
        <f aca="false">AD21</f>
        <v>0.92</v>
      </c>
      <c r="AK33" s="2" t="n">
        <f aca="false">AD19</f>
        <v>0.54</v>
      </c>
      <c r="AL33" s="2" t="n">
        <f aca="false">AD17</f>
        <v>1.63</v>
      </c>
      <c r="AM33" s="2" t="n">
        <f aca="false">AD15</f>
        <v>2.31</v>
      </c>
      <c r="AN33" s="2" t="n">
        <f aca="false">AD13</f>
        <v>0.79</v>
      </c>
      <c r="AO33" s="2" t="n">
        <f aca="false">AD11</f>
        <v>0.31</v>
      </c>
      <c r="AP33" s="1" t="n">
        <v>0</v>
      </c>
      <c r="AQ33" s="2" t="n">
        <f aca="false">AP31</f>
        <v>0</v>
      </c>
      <c r="AR33" s="2" t="n">
        <f aca="false">AP29</f>
        <v>0</v>
      </c>
      <c r="AS33" s="2" t="n">
        <f aca="false">AP27</f>
        <v>1</v>
      </c>
      <c r="AT33" s="2" t="n">
        <f aca="false">AP25</f>
        <v>0</v>
      </c>
      <c r="AU33" s="2" t="n">
        <f aca="false">AP23</f>
        <v>0</v>
      </c>
      <c r="AV33" s="2" t="n">
        <f aca="false">AP21</f>
        <v>0</v>
      </c>
      <c r="AW33" s="2" t="n">
        <f aca="false">AP19</f>
        <v>0</v>
      </c>
      <c r="AX33" s="2" t="n">
        <f aca="false">AP17</f>
        <v>0</v>
      </c>
      <c r="AY33" s="2" t="n">
        <f aca="false">AP15</f>
        <v>0</v>
      </c>
      <c r="AZ33" s="2" t="n">
        <f aca="false">AP13</f>
        <v>0</v>
      </c>
      <c r="BA33" s="2" t="n">
        <f aca="false">AP11</f>
        <v>0</v>
      </c>
      <c r="BB33" s="1" t="n">
        <v>10</v>
      </c>
      <c r="BC33" s="2" t="n">
        <f aca="false">BB31</f>
        <v>2</v>
      </c>
      <c r="BD33" s="2" t="n">
        <f aca="false">BB29</f>
        <v>9</v>
      </c>
      <c r="BE33" s="2" t="n">
        <f aca="false">BB27</f>
        <v>42</v>
      </c>
      <c r="BF33" s="2" t="n">
        <f aca="false">BB25</f>
        <v>19</v>
      </c>
      <c r="BG33" s="2" t="n">
        <f aca="false">BB23</f>
        <v>26</v>
      </c>
      <c r="BH33" s="2" t="n">
        <f aca="false">BB21</f>
        <v>20</v>
      </c>
      <c r="BI33" s="2" t="n">
        <f aca="false">BB19</f>
        <v>7</v>
      </c>
      <c r="BJ33" s="2" t="n">
        <f aca="false">BB17</f>
        <v>8</v>
      </c>
      <c r="BK33" s="2" t="n">
        <f aca="false">BB15</f>
        <v>21</v>
      </c>
      <c r="BL33" s="2" t="n">
        <f aca="false">BB13</f>
        <v>14</v>
      </c>
      <c r="BM33" s="2" t="n">
        <f aca="false">BB11</f>
        <v>3</v>
      </c>
      <c r="BN33" s="1" t="n">
        <v>0</v>
      </c>
      <c r="BO33" s="2" t="n">
        <f aca="false">BN31</f>
        <v>0</v>
      </c>
      <c r="BP33" s="2" t="n">
        <f aca="false">BN29</f>
        <v>0</v>
      </c>
      <c r="BQ33" s="2" t="n">
        <f aca="false">BN27</f>
        <v>1</v>
      </c>
      <c r="BR33" s="2" t="n">
        <f aca="false">BN25</f>
        <v>0</v>
      </c>
      <c r="BS33" s="2" t="n">
        <f aca="false">BN23</f>
        <v>0</v>
      </c>
      <c r="BT33" s="2" t="n">
        <f aca="false">BN21</f>
        <v>0</v>
      </c>
      <c r="BU33" s="2" t="n">
        <f aca="false">BN19</f>
        <v>0</v>
      </c>
      <c r="BV33" s="2" t="n">
        <f aca="false">BN17</f>
        <v>0</v>
      </c>
      <c r="BW33" s="2" t="n">
        <f aca="false">BN15</f>
        <v>0</v>
      </c>
      <c r="BX33" s="2" t="n">
        <f aca="false">BN13</f>
        <v>0</v>
      </c>
      <c r="BY33" s="2" t="n">
        <f aca="false">BN11</f>
        <v>0</v>
      </c>
      <c r="BZ33" s="1" t="n">
        <v>3.183</v>
      </c>
      <c r="CA33" s="2" t="n">
        <f aca="false">BZ31</f>
        <v>29.495</v>
      </c>
      <c r="CB33" s="2" t="n">
        <f aca="false">BZ29</f>
        <v>2.81222</v>
      </c>
      <c r="CC33" s="2" t="n">
        <f aca="false">BZ27</f>
        <v>2.46524</v>
      </c>
      <c r="CD33" s="2" t="n">
        <f aca="false">BZ25</f>
        <v>1.32263</v>
      </c>
      <c r="CE33" s="2" t="n">
        <f aca="false">BZ23</f>
        <v>1.57038</v>
      </c>
      <c r="CF33" s="2" t="n">
        <f aca="false">BZ21</f>
        <v>2.2115</v>
      </c>
      <c r="CG33" s="2" t="n">
        <f aca="false">BZ19</f>
        <v>3.71286</v>
      </c>
      <c r="CH33" s="2" t="n">
        <f aca="false">BZ17</f>
        <v>9.665</v>
      </c>
      <c r="CI33" s="2" t="n">
        <f aca="false">BZ15</f>
        <v>5.25619</v>
      </c>
      <c r="CJ33" s="2" t="n">
        <f aca="false">BZ13</f>
        <v>2.70714</v>
      </c>
      <c r="CK33" s="2" t="n">
        <f aca="false">BZ11</f>
        <v>5.00667</v>
      </c>
      <c r="CL33" s="1" t="n">
        <v>0</v>
      </c>
      <c r="CM33" s="2" t="n">
        <f aca="false">CL31</f>
        <v>2</v>
      </c>
      <c r="CN33" s="2" t="n">
        <f aca="false">CL29</f>
        <v>0</v>
      </c>
      <c r="CO33" s="2" t="n">
        <f aca="false">CL27</f>
        <v>0</v>
      </c>
      <c r="CP33" s="2" t="n">
        <f aca="false">CL25</f>
        <v>0</v>
      </c>
      <c r="CQ33" s="2" t="n">
        <f aca="false">CL23</f>
        <v>0</v>
      </c>
      <c r="CR33" s="2" t="n">
        <f aca="false">CL21</f>
        <v>0</v>
      </c>
      <c r="CS33" s="2" t="n">
        <f aca="false">CL19</f>
        <v>0</v>
      </c>
      <c r="CT33" s="2" t="n">
        <f aca="false">CL17</f>
        <v>1</v>
      </c>
      <c r="CU33" s="2" t="n">
        <f aca="false">CL15</f>
        <v>0</v>
      </c>
      <c r="CV33" s="2" t="n">
        <f aca="false">CL13</f>
        <v>0</v>
      </c>
      <c r="CW33" s="2" t="n">
        <f aca="false">CL11</f>
        <v>0</v>
      </c>
      <c r="CX33" s="1" t="n">
        <v>72.5589</v>
      </c>
      <c r="CY33" s="2" t="n">
        <f aca="false">CX31</f>
        <v>88.0582</v>
      </c>
      <c r="CZ33" s="2" t="n">
        <f aca="false">CX29</f>
        <v>70.4251</v>
      </c>
      <c r="DA33" s="2" t="n">
        <f aca="false">CX27</f>
        <v>67.9205</v>
      </c>
      <c r="DB33" s="2" t="n">
        <f aca="false">CX25</f>
        <v>52.9082</v>
      </c>
      <c r="DC33" s="2" t="n">
        <f aca="false">CX23</f>
        <v>57.5116</v>
      </c>
      <c r="DD33" s="2" t="n">
        <f aca="false">CX21</f>
        <v>65.6684</v>
      </c>
      <c r="DE33" s="2" t="n">
        <f aca="false">CX19</f>
        <v>74.926</v>
      </c>
      <c r="DF33" s="2" t="n">
        <f aca="false">CX17</f>
        <v>84.0928</v>
      </c>
      <c r="DG33" s="2" t="n">
        <f aca="false">CX15</f>
        <v>79.2281</v>
      </c>
      <c r="DH33" s="2" t="n">
        <f aca="false">CX13</f>
        <v>69.7261</v>
      </c>
      <c r="DI33" s="2" t="n">
        <f aca="false">CX11</f>
        <v>78.7047</v>
      </c>
      <c r="DJ33" s="1" t="s">
        <v>174</v>
      </c>
      <c r="DK33" s="2" t="str">
        <f aca="false">DJ31</f>
        <v>HH</v>
      </c>
      <c r="DL33" s="2" t="str">
        <f aca="false">DJ29</f>
        <v>LH</v>
      </c>
      <c r="DM33" s="2" t="str">
        <f aca="false">DJ27</f>
        <v>LH</v>
      </c>
      <c r="DN33" s="2" t="str">
        <f aca="false">DJ25</f>
        <v>LH</v>
      </c>
      <c r="DO33" s="2" t="str">
        <f aca="false">DJ23</f>
        <v>HH</v>
      </c>
      <c r="DP33" s="2" t="str">
        <f aca="false">DJ21</f>
        <v>HH</v>
      </c>
      <c r="DQ33" s="2" t="str">
        <f aca="false">DJ19</f>
        <v>LH</v>
      </c>
      <c r="DR33" s="2" t="str">
        <f aca="false">DJ17</f>
        <v>LH</v>
      </c>
      <c r="DS33" s="2" t="str">
        <f aca="false">DJ15</f>
        <v>HH</v>
      </c>
      <c r="DT33" s="2" t="str">
        <f aca="false">DJ13</f>
        <v>HH</v>
      </c>
      <c r="DU33" s="2" t="str">
        <f aca="false">DJ11</f>
        <v>HH</v>
      </c>
      <c r="DV33" s="2" t="n">
        <f aca="false">IFERROR((G33-$F33)/$F33*100,"")</f>
        <v>0.601918774828612</v>
      </c>
      <c r="DW33" s="2" t="n">
        <f aca="false">IFERROR((H33-$F33)/$F33*100,"")</f>
        <v>0.517472364435994</v>
      </c>
      <c r="DX33" s="2" t="n">
        <f aca="false">IFERROR((I33-$F33)/$F33*100,"")</f>
        <v>1.00023492610409</v>
      </c>
      <c r="DY33" s="2" t="n">
        <f aca="false">IFERROR((J33-$F33)/$F33*100,"")</f>
        <v>1.54543280372664</v>
      </c>
      <c r="DZ33" s="2" t="n">
        <f aca="false">IFERROR((K33-$F33)/$F33*100,"")</f>
        <v>2.29338672434701</v>
      </c>
      <c r="EA33" s="2" t="n">
        <f aca="false">IFERROR((L33-$F33)/$F33*100,"")</f>
        <v>2.17677025285244</v>
      </c>
      <c r="EB33" s="2" t="n">
        <f aca="false">IFERROR((M33-$F33)/$F33*100,"")</f>
        <v>1.7122091731236</v>
      </c>
      <c r="EC33" s="2" t="n">
        <f aca="false">IFERROR((N33-$F33)/$F33*100,"")</f>
        <v>1.8918958959891</v>
      </c>
      <c r="ED33" s="2" t="n">
        <f aca="false">IFERROR((O33-$F33)/$F33*100,"")</f>
        <v>3.47775292123202</v>
      </c>
      <c r="EE33" s="2" t="n">
        <f aca="false">IFERROR((P33-$F33)/$F33*100,"")</f>
        <v>1.71601878562252</v>
      </c>
      <c r="EF33" s="2" t="n">
        <f aca="false">IFERROR((Q33-$F33)/$F33*100,"")</f>
        <v>1.61337089329063</v>
      </c>
      <c r="EG33" s="2" t="str">
        <f aca="false">IF(DV33="","",IF(AND(ABS(DV33)&lt;=0.25,$E33="Bottom",DK33="LL"),"EQL",IF(AND(ABS(DV33)&lt;=0.25,$E33="Peak",DK33="HH"),"EQH","")))</f>
        <v/>
      </c>
      <c r="EH33" s="2" t="str">
        <f aca="false">IF(DW33="","",IF(AND(ABS(DW33)&lt;=0.25,$E33="Bottom",DL33="LL"),"EQL",IF(AND(ABS(DW33)&lt;=0.25,$E33="Peak",DL33="HH"),"EQH","")))</f>
        <v/>
      </c>
      <c r="EI33" s="2" t="str">
        <f aca="false">IF(DX33="","",IF(AND(ABS(DX33)&lt;=0.25,$E33="Bottom",DM33="LL"),"EQL",IF(AND(ABS(DX33)&lt;=0.25,$E33="Peak",DM33="HH"),"EQH","")))</f>
        <v/>
      </c>
      <c r="EJ33" s="2" t="str">
        <f aca="false">IF(DY33="","",IF(AND(ABS(DY33)&lt;=0.25,$E33="Bottom",DN33="LL"),"EQL",IF(AND(ABS(DY33)&lt;=0.25,$E33="Peak",DN33="HH"),"EQH","")))</f>
        <v/>
      </c>
      <c r="EK33" s="2" t="str">
        <f aca="false">IF(DZ33="","",IF(AND(ABS(DZ33)&lt;=0.25,$E33="Bottom",DO33="LL"),"EQL",IF(AND(ABS(DZ33)&lt;=0.25,$E33="Peak",DO33="HH"),"EQH","")))</f>
        <v/>
      </c>
      <c r="EL33" s="2" t="str">
        <f aca="false">IF(EA33="","",IF(AND(ABS(EA33)&lt;=0.25,$E33="Bottom",DP33="LL"),"EQL",IF(AND(ABS(EA33)&lt;=0.25,$E33="Peak",DP33="HH"),"EQH","")))</f>
        <v/>
      </c>
      <c r="EM33" s="2" t="str">
        <f aca="false">IF(EB33="","",IF(AND(ABS(EB33)&lt;=0.25,$E33="Bottom",DQ33="LL"),"EQL",IF(AND(ABS(EB33)&lt;=0.25,$E33="Peak",DQ33="HH"),"EQH","")))</f>
        <v/>
      </c>
      <c r="EN33" s="2" t="str">
        <f aca="false">IF(EC33="","",IF(AND(ABS(EC33)&lt;=0.25,$E33="Bottom",DR33="LL"),"EQL",IF(AND(ABS(EC33)&lt;=0.25,$E33="Peak",DR33="HH"),"EQH","")))</f>
        <v/>
      </c>
      <c r="EO33" s="2" t="str">
        <f aca="false">IF(ED33="","",IF(AND(ABS(ED33)&lt;=0.25,$E33="Bottom",DS33="LL"),"EQL",IF(AND(ABS(ED33)&lt;=0.25,$E33="Peak",DS33="HH"),"EQH","")))</f>
        <v/>
      </c>
      <c r="EP33" s="2" t="str">
        <f aca="false">IF(EE33="","",IF(AND(ABS(EE33)&lt;=0.25,$E33="Bottom",DT33="LL"),"EQL",IF(AND(ABS(EE33)&lt;=0.25,$E33="Peak",DT33="HH"),"EQH","")))</f>
        <v/>
      </c>
      <c r="EQ33" s="2" t="str">
        <f aca="false">IF(EF33="","",IF(AND(ABS(EF33)&lt;=0.25,$E33="Bottom",DU33="LL"),"EQL",IF(AND(ABS(EF33)&lt;=0.25,$E33="Peak",DU33="HH"),"EQH","")))</f>
        <v/>
      </c>
      <c r="ER33" s="2" t="str">
        <f aca="false">IF(OR(EG33="EQL",EG33="EQH"),G33,"")</f>
        <v/>
      </c>
      <c r="ES33" s="2" t="str">
        <f aca="false">IF(OR(EH33="EQL",EH33="EQH"),H33,"")</f>
        <v/>
      </c>
      <c r="ET33" s="2" t="str">
        <f aca="false">IF(OR(EI33="EQL",EI33="EQH"),I33,"")</f>
        <v/>
      </c>
      <c r="EU33" s="2" t="str">
        <f aca="false">IF(OR(EJ33="EQL",EJ33="EQH"),J33,"")</f>
        <v/>
      </c>
      <c r="EV33" s="2" t="str">
        <f aca="false">IF(OR(EK33="EQL",EK33="EQH"),K33,"")</f>
        <v/>
      </c>
      <c r="EW33" s="2" t="str">
        <f aca="false">IF(OR(EL33="EQL",EL33="EQH"),L33,"")</f>
        <v/>
      </c>
      <c r="EX33" s="2" t="str">
        <f aca="false">IF(OR(EM33="EQL",EM33="EQH"),M33,"")</f>
        <v/>
      </c>
      <c r="EY33" s="2" t="str">
        <f aca="false">IF(OR(EN33="EQL",EN33="EQH"),N33,"")</f>
        <v/>
      </c>
      <c r="EZ33" s="2" t="str">
        <f aca="false">IF(OR(EO33="EQL",EO33="EQH"),O33,"")</f>
        <v/>
      </c>
      <c r="FA33" s="2" t="str">
        <f aca="false">IF(OR(EP33="EQL",EP33="EQH"),P33,"")</f>
        <v/>
      </c>
      <c r="FB33" s="2" t="str">
        <f aca="false">IF(OR(EQ33="EQL",EQ33="EQH"),Q33,"")</f>
        <v/>
      </c>
      <c r="FC33" s="2" t="str">
        <f aca="false">IF(AND(EG33="EQL",OR(AQ33=4,AQ33=5)),"IEQL",IF(AND(EG33="EQH",OR(AQ33=1,AQ33=2)),"IEQH",""))</f>
        <v/>
      </c>
      <c r="FD33" s="2" t="str">
        <f aca="false">IF(AND(EH33="EQL",OR(AR33=4,AR33=5)),"IEQL",IF(AND(EH33="EQH",OR(AR33=1,AR33=2)),"IEQH",""))</f>
        <v/>
      </c>
      <c r="FE33" s="2" t="str">
        <f aca="false">IF(AND(EI33="EQL",OR(AS33=4,AS33=5)),"IEQL",IF(AND(EI33="EQH",OR(AS33=1,AS33=2)),"IEQH",""))</f>
        <v/>
      </c>
      <c r="FF33" s="2" t="str">
        <f aca="false">IF(AND(EJ33="EQL",OR(AT33=4,AT33=5)),"IEQL",IF(AND(EJ33="EQH",OR(AT33=1,AT33=2)),"IEQH",""))</f>
        <v/>
      </c>
      <c r="FG33" s="2" t="str">
        <f aca="false">IF(AND(EK33="EQL",OR(AU33=4,AU33=5)),"IEQL",IF(AND(EK33="EQH",OR(AU33=1,AU33=2)),"IEQH",""))</f>
        <v/>
      </c>
      <c r="FH33" s="2" t="str">
        <f aca="false">IF(AND(EL33="EQL",OR(AV33=4,AV33=5)),"IEQL",IF(AND(EL33="EQH",OR(AV33=1,AV33=2)),"IEQH",""))</f>
        <v/>
      </c>
      <c r="FI33" s="2" t="str">
        <f aca="false">IF(AND(EM33="EQL",OR(AW33=4,AW33=5)),"IEQL",IF(AND(EM33="EQH",OR(AW33=1,AW33=2)),"IEQH",""))</f>
        <v/>
      </c>
      <c r="FJ33" s="2" t="str">
        <f aca="false">IF(AND(EN33="EQL",OR(AX33=4,AX33=5)),"IEQL",IF(AND(EN33="EQH",OR(AX33=1,AX33=2)),"IEQH",""))</f>
        <v/>
      </c>
      <c r="FK33" s="2" t="str">
        <f aca="false">IF(AND(EO33="EQL",OR(AY33=4,AY33=5)),"IEQL",IF(AND(EO33="EQH",OR(AY33=1,AY33=2)),"IEQH",""))</f>
        <v/>
      </c>
      <c r="FL33" s="2" t="str">
        <f aca="false">IF(AND(EP33="EQL",OR(AZ33=4,AZ33=5)),"IEQL",IF(AND(EP33="EQH",OR(AZ33=1,AZ33=2)),"IEQH",""))</f>
        <v/>
      </c>
      <c r="FM33" s="2" t="str">
        <f aca="false">IF(AND(EQ33="EQL",OR(BA33=4,BA33=5)),"IEQL",IF(AND(EQ33="EQH",OR(BA33=1,BA33=2)),"IEQH",""))</f>
        <v/>
      </c>
    </row>
    <row r="34" customFormat="false" ht="14.25" hidden="false" customHeight="false" outlineLevel="0" collapsed="false">
      <c r="A34" s="1" t="n">
        <v>1776940202</v>
      </c>
      <c r="B34" s="1" t="s">
        <v>169</v>
      </c>
      <c r="C34" s="1" t="s">
        <v>170</v>
      </c>
      <c r="D34" s="1" t="n">
        <v>4690.77</v>
      </c>
      <c r="E34" s="1" t="s">
        <v>171</v>
      </c>
      <c r="F34" s="1" t="n">
        <v>4684.26</v>
      </c>
      <c r="G34" s="2" t="n">
        <f aca="false">F32</f>
        <v>4693.06</v>
      </c>
      <c r="H34" s="2" t="n">
        <f aca="false">F30</f>
        <v>4694.34</v>
      </c>
      <c r="I34" s="2" t="n">
        <f aca="false">F28</f>
        <v>4724.03</v>
      </c>
      <c r="J34" s="2" t="n">
        <f aca="false">F26</f>
        <v>4668.61</v>
      </c>
      <c r="K34" s="2" t="n">
        <f aca="false">F24</f>
        <v>4772.78</v>
      </c>
      <c r="L34" s="2" t="n">
        <f aca="false">F22</f>
        <v>4792.42</v>
      </c>
      <c r="M34" s="2" t="n">
        <f aca="false">F20</f>
        <v>4783.51</v>
      </c>
      <c r="N34" s="2" t="n">
        <f aca="false">F18</f>
        <v>4779.8</v>
      </c>
      <c r="O34" s="2" t="n">
        <f aca="false">F16</f>
        <v>4736.96</v>
      </c>
      <c r="P34" s="2" t="n">
        <f aca="false">F14</f>
        <v>4778.83</v>
      </c>
      <c r="Q34" s="2" t="n">
        <f aca="false">F12</f>
        <v>4768.07</v>
      </c>
      <c r="R34" s="1" t="n">
        <v>-40.63</v>
      </c>
      <c r="S34" s="2" t="n">
        <f aca="false">R32</f>
        <v>-60.27</v>
      </c>
      <c r="T34" s="2" t="n">
        <f aca="false">R30</f>
        <v>-55</v>
      </c>
      <c r="U34" s="2" t="n">
        <f aca="false">R28</f>
        <v>-48.12</v>
      </c>
      <c r="V34" s="2" t="n">
        <f aca="false">R26</f>
        <v>-129.3</v>
      </c>
      <c r="W34" s="2" t="n">
        <f aca="false">R24</f>
        <v>-60.47</v>
      </c>
      <c r="X34" s="2" t="n">
        <f aca="false">R22</f>
        <v>-35.32</v>
      </c>
      <c r="Y34" s="2" t="n">
        <f aca="false">R20</f>
        <v>-22.28</v>
      </c>
      <c r="Z34" s="2" t="n">
        <f aca="false">R18</f>
        <v>-34.48</v>
      </c>
      <c r="AA34" s="2" t="n">
        <f aca="false">R16</f>
        <v>-152.25</v>
      </c>
      <c r="AB34" s="2" t="n">
        <f aca="false">R14</f>
        <v>-27.14</v>
      </c>
      <c r="AC34" s="2" t="n">
        <f aca="false">R12</f>
        <v>-33.05</v>
      </c>
      <c r="AD34" s="1" t="n">
        <v>-0.86</v>
      </c>
      <c r="AE34" s="2" t="n">
        <f aca="false">AD32</f>
        <v>-1.27</v>
      </c>
      <c r="AF34" s="2" t="n">
        <f aca="false">AD30</f>
        <v>-1.16</v>
      </c>
      <c r="AG34" s="2" t="n">
        <f aca="false">AD28</f>
        <v>-1.01</v>
      </c>
      <c r="AH34" s="2" t="n">
        <f aca="false">AD26</f>
        <v>-2.69</v>
      </c>
      <c r="AI34" s="2" t="n">
        <f aca="false">AD24</f>
        <v>-1.25</v>
      </c>
      <c r="AJ34" s="2" t="n">
        <f aca="false">AD22</f>
        <v>-0.73</v>
      </c>
      <c r="AK34" s="2" t="n">
        <f aca="false">AD20</f>
        <v>-0.46</v>
      </c>
      <c r="AL34" s="2" t="n">
        <f aca="false">AD18</f>
        <v>-0.72</v>
      </c>
      <c r="AM34" s="2" t="n">
        <f aca="false">AD16</f>
        <v>-3.11</v>
      </c>
      <c r="AN34" s="2" t="n">
        <f aca="false">AD14</f>
        <v>-0.56</v>
      </c>
      <c r="AO34" s="2" t="n">
        <f aca="false">AD12</f>
        <v>-0.69</v>
      </c>
      <c r="AP34" s="1" t="n">
        <v>3</v>
      </c>
      <c r="AQ34" s="2" t="n">
        <f aca="false">AP32</f>
        <v>3</v>
      </c>
      <c r="AR34" s="2" t="n">
        <f aca="false">AP30</f>
        <v>3</v>
      </c>
      <c r="AS34" s="2" t="n">
        <f aca="false">AP28</f>
        <v>3</v>
      </c>
      <c r="AT34" s="2" t="n">
        <f aca="false">AP26</f>
        <v>5</v>
      </c>
      <c r="AU34" s="2" t="n">
        <f aca="false">AP24</f>
        <v>3</v>
      </c>
      <c r="AV34" s="2" t="n">
        <f aca="false">AP22</f>
        <v>3</v>
      </c>
      <c r="AW34" s="2" t="n">
        <f aca="false">AP20</f>
        <v>3</v>
      </c>
      <c r="AX34" s="2" t="n">
        <f aca="false">AP18</f>
        <v>3</v>
      </c>
      <c r="AY34" s="2" t="n">
        <f aca="false">AP16</f>
        <v>5</v>
      </c>
      <c r="AZ34" s="2" t="n">
        <f aca="false">AP14</f>
        <v>3</v>
      </c>
      <c r="BA34" s="2" t="n">
        <f aca="false">AP12</f>
        <v>3</v>
      </c>
      <c r="BB34" s="1" t="n">
        <v>10</v>
      </c>
      <c r="BC34" s="2" t="n">
        <f aca="false">BB32</f>
        <v>19</v>
      </c>
      <c r="BD34" s="2" t="n">
        <f aca="false">BB30</f>
        <v>18</v>
      </c>
      <c r="BE34" s="2" t="n">
        <f aca="false">BB28</f>
        <v>38</v>
      </c>
      <c r="BF34" s="2" t="n">
        <f aca="false">BB26</f>
        <v>31</v>
      </c>
      <c r="BG34" s="2" t="n">
        <f aca="false">BB24</f>
        <v>35</v>
      </c>
      <c r="BH34" s="2" t="n">
        <f aca="false">BB22</f>
        <v>1</v>
      </c>
      <c r="BI34" s="2" t="n">
        <f aca="false">BB20</f>
        <v>9</v>
      </c>
      <c r="BJ34" s="2" t="n">
        <f aca="false">BB18</f>
        <v>15</v>
      </c>
      <c r="BK34" s="2" t="n">
        <f aca="false">BB16</f>
        <v>39</v>
      </c>
      <c r="BL34" s="2" t="n">
        <f aca="false">BB14</f>
        <v>11</v>
      </c>
      <c r="BM34" s="2" t="n">
        <f aca="false">BB12</f>
        <v>3</v>
      </c>
      <c r="BN34" s="1" t="n">
        <v>3</v>
      </c>
      <c r="BO34" s="2" t="n">
        <f aca="false">BN32</f>
        <v>3</v>
      </c>
      <c r="BP34" s="2" t="n">
        <f aca="false">BN30</f>
        <v>3</v>
      </c>
      <c r="BQ34" s="2" t="n">
        <f aca="false">BN28</f>
        <v>4</v>
      </c>
      <c r="BR34" s="2" t="n">
        <f aca="false">BN26</f>
        <v>3</v>
      </c>
      <c r="BS34" s="2" t="n">
        <f aca="false">BN24</f>
        <v>3</v>
      </c>
      <c r="BT34" s="2" t="n">
        <f aca="false">BN22</f>
        <v>3</v>
      </c>
      <c r="BU34" s="2" t="n">
        <f aca="false">BN20</f>
        <v>3</v>
      </c>
      <c r="BV34" s="2" t="n">
        <f aca="false">BN18</f>
        <v>3</v>
      </c>
      <c r="BW34" s="2" t="n">
        <f aca="false">BN16</f>
        <v>4</v>
      </c>
      <c r="BX34" s="2" t="n">
        <f aca="false">BN14</f>
        <v>3</v>
      </c>
      <c r="BY34" s="2" t="n">
        <f aca="false">BN12</f>
        <v>3</v>
      </c>
      <c r="BZ34" s="1" t="n">
        <v>-4.063</v>
      </c>
      <c r="CA34" s="2" t="n">
        <f aca="false">BZ32</f>
        <v>-3.17211</v>
      </c>
      <c r="CB34" s="2" t="n">
        <f aca="false">BZ30</f>
        <v>-3.05556</v>
      </c>
      <c r="CC34" s="2" t="n">
        <f aca="false">BZ28</f>
        <v>-1.26632</v>
      </c>
      <c r="CD34" s="2" t="n">
        <f aca="false">BZ26</f>
        <v>-4.17097</v>
      </c>
      <c r="CE34" s="2" t="n">
        <f aca="false">BZ24</f>
        <v>-1.72771</v>
      </c>
      <c r="CF34" s="2" t="n">
        <f aca="false">BZ22</f>
        <v>-35.32</v>
      </c>
      <c r="CG34" s="2" t="n">
        <f aca="false">BZ20</f>
        <v>-2.47556</v>
      </c>
      <c r="CH34" s="2" t="n">
        <f aca="false">BZ18</f>
        <v>-2.29867</v>
      </c>
      <c r="CI34" s="2" t="n">
        <f aca="false">BZ16</f>
        <v>-3.90385</v>
      </c>
      <c r="CJ34" s="2" t="n">
        <f aca="false">BZ14</f>
        <v>-2.46727</v>
      </c>
      <c r="CK34" s="2" t="n">
        <f aca="false">BZ12</f>
        <v>-11.01667</v>
      </c>
      <c r="CL34" s="1" t="n">
        <v>3</v>
      </c>
      <c r="CM34" s="2" t="n">
        <f aca="false">CL32</f>
        <v>3</v>
      </c>
      <c r="CN34" s="2" t="n">
        <f aca="false">CL30</f>
        <v>3</v>
      </c>
      <c r="CO34" s="2" t="n">
        <f aca="false">CL28</f>
        <v>3</v>
      </c>
      <c r="CP34" s="2" t="n">
        <f aca="false">CL26</f>
        <v>3</v>
      </c>
      <c r="CQ34" s="2" t="n">
        <f aca="false">CL24</f>
        <v>3</v>
      </c>
      <c r="CR34" s="2" t="n">
        <f aca="false">CL22</f>
        <v>5</v>
      </c>
      <c r="CS34" s="2" t="n">
        <f aca="false">CL20</f>
        <v>3</v>
      </c>
      <c r="CT34" s="2" t="n">
        <f aca="false">CL18</f>
        <v>3</v>
      </c>
      <c r="CU34" s="2" t="n">
        <f aca="false">CL16</f>
        <v>3</v>
      </c>
      <c r="CV34" s="2" t="n">
        <f aca="false">CL14</f>
        <v>3</v>
      </c>
      <c r="CW34" s="2" t="n">
        <f aca="false">CL12</f>
        <v>5</v>
      </c>
      <c r="CX34" s="1" t="n">
        <v>-76.173</v>
      </c>
      <c r="CY34" s="2" t="n">
        <f aca="false">CX32</f>
        <v>-72.5026</v>
      </c>
      <c r="CZ34" s="2" t="n">
        <f aca="false">CX30</f>
        <v>-71.8781</v>
      </c>
      <c r="DA34" s="2" t="n">
        <f aca="false">CX28</f>
        <v>-51.7021</v>
      </c>
      <c r="DB34" s="2" t="n">
        <f aca="false">CX26</f>
        <v>-76.5177</v>
      </c>
      <c r="DC34" s="2" t="n">
        <f aca="false">CX24</f>
        <v>-59.9378</v>
      </c>
      <c r="DD34" s="2" t="n">
        <f aca="false">CX22</f>
        <v>-88.3782</v>
      </c>
      <c r="DE34" s="2" t="n">
        <f aca="false">CX20</f>
        <v>-68.0038</v>
      </c>
      <c r="DF34" s="2" t="n">
        <f aca="false">CX18</f>
        <v>-66.4893</v>
      </c>
      <c r="DG34" s="2" t="n">
        <f aca="false">CX16</f>
        <v>-75.6322</v>
      </c>
      <c r="DH34" s="2" t="n">
        <f aca="false">CX14</f>
        <v>-67.937</v>
      </c>
      <c r="DI34" s="2" t="n">
        <f aca="false">CX12</f>
        <v>-84.8134</v>
      </c>
      <c r="DJ34" s="1" t="s">
        <v>172</v>
      </c>
      <c r="DK34" s="2" t="str">
        <f aca="false">DJ32</f>
        <v>LL</v>
      </c>
      <c r="DL34" s="2" t="str">
        <f aca="false">DJ30</f>
        <v>LL</v>
      </c>
      <c r="DM34" s="2" t="str">
        <f aca="false">DJ28</f>
        <v>HL</v>
      </c>
      <c r="DN34" s="2" t="str">
        <f aca="false">DJ26</f>
        <v>LL</v>
      </c>
      <c r="DO34" s="2" t="str">
        <f aca="false">DJ24</f>
        <v>LL</v>
      </c>
      <c r="DP34" s="2" t="str">
        <f aca="false">DJ22</f>
        <v>HL</v>
      </c>
      <c r="DQ34" s="2" t="str">
        <f aca="false">DJ20</f>
        <v>HL</v>
      </c>
      <c r="DR34" s="2" t="str">
        <f aca="false">DJ18</f>
        <v>HL</v>
      </c>
      <c r="DS34" s="2" t="str">
        <f aca="false">DJ16</f>
        <v>LL</v>
      </c>
      <c r="DT34" s="2" t="str">
        <f aca="false">DJ14</f>
        <v>HL</v>
      </c>
      <c r="DU34" s="2" t="str">
        <f aca="false">DJ12</f>
        <v>LL</v>
      </c>
      <c r="DV34" s="2" t="n">
        <f aca="false">IFERROR((G34-$F34)/$F34*100,"")</f>
        <v>0.187863184366371</v>
      </c>
      <c r="DW34" s="2" t="n">
        <f aca="false">IFERROR((H34-$F34)/$F34*100,"")</f>
        <v>0.215188738456019</v>
      </c>
      <c r="DX34" s="2" t="n">
        <f aca="false">IFERROR((I34-$F34)/$F34*100,"")</f>
        <v>0.849013504801175</v>
      </c>
      <c r="DY34" s="2" t="n">
        <f aca="false">IFERROR((J34-$F34)/$F34*100,"")</f>
        <v>-0.33409759492429</v>
      </c>
      <c r="DZ34" s="2" t="n">
        <f aca="false">IFERROR((K34-$F34)/$F34*100,"")</f>
        <v>1.88973285001259</v>
      </c>
      <c r="EA34" s="2" t="n">
        <f aca="false">IFERROR((L34-$F34)/$F34*100,"")</f>
        <v>2.30900932057571</v>
      </c>
      <c r="EB34" s="2" t="n">
        <f aca="false">IFERROR((M34-$F34)/$F34*100,"")</f>
        <v>2.11879784640477</v>
      </c>
      <c r="EC34" s="2" t="n">
        <f aca="false">IFERROR((N34-$F34)/$F34*100,"")</f>
        <v>2.03959643572304</v>
      </c>
      <c r="ED34" s="2" t="n">
        <f aca="false">IFERROR((O34-$F34)/$F34*100,"")</f>
        <v>1.12504429728495</v>
      </c>
      <c r="EE34" s="2" t="n">
        <f aca="false">IFERROR((P34-$F34)/$F34*100,"")</f>
        <v>2.01888878926447</v>
      </c>
      <c r="EF34" s="2" t="n">
        <f aca="false">IFERROR((Q34-$F34)/$F34*100,"")</f>
        <v>1.78918335019831</v>
      </c>
      <c r="EG34" s="2" t="str">
        <f aca="false">IF(DV34="","",IF(AND(ABS(DV34)&lt;=0.25,$E34="Bottom",DK34="LL"),"EQL",IF(AND(ABS(DV34)&lt;=0.25,$E34="Peak",DK34="HH"),"EQH","")))</f>
        <v>EQL</v>
      </c>
      <c r="EH34" s="2" t="str">
        <f aca="false">IF(DW34="","",IF(AND(ABS(DW34)&lt;=0.25,$E34="Bottom",DL34="LL"),"EQL",IF(AND(ABS(DW34)&lt;=0.25,$E34="Peak",DL34="HH"),"EQH","")))</f>
        <v>EQL</v>
      </c>
      <c r="EI34" s="2" t="str">
        <f aca="false">IF(DX34="","",IF(AND(ABS(DX34)&lt;=0.25,$E34="Bottom",DM34="LL"),"EQL",IF(AND(ABS(DX34)&lt;=0.25,$E34="Peak",DM34="HH"),"EQH","")))</f>
        <v/>
      </c>
      <c r="EJ34" s="2" t="str">
        <f aca="false">IF(DY34="","",IF(AND(ABS(DY34)&lt;=0.25,$E34="Bottom",DN34="LL"),"EQL",IF(AND(ABS(DY34)&lt;=0.25,$E34="Peak",DN34="HH"),"EQH","")))</f>
        <v/>
      </c>
      <c r="EK34" s="2" t="str">
        <f aca="false">IF(DZ34="","",IF(AND(ABS(DZ34)&lt;=0.25,$E34="Bottom",DO34="LL"),"EQL",IF(AND(ABS(DZ34)&lt;=0.25,$E34="Peak",DO34="HH"),"EQH","")))</f>
        <v/>
      </c>
      <c r="EL34" s="2" t="str">
        <f aca="false">IF(EA34="","",IF(AND(ABS(EA34)&lt;=0.25,$E34="Bottom",DP34="LL"),"EQL",IF(AND(ABS(EA34)&lt;=0.25,$E34="Peak",DP34="HH"),"EQH","")))</f>
        <v/>
      </c>
      <c r="EM34" s="2" t="str">
        <f aca="false">IF(EB34="","",IF(AND(ABS(EB34)&lt;=0.25,$E34="Bottom",DQ34="LL"),"EQL",IF(AND(ABS(EB34)&lt;=0.25,$E34="Peak",DQ34="HH"),"EQH","")))</f>
        <v/>
      </c>
      <c r="EN34" s="2" t="str">
        <f aca="false">IF(EC34="","",IF(AND(ABS(EC34)&lt;=0.25,$E34="Bottom",DR34="LL"),"EQL",IF(AND(ABS(EC34)&lt;=0.25,$E34="Peak",DR34="HH"),"EQH","")))</f>
        <v/>
      </c>
      <c r="EO34" s="2" t="str">
        <f aca="false">IF(ED34="","",IF(AND(ABS(ED34)&lt;=0.25,$E34="Bottom",DS34="LL"),"EQL",IF(AND(ABS(ED34)&lt;=0.25,$E34="Peak",DS34="HH"),"EQH","")))</f>
        <v/>
      </c>
      <c r="EP34" s="2" t="str">
        <f aca="false">IF(EE34="","",IF(AND(ABS(EE34)&lt;=0.25,$E34="Bottom",DT34="LL"),"EQL",IF(AND(ABS(EE34)&lt;=0.25,$E34="Peak",DT34="HH"),"EQH","")))</f>
        <v/>
      </c>
      <c r="EQ34" s="2" t="str">
        <f aca="false">IF(EF34="","",IF(AND(ABS(EF34)&lt;=0.25,$E34="Bottom",DU34="LL"),"EQL",IF(AND(ABS(EF34)&lt;=0.25,$E34="Peak",DU34="HH"),"EQH","")))</f>
        <v/>
      </c>
      <c r="ER34" s="2" t="n">
        <f aca="false">IF(OR(EG34="EQL",EG34="EQH"),G34,"")</f>
        <v>4693.06</v>
      </c>
      <c r="ES34" s="2" t="n">
        <f aca="false">IF(OR(EH34="EQL",EH34="EQH"),H34,"")</f>
        <v>4694.34</v>
      </c>
      <c r="ET34" s="2" t="str">
        <f aca="false">IF(OR(EI34="EQL",EI34="EQH"),I34,"")</f>
        <v/>
      </c>
      <c r="EU34" s="2" t="str">
        <f aca="false">IF(OR(EJ34="EQL",EJ34="EQH"),J34,"")</f>
        <v/>
      </c>
      <c r="EV34" s="2" t="str">
        <f aca="false">IF(OR(EK34="EQL",EK34="EQH"),K34,"")</f>
        <v/>
      </c>
      <c r="EW34" s="2" t="str">
        <f aca="false">IF(OR(EL34="EQL",EL34="EQH"),L34,"")</f>
        <v/>
      </c>
      <c r="EX34" s="2" t="str">
        <f aca="false">IF(OR(EM34="EQL",EM34="EQH"),M34,"")</f>
        <v/>
      </c>
      <c r="EY34" s="2" t="str">
        <f aca="false">IF(OR(EN34="EQL",EN34="EQH"),N34,"")</f>
        <v/>
      </c>
      <c r="EZ34" s="2" t="str">
        <f aca="false">IF(OR(EO34="EQL",EO34="EQH"),O34,"")</f>
        <v/>
      </c>
      <c r="FA34" s="2" t="str">
        <f aca="false">IF(OR(EP34="EQL",EP34="EQH"),P34,"")</f>
        <v/>
      </c>
      <c r="FB34" s="2" t="str">
        <f aca="false">IF(OR(EQ34="EQL",EQ34="EQH"),Q34,"")</f>
        <v/>
      </c>
      <c r="FC34" s="2" t="str">
        <f aca="false">IF(AND(EG34="EQL",OR(AQ34=4,AQ34=5)),"IEQL",IF(AND(EG34="EQH",OR(AQ34=1,AQ34=2)),"IEQH",""))</f>
        <v/>
      </c>
      <c r="FD34" s="2" t="str">
        <f aca="false">IF(AND(EH34="EQL",OR(AR34=4,AR34=5)),"IEQL",IF(AND(EH34="EQH",OR(AR34=1,AR34=2)),"IEQH",""))</f>
        <v/>
      </c>
      <c r="FE34" s="2" t="str">
        <f aca="false">IF(AND(EI34="EQL",OR(AS34=4,AS34=5)),"IEQL",IF(AND(EI34="EQH",OR(AS34=1,AS34=2)),"IEQH",""))</f>
        <v/>
      </c>
      <c r="FF34" s="2" t="str">
        <f aca="false">IF(AND(EJ34="EQL",OR(AT34=4,AT34=5)),"IEQL",IF(AND(EJ34="EQH",OR(AT34=1,AT34=2)),"IEQH",""))</f>
        <v/>
      </c>
      <c r="FG34" s="2" t="str">
        <f aca="false">IF(AND(EK34="EQL",OR(AU34=4,AU34=5)),"IEQL",IF(AND(EK34="EQH",OR(AU34=1,AU34=2)),"IEQH",""))</f>
        <v/>
      </c>
      <c r="FH34" s="2" t="str">
        <f aca="false">IF(AND(EL34="EQL",OR(AV34=4,AV34=5)),"IEQL",IF(AND(EL34="EQH",OR(AV34=1,AV34=2)),"IEQH",""))</f>
        <v/>
      </c>
      <c r="FI34" s="2" t="str">
        <f aca="false">IF(AND(EM34="EQL",OR(AW34=4,AW34=5)),"IEQL",IF(AND(EM34="EQH",OR(AW34=1,AW34=2)),"IEQH",""))</f>
        <v/>
      </c>
      <c r="FJ34" s="2" t="str">
        <f aca="false">IF(AND(EN34="EQL",OR(AX34=4,AX34=5)),"IEQL",IF(AND(EN34="EQH",OR(AX34=1,AX34=2)),"IEQH",""))</f>
        <v/>
      </c>
      <c r="FK34" s="2" t="str">
        <f aca="false">IF(AND(EO34="EQL",OR(AY34=4,AY34=5)),"IEQL",IF(AND(EO34="EQH",OR(AY34=1,AY34=2)),"IEQH",""))</f>
        <v/>
      </c>
      <c r="FL34" s="2" t="str">
        <f aca="false">IF(AND(EP34="EQL",OR(AZ34=4,AZ34=5)),"IEQL",IF(AND(EP34="EQH",OR(AZ34=1,AZ34=2)),"IEQH",""))</f>
        <v/>
      </c>
      <c r="FM34" s="2" t="str">
        <f aca="false">IF(AND(EQ34="EQL",OR(BA34=4,BA34=5)),"IEQL",IF(AND(EQ34="EQH",OR(BA34=1,BA34=2)),"IEQH",""))</f>
        <v/>
      </c>
    </row>
    <row r="35" customFormat="false" ht="14.25" hidden="false" customHeight="false" outlineLevel="0" collapsed="false">
      <c r="A35" s="1" t="n">
        <v>1776948302</v>
      </c>
      <c r="B35" s="1" t="s">
        <v>169</v>
      </c>
      <c r="C35" s="1" t="s">
        <v>170</v>
      </c>
      <c r="D35" s="1" t="n">
        <v>4740.04</v>
      </c>
      <c r="E35" s="1" t="s">
        <v>173</v>
      </c>
      <c r="F35" s="1" t="n">
        <v>4743.22</v>
      </c>
      <c r="G35" s="2" t="n">
        <f aca="false">F33</f>
        <v>4724.89</v>
      </c>
      <c r="H35" s="2" t="n">
        <f aca="false">F31</f>
        <v>4753.33</v>
      </c>
      <c r="I35" s="2" t="n">
        <f aca="false">F29</f>
        <v>4749.34</v>
      </c>
      <c r="J35" s="2" t="n">
        <f aca="false">F27</f>
        <v>4772.15</v>
      </c>
      <c r="K35" s="2" t="n">
        <f aca="false">F25</f>
        <v>4797.91</v>
      </c>
      <c r="L35" s="2" t="n">
        <f aca="false">F23</f>
        <v>4833.25</v>
      </c>
      <c r="M35" s="2" t="n">
        <f aca="false">F21</f>
        <v>4827.74</v>
      </c>
      <c r="N35" s="2" t="n">
        <f aca="false">F19</f>
        <v>4805.79</v>
      </c>
      <c r="O35" s="2" t="n">
        <f aca="false">F17</f>
        <v>4814.28</v>
      </c>
      <c r="P35" s="2" t="n">
        <f aca="false">F15</f>
        <v>4889.21</v>
      </c>
      <c r="Q35" s="2" t="n">
        <f aca="false">F13</f>
        <v>4805.97</v>
      </c>
      <c r="R35" s="1" t="n">
        <v>58.96</v>
      </c>
      <c r="S35" s="2" t="n">
        <f aca="false">R33</f>
        <v>31.83</v>
      </c>
      <c r="T35" s="2" t="n">
        <f aca="false">R31</f>
        <v>58.99</v>
      </c>
      <c r="U35" s="2" t="n">
        <f aca="false">R29</f>
        <v>25.31</v>
      </c>
      <c r="V35" s="2" t="n">
        <f aca="false">R27</f>
        <v>103.54</v>
      </c>
      <c r="W35" s="2" t="n">
        <f aca="false">R25</f>
        <v>25.13</v>
      </c>
      <c r="X35" s="2" t="n">
        <f aca="false">R23</f>
        <v>40.83</v>
      </c>
      <c r="Y35" s="2" t="n">
        <f aca="false">R21</f>
        <v>44.23</v>
      </c>
      <c r="Z35" s="2" t="n">
        <f aca="false">R19</f>
        <v>25.99</v>
      </c>
      <c r="AA35" s="2" t="n">
        <f aca="false">R17</f>
        <v>77.32</v>
      </c>
      <c r="AB35" s="2" t="n">
        <f aca="false">R15</f>
        <v>110.38</v>
      </c>
      <c r="AC35" s="2" t="n">
        <f aca="false">R13</f>
        <v>37.9</v>
      </c>
      <c r="AD35" s="1" t="n">
        <v>1.26</v>
      </c>
      <c r="AE35" s="2" t="n">
        <f aca="false">AD33</f>
        <v>0.68</v>
      </c>
      <c r="AF35" s="2" t="n">
        <f aca="false">AD31</f>
        <v>1.26</v>
      </c>
      <c r="AG35" s="2" t="n">
        <f aca="false">AD29</f>
        <v>0.54</v>
      </c>
      <c r="AH35" s="2" t="n">
        <f aca="false">AD27</f>
        <v>2.22</v>
      </c>
      <c r="AI35" s="2" t="n">
        <f aca="false">AD25</f>
        <v>0.53</v>
      </c>
      <c r="AJ35" s="2" t="n">
        <f aca="false">AD23</f>
        <v>0.85</v>
      </c>
      <c r="AK35" s="2" t="n">
        <f aca="false">AD21</f>
        <v>0.92</v>
      </c>
      <c r="AL35" s="2" t="n">
        <f aca="false">AD19</f>
        <v>0.54</v>
      </c>
      <c r="AM35" s="2" t="n">
        <f aca="false">AD17</f>
        <v>1.63</v>
      </c>
      <c r="AN35" s="2" t="n">
        <f aca="false">AD15</f>
        <v>2.31</v>
      </c>
      <c r="AO35" s="2" t="n">
        <f aca="false">AD13</f>
        <v>0.79</v>
      </c>
      <c r="AP35" s="1" t="n">
        <v>0</v>
      </c>
      <c r="AQ35" s="2" t="n">
        <f aca="false">AP33</f>
        <v>0</v>
      </c>
      <c r="AR35" s="2" t="n">
        <f aca="false">AP31</f>
        <v>0</v>
      </c>
      <c r="AS35" s="2" t="n">
        <f aca="false">AP29</f>
        <v>0</v>
      </c>
      <c r="AT35" s="2" t="n">
        <f aca="false">AP27</f>
        <v>1</v>
      </c>
      <c r="AU35" s="2" t="n">
        <f aca="false">AP25</f>
        <v>0</v>
      </c>
      <c r="AV35" s="2" t="n">
        <f aca="false">AP23</f>
        <v>0</v>
      </c>
      <c r="AW35" s="2" t="n">
        <f aca="false">AP21</f>
        <v>0</v>
      </c>
      <c r="AX35" s="2" t="n">
        <f aca="false">AP19</f>
        <v>0</v>
      </c>
      <c r="AY35" s="2" t="n">
        <f aca="false">AP17</f>
        <v>0</v>
      </c>
      <c r="AZ35" s="2" t="n">
        <f aca="false">AP15</f>
        <v>0</v>
      </c>
      <c r="BA35" s="2" t="n">
        <f aca="false">AP13</f>
        <v>0</v>
      </c>
      <c r="BB35" s="1" t="n">
        <v>9</v>
      </c>
      <c r="BC35" s="2" t="n">
        <f aca="false">BB33</f>
        <v>10</v>
      </c>
      <c r="BD35" s="2" t="n">
        <f aca="false">BB31</f>
        <v>2</v>
      </c>
      <c r="BE35" s="2" t="n">
        <f aca="false">BB29</f>
        <v>9</v>
      </c>
      <c r="BF35" s="2" t="n">
        <f aca="false">BB27</f>
        <v>42</v>
      </c>
      <c r="BG35" s="2" t="n">
        <f aca="false">BB25</f>
        <v>19</v>
      </c>
      <c r="BH35" s="2" t="n">
        <f aca="false">BB23</f>
        <v>26</v>
      </c>
      <c r="BI35" s="2" t="n">
        <f aca="false">BB21</f>
        <v>20</v>
      </c>
      <c r="BJ35" s="2" t="n">
        <f aca="false">BB19</f>
        <v>7</v>
      </c>
      <c r="BK35" s="2" t="n">
        <f aca="false">BB17</f>
        <v>8</v>
      </c>
      <c r="BL35" s="2" t="n">
        <f aca="false">BB15</f>
        <v>21</v>
      </c>
      <c r="BM35" s="2" t="n">
        <f aca="false">BB13</f>
        <v>14</v>
      </c>
      <c r="BN35" s="1" t="n">
        <v>0</v>
      </c>
      <c r="BO35" s="2" t="n">
        <f aca="false">BN33</f>
        <v>0</v>
      </c>
      <c r="BP35" s="2" t="n">
        <f aca="false">BN31</f>
        <v>0</v>
      </c>
      <c r="BQ35" s="2" t="n">
        <f aca="false">BN29</f>
        <v>0</v>
      </c>
      <c r="BR35" s="2" t="n">
        <f aca="false">BN27</f>
        <v>1</v>
      </c>
      <c r="BS35" s="2" t="n">
        <f aca="false">BN25</f>
        <v>0</v>
      </c>
      <c r="BT35" s="2" t="n">
        <f aca="false">BN23</f>
        <v>0</v>
      </c>
      <c r="BU35" s="2" t="n">
        <f aca="false">BN21</f>
        <v>0</v>
      </c>
      <c r="BV35" s="2" t="n">
        <f aca="false">BN19</f>
        <v>0</v>
      </c>
      <c r="BW35" s="2" t="n">
        <f aca="false">BN17</f>
        <v>0</v>
      </c>
      <c r="BX35" s="2" t="n">
        <f aca="false">BN15</f>
        <v>0</v>
      </c>
      <c r="BY35" s="2" t="n">
        <f aca="false">BN13</f>
        <v>0</v>
      </c>
      <c r="BZ35" s="1" t="n">
        <v>6.55111</v>
      </c>
      <c r="CA35" s="2" t="n">
        <f aca="false">BZ33</f>
        <v>3.183</v>
      </c>
      <c r="CB35" s="2" t="n">
        <f aca="false">BZ31</f>
        <v>29.495</v>
      </c>
      <c r="CC35" s="2" t="n">
        <f aca="false">BZ29</f>
        <v>2.81222</v>
      </c>
      <c r="CD35" s="2" t="n">
        <f aca="false">BZ27</f>
        <v>2.46524</v>
      </c>
      <c r="CE35" s="2" t="n">
        <f aca="false">BZ25</f>
        <v>1.32263</v>
      </c>
      <c r="CF35" s="2" t="n">
        <f aca="false">BZ23</f>
        <v>1.57038</v>
      </c>
      <c r="CG35" s="2" t="n">
        <f aca="false">BZ21</f>
        <v>2.2115</v>
      </c>
      <c r="CH35" s="2" t="n">
        <f aca="false">BZ19</f>
        <v>3.71286</v>
      </c>
      <c r="CI35" s="2" t="n">
        <f aca="false">BZ17</f>
        <v>9.665</v>
      </c>
      <c r="CJ35" s="2" t="n">
        <f aca="false">BZ15</f>
        <v>5.25619</v>
      </c>
      <c r="CK35" s="2" t="n">
        <f aca="false">BZ13</f>
        <v>2.70714</v>
      </c>
      <c r="CL35" s="1" t="n">
        <v>0</v>
      </c>
      <c r="CM35" s="2" t="n">
        <f aca="false">CL33</f>
        <v>0</v>
      </c>
      <c r="CN35" s="2" t="n">
        <f aca="false">CL31</f>
        <v>2</v>
      </c>
      <c r="CO35" s="2" t="n">
        <f aca="false">CL29</f>
        <v>0</v>
      </c>
      <c r="CP35" s="2" t="n">
        <f aca="false">CL27</f>
        <v>0</v>
      </c>
      <c r="CQ35" s="2" t="n">
        <f aca="false">CL25</f>
        <v>0</v>
      </c>
      <c r="CR35" s="2" t="n">
        <f aca="false">CL23</f>
        <v>0</v>
      </c>
      <c r="CS35" s="2" t="n">
        <f aca="false">CL21</f>
        <v>0</v>
      </c>
      <c r="CT35" s="2" t="n">
        <f aca="false">CL19</f>
        <v>0</v>
      </c>
      <c r="CU35" s="2" t="n">
        <f aca="false">CL17</f>
        <v>1</v>
      </c>
      <c r="CV35" s="2" t="n">
        <f aca="false">CL15</f>
        <v>0</v>
      </c>
      <c r="CW35" s="2" t="n">
        <f aca="false">CL13</f>
        <v>0</v>
      </c>
      <c r="CX35" s="1" t="n">
        <v>81.321</v>
      </c>
      <c r="CY35" s="2" t="n">
        <f aca="false">CX33</f>
        <v>72.5589</v>
      </c>
      <c r="CZ35" s="2" t="n">
        <f aca="false">CX31</f>
        <v>88.0582</v>
      </c>
      <c r="DA35" s="2" t="n">
        <f aca="false">CX29</f>
        <v>70.4251</v>
      </c>
      <c r="DB35" s="2" t="n">
        <f aca="false">CX27</f>
        <v>67.9205</v>
      </c>
      <c r="DC35" s="2" t="n">
        <f aca="false">CX25</f>
        <v>52.9082</v>
      </c>
      <c r="DD35" s="2" t="n">
        <f aca="false">CX23</f>
        <v>57.5116</v>
      </c>
      <c r="DE35" s="2" t="n">
        <f aca="false">CX21</f>
        <v>65.6684</v>
      </c>
      <c r="DF35" s="2" t="n">
        <f aca="false">CX19</f>
        <v>74.926</v>
      </c>
      <c r="DG35" s="2" t="n">
        <f aca="false">CX17</f>
        <v>84.0928</v>
      </c>
      <c r="DH35" s="2" t="n">
        <f aca="false">CX15</f>
        <v>79.2281</v>
      </c>
      <c r="DI35" s="2" t="n">
        <f aca="false">CX13</f>
        <v>69.7261</v>
      </c>
      <c r="DJ35" s="1" t="s">
        <v>176</v>
      </c>
      <c r="DK35" s="2" t="str">
        <f aca="false">DJ33</f>
        <v>LH</v>
      </c>
      <c r="DL35" s="2" t="str">
        <f aca="false">DJ31</f>
        <v>HH</v>
      </c>
      <c r="DM35" s="2" t="str">
        <f aca="false">DJ29</f>
        <v>LH</v>
      </c>
      <c r="DN35" s="2" t="str">
        <f aca="false">DJ27</f>
        <v>LH</v>
      </c>
      <c r="DO35" s="2" t="str">
        <f aca="false">DJ25</f>
        <v>LH</v>
      </c>
      <c r="DP35" s="2" t="str">
        <f aca="false">DJ23</f>
        <v>HH</v>
      </c>
      <c r="DQ35" s="2" t="str">
        <f aca="false">DJ21</f>
        <v>HH</v>
      </c>
      <c r="DR35" s="2" t="str">
        <f aca="false">DJ19</f>
        <v>LH</v>
      </c>
      <c r="DS35" s="2" t="str">
        <f aca="false">DJ17</f>
        <v>LH</v>
      </c>
      <c r="DT35" s="2" t="str">
        <f aca="false">DJ15</f>
        <v>HH</v>
      </c>
      <c r="DU35" s="2" t="str">
        <f aca="false">DJ13</f>
        <v>HH</v>
      </c>
      <c r="DV35" s="2" t="n">
        <f aca="false">IFERROR((G35-$F35)/$F35*100,"")</f>
        <v>-0.386446338141598</v>
      </c>
      <c r="DW35" s="2" t="n">
        <f aca="false">IFERROR((H35-$F35)/$F35*100,"")</f>
        <v>0.213146343623101</v>
      </c>
      <c r="DX35" s="2" t="n">
        <f aca="false">IFERROR((I35-$F35)/$F35*100,"")</f>
        <v>0.129026273291137</v>
      </c>
      <c r="DY35" s="2" t="n">
        <f aca="false">IFERROR((J35-$F35)/$F35*100,"")</f>
        <v>0.609923216717744</v>
      </c>
      <c r="DZ35" s="2" t="n">
        <f aca="false">IFERROR((K35-$F35)/$F35*100,"")</f>
        <v>1.1530141971066</v>
      </c>
      <c r="EA35" s="2" t="n">
        <f aca="false">IFERROR((L35-$F35)/$F35*100,"")</f>
        <v>1.89807767718975</v>
      </c>
      <c r="EB35" s="2" t="n">
        <f aca="false">IFERROR((M35-$F35)/$F35*100,"")</f>
        <v>1.78191186577893</v>
      </c>
      <c r="EC35" s="2" t="n">
        <f aca="false">IFERROR((N35-$F35)/$F35*100,"")</f>
        <v>1.31914606533114</v>
      </c>
      <c r="ED35" s="2" t="n">
        <f aca="false">IFERROR((O35-$F35)/$F35*100,"")</f>
        <v>1.498138395436</v>
      </c>
      <c r="EE35" s="2" t="n">
        <f aca="false">IFERROR((P35-$F35)/$F35*100,"")</f>
        <v>3.07786693427671</v>
      </c>
      <c r="EF35" s="2" t="n">
        <f aca="false">IFERROR((Q35-$F35)/$F35*100,"")</f>
        <v>1.32294095572206</v>
      </c>
      <c r="EG35" s="2" t="str">
        <f aca="false">IF(DV35="","",IF(AND(ABS(DV35)&lt;=0.25,$E35="Bottom",DK35="LL"),"EQL",IF(AND(ABS(DV35)&lt;=0.25,$E35="Peak",DK35="HH"),"EQH","")))</f>
        <v/>
      </c>
      <c r="EH35" s="2" t="str">
        <f aca="false">IF(DW35="","",IF(AND(ABS(DW35)&lt;=0.25,$E35="Bottom",DL35="LL"),"EQL",IF(AND(ABS(DW35)&lt;=0.25,$E35="Peak",DL35="HH"),"EQH","")))</f>
        <v>EQH</v>
      </c>
      <c r="EI35" s="2" t="str">
        <f aca="false">IF(DX35="","",IF(AND(ABS(DX35)&lt;=0.25,$E35="Bottom",DM35="LL"),"EQL",IF(AND(ABS(DX35)&lt;=0.25,$E35="Peak",DM35="HH"),"EQH","")))</f>
        <v/>
      </c>
      <c r="EJ35" s="2" t="str">
        <f aca="false">IF(DY35="","",IF(AND(ABS(DY35)&lt;=0.25,$E35="Bottom",DN35="LL"),"EQL",IF(AND(ABS(DY35)&lt;=0.25,$E35="Peak",DN35="HH"),"EQH","")))</f>
        <v/>
      </c>
      <c r="EK35" s="2" t="str">
        <f aca="false">IF(DZ35="","",IF(AND(ABS(DZ35)&lt;=0.25,$E35="Bottom",DO35="LL"),"EQL",IF(AND(ABS(DZ35)&lt;=0.25,$E35="Peak",DO35="HH"),"EQH","")))</f>
        <v/>
      </c>
      <c r="EL35" s="2" t="str">
        <f aca="false">IF(EA35="","",IF(AND(ABS(EA35)&lt;=0.25,$E35="Bottom",DP35="LL"),"EQL",IF(AND(ABS(EA35)&lt;=0.25,$E35="Peak",DP35="HH"),"EQH","")))</f>
        <v/>
      </c>
      <c r="EM35" s="2" t="str">
        <f aca="false">IF(EB35="","",IF(AND(ABS(EB35)&lt;=0.25,$E35="Bottom",DQ35="LL"),"EQL",IF(AND(ABS(EB35)&lt;=0.25,$E35="Peak",DQ35="HH"),"EQH","")))</f>
        <v/>
      </c>
      <c r="EN35" s="2" t="str">
        <f aca="false">IF(EC35="","",IF(AND(ABS(EC35)&lt;=0.25,$E35="Bottom",DR35="LL"),"EQL",IF(AND(ABS(EC35)&lt;=0.25,$E35="Peak",DR35="HH"),"EQH","")))</f>
        <v/>
      </c>
      <c r="EO35" s="2" t="str">
        <f aca="false">IF(ED35="","",IF(AND(ABS(ED35)&lt;=0.25,$E35="Bottom",DS35="LL"),"EQL",IF(AND(ABS(ED35)&lt;=0.25,$E35="Peak",DS35="HH"),"EQH","")))</f>
        <v/>
      </c>
      <c r="EP35" s="2" t="str">
        <f aca="false">IF(EE35="","",IF(AND(ABS(EE35)&lt;=0.25,$E35="Bottom",DT35="LL"),"EQL",IF(AND(ABS(EE35)&lt;=0.25,$E35="Peak",DT35="HH"),"EQH","")))</f>
        <v/>
      </c>
      <c r="EQ35" s="2" t="str">
        <f aca="false">IF(EF35="","",IF(AND(ABS(EF35)&lt;=0.25,$E35="Bottom",DU35="LL"),"EQL",IF(AND(ABS(EF35)&lt;=0.25,$E35="Peak",DU35="HH"),"EQH","")))</f>
        <v/>
      </c>
      <c r="ER35" s="2" t="str">
        <f aca="false">IF(OR(EG35="EQL",EG35="EQH"),G35,"")</f>
        <v/>
      </c>
      <c r="ES35" s="2" t="n">
        <f aca="false">IF(OR(EH35="EQL",EH35="EQH"),H35,"")</f>
        <v>4753.33</v>
      </c>
      <c r="ET35" s="2" t="str">
        <f aca="false">IF(OR(EI35="EQL",EI35="EQH"),I35,"")</f>
        <v/>
      </c>
      <c r="EU35" s="2" t="str">
        <f aca="false">IF(OR(EJ35="EQL",EJ35="EQH"),J35,"")</f>
        <v/>
      </c>
      <c r="EV35" s="2" t="str">
        <f aca="false">IF(OR(EK35="EQL",EK35="EQH"),K35,"")</f>
        <v/>
      </c>
      <c r="EW35" s="2" t="str">
        <f aca="false">IF(OR(EL35="EQL",EL35="EQH"),L35,"")</f>
        <v/>
      </c>
      <c r="EX35" s="2" t="str">
        <f aca="false">IF(OR(EM35="EQL",EM35="EQH"),M35,"")</f>
        <v/>
      </c>
      <c r="EY35" s="2" t="str">
        <f aca="false">IF(OR(EN35="EQL",EN35="EQH"),N35,"")</f>
        <v/>
      </c>
      <c r="EZ35" s="2" t="str">
        <f aca="false">IF(OR(EO35="EQL",EO35="EQH"),O35,"")</f>
        <v/>
      </c>
      <c r="FA35" s="2" t="str">
        <f aca="false">IF(OR(EP35="EQL",EP35="EQH"),P35,"")</f>
        <v/>
      </c>
      <c r="FB35" s="2" t="str">
        <f aca="false">IF(OR(EQ35="EQL",EQ35="EQH"),Q35,"")</f>
        <v/>
      </c>
      <c r="FC35" s="2" t="str">
        <f aca="false">IF(AND(EG35="EQL",OR(AQ35=4,AQ35=5)),"IEQL",IF(AND(EG35="EQH",OR(AQ35=1,AQ35=2)),"IEQH",""))</f>
        <v/>
      </c>
      <c r="FD35" s="2" t="str">
        <f aca="false">IF(AND(EH35="EQL",OR(AR35=4,AR35=5)),"IEQL",IF(AND(EH35="EQH",OR(AR35=1,AR35=2)),"IEQH",""))</f>
        <v/>
      </c>
      <c r="FE35" s="2" t="str">
        <f aca="false">IF(AND(EI35="EQL",OR(AS35=4,AS35=5)),"IEQL",IF(AND(EI35="EQH",OR(AS35=1,AS35=2)),"IEQH",""))</f>
        <v/>
      </c>
      <c r="FF35" s="2" t="str">
        <f aca="false">IF(AND(EJ35="EQL",OR(AT35=4,AT35=5)),"IEQL",IF(AND(EJ35="EQH",OR(AT35=1,AT35=2)),"IEQH",""))</f>
        <v/>
      </c>
      <c r="FG35" s="2" t="str">
        <f aca="false">IF(AND(EK35="EQL",OR(AU35=4,AU35=5)),"IEQL",IF(AND(EK35="EQH",OR(AU35=1,AU35=2)),"IEQH",""))</f>
        <v/>
      </c>
      <c r="FH35" s="2" t="str">
        <f aca="false">IF(AND(EL35="EQL",OR(AV35=4,AV35=5)),"IEQL",IF(AND(EL35="EQH",OR(AV35=1,AV35=2)),"IEQH",""))</f>
        <v/>
      </c>
      <c r="FI35" s="2" t="str">
        <f aca="false">IF(AND(EM35="EQL",OR(AW35=4,AW35=5)),"IEQL",IF(AND(EM35="EQH",OR(AW35=1,AW35=2)),"IEQH",""))</f>
        <v/>
      </c>
      <c r="FJ35" s="2" t="str">
        <f aca="false">IF(AND(EN35="EQL",OR(AX35=4,AX35=5)),"IEQL",IF(AND(EN35="EQH",OR(AX35=1,AX35=2)),"IEQH",""))</f>
        <v/>
      </c>
      <c r="FK35" s="2" t="str">
        <f aca="false">IF(AND(EO35="EQL",OR(AY35=4,AY35=5)),"IEQL",IF(AND(EO35="EQH",OR(AY35=1,AY35=2)),"IEQH",""))</f>
        <v/>
      </c>
      <c r="FL35" s="2" t="str">
        <f aca="false">IF(AND(EP35="EQL",OR(AZ35=4,AZ35=5)),"IEQL",IF(AND(EP35="EQH",OR(AZ35=1,AZ35=2)),"IEQH",""))</f>
        <v/>
      </c>
      <c r="FM35" s="2" t="str">
        <f aca="false">IF(AND(EQ35="EQL",OR(BA35=4,BA35=5)),"IEQL",IF(AND(EQ35="EQH",OR(BA35=1,BA35=2)),"IEQH",""))</f>
        <v/>
      </c>
    </row>
    <row r="36" customFormat="false" ht="14.25" hidden="false" customHeight="false" outlineLevel="0" collapsed="false">
      <c r="A36" s="1" t="n">
        <v>1776966302</v>
      </c>
      <c r="B36" s="1" t="s">
        <v>169</v>
      </c>
      <c r="C36" s="1" t="s">
        <v>170</v>
      </c>
      <c r="D36" s="1" t="n">
        <v>4709.41</v>
      </c>
      <c r="E36" s="1" t="s">
        <v>171</v>
      </c>
      <c r="F36" s="1" t="n">
        <v>4664.3</v>
      </c>
      <c r="G36" s="2" t="n">
        <f aca="false">F34</f>
        <v>4684.26</v>
      </c>
      <c r="H36" s="2" t="n">
        <f aca="false">F32</f>
        <v>4693.06</v>
      </c>
      <c r="I36" s="2" t="n">
        <f aca="false">F30</f>
        <v>4694.34</v>
      </c>
      <c r="J36" s="2" t="n">
        <f aca="false">F28</f>
        <v>4724.03</v>
      </c>
      <c r="K36" s="2" t="n">
        <f aca="false">F26</f>
        <v>4668.61</v>
      </c>
      <c r="L36" s="2" t="n">
        <f aca="false">F24</f>
        <v>4772.78</v>
      </c>
      <c r="M36" s="2" t="n">
        <f aca="false">F22</f>
        <v>4792.42</v>
      </c>
      <c r="N36" s="2" t="n">
        <f aca="false">F20</f>
        <v>4783.51</v>
      </c>
      <c r="O36" s="2" t="n">
        <f aca="false">F18</f>
        <v>4779.8</v>
      </c>
      <c r="P36" s="2" t="n">
        <f aca="false">F16</f>
        <v>4736.96</v>
      </c>
      <c r="Q36" s="2" t="n">
        <f aca="false">F14</f>
        <v>4778.83</v>
      </c>
      <c r="R36" s="1" t="n">
        <v>-78.92</v>
      </c>
      <c r="S36" s="2" t="n">
        <f aca="false">R34</f>
        <v>-40.63</v>
      </c>
      <c r="T36" s="2" t="n">
        <f aca="false">R32</f>
        <v>-60.27</v>
      </c>
      <c r="U36" s="2" t="n">
        <f aca="false">R30</f>
        <v>-55</v>
      </c>
      <c r="V36" s="2" t="n">
        <f aca="false">R28</f>
        <v>-48.12</v>
      </c>
      <c r="W36" s="2" t="n">
        <f aca="false">R26</f>
        <v>-129.3</v>
      </c>
      <c r="X36" s="2" t="n">
        <f aca="false">R24</f>
        <v>-60.47</v>
      </c>
      <c r="Y36" s="2" t="n">
        <f aca="false">R22</f>
        <v>-35.32</v>
      </c>
      <c r="Z36" s="2" t="n">
        <f aca="false">R20</f>
        <v>-22.28</v>
      </c>
      <c r="AA36" s="2" t="n">
        <f aca="false">R18</f>
        <v>-34.48</v>
      </c>
      <c r="AB36" s="2" t="n">
        <f aca="false">R16</f>
        <v>-152.25</v>
      </c>
      <c r="AC36" s="2" t="n">
        <f aca="false">R14</f>
        <v>-27.14</v>
      </c>
      <c r="AD36" s="1" t="n">
        <v>-1.66</v>
      </c>
      <c r="AE36" s="2" t="n">
        <f aca="false">AD34</f>
        <v>-0.86</v>
      </c>
      <c r="AF36" s="2" t="n">
        <f aca="false">AD32</f>
        <v>-1.27</v>
      </c>
      <c r="AG36" s="2" t="n">
        <f aca="false">AD30</f>
        <v>-1.16</v>
      </c>
      <c r="AH36" s="2" t="n">
        <f aca="false">AD28</f>
        <v>-1.01</v>
      </c>
      <c r="AI36" s="2" t="n">
        <f aca="false">AD26</f>
        <v>-2.69</v>
      </c>
      <c r="AJ36" s="2" t="n">
        <f aca="false">AD24</f>
        <v>-1.25</v>
      </c>
      <c r="AK36" s="2" t="n">
        <f aca="false">AD22</f>
        <v>-0.73</v>
      </c>
      <c r="AL36" s="2" t="n">
        <f aca="false">AD20</f>
        <v>-0.46</v>
      </c>
      <c r="AM36" s="2" t="n">
        <f aca="false">AD18</f>
        <v>-0.72</v>
      </c>
      <c r="AN36" s="2" t="n">
        <f aca="false">AD16</f>
        <v>-3.11</v>
      </c>
      <c r="AO36" s="2" t="n">
        <f aca="false">AD14</f>
        <v>-0.56</v>
      </c>
      <c r="AP36" s="1" t="n">
        <v>3</v>
      </c>
      <c r="AQ36" s="2" t="n">
        <f aca="false">AP34</f>
        <v>3</v>
      </c>
      <c r="AR36" s="2" t="n">
        <f aca="false">AP32</f>
        <v>3</v>
      </c>
      <c r="AS36" s="2" t="n">
        <f aca="false">AP30</f>
        <v>3</v>
      </c>
      <c r="AT36" s="2" t="n">
        <f aca="false">AP28</f>
        <v>3</v>
      </c>
      <c r="AU36" s="2" t="n">
        <f aca="false">AP26</f>
        <v>5</v>
      </c>
      <c r="AV36" s="2" t="n">
        <f aca="false">AP24</f>
        <v>3</v>
      </c>
      <c r="AW36" s="2" t="n">
        <f aca="false">AP22</f>
        <v>3</v>
      </c>
      <c r="AX36" s="2" t="n">
        <f aca="false">AP20</f>
        <v>3</v>
      </c>
      <c r="AY36" s="2" t="n">
        <f aca="false">AP18</f>
        <v>3</v>
      </c>
      <c r="AZ36" s="2" t="n">
        <f aca="false">AP16</f>
        <v>5</v>
      </c>
      <c r="BA36" s="2" t="n">
        <f aca="false">AP14</f>
        <v>3</v>
      </c>
      <c r="BB36" s="1" t="n">
        <v>20</v>
      </c>
      <c r="BC36" s="2" t="n">
        <f aca="false">BB34</f>
        <v>10</v>
      </c>
      <c r="BD36" s="2" t="n">
        <f aca="false">BB32</f>
        <v>19</v>
      </c>
      <c r="BE36" s="2" t="n">
        <f aca="false">BB30</f>
        <v>18</v>
      </c>
      <c r="BF36" s="2" t="n">
        <f aca="false">BB28</f>
        <v>38</v>
      </c>
      <c r="BG36" s="2" t="n">
        <f aca="false">BB26</f>
        <v>31</v>
      </c>
      <c r="BH36" s="2" t="n">
        <f aca="false">BB24</f>
        <v>35</v>
      </c>
      <c r="BI36" s="2" t="n">
        <f aca="false">BB22</f>
        <v>1</v>
      </c>
      <c r="BJ36" s="2" t="n">
        <f aca="false">BB20</f>
        <v>9</v>
      </c>
      <c r="BK36" s="2" t="n">
        <f aca="false">BB18</f>
        <v>15</v>
      </c>
      <c r="BL36" s="2" t="n">
        <f aca="false">BB16</f>
        <v>39</v>
      </c>
      <c r="BM36" s="2" t="n">
        <f aca="false">BB14</f>
        <v>11</v>
      </c>
      <c r="BN36" s="1" t="n">
        <v>3</v>
      </c>
      <c r="BO36" s="2" t="n">
        <f aca="false">BN34</f>
        <v>3</v>
      </c>
      <c r="BP36" s="2" t="n">
        <f aca="false">BN32</f>
        <v>3</v>
      </c>
      <c r="BQ36" s="2" t="n">
        <f aca="false">BN30</f>
        <v>3</v>
      </c>
      <c r="BR36" s="2" t="n">
        <f aca="false">BN28</f>
        <v>4</v>
      </c>
      <c r="BS36" s="2" t="n">
        <f aca="false">BN26</f>
        <v>3</v>
      </c>
      <c r="BT36" s="2" t="n">
        <f aca="false">BN24</f>
        <v>3</v>
      </c>
      <c r="BU36" s="2" t="n">
        <f aca="false">BN22</f>
        <v>3</v>
      </c>
      <c r="BV36" s="2" t="n">
        <f aca="false">BN20</f>
        <v>3</v>
      </c>
      <c r="BW36" s="2" t="n">
        <f aca="false">BN18</f>
        <v>3</v>
      </c>
      <c r="BX36" s="2" t="n">
        <f aca="false">BN16</f>
        <v>4</v>
      </c>
      <c r="BY36" s="2" t="n">
        <f aca="false">BN14</f>
        <v>3</v>
      </c>
      <c r="BZ36" s="1" t="n">
        <v>-3.946</v>
      </c>
      <c r="CA36" s="2" t="n">
        <f aca="false">BZ34</f>
        <v>-4.063</v>
      </c>
      <c r="CB36" s="2" t="n">
        <f aca="false">BZ32</f>
        <v>-3.17211</v>
      </c>
      <c r="CC36" s="2" t="n">
        <f aca="false">BZ30</f>
        <v>-3.05556</v>
      </c>
      <c r="CD36" s="2" t="n">
        <f aca="false">BZ28</f>
        <v>-1.26632</v>
      </c>
      <c r="CE36" s="2" t="n">
        <f aca="false">BZ26</f>
        <v>-4.17097</v>
      </c>
      <c r="CF36" s="2" t="n">
        <f aca="false">BZ24</f>
        <v>-1.72771</v>
      </c>
      <c r="CG36" s="2" t="n">
        <f aca="false">BZ22</f>
        <v>-35.32</v>
      </c>
      <c r="CH36" s="2" t="n">
        <f aca="false">BZ20</f>
        <v>-2.47556</v>
      </c>
      <c r="CI36" s="2" t="n">
        <f aca="false">BZ18</f>
        <v>-2.29867</v>
      </c>
      <c r="CJ36" s="2" t="n">
        <f aca="false">BZ16</f>
        <v>-3.90385</v>
      </c>
      <c r="CK36" s="2" t="n">
        <f aca="false">BZ14</f>
        <v>-2.46727</v>
      </c>
      <c r="CL36" s="1" t="n">
        <v>3</v>
      </c>
      <c r="CM36" s="2" t="n">
        <f aca="false">CL34</f>
        <v>3</v>
      </c>
      <c r="CN36" s="2" t="n">
        <f aca="false">CL32</f>
        <v>3</v>
      </c>
      <c r="CO36" s="2" t="n">
        <f aca="false">CL30</f>
        <v>3</v>
      </c>
      <c r="CP36" s="2" t="n">
        <f aca="false">CL28</f>
        <v>3</v>
      </c>
      <c r="CQ36" s="2" t="n">
        <f aca="false">CL26</f>
        <v>3</v>
      </c>
      <c r="CR36" s="2" t="n">
        <f aca="false">CL24</f>
        <v>3</v>
      </c>
      <c r="CS36" s="2" t="n">
        <f aca="false">CL22</f>
        <v>5</v>
      </c>
      <c r="CT36" s="2" t="n">
        <f aca="false">CL20</f>
        <v>3</v>
      </c>
      <c r="CU36" s="2" t="n">
        <f aca="false">CL18</f>
        <v>3</v>
      </c>
      <c r="CV36" s="2" t="n">
        <f aca="false">CL16</f>
        <v>3</v>
      </c>
      <c r="CW36" s="2" t="n">
        <f aca="false">CL14</f>
        <v>3</v>
      </c>
      <c r="CX36" s="1" t="n">
        <v>-75.7794</v>
      </c>
      <c r="CY36" s="2" t="n">
        <f aca="false">CX34</f>
        <v>-76.173</v>
      </c>
      <c r="CZ36" s="2" t="n">
        <f aca="false">CX32</f>
        <v>-72.5026</v>
      </c>
      <c r="DA36" s="2" t="n">
        <f aca="false">CX30</f>
        <v>-71.8781</v>
      </c>
      <c r="DB36" s="2" t="n">
        <f aca="false">CX28</f>
        <v>-51.7021</v>
      </c>
      <c r="DC36" s="2" t="n">
        <f aca="false">CX26</f>
        <v>-76.5177</v>
      </c>
      <c r="DD36" s="2" t="n">
        <f aca="false">CX24</f>
        <v>-59.9378</v>
      </c>
      <c r="DE36" s="2" t="n">
        <f aca="false">CX22</f>
        <v>-88.3782</v>
      </c>
      <c r="DF36" s="2" t="n">
        <f aca="false">CX20</f>
        <v>-68.0038</v>
      </c>
      <c r="DG36" s="2" t="n">
        <f aca="false">CX18</f>
        <v>-66.4893</v>
      </c>
      <c r="DH36" s="2" t="n">
        <f aca="false">CX16</f>
        <v>-75.6322</v>
      </c>
      <c r="DI36" s="2" t="n">
        <f aca="false">CX14</f>
        <v>-67.937</v>
      </c>
      <c r="DJ36" s="1" t="s">
        <v>172</v>
      </c>
      <c r="DK36" s="2" t="str">
        <f aca="false">DJ34</f>
        <v>LL</v>
      </c>
      <c r="DL36" s="2" t="str">
        <f aca="false">DJ32</f>
        <v>LL</v>
      </c>
      <c r="DM36" s="2" t="str">
        <f aca="false">DJ30</f>
        <v>LL</v>
      </c>
      <c r="DN36" s="2" t="str">
        <f aca="false">DJ28</f>
        <v>HL</v>
      </c>
      <c r="DO36" s="2" t="str">
        <f aca="false">DJ26</f>
        <v>LL</v>
      </c>
      <c r="DP36" s="2" t="str">
        <f aca="false">DJ24</f>
        <v>LL</v>
      </c>
      <c r="DQ36" s="2" t="str">
        <f aca="false">DJ22</f>
        <v>HL</v>
      </c>
      <c r="DR36" s="2" t="str">
        <f aca="false">DJ20</f>
        <v>HL</v>
      </c>
      <c r="DS36" s="2" t="str">
        <f aca="false">DJ18</f>
        <v>HL</v>
      </c>
      <c r="DT36" s="2" t="str">
        <f aca="false">DJ16</f>
        <v>LL</v>
      </c>
      <c r="DU36" s="2" t="str">
        <f aca="false">DJ14</f>
        <v>HL</v>
      </c>
      <c r="DV36" s="2" t="n">
        <f aca="false">IFERROR((G36-$F36)/$F36*100,"")</f>
        <v>0.427931308020497</v>
      </c>
      <c r="DW36" s="2" t="n">
        <f aca="false">IFERROR((H36-$F36)/$F36*100,"")</f>
        <v>0.616598417769016</v>
      </c>
      <c r="DX36" s="2" t="n">
        <f aca="false">IFERROR((I36-$F36)/$F36*100,"")</f>
        <v>0.644040906459704</v>
      </c>
      <c r="DY36" s="2" t="n">
        <f aca="false">IFERROR((J36-$F36)/$F36*100,"")</f>
        <v>1.28057800741804</v>
      </c>
      <c r="DZ36" s="2" t="n">
        <f aca="false">IFERROR((K36-$F36)/$F36*100,"")</f>
        <v>0.0924040048881824</v>
      </c>
      <c r="EA36" s="2" t="n">
        <f aca="false">IFERROR((L36-$F36)/$F36*100,"")</f>
        <v>2.32575091653623</v>
      </c>
      <c r="EB36" s="2" t="n">
        <f aca="false">IFERROR((M36-$F36)/$F36*100,"")</f>
        <v>2.74682160238406</v>
      </c>
      <c r="EC36" s="2" t="n">
        <f aca="false">IFERROR((N36-$F36)/$F36*100,"")</f>
        <v>2.5557961537637</v>
      </c>
      <c r="ED36" s="2" t="n">
        <f aca="false">IFERROR((O36-$F36)/$F36*100,"")</f>
        <v>2.47625581544926</v>
      </c>
      <c r="EE36" s="2" t="n">
        <f aca="false">IFERROR((P36-$F36)/$F36*100,"")</f>
        <v>1.55779002208262</v>
      </c>
      <c r="EF36" s="2" t="n">
        <f aca="false">IFERROR((Q36-$F36)/$F36*100,"")</f>
        <v>2.45545955448834</v>
      </c>
      <c r="EG36" s="2" t="str">
        <f aca="false">IF(DV36="","",IF(AND(ABS(DV36)&lt;=0.25,$E36="Bottom",DK36="LL"),"EQL",IF(AND(ABS(DV36)&lt;=0.25,$E36="Peak",DK36="HH"),"EQH","")))</f>
        <v/>
      </c>
      <c r="EH36" s="2" t="str">
        <f aca="false">IF(DW36="","",IF(AND(ABS(DW36)&lt;=0.25,$E36="Bottom",DL36="LL"),"EQL",IF(AND(ABS(DW36)&lt;=0.25,$E36="Peak",DL36="HH"),"EQH","")))</f>
        <v/>
      </c>
      <c r="EI36" s="2" t="str">
        <f aca="false">IF(DX36="","",IF(AND(ABS(DX36)&lt;=0.25,$E36="Bottom",DM36="LL"),"EQL",IF(AND(ABS(DX36)&lt;=0.25,$E36="Peak",DM36="HH"),"EQH","")))</f>
        <v/>
      </c>
      <c r="EJ36" s="2" t="str">
        <f aca="false">IF(DY36="","",IF(AND(ABS(DY36)&lt;=0.25,$E36="Bottom",DN36="LL"),"EQL",IF(AND(ABS(DY36)&lt;=0.25,$E36="Peak",DN36="HH"),"EQH","")))</f>
        <v/>
      </c>
      <c r="EK36" s="2" t="str">
        <f aca="false">IF(DZ36="","",IF(AND(ABS(DZ36)&lt;=0.25,$E36="Bottom",DO36="LL"),"EQL",IF(AND(ABS(DZ36)&lt;=0.25,$E36="Peak",DO36="HH"),"EQH","")))</f>
        <v>EQL</v>
      </c>
      <c r="EL36" s="2" t="str">
        <f aca="false">IF(EA36="","",IF(AND(ABS(EA36)&lt;=0.25,$E36="Bottom",DP36="LL"),"EQL",IF(AND(ABS(EA36)&lt;=0.25,$E36="Peak",DP36="HH"),"EQH","")))</f>
        <v/>
      </c>
      <c r="EM36" s="2" t="str">
        <f aca="false">IF(EB36="","",IF(AND(ABS(EB36)&lt;=0.25,$E36="Bottom",DQ36="LL"),"EQL",IF(AND(ABS(EB36)&lt;=0.25,$E36="Peak",DQ36="HH"),"EQH","")))</f>
        <v/>
      </c>
      <c r="EN36" s="2" t="str">
        <f aca="false">IF(EC36="","",IF(AND(ABS(EC36)&lt;=0.25,$E36="Bottom",DR36="LL"),"EQL",IF(AND(ABS(EC36)&lt;=0.25,$E36="Peak",DR36="HH"),"EQH","")))</f>
        <v/>
      </c>
      <c r="EO36" s="2" t="str">
        <f aca="false">IF(ED36="","",IF(AND(ABS(ED36)&lt;=0.25,$E36="Bottom",DS36="LL"),"EQL",IF(AND(ABS(ED36)&lt;=0.25,$E36="Peak",DS36="HH"),"EQH","")))</f>
        <v/>
      </c>
      <c r="EP36" s="2" t="str">
        <f aca="false">IF(EE36="","",IF(AND(ABS(EE36)&lt;=0.25,$E36="Bottom",DT36="LL"),"EQL",IF(AND(ABS(EE36)&lt;=0.25,$E36="Peak",DT36="HH"),"EQH","")))</f>
        <v/>
      </c>
      <c r="EQ36" s="2" t="str">
        <f aca="false">IF(EF36="","",IF(AND(ABS(EF36)&lt;=0.25,$E36="Bottom",DU36="LL"),"EQL",IF(AND(ABS(EF36)&lt;=0.25,$E36="Peak",DU36="HH"),"EQH","")))</f>
        <v/>
      </c>
      <c r="ER36" s="2" t="str">
        <f aca="false">IF(OR(EG36="EQL",EG36="EQH"),G36,"")</f>
        <v/>
      </c>
      <c r="ES36" s="2" t="str">
        <f aca="false">IF(OR(EH36="EQL",EH36="EQH"),H36,"")</f>
        <v/>
      </c>
      <c r="ET36" s="2" t="str">
        <f aca="false">IF(OR(EI36="EQL",EI36="EQH"),I36,"")</f>
        <v/>
      </c>
      <c r="EU36" s="2" t="str">
        <f aca="false">IF(OR(EJ36="EQL",EJ36="EQH"),J36,"")</f>
        <v/>
      </c>
      <c r="EV36" s="2" t="n">
        <f aca="false">IF(OR(EK36="EQL",EK36="EQH"),K36,"")</f>
        <v>4668.61</v>
      </c>
      <c r="EW36" s="2" t="str">
        <f aca="false">IF(OR(EL36="EQL",EL36="EQH"),L36,"")</f>
        <v/>
      </c>
      <c r="EX36" s="2" t="str">
        <f aca="false">IF(OR(EM36="EQL",EM36="EQH"),M36,"")</f>
        <v/>
      </c>
      <c r="EY36" s="2" t="str">
        <f aca="false">IF(OR(EN36="EQL",EN36="EQH"),N36,"")</f>
        <v/>
      </c>
      <c r="EZ36" s="2" t="str">
        <f aca="false">IF(OR(EO36="EQL",EO36="EQH"),O36,"")</f>
        <v/>
      </c>
      <c r="FA36" s="2" t="str">
        <f aca="false">IF(OR(EP36="EQL",EP36="EQH"),P36,"")</f>
        <v/>
      </c>
      <c r="FB36" s="2" t="str">
        <f aca="false">IF(OR(EQ36="EQL",EQ36="EQH"),Q36,"")</f>
        <v/>
      </c>
      <c r="FC36" s="2" t="str">
        <f aca="false">IF(AND(EG36="EQL",OR(AQ36=4,AQ36=5)),"IEQL",IF(AND(EG36="EQH",OR(AQ36=1,AQ36=2)),"IEQH",""))</f>
        <v/>
      </c>
      <c r="FD36" s="2" t="str">
        <f aca="false">IF(AND(EH36="EQL",OR(AR36=4,AR36=5)),"IEQL",IF(AND(EH36="EQH",OR(AR36=1,AR36=2)),"IEQH",""))</f>
        <v/>
      </c>
      <c r="FE36" s="2" t="str">
        <f aca="false">IF(AND(EI36="EQL",OR(AS36=4,AS36=5)),"IEQL",IF(AND(EI36="EQH",OR(AS36=1,AS36=2)),"IEQH",""))</f>
        <v/>
      </c>
      <c r="FF36" s="2" t="str">
        <f aca="false">IF(AND(EJ36="EQL",OR(AT36=4,AT36=5)),"IEQL",IF(AND(EJ36="EQH",OR(AT36=1,AT36=2)),"IEQH",""))</f>
        <v/>
      </c>
      <c r="FG36" s="2" t="str">
        <f aca="false">IF(AND(EK36="EQL",OR(AU36=4,AU36=5)),"IEQL",IF(AND(EK36="EQH",OR(AU36=1,AU36=2)),"IEQH",""))</f>
        <v>IEQL</v>
      </c>
      <c r="FH36" s="2" t="str">
        <f aca="false">IF(AND(EL36="EQL",OR(AV36=4,AV36=5)),"IEQL",IF(AND(EL36="EQH",OR(AV36=1,AV36=2)),"IEQH",""))</f>
        <v/>
      </c>
      <c r="FI36" s="2" t="str">
        <f aca="false">IF(AND(EM36="EQL",OR(AW36=4,AW36=5)),"IEQL",IF(AND(EM36="EQH",OR(AW36=1,AW36=2)),"IEQH",""))</f>
        <v/>
      </c>
      <c r="FJ36" s="2" t="str">
        <f aca="false">IF(AND(EN36="EQL",OR(AX36=4,AX36=5)),"IEQL",IF(AND(EN36="EQH",OR(AX36=1,AX36=2)),"IEQH",""))</f>
        <v/>
      </c>
      <c r="FK36" s="2" t="str">
        <f aca="false">IF(AND(EO36="EQL",OR(AY36=4,AY36=5)),"IEQL",IF(AND(EO36="EQH",OR(AY36=1,AY36=2)),"IEQH",""))</f>
        <v/>
      </c>
      <c r="FL36" s="2" t="str">
        <f aca="false">IF(AND(EP36="EQL",OR(AZ36=4,AZ36=5)),"IEQL",IF(AND(EP36="EQH",OR(AZ36=1,AZ36=2)),"IEQH",""))</f>
        <v/>
      </c>
      <c r="FM36" s="2" t="str">
        <f aca="false">IF(AND(EQ36="EQL",OR(BA36=4,BA36=5)),"IEQL",IF(AND(EQ36="EQH",OR(BA36=1,BA36=2)),"IEQH",""))</f>
        <v/>
      </c>
    </row>
    <row r="37" customFormat="false" ht="14.25" hidden="false" customHeight="false" outlineLevel="0" collapsed="false">
      <c r="A37" s="1" t="n">
        <v>1776993302</v>
      </c>
      <c r="B37" s="1" t="s">
        <v>169</v>
      </c>
      <c r="C37" s="1" t="s">
        <v>170</v>
      </c>
      <c r="D37" s="1" t="n">
        <v>4698.41</v>
      </c>
      <c r="E37" s="1" t="s">
        <v>173</v>
      </c>
      <c r="F37" s="1" t="n">
        <v>4711.23</v>
      </c>
      <c r="G37" s="2" t="n">
        <f aca="false">F35</f>
        <v>4743.22</v>
      </c>
      <c r="H37" s="2" t="n">
        <f aca="false">F33</f>
        <v>4724.89</v>
      </c>
      <c r="I37" s="2" t="n">
        <f aca="false">F31</f>
        <v>4753.33</v>
      </c>
      <c r="J37" s="2" t="n">
        <f aca="false">F29</f>
        <v>4749.34</v>
      </c>
      <c r="K37" s="2" t="n">
        <f aca="false">F27</f>
        <v>4772.15</v>
      </c>
      <c r="L37" s="2" t="n">
        <f aca="false">F25</f>
        <v>4797.91</v>
      </c>
      <c r="M37" s="2" t="n">
        <f aca="false">F23</f>
        <v>4833.25</v>
      </c>
      <c r="N37" s="2" t="n">
        <f aca="false">F21</f>
        <v>4827.74</v>
      </c>
      <c r="O37" s="2" t="n">
        <f aca="false">F19</f>
        <v>4805.79</v>
      </c>
      <c r="P37" s="2" t="n">
        <f aca="false">F17</f>
        <v>4814.28</v>
      </c>
      <c r="Q37" s="2" t="n">
        <f aca="false">F15</f>
        <v>4889.21</v>
      </c>
      <c r="R37" s="1" t="n">
        <v>46.93</v>
      </c>
      <c r="S37" s="2" t="n">
        <f aca="false">R35</f>
        <v>58.96</v>
      </c>
      <c r="T37" s="2" t="n">
        <f aca="false">R33</f>
        <v>31.83</v>
      </c>
      <c r="U37" s="2" t="n">
        <f aca="false">R31</f>
        <v>58.99</v>
      </c>
      <c r="V37" s="2" t="n">
        <f aca="false">R29</f>
        <v>25.31</v>
      </c>
      <c r="W37" s="2" t="n">
        <f aca="false">R27</f>
        <v>103.54</v>
      </c>
      <c r="X37" s="2" t="n">
        <f aca="false">R25</f>
        <v>25.13</v>
      </c>
      <c r="Y37" s="2" t="n">
        <f aca="false">R23</f>
        <v>40.83</v>
      </c>
      <c r="Z37" s="2" t="n">
        <f aca="false">R21</f>
        <v>44.23</v>
      </c>
      <c r="AA37" s="2" t="n">
        <f aca="false">R19</f>
        <v>25.99</v>
      </c>
      <c r="AB37" s="2" t="n">
        <f aca="false">R17</f>
        <v>77.32</v>
      </c>
      <c r="AC37" s="2" t="n">
        <f aca="false">R15</f>
        <v>110.38</v>
      </c>
      <c r="AD37" s="1" t="n">
        <v>1.01</v>
      </c>
      <c r="AE37" s="2" t="n">
        <f aca="false">AD35</f>
        <v>1.26</v>
      </c>
      <c r="AF37" s="2" t="n">
        <f aca="false">AD33</f>
        <v>0.68</v>
      </c>
      <c r="AG37" s="2" t="n">
        <f aca="false">AD31</f>
        <v>1.26</v>
      </c>
      <c r="AH37" s="2" t="n">
        <f aca="false">AD29</f>
        <v>0.54</v>
      </c>
      <c r="AI37" s="2" t="n">
        <f aca="false">AD27</f>
        <v>2.22</v>
      </c>
      <c r="AJ37" s="2" t="n">
        <f aca="false">AD25</f>
        <v>0.53</v>
      </c>
      <c r="AK37" s="2" t="n">
        <f aca="false">AD23</f>
        <v>0.85</v>
      </c>
      <c r="AL37" s="2" t="n">
        <f aca="false">AD21</f>
        <v>0.92</v>
      </c>
      <c r="AM37" s="2" t="n">
        <f aca="false">AD19</f>
        <v>0.54</v>
      </c>
      <c r="AN37" s="2" t="n">
        <f aca="false">AD17</f>
        <v>1.63</v>
      </c>
      <c r="AO37" s="2" t="n">
        <f aca="false">AD15</f>
        <v>2.31</v>
      </c>
      <c r="AP37" s="1" t="n">
        <v>0</v>
      </c>
      <c r="AQ37" s="2" t="n">
        <f aca="false">AP35</f>
        <v>0</v>
      </c>
      <c r="AR37" s="2" t="n">
        <f aca="false">AP33</f>
        <v>0</v>
      </c>
      <c r="AS37" s="2" t="n">
        <f aca="false">AP31</f>
        <v>0</v>
      </c>
      <c r="AT37" s="2" t="n">
        <f aca="false">AP29</f>
        <v>0</v>
      </c>
      <c r="AU37" s="2" t="n">
        <f aca="false">AP27</f>
        <v>1</v>
      </c>
      <c r="AV37" s="2" t="n">
        <f aca="false">AP25</f>
        <v>0</v>
      </c>
      <c r="AW37" s="2" t="n">
        <f aca="false">AP23</f>
        <v>0</v>
      </c>
      <c r="AX37" s="2" t="n">
        <f aca="false">AP21</f>
        <v>0</v>
      </c>
      <c r="AY37" s="2" t="n">
        <f aca="false">AP19</f>
        <v>0</v>
      </c>
      <c r="AZ37" s="2" t="n">
        <f aca="false">AP17</f>
        <v>0</v>
      </c>
      <c r="BA37" s="2" t="n">
        <f aca="false">AP15</f>
        <v>0</v>
      </c>
      <c r="BB37" s="1" t="n">
        <v>26</v>
      </c>
      <c r="BC37" s="2" t="n">
        <f aca="false">BB35</f>
        <v>9</v>
      </c>
      <c r="BD37" s="2" t="n">
        <f aca="false">BB33</f>
        <v>10</v>
      </c>
      <c r="BE37" s="2" t="n">
        <f aca="false">BB31</f>
        <v>2</v>
      </c>
      <c r="BF37" s="2" t="n">
        <f aca="false">BB29</f>
        <v>9</v>
      </c>
      <c r="BG37" s="2" t="n">
        <f aca="false">BB27</f>
        <v>42</v>
      </c>
      <c r="BH37" s="2" t="n">
        <f aca="false">BB25</f>
        <v>19</v>
      </c>
      <c r="BI37" s="2" t="n">
        <f aca="false">BB23</f>
        <v>26</v>
      </c>
      <c r="BJ37" s="2" t="n">
        <f aca="false">BB21</f>
        <v>20</v>
      </c>
      <c r="BK37" s="2" t="n">
        <f aca="false">BB19</f>
        <v>7</v>
      </c>
      <c r="BL37" s="2" t="n">
        <f aca="false">BB17</f>
        <v>8</v>
      </c>
      <c r="BM37" s="2" t="n">
        <f aca="false">BB15</f>
        <v>21</v>
      </c>
      <c r="BN37" s="1" t="n">
        <v>0</v>
      </c>
      <c r="BO37" s="2" t="n">
        <f aca="false">BN35</f>
        <v>0</v>
      </c>
      <c r="BP37" s="2" t="n">
        <f aca="false">BN33</f>
        <v>0</v>
      </c>
      <c r="BQ37" s="2" t="n">
        <f aca="false">BN31</f>
        <v>0</v>
      </c>
      <c r="BR37" s="2" t="n">
        <f aca="false">BN29</f>
        <v>0</v>
      </c>
      <c r="BS37" s="2" t="n">
        <f aca="false">BN27</f>
        <v>1</v>
      </c>
      <c r="BT37" s="2" t="n">
        <f aca="false">BN25</f>
        <v>0</v>
      </c>
      <c r="BU37" s="2" t="n">
        <f aca="false">BN23</f>
        <v>0</v>
      </c>
      <c r="BV37" s="2" t="n">
        <f aca="false">BN21</f>
        <v>0</v>
      </c>
      <c r="BW37" s="2" t="n">
        <f aca="false">BN19</f>
        <v>0</v>
      </c>
      <c r="BX37" s="2" t="n">
        <f aca="false">BN17</f>
        <v>0</v>
      </c>
      <c r="BY37" s="2" t="n">
        <f aca="false">BN15</f>
        <v>0</v>
      </c>
      <c r="BZ37" s="1" t="n">
        <v>1.805</v>
      </c>
      <c r="CA37" s="2" t="n">
        <f aca="false">BZ35</f>
        <v>6.55111</v>
      </c>
      <c r="CB37" s="2" t="n">
        <f aca="false">BZ33</f>
        <v>3.183</v>
      </c>
      <c r="CC37" s="2" t="n">
        <f aca="false">BZ31</f>
        <v>29.495</v>
      </c>
      <c r="CD37" s="2" t="n">
        <f aca="false">BZ29</f>
        <v>2.81222</v>
      </c>
      <c r="CE37" s="2" t="n">
        <f aca="false">BZ27</f>
        <v>2.46524</v>
      </c>
      <c r="CF37" s="2" t="n">
        <f aca="false">BZ25</f>
        <v>1.32263</v>
      </c>
      <c r="CG37" s="2" t="n">
        <f aca="false">BZ23</f>
        <v>1.57038</v>
      </c>
      <c r="CH37" s="2" t="n">
        <f aca="false">BZ21</f>
        <v>2.2115</v>
      </c>
      <c r="CI37" s="2" t="n">
        <f aca="false">BZ19</f>
        <v>3.71286</v>
      </c>
      <c r="CJ37" s="2" t="n">
        <f aca="false">BZ17</f>
        <v>9.665</v>
      </c>
      <c r="CK37" s="2" t="n">
        <f aca="false">BZ15</f>
        <v>5.25619</v>
      </c>
      <c r="CL37" s="1" t="n">
        <v>0</v>
      </c>
      <c r="CM37" s="2" t="n">
        <f aca="false">CL35</f>
        <v>0</v>
      </c>
      <c r="CN37" s="2" t="n">
        <f aca="false">CL33</f>
        <v>0</v>
      </c>
      <c r="CO37" s="2" t="n">
        <f aca="false">CL31</f>
        <v>2</v>
      </c>
      <c r="CP37" s="2" t="n">
        <f aca="false">CL29</f>
        <v>0</v>
      </c>
      <c r="CQ37" s="2" t="n">
        <f aca="false">CL27</f>
        <v>0</v>
      </c>
      <c r="CR37" s="2" t="n">
        <f aca="false">CL25</f>
        <v>0</v>
      </c>
      <c r="CS37" s="2" t="n">
        <f aca="false">CL23</f>
        <v>0</v>
      </c>
      <c r="CT37" s="2" t="n">
        <f aca="false">CL21</f>
        <v>0</v>
      </c>
      <c r="CU37" s="2" t="n">
        <f aca="false">CL19</f>
        <v>0</v>
      </c>
      <c r="CV37" s="2" t="n">
        <f aca="false">CL17</f>
        <v>1</v>
      </c>
      <c r="CW37" s="2" t="n">
        <f aca="false">CL15</f>
        <v>0</v>
      </c>
      <c r="CX37" s="1" t="n">
        <v>61.0128</v>
      </c>
      <c r="CY37" s="2" t="n">
        <f aca="false">CX35</f>
        <v>81.321</v>
      </c>
      <c r="CZ37" s="2" t="n">
        <f aca="false">CX33</f>
        <v>72.5589</v>
      </c>
      <c r="DA37" s="2" t="n">
        <f aca="false">CX31</f>
        <v>88.0582</v>
      </c>
      <c r="DB37" s="2" t="n">
        <f aca="false">CX29</f>
        <v>70.4251</v>
      </c>
      <c r="DC37" s="2" t="n">
        <f aca="false">CX27</f>
        <v>67.9205</v>
      </c>
      <c r="DD37" s="2" t="n">
        <f aca="false">CX25</f>
        <v>52.9082</v>
      </c>
      <c r="DE37" s="2" t="n">
        <f aca="false">CX23</f>
        <v>57.5116</v>
      </c>
      <c r="DF37" s="2" t="n">
        <f aca="false">CX21</f>
        <v>65.6684</v>
      </c>
      <c r="DG37" s="2" t="n">
        <f aca="false">CX19</f>
        <v>74.926</v>
      </c>
      <c r="DH37" s="2" t="n">
        <f aca="false">CX17</f>
        <v>84.0928</v>
      </c>
      <c r="DI37" s="2" t="n">
        <f aca="false">CX15</f>
        <v>79.2281</v>
      </c>
      <c r="DJ37" s="1" t="s">
        <v>174</v>
      </c>
      <c r="DK37" s="2" t="str">
        <f aca="false">DJ35</f>
        <v>HH</v>
      </c>
      <c r="DL37" s="2" t="str">
        <f aca="false">DJ33</f>
        <v>LH</v>
      </c>
      <c r="DM37" s="2" t="str">
        <f aca="false">DJ31</f>
        <v>HH</v>
      </c>
      <c r="DN37" s="2" t="str">
        <f aca="false">DJ29</f>
        <v>LH</v>
      </c>
      <c r="DO37" s="2" t="str">
        <f aca="false">DJ27</f>
        <v>LH</v>
      </c>
      <c r="DP37" s="2" t="str">
        <f aca="false">DJ25</f>
        <v>LH</v>
      </c>
      <c r="DQ37" s="2" t="str">
        <f aca="false">DJ23</f>
        <v>HH</v>
      </c>
      <c r="DR37" s="2" t="str">
        <f aca="false">DJ21</f>
        <v>HH</v>
      </c>
      <c r="DS37" s="2" t="str">
        <f aca="false">DJ19</f>
        <v>LH</v>
      </c>
      <c r="DT37" s="2" t="str">
        <f aca="false">DJ17</f>
        <v>LH</v>
      </c>
      <c r="DU37" s="2" t="str">
        <f aca="false">DJ15</f>
        <v>HH</v>
      </c>
      <c r="DV37" s="2" t="n">
        <f aca="false">IFERROR((G37-$F37)/$F37*100,"")</f>
        <v>0.679015883325601</v>
      </c>
      <c r="DW37" s="2" t="n">
        <f aca="false">IFERROR((H37-$F37)/$F37*100,"")</f>
        <v>0.289945513167491</v>
      </c>
      <c r="DX37" s="2" t="n">
        <f aca="false">IFERROR((I37-$F37)/$F37*100,"")</f>
        <v>0.893609524476631</v>
      </c>
      <c r="DY37" s="2" t="n">
        <f aca="false">IFERROR((J37-$F37)/$F37*100,"")</f>
        <v>0.808918265506048</v>
      </c>
      <c r="DZ37" s="2" t="n">
        <f aca="false">IFERROR((K37-$F37)/$F37*100,"")</f>
        <v>1.29308057556095</v>
      </c>
      <c r="EA37" s="2" t="n">
        <f aca="false">IFERROR((L37-$F37)/$F37*100,"")</f>
        <v>1.83985922996755</v>
      </c>
      <c r="EB37" s="2" t="n">
        <f aca="false">IFERROR((M37-$F37)/$F37*100,"")</f>
        <v>2.58998180942133</v>
      </c>
      <c r="EC37" s="2" t="n">
        <f aca="false">IFERROR((N37-$F37)/$F37*100,"")</f>
        <v>2.47302721370004</v>
      </c>
      <c r="ED37" s="2" t="n">
        <f aca="false">IFERROR((O37-$F37)/$F37*100,"")</f>
        <v>2.0071191599646</v>
      </c>
      <c r="EE37" s="2" t="n">
        <f aca="false">IFERROR((P37-$F37)/$F37*100,"")</f>
        <v>2.18732687642081</v>
      </c>
      <c r="EF37" s="2" t="n">
        <f aca="false">IFERROR((Q37-$F37)/$F37*100,"")</f>
        <v>3.77778202295368</v>
      </c>
      <c r="EG37" s="2" t="str">
        <f aca="false">IF(DV37="","",IF(AND(ABS(DV37)&lt;=0.25,$E37="Bottom",DK37="LL"),"EQL",IF(AND(ABS(DV37)&lt;=0.25,$E37="Peak",DK37="HH"),"EQH","")))</f>
        <v/>
      </c>
      <c r="EH37" s="2" t="str">
        <f aca="false">IF(DW37="","",IF(AND(ABS(DW37)&lt;=0.25,$E37="Bottom",DL37="LL"),"EQL",IF(AND(ABS(DW37)&lt;=0.25,$E37="Peak",DL37="HH"),"EQH","")))</f>
        <v/>
      </c>
      <c r="EI37" s="2" t="str">
        <f aca="false">IF(DX37="","",IF(AND(ABS(DX37)&lt;=0.25,$E37="Bottom",DM37="LL"),"EQL",IF(AND(ABS(DX37)&lt;=0.25,$E37="Peak",DM37="HH"),"EQH","")))</f>
        <v/>
      </c>
      <c r="EJ37" s="2" t="str">
        <f aca="false">IF(DY37="","",IF(AND(ABS(DY37)&lt;=0.25,$E37="Bottom",DN37="LL"),"EQL",IF(AND(ABS(DY37)&lt;=0.25,$E37="Peak",DN37="HH"),"EQH","")))</f>
        <v/>
      </c>
      <c r="EK37" s="2" t="str">
        <f aca="false">IF(DZ37="","",IF(AND(ABS(DZ37)&lt;=0.25,$E37="Bottom",DO37="LL"),"EQL",IF(AND(ABS(DZ37)&lt;=0.25,$E37="Peak",DO37="HH"),"EQH","")))</f>
        <v/>
      </c>
      <c r="EL37" s="2" t="str">
        <f aca="false">IF(EA37="","",IF(AND(ABS(EA37)&lt;=0.25,$E37="Bottom",DP37="LL"),"EQL",IF(AND(ABS(EA37)&lt;=0.25,$E37="Peak",DP37="HH"),"EQH","")))</f>
        <v/>
      </c>
      <c r="EM37" s="2" t="str">
        <f aca="false">IF(EB37="","",IF(AND(ABS(EB37)&lt;=0.25,$E37="Bottom",DQ37="LL"),"EQL",IF(AND(ABS(EB37)&lt;=0.25,$E37="Peak",DQ37="HH"),"EQH","")))</f>
        <v/>
      </c>
      <c r="EN37" s="2" t="str">
        <f aca="false">IF(EC37="","",IF(AND(ABS(EC37)&lt;=0.25,$E37="Bottom",DR37="LL"),"EQL",IF(AND(ABS(EC37)&lt;=0.25,$E37="Peak",DR37="HH"),"EQH","")))</f>
        <v/>
      </c>
      <c r="EO37" s="2" t="str">
        <f aca="false">IF(ED37="","",IF(AND(ABS(ED37)&lt;=0.25,$E37="Bottom",DS37="LL"),"EQL",IF(AND(ABS(ED37)&lt;=0.25,$E37="Peak",DS37="HH"),"EQH","")))</f>
        <v/>
      </c>
      <c r="EP37" s="2" t="str">
        <f aca="false">IF(EE37="","",IF(AND(ABS(EE37)&lt;=0.25,$E37="Bottom",DT37="LL"),"EQL",IF(AND(ABS(EE37)&lt;=0.25,$E37="Peak",DT37="HH"),"EQH","")))</f>
        <v/>
      </c>
      <c r="EQ37" s="2" t="str">
        <f aca="false">IF(EF37="","",IF(AND(ABS(EF37)&lt;=0.25,$E37="Bottom",DU37="LL"),"EQL",IF(AND(ABS(EF37)&lt;=0.25,$E37="Peak",DU37="HH"),"EQH","")))</f>
        <v/>
      </c>
      <c r="ER37" s="2" t="str">
        <f aca="false">IF(OR(EG37="EQL",EG37="EQH"),G37,"")</f>
        <v/>
      </c>
      <c r="ES37" s="2" t="str">
        <f aca="false">IF(OR(EH37="EQL",EH37="EQH"),H37,"")</f>
        <v/>
      </c>
      <c r="ET37" s="2" t="str">
        <f aca="false">IF(OR(EI37="EQL",EI37="EQH"),I37,"")</f>
        <v/>
      </c>
      <c r="EU37" s="2" t="str">
        <f aca="false">IF(OR(EJ37="EQL",EJ37="EQH"),J37,"")</f>
        <v/>
      </c>
      <c r="EV37" s="2" t="str">
        <f aca="false">IF(OR(EK37="EQL",EK37="EQH"),K37,"")</f>
        <v/>
      </c>
      <c r="EW37" s="2" t="str">
        <f aca="false">IF(OR(EL37="EQL",EL37="EQH"),L37,"")</f>
        <v/>
      </c>
      <c r="EX37" s="2" t="str">
        <f aca="false">IF(OR(EM37="EQL",EM37="EQH"),M37,"")</f>
        <v/>
      </c>
      <c r="EY37" s="2" t="str">
        <f aca="false">IF(OR(EN37="EQL",EN37="EQH"),N37,"")</f>
        <v/>
      </c>
      <c r="EZ37" s="2" t="str">
        <f aca="false">IF(OR(EO37="EQL",EO37="EQH"),O37,"")</f>
        <v/>
      </c>
      <c r="FA37" s="2" t="str">
        <f aca="false">IF(OR(EP37="EQL",EP37="EQH"),P37,"")</f>
        <v/>
      </c>
      <c r="FB37" s="2" t="str">
        <f aca="false">IF(OR(EQ37="EQL",EQ37="EQH"),Q37,"")</f>
        <v/>
      </c>
      <c r="FC37" s="2" t="str">
        <f aca="false">IF(AND(EG37="EQL",OR(AQ37=4,AQ37=5)),"IEQL",IF(AND(EG37="EQH",OR(AQ37=1,AQ37=2)),"IEQH",""))</f>
        <v/>
      </c>
      <c r="FD37" s="2" t="str">
        <f aca="false">IF(AND(EH37="EQL",OR(AR37=4,AR37=5)),"IEQL",IF(AND(EH37="EQH",OR(AR37=1,AR37=2)),"IEQH",""))</f>
        <v/>
      </c>
      <c r="FE37" s="2" t="str">
        <f aca="false">IF(AND(EI37="EQL",OR(AS37=4,AS37=5)),"IEQL",IF(AND(EI37="EQH",OR(AS37=1,AS37=2)),"IEQH",""))</f>
        <v/>
      </c>
      <c r="FF37" s="2" t="str">
        <f aca="false">IF(AND(EJ37="EQL",OR(AT37=4,AT37=5)),"IEQL",IF(AND(EJ37="EQH",OR(AT37=1,AT37=2)),"IEQH",""))</f>
        <v/>
      </c>
      <c r="FG37" s="2" t="str">
        <f aca="false">IF(AND(EK37="EQL",OR(AU37=4,AU37=5)),"IEQL",IF(AND(EK37="EQH",OR(AU37=1,AU37=2)),"IEQH",""))</f>
        <v/>
      </c>
      <c r="FH37" s="2" t="str">
        <f aca="false">IF(AND(EL37="EQL",OR(AV37=4,AV37=5)),"IEQL",IF(AND(EL37="EQH",OR(AV37=1,AV37=2)),"IEQH",""))</f>
        <v/>
      </c>
      <c r="FI37" s="2" t="str">
        <f aca="false">IF(AND(EM37="EQL",OR(AW37=4,AW37=5)),"IEQL",IF(AND(EM37="EQH",OR(AW37=1,AW37=2)),"IEQH",""))</f>
        <v/>
      </c>
      <c r="FJ37" s="2" t="str">
        <f aca="false">IF(AND(EN37="EQL",OR(AX37=4,AX37=5)),"IEQL",IF(AND(EN37="EQH",OR(AX37=1,AX37=2)),"IEQH",""))</f>
        <v/>
      </c>
      <c r="FK37" s="2" t="str">
        <f aca="false">IF(AND(EO37="EQL",OR(AY37=4,AY37=5)),"IEQL",IF(AND(EO37="EQH",OR(AY37=1,AY37=2)),"IEQH",""))</f>
        <v/>
      </c>
      <c r="FL37" s="2" t="str">
        <f aca="false">IF(AND(EP37="EQL",OR(AZ37=4,AZ37=5)),"IEQL",IF(AND(EP37="EQH",OR(AZ37=1,AZ37=2)),"IEQH",""))</f>
        <v/>
      </c>
      <c r="FM37" s="2" t="str">
        <f aca="false">IF(AND(EQ37="EQL",OR(BA37=4,BA37=5)),"IEQL",IF(AND(EQ37="EQH",OR(BA37=1,BA37=2)),"IEQH",""))</f>
        <v/>
      </c>
    </row>
    <row r="38" customFormat="false" ht="14.25" hidden="false" customHeight="false" outlineLevel="0" collapsed="false">
      <c r="A38" s="1" t="n">
        <v>1777005002</v>
      </c>
      <c r="B38" s="1" t="s">
        <v>169</v>
      </c>
      <c r="C38" s="1" t="s">
        <v>170</v>
      </c>
      <c r="D38" s="1" t="n">
        <v>4668.58</v>
      </c>
      <c r="E38" s="1" t="s">
        <v>171</v>
      </c>
      <c r="F38" s="1" t="n">
        <v>4658.17</v>
      </c>
      <c r="G38" s="2" t="n">
        <f aca="false">F36</f>
        <v>4664.3</v>
      </c>
      <c r="H38" s="2" t="n">
        <f aca="false">F34</f>
        <v>4684.26</v>
      </c>
      <c r="I38" s="2" t="n">
        <f aca="false">F32</f>
        <v>4693.06</v>
      </c>
      <c r="J38" s="2" t="n">
        <f aca="false">F30</f>
        <v>4694.34</v>
      </c>
      <c r="K38" s="2" t="n">
        <f aca="false">F28</f>
        <v>4724.03</v>
      </c>
      <c r="L38" s="2" t="n">
        <f aca="false">F26</f>
        <v>4668.61</v>
      </c>
      <c r="M38" s="2" t="n">
        <f aca="false">F24</f>
        <v>4772.78</v>
      </c>
      <c r="N38" s="2" t="n">
        <f aca="false">F22</f>
        <v>4792.42</v>
      </c>
      <c r="O38" s="2" t="n">
        <f aca="false">F20</f>
        <v>4783.51</v>
      </c>
      <c r="P38" s="2" t="n">
        <f aca="false">F18</f>
        <v>4779.8</v>
      </c>
      <c r="Q38" s="2" t="n">
        <f aca="false">F16</f>
        <v>4736.96</v>
      </c>
      <c r="R38" s="1" t="n">
        <v>-53.06</v>
      </c>
      <c r="S38" s="2" t="n">
        <f aca="false">R36</f>
        <v>-78.92</v>
      </c>
      <c r="T38" s="2" t="n">
        <f aca="false">R34</f>
        <v>-40.63</v>
      </c>
      <c r="U38" s="2" t="n">
        <f aca="false">R32</f>
        <v>-60.27</v>
      </c>
      <c r="V38" s="2" t="n">
        <f aca="false">R30</f>
        <v>-55</v>
      </c>
      <c r="W38" s="2" t="n">
        <f aca="false">R28</f>
        <v>-48.12</v>
      </c>
      <c r="X38" s="2" t="n">
        <f aca="false">R26</f>
        <v>-129.3</v>
      </c>
      <c r="Y38" s="2" t="n">
        <f aca="false">R24</f>
        <v>-60.47</v>
      </c>
      <c r="Z38" s="2" t="n">
        <f aca="false">R22</f>
        <v>-35.32</v>
      </c>
      <c r="AA38" s="2" t="n">
        <f aca="false">R20</f>
        <v>-22.28</v>
      </c>
      <c r="AB38" s="2" t="n">
        <f aca="false">R18</f>
        <v>-34.48</v>
      </c>
      <c r="AC38" s="2" t="n">
        <f aca="false">R16</f>
        <v>-152.25</v>
      </c>
      <c r="AD38" s="1" t="n">
        <v>-1.13</v>
      </c>
      <c r="AE38" s="2" t="n">
        <f aca="false">AD36</f>
        <v>-1.66</v>
      </c>
      <c r="AF38" s="2" t="n">
        <f aca="false">AD34</f>
        <v>-0.86</v>
      </c>
      <c r="AG38" s="2" t="n">
        <f aca="false">AD32</f>
        <v>-1.27</v>
      </c>
      <c r="AH38" s="2" t="n">
        <f aca="false">AD30</f>
        <v>-1.16</v>
      </c>
      <c r="AI38" s="2" t="n">
        <f aca="false">AD28</f>
        <v>-1.01</v>
      </c>
      <c r="AJ38" s="2" t="n">
        <f aca="false">AD26</f>
        <v>-2.69</v>
      </c>
      <c r="AK38" s="2" t="n">
        <f aca="false">AD24</f>
        <v>-1.25</v>
      </c>
      <c r="AL38" s="2" t="n">
        <f aca="false">AD22</f>
        <v>-0.73</v>
      </c>
      <c r="AM38" s="2" t="n">
        <f aca="false">AD20</f>
        <v>-0.46</v>
      </c>
      <c r="AN38" s="2" t="n">
        <f aca="false">AD18</f>
        <v>-0.72</v>
      </c>
      <c r="AO38" s="2" t="n">
        <f aca="false">AD16</f>
        <v>-3.11</v>
      </c>
      <c r="AP38" s="1" t="n">
        <v>3</v>
      </c>
      <c r="AQ38" s="2" t="n">
        <f aca="false">AP36</f>
        <v>3</v>
      </c>
      <c r="AR38" s="2" t="n">
        <f aca="false">AP34</f>
        <v>3</v>
      </c>
      <c r="AS38" s="2" t="n">
        <f aca="false">AP32</f>
        <v>3</v>
      </c>
      <c r="AT38" s="2" t="n">
        <f aca="false">AP30</f>
        <v>3</v>
      </c>
      <c r="AU38" s="2" t="n">
        <f aca="false">AP28</f>
        <v>3</v>
      </c>
      <c r="AV38" s="2" t="n">
        <f aca="false">AP26</f>
        <v>5</v>
      </c>
      <c r="AW38" s="2" t="n">
        <f aca="false">AP24</f>
        <v>3</v>
      </c>
      <c r="AX38" s="2" t="n">
        <f aca="false">AP22</f>
        <v>3</v>
      </c>
      <c r="AY38" s="2" t="n">
        <f aca="false">AP20</f>
        <v>3</v>
      </c>
      <c r="AZ38" s="2" t="n">
        <f aca="false">AP18</f>
        <v>3</v>
      </c>
      <c r="BA38" s="2" t="n">
        <f aca="false">AP16</f>
        <v>5</v>
      </c>
      <c r="BB38" s="1" t="n">
        <v>13</v>
      </c>
      <c r="BC38" s="2" t="n">
        <f aca="false">BB36</f>
        <v>20</v>
      </c>
      <c r="BD38" s="2" t="n">
        <f aca="false">BB34</f>
        <v>10</v>
      </c>
      <c r="BE38" s="2" t="n">
        <f aca="false">BB32</f>
        <v>19</v>
      </c>
      <c r="BF38" s="2" t="n">
        <f aca="false">BB30</f>
        <v>18</v>
      </c>
      <c r="BG38" s="2" t="n">
        <f aca="false">BB28</f>
        <v>38</v>
      </c>
      <c r="BH38" s="2" t="n">
        <f aca="false">BB26</f>
        <v>31</v>
      </c>
      <c r="BI38" s="2" t="n">
        <f aca="false">BB24</f>
        <v>35</v>
      </c>
      <c r="BJ38" s="2" t="n">
        <f aca="false">BB22</f>
        <v>1</v>
      </c>
      <c r="BK38" s="2" t="n">
        <f aca="false">BB20</f>
        <v>9</v>
      </c>
      <c r="BL38" s="2" t="n">
        <f aca="false">BB18</f>
        <v>15</v>
      </c>
      <c r="BM38" s="2" t="n">
        <f aca="false">BB16</f>
        <v>39</v>
      </c>
      <c r="BN38" s="1" t="n">
        <v>3</v>
      </c>
      <c r="BO38" s="2" t="n">
        <f aca="false">BN36</f>
        <v>3</v>
      </c>
      <c r="BP38" s="2" t="n">
        <f aca="false">BN34</f>
        <v>3</v>
      </c>
      <c r="BQ38" s="2" t="n">
        <f aca="false">BN32</f>
        <v>3</v>
      </c>
      <c r="BR38" s="2" t="n">
        <f aca="false">BN30</f>
        <v>3</v>
      </c>
      <c r="BS38" s="2" t="n">
        <f aca="false">BN28</f>
        <v>4</v>
      </c>
      <c r="BT38" s="2" t="n">
        <f aca="false">BN26</f>
        <v>3</v>
      </c>
      <c r="BU38" s="2" t="n">
        <f aca="false">BN24</f>
        <v>3</v>
      </c>
      <c r="BV38" s="2" t="n">
        <f aca="false">BN22</f>
        <v>3</v>
      </c>
      <c r="BW38" s="2" t="n">
        <f aca="false">BN20</f>
        <v>3</v>
      </c>
      <c r="BX38" s="2" t="n">
        <f aca="false">BN18</f>
        <v>3</v>
      </c>
      <c r="BY38" s="2" t="n">
        <f aca="false">BN16</f>
        <v>4</v>
      </c>
      <c r="BZ38" s="1" t="n">
        <v>-4.08154</v>
      </c>
      <c r="CA38" s="2" t="n">
        <f aca="false">BZ36</f>
        <v>-3.946</v>
      </c>
      <c r="CB38" s="2" t="n">
        <f aca="false">BZ34</f>
        <v>-4.063</v>
      </c>
      <c r="CC38" s="2" t="n">
        <f aca="false">BZ32</f>
        <v>-3.17211</v>
      </c>
      <c r="CD38" s="2" t="n">
        <f aca="false">BZ30</f>
        <v>-3.05556</v>
      </c>
      <c r="CE38" s="2" t="n">
        <f aca="false">BZ28</f>
        <v>-1.26632</v>
      </c>
      <c r="CF38" s="2" t="n">
        <f aca="false">BZ26</f>
        <v>-4.17097</v>
      </c>
      <c r="CG38" s="2" t="n">
        <f aca="false">BZ24</f>
        <v>-1.72771</v>
      </c>
      <c r="CH38" s="2" t="n">
        <f aca="false">BZ22</f>
        <v>-35.32</v>
      </c>
      <c r="CI38" s="2" t="n">
        <f aca="false">BZ20</f>
        <v>-2.47556</v>
      </c>
      <c r="CJ38" s="2" t="n">
        <f aca="false">BZ18</f>
        <v>-2.29867</v>
      </c>
      <c r="CK38" s="2" t="n">
        <f aca="false">BZ16</f>
        <v>-3.90385</v>
      </c>
      <c r="CL38" s="1" t="n">
        <v>3</v>
      </c>
      <c r="CM38" s="2" t="n">
        <f aca="false">CL36</f>
        <v>3</v>
      </c>
      <c r="CN38" s="2" t="n">
        <f aca="false">CL34</f>
        <v>3</v>
      </c>
      <c r="CO38" s="2" t="n">
        <f aca="false">CL32</f>
        <v>3</v>
      </c>
      <c r="CP38" s="2" t="n">
        <f aca="false">CL30</f>
        <v>3</v>
      </c>
      <c r="CQ38" s="2" t="n">
        <f aca="false">CL28</f>
        <v>3</v>
      </c>
      <c r="CR38" s="2" t="n">
        <f aca="false">CL26</f>
        <v>3</v>
      </c>
      <c r="CS38" s="2" t="n">
        <f aca="false">CL24</f>
        <v>3</v>
      </c>
      <c r="CT38" s="2" t="n">
        <f aca="false">CL22</f>
        <v>5</v>
      </c>
      <c r="CU38" s="2" t="n">
        <f aca="false">CL20</f>
        <v>3</v>
      </c>
      <c r="CV38" s="2" t="n">
        <f aca="false">CL18</f>
        <v>3</v>
      </c>
      <c r="CW38" s="2" t="n">
        <f aca="false">CL16</f>
        <v>3</v>
      </c>
      <c r="CX38" s="1" t="n">
        <v>-76.2334</v>
      </c>
      <c r="CY38" s="2" t="n">
        <f aca="false">CX36</f>
        <v>-75.7794</v>
      </c>
      <c r="CZ38" s="2" t="n">
        <f aca="false">CX34</f>
        <v>-76.173</v>
      </c>
      <c r="DA38" s="2" t="n">
        <f aca="false">CX32</f>
        <v>-72.5026</v>
      </c>
      <c r="DB38" s="2" t="n">
        <f aca="false">CX30</f>
        <v>-71.8781</v>
      </c>
      <c r="DC38" s="2" t="n">
        <f aca="false">CX28</f>
        <v>-51.7021</v>
      </c>
      <c r="DD38" s="2" t="n">
        <f aca="false">CX26</f>
        <v>-76.5177</v>
      </c>
      <c r="DE38" s="2" t="n">
        <f aca="false">CX24</f>
        <v>-59.9378</v>
      </c>
      <c r="DF38" s="2" t="n">
        <f aca="false">CX22</f>
        <v>-88.3782</v>
      </c>
      <c r="DG38" s="2" t="n">
        <f aca="false">CX20</f>
        <v>-68.0038</v>
      </c>
      <c r="DH38" s="2" t="n">
        <f aca="false">CX18</f>
        <v>-66.4893</v>
      </c>
      <c r="DI38" s="2" t="n">
        <f aca="false">CX16</f>
        <v>-75.6322</v>
      </c>
      <c r="DJ38" s="1" t="s">
        <v>172</v>
      </c>
      <c r="DK38" s="2" t="str">
        <f aca="false">DJ36</f>
        <v>LL</v>
      </c>
      <c r="DL38" s="2" t="str">
        <f aca="false">DJ34</f>
        <v>LL</v>
      </c>
      <c r="DM38" s="2" t="str">
        <f aca="false">DJ32</f>
        <v>LL</v>
      </c>
      <c r="DN38" s="2" t="str">
        <f aca="false">DJ30</f>
        <v>LL</v>
      </c>
      <c r="DO38" s="2" t="str">
        <f aca="false">DJ28</f>
        <v>HL</v>
      </c>
      <c r="DP38" s="2" t="str">
        <f aca="false">DJ26</f>
        <v>LL</v>
      </c>
      <c r="DQ38" s="2" t="str">
        <f aca="false">DJ24</f>
        <v>LL</v>
      </c>
      <c r="DR38" s="2" t="str">
        <f aca="false">DJ22</f>
        <v>HL</v>
      </c>
      <c r="DS38" s="2" t="str">
        <f aca="false">DJ20</f>
        <v>HL</v>
      </c>
      <c r="DT38" s="2" t="str">
        <f aca="false">DJ18</f>
        <v>HL</v>
      </c>
      <c r="DU38" s="2" t="str">
        <f aca="false">DJ16</f>
        <v>LL</v>
      </c>
      <c r="DV38" s="2" t="n">
        <f aca="false">IFERROR((G38-$F38)/$F38*100,"")</f>
        <v>0.131596742926946</v>
      </c>
      <c r="DW38" s="2" t="n">
        <f aca="false">IFERROR((H38-$F38)/$F38*100,"")</f>
        <v>0.560091194610762</v>
      </c>
      <c r="DX38" s="2" t="n">
        <f aca="false">IFERROR((I38-$F38)/$F38*100,"")</f>
        <v>0.749006584130685</v>
      </c>
      <c r="DY38" s="2" t="n">
        <f aca="false">IFERROR((J38-$F38)/$F38*100,"")</f>
        <v>0.776485186242668</v>
      </c>
      <c r="DZ38" s="2" t="n">
        <f aca="false">IFERROR((K38-$F38)/$F38*100,"")</f>
        <v>1.41385994929339</v>
      </c>
      <c r="EA38" s="2" t="n">
        <f aca="false">IFERROR((L38-$F38)/$F38*100,"")</f>
        <v>0.224122348475895</v>
      </c>
      <c r="EB38" s="2" t="n">
        <f aca="false">IFERROR((M38-$F38)/$F38*100,"")</f>
        <v>2.46040827191794</v>
      </c>
      <c r="EC38" s="2" t="n">
        <f aca="false">IFERROR((N38-$F38)/$F38*100,"")</f>
        <v>2.88203307307376</v>
      </c>
      <c r="ED38" s="2" t="n">
        <f aca="false">IFERROR((O38-$F38)/$F38*100,"")</f>
        <v>2.69075624118485</v>
      </c>
      <c r="EE38" s="2" t="n">
        <f aca="false">IFERROR((P38-$F38)/$F38*100,"")</f>
        <v>2.61111123037588</v>
      </c>
      <c r="EF38" s="2" t="n">
        <f aca="false">IFERROR((Q38-$F38)/$F38*100,"")</f>
        <v>1.69143676594027</v>
      </c>
      <c r="EG38" s="2" t="str">
        <f aca="false">IF(DV38="","",IF(AND(ABS(DV38)&lt;=0.25,$E38="Bottom",DK38="LL"),"EQL",IF(AND(ABS(DV38)&lt;=0.25,$E38="Peak",DK38="HH"),"EQH","")))</f>
        <v>EQL</v>
      </c>
      <c r="EH38" s="2" t="str">
        <f aca="false">IF(DW38="","",IF(AND(ABS(DW38)&lt;=0.25,$E38="Bottom",DL38="LL"),"EQL",IF(AND(ABS(DW38)&lt;=0.25,$E38="Peak",DL38="HH"),"EQH","")))</f>
        <v/>
      </c>
      <c r="EI38" s="2" t="str">
        <f aca="false">IF(DX38="","",IF(AND(ABS(DX38)&lt;=0.25,$E38="Bottom",DM38="LL"),"EQL",IF(AND(ABS(DX38)&lt;=0.25,$E38="Peak",DM38="HH"),"EQH","")))</f>
        <v/>
      </c>
      <c r="EJ38" s="2" t="str">
        <f aca="false">IF(DY38="","",IF(AND(ABS(DY38)&lt;=0.25,$E38="Bottom",DN38="LL"),"EQL",IF(AND(ABS(DY38)&lt;=0.25,$E38="Peak",DN38="HH"),"EQH","")))</f>
        <v/>
      </c>
      <c r="EK38" s="2" t="str">
        <f aca="false">IF(DZ38="","",IF(AND(ABS(DZ38)&lt;=0.25,$E38="Bottom",DO38="LL"),"EQL",IF(AND(ABS(DZ38)&lt;=0.25,$E38="Peak",DO38="HH"),"EQH","")))</f>
        <v/>
      </c>
      <c r="EL38" s="2" t="str">
        <f aca="false">IF(EA38="","",IF(AND(ABS(EA38)&lt;=0.25,$E38="Bottom",DP38="LL"),"EQL",IF(AND(ABS(EA38)&lt;=0.25,$E38="Peak",DP38="HH"),"EQH","")))</f>
        <v>EQL</v>
      </c>
      <c r="EM38" s="2" t="str">
        <f aca="false">IF(EB38="","",IF(AND(ABS(EB38)&lt;=0.25,$E38="Bottom",DQ38="LL"),"EQL",IF(AND(ABS(EB38)&lt;=0.25,$E38="Peak",DQ38="HH"),"EQH","")))</f>
        <v/>
      </c>
      <c r="EN38" s="2" t="str">
        <f aca="false">IF(EC38="","",IF(AND(ABS(EC38)&lt;=0.25,$E38="Bottom",DR38="LL"),"EQL",IF(AND(ABS(EC38)&lt;=0.25,$E38="Peak",DR38="HH"),"EQH","")))</f>
        <v/>
      </c>
      <c r="EO38" s="2" t="str">
        <f aca="false">IF(ED38="","",IF(AND(ABS(ED38)&lt;=0.25,$E38="Bottom",DS38="LL"),"EQL",IF(AND(ABS(ED38)&lt;=0.25,$E38="Peak",DS38="HH"),"EQH","")))</f>
        <v/>
      </c>
      <c r="EP38" s="2" t="str">
        <f aca="false">IF(EE38="","",IF(AND(ABS(EE38)&lt;=0.25,$E38="Bottom",DT38="LL"),"EQL",IF(AND(ABS(EE38)&lt;=0.25,$E38="Peak",DT38="HH"),"EQH","")))</f>
        <v/>
      </c>
      <c r="EQ38" s="2" t="str">
        <f aca="false">IF(EF38="","",IF(AND(ABS(EF38)&lt;=0.25,$E38="Bottom",DU38="LL"),"EQL",IF(AND(ABS(EF38)&lt;=0.25,$E38="Peak",DU38="HH"),"EQH","")))</f>
        <v/>
      </c>
      <c r="ER38" s="2" t="n">
        <f aca="false">IF(OR(EG38="EQL",EG38="EQH"),G38,"")</f>
        <v>4664.3</v>
      </c>
      <c r="ES38" s="2" t="str">
        <f aca="false">IF(OR(EH38="EQL",EH38="EQH"),H38,"")</f>
        <v/>
      </c>
      <c r="ET38" s="2" t="str">
        <f aca="false">IF(OR(EI38="EQL",EI38="EQH"),I38,"")</f>
        <v/>
      </c>
      <c r="EU38" s="2" t="str">
        <f aca="false">IF(OR(EJ38="EQL",EJ38="EQH"),J38,"")</f>
        <v/>
      </c>
      <c r="EV38" s="2" t="str">
        <f aca="false">IF(OR(EK38="EQL",EK38="EQH"),K38,"")</f>
        <v/>
      </c>
      <c r="EW38" s="2" t="n">
        <f aca="false">IF(OR(EL38="EQL",EL38="EQH"),L38,"")</f>
        <v>4668.61</v>
      </c>
      <c r="EX38" s="2" t="str">
        <f aca="false">IF(OR(EM38="EQL",EM38="EQH"),M38,"")</f>
        <v/>
      </c>
      <c r="EY38" s="2" t="str">
        <f aca="false">IF(OR(EN38="EQL",EN38="EQH"),N38,"")</f>
        <v/>
      </c>
      <c r="EZ38" s="2" t="str">
        <f aca="false">IF(OR(EO38="EQL",EO38="EQH"),O38,"")</f>
        <v/>
      </c>
      <c r="FA38" s="2" t="str">
        <f aca="false">IF(OR(EP38="EQL",EP38="EQH"),P38,"")</f>
        <v/>
      </c>
      <c r="FB38" s="2" t="str">
        <f aca="false">IF(OR(EQ38="EQL",EQ38="EQH"),Q38,"")</f>
        <v/>
      </c>
      <c r="FC38" s="2" t="str">
        <f aca="false">IF(AND(EG38="EQL",OR(AQ38=4,AQ38=5)),"IEQL",IF(AND(EG38="EQH",OR(AQ38=1,AQ38=2)),"IEQH",""))</f>
        <v/>
      </c>
      <c r="FD38" s="2" t="str">
        <f aca="false">IF(AND(EH38="EQL",OR(AR38=4,AR38=5)),"IEQL",IF(AND(EH38="EQH",OR(AR38=1,AR38=2)),"IEQH",""))</f>
        <v/>
      </c>
      <c r="FE38" s="2" t="str">
        <f aca="false">IF(AND(EI38="EQL",OR(AS38=4,AS38=5)),"IEQL",IF(AND(EI38="EQH",OR(AS38=1,AS38=2)),"IEQH",""))</f>
        <v/>
      </c>
      <c r="FF38" s="2" t="str">
        <f aca="false">IF(AND(EJ38="EQL",OR(AT38=4,AT38=5)),"IEQL",IF(AND(EJ38="EQH",OR(AT38=1,AT38=2)),"IEQH",""))</f>
        <v/>
      </c>
      <c r="FG38" s="2" t="str">
        <f aca="false">IF(AND(EK38="EQL",OR(AU38=4,AU38=5)),"IEQL",IF(AND(EK38="EQH",OR(AU38=1,AU38=2)),"IEQH",""))</f>
        <v/>
      </c>
      <c r="FH38" s="2" t="str">
        <f aca="false">IF(AND(EL38="EQL",OR(AV38=4,AV38=5)),"IEQL",IF(AND(EL38="EQH",OR(AV38=1,AV38=2)),"IEQH",""))</f>
        <v>IEQL</v>
      </c>
      <c r="FI38" s="2" t="str">
        <f aca="false">IF(AND(EM38="EQL",OR(AW38=4,AW38=5)),"IEQL",IF(AND(EM38="EQH",OR(AW38=1,AW38=2)),"IEQH",""))</f>
        <v/>
      </c>
      <c r="FJ38" s="2" t="str">
        <f aca="false">IF(AND(EN38="EQL",OR(AX38=4,AX38=5)),"IEQL",IF(AND(EN38="EQH",OR(AX38=1,AX38=2)),"IEQH",""))</f>
        <v/>
      </c>
      <c r="FK38" s="2" t="str">
        <f aca="false">IF(AND(EO38="EQL",OR(AY38=4,AY38=5)),"IEQL",IF(AND(EO38="EQH",OR(AY38=1,AY38=2)),"IEQH",""))</f>
        <v/>
      </c>
      <c r="FL38" s="2" t="str">
        <f aca="false">IF(AND(EP38="EQL",OR(AZ38=4,AZ38=5)),"IEQL",IF(AND(EP38="EQH",OR(AZ38=1,AZ38=2)),"IEQH",""))</f>
        <v/>
      </c>
      <c r="FM38" s="2" t="str">
        <f aca="false">IF(AND(EQ38="EQL",OR(BA38=4,BA38=5)),"IEQL",IF(AND(EQ38="EQH",OR(BA38=1,BA38=2)),"IEQH",""))</f>
        <v/>
      </c>
    </row>
    <row r="39" customFormat="false" ht="14.25" hidden="false" customHeight="false" outlineLevel="0" collapsed="false">
      <c r="A39" s="1" t="n">
        <v>1777018502</v>
      </c>
      <c r="B39" s="1" t="s">
        <v>169</v>
      </c>
      <c r="C39" s="1" t="s">
        <v>170</v>
      </c>
      <c r="D39" s="1" t="n">
        <v>4687.83</v>
      </c>
      <c r="E39" s="1" t="s">
        <v>173</v>
      </c>
      <c r="F39" s="1" t="n">
        <v>4697.42</v>
      </c>
      <c r="G39" s="2" t="n">
        <f aca="false">F37</f>
        <v>4711.23</v>
      </c>
      <c r="H39" s="2" t="n">
        <f aca="false">F35</f>
        <v>4743.22</v>
      </c>
      <c r="I39" s="2" t="n">
        <f aca="false">F33</f>
        <v>4724.89</v>
      </c>
      <c r="J39" s="2" t="n">
        <f aca="false">F31</f>
        <v>4753.33</v>
      </c>
      <c r="K39" s="2" t="n">
        <f aca="false">F29</f>
        <v>4749.34</v>
      </c>
      <c r="L39" s="2" t="n">
        <f aca="false">F27</f>
        <v>4772.15</v>
      </c>
      <c r="M39" s="2" t="n">
        <f aca="false">F25</f>
        <v>4797.91</v>
      </c>
      <c r="N39" s="2" t="n">
        <f aca="false">F23</f>
        <v>4833.25</v>
      </c>
      <c r="O39" s="2" t="n">
        <f aca="false">F21</f>
        <v>4827.74</v>
      </c>
      <c r="P39" s="2" t="n">
        <f aca="false">F19</f>
        <v>4805.79</v>
      </c>
      <c r="Q39" s="2" t="n">
        <f aca="false">F17</f>
        <v>4814.28</v>
      </c>
      <c r="R39" s="1" t="n">
        <v>39.25</v>
      </c>
      <c r="S39" s="2" t="n">
        <f aca="false">R37</f>
        <v>46.93</v>
      </c>
      <c r="T39" s="2" t="n">
        <f aca="false">R35</f>
        <v>58.96</v>
      </c>
      <c r="U39" s="2" t="n">
        <f aca="false">R33</f>
        <v>31.83</v>
      </c>
      <c r="V39" s="2" t="n">
        <f aca="false">R31</f>
        <v>58.99</v>
      </c>
      <c r="W39" s="2" t="n">
        <f aca="false">R29</f>
        <v>25.31</v>
      </c>
      <c r="X39" s="2" t="n">
        <f aca="false">R27</f>
        <v>103.54</v>
      </c>
      <c r="Y39" s="2" t="n">
        <f aca="false">R25</f>
        <v>25.13</v>
      </c>
      <c r="Z39" s="2" t="n">
        <f aca="false">R23</f>
        <v>40.83</v>
      </c>
      <c r="AA39" s="2" t="n">
        <f aca="false">R21</f>
        <v>44.23</v>
      </c>
      <c r="AB39" s="2" t="n">
        <f aca="false">R19</f>
        <v>25.99</v>
      </c>
      <c r="AC39" s="2" t="n">
        <f aca="false">R17</f>
        <v>77.32</v>
      </c>
      <c r="AD39" s="1" t="n">
        <v>0.84</v>
      </c>
      <c r="AE39" s="2" t="n">
        <f aca="false">AD37</f>
        <v>1.01</v>
      </c>
      <c r="AF39" s="2" t="n">
        <f aca="false">AD35</f>
        <v>1.26</v>
      </c>
      <c r="AG39" s="2" t="n">
        <f aca="false">AD33</f>
        <v>0.68</v>
      </c>
      <c r="AH39" s="2" t="n">
        <f aca="false">AD31</f>
        <v>1.26</v>
      </c>
      <c r="AI39" s="2" t="n">
        <f aca="false">AD29</f>
        <v>0.54</v>
      </c>
      <c r="AJ39" s="2" t="n">
        <f aca="false">AD27</f>
        <v>2.22</v>
      </c>
      <c r="AK39" s="2" t="n">
        <f aca="false">AD25</f>
        <v>0.53</v>
      </c>
      <c r="AL39" s="2" t="n">
        <f aca="false">AD23</f>
        <v>0.85</v>
      </c>
      <c r="AM39" s="2" t="n">
        <f aca="false">AD21</f>
        <v>0.92</v>
      </c>
      <c r="AN39" s="2" t="n">
        <f aca="false">AD19</f>
        <v>0.54</v>
      </c>
      <c r="AO39" s="2" t="n">
        <f aca="false">AD17</f>
        <v>1.63</v>
      </c>
      <c r="AP39" s="1" t="n">
        <v>0</v>
      </c>
      <c r="AQ39" s="2" t="n">
        <f aca="false">AP37</f>
        <v>0</v>
      </c>
      <c r="AR39" s="2" t="n">
        <f aca="false">AP35</f>
        <v>0</v>
      </c>
      <c r="AS39" s="2" t="n">
        <f aca="false">AP33</f>
        <v>0</v>
      </c>
      <c r="AT39" s="2" t="n">
        <f aca="false">AP31</f>
        <v>0</v>
      </c>
      <c r="AU39" s="2" t="n">
        <f aca="false">AP29</f>
        <v>0</v>
      </c>
      <c r="AV39" s="2" t="n">
        <f aca="false">AP27</f>
        <v>1</v>
      </c>
      <c r="AW39" s="2" t="n">
        <f aca="false">AP25</f>
        <v>0</v>
      </c>
      <c r="AX39" s="2" t="n">
        <f aca="false">AP23</f>
        <v>0</v>
      </c>
      <c r="AY39" s="2" t="n">
        <f aca="false">AP21</f>
        <v>0</v>
      </c>
      <c r="AZ39" s="2" t="n">
        <f aca="false">AP19</f>
        <v>0</v>
      </c>
      <c r="BA39" s="2" t="n">
        <f aca="false">AP17</f>
        <v>0</v>
      </c>
      <c r="BB39" s="1" t="n">
        <v>15</v>
      </c>
      <c r="BC39" s="2" t="n">
        <f aca="false">BB37</f>
        <v>26</v>
      </c>
      <c r="BD39" s="2" t="n">
        <f aca="false">BB35</f>
        <v>9</v>
      </c>
      <c r="BE39" s="2" t="n">
        <f aca="false">BB33</f>
        <v>10</v>
      </c>
      <c r="BF39" s="2" t="n">
        <f aca="false">BB31</f>
        <v>2</v>
      </c>
      <c r="BG39" s="2" t="n">
        <f aca="false">BB29</f>
        <v>9</v>
      </c>
      <c r="BH39" s="2" t="n">
        <f aca="false">BB27</f>
        <v>42</v>
      </c>
      <c r="BI39" s="2" t="n">
        <f aca="false">BB25</f>
        <v>19</v>
      </c>
      <c r="BJ39" s="2" t="n">
        <f aca="false">BB23</f>
        <v>26</v>
      </c>
      <c r="BK39" s="2" t="n">
        <f aca="false">BB21</f>
        <v>20</v>
      </c>
      <c r="BL39" s="2" t="n">
        <f aca="false">BB19</f>
        <v>7</v>
      </c>
      <c r="BM39" s="2" t="n">
        <f aca="false">BB17</f>
        <v>8</v>
      </c>
      <c r="BN39" s="1" t="n">
        <v>0</v>
      </c>
      <c r="BO39" s="2" t="n">
        <f aca="false">BN37</f>
        <v>0</v>
      </c>
      <c r="BP39" s="2" t="n">
        <f aca="false">BN35</f>
        <v>0</v>
      </c>
      <c r="BQ39" s="2" t="n">
        <f aca="false">BN33</f>
        <v>0</v>
      </c>
      <c r="BR39" s="2" t="n">
        <f aca="false">BN31</f>
        <v>0</v>
      </c>
      <c r="BS39" s="2" t="n">
        <f aca="false">BN29</f>
        <v>0</v>
      </c>
      <c r="BT39" s="2" t="n">
        <f aca="false">BN27</f>
        <v>1</v>
      </c>
      <c r="BU39" s="2" t="n">
        <f aca="false">BN25</f>
        <v>0</v>
      </c>
      <c r="BV39" s="2" t="n">
        <f aca="false">BN23</f>
        <v>0</v>
      </c>
      <c r="BW39" s="2" t="n">
        <f aca="false">BN21</f>
        <v>0</v>
      </c>
      <c r="BX39" s="2" t="n">
        <f aca="false">BN19</f>
        <v>0</v>
      </c>
      <c r="BY39" s="2" t="n">
        <f aca="false">BN17</f>
        <v>0</v>
      </c>
      <c r="BZ39" s="1" t="n">
        <v>2.61667</v>
      </c>
      <c r="CA39" s="2" t="n">
        <f aca="false">BZ37</f>
        <v>1.805</v>
      </c>
      <c r="CB39" s="2" t="n">
        <f aca="false">BZ35</f>
        <v>6.55111</v>
      </c>
      <c r="CC39" s="2" t="n">
        <f aca="false">BZ33</f>
        <v>3.183</v>
      </c>
      <c r="CD39" s="2" t="n">
        <f aca="false">BZ31</f>
        <v>29.495</v>
      </c>
      <c r="CE39" s="2" t="n">
        <f aca="false">BZ29</f>
        <v>2.81222</v>
      </c>
      <c r="CF39" s="2" t="n">
        <f aca="false">BZ27</f>
        <v>2.46524</v>
      </c>
      <c r="CG39" s="2" t="n">
        <f aca="false">BZ25</f>
        <v>1.32263</v>
      </c>
      <c r="CH39" s="2" t="n">
        <f aca="false">BZ23</f>
        <v>1.57038</v>
      </c>
      <c r="CI39" s="2" t="n">
        <f aca="false">BZ21</f>
        <v>2.2115</v>
      </c>
      <c r="CJ39" s="2" t="n">
        <f aca="false">BZ19</f>
        <v>3.71286</v>
      </c>
      <c r="CK39" s="2" t="n">
        <f aca="false">BZ17</f>
        <v>9.665</v>
      </c>
      <c r="CL39" s="1" t="n">
        <v>0</v>
      </c>
      <c r="CM39" s="2" t="n">
        <f aca="false">CL37</f>
        <v>0</v>
      </c>
      <c r="CN39" s="2" t="n">
        <f aca="false">CL35</f>
        <v>0</v>
      </c>
      <c r="CO39" s="2" t="n">
        <f aca="false">CL33</f>
        <v>0</v>
      </c>
      <c r="CP39" s="2" t="n">
        <f aca="false">CL31</f>
        <v>2</v>
      </c>
      <c r="CQ39" s="2" t="n">
        <f aca="false">CL29</f>
        <v>0</v>
      </c>
      <c r="CR39" s="2" t="n">
        <f aca="false">CL27</f>
        <v>0</v>
      </c>
      <c r="CS39" s="2" t="n">
        <f aca="false">CL25</f>
        <v>0</v>
      </c>
      <c r="CT39" s="2" t="n">
        <f aca="false">CL23</f>
        <v>0</v>
      </c>
      <c r="CU39" s="2" t="n">
        <f aca="false">CL21</f>
        <v>0</v>
      </c>
      <c r="CV39" s="2" t="n">
        <f aca="false">CL19</f>
        <v>0</v>
      </c>
      <c r="CW39" s="2" t="n">
        <f aca="false">CL17</f>
        <v>1</v>
      </c>
      <c r="CX39" s="1" t="n">
        <v>69.0849</v>
      </c>
      <c r="CY39" s="2" t="n">
        <f aca="false">CX37</f>
        <v>61.0128</v>
      </c>
      <c r="CZ39" s="2" t="n">
        <f aca="false">CX35</f>
        <v>81.321</v>
      </c>
      <c r="DA39" s="2" t="n">
        <f aca="false">CX33</f>
        <v>72.5589</v>
      </c>
      <c r="DB39" s="2" t="n">
        <f aca="false">CX31</f>
        <v>88.0582</v>
      </c>
      <c r="DC39" s="2" t="n">
        <f aca="false">CX29</f>
        <v>70.4251</v>
      </c>
      <c r="DD39" s="2" t="n">
        <f aca="false">CX27</f>
        <v>67.9205</v>
      </c>
      <c r="DE39" s="2" t="n">
        <f aca="false">CX25</f>
        <v>52.9082</v>
      </c>
      <c r="DF39" s="2" t="n">
        <f aca="false">CX23</f>
        <v>57.5116</v>
      </c>
      <c r="DG39" s="2" t="n">
        <f aca="false">CX21</f>
        <v>65.6684</v>
      </c>
      <c r="DH39" s="2" t="n">
        <f aca="false">CX19</f>
        <v>74.926</v>
      </c>
      <c r="DI39" s="2" t="n">
        <f aca="false">CX17</f>
        <v>84.0928</v>
      </c>
      <c r="DJ39" s="1" t="s">
        <v>174</v>
      </c>
      <c r="DK39" s="2" t="str">
        <f aca="false">DJ37</f>
        <v>LH</v>
      </c>
      <c r="DL39" s="2" t="str">
        <f aca="false">DJ35</f>
        <v>HH</v>
      </c>
      <c r="DM39" s="2" t="str">
        <f aca="false">DJ33</f>
        <v>LH</v>
      </c>
      <c r="DN39" s="2" t="str">
        <f aca="false">DJ31</f>
        <v>HH</v>
      </c>
      <c r="DO39" s="2" t="str">
        <f aca="false">DJ29</f>
        <v>LH</v>
      </c>
      <c r="DP39" s="2" t="str">
        <f aca="false">DJ27</f>
        <v>LH</v>
      </c>
      <c r="DQ39" s="2" t="str">
        <f aca="false">DJ25</f>
        <v>LH</v>
      </c>
      <c r="DR39" s="2" t="str">
        <f aca="false">DJ23</f>
        <v>HH</v>
      </c>
      <c r="DS39" s="2" t="str">
        <f aca="false">DJ21</f>
        <v>HH</v>
      </c>
      <c r="DT39" s="2" t="str">
        <f aca="false">DJ19</f>
        <v>LH</v>
      </c>
      <c r="DU39" s="2" t="str">
        <f aca="false">DJ17</f>
        <v>LH</v>
      </c>
      <c r="DV39" s="2" t="n">
        <f aca="false">IFERROR((G39-$F39)/$F39*100,"")</f>
        <v>0.29399116962076</v>
      </c>
      <c r="DW39" s="2" t="n">
        <f aca="false">IFERROR((H39-$F39)/$F39*100,"")</f>
        <v>0.97500329968366</v>
      </c>
      <c r="DX39" s="2" t="n">
        <f aca="false">IFERROR((I39-$F39)/$F39*100,"")</f>
        <v>0.584789096993674</v>
      </c>
      <c r="DY39" s="2" t="n">
        <f aca="false">IFERROR((J39-$F39)/$F39*100,"")</f>
        <v>1.19022782719024</v>
      </c>
      <c r="DZ39" s="2" t="n">
        <f aca="false">IFERROR((K39-$F39)/$F39*100,"")</f>
        <v>1.10528758339684</v>
      </c>
      <c r="EA39" s="2" t="n">
        <f aca="false">IFERROR((L39-$F39)/$F39*100,"")</f>
        <v>1.59087328788994</v>
      </c>
      <c r="EB39" s="2" t="n">
        <f aca="false">IFERROR((M39-$F39)/$F39*100,"")</f>
        <v>2.13925942325787</v>
      </c>
      <c r="EC39" s="2" t="n">
        <f aca="false">IFERROR((N39-$F39)/$F39*100,"")</f>
        <v>2.89158729685657</v>
      </c>
      <c r="ED39" s="2" t="n">
        <f aca="false">IFERROR((O39-$F39)/$F39*100,"")</f>
        <v>2.77428886495139</v>
      </c>
      <c r="EE39" s="2" t="n">
        <f aca="false">IFERROR((P39-$F39)/$F39*100,"")</f>
        <v>2.30701108267943</v>
      </c>
      <c r="EF39" s="2" t="n">
        <f aca="false">IFERROR((Q39-$F39)/$F39*100,"")</f>
        <v>2.48774859390899</v>
      </c>
      <c r="EG39" s="2" t="str">
        <f aca="false">IF(DV39="","",IF(AND(ABS(DV39)&lt;=0.25,$E39="Bottom",DK39="LL"),"EQL",IF(AND(ABS(DV39)&lt;=0.25,$E39="Peak",DK39="HH"),"EQH","")))</f>
        <v/>
      </c>
      <c r="EH39" s="2" t="str">
        <f aca="false">IF(DW39="","",IF(AND(ABS(DW39)&lt;=0.25,$E39="Bottom",DL39="LL"),"EQL",IF(AND(ABS(DW39)&lt;=0.25,$E39="Peak",DL39="HH"),"EQH","")))</f>
        <v/>
      </c>
      <c r="EI39" s="2" t="str">
        <f aca="false">IF(DX39="","",IF(AND(ABS(DX39)&lt;=0.25,$E39="Bottom",DM39="LL"),"EQL",IF(AND(ABS(DX39)&lt;=0.25,$E39="Peak",DM39="HH"),"EQH","")))</f>
        <v/>
      </c>
      <c r="EJ39" s="2" t="str">
        <f aca="false">IF(DY39="","",IF(AND(ABS(DY39)&lt;=0.25,$E39="Bottom",DN39="LL"),"EQL",IF(AND(ABS(DY39)&lt;=0.25,$E39="Peak",DN39="HH"),"EQH","")))</f>
        <v/>
      </c>
      <c r="EK39" s="2" t="str">
        <f aca="false">IF(DZ39="","",IF(AND(ABS(DZ39)&lt;=0.25,$E39="Bottom",DO39="LL"),"EQL",IF(AND(ABS(DZ39)&lt;=0.25,$E39="Peak",DO39="HH"),"EQH","")))</f>
        <v/>
      </c>
      <c r="EL39" s="2" t="str">
        <f aca="false">IF(EA39="","",IF(AND(ABS(EA39)&lt;=0.25,$E39="Bottom",DP39="LL"),"EQL",IF(AND(ABS(EA39)&lt;=0.25,$E39="Peak",DP39="HH"),"EQH","")))</f>
        <v/>
      </c>
      <c r="EM39" s="2" t="str">
        <f aca="false">IF(EB39="","",IF(AND(ABS(EB39)&lt;=0.25,$E39="Bottom",DQ39="LL"),"EQL",IF(AND(ABS(EB39)&lt;=0.25,$E39="Peak",DQ39="HH"),"EQH","")))</f>
        <v/>
      </c>
      <c r="EN39" s="2" t="str">
        <f aca="false">IF(EC39="","",IF(AND(ABS(EC39)&lt;=0.25,$E39="Bottom",DR39="LL"),"EQL",IF(AND(ABS(EC39)&lt;=0.25,$E39="Peak",DR39="HH"),"EQH","")))</f>
        <v/>
      </c>
      <c r="EO39" s="2" t="str">
        <f aca="false">IF(ED39="","",IF(AND(ABS(ED39)&lt;=0.25,$E39="Bottom",DS39="LL"),"EQL",IF(AND(ABS(ED39)&lt;=0.25,$E39="Peak",DS39="HH"),"EQH","")))</f>
        <v/>
      </c>
      <c r="EP39" s="2" t="str">
        <f aca="false">IF(EE39="","",IF(AND(ABS(EE39)&lt;=0.25,$E39="Bottom",DT39="LL"),"EQL",IF(AND(ABS(EE39)&lt;=0.25,$E39="Peak",DT39="HH"),"EQH","")))</f>
        <v/>
      </c>
      <c r="EQ39" s="2" t="str">
        <f aca="false">IF(EF39="","",IF(AND(ABS(EF39)&lt;=0.25,$E39="Bottom",DU39="LL"),"EQL",IF(AND(ABS(EF39)&lt;=0.25,$E39="Peak",DU39="HH"),"EQH","")))</f>
        <v/>
      </c>
      <c r="ER39" s="2" t="str">
        <f aca="false">IF(OR(EG39="EQL",EG39="EQH"),G39,"")</f>
        <v/>
      </c>
      <c r="ES39" s="2" t="str">
        <f aca="false">IF(OR(EH39="EQL",EH39="EQH"),H39,"")</f>
        <v/>
      </c>
      <c r="ET39" s="2" t="str">
        <f aca="false">IF(OR(EI39="EQL",EI39="EQH"),I39,"")</f>
        <v/>
      </c>
      <c r="EU39" s="2" t="str">
        <f aca="false">IF(OR(EJ39="EQL",EJ39="EQH"),J39,"")</f>
        <v/>
      </c>
      <c r="EV39" s="2" t="str">
        <f aca="false">IF(OR(EK39="EQL",EK39="EQH"),K39,"")</f>
        <v/>
      </c>
      <c r="EW39" s="2" t="str">
        <f aca="false">IF(OR(EL39="EQL",EL39="EQH"),L39,"")</f>
        <v/>
      </c>
      <c r="EX39" s="2" t="str">
        <f aca="false">IF(OR(EM39="EQL",EM39="EQH"),M39,"")</f>
        <v/>
      </c>
      <c r="EY39" s="2" t="str">
        <f aca="false">IF(OR(EN39="EQL",EN39="EQH"),N39,"")</f>
        <v/>
      </c>
      <c r="EZ39" s="2" t="str">
        <f aca="false">IF(OR(EO39="EQL",EO39="EQH"),O39,"")</f>
        <v/>
      </c>
      <c r="FA39" s="2" t="str">
        <f aca="false">IF(OR(EP39="EQL",EP39="EQH"),P39,"")</f>
        <v/>
      </c>
      <c r="FB39" s="2" t="str">
        <f aca="false">IF(OR(EQ39="EQL",EQ39="EQH"),Q39,"")</f>
        <v/>
      </c>
      <c r="FC39" s="2" t="str">
        <f aca="false">IF(AND(EG39="EQL",OR(AQ39=4,AQ39=5)),"IEQL",IF(AND(EG39="EQH",OR(AQ39=1,AQ39=2)),"IEQH",""))</f>
        <v/>
      </c>
      <c r="FD39" s="2" t="str">
        <f aca="false">IF(AND(EH39="EQL",OR(AR39=4,AR39=5)),"IEQL",IF(AND(EH39="EQH",OR(AR39=1,AR39=2)),"IEQH",""))</f>
        <v/>
      </c>
      <c r="FE39" s="2" t="str">
        <f aca="false">IF(AND(EI39="EQL",OR(AS39=4,AS39=5)),"IEQL",IF(AND(EI39="EQH",OR(AS39=1,AS39=2)),"IEQH",""))</f>
        <v/>
      </c>
      <c r="FF39" s="2" t="str">
        <f aca="false">IF(AND(EJ39="EQL",OR(AT39=4,AT39=5)),"IEQL",IF(AND(EJ39="EQH",OR(AT39=1,AT39=2)),"IEQH",""))</f>
        <v/>
      </c>
      <c r="FG39" s="2" t="str">
        <f aca="false">IF(AND(EK39="EQL",OR(AU39=4,AU39=5)),"IEQL",IF(AND(EK39="EQH",OR(AU39=1,AU39=2)),"IEQH",""))</f>
        <v/>
      </c>
      <c r="FH39" s="2" t="str">
        <f aca="false">IF(AND(EL39="EQL",OR(AV39=4,AV39=5)),"IEQL",IF(AND(EL39="EQH",OR(AV39=1,AV39=2)),"IEQH",""))</f>
        <v/>
      </c>
      <c r="FI39" s="2" t="str">
        <f aca="false">IF(AND(EM39="EQL",OR(AW39=4,AW39=5)),"IEQL",IF(AND(EM39="EQH",OR(AW39=1,AW39=2)),"IEQH",""))</f>
        <v/>
      </c>
      <c r="FJ39" s="2" t="str">
        <f aca="false">IF(AND(EN39="EQL",OR(AX39=4,AX39=5)),"IEQL",IF(AND(EN39="EQH",OR(AX39=1,AX39=2)),"IEQH",""))</f>
        <v/>
      </c>
      <c r="FK39" s="2" t="str">
        <f aca="false">IF(AND(EO39="EQL",OR(AY39=4,AY39=5)),"IEQL",IF(AND(EO39="EQH",OR(AY39=1,AY39=2)),"IEQH",""))</f>
        <v/>
      </c>
      <c r="FL39" s="2" t="str">
        <f aca="false">IF(AND(EP39="EQL",OR(AZ39=4,AZ39=5)),"IEQL",IF(AND(EP39="EQH",OR(AZ39=1,AZ39=2)),"IEQH",""))</f>
        <v/>
      </c>
      <c r="FM39" s="2" t="str">
        <f aca="false">IF(AND(EQ39="EQL",OR(BA39=4,BA39=5)),"IEQL",IF(AND(EQ39="EQH",OR(BA39=1,BA39=2)),"IEQH",""))</f>
        <v/>
      </c>
    </row>
    <row r="40" customFormat="false" ht="14.25" hidden="false" customHeight="false" outlineLevel="0" collapsed="false">
      <c r="A40" s="1" t="n">
        <v>1777026602</v>
      </c>
      <c r="B40" s="1" t="s">
        <v>169</v>
      </c>
      <c r="C40" s="1" t="s">
        <v>170</v>
      </c>
      <c r="D40" s="1" t="n">
        <v>4679.01</v>
      </c>
      <c r="E40" s="1" t="s">
        <v>171</v>
      </c>
      <c r="F40" s="1" t="n">
        <v>4674.72</v>
      </c>
      <c r="G40" s="2" t="n">
        <f aca="false">F38</f>
        <v>4658.17</v>
      </c>
      <c r="H40" s="2" t="n">
        <f aca="false">F36</f>
        <v>4664.3</v>
      </c>
      <c r="I40" s="2" t="n">
        <f aca="false">F34</f>
        <v>4684.26</v>
      </c>
      <c r="J40" s="2" t="n">
        <f aca="false">F32</f>
        <v>4693.06</v>
      </c>
      <c r="K40" s="2" t="n">
        <f aca="false">F30</f>
        <v>4694.34</v>
      </c>
      <c r="L40" s="2" t="n">
        <f aca="false">F28</f>
        <v>4724.03</v>
      </c>
      <c r="M40" s="2" t="n">
        <f aca="false">F26</f>
        <v>4668.61</v>
      </c>
      <c r="N40" s="2" t="n">
        <f aca="false">F24</f>
        <v>4772.78</v>
      </c>
      <c r="O40" s="2" t="n">
        <f aca="false">F22</f>
        <v>4792.42</v>
      </c>
      <c r="P40" s="2" t="n">
        <f aca="false">F20</f>
        <v>4783.51</v>
      </c>
      <c r="Q40" s="2" t="n">
        <f aca="false">F18</f>
        <v>4779.8</v>
      </c>
      <c r="R40" s="1" t="n">
        <v>-22.7</v>
      </c>
      <c r="S40" s="2" t="n">
        <f aca="false">R38</f>
        <v>-53.06</v>
      </c>
      <c r="T40" s="2" t="n">
        <f aca="false">R36</f>
        <v>-78.92</v>
      </c>
      <c r="U40" s="2" t="n">
        <f aca="false">R34</f>
        <v>-40.63</v>
      </c>
      <c r="V40" s="2" t="n">
        <f aca="false">R32</f>
        <v>-60.27</v>
      </c>
      <c r="W40" s="2" t="n">
        <f aca="false">R30</f>
        <v>-55</v>
      </c>
      <c r="X40" s="2" t="n">
        <f aca="false">R28</f>
        <v>-48.12</v>
      </c>
      <c r="Y40" s="2" t="n">
        <f aca="false">R26</f>
        <v>-129.3</v>
      </c>
      <c r="Z40" s="2" t="n">
        <f aca="false">R24</f>
        <v>-60.47</v>
      </c>
      <c r="AA40" s="2" t="n">
        <f aca="false">R22</f>
        <v>-35.32</v>
      </c>
      <c r="AB40" s="2" t="n">
        <f aca="false">R20</f>
        <v>-22.28</v>
      </c>
      <c r="AC40" s="2" t="n">
        <f aca="false">R18</f>
        <v>-34.48</v>
      </c>
      <c r="AD40" s="1" t="n">
        <v>-0.48</v>
      </c>
      <c r="AE40" s="2" t="n">
        <f aca="false">AD38</f>
        <v>-1.13</v>
      </c>
      <c r="AF40" s="2" t="n">
        <f aca="false">AD36</f>
        <v>-1.66</v>
      </c>
      <c r="AG40" s="2" t="n">
        <f aca="false">AD34</f>
        <v>-0.86</v>
      </c>
      <c r="AH40" s="2" t="n">
        <f aca="false">AD32</f>
        <v>-1.27</v>
      </c>
      <c r="AI40" s="2" t="n">
        <f aca="false">AD30</f>
        <v>-1.16</v>
      </c>
      <c r="AJ40" s="2" t="n">
        <f aca="false">AD28</f>
        <v>-1.01</v>
      </c>
      <c r="AK40" s="2" t="n">
        <f aca="false">AD26</f>
        <v>-2.69</v>
      </c>
      <c r="AL40" s="2" t="n">
        <f aca="false">AD24</f>
        <v>-1.25</v>
      </c>
      <c r="AM40" s="2" t="n">
        <f aca="false">AD22</f>
        <v>-0.73</v>
      </c>
      <c r="AN40" s="2" t="n">
        <f aca="false">AD20</f>
        <v>-0.46</v>
      </c>
      <c r="AO40" s="2" t="n">
        <f aca="false">AD18</f>
        <v>-0.72</v>
      </c>
      <c r="AP40" s="1" t="n">
        <v>3</v>
      </c>
      <c r="AQ40" s="2" t="n">
        <f aca="false">AP38</f>
        <v>3</v>
      </c>
      <c r="AR40" s="2" t="n">
        <f aca="false">AP36</f>
        <v>3</v>
      </c>
      <c r="AS40" s="2" t="n">
        <f aca="false">AP34</f>
        <v>3</v>
      </c>
      <c r="AT40" s="2" t="n">
        <f aca="false">AP32</f>
        <v>3</v>
      </c>
      <c r="AU40" s="2" t="n">
        <f aca="false">AP30</f>
        <v>3</v>
      </c>
      <c r="AV40" s="2" t="n">
        <f aca="false">AP28</f>
        <v>3</v>
      </c>
      <c r="AW40" s="2" t="n">
        <f aca="false">AP26</f>
        <v>5</v>
      </c>
      <c r="AX40" s="2" t="n">
        <f aca="false">AP24</f>
        <v>3</v>
      </c>
      <c r="AY40" s="2" t="n">
        <f aca="false">AP22</f>
        <v>3</v>
      </c>
      <c r="AZ40" s="2" t="n">
        <f aca="false">AP20</f>
        <v>3</v>
      </c>
      <c r="BA40" s="2" t="n">
        <f aca="false">AP18</f>
        <v>3</v>
      </c>
      <c r="BB40" s="1" t="n">
        <v>9</v>
      </c>
      <c r="BC40" s="2" t="n">
        <f aca="false">BB38</f>
        <v>13</v>
      </c>
      <c r="BD40" s="2" t="n">
        <f aca="false">BB36</f>
        <v>20</v>
      </c>
      <c r="BE40" s="2" t="n">
        <f aca="false">BB34</f>
        <v>10</v>
      </c>
      <c r="BF40" s="2" t="n">
        <f aca="false">BB32</f>
        <v>19</v>
      </c>
      <c r="BG40" s="2" t="n">
        <f aca="false">BB30</f>
        <v>18</v>
      </c>
      <c r="BH40" s="2" t="n">
        <f aca="false">BB28</f>
        <v>38</v>
      </c>
      <c r="BI40" s="2" t="n">
        <f aca="false">BB26</f>
        <v>31</v>
      </c>
      <c r="BJ40" s="2" t="n">
        <f aca="false">BB24</f>
        <v>35</v>
      </c>
      <c r="BK40" s="2" t="n">
        <f aca="false">BB22</f>
        <v>1</v>
      </c>
      <c r="BL40" s="2" t="n">
        <f aca="false">BB20</f>
        <v>9</v>
      </c>
      <c r="BM40" s="2" t="n">
        <f aca="false">BB18</f>
        <v>15</v>
      </c>
      <c r="BN40" s="1" t="n">
        <v>3</v>
      </c>
      <c r="BO40" s="2" t="n">
        <f aca="false">BN38</f>
        <v>3</v>
      </c>
      <c r="BP40" s="2" t="n">
        <f aca="false">BN36</f>
        <v>3</v>
      </c>
      <c r="BQ40" s="2" t="n">
        <f aca="false">BN34</f>
        <v>3</v>
      </c>
      <c r="BR40" s="2" t="n">
        <f aca="false">BN32</f>
        <v>3</v>
      </c>
      <c r="BS40" s="2" t="n">
        <f aca="false">BN30</f>
        <v>3</v>
      </c>
      <c r="BT40" s="2" t="n">
        <f aca="false">BN28</f>
        <v>4</v>
      </c>
      <c r="BU40" s="2" t="n">
        <f aca="false">BN26</f>
        <v>3</v>
      </c>
      <c r="BV40" s="2" t="n">
        <f aca="false">BN24</f>
        <v>3</v>
      </c>
      <c r="BW40" s="2" t="n">
        <f aca="false">BN22</f>
        <v>3</v>
      </c>
      <c r="BX40" s="2" t="n">
        <f aca="false">BN20</f>
        <v>3</v>
      </c>
      <c r="BY40" s="2" t="n">
        <f aca="false">BN18</f>
        <v>3</v>
      </c>
      <c r="BZ40" s="1" t="n">
        <v>-2.52222</v>
      </c>
      <c r="CA40" s="2" t="n">
        <f aca="false">BZ38</f>
        <v>-4.08154</v>
      </c>
      <c r="CB40" s="2" t="n">
        <f aca="false">BZ36</f>
        <v>-3.946</v>
      </c>
      <c r="CC40" s="2" t="n">
        <f aca="false">BZ34</f>
        <v>-4.063</v>
      </c>
      <c r="CD40" s="2" t="n">
        <f aca="false">BZ32</f>
        <v>-3.17211</v>
      </c>
      <c r="CE40" s="2" t="n">
        <f aca="false">BZ30</f>
        <v>-3.05556</v>
      </c>
      <c r="CF40" s="2" t="n">
        <f aca="false">BZ28</f>
        <v>-1.26632</v>
      </c>
      <c r="CG40" s="2" t="n">
        <f aca="false">BZ26</f>
        <v>-4.17097</v>
      </c>
      <c r="CH40" s="2" t="n">
        <f aca="false">BZ24</f>
        <v>-1.72771</v>
      </c>
      <c r="CI40" s="2" t="n">
        <f aca="false">BZ22</f>
        <v>-35.32</v>
      </c>
      <c r="CJ40" s="2" t="n">
        <f aca="false">BZ20</f>
        <v>-2.47556</v>
      </c>
      <c r="CK40" s="2" t="n">
        <f aca="false">BZ18</f>
        <v>-2.29867</v>
      </c>
      <c r="CL40" s="1" t="n">
        <v>3</v>
      </c>
      <c r="CM40" s="2" t="n">
        <f aca="false">CL38</f>
        <v>3</v>
      </c>
      <c r="CN40" s="2" t="n">
        <f aca="false">CL36</f>
        <v>3</v>
      </c>
      <c r="CO40" s="2" t="n">
        <f aca="false">CL34</f>
        <v>3</v>
      </c>
      <c r="CP40" s="2" t="n">
        <f aca="false">CL32</f>
        <v>3</v>
      </c>
      <c r="CQ40" s="2" t="n">
        <f aca="false">CL30</f>
        <v>3</v>
      </c>
      <c r="CR40" s="2" t="n">
        <f aca="false">CL28</f>
        <v>3</v>
      </c>
      <c r="CS40" s="2" t="n">
        <f aca="false">CL26</f>
        <v>3</v>
      </c>
      <c r="CT40" s="2" t="n">
        <f aca="false">CL24</f>
        <v>3</v>
      </c>
      <c r="CU40" s="2" t="n">
        <f aca="false">CL22</f>
        <v>5</v>
      </c>
      <c r="CV40" s="2" t="n">
        <f aca="false">CL20</f>
        <v>3</v>
      </c>
      <c r="CW40" s="2" t="n">
        <f aca="false">CL18</f>
        <v>3</v>
      </c>
      <c r="CX40" s="1" t="n">
        <v>-68.3729</v>
      </c>
      <c r="CY40" s="2" t="n">
        <f aca="false">CX38</f>
        <v>-76.2334</v>
      </c>
      <c r="CZ40" s="2" t="n">
        <f aca="false">CX36</f>
        <v>-75.7794</v>
      </c>
      <c r="DA40" s="2" t="n">
        <f aca="false">CX34</f>
        <v>-76.173</v>
      </c>
      <c r="DB40" s="2" t="n">
        <f aca="false">CX32</f>
        <v>-72.5026</v>
      </c>
      <c r="DC40" s="2" t="n">
        <f aca="false">CX30</f>
        <v>-71.8781</v>
      </c>
      <c r="DD40" s="2" t="n">
        <f aca="false">CX28</f>
        <v>-51.7021</v>
      </c>
      <c r="DE40" s="2" t="n">
        <f aca="false">CX26</f>
        <v>-76.5177</v>
      </c>
      <c r="DF40" s="2" t="n">
        <f aca="false">CX24</f>
        <v>-59.9378</v>
      </c>
      <c r="DG40" s="2" t="n">
        <f aca="false">CX22</f>
        <v>-88.3782</v>
      </c>
      <c r="DH40" s="2" t="n">
        <f aca="false">CX20</f>
        <v>-68.0038</v>
      </c>
      <c r="DI40" s="2" t="n">
        <f aca="false">CX18</f>
        <v>-66.4893</v>
      </c>
      <c r="DJ40" s="1" t="s">
        <v>175</v>
      </c>
      <c r="DK40" s="2" t="str">
        <f aca="false">DJ38</f>
        <v>LL</v>
      </c>
      <c r="DL40" s="2" t="str">
        <f aca="false">DJ36</f>
        <v>LL</v>
      </c>
      <c r="DM40" s="2" t="str">
        <f aca="false">DJ34</f>
        <v>LL</v>
      </c>
      <c r="DN40" s="2" t="str">
        <f aca="false">DJ32</f>
        <v>LL</v>
      </c>
      <c r="DO40" s="2" t="str">
        <f aca="false">DJ30</f>
        <v>LL</v>
      </c>
      <c r="DP40" s="2" t="str">
        <f aca="false">DJ28</f>
        <v>HL</v>
      </c>
      <c r="DQ40" s="2" t="str">
        <f aca="false">DJ26</f>
        <v>LL</v>
      </c>
      <c r="DR40" s="2" t="str">
        <f aca="false">DJ24</f>
        <v>LL</v>
      </c>
      <c r="DS40" s="2" t="str">
        <f aca="false">DJ22</f>
        <v>HL</v>
      </c>
      <c r="DT40" s="2" t="str">
        <f aca="false">DJ20</f>
        <v>HL</v>
      </c>
      <c r="DU40" s="2" t="str">
        <f aca="false">DJ18</f>
        <v>HL</v>
      </c>
      <c r="DV40" s="2" t="n">
        <f aca="false">IFERROR((G40-$F40)/$F40*100,"")</f>
        <v>-0.35403189923675</v>
      </c>
      <c r="DW40" s="2" t="n">
        <f aca="false">IFERROR((H40-$F40)/$F40*100,"")</f>
        <v>-0.222901050758122</v>
      </c>
      <c r="DX40" s="2" t="n">
        <f aca="false">IFERROR((I40-$F40)/$F40*100,"")</f>
        <v>0.204076393880274</v>
      </c>
      <c r="DY40" s="2" t="n">
        <f aca="false">IFERROR((J40-$F40)/$F40*100,"")</f>
        <v>0.392322962658729</v>
      </c>
      <c r="DZ40" s="2" t="n">
        <f aca="false">IFERROR((K40-$F40)/$F40*100,"")</f>
        <v>0.419704281753771</v>
      </c>
      <c r="EA40" s="2" t="n">
        <f aca="false">IFERROR((L40-$F40)/$F40*100,"")</f>
        <v>1.0548225348256</v>
      </c>
      <c r="EB40" s="2" t="n">
        <f aca="false">IFERROR((M40-$F40)/$F40*100,"")</f>
        <v>-0.130703015367778</v>
      </c>
      <c r="EC40" s="2" t="n">
        <f aca="false">IFERROR((N40-$F40)/$F40*100,"")</f>
        <v>2.09766574254714</v>
      </c>
      <c r="ED40" s="2" t="n">
        <f aca="false">IFERROR((O40-$F40)/$F40*100,"")</f>
        <v>2.51779785741178</v>
      </c>
      <c r="EE40" s="2" t="n">
        <f aca="false">IFERROR((P40-$F40)/$F40*100,"")</f>
        <v>2.3271982065236</v>
      </c>
      <c r="EF40" s="2" t="n">
        <f aca="false">IFERROR((Q40-$F40)/$F40*100,"")</f>
        <v>2.24783516445905</v>
      </c>
      <c r="EG40" s="2" t="str">
        <f aca="false">IF(DV40="","",IF(AND(ABS(DV40)&lt;=0.25,$E40="Bottom",DK40="LL"),"EQL",IF(AND(ABS(DV40)&lt;=0.25,$E40="Peak",DK40="HH"),"EQH","")))</f>
        <v/>
      </c>
      <c r="EH40" s="2" t="str">
        <f aca="false">IF(DW40="","",IF(AND(ABS(DW40)&lt;=0.25,$E40="Bottom",DL40="LL"),"EQL",IF(AND(ABS(DW40)&lt;=0.25,$E40="Peak",DL40="HH"),"EQH","")))</f>
        <v>EQL</v>
      </c>
      <c r="EI40" s="2" t="str">
        <f aca="false">IF(DX40="","",IF(AND(ABS(DX40)&lt;=0.25,$E40="Bottom",DM40="LL"),"EQL",IF(AND(ABS(DX40)&lt;=0.25,$E40="Peak",DM40="HH"),"EQH","")))</f>
        <v>EQL</v>
      </c>
      <c r="EJ40" s="2" t="str">
        <f aca="false">IF(DY40="","",IF(AND(ABS(DY40)&lt;=0.25,$E40="Bottom",DN40="LL"),"EQL",IF(AND(ABS(DY40)&lt;=0.25,$E40="Peak",DN40="HH"),"EQH","")))</f>
        <v/>
      </c>
      <c r="EK40" s="2" t="str">
        <f aca="false">IF(DZ40="","",IF(AND(ABS(DZ40)&lt;=0.25,$E40="Bottom",DO40="LL"),"EQL",IF(AND(ABS(DZ40)&lt;=0.25,$E40="Peak",DO40="HH"),"EQH","")))</f>
        <v/>
      </c>
      <c r="EL40" s="2" t="str">
        <f aca="false">IF(EA40="","",IF(AND(ABS(EA40)&lt;=0.25,$E40="Bottom",DP40="LL"),"EQL",IF(AND(ABS(EA40)&lt;=0.25,$E40="Peak",DP40="HH"),"EQH","")))</f>
        <v/>
      </c>
      <c r="EM40" s="2" t="str">
        <f aca="false">IF(EB40="","",IF(AND(ABS(EB40)&lt;=0.25,$E40="Bottom",DQ40="LL"),"EQL",IF(AND(ABS(EB40)&lt;=0.25,$E40="Peak",DQ40="HH"),"EQH","")))</f>
        <v>EQL</v>
      </c>
      <c r="EN40" s="2" t="str">
        <f aca="false">IF(EC40="","",IF(AND(ABS(EC40)&lt;=0.25,$E40="Bottom",DR40="LL"),"EQL",IF(AND(ABS(EC40)&lt;=0.25,$E40="Peak",DR40="HH"),"EQH","")))</f>
        <v/>
      </c>
      <c r="EO40" s="2" t="str">
        <f aca="false">IF(ED40="","",IF(AND(ABS(ED40)&lt;=0.25,$E40="Bottom",DS40="LL"),"EQL",IF(AND(ABS(ED40)&lt;=0.25,$E40="Peak",DS40="HH"),"EQH","")))</f>
        <v/>
      </c>
      <c r="EP40" s="2" t="str">
        <f aca="false">IF(EE40="","",IF(AND(ABS(EE40)&lt;=0.25,$E40="Bottom",DT40="LL"),"EQL",IF(AND(ABS(EE40)&lt;=0.25,$E40="Peak",DT40="HH"),"EQH","")))</f>
        <v/>
      </c>
      <c r="EQ40" s="2" t="str">
        <f aca="false">IF(EF40="","",IF(AND(ABS(EF40)&lt;=0.25,$E40="Bottom",DU40="LL"),"EQL",IF(AND(ABS(EF40)&lt;=0.25,$E40="Peak",DU40="HH"),"EQH","")))</f>
        <v/>
      </c>
      <c r="ER40" s="2" t="str">
        <f aca="false">IF(OR(EG40="EQL",EG40="EQH"),G40,"")</f>
        <v/>
      </c>
      <c r="ES40" s="2" t="n">
        <f aca="false">IF(OR(EH40="EQL",EH40="EQH"),H40,"")</f>
        <v>4664.3</v>
      </c>
      <c r="ET40" s="2" t="n">
        <f aca="false">IF(OR(EI40="EQL",EI40="EQH"),I40,"")</f>
        <v>4684.26</v>
      </c>
      <c r="EU40" s="2" t="str">
        <f aca="false">IF(OR(EJ40="EQL",EJ40="EQH"),J40,"")</f>
        <v/>
      </c>
      <c r="EV40" s="2" t="str">
        <f aca="false">IF(OR(EK40="EQL",EK40="EQH"),K40,"")</f>
        <v/>
      </c>
      <c r="EW40" s="2" t="str">
        <f aca="false">IF(OR(EL40="EQL",EL40="EQH"),L40,"")</f>
        <v/>
      </c>
      <c r="EX40" s="2" t="n">
        <f aca="false">IF(OR(EM40="EQL",EM40="EQH"),M40,"")</f>
        <v>4668.61</v>
      </c>
      <c r="EY40" s="2" t="str">
        <f aca="false">IF(OR(EN40="EQL",EN40="EQH"),N40,"")</f>
        <v/>
      </c>
      <c r="EZ40" s="2" t="str">
        <f aca="false">IF(OR(EO40="EQL",EO40="EQH"),O40,"")</f>
        <v/>
      </c>
      <c r="FA40" s="2" t="str">
        <f aca="false">IF(OR(EP40="EQL",EP40="EQH"),P40,"")</f>
        <v/>
      </c>
      <c r="FB40" s="2" t="str">
        <f aca="false">IF(OR(EQ40="EQL",EQ40="EQH"),Q40,"")</f>
        <v/>
      </c>
      <c r="FC40" s="2" t="str">
        <f aca="false">IF(AND(EG40="EQL",OR(AQ40=4,AQ40=5)),"IEQL",IF(AND(EG40="EQH",OR(AQ40=1,AQ40=2)),"IEQH",""))</f>
        <v/>
      </c>
      <c r="FD40" s="2" t="str">
        <f aca="false">IF(AND(EH40="EQL",OR(AR40=4,AR40=5)),"IEQL",IF(AND(EH40="EQH",OR(AR40=1,AR40=2)),"IEQH",""))</f>
        <v/>
      </c>
      <c r="FE40" s="2" t="str">
        <f aca="false">IF(AND(EI40="EQL",OR(AS40=4,AS40=5)),"IEQL",IF(AND(EI40="EQH",OR(AS40=1,AS40=2)),"IEQH",""))</f>
        <v/>
      </c>
      <c r="FF40" s="2" t="str">
        <f aca="false">IF(AND(EJ40="EQL",OR(AT40=4,AT40=5)),"IEQL",IF(AND(EJ40="EQH",OR(AT40=1,AT40=2)),"IEQH",""))</f>
        <v/>
      </c>
      <c r="FG40" s="2" t="str">
        <f aca="false">IF(AND(EK40="EQL",OR(AU40=4,AU40=5)),"IEQL",IF(AND(EK40="EQH",OR(AU40=1,AU40=2)),"IEQH",""))</f>
        <v/>
      </c>
      <c r="FH40" s="2" t="str">
        <f aca="false">IF(AND(EL40="EQL",OR(AV40=4,AV40=5)),"IEQL",IF(AND(EL40="EQH",OR(AV40=1,AV40=2)),"IEQH",""))</f>
        <v/>
      </c>
      <c r="FI40" s="2" t="str">
        <f aca="false">IF(AND(EM40="EQL",OR(AW40=4,AW40=5)),"IEQL",IF(AND(EM40="EQH",OR(AW40=1,AW40=2)),"IEQH",""))</f>
        <v>IEQL</v>
      </c>
      <c r="FJ40" s="2" t="str">
        <f aca="false">IF(AND(EN40="EQL",OR(AX40=4,AX40=5)),"IEQL",IF(AND(EN40="EQH",OR(AX40=1,AX40=2)),"IEQH",""))</f>
        <v/>
      </c>
      <c r="FK40" s="2" t="str">
        <f aca="false">IF(AND(EO40="EQL",OR(AY40=4,AY40=5)),"IEQL",IF(AND(EO40="EQH",OR(AY40=1,AY40=2)),"IEQH",""))</f>
        <v/>
      </c>
      <c r="FL40" s="2" t="str">
        <f aca="false">IF(AND(EP40="EQL",OR(AZ40=4,AZ40=5)),"IEQL",IF(AND(EP40="EQH",OR(AZ40=1,AZ40=2)),"IEQH",""))</f>
        <v/>
      </c>
      <c r="FM40" s="2" t="str">
        <f aca="false">IF(AND(EQ40="EQL",OR(BA40=4,BA40=5)),"IEQL",IF(AND(EQ40="EQH",OR(BA40=1,BA40=2)),"IEQH",""))</f>
        <v/>
      </c>
    </row>
    <row r="41" customFormat="false" ht="14.25" hidden="false" customHeight="false" outlineLevel="0" collapsed="false">
      <c r="A41" s="1" t="n">
        <v>1777039202</v>
      </c>
      <c r="B41" s="1" t="s">
        <v>169</v>
      </c>
      <c r="C41" s="1" t="s">
        <v>170</v>
      </c>
      <c r="D41" s="1" t="n">
        <v>4731.95</v>
      </c>
      <c r="E41" s="1" t="s">
        <v>173</v>
      </c>
      <c r="F41" s="1" t="n">
        <v>4740.49</v>
      </c>
      <c r="G41" s="2" t="n">
        <f aca="false">F39</f>
        <v>4697.42</v>
      </c>
      <c r="H41" s="2" t="n">
        <f aca="false">F37</f>
        <v>4711.23</v>
      </c>
      <c r="I41" s="2" t="n">
        <f aca="false">F35</f>
        <v>4743.22</v>
      </c>
      <c r="J41" s="2" t="n">
        <f aca="false">F33</f>
        <v>4724.89</v>
      </c>
      <c r="K41" s="2" t="n">
        <f aca="false">F31</f>
        <v>4753.33</v>
      </c>
      <c r="L41" s="2" t="n">
        <f aca="false">F29</f>
        <v>4749.34</v>
      </c>
      <c r="M41" s="2" t="n">
        <f aca="false">F27</f>
        <v>4772.15</v>
      </c>
      <c r="N41" s="2" t="n">
        <f aca="false">F25</f>
        <v>4797.91</v>
      </c>
      <c r="O41" s="2" t="n">
        <f aca="false">F23</f>
        <v>4833.25</v>
      </c>
      <c r="P41" s="2" t="n">
        <f aca="false">F21</f>
        <v>4827.74</v>
      </c>
      <c r="Q41" s="2" t="n">
        <f aca="false">F19</f>
        <v>4805.79</v>
      </c>
      <c r="R41" s="1" t="n">
        <v>65.77</v>
      </c>
      <c r="S41" s="2" t="n">
        <f aca="false">R39</f>
        <v>39.25</v>
      </c>
      <c r="T41" s="2" t="n">
        <f aca="false">R37</f>
        <v>46.93</v>
      </c>
      <c r="U41" s="2" t="n">
        <f aca="false">R35</f>
        <v>58.96</v>
      </c>
      <c r="V41" s="2" t="n">
        <f aca="false">R33</f>
        <v>31.83</v>
      </c>
      <c r="W41" s="2" t="n">
        <f aca="false">R31</f>
        <v>58.99</v>
      </c>
      <c r="X41" s="2" t="n">
        <f aca="false">R29</f>
        <v>25.31</v>
      </c>
      <c r="Y41" s="2" t="n">
        <f aca="false">R27</f>
        <v>103.54</v>
      </c>
      <c r="Z41" s="2" t="n">
        <f aca="false">R25</f>
        <v>25.13</v>
      </c>
      <c r="AA41" s="2" t="n">
        <f aca="false">R23</f>
        <v>40.83</v>
      </c>
      <c r="AB41" s="2" t="n">
        <f aca="false">R21</f>
        <v>44.23</v>
      </c>
      <c r="AC41" s="2" t="n">
        <f aca="false">R19</f>
        <v>25.99</v>
      </c>
      <c r="AD41" s="1" t="n">
        <v>1.41</v>
      </c>
      <c r="AE41" s="2" t="n">
        <f aca="false">AD39</f>
        <v>0.84</v>
      </c>
      <c r="AF41" s="2" t="n">
        <f aca="false">AD37</f>
        <v>1.01</v>
      </c>
      <c r="AG41" s="2" t="n">
        <f aca="false">AD35</f>
        <v>1.26</v>
      </c>
      <c r="AH41" s="2" t="n">
        <f aca="false">AD33</f>
        <v>0.68</v>
      </c>
      <c r="AI41" s="2" t="n">
        <f aca="false">AD31</f>
        <v>1.26</v>
      </c>
      <c r="AJ41" s="2" t="n">
        <f aca="false">AD29</f>
        <v>0.54</v>
      </c>
      <c r="AK41" s="2" t="n">
        <f aca="false">AD27</f>
        <v>2.22</v>
      </c>
      <c r="AL41" s="2" t="n">
        <f aca="false">AD25</f>
        <v>0.53</v>
      </c>
      <c r="AM41" s="2" t="n">
        <f aca="false">AD23</f>
        <v>0.85</v>
      </c>
      <c r="AN41" s="2" t="n">
        <f aca="false">AD21</f>
        <v>0.92</v>
      </c>
      <c r="AO41" s="2" t="n">
        <f aca="false">AD19</f>
        <v>0.54</v>
      </c>
      <c r="AP41" s="1" t="n">
        <v>0</v>
      </c>
      <c r="AQ41" s="2" t="n">
        <f aca="false">AP39</f>
        <v>0</v>
      </c>
      <c r="AR41" s="2" t="n">
        <f aca="false">AP37</f>
        <v>0</v>
      </c>
      <c r="AS41" s="2" t="n">
        <f aca="false">AP35</f>
        <v>0</v>
      </c>
      <c r="AT41" s="2" t="n">
        <f aca="false">AP33</f>
        <v>0</v>
      </c>
      <c r="AU41" s="2" t="n">
        <f aca="false">AP31</f>
        <v>0</v>
      </c>
      <c r="AV41" s="2" t="n">
        <f aca="false">AP29</f>
        <v>0</v>
      </c>
      <c r="AW41" s="2" t="n">
        <f aca="false">AP27</f>
        <v>1</v>
      </c>
      <c r="AX41" s="2" t="n">
        <f aca="false">AP25</f>
        <v>0</v>
      </c>
      <c r="AY41" s="2" t="n">
        <f aca="false">AP23</f>
        <v>0</v>
      </c>
      <c r="AZ41" s="2" t="n">
        <f aca="false">AP21</f>
        <v>0</v>
      </c>
      <c r="BA41" s="2" t="n">
        <f aca="false">AP19</f>
        <v>0</v>
      </c>
      <c r="BB41" s="1" t="n">
        <v>14</v>
      </c>
      <c r="BC41" s="2" t="n">
        <f aca="false">BB39</f>
        <v>15</v>
      </c>
      <c r="BD41" s="2" t="n">
        <f aca="false">BB37</f>
        <v>26</v>
      </c>
      <c r="BE41" s="2" t="n">
        <f aca="false">BB35</f>
        <v>9</v>
      </c>
      <c r="BF41" s="2" t="n">
        <f aca="false">BB33</f>
        <v>10</v>
      </c>
      <c r="BG41" s="2" t="n">
        <f aca="false">BB31</f>
        <v>2</v>
      </c>
      <c r="BH41" s="2" t="n">
        <f aca="false">BB29</f>
        <v>9</v>
      </c>
      <c r="BI41" s="2" t="n">
        <f aca="false">BB27</f>
        <v>42</v>
      </c>
      <c r="BJ41" s="2" t="n">
        <f aca="false">BB25</f>
        <v>19</v>
      </c>
      <c r="BK41" s="2" t="n">
        <f aca="false">BB23</f>
        <v>26</v>
      </c>
      <c r="BL41" s="2" t="n">
        <f aca="false">BB21</f>
        <v>20</v>
      </c>
      <c r="BM41" s="2" t="n">
        <f aca="false">BB19</f>
        <v>7</v>
      </c>
      <c r="BN41" s="1" t="n">
        <v>0</v>
      </c>
      <c r="BO41" s="2" t="n">
        <f aca="false">BN39</f>
        <v>0</v>
      </c>
      <c r="BP41" s="2" t="n">
        <f aca="false">BN37</f>
        <v>0</v>
      </c>
      <c r="BQ41" s="2" t="n">
        <f aca="false">BN35</f>
        <v>0</v>
      </c>
      <c r="BR41" s="2" t="n">
        <f aca="false">BN33</f>
        <v>0</v>
      </c>
      <c r="BS41" s="2" t="n">
        <f aca="false">BN31</f>
        <v>0</v>
      </c>
      <c r="BT41" s="2" t="n">
        <f aca="false">BN29</f>
        <v>0</v>
      </c>
      <c r="BU41" s="2" t="n">
        <f aca="false">BN27</f>
        <v>1</v>
      </c>
      <c r="BV41" s="2" t="n">
        <f aca="false">BN25</f>
        <v>0</v>
      </c>
      <c r="BW41" s="2" t="n">
        <f aca="false">BN23</f>
        <v>0</v>
      </c>
      <c r="BX41" s="2" t="n">
        <f aca="false">BN21</f>
        <v>0</v>
      </c>
      <c r="BY41" s="2" t="n">
        <f aca="false">BN19</f>
        <v>0</v>
      </c>
      <c r="BZ41" s="1" t="n">
        <v>4.69786</v>
      </c>
      <c r="CA41" s="2" t="n">
        <f aca="false">BZ39</f>
        <v>2.61667</v>
      </c>
      <c r="CB41" s="2" t="n">
        <f aca="false">BZ37</f>
        <v>1.805</v>
      </c>
      <c r="CC41" s="2" t="n">
        <f aca="false">BZ35</f>
        <v>6.55111</v>
      </c>
      <c r="CD41" s="2" t="n">
        <f aca="false">BZ33</f>
        <v>3.183</v>
      </c>
      <c r="CE41" s="2" t="n">
        <f aca="false">BZ31</f>
        <v>29.495</v>
      </c>
      <c r="CF41" s="2" t="n">
        <f aca="false">BZ29</f>
        <v>2.81222</v>
      </c>
      <c r="CG41" s="2" t="n">
        <f aca="false">BZ27</f>
        <v>2.46524</v>
      </c>
      <c r="CH41" s="2" t="n">
        <f aca="false">BZ25</f>
        <v>1.32263</v>
      </c>
      <c r="CI41" s="2" t="n">
        <f aca="false">BZ23</f>
        <v>1.57038</v>
      </c>
      <c r="CJ41" s="2" t="n">
        <f aca="false">BZ21</f>
        <v>2.2115</v>
      </c>
      <c r="CK41" s="2" t="n">
        <f aca="false">BZ19</f>
        <v>3.71286</v>
      </c>
      <c r="CL41" s="1" t="n">
        <v>0</v>
      </c>
      <c r="CM41" s="2" t="n">
        <f aca="false">CL39</f>
        <v>0</v>
      </c>
      <c r="CN41" s="2" t="n">
        <f aca="false">CL37</f>
        <v>0</v>
      </c>
      <c r="CO41" s="2" t="n">
        <f aca="false">CL35</f>
        <v>0</v>
      </c>
      <c r="CP41" s="2" t="n">
        <f aca="false">CL33</f>
        <v>0</v>
      </c>
      <c r="CQ41" s="2" t="n">
        <f aca="false">CL31</f>
        <v>2</v>
      </c>
      <c r="CR41" s="2" t="n">
        <f aca="false">CL29</f>
        <v>0</v>
      </c>
      <c r="CS41" s="2" t="n">
        <f aca="false">CL27</f>
        <v>0</v>
      </c>
      <c r="CT41" s="2" t="n">
        <f aca="false">CL25</f>
        <v>0</v>
      </c>
      <c r="CU41" s="2" t="n">
        <f aca="false">CL23</f>
        <v>0</v>
      </c>
      <c r="CV41" s="2" t="n">
        <f aca="false">CL21</f>
        <v>0</v>
      </c>
      <c r="CW41" s="2" t="n">
        <f aca="false">CL19</f>
        <v>0</v>
      </c>
      <c r="CX41" s="1" t="n">
        <v>77.9832</v>
      </c>
      <c r="CY41" s="2" t="n">
        <f aca="false">CX39</f>
        <v>69.0849</v>
      </c>
      <c r="CZ41" s="2" t="n">
        <f aca="false">CX37</f>
        <v>61.0128</v>
      </c>
      <c r="DA41" s="2" t="n">
        <f aca="false">CX35</f>
        <v>81.321</v>
      </c>
      <c r="DB41" s="2" t="n">
        <f aca="false">CX33</f>
        <v>72.5589</v>
      </c>
      <c r="DC41" s="2" t="n">
        <f aca="false">CX31</f>
        <v>88.0582</v>
      </c>
      <c r="DD41" s="2" t="n">
        <f aca="false">CX29</f>
        <v>70.4251</v>
      </c>
      <c r="DE41" s="2" t="n">
        <f aca="false">CX27</f>
        <v>67.9205</v>
      </c>
      <c r="DF41" s="2" t="n">
        <f aca="false">CX25</f>
        <v>52.9082</v>
      </c>
      <c r="DG41" s="2" t="n">
        <f aca="false">CX23</f>
        <v>57.5116</v>
      </c>
      <c r="DH41" s="2" t="n">
        <f aca="false">CX21</f>
        <v>65.6684</v>
      </c>
      <c r="DI41" s="2" t="n">
        <f aca="false">CX19</f>
        <v>74.926</v>
      </c>
      <c r="DJ41" s="1" t="s">
        <v>176</v>
      </c>
      <c r="DK41" s="2" t="str">
        <f aca="false">DJ39</f>
        <v>LH</v>
      </c>
      <c r="DL41" s="2" t="str">
        <f aca="false">DJ37</f>
        <v>LH</v>
      </c>
      <c r="DM41" s="2" t="str">
        <f aca="false">DJ35</f>
        <v>HH</v>
      </c>
      <c r="DN41" s="2" t="str">
        <f aca="false">DJ33</f>
        <v>LH</v>
      </c>
      <c r="DO41" s="2" t="str">
        <f aca="false">DJ31</f>
        <v>HH</v>
      </c>
      <c r="DP41" s="2" t="str">
        <f aca="false">DJ29</f>
        <v>LH</v>
      </c>
      <c r="DQ41" s="2" t="str">
        <f aca="false">DJ27</f>
        <v>LH</v>
      </c>
      <c r="DR41" s="2" t="str">
        <f aca="false">DJ25</f>
        <v>LH</v>
      </c>
      <c r="DS41" s="2" t="str">
        <f aca="false">DJ23</f>
        <v>HH</v>
      </c>
      <c r="DT41" s="2" t="str">
        <f aca="false">DJ21</f>
        <v>HH</v>
      </c>
      <c r="DU41" s="2" t="str">
        <f aca="false">DJ19</f>
        <v>LH</v>
      </c>
      <c r="DV41" s="2" t="n">
        <f aca="false">IFERROR((G41-$F41)/$F41*100,"")</f>
        <v>-0.908555866587625</v>
      </c>
      <c r="DW41" s="2" t="n">
        <f aca="false">IFERROR((H41-$F41)/$F41*100,"")</f>
        <v>-0.617235770985705</v>
      </c>
      <c r="DX41" s="2" t="n">
        <f aca="false">IFERROR((I41-$F41)/$F41*100,"")</f>
        <v>0.057588983417336</v>
      </c>
      <c r="DY41" s="2" t="n">
        <f aca="false">IFERROR((J41-$F41)/$F41*100,"")</f>
        <v>-0.329079905241852</v>
      </c>
      <c r="DZ41" s="2" t="n">
        <f aca="false">IFERROR((K41-$F41)/$F41*100,"")</f>
        <v>0.270858075852921</v>
      </c>
      <c r="EA41" s="2" t="n">
        <f aca="false">IFERROR((L41-$F41)/$F41*100,"")</f>
        <v>0.186689561627603</v>
      </c>
      <c r="EB41" s="2" t="n">
        <f aca="false">IFERROR((M41-$F41)/$F41*100,"")</f>
        <v>0.667863448715214</v>
      </c>
      <c r="EC41" s="2" t="n">
        <f aca="false">IFERROR((N41-$F41)/$F41*100,"")</f>
        <v>1.21126718967871</v>
      </c>
      <c r="ED41" s="2" t="n">
        <f aca="false">IFERROR((O41-$F41)/$F41*100,"")</f>
        <v>1.95675974424585</v>
      </c>
      <c r="EE41" s="2" t="n">
        <f aca="false">IFERROR((P41-$F41)/$F41*100,"")</f>
        <v>1.84052703412516</v>
      </c>
      <c r="EF41" s="2" t="n">
        <f aca="false">IFERROR((Q41-$F41)/$F41*100,"")</f>
        <v>1.37749473155729</v>
      </c>
      <c r="EG41" s="2" t="str">
        <f aca="false">IF(DV41="","",IF(AND(ABS(DV41)&lt;=0.25,$E41="Bottom",DK41="LL"),"EQL",IF(AND(ABS(DV41)&lt;=0.25,$E41="Peak",DK41="HH"),"EQH","")))</f>
        <v/>
      </c>
      <c r="EH41" s="2" t="str">
        <f aca="false">IF(DW41="","",IF(AND(ABS(DW41)&lt;=0.25,$E41="Bottom",DL41="LL"),"EQL",IF(AND(ABS(DW41)&lt;=0.25,$E41="Peak",DL41="HH"),"EQH","")))</f>
        <v/>
      </c>
      <c r="EI41" s="2" t="str">
        <f aca="false">IF(DX41="","",IF(AND(ABS(DX41)&lt;=0.25,$E41="Bottom",DM41="LL"),"EQL",IF(AND(ABS(DX41)&lt;=0.25,$E41="Peak",DM41="HH"),"EQH","")))</f>
        <v>EQH</v>
      </c>
      <c r="EJ41" s="2" t="str">
        <f aca="false">IF(DY41="","",IF(AND(ABS(DY41)&lt;=0.25,$E41="Bottom",DN41="LL"),"EQL",IF(AND(ABS(DY41)&lt;=0.25,$E41="Peak",DN41="HH"),"EQH","")))</f>
        <v/>
      </c>
      <c r="EK41" s="2" t="str">
        <f aca="false">IF(DZ41="","",IF(AND(ABS(DZ41)&lt;=0.25,$E41="Bottom",DO41="LL"),"EQL",IF(AND(ABS(DZ41)&lt;=0.25,$E41="Peak",DO41="HH"),"EQH","")))</f>
        <v/>
      </c>
      <c r="EL41" s="2" t="str">
        <f aca="false">IF(EA41="","",IF(AND(ABS(EA41)&lt;=0.25,$E41="Bottom",DP41="LL"),"EQL",IF(AND(ABS(EA41)&lt;=0.25,$E41="Peak",DP41="HH"),"EQH","")))</f>
        <v/>
      </c>
      <c r="EM41" s="2" t="str">
        <f aca="false">IF(EB41="","",IF(AND(ABS(EB41)&lt;=0.25,$E41="Bottom",DQ41="LL"),"EQL",IF(AND(ABS(EB41)&lt;=0.25,$E41="Peak",DQ41="HH"),"EQH","")))</f>
        <v/>
      </c>
      <c r="EN41" s="2" t="str">
        <f aca="false">IF(EC41="","",IF(AND(ABS(EC41)&lt;=0.25,$E41="Bottom",DR41="LL"),"EQL",IF(AND(ABS(EC41)&lt;=0.25,$E41="Peak",DR41="HH"),"EQH","")))</f>
        <v/>
      </c>
      <c r="EO41" s="2" t="str">
        <f aca="false">IF(ED41="","",IF(AND(ABS(ED41)&lt;=0.25,$E41="Bottom",DS41="LL"),"EQL",IF(AND(ABS(ED41)&lt;=0.25,$E41="Peak",DS41="HH"),"EQH","")))</f>
        <v/>
      </c>
      <c r="EP41" s="2" t="str">
        <f aca="false">IF(EE41="","",IF(AND(ABS(EE41)&lt;=0.25,$E41="Bottom",DT41="LL"),"EQL",IF(AND(ABS(EE41)&lt;=0.25,$E41="Peak",DT41="HH"),"EQH","")))</f>
        <v/>
      </c>
      <c r="EQ41" s="2" t="str">
        <f aca="false">IF(EF41="","",IF(AND(ABS(EF41)&lt;=0.25,$E41="Bottom",DU41="LL"),"EQL",IF(AND(ABS(EF41)&lt;=0.25,$E41="Peak",DU41="HH"),"EQH","")))</f>
        <v/>
      </c>
      <c r="ER41" s="2" t="str">
        <f aca="false">IF(OR(EG41="EQL",EG41="EQH"),G41,"")</f>
        <v/>
      </c>
      <c r="ES41" s="2" t="str">
        <f aca="false">IF(OR(EH41="EQL",EH41="EQH"),H41,"")</f>
        <v/>
      </c>
      <c r="ET41" s="2" t="n">
        <f aca="false">IF(OR(EI41="EQL",EI41="EQH"),I41,"")</f>
        <v>4743.22</v>
      </c>
      <c r="EU41" s="2" t="str">
        <f aca="false">IF(OR(EJ41="EQL",EJ41="EQH"),J41,"")</f>
        <v/>
      </c>
      <c r="EV41" s="2" t="str">
        <f aca="false">IF(OR(EK41="EQL",EK41="EQH"),K41,"")</f>
        <v/>
      </c>
      <c r="EW41" s="2" t="str">
        <f aca="false">IF(OR(EL41="EQL",EL41="EQH"),L41,"")</f>
        <v/>
      </c>
      <c r="EX41" s="2" t="str">
        <f aca="false">IF(OR(EM41="EQL",EM41="EQH"),M41,"")</f>
        <v/>
      </c>
      <c r="EY41" s="2" t="str">
        <f aca="false">IF(OR(EN41="EQL",EN41="EQH"),N41,"")</f>
        <v/>
      </c>
      <c r="EZ41" s="2" t="str">
        <f aca="false">IF(OR(EO41="EQL",EO41="EQH"),O41,"")</f>
        <v/>
      </c>
      <c r="FA41" s="2" t="str">
        <f aca="false">IF(OR(EP41="EQL",EP41="EQH"),P41,"")</f>
        <v/>
      </c>
      <c r="FB41" s="2" t="str">
        <f aca="false">IF(OR(EQ41="EQL",EQ41="EQH"),Q41,"")</f>
        <v/>
      </c>
      <c r="FC41" s="2" t="str">
        <f aca="false">IF(AND(EG41="EQL",OR(AQ41=4,AQ41=5)),"IEQL",IF(AND(EG41="EQH",OR(AQ41=1,AQ41=2)),"IEQH",""))</f>
        <v/>
      </c>
      <c r="FD41" s="2" t="str">
        <f aca="false">IF(AND(EH41="EQL",OR(AR41=4,AR41=5)),"IEQL",IF(AND(EH41="EQH",OR(AR41=1,AR41=2)),"IEQH",""))</f>
        <v/>
      </c>
      <c r="FE41" s="2" t="str">
        <f aca="false">IF(AND(EI41="EQL",OR(AS41=4,AS41=5)),"IEQL",IF(AND(EI41="EQH",OR(AS41=1,AS41=2)),"IEQH",""))</f>
        <v/>
      </c>
      <c r="FF41" s="2" t="str">
        <f aca="false">IF(AND(EJ41="EQL",OR(AT41=4,AT41=5)),"IEQL",IF(AND(EJ41="EQH",OR(AT41=1,AT41=2)),"IEQH",""))</f>
        <v/>
      </c>
      <c r="FG41" s="2" t="str">
        <f aca="false">IF(AND(EK41="EQL",OR(AU41=4,AU41=5)),"IEQL",IF(AND(EK41="EQH",OR(AU41=1,AU41=2)),"IEQH",""))</f>
        <v/>
      </c>
      <c r="FH41" s="2" t="str">
        <f aca="false">IF(AND(EL41="EQL",OR(AV41=4,AV41=5)),"IEQL",IF(AND(EL41="EQH",OR(AV41=1,AV41=2)),"IEQH",""))</f>
        <v/>
      </c>
      <c r="FI41" s="2" t="str">
        <f aca="false">IF(AND(EM41="EQL",OR(AW41=4,AW41=5)),"IEQL",IF(AND(EM41="EQH",OR(AW41=1,AW41=2)),"IEQH",""))</f>
        <v/>
      </c>
      <c r="FJ41" s="2" t="str">
        <f aca="false">IF(AND(EN41="EQL",OR(AX41=4,AX41=5)),"IEQL",IF(AND(EN41="EQH",OR(AX41=1,AX41=2)),"IEQH",""))</f>
        <v/>
      </c>
      <c r="FK41" s="2" t="str">
        <f aca="false">IF(AND(EO41="EQL",OR(AY41=4,AY41=5)),"IEQL",IF(AND(EO41="EQH",OR(AY41=1,AY41=2)),"IEQH",""))</f>
        <v/>
      </c>
      <c r="FL41" s="2" t="str">
        <f aca="false">IF(AND(EP41="EQL",OR(AZ41=4,AZ41=5)),"IEQL",IF(AND(EP41="EQH",OR(AZ41=1,AZ41=2)),"IEQH",""))</f>
        <v/>
      </c>
      <c r="FM41" s="2" t="str">
        <f aca="false">IF(AND(EQ41="EQL",OR(BA41=4,BA41=5)),"IEQL",IF(AND(EQ41="EQH",OR(BA41=1,BA41=2)),"IEQH",""))</f>
        <v/>
      </c>
    </row>
    <row r="42" customFormat="false" ht="14.25" hidden="false" customHeight="false" outlineLevel="0" collapsed="false">
      <c r="A42" s="1" t="n">
        <v>1777248002</v>
      </c>
      <c r="B42" s="1" t="s">
        <v>169</v>
      </c>
      <c r="C42" s="1" t="s">
        <v>170</v>
      </c>
      <c r="D42" s="1" t="n">
        <v>4679.86</v>
      </c>
      <c r="E42" s="1" t="s">
        <v>171</v>
      </c>
      <c r="F42" s="1" t="n">
        <v>4672.35</v>
      </c>
      <c r="G42" s="2" t="n">
        <f aca="false">F40</f>
        <v>4674.72</v>
      </c>
      <c r="H42" s="2" t="n">
        <f aca="false">F38</f>
        <v>4658.17</v>
      </c>
      <c r="I42" s="2" t="n">
        <f aca="false">F36</f>
        <v>4664.3</v>
      </c>
      <c r="J42" s="2" t="n">
        <f aca="false">F34</f>
        <v>4684.26</v>
      </c>
      <c r="K42" s="2" t="n">
        <f aca="false">F32</f>
        <v>4693.06</v>
      </c>
      <c r="L42" s="2" t="n">
        <f aca="false">F30</f>
        <v>4694.34</v>
      </c>
      <c r="M42" s="2" t="n">
        <f aca="false">F28</f>
        <v>4724.03</v>
      </c>
      <c r="N42" s="2" t="n">
        <f aca="false">F26</f>
        <v>4668.61</v>
      </c>
      <c r="O42" s="2" t="n">
        <f aca="false">F24</f>
        <v>4772.78</v>
      </c>
      <c r="P42" s="2" t="n">
        <f aca="false">F22</f>
        <v>4792.42</v>
      </c>
      <c r="Q42" s="2" t="n">
        <f aca="false">F20</f>
        <v>4783.51</v>
      </c>
      <c r="R42" s="1" t="n">
        <v>-68.14</v>
      </c>
      <c r="S42" s="2" t="n">
        <f aca="false">R40</f>
        <v>-22.7</v>
      </c>
      <c r="T42" s="2" t="n">
        <f aca="false">R38</f>
        <v>-53.06</v>
      </c>
      <c r="U42" s="2" t="n">
        <f aca="false">R36</f>
        <v>-78.92</v>
      </c>
      <c r="V42" s="2" t="n">
        <f aca="false">R34</f>
        <v>-40.63</v>
      </c>
      <c r="W42" s="2" t="n">
        <f aca="false">R32</f>
        <v>-60.27</v>
      </c>
      <c r="X42" s="2" t="n">
        <f aca="false">R30</f>
        <v>-55</v>
      </c>
      <c r="Y42" s="2" t="n">
        <f aca="false">R28</f>
        <v>-48.12</v>
      </c>
      <c r="Z42" s="2" t="n">
        <f aca="false">R26</f>
        <v>-129.3</v>
      </c>
      <c r="AA42" s="2" t="n">
        <f aca="false">R24</f>
        <v>-60.47</v>
      </c>
      <c r="AB42" s="2" t="n">
        <f aca="false">R22</f>
        <v>-35.32</v>
      </c>
      <c r="AC42" s="2" t="n">
        <f aca="false">R20</f>
        <v>-22.28</v>
      </c>
      <c r="AD42" s="1" t="n">
        <v>-1.44</v>
      </c>
      <c r="AE42" s="2" t="n">
        <f aca="false">AD40</f>
        <v>-0.48</v>
      </c>
      <c r="AF42" s="2" t="n">
        <f aca="false">AD38</f>
        <v>-1.13</v>
      </c>
      <c r="AG42" s="2" t="n">
        <f aca="false">AD36</f>
        <v>-1.66</v>
      </c>
      <c r="AH42" s="2" t="n">
        <f aca="false">AD34</f>
        <v>-0.86</v>
      </c>
      <c r="AI42" s="2" t="n">
        <f aca="false">AD32</f>
        <v>-1.27</v>
      </c>
      <c r="AJ42" s="2" t="n">
        <f aca="false">AD30</f>
        <v>-1.16</v>
      </c>
      <c r="AK42" s="2" t="n">
        <f aca="false">AD28</f>
        <v>-1.01</v>
      </c>
      <c r="AL42" s="2" t="n">
        <f aca="false">AD26</f>
        <v>-2.69</v>
      </c>
      <c r="AM42" s="2" t="n">
        <f aca="false">AD24</f>
        <v>-1.25</v>
      </c>
      <c r="AN42" s="2" t="n">
        <f aca="false">AD22</f>
        <v>-0.73</v>
      </c>
      <c r="AO42" s="2" t="n">
        <f aca="false">AD20</f>
        <v>-0.46</v>
      </c>
      <c r="AP42" s="1" t="n">
        <v>3</v>
      </c>
      <c r="AQ42" s="2" t="n">
        <f aca="false">AP40</f>
        <v>3</v>
      </c>
      <c r="AR42" s="2" t="n">
        <f aca="false">AP38</f>
        <v>3</v>
      </c>
      <c r="AS42" s="2" t="n">
        <f aca="false">AP36</f>
        <v>3</v>
      </c>
      <c r="AT42" s="2" t="n">
        <f aca="false">AP34</f>
        <v>3</v>
      </c>
      <c r="AU42" s="2" t="n">
        <f aca="false">AP32</f>
        <v>3</v>
      </c>
      <c r="AV42" s="2" t="n">
        <f aca="false">AP30</f>
        <v>3</v>
      </c>
      <c r="AW42" s="2" t="n">
        <f aca="false">AP28</f>
        <v>3</v>
      </c>
      <c r="AX42" s="2" t="n">
        <f aca="false">AP26</f>
        <v>5</v>
      </c>
      <c r="AY42" s="2" t="n">
        <f aca="false">AP24</f>
        <v>3</v>
      </c>
      <c r="AZ42" s="2" t="n">
        <f aca="false">AP22</f>
        <v>3</v>
      </c>
      <c r="BA42" s="2" t="n">
        <f aca="false">AP20</f>
        <v>3</v>
      </c>
      <c r="BB42" s="1" t="n">
        <v>36</v>
      </c>
      <c r="BC42" s="2" t="n">
        <f aca="false">BB40</f>
        <v>9</v>
      </c>
      <c r="BD42" s="2" t="n">
        <f aca="false">BB38</f>
        <v>13</v>
      </c>
      <c r="BE42" s="2" t="n">
        <f aca="false">BB36</f>
        <v>20</v>
      </c>
      <c r="BF42" s="2" t="n">
        <f aca="false">BB34</f>
        <v>10</v>
      </c>
      <c r="BG42" s="2" t="n">
        <f aca="false">BB32</f>
        <v>19</v>
      </c>
      <c r="BH42" s="2" t="n">
        <f aca="false">BB30</f>
        <v>18</v>
      </c>
      <c r="BI42" s="2" t="n">
        <f aca="false">BB28</f>
        <v>38</v>
      </c>
      <c r="BJ42" s="2" t="n">
        <f aca="false">BB26</f>
        <v>31</v>
      </c>
      <c r="BK42" s="2" t="n">
        <f aca="false">BB24</f>
        <v>35</v>
      </c>
      <c r="BL42" s="2" t="n">
        <f aca="false">BB22</f>
        <v>1</v>
      </c>
      <c r="BM42" s="2" t="n">
        <f aca="false">BB20</f>
        <v>9</v>
      </c>
      <c r="BN42" s="1" t="n">
        <v>4</v>
      </c>
      <c r="BO42" s="2" t="n">
        <f aca="false">BN40</f>
        <v>3</v>
      </c>
      <c r="BP42" s="2" t="n">
        <f aca="false">BN38</f>
        <v>3</v>
      </c>
      <c r="BQ42" s="2" t="n">
        <f aca="false">BN36</f>
        <v>3</v>
      </c>
      <c r="BR42" s="2" t="n">
        <f aca="false">BN34</f>
        <v>3</v>
      </c>
      <c r="BS42" s="2" t="n">
        <f aca="false">BN32</f>
        <v>3</v>
      </c>
      <c r="BT42" s="2" t="n">
        <f aca="false">BN30</f>
        <v>3</v>
      </c>
      <c r="BU42" s="2" t="n">
        <f aca="false">BN28</f>
        <v>4</v>
      </c>
      <c r="BV42" s="2" t="n">
        <f aca="false">BN26</f>
        <v>3</v>
      </c>
      <c r="BW42" s="2" t="n">
        <f aca="false">BN24</f>
        <v>3</v>
      </c>
      <c r="BX42" s="2" t="n">
        <f aca="false">BN22</f>
        <v>3</v>
      </c>
      <c r="BY42" s="2" t="n">
        <f aca="false">BN20</f>
        <v>3</v>
      </c>
      <c r="BZ42" s="1" t="n">
        <v>-1.89278</v>
      </c>
      <c r="CA42" s="2" t="n">
        <f aca="false">BZ40</f>
        <v>-2.52222</v>
      </c>
      <c r="CB42" s="2" t="n">
        <f aca="false">BZ38</f>
        <v>-4.08154</v>
      </c>
      <c r="CC42" s="2" t="n">
        <f aca="false">BZ36</f>
        <v>-3.946</v>
      </c>
      <c r="CD42" s="2" t="n">
        <f aca="false">BZ34</f>
        <v>-4.063</v>
      </c>
      <c r="CE42" s="2" t="n">
        <f aca="false">BZ32</f>
        <v>-3.17211</v>
      </c>
      <c r="CF42" s="2" t="n">
        <f aca="false">BZ30</f>
        <v>-3.05556</v>
      </c>
      <c r="CG42" s="2" t="n">
        <f aca="false">BZ28</f>
        <v>-1.26632</v>
      </c>
      <c r="CH42" s="2" t="n">
        <f aca="false">BZ26</f>
        <v>-4.17097</v>
      </c>
      <c r="CI42" s="2" t="n">
        <f aca="false">BZ24</f>
        <v>-1.72771</v>
      </c>
      <c r="CJ42" s="2" t="n">
        <f aca="false">BZ22</f>
        <v>-35.32</v>
      </c>
      <c r="CK42" s="2" t="n">
        <f aca="false">BZ20</f>
        <v>-2.47556</v>
      </c>
      <c r="CL42" s="1" t="n">
        <v>3</v>
      </c>
      <c r="CM42" s="2" t="n">
        <f aca="false">CL40</f>
        <v>3</v>
      </c>
      <c r="CN42" s="2" t="n">
        <f aca="false">CL38</f>
        <v>3</v>
      </c>
      <c r="CO42" s="2" t="n">
        <f aca="false">CL36</f>
        <v>3</v>
      </c>
      <c r="CP42" s="2" t="n">
        <f aca="false">CL34</f>
        <v>3</v>
      </c>
      <c r="CQ42" s="2" t="n">
        <f aca="false">CL32</f>
        <v>3</v>
      </c>
      <c r="CR42" s="2" t="n">
        <f aca="false">CL30</f>
        <v>3</v>
      </c>
      <c r="CS42" s="2" t="n">
        <f aca="false">CL28</f>
        <v>3</v>
      </c>
      <c r="CT42" s="2" t="n">
        <f aca="false">CL26</f>
        <v>3</v>
      </c>
      <c r="CU42" s="2" t="n">
        <f aca="false">CL24</f>
        <v>3</v>
      </c>
      <c r="CV42" s="2" t="n">
        <f aca="false">CL22</f>
        <v>5</v>
      </c>
      <c r="CW42" s="2" t="n">
        <f aca="false">CL20</f>
        <v>3</v>
      </c>
      <c r="CX42" s="1" t="n">
        <v>-62.1514</v>
      </c>
      <c r="CY42" s="2" t="n">
        <f aca="false">CX40</f>
        <v>-68.3729</v>
      </c>
      <c r="CZ42" s="2" t="n">
        <f aca="false">CX38</f>
        <v>-76.2334</v>
      </c>
      <c r="DA42" s="2" t="n">
        <f aca="false">CX36</f>
        <v>-75.7794</v>
      </c>
      <c r="DB42" s="2" t="n">
        <f aca="false">CX34</f>
        <v>-76.173</v>
      </c>
      <c r="DC42" s="2" t="n">
        <f aca="false">CX32</f>
        <v>-72.5026</v>
      </c>
      <c r="DD42" s="2" t="n">
        <f aca="false">CX30</f>
        <v>-71.8781</v>
      </c>
      <c r="DE42" s="2" t="n">
        <f aca="false">CX28</f>
        <v>-51.7021</v>
      </c>
      <c r="DF42" s="2" t="n">
        <f aca="false">CX26</f>
        <v>-76.5177</v>
      </c>
      <c r="DG42" s="2" t="n">
        <f aca="false">CX24</f>
        <v>-59.9378</v>
      </c>
      <c r="DH42" s="2" t="n">
        <f aca="false">CX22</f>
        <v>-88.3782</v>
      </c>
      <c r="DI42" s="2" t="n">
        <f aca="false">CX20</f>
        <v>-68.0038</v>
      </c>
      <c r="DJ42" s="1" t="s">
        <v>172</v>
      </c>
      <c r="DK42" s="2" t="str">
        <f aca="false">DJ40</f>
        <v>HL</v>
      </c>
      <c r="DL42" s="2" t="str">
        <f aca="false">DJ38</f>
        <v>LL</v>
      </c>
      <c r="DM42" s="2" t="str">
        <f aca="false">DJ36</f>
        <v>LL</v>
      </c>
      <c r="DN42" s="2" t="str">
        <f aca="false">DJ34</f>
        <v>LL</v>
      </c>
      <c r="DO42" s="2" t="str">
        <f aca="false">DJ32</f>
        <v>LL</v>
      </c>
      <c r="DP42" s="2" t="str">
        <f aca="false">DJ30</f>
        <v>LL</v>
      </c>
      <c r="DQ42" s="2" t="str">
        <f aca="false">DJ28</f>
        <v>HL</v>
      </c>
      <c r="DR42" s="2" t="str">
        <f aca="false">DJ26</f>
        <v>LL</v>
      </c>
      <c r="DS42" s="2" t="str">
        <f aca="false">DJ24</f>
        <v>LL</v>
      </c>
      <c r="DT42" s="2" t="str">
        <f aca="false">DJ22</f>
        <v>HL</v>
      </c>
      <c r="DU42" s="2" t="str">
        <f aca="false">DJ20</f>
        <v>HL</v>
      </c>
      <c r="DV42" s="2" t="n">
        <f aca="false">IFERROR((G42-$F42)/$F42*100,"")</f>
        <v>0.0507239397733451</v>
      </c>
      <c r="DW42" s="2" t="n">
        <f aca="false">IFERROR((H42-$F42)/$F42*100,"")</f>
        <v>-0.303487538390752</v>
      </c>
      <c r="DX42" s="2" t="n">
        <f aca="false">IFERROR((I42-$F42)/$F42*100,"")</f>
        <v>-0.172290175179517</v>
      </c>
      <c r="DY42" s="2" t="n">
        <f aca="false">IFERROR((J42-$F42)/$F42*100,"")</f>
        <v>0.254903849240743</v>
      </c>
      <c r="DZ42" s="2" t="n">
        <f aca="false">IFERROR((K42-$F42)/$F42*100,"")</f>
        <v>0.44324590409537</v>
      </c>
      <c r="EA42" s="2" t="n">
        <f aca="false">IFERROR((L42-$F42)/$F42*100,"")</f>
        <v>0.470641112074219</v>
      </c>
      <c r="EB42" s="2" t="n">
        <f aca="false">IFERROR((M42-$F42)/$F42*100,"")</f>
        <v>1.10608152214623</v>
      </c>
      <c r="EC42" s="2" t="n">
        <f aca="false">IFERROR((N42-$F42)/$F42*100,"")</f>
        <v>-0.0800453733132298</v>
      </c>
      <c r="ED42" s="2" t="n">
        <f aca="false">IFERROR((O42-$F42)/$F42*100,"")</f>
        <v>2.14945370102838</v>
      </c>
      <c r="EE42" s="2" t="n">
        <f aca="false">IFERROR((P42-$F42)/$F42*100,"")</f>
        <v>2.56979892345393</v>
      </c>
      <c r="EF42" s="2" t="n">
        <f aca="false">IFERROR((Q42-$F42)/$F42*100,"")</f>
        <v>2.37910259291363</v>
      </c>
      <c r="EG42" s="2" t="str">
        <f aca="false">IF(DV42="","",IF(AND(ABS(DV42)&lt;=0.25,$E42="Bottom",DK42="LL"),"EQL",IF(AND(ABS(DV42)&lt;=0.25,$E42="Peak",DK42="HH"),"EQH","")))</f>
        <v/>
      </c>
      <c r="EH42" s="2" t="str">
        <f aca="false">IF(DW42="","",IF(AND(ABS(DW42)&lt;=0.25,$E42="Bottom",DL42="LL"),"EQL",IF(AND(ABS(DW42)&lt;=0.25,$E42="Peak",DL42="HH"),"EQH","")))</f>
        <v/>
      </c>
      <c r="EI42" s="2" t="str">
        <f aca="false">IF(DX42="","",IF(AND(ABS(DX42)&lt;=0.25,$E42="Bottom",DM42="LL"),"EQL",IF(AND(ABS(DX42)&lt;=0.25,$E42="Peak",DM42="HH"),"EQH","")))</f>
        <v>EQL</v>
      </c>
      <c r="EJ42" s="2" t="str">
        <f aca="false">IF(DY42="","",IF(AND(ABS(DY42)&lt;=0.25,$E42="Bottom",DN42="LL"),"EQL",IF(AND(ABS(DY42)&lt;=0.25,$E42="Peak",DN42="HH"),"EQH","")))</f>
        <v/>
      </c>
      <c r="EK42" s="2" t="str">
        <f aca="false">IF(DZ42="","",IF(AND(ABS(DZ42)&lt;=0.25,$E42="Bottom",DO42="LL"),"EQL",IF(AND(ABS(DZ42)&lt;=0.25,$E42="Peak",DO42="HH"),"EQH","")))</f>
        <v/>
      </c>
      <c r="EL42" s="2" t="str">
        <f aca="false">IF(EA42="","",IF(AND(ABS(EA42)&lt;=0.25,$E42="Bottom",DP42="LL"),"EQL",IF(AND(ABS(EA42)&lt;=0.25,$E42="Peak",DP42="HH"),"EQH","")))</f>
        <v/>
      </c>
      <c r="EM42" s="2" t="str">
        <f aca="false">IF(EB42="","",IF(AND(ABS(EB42)&lt;=0.25,$E42="Bottom",DQ42="LL"),"EQL",IF(AND(ABS(EB42)&lt;=0.25,$E42="Peak",DQ42="HH"),"EQH","")))</f>
        <v/>
      </c>
      <c r="EN42" s="2" t="str">
        <f aca="false">IF(EC42="","",IF(AND(ABS(EC42)&lt;=0.25,$E42="Bottom",DR42="LL"),"EQL",IF(AND(ABS(EC42)&lt;=0.25,$E42="Peak",DR42="HH"),"EQH","")))</f>
        <v>EQL</v>
      </c>
      <c r="EO42" s="2" t="str">
        <f aca="false">IF(ED42="","",IF(AND(ABS(ED42)&lt;=0.25,$E42="Bottom",DS42="LL"),"EQL",IF(AND(ABS(ED42)&lt;=0.25,$E42="Peak",DS42="HH"),"EQH","")))</f>
        <v/>
      </c>
      <c r="EP42" s="2" t="str">
        <f aca="false">IF(EE42="","",IF(AND(ABS(EE42)&lt;=0.25,$E42="Bottom",DT42="LL"),"EQL",IF(AND(ABS(EE42)&lt;=0.25,$E42="Peak",DT42="HH"),"EQH","")))</f>
        <v/>
      </c>
      <c r="EQ42" s="2" t="str">
        <f aca="false">IF(EF42="","",IF(AND(ABS(EF42)&lt;=0.25,$E42="Bottom",DU42="LL"),"EQL",IF(AND(ABS(EF42)&lt;=0.25,$E42="Peak",DU42="HH"),"EQH","")))</f>
        <v/>
      </c>
      <c r="ER42" s="2" t="str">
        <f aca="false">IF(OR(EG42="EQL",EG42="EQH"),G42,"")</f>
        <v/>
      </c>
      <c r="ES42" s="2" t="str">
        <f aca="false">IF(OR(EH42="EQL",EH42="EQH"),H42,"")</f>
        <v/>
      </c>
      <c r="ET42" s="2" t="n">
        <f aca="false">IF(OR(EI42="EQL",EI42="EQH"),I42,"")</f>
        <v>4664.3</v>
      </c>
      <c r="EU42" s="2" t="str">
        <f aca="false">IF(OR(EJ42="EQL",EJ42="EQH"),J42,"")</f>
        <v/>
      </c>
      <c r="EV42" s="2" t="str">
        <f aca="false">IF(OR(EK42="EQL",EK42="EQH"),K42,"")</f>
        <v/>
      </c>
      <c r="EW42" s="2" t="str">
        <f aca="false">IF(OR(EL42="EQL",EL42="EQH"),L42,"")</f>
        <v/>
      </c>
      <c r="EX42" s="2" t="str">
        <f aca="false">IF(OR(EM42="EQL",EM42="EQH"),M42,"")</f>
        <v/>
      </c>
      <c r="EY42" s="2" t="n">
        <f aca="false">IF(OR(EN42="EQL",EN42="EQH"),N42,"")</f>
        <v>4668.61</v>
      </c>
      <c r="EZ42" s="2" t="str">
        <f aca="false">IF(OR(EO42="EQL",EO42="EQH"),O42,"")</f>
        <v/>
      </c>
      <c r="FA42" s="2" t="str">
        <f aca="false">IF(OR(EP42="EQL",EP42="EQH"),P42,"")</f>
        <v/>
      </c>
      <c r="FB42" s="2" t="str">
        <f aca="false">IF(OR(EQ42="EQL",EQ42="EQH"),Q42,"")</f>
        <v/>
      </c>
      <c r="FC42" s="2" t="str">
        <f aca="false">IF(AND(EG42="EQL",OR(AQ42=4,AQ42=5)),"IEQL",IF(AND(EG42="EQH",OR(AQ42=1,AQ42=2)),"IEQH",""))</f>
        <v/>
      </c>
      <c r="FD42" s="2" t="str">
        <f aca="false">IF(AND(EH42="EQL",OR(AR42=4,AR42=5)),"IEQL",IF(AND(EH42="EQH",OR(AR42=1,AR42=2)),"IEQH",""))</f>
        <v/>
      </c>
      <c r="FE42" s="2" t="str">
        <f aca="false">IF(AND(EI42="EQL",OR(AS42=4,AS42=5)),"IEQL",IF(AND(EI42="EQH",OR(AS42=1,AS42=2)),"IEQH",""))</f>
        <v/>
      </c>
      <c r="FF42" s="2" t="str">
        <f aca="false">IF(AND(EJ42="EQL",OR(AT42=4,AT42=5)),"IEQL",IF(AND(EJ42="EQH",OR(AT42=1,AT42=2)),"IEQH",""))</f>
        <v/>
      </c>
      <c r="FG42" s="2" t="str">
        <f aca="false">IF(AND(EK42="EQL",OR(AU42=4,AU42=5)),"IEQL",IF(AND(EK42="EQH",OR(AU42=1,AU42=2)),"IEQH",""))</f>
        <v/>
      </c>
      <c r="FH42" s="2" t="str">
        <f aca="false">IF(AND(EL42="EQL",OR(AV42=4,AV42=5)),"IEQL",IF(AND(EL42="EQH",OR(AV42=1,AV42=2)),"IEQH",""))</f>
        <v/>
      </c>
      <c r="FI42" s="2" t="str">
        <f aca="false">IF(AND(EM42="EQL",OR(AW42=4,AW42=5)),"IEQL",IF(AND(EM42="EQH",OR(AW42=1,AW42=2)),"IEQH",""))</f>
        <v/>
      </c>
      <c r="FJ42" s="2" t="str">
        <f aca="false">IF(AND(EN42="EQL",OR(AX42=4,AX42=5)),"IEQL",IF(AND(EN42="EQH",OR(AX42=1,AX42=2)),"IEQH",""))</f>
        <v>IEQL</v>
      </c>
      <c r="FK42" s="2" t="str">
        <f aca="false">IF(AND(EO42="EQL",OR(AY42=4,AY42=5)),"IEQL",IF(AND(EO42="EQH",OR(AY42=1,AY42=2)),"IEQH",""))</f>
        <v/>
      </c>
      <c r="FL42" s="2" t="str">
        <f aca="false">IF(AND(EP42="EQL",OR(AZ42=4,AZ42=5)),"IEQL",IF(AND(EP42="EQH",OR(AZ42=1,AZ42=2)),"IEQH",""))</f>
        <v/>
      </c>
      <c r="FM42" s="2" t="str">
        <f aca="false">IF(AND(EQ42="EQL",OR(BA42=4,BA42=5)),"IEQL",IF(AND(EQ42="EQH",OR(BA42=1,BA42=2)),"IEQH",""))</f>
        <v/>
      </c>
    </row>
    <row r="43" customFormat="false" ht="14.25" hidden="false" customHeight="false" outlineLevel="0" collapsed="false">
      <c r="A43" s="1" t="n">
        <v>1777264202</v>
      </c>
      <c r="B43" s="1" t="s">
        <v>169</v>
      </c>
      <c r="C43" s="1" t="s">
        <v>170</v>
      </c>
      <c r="D43" s="1" t="n">
        <v>4726.18</v>
      </c>
      <c r="E43" s="1" t="s">
        <v>173</v>
      </c>
      <c r="F43" s="1" t="n">
        <v>4729.92</v>
      </c>
      <c r="G43" s="2" t="n">
        <f aca="false">F41</f>
        <v>4740.49</v>
      </c>
      <c r="H43" s="2" t="n">
        <f aca="false">F39</f>
        <v>4697.42</v>
      </c>
      <c r="I43" s="2" t="n">
        <f aca="false">F37</f>
        <v>4711.23</v>
      </c>
      <c r="J43" s="2" t="n">
        <f aca="false">F35</f>
        <v>4743.22</v>
      </c>
      <c r="K43" s="2" t="n">
        <f aca="false">F33</f>
        <v>4724.89</v>
      </c>
      <c r="L43" s="2" t="n">
        <f aca="false">F31</f>
        <v>4753.33</v>
      </c>
      <c r="M43" s="2" t="n">
        <f aca="false">F29</f>
        <v>4749.34</v>
      </c>
      <c r="N43" s="2" t="n">
        <f aca="false">F27</f>
        <v>4772.15</v>
      </c>
      <c r="O43" s="2" t="n">
        <f aca="false">F25</f>
        <v>4797.91</v>
      </c>
      <c r="P43" s="2" t="n">
        <f aca="false">F23</f>
        <v>4833.25</v>
      </c>
      <c r="Q43" s="2" t="n">
        <f aca="false">F21</f>
        <v>4827.74</v>
      </c>
      <c r="R43" s="1" t="n">
        <v>57.57</v>
      </c>
      <c r="S43" s="2" t="n">
        <f aca="false">R41</f>
        <v>65.77</v>
      </c>
      <c r="T43" s="2" t="n">
        <f aca="false">R39</f>
        <v>39.25</v>
      </c>
      <c r="U43" s="2" t="n">
        <f aca="false">R37</f>
        <v>46.93</v>
      </c>
      <c r="V43" s="2" t="n">
        <f aca="false">R35</f>
        <v>58.96</v>
      </c>
      <c r="W43" s="2" t="n">
        <f aca="false">R33</f>
        <v>31.83</v>
      </c>
      <c r="X43" s="2" t="n">
        <f aca="false">R31</f>
        <v>58.99</v>
      </c>
      <c r="Y43" s="2" t="n">
        <f aca="false">R29</f>
        <v>25.31</v>
      </c>
      <c r="Z43" s="2" t="n">
        <f aca="false">R27</f>
        <v>103.54</v>
      </c>
      <c r="AA43" s="2" t="n">
        <f aca="false">R25</f>
        <v>25.13</v>
      </c>
      <c r="AB43" s="2" t="n">
        <f aca="false">R23</f>
        <v>40.83</v>
      </c>
      <c r="AC43" s="2" t="n">
        <f aca="false">R21</f>
        <v>44.23</v>
      </c>
      <c r="AD43" s="1" t="n">
        <v>1.23</v>
      </c>
      <c r="AE43" s="2" t="n">
        <f aca="false">AD41</f>
        <v>1.41</v>
      </c>
      <c r="AF43" s="2" t="n">
        <f aca="false">AD39</f>
        <v>0.84</v>
      </c>
      <c r="AG43" s="2" t="n">
        <f aca="false">AD37</f>
        <v>1.01</v>
      </c>
      <c r="AH43" s="2" t="n">
        <f aca="false">AD35</f>
        <v>1.26</v>
      </c>
      <c r="AI43" s="2" t="n">
        <f aca="false">AD33</f>
        <v>0.68</v>
      </c>
      <c r="AJ43" s="2" t="n">
        <f aca="false">AD31</f>
        <v>1.26</v>
      </c>
      <c r="AK43" s="2" t="n">
        <f aca="false">AD29</f>
        <v>0.54</v>
      </c>
      <c r="AL43" s="2" t="n">
        <f aca="false">AD27</f>
        <v>2.22</v>
      </c>
      <c r="AM43" s="2" t="n">
        <f aca="false">AD25</f>
        <v>0.53</v>
      </c>
      <c r="AN43" s="2" t="n">
        <f aca="false">AD23</f>
        <v>0.85</v>
      </c>
      <c r="AO43" s="2" t="n">
        <f aca="false">AD21</f>
        <v>0.92</v>
      </c>
      <c r="AP43" s="1" t="n">
        <v>0</v>
      </c>
      <c r="AQ43" s="2" t="n">
        <f aca="false">AP41</f>
        <v>0</v>
      </c>
      <c r="AR43" s="2" t="n">
        <f aca="false">AP39</f>
        <v>0</v>
      </c>
      <c r="AS43" s="2" t="n">
        <f aca="false">AP37</f>
        <v>0</v>
      </c>
      <c r="AT43" s="2" t="n">
        <f aca="false">AP35</f>
        <v>0</v>
      </c>
      <c r="AU43" s="2" t="n">
        <f aca="false">AP33</f>
        <v>0</v>
      </c>
      <c r="AV43" s="2" t="n">
        <f aca="false">AP31</f>
        <v>0</v>
      </c>
      <c r="AW43" s="2" t="n">
        <f aca="false">AP29</f>
        <v>0</v>
      </c>
      <c r="AX43" s="2" t="n">
        <f aca="false">AP27</f>
        <v>1</v>
      </c>
      <c r="AY43" s="2" t="n">
        <f aca="false">AP25</f>
        <v>0</v>
      </c>
      <c r="AZ43" s="2" t="n">
        <f aca="false">AP23</f>
        <v>0</v>
      </c>
      <c r="BA43" s="2" t="n">
        <f aca="false">AP21</f>
        <v>0</v>
      </c>
      <c r="BB43" s="1" t="n">
        <v>18</v>
      </c>
      <c r="BC43" s="2" t="n">
        <f aca="false">BB41</f>
        <v>14</v>
      </c>
      <c r="BD43" s="2" t="n">
        <f aca="false">BB39</f>
        <v>15</v>
      </c>
      <c r="BE43" s="2" t="n">
        <f aca="false">BB37</f>
        <v>26</v>
      </c>
      <c r="BF43" s="2" t="n">
        <f aca="false">BB35</f>
        <v>9</v>
      </c>
      <c r="BG43" s="2" t="n">
        <f aca="false">BB33</f>
        <v>10</v>
      </c>
      <c r="BH43" s="2" t="n">
        <f aca="false">BB31</f>
        <v>2</v>
      </c>
      <c r="BI43" s="2" t="n">
        <f aca="false">BB29</f>
        <v>9</v>
      </c>
      <c r="BJ43" s="2" t="n">
        <f aca="false">BB27</f>
        <v>42</v>
      </c>
      <c r="BK43" s="2" t="n">
        <f aca="false">BB25</f>
        <v>19</v>
      </c>
      <c r="BL43" s="2" t="n">
        <f aca="false">BB23</f>
        <v>26</v>
      </c>
      <c r="BM43" s="2" t="n">
        <f aca="false">BB21</f>
        <v>20</v>
      </c>
      <c r="BN43" s="1" t="n">
        <v>0</v>
      </c>
      <c r="BO43" s="2" t="n">
        <f aca="false">BN41</f>
        <v>0</v>
      </c>
      <c r="BP43" s="2" t="n">
        <f aca="false">BN39</f>
        <v>0</v>
      </c>
      <c r="BQ43" s="2" t="n">
        <f aca="false">BN37</f>
        <v>0</v>
      </c>
      <c r="BR43" s="2" t="n">
        <f aca="false">BN35</f>
        <v>0</v>
      </c>
      <c r="BS43" s="2" t="n">
        <f aca="false">BN33</f>
        <v>0</v>
      </c>
      <c r="BT43" s="2" t="n">
        <f aca="false">BN31</f>
        <v>0</v>
      </c>
      <c r="BU43" s="2" t="n">
        <f aca="false">BN29</f>
        <v>0</v>
      </c>
      <c r="BV43" s="2" t="n">
        <f aca="false">BN27</f>
        <v>1</v>
      </c>
      <c r="BW43" s="2" t="n">
        <f aca="false">BN25</f>
        <v>0</v>
      </c>
      <c r="BX43" s="2" t="n">
        <f aca="false">BN23</f>
        <v>0</v>
      </c>
      <c r="BY43" s="2" t="n">
        <f aca="false">BN21</f>
        <v>0</v>
      </c>
      <c r="BZ43" s="1" t="n">
        <v>3.19833</v>
      </c>
      <c r="CA43" s="2" t="n">
        <f aca="false">BZ41</f>
        <v>4.69786</v>
      </c>
      <c r="CB43" s="2" t="n">
        <f aca="false">BZ39</f>
        <v>2.61667</v>
      </c>
      <c r="CC43" s="2" t="n">
        <f aca="false">BZ37</f>
        <v>1.805</v>
      </c>
      <c r="CD43" s="2" t="n">
        <f aca="false">BZ35</f>
        <v>6.55111</v>
      </c>
      <c r="CE43" s="2" t="n">
        <f aca="false">BZ33</f>
        <v>3.183</v>
      </c>
      <c r="CF43" s="2" t="n">
        <f aca="false">BZ31</f>
        <v>29.495</v>
      </c>
      <c r="CG43" s="2" t="n">
        <f aca="false">BZ29</f>
        <v>2.81222</v>
      </c>
      <c r="CH43" s="2" t="n">
        <f aca="false">BZ27</f>
        <v>2.46524</v>
      </c>
      <c r="CI43" s="2" t="n">
        <f aca="false">BZ25</f>
        <v>1.32263</v>
      </c>
      <c r="CJ43" s="2" t="n">
        <f aca="false">BZ23</f>
        <v>1.57038</v>
      </c>
      <c r="CK43" s="2" t="n">
        <f aca="false">BZ21</f>
        <v>2.2115</v>
      </c>
      <c r="CL43" s="1" t="n">
        <v>0</v>
      </c>
      <c r="CM43" s="2" t="n">
        <f aca="false">CL41</f>
        <v>0</v>
      </c>
      <c r="CN43" s="2" t="n">
        <f aca="false">CL39</f>
        <v>0</v>
      </c>
      <c r="CO43" s="2" t="n">
        <f aca="false">CL37</f>
        <v>0</v>
      </c>
      <c r="CP43" s="2" t="n">
        <f aca="false">CL35</f>
        <v>0</v>
      </c>
      <c r="CQ43" s="2" t="n">
        <f aca="false">CL33</f>
        <v>0</v>
      </c>
      <c r="CR43" s="2" t="n">
        <f aca="false">CL31</f>
        <v>2</v>
      </c>
      <c r="CS43" s="2" t="n">
        <f aca="false">CL29</f>
        <v>0</v>
      </c>
      <c r="CT43" s="2" t="n">
        <f aca="false">CL27</f>
        <v>0</v>
      </c>
      <c r="CU43" s="2" t="n">
        <f aca="false">CL25</f>
        <v>0</v>
      </c>
      <c r="CV43" s="2" t="n">
        <f aca="false">CL23</f>
        <v>0</v>
      </c>
      <c r="CW43" s="2" t="n">
        <f aca="false">CL21</f>
        <v>0</v>
      </c>
      <c r="CX43" s="1" t="n">
        <v>72.6375</v>
      </c>
      <c r="CY43" s="2" t="n">
        <f aca="false">CX41</f>
        <v>77.9832</v>
      </c>
      <c r="CZ43" s="2" t="n">
        <f aca="false">CX39</f>
        <v>69.0849</v>
      </c>
      <c r="DA43" s="2" t="n">
        <f aca="false">CX37</f>
        <v>61.0128</v>
      </c>
      <c r="DB43" s="2" t="n">
        <f aca="false">CX35</f>
        <v>81.321</v>
      </c>
      <c r="DC43" s="2" t="n">
        <f aca="false">CX33</f>
        <v>72.5589</v>
      </c>
      <c r="DD43" s="2" t="n">
        <f aca="false">CX31</f>
        <v>88.0582</v>
      </c>
      <c r="DE43" s="2" t="n">
        <f aca="false">CX29</f>
        <v>70.4251</v>
      </c>
      <c r="DF43" s="2" t="n">
        <f aca="false">CX27</f>
        <v>67.9205</v>
      </c>
      <c r="DG43" s="2" t="n">
        <f aca="false">CX25</f>
        <v>52.9082</v>
      </c>
      <c r="DH43" s="2" t="n">
        <f aca="false">CX23</f>
        <v>57.5116</v>
      </c>
      <c r="DI43" s="2" t="n">
        <f aca="false">CX21</f>
        <v>65.6684</v>
      </c>
      <c r="DJ43" s="1" t="s">
        <v>174</v>
      </c>
      <c r="DK43" s="2" t="str">
        <f aca="false">DJ41</f>
        <v>HH</v>
      </c>
      <c r="DL43" s="2" t="str">
        <f aca="false">DJ39</f>
        <v>LH</v>
      </c>
      <c r="DM43" s="2" t="str">
        <f aca="false">DJ37</f>
        <v>LH</v>
      </c>
      <c r="DN43" s="2" t="str">
        <f aca="false">DJ35</f>
        <v>HH</v>
      </c>
      <c r="DO43" s="2" t="str">
        <f aca="false">DJ33</f>
        <v>LH</v>
      </c>
      <c r="DP43" s="2" t="str">
        <f aca="false">DJ31</f>
        <v>HH</v>
      </c>
      <c r="DQ43" s="2" t="str">
        <f aca="false">DJ29</f>
        <v>LH</v>
      </c>
      <c r="DR43" s="2" t="str">
        <f aca="false">DJ27</f>
        <v>LH</v>
      </c>
      <c r="DS43" s="2" t="str">
        <f aca="false">DJ25</f>
        <v>LH</v>
      </c>
      <c r="DT43" s="2" t="str">
        <f aca="false">DJ23</f>
        <v>HH</v>
      </c>
      <c r="DU43" s="2" t="str">
        <f aca="false">DJ21</f>
        <v>HH</v>
      </c>
      <c r="DV43" s="2" t="n">
        <f aca="false">IFERROR((G43-$F43)/$F43*100,"")</f>
        <v>0.223471010080503</v>
      </c>
      <c r="DW43" s="2" t="n">
        <f aca="false">IFERROR((H43-$F43)/$F43*100,"")</f>
        <v>-0.687115215479332</v>
      </c>
      <c r="DX43" s="2" t="n">
        <f aca="false">IFERROR((I43-$F43)/$F43*100,"")</f>
        <v>-0.395144103917202</v>
      </c>
      <c r="DY43" s="2" t="n">
        <f aca="false">IFERROR((J43-$F43)/$F43*100,"")</f>
        <v>0.281188688180776</v>
      </c>
      <c r="DZ43" s="2" t="n">
        <f aca="false">IFERROR((K43-$F43)/$F43*100,"")</f>
        <v>-0.106344293349565</v>
      </c>
      <c r="EA43" s="2" t="n">
        <f aca="false">IFERROR((L43-$F43)/$F43*100,"")</f>
        <v>0.494934375211417</v>
      </c>
      <c r="EB43" s="2" t="n">
        <f aca="false">IFERROR((M43-$F43)/$F43*100,"")</f>
        <v>0.41057776875719</v>
      </c>
      <c r="EC43" s="2" t="n">
        <f aca="false">IFERROR((N43-$F43)/$F43*100,"")</f>
        <v>0.892826939990519</v>
      </c>
      <c r="ED43" s="2" t="n">
        <f aca="false">IFERROR((O43-$F43)/$F43*100,"")</f>
        <v>1.43744503078276</v>
      </c>
      <c r="EE43" s="2" t="n">
        <f aca="false">IFERROR((P43-$F43)/$F43*100,"")</f>
        <v>2.18460354509167</v>
      </c>
      <c r="EF43" s="2" t="n">
        <f aca="false">IFERROR((Q43-$F43)/$F43*100,"")</f>
        <v>2.06811108855963</v>
      </c>
      <c r="EG43" s="2" t="str">
        <f aca="false">IF(DV43="","",IF(AND(ABS(DV43)&lt;=0.25,$E43="Bottom",DK43="LL"),"EQL",IF(AND(ABS(DV43)&lt;=0.25,$E43="Peak",DK43="HH"),"EQH","")))</f>
        <v>EQH</v>
      </c>
      <c r="EH43" s="2" t="str">
        <f aca="false">IF(DW43="","",IF(AND(ABS(DW43)&lt;=0.25,$E43="Bottom",DL43="LL"),"EQL",IF(AND(ABS(DW43)&lt;=0.25,$E43="Peak",DL43="HH"),"EQH","")))</f>
        <v/>
      </c>
      <c r="EI43" s="2" t="str">
        <f aca="false">IF(DX43="","",IF(AND(ABS(DX43)&lt;=0.25,$E43="Bottom",DM43="LL"),"EQL",IF(AND(ABS(DX43)&lt;=0.25,$E43="Peak",DM43="HH"),"EQH","")))</f>
        <v/>
      </c>
      <c r="EJ43" s="2" t="str">
        <f aca="false">IF(DY43="","",IF(AND(ABS(DY43)&lt;=0.25,$E43="Bottom",DN43="LL"),"EQL",IF(AND(ABS(DY43)&lt;=0.25,$E43="Peak",DN43="HH"),"EQH","")))</f>
        <v/>
      </c>
      <c r="EK43" s="2" t="str">
        <f aca="false">IF(DZ43="","",IF(AND(ABS(DZ43)&lt;=0.25,$E43="Bottom",DO43="LL"),"EQL",IF(AND(ABS(DZ43)&lt;=0.25,$E43="Peak",DO43="HH"),"EQH","")))</f>
        <v/>
      </c>
      <c r="EL43" s="2" t="str">
        <f aca="false">IF(EA43="","",IF(AND(ABS(EA43)&lt;=0.25,$E43="Bottom",DP43="LL"),"EQL",IF(AND(ABS(EA43)&lt;=0.25,$E43="Peak",DP43="HH"),"EQH","")))</f>
        <v/>
      </c>
      <c r="EM43" s="2" t="str">
        <f aca="false">IF(EB43="","",IF(AND(ABS(EB43)&lt;=0.25,$E43="Bottom",DQ43="LL"),"EQL",IF(AND(ABS(EB43)&lt;=0.25,$E43="Peak",DQ43="HH"),"EQH","")))</f>
        <v/>
      </c>
      <c r="EN43" s="2" t="str">
        <f aca="false">IF(EC43="","",IF(AND(ABS(EC43)&lt;=0.25,$E43="Bottom",DR43="LL"),"EQL",IF(AND(ABS(EC43)&lt;=0.25,$E43="Peak",DR43="HH"),"EQH","")))</f>
        <v/>
      </c>
      <c r="EO43" s="2" t="str">
        <f aca="false">IF(ED43="","",IF(AND(ABS(ED43)&lt;=0.25,$E43="Bottom",DS43="LL"),"EQL",IF(AND(ABS(ED43)&lt;=0.25,$E43="Peak",DS43="HH"),"EQH","")))</f>
        <v/>
      </c>
      <c r="EP43" s="2" t="str">
        <f aca="false">IF(EE43="","",IF(AND(ABS(EE43)&lt;=0.25,$E43="Bottom",DT43="LL"),"EQL",IF(AND(ABS(EE43)&lt;=0.25,$E43="Peak",DT43="HH"),"EQH","")))</f>
        <v/>
      </c>
      <c r="EQ43" s="2" t="str">
        <f aca="false">IF(EF43="","",IF(AND(ABS(EF43)&lt;=0.25,$E43="Bottom",DU43="LL"),"EQL",IF(AND(ABS(EF43)&lt;=0.25,$E43="Peak",DU43="HH"),"EQH","")))</f>
        <v/>
      </c>
      <c r="ER43" s="2" t="n">
        <f aca="false">IF(OR(EG43="EQL",EG43="EQH"),G43,"")</f>
        <v>4740.49</v>
      </c>
      <c r="ES43" s="2" t="str">
        <f aca="false">IF(OR(EH43="EQL",EH43="EQH"),H43,"")</f>
        <v/>
      </c>
      <c r="ET43" s="2" t="str">
        <f aca="false">IF(OR(EI43="EQL",EI43="EQH"),I43,"")</f>
        <v/>
      </c>
      <c r="EU43" s="2" t="str">
        <f aca="false">IF(OR(EJ43="EQL",EJ43="EQH"),J43,"")</f>
        <v/>
      </c>
      <c r="EV43" s="2" t="str">
        <f aca="false">IF(OR(EK43="EQL",EK43="EQH"),K43,"")</f>
        <v/>
      </c>
      <c r="EW43" s="2" t="str">
        <f aca="false">IF(OR(EL43="EQL",EL43="EQH"),L43,"")</f>
        <v/>
      </c>
      <c r="EX43" s="2" t="str">
        <f aca="false">IF(OR(EM43="EQL",EM43="EQH"),M43,"")</f>
        <v/>
      </c>
      <c r="EY43" s="2" t="str">
        <f aca="false">IF(OR(EN43="EQL",EN43="EQH"),N43,"")</f>
        <v/>
      </c>
      <c r="EZ43" s="2" t="str">
        <f aca="false">IF(OR(EO43="EQL",EO43="EQH"),O43,"")</f>
        <v/>
      </c>
      <c r="FA43" s="2" t="str">
        <f aca="false">IF(OR(EP43="EQL",EP43="EQH"),P43,"")</f>
        <v/>
      </c>
      <c r="FB43" s="2" t="str">
        <f aca="false">IF(OR(EQ43="EQL",EQ43="EQH"),Q43,"")</f>
        <v/>
      </c>
      <c r="FC43" s="2" t="str">
        <f aca="false">IF(AND(EG43="EQL",OR(AQ43=4,AQ43=5)),"IEQL",IF(AND(EG43="EQH",OR(AQ43=1,AQ43=2)),"IEQH",""))</f>
        <v/>
      </c>
      <c r="FD43" s="2" t="str">
        <f aca="false">IF(AND(EH43="EQL",OR(AR43=4,AR43=5)),"IEQL",IF(AND(EH43="EQH",OR(AR43=1,AR43=2)),"IEQH",""))</f>
        <v/>
      </c>
      <c r="FE43" s="2" t="str">
        <f aca="false">IF(AND(EI43="EQL",OR(AS43=4,AS43=5)),"IEQL",IF(AND(EI43="EQH",OR(AS43=1,AS43=2)),"IEQH",""))</f>
        <v/>
      </c>
      <c r="FF43" s="2" t="str">
        <f aca="false">IF(AND(EJ43="EQL",OR(AT43=4,AT43=5)),"IEQL",IF(AND(EJ43="EQH",OR(AT43=1,AT43=2)),"IEQH",""))</f>
        <v/>
      </c>
      <c r="FG43" s="2" t="str">
        <f aca="false">IF(AND(EK43="EQL",OR(AU43=4,AU43=5)),"IEQL",IF(AND(EK43="EQH",OR(AU43=1,AU43=2)),"IEQH",""))</f>
        <v/>
      </c>
      <c r="FH43" s="2" t="str">
        <f aca="false">IF(AND(EL43="EQL",OR(AV43=4,AV43=5)),"IEQL",IF(AND(EL43="EQH",OR(AV43=1,AV43=2)),"IEQH",""))</f>
        <v/>
      </c>
      <c r="FI43" s="2" t="str">
        <f aca="false">IF(AND(EM43="EQL",OR(AW43=4,AW43=5)),"IEQL",IF(AND(EM43="EQH",OR(AW43=1,AW43=2)),"IEQH",""))</f>
        <v/>
      </c>
      <c r="FJ43" s="2" t="str">
        <f aca="false">IF(AND(EN43="EQL",OR(AX43=4,AX43=5)),"IEQL",IF(AND(EN43="EQH",OR(AX43=1,AX43=2)),"IEQH",""))</f>
        <v/>
      </c>
      <c r="FK43" s="2" t="str">
        <f aca="false">IF(AND(EO43="EQL",OR(AY43=4,AY43=5)),"IEQL",IF(AND(EO43="EQH",OR(AY43=1,AY43=2)),"IEQH",""))</f>
        <v/>
      </c>
      <c r="FL43" s="2" t="str">
        <f aca="false">IF(AND(EP43="EQL",OR(AZ43=4,AZ43=5)),"IEQL",IF(AND(EP43="EQH",OR(AZ43=1,AZ43=2)),"IEQH",""))</f>
        <v/>
      </c>
      <c r="FM43" s="2" t="str">
        <f aca="false">IF(AND(EQ43="EQL",OR(BA43=4,BA43=5)),"IEQL",IF(AND(EQ43="EQH",OR(BA43=1,BA43=2)),"IEQH",""))</f>
        <v/>
      </c>
    </row>
    <row r="44" customFormat="false" ht="14.25" hidden="false" customHeight="false" outlineLevel="0" collapsed="false">
      <c r="A44" s="1" t="n">
        <v>1777282202</v>
      </c>
      <c r="B44" s="1" t="s">
        <v>169</v>
      </c>
      <c r="C44" s="1" t="s">
        <v>170</v>
      </c>
      <c r="D44" s="1" t="n">
        <v>4704.64</v>
      </c>
      <c r="E44" s="1" t="s">
        <v>171</v>
      </c>
      <c r="F44" s="1" t="n">
        <v>4699.29</v>
      </c>
      <c r="G44" s="2" t="n">
        <f aca="false">F42</f>
        <v>4672.35</v>
      </c>
      <c r="H44" s="2" t="n">
        <f aca="false">F40</f>
        <v>4674.72</v>
      </c>
      <c r="I44" s="2" t="n">
        <f aca="false">F38</f>
        <v>4658.17</v>
      </c>
      <c r="J44" s="2" t="n">
        <f aca="false">F36</f>
        <v>4664.3</v>
      </c>
      <c r="K44" s="2" t="n">
        <f aca="false">F34</f>
        <v>4684.26</v>
      </c>
      <c r="L44" s="2" t="n">
        <f aca="false">F32</f>
        <v>4693.06</v>
      </c>
      <c r="M44" s="2" t="n">
        <f aca="false">F30</f>
        <v>4694.34</v>
      </c>
      <c r="N44" s="2" t="n">
        <f aca="false">F28</f>
        <v>4724.03</v>
      </c>
      <c r="O44" s="2" t="n">
        <f aca="false">F26</f>
        <v>4668.61</v>
      </c>
      <c r="P44" s="2" t="n">
        <f aca="false">F24</f>
        <v>4772.78</v>
      </c>
      <c r="Q44" s="2" t="n">
        <f aca="false">F22</f>
        <v>4792.42</v>
      </c>
      <c r="R44" s="1" t="n">
        <v>-30.63</v>
      </c>
      <c r="S44" s="2" t="n">
        <f aca="false">R42</f>
        <v>-68.14</v>
      </c>
      <c r="T44" s="2" t="n">
        <f aca="false">R40</f>
        <v>-22.7</v>
      </c>
      <c r="U44" s="2" t="n">
        <f aca="false">R38</f>
        <v>-53.06</v>
      </c>
      <c r="V44" s="2" t="n">
        <f aca="false">R36</f>
        <v>-78.92</v>
      </c>
      <c r="W44" s="2" t="n">
        <f aca="false">R34</f>
        <v>-40.63</v>
      </c>
      <c r="X44" s="2" t="n">
        <f aca="false">R32</f>
        <v>-60.27</v>
      </c>
      <c r="Y44" s="2" t="n">
        <f aca="false">R30</f>
        <v>-55</v>
      </c>
      <c r="Z44" s="2" t="n">
        <f aca="false">R28</f>
        <v>-48.12</v>
      </c>
      <c r="AA44" s="2" t="n">
        <f aca="false">R26</f>
        <v>-129.3</v>
      </c>
      <c r="AB44" s="2" t="n">
        <f aca="false">R24</f>
        <v>-60.47</v>
      </c>
      <c r="AC44" s="2" t="n">
        <f aca="false">R22</f>
        <v>-35.32</v>
      </c>
      <c r="AD44" s="1" t="n">
        <v>-0.65</v>
      </c>
      <c r="AE44" s="2" t="n">
        <f aca="false">AD42</f>
        <v>-1.44</v>
      </c>
      <c r="AF44" s="2" t="n">
        <f aca="false">AD40</f>
        <v>-0.48</v>
      </c>
      <c r="AG44" s="2" t="n">
        <f aca="false">AD38</f>
        <v>-1.13</v>
      </c>
      <c r="AH44" s="2" t="n">
        <f aca="false">AD36</f>
        <v>-1.66</v>
      </c>
      <c r="AI44" s="2" t="n">
        <f aca="false">AD34</f>
        <v>-0.86</v>
      </c>
      <c r="AJ44" s="2" t="n">
        <f aca="false">AD32</f>
        <v>-1.27</v>
      </c>
      <c r="AK44" s="2" t="n">
        <f aca="false">AD30</f>
        <v>-1.16</v>
      </c>
      <c r="AL44" s="2" t="n">
        <f aca="false">AD28</f>
        <v>-1.01</v>
      </c>
      <c r="AM44" s="2" t="n">
        <f aca="false">AD26</f>
        <v>-2.69</v>
      </c>
      <c r="AN44" s="2" t="n">
        <f aca="false">AD24</f>
        <v>-1.25</v>
      </c>
      <c r="AO44" s="2" t="n">
        <f aca="false">AD22</f>
        <v>-0.73</v>
      </c>
      <c r="AP44" s="1" t="n">
        <v>3</v>
      </c>
      <c r="AQ44" s="2" t="n">
        <f aca="false">AP42</f>
        <v>3</v>
      </c>
      <c r="AR44" s="2" t="n">
        <f aca="false">AP40</f>
        <v>3</v>
      </c>
      <c r="AS44" s="2" t="n">
        <f aca="false">AP38</f>
        <v>3</v>
      </c>
      <c r="AT44" s="2" t="n">
        <f aca="false">AP36</f>
        <v>3</v>
      </c>
      <c r="AU44" s="2" t="n">
        <f aca="false">AP34</f>
        <v>3</v>
      </c>
      <c r="AV44" s="2" t="n">
        <f aca="false">AP32</f>
        <v>3</v>
      </c>
      <c r="AW44" s="2" t="n">
        <f aca="false">AP30</f>
        <v>3</v>
      </c>
      <c r="AX44" s="2" t="n">
        <f aca="false">AP28</f>
        <v>3</v>
      </c>
      <c r="AY44" s="2" t="n">
        <f aca="false">AP26</f>
        <v>5</v>
      </c>
      <c r="AZ44" s="2" t="n">
        <f aca="false">AP24</f>
        <v>3</v>
      </c>
      <c r="BA44" s="2" t="n">
        <f aca="false">AP22</f>
        <v>3</v>
      </c>
      <c r="BB44" s="1" t="n">
        <v>20</v>
      </c>
      <c r="BC44" s="2" t="n">
        <f aca="false">BB42</f>
        <v>36</v>
      </c>
      <c r="BD44" s="2" t="n">
        <f aca="false">BB40</f>
        <v>9</v>
      </c>
      <c r="BE44" s="2" t="n">
        <f aca="false">BB38</f>
        <v>13</v>
      </c>
      <c r="BF44" s="2" t="n">
        <f aca="false">BB36</f>
        <v>20</v>
      </c>
      <c r="BG44" s="2" t="n">
        <f aca="false">BB34</f>
        <v>10</v>
      </c>
      <c r="BH44" s="2" t="n">
        <f aca="false">BB32</f>
        <v>19</v>
      </c>
      <c r="BI44" s="2" t="n">
        <f aca="false">BB30</f>
        <v>18</v>
      </c>
      <c r="BJ44" s="2" t="n">
        <f aca="false">BB28</f>
        <v>38</v>
      </c>
      <c r="BK44" s="2" t="n">
        <f aca="false">BB26</f>
        <v>31</v>
      </c>
      <c r="BL44" s="2" t="n">
        <f aca="false">BB24</f>
        <v>35</v>
      </c>
      <c r="BM44" s="2" t="n">
        <f aca="false">BB22</f>
        <v>1</v>
      </c>
      <c r="BN44" s="1" t="n">
        <v>3</v>
      </c>
      <c r="BO44" s="2" t="n">
        <f aca="false">BN42</f>
        <v>4</v>
      </c>
      <c r="BP44" s="2" t="n">
        <f aca="false">BN40</f>
        <v>3</v>
      </c>
      <c r="BQ44" s="2" t="n">
        <f aca="false">BN38</f>
        <v>3</v>
      </c>
      <c r="BR44" s="2" t="n">
        <f aca="false">BN36</f>
        <v>3</v>
      </c>
      <c r="BS44" s="2" t="n">
        <f aca="false">BN34</f>
        <v>3</v>
      </c>
      <c r="BT44" s="2" t="n">
        <f aca="false">BN32</f>
        <v>3</v>
      </c>
      <c r="BU44" s="2" t="n">
        <f aca="false">BN30</f>
        <v>3</v>
      </c>
      <c r="BV44" s="2" t="n">
        <f aca="false">BN28</f>
        <v>4</v>
      </c>
      <c r="BW44" s="2" t="n">
        <f aca="false">BN26</f>
        <v>3</v>
      </c>
      <c r="BX44" s="2" t="n">
        <f aca="false">BN24</f>
        <v>3</v>
      </c>
      <c r="BY44" s="2" t="n">
        <f aca="false">BN22</f>
        <v>3</v>
      </c>
      <c r="BZ44" s="1" t="n">
        <v>-1.5315</v>
      </c>
      <c r="CA44" s="2" t="n">
        <f aca="false">BZ42</f>
        <v>-1.89278</v>
      </c>
      <c r="CB44" s="2" t="n">
        <f aca="false">BZ40</f>
        <v>-2.52222</v>
      </c>
      <c r="CC44" s="2" t="n">
        <f aca="false">BZ38</f>
        <v>-4.08154</v>
      </c>
      <c r="CD44" s="2" t="n">
        <f aca="false">BZ36</f>
        <v>-3.946</v>
      </c>
      <c r="CE44" s="2" t="n">
        <f aca="false">BZ34</f>
        <v>-4.063</v>
      </c>
      <c r="CF44" s="2" t="n">
        <f aca="false">BZ32</f>
        <v>-3.17211</v>
      </c>
      <c r="CG44" s="2" t="n">
        <f aca="false">BZ30</f>
        <v>-3.05556</v>
      </c>
      <c r="CH44" s="2" t="n">
        <f aca="false">BZ28</f>
        <v>-1.26632</v>
      </c>
      <c r="CI44" s="2" t="n">
        <f aca="false">BZ26</f>
        <v>-4.17097</v>
      </c>
      <c r="CJ44" s="2" t="n">
        <f aca="false">BZ24</f>
        <v>-1.72771</v>
      </c>
      <c r="CK44" s="2" t="n">
        <f aca="false">BZ22</f>
        <v>-35.32</v>
      </c>
      <c r="CL44" s="1" t="n">
        <v>3</v>
      </c>
      <c r="CM44" s="2" t="n">
        <f aca="false">CL42</f>
        <v>3</v>
      </c>
      <c r="CN44" s="2" t="n">
        <f aca="false">CL40</f>
        <v>3</v>
      </c>
      <c r="CO44" s="2" t="n">
        <f aca="false">CL38</f>
        <v>3</v>
      </c>
      <c r="CP44" s="2" t="n">
        <f aca="false">CL36</f>
        <v>3</v>
      </c>
      <c r="CQ44" s="2" t="n">
        <f aca="false">CL34</f>
        <v>3</v>
      </c>
      <c r="CR44" s="2" t="n">
        <f aca="false">CL32</f>
        <v>3</v>
      </c>
      <c r="CS44" s="2" t="n">
        <f aca="false">CL30</f>
        <v>3</v>
      </c>
      <c r="CT44" s="2" t="n">
        <f aca="false">CL28</f>
        <v>3</v>
      </c>
      <c r="CU44" s="2" t="n">
        <f aca="false">CL26</f>
        <v>3</v>
      </c>
      <c r="CV44" s="2" t="n">
        <f aca="false">CL24</f>
        <v>3</v>
      </c>
      <c r="CW44" s="2" t="n">
        <f aca="false">CL22</f>
        <v>5</v>
      </c>
      <c r="CX44" s="1" t="n">
        <v>-56.8573</v>
      </c>
      <c r="CY44" s="2" t="n">
        <f aca="false">CX42</f>
        <v>-62.1514</v>
      </c>
      <c r="CZ44" s="2" t="n">
        <f aca="false">CX40</f>
        <v>-68.3729</v>
      </c>
      <c r="DA44" s="2" t="n">
        <f aca="false">CX38</f>
        <v>-76.2334</v>
      </c>
      <c r="DB44" s="2" t="n">
        <f aca="false">CX36</f>
        <v>-75.7794</v>
      </c>
      <c r="DC44" s="2" t="n">
        <f aca="false">CX34</f>
        <v>-76.173</v>
      </c>
      <c r="DD44" s="2" t="n">
        <f aca="false">CX32</f>
        <v>-72.5026</v>
      </c>
      <c r="DE44" s="2" t="n">
        <f aca="false">CX30</f>
        <v>-71.8781</v>
      </c>
      <c r="DF44" s="2" t="n">
        <f aca="false">CX28</f>
        <v>-51.7021</v>
      </c>
      <c r="DG44" s="2" t="n">
        <f aca="false">CX26</f>
        <v>-76.5177</v>
      </c>
      <c r="DH44" s="2" t="n">
        <f aca="false">CX24</f>
        <v>-59.9378</v>
      </c>
      <c r="DI44" s="2" t="n">
        <f aca="false">CX22</f>
        <v>-88.3782</v>
      </c>
      <c r="DJ44" s="1" t="s">
        <v>175</v>
      </c>
      <c r="DK44" s="2" t="str">
        <f aca="false">DJ42</f>
        <v>LL</v>
      </c>
      <c r="DL44" s="2" t="str">
        <f aca="false">DJ40</f>
        <v>HL</v>
      </c>
      <c r="DM44" s="2" t="str">
        <f aca="false">DJ38</f>
        <v>LL</v>
      </c>
      <c r="DN44" s="2" t="str">
        <f aca="false">DJ36</f>
        <v>LL</v>
      </c>
      <c r="DO44" s="2" t="str">
        <f aca="false">DJ34</f>
        <v>LL</v>
      </c>
      <c r="DP44" s="2" t="str">
        <f aca="false">DJ32</f>
        <v>LL</v>
      </c>
      <c r="DQ44" s="2" t="str">
        <f aca="false">DJ30</f>
        <v>LL</v>
      </c>
      <c r="DR44" s="2" t="str">
        <f aca="false">DJ28</f>
        <v>HL</v>
      </c>
      <c r="DS44" s="2" t="str">
        <f aca="false">DJ26</f>
        <v>LL</v>
      </c>
      <c r="DT44" s="2" t="str">
        <f aca="false">DJ24</f>
        <v>LL</v>
      </c>
      <c r="DU44" s="2" t="str">
        <f aca="false">DJ22</f>
        <v>HL</v>
      </c>
      <c r="DV44" s="2" t="n">
        <f aca="false">IFERROR((G44-$F44)/$F44*100,"")</f>
        <v>-0.573278090945645</v>
      </c>
      <c r="DW44" s="2" t="n">
        <f aca="false">IFERROR((H44-$F44)/$F44*100,"")</f>
        <v>-0.522844940405885</v>
      </c>
      <c r="DX44" s="2" t="n">
        <f aca="false">IFERROR((I44-$F44)/$F44*100,"")</f>
        <v>-0.875025801770052</v>
      </c>
      <c r="DY44" s="2" t="n">
        <f aca="false">IFERROR((J44-$F44)/$F44*100,"")</f>
        <v>-0.744580564298006</v>
      </c>
      <c r="DZ44" s="2" t="n">
        <f aca="false">IFERROR((K44-$F44)/$F44*100,"")</f>
        <v>-0.319835549625576</v>
      </c>
      <c r="EA44" s="2" t="n">
        <f aca="false">IFERROR((L44-$F44)/$F44*100,"")</f>
        <v>-0.132573218507467</v>
      </c>
      <c r="EB44" s="2" t="n">
        <f aca="false">IFERROR((M44-$F44)/$F44*100,"")</f>
        <v>-0.10533506125393</v>
      </c>
      <c r="EC44" s="2" t="n">
        <f aca="false">IFERROR((N44-$F44)/$F44*100,"")</f>
        <v>0.526462508166123</v>
      </c>
      <c r="ED44" s="2" t="n">
        <f aca="false">IFERROR((O44-$F44)/$F44*100,"")</f>
        <v>-0.652864581670854</v>
      </c>
      <c r="EE44" s="2" t="n">
        <f aca="false">IFERROR((P44-$F44)/$F44*100,"")</f>
        <v>1.56385326293972</v>
      </c>
      <c r="EF44" s="2" t="n">
        <f aca="false">IFERROR((Q44-$F44)/$F44*100,"")</f>
        <v>1.98178873829877</v>
      </c>
      <c r="EG44" s="2" t="str">
        <f aca="false">IF(DV44="","",IF(AND(ABS(DV44)&lt;=0.25,$E44="Bottom",DK44="LL"),"EQL",IF(AND(ABS(DV44)&lt;=0.25,$E44="Peak",DK44="HH"),"EQH","")))</f>
        <v/>
      </c>
      <c r="EH44" s="2" t="str">
        <f aca="false">IF(DW44="","",IF(AND(ABS(DW44)&lt;=0.25,$E44="Bottom",DL44="LL"),"EQL",IF(AND(ABS(DW44)&lt;=0.25,$E44="Peak",DL44="HH"),"EQH","")))</f>
        <v/>
      </c>
      <c r="EI44" s="2" t="str">
        <f aca="false">IF(DX44="","",IF(AND(ABS(DX44)&lt;=0.25,$E44="Bottom",DM44="LL"),"EQL",IF(AND(ABS(DX44)&lt;=0.25,$E44="Peak",DM44="HH"),"EQH","")))</f>
        <v/>
      </c>
      <c r="EJ44" s="2" t="str">
        <f aca="false">IF(DY44="","",IF(AND(ABS(DY44)&lt;=0.25,$E44="Bottom",DN44="LL"),"EQL",IF(AND(ABS(DY44)&lt;=0.25,$E44="Peak",DN44="HH"),"EQH","")))</f>
        <v/>
      </c>
      <c r="EK44" s="2" t="str">
        <f aca="false">IF(DZ44="","",IF(AND(ABS(DZ44)&lt;=0.25,$E44="Bottom",DO44="LL"),"EQL",IF(AND(ABS(DZ44)&lt;=0.25,$E44="Peak",DO44="HH"),"EQH","")))</f>
        <v/>
      </c>
      <c r="EL44" s="2" t="str">
        <f aca="false">IF(EA44="","",IF(AND(ABS(EA44)&lt;=0.25,$E44="Bottom",DP44="LL"),"EQL",IF(AND(ABS(EA44)&lt;=0.25,$E44="Peak",DP44="HH"),"EQH","")))</f>
        <v>EQL</v>
      </c>
      <c r="EM44" s="2" t="str">
        <f aca="false">IF(EB44="","",IF(AND(ABS(EB44)&lt;=0.25,$E44="Bottom",DQ44="LL"),"EQL",IF(AND(ABS(EB44)&lt;=0.25,$E44="Peak",DQ44="HH"),"EQH","")))</f>
        <v>EQL</v>
      </c>
      <c r="EN44" s="2" t="str">
        <f aca="false">IF(EC44="","",IF(AND(ABS(EC44)&lt;=0.25,$E44="Bottom",DR44="LL"),"EQL",IF(AND(ABS(EC44)&lt;=0.25,$E44="Peak",DR44="HH"),"EQH","")))</f>
        <v/>
      </c>
      <c r="EO44" s="2" t="str">
        <f aca="false">IF(ED44="","",IF(AND(ABS(ED44)&lt;=0.25,$E44="Bottom",DS44="LL"),"EQL",IF(AND(ABS(ED44)&lt;=0.25,$E44="Peak",DS44="HH"),"EQH","")))</f>
        <v/>
      </c>
      <c r="EP44" s="2" t="str">
        <f aca="false">IF(EE44="","",IF(AND(ABS(EE44)&lt;=0.25,$E44="Bottom",DT44="LL"),"EQL",IF(AND(ABS(EE44)&lt;=0.25,$E44="Peak",DT44="HH"),"EQH","")))</f>
        <v/>
      </c>
      <c r="EQ44" s="2" t="str">
        <f aca="false">IF(EF44="","",IF(AND(ABS(EF44)&lt;=0.25,$E44="Bottom",DU44="LL"),"EQL",IF(AND(ABS(EF44)&lt;=0.25,$E44="Peak",DU44="HH"),"EQH","")))</f>
        <v/>
      </c>
      <c r="ER44" s="2" t="str">
        <f aca="false">IF(OR(EG44="EQL",EG44="EQH"),G44,"")</f>
        <v/>
      </c>
      <c r="ES44" s="2" t="str">
        <f aca="false">IF(OR(EH44="EQL",EH44="EQH"),H44,"")</f>
        <v/>
      </c>
      <c r="ET44" s="2" t="str">
        <f aca="false">IF(OR(EI44="EQL",EI44="EQH"),I44,"")</f>
        <v/>
      </c>
      <c r="EU44" s="2" t="str">
        <f aca="false">IF(OR(EJ44="EQL",EJ44="EQH"),J44,"")</f>
        <v/>
      </c>
      <c r="EV44" s="2" t="str">
        <f aca="false">IF(OR(EK44="EQL",EK44="EQH"),K44,"")</f>
        <v/>
      </c>
      <c r="EW44" s="2" t="n">
        <f aca="false">IF(OR(EL44="EQL",EL44="EQH"),L44,"")</f>
        <v>4693.06</v>
      </c>
      <c r="EX44" s="2" t="n">
        <f aca="false">IF(OR(EM44="EQL",EM44="EQH"),M44,"")</f>
        <v>4694.34</v>
      </c>
      <c r="EY44" s="2" t="str">
        <f aca="false">IF(OR(EN44="EQL",EN44="EQH"),N44,"")</f>
        <v/>
      </c>
      <c r="EZ44" s="2" t="str">
        <f aca="false">IF(OR(EO44="EQL",EO44="EQH"),O44,"")</f>
        <v/>
      </c>
      <c r="FA44" s="2" t="str">
        <f aca="false">IF(OR(EP44="EQL",EP44="EQH"),P44,"")</f>
        <v/>
      </c>
      <c r="FB44" s="2" t="str">
        <f aca="false">IF(OR(EQ44="EQL",EQ44="EQH"),Q44,"")</f>
        <v/>
      </c>
      <c r="FC44" s="2" t="str">
        <f aca="false">IF(AND(EG44="EQL",OR(AQ44=4,AQ44=5)),"IEQL",IF(AND(EG44="EQH",OR(AQ44=1,AQ44=2)),"IEQH",""))</f>
        <v/>
      </c>
      <c r="FD44" s="2" t="str">
        <f aca="false">IF(AND(EH44="EQL",OR(AR44=4,AR44=5)),"IEQL",IF(AND(EH44="EQH",OR(AR44=1,AR44=2)),"IEQH",""))</f>
        <v/>
      </c>
      <c r="FE44" s="2" t="str">
        <f aca="false">IF(AND(EI44="EQL",OR(AS44=4,AS44=5)),"IEQL",IF(AND(EI44="EQH",OR(AS44=1,AS44=2)),"IEQH",""))</f>
        <v/>
      </c>
      <c r="FF44" s="2" t="str">
        <f aca="false">IF(AND(EJ44="EQL",OR(AT44=4,AT44=5)),"IEQL",IF(AND(EJ44="EQH",OR(AT44=1,AT44=2)),"IEQH",""))</f>
        <v/>
      </c>
      <c r="FG44" s="2" t="str">
        <f aca="false">IF(AND(EK44="EQL",OR(AU44=4,AU44=5)),"IEQL",IF(AND(EK44="EQH",OR(AU44=1,AU44=2)),"IEQH",""))</f>
        <v/>
      </c>
      <c r="FH44" s="2" t="str">
        <f aca="false">IF(AND(EL44="EQL",OR(AV44=4,AV44=5)),"IEQL",IF(AND(EL44="EQH",OR(AV44=1,AV44=2)),"IEQH",""))</f>
        <v/>
      </c>
      <c r="FI44" s="2" t="str">
        <f aca="false">IF(AND(EM44="EQL",OR(AW44=4,AW44=5)),"IEQL",IF(AND(EM44="EQH",OR(AW44=1,AW44=2)),"IEQH",""))</f>
        <v/>
      </c>
      <c r="FJ44" s="2" t="str">
        <f aca="false">IF(AND(EN44="EQL",OR(AX44=4,AX44=5)),"IEQL",IF(AND(EN44="EQH",OR(AX44=1,AX44=2)),"IEQH",""))</f>
        <v/>
      </c>
      <c r="FK44" s="2" t="str">
        <f aca="false">IF(AND(EO44="EQL",OR(AY44=4,AY44=5)),"IEQL",IF(AND(EO44="EQH",OR(AY44=1,AY44=2)),"IEQH",""))</f>
        <v/>
      </c>
      <c r="FL44" s="2" t="str">
        <f aca="false">IF(AND(EP44="EQL",OR(AZ44=4,AZ44=5)),"IEQL",IF(AND(EP44="EQH",OR(AZ44=1,AZ44=2)),"IEQH",""))</f>
        <v/>
      </c>
      <c r="FM44" s="2" t="str">
        <f aca="false">IF(AND(EQ44="EQL",OR(BA44=4,BA44=5)),"IEQL",IF(AND(EQ44="EQH",OR(BA44=1,BA44=2)),"IEQH",""))</f>
        <v/>
      </c>
    </row>
    <row r="45" customFormat="false" ht="14.25" hidden="false" customHeight="false" outlineLevel="0" collapsed="false">
      <c r="A45" s="1" t="n">
        <v>1777292102</v>
      </c>
      <c r="B45" s="1" t="s">
        <v>169</v>
      </c>
      <c r="C45" s="1" t="s">
        <v>170</v>
      </c>
      <c r="D45" s="1" t="n">
        <v>4707.09</v>
      </c>
      <c r="E45" s="1" t="s">
        <v>173</v>
      </c>
      <c r="F45" s="1" t="n">
        <v>4712.59</v>
      </c>
      <c r="G45" s="2" t="n">
        <f aca="false">F43</f>
        <v>4729.92</v>
      </c>
      <c r="H45" s="2" t="n">
        <f aca="false">F41</f>
        <v>4740.49</v>
      </c>
      <c r="I45" s="2" t="n">
        <f aca="false">F39</f>
        <v>4697.42</v>
      </c>
      <c r="J45" s="2" t="n">
        <f aca="false">F37</f>
        <v>4711.23</v>
      </c>
      <c r="K45" s="2" t="n">
        <f aca="false">F35</f>
        <v>4743.22</v>
      </c>
      <c r="L45" s="2" t="n">
        <f aca="false">F33</f>
        <v>4724.89</v>
      </c>
      <c r="M45" s="2" t="n">
        <f aca="false">F31</f>
        <v>4753.33</v>
      </c>
      <c r="N45" s="2" t="n">
        <f aca="false">F29</f>
        <v>4749.34</v>
      </c>
      <c r="O45" s="2" t="n">
        <f aca="false">F27</f>
        <v>4772.15</v>
      </c>
      <c r="P45" s="2" t="n">
        <f aca="false">F25</f>
        <v>4797.91</v>
      </c>
      <c r="Q45" s="2" t="n">
        <f aca="false">F23</f>
        <v>4833.25</v>
      </c>
      <c r="R45" s="1" t="n">
        <v>13.3</v>
      </c>
      <c r="S45" s="2" t="n">
        <f aca="false">R43</f>
        <v>57.57</v>
      </c>
      <c r="T45" s="2" t="n">
        <f aca="false">R41</f>
        <v>65.77</v>
      </c>
      <c r="U45" s="2" t="n">
        <f aca="false">R39</f>
        <v>39.25</v>
      </c>
      <c r="V45" s="2" t="n">
        <f aca="false">R37</f>
        <v>46.93</v>
      </c>
      <c r="W45" s="2" t="n">
        <f aca="false">R35</f>
        <v>58.96</v>
      </c>
      <c r="X45" s="2" t="n">
        <f aca="false">R33</f>
        <v>31.83</v>
      </c>
      <c r="Y45" s="2" t="n">
        <f aca="false">R31</f>
        <v>58.99</v>
      </c>
      <c r="Z45" s="2" t="n">
        <f aca="false">R29</f>
        <v>25.31</v>
      </c>
      <c r="AA45" s="2" t="n">
        <f aca="false">R27</f>
        <v>103.54</v>
      </c>
      <c r="AB45" s="2" t="n">
        <f aca="false">R25</f>
        <v>25.13</v>
      </c>
      <c r="AC45" s="2" t="n">
        <f aca="false">R23</f>
        <v>40.83</v>
      </c>
      <c r="AD45" s="1" t="n">
        <v>0.28</v>
      </c>
      <c r="AE45" s="2" t="n">
        <f aca="false">AD43</f>
        <v>1.23</v>
      </c>
      <c r="AF45" s="2" t="n">
        <f aca="false">AD41</f>
        <v>1.41</v>
      </c>
      <c r="AG45" s="2" t="n">
        <f aca="false">AD39</f>
        <v>0.84</v>
      </c>
      <c r="AH45" s="2" t="n">
        <f aca="false">AD37</f>
        <v>1.01</v>
      </c>
      <c r="AI45" s="2" t="n">
        <f aca="false">AD35</f>
        <v>1.26</v>
      </c>
      <c r="AJ45" s="2" t="n">
        <f aca="false">AD33</f>
        <v>0.68</v>
      </c>
      <c r="AK45" s="2" t="n">
        <f aca="false">AD31</f>
        <v>1.26</v>
      </c>
      <c r="AL45" s="2" t="n">
        <f aca="false">AD29</f>
        <v>0.54</v>
      </c>
      <c r="AM45" s="2" t="n">
        <f aca="false">AD27</f>
        <v>2.22</v>
      </c>
      <c r="AN45" s="2" t="n">
        <f aca="false">AD25</f>
        <v>0.53</v>
      </c>
      <c r="AO45" s="2" t="n">
        <f aca="false">AD23</f>
        <v>0.85</v>
      </c>
      <c r="AP45" s="1" t="n">
        <v>0</v>
      </c>
      <c r="AQ45" s="2" t="n">
        <f aca="false">AP43</f>
        <v>0</v>
      </c>
      <c r="AR45" s="2" t="n">
        <f aca="false">AP41</f>
        <v>0</v>
      </c>
      <c r="AS45" s="2" t="n">
        <f aca="false">AP39</f>
        <v>0</v>
      </c>
      <c r="AT45" s="2" t="n">
        <f aca="false">AP37</f>
        <v>0</v>
      </c>
      <c r="AU45" s="2" t="n">
        <f aca="false">AP35</f>
        <v>0</v>
      </c>
      <c r="AV45" s="2" t="n">
        <f aca="false">AP33</f>
        <v>0</v>
      </c>
      <c r="AW45" s="2" t="n">
        <f aca="false">AP31</f>
        <v>0</v>
      </c>
      <c r="AX45" s="2" t="n">
        <f aca="false">AP29</f>
        <v>0</v>
      </c>
      <c r="AY45" s="2" t="n">
        <f aca="false">AP27</f>
        <v>1</v>
      </c>
      <c r="AZ45" s="2" t="n">
        <f aca="false">AP25</f>
        <v>0</v>
      </c>
      <c r="BA45" s="2" t="n">
        <f aca="false">AP23</f>
        <v>0</v>
      </c>
      <c r="BB45" s="1" t="n">
        <v>11</v>
      </c>
      <c r="BC45" s="2" t="n">
        <f aca="false">BB43</f>
        <v>18</v>
      </c>
      <c r="BD45" s="2" t="n">
        <f aca="false">BB41</f>
        <v>14</v>
      </c>
      <c r="BE45" s="2" t="n">
        <f aca="false">BB39</f>
        <v>15</v>
      </c>
      <c r="BF45" s="2" t="n">
        <f aca="false">BB37</f>
        <v>26</v>
      </c>
      <c r="BG45" s="2" t="n">
        <f aca="false">BB35</f>
        <v>9</v>
      </c>
      <c r="BH45" s="2" t="n">
        <f aca="false">BB33</f>
        <v>10</v>
      </c>
      <c r="BI45" s="2" t="n">
        <f aca="false">BB31</f>
        <v>2</v>
      </c>
      <c r="BJ45" s="2" t="n">
        <f aca="false">BB29</f>
        <v>9</v>
      </c>
      <c r="BK45" s="2" t="n">
        <f aca="false">BB27</f>
        <v>42</v>
      </c>
      <c r="BL45" s="2" t="n">
        <f aca="false">BB25</f>
        <v>19</v>
      </c>
      <c r="BM45" s="2" t="n">
        <f aca="false">BB23</f>
        <v>26</v>
      </c>
      <c r="BN45" s="1" t="n">
        <v>0</v>
      </c>
      <c r="BO45" s="2" t="n">
        <f aca="false">BN43</f>
        <v>0</v>
      </c>
      <c r="BP45" s="2" t="n">
        <f aca="false">BN41</f>
        <v>0</v>
      </c>
      <c r="BQ45" s="2" t="n">
        <f aca="false">BN39</f>
        <v>0</v>
      </c>
      <c r="BR45" s="2" t="n">
        <f aca="false">BN37</f>
        <v>0</v>
      </c>
      <c r="BS45" s="2" t="n">
        <f aca="false">BN35</f>
        <v>0</v>
      </c>
      <c r="BT45" s="2" t="n">
        <f aca="false">BN33</f>
        <v>0</v>
      </c>
      <c r="BU45" s="2" t="n">
        <f aca="false">BN31</f>
        <v>0</v>
      </c>
      <c r="BV45" s="2" t="n">
        <f aca="false">BN29</f>
        <v>0</v>
      </c>
      <c r="BW45" s="2" t="n">
        <f aca="false">BN27</f>
        <v>1</v>
      </c>
      <c r="BX45" s="2" t="n">
        <f aca="false">BN25</f>
        <v>0</v>
      </c>
      <c r="BY45" s="2" t="n">
        <f aca="false">BN23</f>
        <v>0</v>
      </c>
      <c r="BZ45" s="1" t="n">
        <v>1.20909</v>
      </c>
      <c r="CA45" s="2" t="n">
        <f aca="false">BZ43</f>
        <v>3.19833</v>
      </c>
      <c r="CB45" s="2" t="n">
        <f aca="false">BZ41</f>
        <v>4.69786</v>
      </c>
      <c r="CC45" s="2" t="n">
        <f aca="false">BZ39</f>
        <v>2.61667</v>
      </c>
      <c r="CD45" s="2" t="n">
        <f aca="false">BZ37</f>
        <v>1.805</v>
      </c>
      <c r="CE45" s="2" t="n">
        <f aca="false">BZ35</f>
        <v>6.55111</v>
      </c>
      <c r="CF45" s="2" t="n">
        <f aca="false">BZ33</f>
        <v>3.183</v>
      </c>
      <c r="CG45" s="2" t="n">
        <f aca="false">BZ31</f>
        <v>29.495</v>
      </c>
      <c r="CH45" s="2" t="n">
        <f aca="false">BZ29</f>
        <v>2.81222</v>
      </c>
      <c r="CI45" s="2" t="n">
        <f aca="false">BZ27</f>
        <v>2.46524</v>
      </c>
      <c r="CJ45" s="2" t="n">
        <f aca="false">BZ25</f>
        <v>1.32263</v>
      </c>
      <c r="CK45" s="2" t="n">
        <f aca="false">BZ23</f>
        <v>1.57038</v>
      </c>
      <c r="CL45" s="1" t="n">
        <v>0</v>
      </c>
      <c r="CM45" s="2" t="n">
        <f aca="false">CL43</f>
        <v>0</v>
      </c>
      <c r="CN45" s="2" t="n">
        <f aca="false">CL41</f>
        <v>0</v>
      </c>
      <c r="CO45" s="2" t="n">
        <f aca="false">CL39</f>
        <v>0</v>
      </c>
      <c r="CP45" s="2" t="n">
        <f aca="false">CL37</f>
        <v>0</v>
      </c>
      <c r="CQ45" s="2" t="n">
        <f aca="false">CL35</f>
        <v>0</v>
      </c>
      <c r="CR45" s="2" t="n">
        <f aca="false">CL33</f>
        <v>0</v>
      </c>
      <c r="CS45" s="2" t="n">
        <f aca="false">CL31</f>
        <v>2</v>
      </c>
      <c r="CT45" s="2" t="n">
        <f aca="false">CL29</f>
        <v>0</v>
      </c>
      <c r="CU45" s="2" t="n">
        <f aca="false">CL27</f>
        <v>0</v>
      </c>
      <c r="CV45" s="2" t="n">
        <f aca="false">CL25</f>
        <v>0</v>
      </c>
      <c r="CW45" s="2" t="n">
        <f aca="false">CL23</f>
        <v>0</v>
      </c>
      <c r="CX45" s="1" t="n">
        <v>50.4069</v>
      </c>
      <c r="CY45" s="2" t="n">
        <f aca="false">CX43</f>
        <v>72.6375</v>
      </c>
      <c r="CZ45" s="2" t="n">
        <f aca="false">CX41</f>
        <v>77.9832</v>
      </c>
      <c r="DA45" s="2" t="n">
        <f aca="false">CX39</f>
        <v>69.0849</v>
      </c>
      <c r="DB45" s="2" t="n">
        <f aca="false">CX37</f>
        <v>61.0128</v>
      </c>
      <c r="DC45" s="2" t="n">
        <f aca="false">CX35</f>
        <v>81.321</v>
      </c>
      <c r="DD45" s="2" t="n">
        <f aca="false">CX33</f>
        <v>72.5589</v>
      </c>
      <c r="DE45" s="2" t="n">
        <f aca="false">CX31</f>
        <v>88.0582</v>
      </c>
      <c r="DF45" s="2" t="n">
        <f aca="false">CX29</f>
        <v>70.4251</v>
      </c>
      <c r="DG45" s="2" t="n">
        <f aca="false">CX27</f>
        <v>67.9205</v>
      </c>
      <c r="DH45" s="2" t="n">
        <f aca="false">CX25</f>
        <v>52.9082</v>
      </c>
      <c r="DI45" s="2" t="n">
        <f aca="false">CX23</f>
        <v>57.5116</v>
      </c>
      <c r="DJ45" s="1" t="s">
        <v>174</v>
      </c>
      <c r="DK45" s="2" t="str">
        <f aca="false">DJ43</f>
        <v>LH</v>
      </c>
      <c r="DL45" s="2" t="str">
        <f aca="false">DJ41</f>
        <v>HH</v>
      </c>
      <c r="DM45" s="2" t="str">
        <f aca="false">DJ39</f>
        <v>LH</v>
      </c>
      <c r="DN45" s="2" t="str">
        <f aca="false">DJ37</f>
        <v>LH</v>
      </c>
      <c r="DO45" s="2" t="str">
        <f aca="false">DJ35</f>
        <v>HH</v>
      </c>
      <c r="DP45" s="2" t="str">
        <f aca="false">DJ33</f>
        <v>LH</v>
      </c>
      <c r="DQ45" s="2" t="str">
        <f aca="false">DJ31</f>
        <v>HH</v>
      </c>
      <c r="DR45" s="2" t="str">
        <f aca="false">DJ29</f>
        <v>LH</v>
      </c>
      <c r="DS45" s="2" t="str">
        <f aca="false">DJ27</f>
        <v>LH</v>
      </c>
      <c r="DT45" s="2" t="str">
        <f aca="false">DJ25</f>
        <v>LH</v>
      </c>
      <c r="DU45" s="2" t="str">
        <f aca="false">DJ23</f>
        <v>HH</v>
      </c>
      <c r="DV45" s="2" t="n">
        <f aca="false">IFERROR((G45-$F45)/$F45*100,"")</f>
        <v>0.367738334970789</v>
      </c>
      <c r="DW45" s="2" t="n">
        <f aca="false">IFERROR((H45-$F45)/$F45*100,"")</f>
        <v>0.592031133622905</v>
      </c>
      <c r="DX45" s="2" t="n">
        <f aca="false">IFERROR((I45-$F45)/$F45*100,"")</f>
        <v>-0.321903666561277</v>
      </c>
      <c r="DY45" s="2" t="n">
        <f aca="false">IFERROR((J45-$F45)/$F45*100,"")</f>
        <v>-0.0288588652948927</v>
      </c>
      <c r="DZ45" s="2" t="n">
        <f aca="false">IFERROR((K45-$F45)/$F45*100,"")</f>
        <v>0.649961061751608</v>
      </c>
      <c r="EA45" s="2" t="n">
        <f aca="false">IFERROR((L45-$F45)/$F45*100,"")</f>
        <v>0.261002972887524</v>
      </c>
      <c r="EB45" s="2" t="n">
        <f aca="false">IFERROR((M45-$F45)/$F45*100,"")</f>
        <v>0.864492773612807</v>
      </c>
      <c r="EC45" s="2" t="n">
        <f aca="false">IFERROR((N45-$F45)/$F45*100,"")</f>
        <v>0.779825955578567</v>
      </c>
      <c r="ED45" s="2" t="n">
        <f aca="false">IFERROR((O45-$F45)/$F45*100,"")</f>
        <v>1.2638485418846</v>
      </c>
      <c r="EE45" s="2" t="n">
        <f aca="false">IFERROR((P45-$F45)/$F45*100,"")</f>
        <v>1.81046940217587</v>
      </c>
      <c r="EF45" s="2" t="n">
        <f aca="false">IFERROR((Q45-$F45)/$F45*100,"")</f>
        <v>2.56037550476489</v>
      </c>
      <c r="EG45" s="2" t="str">
        <f aca="false">IF(DV45="","",IF(AND(ABS(DV45)&lt;=0.25,$E45="Bottom",DK45="LL"),"EQL",IF(AND(ABS(DV45)&lt;=0.25,$E45="Peak",DK45="HH"),"EQH","")))</f>
        <v/>
      </c>
      <c r="EH45" s="2" t="str">
        <f aca="false">IF(DW45="","",IF(AND(ABS(DW45)&lt;=0.25,$E45="Bottom",DL45="LL"),"EQL",IF(AND(ABS(DW45)&lt;=0.25,$E45="Peak",DL45="HH"),"EQH","")))</f>
        <v/>
      </c>
      <c r="EI45" s="2" t="str">
        <f aca="false">IF(DX45="","",IF(AND(ABS(DX45)&lt;=0.25,$E45="Bottom",DM45="LL"),"EQL",IF(AND(ABS(DX45)&lt;=0.25,$E45="Peak",DM45="HH"),"EQH","")))</f>
        <v/>
      </c>
      <c r="EJ45" s="2" t="str">
        <f aca="false">IF(DY45="","",IF(AND(ABS(DY45)&lt;=0.25,$E45="Bottom",DN45="LL"),"EQL",IF(AND(ABS(DY45)&lt;=0.25,$E45="Peak",DN45="HH"),"EQH","")))</f>
        <v/>
      </c>
      <c r="EK45" s="2" t="str">
        <f aca="false">IF(DZ45="","",IF(AND(ABS(DZ45)&lt;=0.25,$E45="Bottom",DO45="LL"),"EQL",IF(AND(ABS(DZ45)&lt;=0.25,$E45="Peak",DO45="HH"),"EQH","")))</f>
        <v/>
      </c>
      <c r="EL45" s="2" t="str">
        <f aca="false">IF(EA45="","",IF(AND(ABS(EA45)&lt;=0.25,$E45="Bottom",DP45="LL"),"EQL",IF(AND(ABS(EA45)&lt;=0.25,$E45="Peak",DP45="HH"),"EQH","")))</f>
        <v/>
      </c>
      <c r="EM45" s="2" t="str">
        <f aca="false">IF(EB45="","",IF(AND(ABS(EB45)&lt;=0.25,$E45="Bottom",DQ45="LL"),"EQL",IF(AND(ABS(EB45)&lt;=0.25,$E45="Peak",DQ45="HH"),"EQH","")))</f>
        <v/>
      </c>
      <c r="EN45" s="2" t="str">
        <f aca="false">IF(EC45="","",IF(AND(ABS(EC45)&lt;=0.25,$E45="Bottom",DR45="LL"),"EQL",IF(AND(ABS(EC45)&lt;=0.25,$E45="Peak",DR45="HH"),"EQH","")))</f>
        <v/>
      </c>
      <c r="EO45" s="2" t="str">
        <f aca="false">IF(ED45="","",IF(AND(ABS(ED45)&lt;=0.25,$E45="Bottom",DS45="LL"),"EQL",IF(AND(ABS(ED45)&lt;=0.25,$E45="Peak",DS45="HH"),"EQH","")))</f>
        <v/>
      </c>
      <c r="EP45" s="2" t="str">
        <f aca="false">IF(EE45="","",IF(AND(ABS(EE45)&lt;=0.25,$E45="Bottom",DT45="LL"),"EQL",IF(AND(ABS(EE45)&lt;=0.25,$E45="Peak",DT45="HH"),"EQH","")))</f>
        <v/>
      </c>
      <c r="EQ45" s="2" t="str">
        <f aca="false">IF(EF45="","",IF(AND(ABS(EF45)&lt;=0.25,$E45="Bottom",DU45="LL"),"EQL",IF(AND(ABS(EF45)&lt;=0.25,$E45="Peak",DU45="HH"),"EQH","")))</f>
        <v/>
      </c>
      <c r="ER45" s="2" t="str">
        <f aca="false">IF(OR(EG45="EQL",EG45="EQH"),G45,"")</f>
        <v/>
      </c>
      <c r="ES45" s="2" t="str">
        <f aca="false">IF(OR(EH45="EQL",EH45="EQH"),H45,"")</f>
        <v/>
      </c>
      <c r="ET45" s="2" t="str">
        <f aca="false">IF(OR(EI45="EQL",EI45="EQH"),I45,"")</f>
        <v/>
      </c>
      <c r="EU45" s="2" t="str">
        <f aca="false">IF(OR(EJ45="EQL",EJ45="EQH"),J45,"")</f>
        <v/>
      </c>
      <c r="EV45" s="2" t="str">
        <f aca="false">IF(OR(EK45="EQL",EK45="EQH"),K45,"")</f>
        <v/>
      </c>
      <c r="EW45" s="2" t="str">
        <f aca="false">IF(OR(EL45="EQL",EL45="EQH"),L45,"")</f>
        <v/>
      </c>
      <c r="EX45" s="2" t="str">
        <f aca="false">IF(OR(EM45="EQL",EM45="EQH"),M45,"")</f>
        <v/>
      </c>
      <c r="EY45" s="2" t="str">
        <f aca="false">IF(OR(EN45="EQL",EN45="EQH"),N45,"")</f>
        <v/>
      </c>
      <c r="EZ45" s="2" t="str">
        <f aca="false">IF(OR(EO45="EQL",EO45="EQH"),O45,"")</f>
        <v/>
      </c>
      <c r="FA45" s="2" t="str">
        <f aca="false">IF(OR(EP45="EQL",EP45="EQH"),P45,"")</f>
        <v/>
      </c>
      <c r="FB45" s="2" t="str">
        <f aca="false">IF(OR(EQ45="EQL",EQ45="EQH"),Q45,"")</f>
        <v/>
      </c>
      <c r="FC45" s="2" t="str">
        <f aca="false">IF(AND(EG45="EQL",OR(AQ45=4,AQ45=5)),"IEQL",IF(AND(EG45="EQH",OR(AQ45=1,AQ45=2)),"IEQH",""))</f>
        <v/>
      </c>
      <c r="FD45" s="2" t="str">
        <f aca="false">IF(AND(EH45="EQL",OR(AR45=4,AR45=5)),"IEQL",IF(AND(EH45="EQH",OR(AR45=1,AR45=2)),"IEQH",""))</f>
        <v/>
      </c>
      <c r="FE45" s="2" t="str">
        <f aca="false">IF(AND(EI45="EQL",OR(AS45=4,AS45=5)),"IEQL",IF(AND(EI45="EQH",OR(AS45=1,AS45=2)),"IEQH",""))</f>
        <v/>
      </c>
      <c r="FF45" s="2" t="str">
        <f aca="false">IF(AND(EJ45="EQL",OR(AT45=4,AT45=5)),"IEQL",IF(AND(EJ45="EQH",OR(AT45=1,AT45=2)),"IEQH",""))</f>
        <v/>
      </c>
      <c r="FG45" s="2" t="str">
        <f aca="false">IF(AND(EK45="EQL",OR(AU45=4,AU45=5)),"IEQL",IF(AND(EK45="EQH",OR(AU45=1,AU45=2)),"IEQH",""))</f>
        <v/>
      </c>
      <c r="FH45" s="2" t="str">
        <f aca="false">IF(AND(EL45="EQL",OR(AV45=4,AV45=5)),"IEQL",IF(AND(EL45="EQH",OR(AV45=1,AV45=2)),"IEQH",""))</f>
        <v/>
      </c>
      <c r="FI45" s="2" t="str">
        <f aca="false">IF(AND(EM45="EQL",OR(AW45=4,AW45=5)),"IEQL",IF(AND(EM45="EQH",OR(AW45=1,AW45=2)),"IEQH",""))</f>
        <v/>
      </c>
      <c r="FJ45" s="2" t="str">
        <f aca="false">IF(AND(EN45="EQL",OR(AX45=4,AX45=5)),"IEQL",IF(AND(EN45="EQH",OR(AX45=1,AX45=2)),"IEQH",""))</f>
        <v/>
      </c>
      <c r="FK45" s="2" t="str">
        <f aca="false">IF(AND(EO45="EQL",OR(AY45=4,AY45=5)),"IEQL",IF(AND(EO45="EQH",OR(AY45=1,AY45=2)),"IEQH",""))</f>
        <v/>
      </c>
      <c r="FL45" s="2" t="str">
        <f aca="false">IF(AND(EP45="EQL",OR(AZ45=4,AZ45=5)),"IEQL",IF(AND(EP45="EQH",OR(AZ45=1,AZ45=2)),"IEQH",""))</f>
        <v/>
      </c>
      <c r="FM45" s="2" t="str">
        <f aca="false">IF(AND(EQ45="EQL",OR(BA45=4,BA45=5)),"IEQL",IF(AND(EQ45="EQH",OR(BA45=1,BA45=2)),"IEQH",""))</f>
        <v/>
      </c>
    </row>
    <row r="46" customFormat="false" ht="14.25" hidden="false" customHeight="false" outlineLevel="0" collapsed="false">
      <c r="A46" s="1" t="n">
        <v>1777302002</v>
      </c>
      <c r="B46" s="1" t="s">
        <v>169</v>
      </c>
      <c r="C46" s="1" t="s">
        <v>170</v>
      </c>
      <c r="D46" s="1" t="n">
        <v>4674.65</v>
      </c>
      <c r="E46" s="1" t="s">
        <v>171</v>
      </c>
      <c r="F46" s="1" t="n">
        <v>4667.32</v>
      </c>
      <c r="G46" s="2" t="n">
        <f aca="false">F44</f>
        <v>4699.29</v>
      </c>
      <c r="H46" s="2" t="n">
        <f aca="false">F42</f>
        <v>4672.35</v>
      </c>
      <c r="I46" s="2" t="n">
        <f aca="false">F40</f>
        <v>4674.72</v>
      </c>
      <c r="J46" s="2" t="n">
        <f aca="false">F38</f>
        <v>4658.17</v>
      </c>
      <c r="K46" s="2" t="n">
        <f aca="false">F36</f>
        <v>4664.3</v>
      </c>
      <c r="L46" s="2" t="n">
        <f aca="false">F34</f>
        <v>4684.26</v>
      </c>
      <c r="M46" s="2" t="n">
        <f aca="false">F32</f>
        <v>4693.06</v>
      </c>
      <c r="N46" s="2" t="n">
        <f aca="false">F30</f>
        <v>4694.34</v>
      </c>
      <c r="O46" s="2" t="n">
        <f aca="false">F28</f>
        <v>4724.03</v>
      </c>
      <c r="P46" s="2" t="n">
        <f aca="false">F26</f>
        <v>4668.61</v>
      </c>
      <c r="Q46" s="2" t="n">
        <f aca="false">F24</f>
        <v>4772.78</v>
      </c>
      <c r="R46" s="1" t="n">
        <v>-45.27</v>
      </c>
      <c r="S46" s="2" t="n">
        <f aca="false">R44</f>
        <v>-30.63</v>
      </c>
      <c r="T46" s="2" t="n">
        <f aca="false">R42</f>
        <v>-68.14</v>
      </c>
      <c r="U46" s="2" t="n">
        <f aca="false">R40</f>
        <v>-22.7</v>
      </c>
      <c r="V46" s="2" t="n">
        <f aca="false">R38</f>
        <v>-53.06</v>
      </c>
      <c r="W46" s="2" t="n">
        <f aca="false">R36</f>
        <v>-78.92</v>
      </c>
      <c r="X46" s="2" t="n">
        <f aca="false">R34</f>
        <v>-40.63</v>
      </c>
      <c r="Y46" s="2" t="n">
        <f aca="false">R32</f>
        <v>-60.27</v>
      </c>
      <c r="Z46" s="2" t="n">
        <f aca="false">R30</f>
        <v>-55</v>
      </c>
      <c r="AA46" s="2" t="n">
        <f aca="false">R28</f>
        <v>-48.12</v>
      </c>
      <c r="AB46" s="2" t="n">
        <f aca="false">R26</f>
        <v>-129.3</v>
      </c>
      <c r="AC46" s="2" t="n">
        <f aca="false">R24</f>
        <v>-60.47</v>
      </c>
      <c r="AD46" s="1" t="n">
        <v>-0.96</v>
      </c>
      <c r="AE46" s="2" t="n">
        <f aca="false">AD44</f>
        <v>-0.65</v>
      </c>
      <c r="AF46" s="2" t="n">
        <f aca="false">AD42</f>
        <v>-1.44</v>
      </c>
      <c r="AG46" s="2" t="n">
        <f aca="false">AD40</f>
        <v>-0.48</v>
      </c>
      <c r="AH46" s="2" t="n">
        <f aca="false">AD38</f>
        <v>-1.13</v>
      </c>
      <c r="AI46" s="2" t="n">
        <f aca="false">AD36</f>
        <v>-1.66</v>
      </c>
      <c r="AJ46" s="2" t="n">
        <f aca="false">AD34</f>
        <v>-0.86</v>
      </c>
      <c r="AK46" s="2" t="n">
        <f aca="false">AD32</f>
        <v>-1.27</v>
      </c>
      <c r="AL46" s="2" t="n">
        <f aca="false">AD30</f>
        <v>-1.16</v>
      </c>
      <c r="AM46" s="2" t="n">
        <f aca="false">AD28</f>
        <v>-1.01</v>
      </c>
      <c r="AN46" s="2" t="n">
        <f aca="false">AD26</f>
        <v>-2.69</v>
      </c>
      <c r="AO46" s="2" t="n">
        <f aca="false">AD24</f>
        <v>-1.25</v>
      </c>
      <c r="AP46" s="1" t="n">
        <v>3</v>
      </c>
      <c r="AQ46" s="2" t="n">
        <f aca="false">AP44</f>
        <v>3</v>
      </c>
      <c r="AR46" s="2" t="n">
        <f aca="false">AP42</f>
        <v>3</v>
      </c>
      <c r="AS46" s="2" t="n">
        <f aca="false">AP40</f>
        <v>3</v>
      </c>
      <c r="AT46" s="2" t="n">
        <f aca="false">AP38</f>
        <v>3</v>
      </c>
      <c r="AU46" s="2" t="n">
        <f aca="false">AP36</f>
        <v>3</v>
      </c>
      <c r="AV46" s="2" t="n">
        <f aca="false">AP34</f>
        <v>3</v>
      </c>
      <c r="AW46" s="2" t="n">
        <f aca="false">AP32</f>
        <v>3</v>
      </c>
      <c r="AX46" s="2" t="n">
        <f aca="false">AP30</f>
        <v>3</v>
      </c>
      <c r="AY46" s="2" t="n">
        <f aca="false">AP28</f>
        <v>3</v>
      </c>
      <c r="AZ46" s="2" t="n">
        <f aca="false">AP26</f>
        <v>5</v>
      </c>
      <c r="BA46" s="2" t="n">
        <f aca="false">AP24</f>
        <v>3</v>
      </c>
      <c r="BB46" s="1" t="n">
        <v>11</v>
      </c>
      <c r="BC46" s="2" t="n">
        <f aca="false">BB44</f>
        <v>20</v>
      </c>
      <c r="BD46" s="2" t="n">
        <f aca="false">BB42</f>
        <v>36</v>
      </c>
      <c r="BE46" s="2" t="n">
        <f aca="false">BB40</f>
        <v>9</v>
      </c>
      <c r="BF46" s="2" t="n">
        <f aca="false">BB38</f>
        <v>13</v>
      </c>
      <c r="BG46" s="2" t="n">
        <f aca="false">BB36</f>
        <v>20</v>
      </c>
      <c r="BH46" s="2" t="n">
        <f aca="false">BB34</f>
        <v>10</v>
      </c>
      <c r="BI46" s="2" t="n">
        <f aca="false">BB32</f>
        <v>19</v>
      </c>
      <c r="BJ46" s="2" t="n">
        <f aca="false">BB30</f>
        <v>18</v>
      </c>
      <c r="BK46" s="2" t="n">
        <f aca="false">BB28</f>
        <v>38</v>
      </c>
      <c r="BL46" s="2" t="n">
        <f aca="false">BB26</f>
        <v>31</v>
      </c>
      <c r="BM46" s="2" t="n">
        <f aca="false">BB24</f>
        <v>35</v>
      </c>
      <c r="BN46" s="1" t="n">
        <v>3</v>
      </c>
      <c r="BO46" s="2" t="n">
        <f aca="false">BN44</f>
        <v>3</v>
      </c>
      <c r="BP46" s="2" t="n">
        <f aca="false">BN42</f>
        <v>4</v>
      </c>
      <c r="BQ46" s="2" t="n">
        <f aca="false">BN40</f>
        <v>3</v>
      </c>
      <c r="BR46" s="2" t="n">
        <f aca="false">BN38</f>
        <v>3</v>
      </c>
      <c r="BS46" s="2" t="n">
        <f aca="false">BN36</f>
        <v>3</v>
      </c>
      <c r="BT46" s="2" t="n">
        <f aca="false">BN34</f>
        <v>3</v>
      </c>
      <c r="BU46" s="2" t="n">
        <f aca="false">BN32</f>
        <v>3</v>
      </c>
      <c r="BV46" s="2" t="n">
        <f aca="false">BN30</f>
        <v>3</v>
      </c>
      <c r="BW46" s="2" t="n">
        <f aca="false">BN28</f>
        <v>4</v>
      </c>
      <c r="BX46" s="2" t="n">
        <f aca="false">BN26</f>
        <v>3</v>
      </c>
      <c r="BY46" s="2" t="n">
        <f aca="false">BN24</f>
        <v>3</v>
      </c>
      <c r="BZ46" s="1" t="n">
        <v>-4.11545</v>
      </c>
      <c r="CA46" s="2" t="n">
        <f aca="false">BZ44</f>
        <v>-1.5315</v>
      </c>
      <c r="CB46" s="2" t="n">
        <f aca="false">BZ42</f>
        <v>-1.89278</v>
      </c>
      <c r="CC46" s="2" t="n">
        <f aca="false">BZ40</f>
        <v>-2.52222</v>
      </c>
      <c r="CD46" s="2" t="n">
        <f aca="false">BZ38</f>
        <v>-4.08154</v>
      </c>
      <c r="CE46" s="2" t="n">
        <f aca="false">BZ36</f>
        <v>-3.946</v>
      </c>
      <c r="CF46" s="2" t="n">
        <f aca="false">BZ34</f>
        <v>-4.063</v>
      </c>
      <c r="CG46" s="2" t="n">
        <f aca="false">BZ32</f>
        <v>-3.17211</v>
      </c>
      <c r="CH46" s="2" t="n">
        <f aca="false">BZ30</f>
        <v>-3.05556</v>
      </c>
      <c r="CI46" s="2" t="n">
        <f aca="false">BZ28</f>
        <v>-1.26632</v>
      </c>
      <c r="CJ46" s="2" t="n">
        <f aca="false">BZ26</f>
        <v>-4.17097</v>
      </c>
      <c r="CK46" s="2" t="n">
        <f aca="false">BZ24</f>
        <v>-1.72771</v>
      </c>
      <c r="CL46" s="1" t="n">
        <v>3</v>
      </c>
      <c r="CM46" s="2" t="n">
        <f aca="false">CL44</f>
        <v>3</v>
      </c>
      <c r="CN46" s="2" t="n">
        <f aca="false">CL42</f>
        <v>3</v>
      </c>
      <c r="CO46" s="2" t="n">
        <f aca="false">CL40</f>
        <v>3</v>
      </c>
      <c r="CP46" s="2" t="n">
        <f aca="false">CL38</f>
        <v>3</v>
      </c>
      <c r="CQ46" s="2" t="n">
        <f aca="false">CL36</f>
        <v>3</v>
      </c>
      <c r="CR46" s="2" t="n">
        <f aca="false">CL34</f>
        <v>3</v>
      </c>
      <c r="CS46" s="2" t="n">
        <f aca="false">CL32</f>
        <v>3</v>
      </c>
      <c r="CT46" s="2" t="n">
        <f aca="false">CL30</f>
        <v>3</v>
      </c>
      <c r="CU46" s="2" t="n">
        <f aca="false">CL28</f>
        <v>3</v>
      </c>
      <c r="CV46" s="2" t="n">
        <f aca="false">CL26</f>
        <v>3</v>
      </c>
      <c r="CW46" s="2" t="n">
        <f aca="false">CL24</f>
        <v>3</v>
      </c>
      <c r="CX46" s="1" t="n">
        <v>-76.3426</v>
      </c>
      <c r="CY46" s="2" t="n">
        <f aca="false">CX44</f>
        <v>-56.8573</v>
      </c>
      <c r="CZ46" s="2" t="n">
        <f aca="false">CX42</f>
        <v>-62.1514</v>
      </c>
      <c r="DA46" s="2" t="n">
        <f aca="false">CX40</f>
        <v>-68.3729</v>
      </c>
      <c r="DB46" s="2" t="n">
        <f aca="false">CX38</f>
        <v>-76.2334</v>
      </c>
      <c r="DC46" s="2" t="n">
        <f aca="false">CX36</f>
        <v>-75.7794</v>
      </c>
      <c r="DD46" s="2" t="n">
        <f aca="false">CX34</f>
        <v>-76.173</v>
      </c>
      <c r="DE46" s="2" t="n">
        <f aca="false">CX32</f>
        <v>-72.5026</v>
      </c>
      <c r="DF46" s="2" t="n">
        <f aca="false">CX30</f>
        <v>-71.8781</v>
      </c>
      <c r="DG46" s="2" t="n">
        <f aca="false">CX28</f>
        <v>-51.7021</v>
      </c>
      <c r="DH46" s="2" t="n">
        <f aca="false">CX26</f>
        <v>-76.5177</v>
      </c>
      <c r="DI46" s="2" t="n">
        <f aca="false">CX24</f>
        <v>-59.9378</v>
      </c>
      <c r="DJ46" s="1" t="s">
        <v>172</v>
      </c>
      <c r="DK46" s="2" t="str">
        <f aca="false">DJ44</f>
        <v>HL</v>
      </c>
      <c r="DL46" s="2" t="str">
        <f aca="false">DJ42</f>
        <v>LL</v>
      </c>
      <c r="DM46" s="2" t="str">
        <f aca="false">DJ40</f>
        <v>HL</v>
      </c>
      <c r="DN46" s="2" t="str">
        <f aca="false">DJ38</f>
        <v>LL</v>
      </c>
      <c r="DO46" s="2" t="str">
        <f aca="false">DJ36</f>
        <v>LL</v>
      </c>
      <c r="DP46" s="2" t="str">
        <f aca="false">DJ34</f>
        <v>LL</v>
      </c>
      <c r="DQ46" s="2" t="str">
        <f aca="false">DJ32</f>
        <v>LL</v>
      </c>
      <c r="DR46" s="2" t="str">
        <f aca="false">DJ30</f>
        <v>LL</v>
      </c>
      <c r="DS46" s="2" t="str">
        <f aca="false">DJ28</f>
        <v>HL</v>
      </c>
      <c r="DT46" s="2" t="str">
        <f aca="false">DJ26</f>
        <v>LL</v>
      </c>
      <c r="DU46" s="2" t="str">
        <f aca="false">DJ24</f>
        <v>LL</v>
      </c>
      <c r="DV46" s="2" t="n">
        <f aca="false">IFERROR((G46-$F46)/$F46*100,"")</f>
        <v>0.684975531996955</v>
      </c>
      <c r="DW46" s="2" t="n">
        <f aca="false">IFERROR((H46-$F46)/$F46*100,"")</f>
        <v>0.107770626398033</v>
      </c>
      <c r="DX46" s="2" t="n">
        <f aca="false">IFERROR((I46-$F46)/$F46*100,"")</f>
        <v>0.158549231679005</v>
      </c>
      <c r="DY46" s="2" t="n">
        <f aca="false">IFERROR((J46-$F46)/$F46*100,"")</f>
        <v>-0.196043982413883</v>
      </c>
      <c r="DZ46" s="2" t="n">
        <f aca="false">IFERROR((K46-$F46)/$F46*100,"")</f>
        <v>-0.064705226982498</v>
      </c>
      <c r="EA46" s="2" t="n">
        <f aca="false">IFERROR((L46-$F46)/$F46*100,"")</f>
        <v>0.362949187113815</v>
      </c>
      <c r="EB46" s="2" t="n">
        <f aca="false">IFERROR((M46-$F46)/$F46*100,"")</f>
        <v>0.55149421938073</v>
      </c>
      <c r="EC46" s="2" t="n">
        <f aca="false">IFERROR((N46-$F46)/$F46*100,"")</f>
        <v>0.578918951346821</v>
      </c>
      <c r="ED46" s="2" t="n">
        <f aca="false">IFERROR((O46-$F46)/$F46*100,"")</f>
        <v>1.21504417952915</v>
      </c>
      <c r="EE46" s="2" t="n">
        <f aca="false">IFERROR((P46-$F46)/$F46*100,"")</f>
        <v>0.0276389876845805</v>
      </c>
      <c r="EF46" s="2" t="n">
        <f aca="false">IFERROR((Q46-$F46)/$F46*100,"")</f>
        <v>2.25954080714414</v>
      </c>
      <c r="EG46" s="2" t="str">
        <f aca="false">IF(DV46="","",IF(AND(ABS(DV46)&lt;=0.25,$E46="Bottom",DK46="LL"),"EQL",IF(AND(ABS(DV46)&lt;=0.25,$E46="Peak",DK46="HH"),"EQH","")))</f>
        <v/>
      </c>
      <c r="EH46" s="2" t="str">
        <f aca="false">IF(DW46="","",IF(AND(ABS(DW46)&lt;=0.25,$E46="Bottom",DL46="LL"),"EQL",IF(AND(ABS(DW46)&lt;=0.25,$E46="Peak",DL46="HH"),"EQH","")))</f>
        <v>EQL</v>
      </c>
      <c r="EI46" s="2" t="str">
        <f aca="false">IF(DX46="","",IF(AND(ABS(DX46)&lt;=0.25,$E46="Bottom",DM46="LL"),"EQL",IF(AND(ABS(DX46)&lt;=0.25,$E46="Peak",DM46="HH"),"EQH","")))</f>
        <v/>
      </c>
      <c r="EJ46" s="2" t="str">
        <f aca="false">IF(DY46="","",IF(AND(ABS(DY46)&lt;=0.25,$E46="Bottom",DN46="LL"),"EQL",IF(AND(ABS(DY46)&lt;=0.25,$E46="Peak",DN46="HH"),"EQH","")))</f>
        <v>EQL</v>
      </c>
      <c r="EK46" s="2" t="str">
        <f aca="false">IF(DZ46="","",IF(AND(ABS(DZ46)&lt;=0.25,$E46="Bottom",DO46="LL"),"EQL",IF(AND(ABS(DZ46)&lt;=0.25,$E46="Peak",DO46="HH"),"EQH","")))</f>
        <v>EQL</v>
      </c>
      <c r="EL46" s="2" t="str">
        <f aca="false">IF(EA46="","",IF(AND(ABS(EA46)&lt;=0.25,$E46="Bottom",DP46="LL"),"EQL",IF(AND(ABS(EA46)&lt;=0.25,$E46="Peak",DP46="HH"),"EQH","")))</f>
        <v/>
      </c>
      <c r="EM46" s="2" t="str">
        <f aca="false">IF(EB46="","",IF(AND(ABS(EB46)&lt;=0.25,$E46="Bottom",DQ46="LL"),"EQL",IF(AND(ABS(EB46)&lt;=0.25,$E46="Peak",DQ46="HH"),"EQH","")))</f>
        <v/>
      </c>
      <c r="EN46" s="2" t="str">
        <f aca="false">IF(EC46="","",IF(AND(ABS(EC46)&lt;=0.25,$E46="Bottom",DR46="LL"),"EQL",IF(AND(ABS(EC46)&lt;=0.25,$E46="Peak",DR46="HH"),"EQH","")))</f>
        <v/>
      </c>
      <c r="EO46" s="2" t="str">
        <f aca="false">IF(ED46="","",IF(AND(ABS(ED46)&lt;=0.25,$E46="Bottom",DS46="LL"),"EQL",IF(AND(ABS(ED46)&lt;=0.25,$E46="Peak",DS46="HH"),"EQH","")))</f>
        <v/>
      </c>
      <c r="EP46" s="2" t="str">
        <f aca="false">IF(EE46="","",IF(AND(ABS(EE46)&lt;=0.25,$E46="Bottom",DT46="LL"),"EQL",IF(AND(ABS(EE46)&lt;=0.25,$E46="Peak",DT46="HH"),"EQH","")))</f>
        <v>EQL</v>
      </c>
      <c r="EQ46" s="2" t="str">
        <f aca="false">IF(EF46="","",IF(AND(ABS(EF46)&lt;=0.25,$E46="Bottom",DU46="LL"),"EQL",IF(AND(ABS(EF46)&lt;=0.25,$E46="Peak",DU46="HH"),"EQH","")))</f>
        <v/>
      </c>
      <c r="ER46" s="2" t="str">
        <f aca="false">IF(OR(EG46="EQL",EG46="EQH"),G46,"")</f>
        <v/>
      </c>
      <c r="ES46" s="2" t="n">
        <f aca="false">IF(OR(EH46="EQL",EH46="EQH"),H46,"")</f>
        <v>4672.35</v>
      </c>
      <c r="ET46" s="2" t="str">
        <f aca="false">IF(OR(EI46="EQL",EI46="EQH"),I46,"")</f>
        <v/>
      </c>
      <c r="EU46" s="2" t="n">
        <f aca="false">IF(OR(EJ46="EQL",EJ46="EQH"),J46,"")</f>
        <v>4658.17</v>
      </c>
      <c r="EV46" s="2" t="n">
        <f aca="false">IF(OR(EK46="EQL",EK46="EQH"),K46,"")</f>
        <v>4664.3</v>
      </c>
      <c r="EW46" s="2" t="str">
        <f aca="false">IF(OR(EL46="EQL",EL46="EQH"),L46,"")</f>
        <v/>
      </c>
      <c r="EX46" s="2" t="str">
        <f aca="false">IF(OR(EM46="EQL",EM46="EQH"),M46,"")</f>
        <v/>
      </c>
      <c r="EY46" s="2" t="str">
        <f aca="false">IF(OR(EN46="EQL",EN46="EQH"),N46,"")</f>
        <v/>
      </c>
      <c r="EZ46" s="2" t="str">
        <f aca="false">IF(OR(EO46="EQL",EO46="EQH"),O46,"")</f>
        <v/>
      </c>
      <c r="FA46" s="2" t="n">
        <f aca="false">IF(OR(EP46="EQL",EP46="EQH"),P46,"")</f>
        <v>4668.61</v>
      </c>
      <c r="FB46" s="2" t="str">
        <f aca="false">IF(OR(EQ46="EQL",EQ46="EQH"),Q46,"")</f>
        <v/>
      </c>
      <c r="FC46" s="2" t="str">
        <f aca="false">IF(AND(EG46="EQL",OR(AQ46=4,AQ46=5)),"IEQL",IF(AND(EG46="EQH",OR(AQ46=1,AQ46=2)),"IEQH",""))</f>
        <v/>
      </c>
      <c r="FD46" s="2" t="str">
        <f aca="false">IF(AND(EH46="EQL",OR(AR46=4,AR46=5)),"IEQL",IF(AND(EH46="EQH",OR(AR46=1,AR46=2)),"IEQH",""))</f>
        <v/>
      </c>
      <c r="FE46" s="2" t="str">
        <f aca="false">IF(AND(EI46="EQL",OR(AS46=4,AS46=5)),"IEQL",IF(AND(EI46="EQH",OR(AS46=1,AS46=2)),"IEQH",""))</f>
        <v/>
      </c>
      <c r="FF46" s="2" t="str">
        <f aca="false">IF(AND(EJ46="EQL",OR(AT46=4,AT46=5)),"IEQL",IF(AND(EJ46="EQH",OR(AT46=1,AT46=2)),"IEQH",""))</f>
        <v/>
      </c>
      <c r="FG46" s="2" t="str">
        <f aca="false">IF(AND(EK46="EQL",OR(AU46=4,AU46=5)),"IEQL",IF(AND(EK46="EQH",OR(AU46=1,AU46=2)),"IEQH",""))</f>
        <v/>
      </c>
      <c r="FH46" s="2" t="str">
        <f aca="false">IF(AND(EL46="EQL",OR(AV46=4,AV46=5)),"IEQL",IF(AND(EL46="EQH",OR(AV46=1,AV46=2)),"IEQH",""))</f>
        <v/>
      </c>
      <c r="FI46" s="2" t="str">
        <f aca="false">IF(AND(EM46="EQL",OR(AW46=4,AW46=5)),"IEQL",IF(AND(EM46="EQH",OR(AW46=1,AW46=2)),"IEQH",""))</f>
        <v/>
      </c>
      <c r="FJ46" s="2" t="str">
        <f aca="false">IF(AND(EN46="EQL",OR(AX46=4,AX46=5)),"IEQL",IF(AND(EN46="EQH",OR(AX46=1,AX46=2)),"IEQH",""))</f>
        <v/>
      </c>
      <c r="FK46" s="2" t="str">
        <f aca="false">IF(AND(EO46="EQL",OR(AY46=4,AY46=5)),"IEQL",IF(AND(EO46="EQH",OR(AY46=1,AY46=2)),"IEQH",""))</f>
        <v/>
      </c>
      <c r="FL46" s="2" t="str">
        <f aca="false">IF(AND(EP46="EQL",OR(AZ46=4,AZ46=5)),"IEQL",IF(AND(EP46="EQH",OR(AZ46=1,AZ46=2)),"IEQH",""))</f>
        <v>IEQL</v>
      </c>
      <c r="FM46" s="2" t="str">
        <f aca="false">IF(AND(EQ46="EQL",OR(BA46=4,BA46=5)),"IEQL",IF(AND(EQ46="EQH",OR(BA46=1,BA46=2)),"IEQH",""))</f>
        <v/>
      </c>
    </row>
    <row r="47" customFormat="false" ht="14.25" hidden="false" customHeight="false" outlineLevel="0" collapsed="false">
      <c r="A47" s="1" t="n">
        <v>1777334402</v>
      </c>
      <c r="B47" s="1" t="s">
        <v>169</v>
      </c>
      <c r="C47" s="1" t="s">
        <v>170</v>
      </c>
      <c r="D47" s="1" t="n">
        <v>4697.91</v>
      </c>
      <c r="E47" s="1" t="s">
        <v>173</v>
      </c>
      <c r="F47" s="1" t="n">
        <v>4701.14</v>
      </c>
      <c r="G47" s="2" t="n">
        <f aca="false">F45</f>
        <v>4712.59</v>
      </c>
      <c r="H47" s="2" t="n">
        <f aca="false">F43</f>
        <v>4729.92</v>
      </c>
      <c r="I47" s="2" t="n">
        <f aca="false">F41</f>
        <v>4740.49</v>
      </c>
      <c r="J47" s="2" t="n">
        <f aca="false">F39</f>
        <v>4697.42</v>
      </c>
      <c r="K47" s="2" t="n">
        <f aca="false">F37</f>
        <v>4711.23</v>
      </c>
      <c r="L47" s="2" t="n">
        <f aca="false">F35</f>
        <v>4743.22</v>
      </c>
      <c r="M47" s="2" t="n">
        <f aca="false">F33</f>
        <v>4724.89</v>
      </c>
      <c r="N47" s="2" t="n">
        <f aca="false">F31</f>
        <v>4753.33</v>
      </c>
      <c r="O47" s="2" t="n">
        <f aca="false">F29</f>
        <v>4749.34</v>
      </c>
      <c r="P47" s="2" t="n">
        <f aca="false">F27</f>
        <v>4772.15</v>
      </c>
      <c r="Q47" s="2" t="n">
        <f aca="false">F25</f>
        <v>4797.91</v>
      </c>
      <c r="R47" s="1" t="n">
        <v>33.82</v>
      </c>
      <c r="S47" s="2" t="n">
        <f aca="false">R45</f>
        <v>13.3</v>
      </c>
      <c r="T47" s="2" t="n">
        <f aca="false">R43</f>
        <v>57.57</v>
      </c>
      <c r="U47" s="2" t="n">
        <f aca="false">R41</f>
        <v>65.77</v>
      </c>
      <c r="V47" s="2" t="n">
        <f aca="false">R39</f>
        <v>39.25</v>
      </c>
      <c r="W47" s="2" t="n">
        <f aca="false">R37</f>
        <v>46.93</v>
      </c>
      <c r="X47" s="2" t="n">
        <f aca="false">R35</f>
        <v>58.96</v>
      </c>
      <c r="Y47" s="2" t="n">
        <f aca="false">R33</f>
        <v>31.83</v>
      </c>
      <c r="Z47" s="2" t="n">
        <f aca="false">R31</f>
        <v>58.99</v>
      </c>
      <c r="AA47" s="2" t="n">
        <f aca="false">R29</f>
        <v>25.31</v>
      </c>
      <c r="AB47" s="2" t="n">
        <f aca="false">R27</f>
        <v>103.54</v>
      </c>
      <c r="AC47" s="2" t="n">
        <f aca="false">R25</f>
        <v>25.13</v>
      </c>
      <c r="AD47" s="1" t="n">
        <v>0.72</v>
      </c>
      <c r="AE47" s="2" t="n">
        <f aca="false">AD45</f>
        <v>0.28</v>
      </c>
      <c r="AF47" s="2" t="n">
        <f aca="false">AD43</f>
        <v>1.23</v>
      </c>
      <c r="AG47" s="2" t="n">
        <f aca="false">AD41</f>
        <v>1.41</v>
      </c>
      <c r="AH47" s="2" t="n">
        <f aca="false">AD39</f>
        <v>0.84</v>
      </c>
      <c r="AI47" s="2" t="n">
        <f aca="false">AD37</f>
        <v>1.01</v>
      </c>
      <c r="AJ47" s="2" t="n">
        <f aca="false">AD35</f>
        <v>1.26</v>
      </c>
      <c r="AK47" s="2" t="n">
        <f aca="false">AD33</f>
        <v>0.68</v>
      </c>
      <c r="AL47" s="2" t="n">
        <f aca="false">AD31</f>
        <v>1.26</v>
      </c>
      <c r="AM47" s="2" t="n">
        <f aca="false">AD29</f>
        <v>0.54</v>
      </c>
      <c r="AN47" s="2" t="n">
        <f aca="false">AD27</f>
        <v>2.22</v>
      </c>
      <c r="AO47" s="2" t="n">
        <f aca="false">AD25</f>
        <v>0.53</v>
      </c>
      <c r="AP47" s="1" t="n">
        <v>0</v>
      </c>
      <c r="AQ47" s="2" t="n">
        <f aca="false">AP45</f>
        <v>0</v>
      </c>
      <c r="AR47" s="2" t="n">
        <f aca="false">AP43</f>
        <v>0</v>
      </c>
      <c r="AS47" s="2" t="n">
        <f aca="false">AP41</f>
        <v>0</v>
      </c>
      <c r="AT47" s="2" t="n">
        <f aca="false">AP39</f>
        <v>0</v>
      </c>
      <c r="AU47" s="2" t="n">
        <f aca="false">AP37</f>
        <v>0</v>
      </c>
      <c r="AV47" s="2" t="n">
        <f aca="false">AP35</f>
        <v>0</v>
      </c>
      <c r="AW47" s="2" t="n">
        <f aca="false">AP33</f>
        <v>0</v>
      </c>
      <c r="AX47" s="2" t="n">
        <f aca="false">AP31</f>
        <v>0</v>
      </c>
      <c r="AY47" s="2" t="n">
        <f aca="false">AP29</f>
        <v>0</v>
      </c>
      <c r="AZ47" s="2" t="n">
        <f aca="false">AP27</f>
        <v>1</v>
      </c>
      <c r="BA47" s="2" t="n">
        <f aca="false">AP25</f>
        <v>0</v>
      </c>
      <c r="BB47" s="1" t="n">
        <v>32</v>
      </c>
      <c r="BC47" s="2" t="n">
        <f aca="false">BB45</f>
        <v>11</v>
      </c>
      <c r="BD47" s="2" t="n">
        <f aca="false">BB43</f>
        <v>18</v>
      </c>
      <c r="BE47" s="2" t="n">
        <f aca="false">BB41</f>
        <v>14</v>
      </c>
      <c r="BF47" s="2" t="n">
        <f aca="false">BB39</f>
        <v>15</v>
      </c>
      <c r="BG47" s="2" t="n">
        <f aca="false">BB37</f>
        <v>26</v>
      </c>
      <c r="BH47" s="2" t="n">
        <f aca="false">BB35</f>
        <v>9</v>
      </c>
      <c r="BI47" s="2" t="n">
        <f aca="false">BB33</f>
        <v>10</v>
      </c>
      <c r="BJ47" s="2" t="n">
        <f aca="false">BB31</f>
        <v>2</v>
      </c>
      <c r="BK47" s="2" t="n">
        <f aca="false">BB29</f>
        <v>9</v>
      </c>
      <c r="BL47" s="2" t="n">
        <f aca="false">BB27</f>
        <v>42</v>
      </c>
      <c r="BM47" s="2" t="n">
        <f aca="false">BB25</f>
        <v>19</v>
      </c>
      <c r="BN47" s="1" t="n">
        <v>0</v>
      </c>
      <c r="BO47" s="2" t="n">
        <f aca="false">BN45</f>
        <v>0</v>
      </c>
      <c r="BP47" s="2" t="n">
        <f aca="false">BN43</f>
        <v>0</v>
      </c>
      <c r="BQ47" s="2" t="n">
        <f aca="false">BN41</f>
        <v>0</v>
      </c>
      <c r="BR47" s="2" t="n">
        <f aca="false">BN39</f>
        <v>0</v>
      </c>
      <c r="BS47" s="2" t="n">
        <f aca="false">BN37</f>
        <v>0</v>
      </c>
      <c r="BT47" s="2" t="n">
        <f aca="false">BN35</f>
        <v>0</v>
      </c>
      <c r="BU47" s="2" t="n">
        <f aca="false">BN33</f>
        <v>0</v>
      </c>
      <c r="BV47" s="2" t="n">
        <f aca="false">BN31</f>
        <v>0</v>
      </c>
      <c r="BW47" s="2" t="n">
        <f aca="false">BN29</f>
        <v>0</v>
      </c>
      <c r="BX47" s="2" t="n">
        <f aca="false">BN27</f>
        <v>1</v>
      </c>
      <c r="BY47" s="2" t="n">
        <f aca="false">BN25</f>
        <v>0</v>
      </c>
      <c r="BZ47" s="1" t="n">
        <v>1.05688</v>
      </c>
      <c r="CA47" s="2" t="n">
        <f aca="false">BZ45</f>
        <v>1.20909</v>
      </c>
      <c r="CB47" s="2" t="n">
        <f aca="false">BZ43</f>
        <v>3.19833</v>
      </c>
      <c r="CC47" s="2" t="n">
        <f aca="false">BZ41</f>
        <v>4.69786</v>
      </c>
      <c r="CD47" s="2" t="n">
        <f aca="false">BZ39</f>
        <v>2.61667</v>
      </c>
      <c r="CE47" s="2" t="n">
        <f aca="false">BZ37</f>
        <v>1.805</v>
      </c>
      <c r="CF47" s="2" t="n">
        <f aca="false">BZ35</f>
        <v>6.55111</v>
      </c>
      <c r="CG47" s="2" t="n">
        <f aca="false">BZ33</f>
        <v>3.183</v>
      </c>
      <c r="CH47" s="2" t="n">
        <f aca="false">BZ31</f>
        <v>29.495</v>
      </c>
      <c r="CI47" s="2" t="n">
        <f aca="false">BZ29</f>
        <v>2.81222</v>
      </c>
      <c r="CJ47" s="2" t="n">
        <f aca="false">BZ27</f>
        <v>2.46524</v>
      </c>
      <c r="CK47" s="2" t="n">
        <f aca="false">BZ25</f>
        <v>1.32263</v>
      </c>
      <c r="CL47" s="1" t="n">
        <v>0</v>
      </c>
      <c r="CM47" s="2" t="n">
        <f aca="false">CL45</f>
        <v>0</v>
      </c>
      <c r="CN47" s="2" t="n">
        <f aca="false">CL43</f>
        <v>0</v>
      </c>
      <c r="CO47" s="2" t="n">
        <f aca="false">CL41</f>
        <v>0</v>
      </c>
      <c r="CP47" s="2" t="n">
        <f aca="false">CL39</f>
        <v>0</v>
      </c>
      <c r="CQ47" s="2" t="n">
        <f aca="false">CL37</f>
        <v>0</v>
      </c>
      <c r="CR47" s="2" t="n">
        <f aca="false">CL35</f>
        <v>0</v>
      </c>
      <c r="CS47" s="2" t="n">
        <f aca="false">CL33</f>
        <v>0</v>
      </c>
      <c r="CT47" s="2" t="n">
        <f aca="false">CL31</f>
        <v>2</v>
      </c>
      <c r="CU47" s="2" t="n">
        <f aca="false">CL29</f>
        <v>0</v>
      </c>
      <c r="CV47" s="2" t="n">
        <f aca="false">CL27</f>
        <v>0</v>
      </c>
      <c r="CW47" s="2" t="n">
        <f aca="false">CL25</f>
        <v>0</v>
      </c>
      <c r="CX47" s="1" t="n">
        <v>46.5839</v>
      </c>
      <c r="CY47" s="2" t="n">
        <f aca="false">CX45</f>
        <v>50.4069</v>
      </c>
      <c r="CZ47" s="2" t="n">
        <f aca="false">CX43</f>
        <v>72.6375</v>
      </c>
      <c r="DA47" s="2" t="n">
        <f aca="false">CX41</f>
        <v>77.9832</v>
      </c>
      <c r="DB47" s="2" t="n">
        <f aca="false">CX39</f>
        <v>69.0849</v>
      </c>
      <c r="DC47" s="2" t="n">
        <f aca="false">CX37</f>
        <v>61.0128</v>
      </c>
      <c r="DD47" s="2" t="n">
        <f aca="false">CX35</f>
        <v>81.321</v>
      </c>
      <c r="DE47" s="2" t="n">
        <f aca="false">CX33</f>
        <v>72.5589</v>
      </c>
      <c r="DF47" s="2" t="n">
        <f aca="false">CX31</f>
        <v>88.0582</v>
      </c>
      <c r="DG47" s="2" t="n">
        <f aca="false">CX29</f>
        <v>70.4251</v>
      </c>
      <c r="DH47" s="2" t="n">
        <f aca="false">CX27</f>
        <v>67.9205</v>
      </c>
      <c r="DI47" s="2" t="n">
        <f aca="false">CX25</f>
        <v>52.9082</v>
      </c>
      <c r="DJ47" s="1" t="s">
        <v>174</v>
      </c>
      <c r="DK47" s="2" t="str">
        <f aca="false">DJ45</f>
        <v>LH</v>
      </c>
      <c r="DL47" s="2" t="str">
        <f aca="false">DJ43</f>
        <v>LH</v>
      </c>
      <c r="DM47" s="2" t="str">
        <f aca="false">DJ41</f>
        <v>HH</v>
      </c>
      <c r="DN47" s="2" t="str">
        <f aca="false">DJ39</f>
        <v>LH</v>
      </c>
      <c r="DO47" s="2" t="str">
        <f aca="false">DJ37</f>
        <v>LH</v>
      </c>
      <c r="DP47" s="2" t="str">
        <f aca="false">DJ35</f>
        <v>HH</v>
      </c>
      <c r="DQ47" s="2" t="str">
        <f aca="false">DJ33</f>
        <v>LH</v>
      </c>
      <c r="DR47" s="2" t="str">
        <f aca="false">DJ31</f>
        <v>HH</v>
      </c>
      <c r="DS47" s="2" t="str">
        <f aca="false">DJ29</f>
        <v>LH</v>
      </c>
      <c r="DT47" s="2" t="str">
        <f aca="false">DJ27</f>
        <v>LH</v>
      </c>
      <c r="DU47" s="2" t="str">
        <f aca="false">DJ25</f>
        <v>LH</v>
      </c>
      <c r="DV47" s="2" t="n">
        <f aca="false">IFERROR((G47-$F47)/$F47*100,"")</f>
        <v>0.243557945519594</v>
      </c>
      <c r="DW47" s="2" t="n">
        <f aca="false">IFERROR((H47-$F47)/$F47*100,"")</f>
        <v>0.612191936423926</v>
      </c>
      <c r="DX47" s="2" t="n">
        <f aca="false">IFERROR((I47-$F47)/$F47*100,"")</f>
        <v>0.837031018008386</v>
      </c>
      <c r="DY47" s="2" t="n">
        <f aca="false">IFERROR((J47-$F47)/$F47*100,"")</f>
        <v>-0.0791297429985122</v>
      </c>
      <c r="DZ47" s="2" t="n">
        <f aca="false">IFERROR((K47-$F47)/$F47*100,"")</f>
        <v>0.214628792165288</v>
      </c>
      <c r="EA47" s="2" t="n">
        <f aca="false">IFERROR((L47-$F47)/$F47*100,"")</f>
        <v>0.895102039079881</v>
      </c>
      <c r="EB47" s="2" t="n">
        <f aca="false">IFERROR((M47-$F47)/$F47*100,"")</f>
        <v>0.505196611885628</v>
      </c>
      <c r="EC47" s="2" t="n">
        <f aca="false">IFERROR((N47-$F47)/$F47*100,"")</f>
        <v>1.11015625997098</v>
      </c>
      <c r="ED47" s="2" t="n">
        <f aca="false">IFERROR((O47-$F47)/$F47*100,"")</f>
        <v>1.0252832291742</v>
      </c>
      <c r="EE47" s="2" t="n">
        <f aca="false">IFERROR((P47-$F47)/$F47*100,"")</f>
        <v>1.51048469094729</v>
      </c>
      <c r="EF47" s="2" t="n">
        <f aca="false">IFERROR((Q47-$F47)/$F47*100,"")</f>
        <v>2.05843688977566</v>
      </c>
      <c r="EG47" s="2" t="str">
        <f aca="false">IF(DV47="","",IF(AND(ABS(DV47)&lt;=0.25,$E47="Bottom",DK47="LL"),"EQL",IF(AND(ABS(DV47)&lt;=0.25,$E47="Peak",DK47="HH"),"EQH","")))</f>
        <v/>
      </c>
      <c r="EH47" s="2" t="str">
        <f aca="false">IF(DW47="","",IF(AND(ABS(DW47)&lt;=0.25,$E47="Bottom",DL47="LL"),"EQL",IF(AND(ABS(DW47)&lt;=0.25,$E47="Peak",DL47="HH"),"EQH","")))</f>
        <v/>
      </c>
      <c r="EI47" s="2" t="str">
        <f aca="false">IF(DX47="","",IF(AND(ABS(DX47)&lt;=0.25,$E47="Bottom",DM47="LL"),"EQL",IF(AND(ABS(DX47)&lt;=0.25,$E47="Peak",DM47="HH"),"EQH","")))</f>
        <v/>
      </c>
      <c r="EJ47" s="2" t="str">
        <f aca="false">IF(DY47="","",IF(AND(ABS(DY47)&lt;=0.25,$E47="Bottom",DN47="LL"),"EQL",IF(AND(ABS(DY47)&lt;=0.25,$E47="Peak",DN47="HH"),"EQH","")))</f>
        <v/>
      </c>
      <c r="EK47" s="2" t="str">
        <f aca="false">IF(DZ47="","",IF(AND(ABS(DZ47)&lt;=0.25,$E47="Bottom",DO47="LL"),"EQL",IF(AND(ABS(DZ47)&lt;=0.25,$E47="Peak",DO47="HH"),"EQH","")))</f>
        <v/>
      </c>
      <c r="EL47" s="2" t="str">
        <f aca="false">IF(EA47="","",IF(AND(ABS(EA47)&lt;=0.25,$E47="Bottom",DP47="LL"),"EQL",IF(AND(ABS(EA47)&lt;=0.25,$E47="Peak",DP47="HH"),"EQH","")))</f>
        <v/>
      </c>
      <c r="EM47" s="2" t="str">
        <f aca="false">IF(EB47="","",IF(AND(ABS(EB47)&lt;=0.25,$E47="Bottom",DQ47="LL"),"EQL",IF(AND(ABS(EB47)&lt;=0.25,$E47="Peak",DQ47="HH"),"EQH","")))</f>
        <v/>
      </c>
      <c r="EN47" s="2" t="str">
        <f aca="false">IF(EC47="","",IF(AND(ABS(EC47)&lt;=0.25,$E47="Bottom",DR47="LL"),"EQL",IF(AND(ABS(EC47)&lt;=0.25,$E47="Peak",DR47="HH"),"EQH","")))</f>
        <v/>
      </c>
      <c r="EO47" s="2" t="str">
        <f aca="false">IF(ED47="","",IF(AND(ABS(ED47)&lt;=0.25,$E47="Bottom",DS47="LL"),"EQL",IF(AND(ABS(ED47)&lt;=0.25,$E47="Peak",DS47="HH"),"EQH","")))</f>
        <v/>
      </c>
      <c r="EP47" s="2" t="str">
        <f aca="false">IF(EE47="","",IF(AND(ABS(EE47)&lt;=0.25,$E47="Bottom",DT47="LL"),"EQL",IF(AND(ABS(EE47)&lt;=0.25,$E47="Peak",DT47="HH"),"EQH","")))</f>
        <v/>
      </c>
      <c r="EQ47" s="2" t="str">
        <f aca="false">IF(EF47="","",IF(AND(ABS(EF47)&lt;=0.25,$E47="Bottom",DU47="LL"),"EQL",IF(AND(ABS(EF47)&lt;=0.25,$E47="Peak",DU47="HH"),"EQH","")))</f>
        <v/>
      </c>
      <c r="ER47" s="2" t="str">
        <f aca="false">IF(OR(EG47="EQL",EG47="EQH"),G47,"")</f>
        <v/>
      </c>
      <c r="ES47" s="2" t="str">
        <f aca="false">IF(OR(EH47="EQL",EH47="EQH"),H47,"")</f>
        <v/>
      </c>
      <c r="ET47" s="2" t="str">
        <f aca="false">IF(OR(EI47="EQL",EI47="EQH"),I47,"")</f>
        <v/>
      </c>
      <c r="EU47" s="2" t="str">
        <f aca="false">IF(OR(EJ47="EQL",EJ47="EQH"),J47,"")</f>
        <v/>
      </c>
      <c r="EV47" s="2" t="str">
        <f aca="false">IF(OR(EK47="EQL",EK47="EQH"),K47,"")</f>
        <v/>
      </c>
      <c r="EW47" s="2" t="str">
        <f aca="false">IF(OR(EL47="EQL",EL47="EQH"),L47,"")</f>
        <v/>
      </c>
      <c r="EX47" s="2" t="str">
        <f aca="false">IF(OR(EM47="EQL",EM47="EQH"),M47,"")</f>
        <v/>
      </c>
      <c r="EY47" s="2" t="str">
        <f aca="false">IF(OR(EN47="EQL",EN47="EQH"),N47,"")</f>
        <v/>
      </c>
      <c r="EZ47" s="2" t="str">
        <f aca="false">IF(OR(EO47="EQL",EO47="EQH"),O47,"")</f>
        <v/>
      </c>
      <c r="FA47" s="2" t="str">
        <f aca="false">IF(OR(EP47="EQL",EP47="EQH"),P47,"")</f>
        <v/>
      </c>
      <c r="FB47" s="2" t="str">
        <f aca="false">IF(OR(EQ47="EQL",EQ47="EQH"),Q47,"")</f>
        <v/>
      </c>
      <c r="FC47" s="2" t="str">
        <f aca="false">IF(AND(EG47="EQL",OR(AQ47=4,AQ47=5)),"IEQL",IF(AND(EG47="EQH",OR(AQ47=1,AQ47=2)),"IEQH",""))</f>
        <v/>
      </c>
      <c r="FD47" s="2" t="str">
        <f aca="false">IF(AND(EH47="EQL",OR(AR47=4,AR47=5)),"IEQL",IF(AND(EH47="EQH",OR(AR47=1,AR47=2)),"IEQH",""))</f>
        <v/>
      </c>
      <c r="FE47" s="2" t="str">
        <f aca="false">IF(AND(EI47="EQL",OR(AS47=4,AS47=5)),"IEQL",IF(AND(EI47="EQH",OR(AS47=1,AS47=2)),"IEQH",""))</f>
        <v/>
      </c>
      <c r="FF47" s="2" t="str">
        <f aca="false">IF(AND(EJ47="EQL",OR(AT47=4,AT47=5)),"IEQL",IF(AND(EJ47="EQH",OR(AT47=1,AT47=2)),"IEQH",""))</f>
        <v/>
      </c>
      <c r="FG47" s="2" t="str">
        <f aca="false">IF(AND(EK47="EQL",OR(AU47=4,AU47=5)),"IEQL",IF(AND(EK47="EQH",OR(AU47=1,AU47=2)),"IEQH",""))</f>
        <v/>
      </c>
      <c r="FH47" s="2" t="str">
        <f aca="false">IF(AND(EL47="EQL",OR(AV47=4,AV47=5)),"IEQL",IF(AND(EL47="EQH",OR(AV47=1,AV47=2)),"IEQH",""))</f>
        <v/>
      </c>
      <c r="FI47" s="2" t="str">
        <f aca="false">IF(AND(EM47="EQL",OR(AW47=4,AW47=5)),"IEQL",IF(AND(EM47="EQH",OR(AW47=1,AW47=2)),"IEQH",""))</f>
        <v/>
      </c>
      <c r="FJ47" s="2" t="str">
        <f aca="false">IF(AND(EN47="EQL",OR(AX47=4,AX47=5)),"IEQL",IF(AND(EN47="EQH",OR(AX47=1,AX47=2)),"IEQH",""))</f>
        <v/>
      </c>
      <c r="FK47" s="2" t="str">
        <f aca="false">IF(AND(EO47="EQL",OR(AY47=4,AY47=5)),"IEQL",IF(AND(EO47="EQH",OR(AY47=1,AY47=2)),"IEQH",""))</f>
        <v/>
      </c>
      <c r="FL47" s="2" t="str">
        <f aca="false">IF(AND(EP47="EQL",OR(AZ47=4,AZ47=5)),"IEQL",IF(AND(EP47="EQH",OR(AZ47=1,AZ47=2)),"IEQH",""))</f>
        <v/>
      </c>
      <c r="FM47" s="2" t="str">
        <f aca="false">IF(AND(EQ47="EQL",OR(BA47=4,BA47=5)),"IEQL",IF(AND(EQ47="EQH",OR(BA47=1,BA47=2)),"IEQH",""))</f>
        <v/>
      </c>
    </row>
    <row r="48" customFormat="false" ht="14.25" hidden="false" customHeight="false" outlineLevel="0" collapsed="false">
      <c r="A48" s="1" t="n">
        <v>1777377602</v>
      </c>
      <c r="B48" s="1" t="s">
        <v>169</v>
      </c>
      <c r="C48" s="1" t="s">
        <v>170</v>
      </c>
      <c r="D48" s="1" t="n">
        <v>4581.73</v>
      </c>
      <c r="E48" s="1" t="s">
        <v>171</v>
      </c>
      <c r="F48" s="1" t="n">
        <v>4555.12</v>
      </c>
      <c r="G48" s="2" t="n">
        <f aca="false">F46</f>
        <v>4667.32</v>
      </c>
      <c r="H48" s="2" t="n">
        <f aca="false">F44</f>
        <v>4699.29</v>
      </c>
      <c r="I48" s="2" t="n">
        <f aca="false">F42</f>
        <v>4672.35</v>
      </c>
      <c r="J48" s="2" t="n">
        <f aca="false">F40</f>
        <v>4674.72</v>
      </c>
      <c r="K48" s="2" t="n">
        <f aca="false">F38</f>
        <v>4658.17</v>
      </c>
      <c r="L48" s="2" t="n">
        <f aca="false">F36</f>
        <v>4664.3</v>
      </c>
      <c r="M48" s="2" t="n">
        <f aca="false">F34</f>
        <v>4684.26</v>
      </c>
      <c r="N48" s="2" t="n">
        <f aca="false">F32</f>
        <v>4693.06</v>
      </c>
      <c r="O48" s="2" t="n">
        <f aca="false">F30</f>
        <v>4694.34</v>
      </c>
      <c r="P48" s="2" t="n">
        <f aca="false">F28</f>
        <v>4724.03</v>
      </c>
      <c r="Q48" s="2" t="n">
        <f aca="false">F26</f>
        <v>4668.61</v>
      </c>
      <c r="R48" s="1" t="n">
        <v>-146.02</v>
      </c>
      <c r="S48" s="2" t="n">
        <f aca="false">R46</f>
        <v>-45.27</v>
      </c>
      <c r="T48" s="2" t="n">
        <f aca="false">R44</f>
        <v>-30.63</v>
      </c>
      <c r="U48" s="2" t="n">
        <f aca="false">R42</f>
        <v>-68.14</v>
      </c>
      <c r="V48" s="2" t="n">
        <f aca="false">R40</f>
        <v>-22.7</v>
      </c>
      <c r="W48" s="2" t="n">
        <f aca="false">R38</f>
        <v>-53.06</v>
      </c>
      <c r="X48" s="2" t="n">
        <f aca="false">R36</f>
        <v>-78.92</v>
      </c>
      <c r="Y48" s="2" t="n">
        <f aca="false">R34</f>
        <v>-40.63</v>
      </c>
      <c r="Z48" s="2" t="n">
        <f aca="false">R32</f>
        <v>-60.27</v>
      </c>
      <c r="AA48" s="2" t="n">
        <f aca="false">R30</f>
        <v>-55</v>
      </c>
      <c r="AB48" s="2" t="n">
        <f aca="false">R28</f>
        <v>-48.12</v>
      </c>
      <c r="AC48" s="2" t="n">
        <f aca="false">R26</f>
        <v>-129.3</v>
      </c>
      <c r="AD48" s="1" t="n">
        <v>-3.11</v>
      </c>
      <c r="AE48" s="2" t="n">
        <f aca="false">AD46</f>
        <v>-0.96</v>
      </c>
      <c r="AF48" s="2" t="n">
        <f aca="false">AD44</f>
        <v>-0.65</v>
      </c>
      <c r="AG48" s="2" t="n">
        <f aca="false">AD42</f>
        <v>-1.44</v>
      </c>
      <c r="AH48" s="2" t="n">
        <f aca="false">AD40</f>
        <v>-0.48</v>
      </c>
      <c r="AI48" s="2" t="n">
        <f aca="false">AD38</f>
        <v>-1.13</v>
      </c>
      <c r="AJ48" s="2" t="n">
        <f aca="false">AD36</f>
        <v>-1.66</v>
      </c>
      <c r="AK48" s="2" t="n">
        <f aca="false">AD34</f>
        <v>-0.86</v>
      </c>
      <c r="AL48" s="2" t="n">
        <f aca="false">AD32</f>
        <v>-1.27</v>
      </c>
      <c r="AM48" s="2" t="n">
        <f aca="false">AD30</f>
        <v>-1.16</v>
      </c>
      <c r="AN48" s="2" t="n">
        <f aca="false">AD28</f>
        <v>-1.01</v>
      </c>
      <c r="AO48" s="2" t="n">
        <f aca="false">AD26</f>
        <v>-2.69</v>
      </c>
      <c r="AP48" s="1" t="n">
        <v>5</v>
      </c>
      <c r="AQ48" s="2" t="n">
        <f aca="false">AP46</f>
        <v>3</v>
      </c>
      <c r="AR48" s="2" t="n">
        <f aca="false">AP44</f>
        <v>3</v>
      </c>
      <c r="AS48" s="2" t="n">
        <f aca="false">AP42</f>
        <v>3</v>
      </c>
      <c r="AT48" s="2" t="n">
        <f aca="false">AP40</f>
        <v>3</v>
      </c>
      <c r="AU48" s="2" t="n">
        <f aca="false">AP38</f>
        <v>3</v>
      </c>
      <c r="AV48" s="2" t="n">
        <f aca="false">AP36</f>
        <v>3</v>
      </c>
      <c r="AW48" s="2" t="n">
        <f aca="false">AP34</f>
        <v>3</v>
      </c>
      <c r="AX48" s="2" t="n">
        <f aca="false">AP32</f>
        <v>3</v>
      </c>
      <c r="AY48" s="2" t="n">
        <f aca="false">AP30</f>
        <v>3</v>
      </c>
      <c r="AZ48" s="2" t="n">
        <f aca="false">AP28</f>
        <v>3</v>
      </c>
      <c r="BA48" s="2" t="n">
        <f aca="false">AP26</f>
        <v>5</v>
      </c>
      <c r="BB48" s="1" t="n">
        <v>48</v>
      </c>
      <c r="BC48" s="2" t="n">
        <f aca="false">BB46</f>
        <v>11</v>
      </c>
      <c r="BD48" s="2" t="n">
        <f aca="false">BB44</f>
        <v>20</v>
      </c>
      <c r="BE48" s="2" t="n">
        <f aca="false">BB42</f>
        <v>36</v>
      </c>
      <c r="BF48" s="2" t="n">
        <f aca="false">BB40</f>
        <v>9</v>
      </c>
      <c r="BG48" s="2" t="n">
        <f aca="false">BB38</f>
        <v>13</v>
      </c>
      <c r="BH48" s="2" t="n">
        <f aca="false">BB36</f>
        <v>20</v>
      </c>
      <c r="BI48" s="2" t="n">
        <f aca="false">BB34</f>
        <v>10</v>
      </c>
      <c r="BJ48" s="2" t="n">
        <f aca="false">BB32</f>
        <v>19</v>
      </c>
      <c r="BK48" s="2" t="n">
        <f aca="false">BB30</f>
        <v>18</v>
      </c>
      <c r="BL48" s="2" t="n">
        <f aca="false">BB28</f>
        <v>38</v>
      </c>
      <c r="BM48" s="2" t="n">
        <f aca="false">BB26</f>
        <v>31</v>
      </c>
      <c r="BN48" s="1" t="n">
        <v>5</v>
      </c>
      <c r="BO48" s="2" t="n">
        <f aca="false">BN46</f>
        <v>3</v>
      </c>
      <c r="BP48" s="2" t="n">
        <f aca="false">BN44</f>
        <v>3</v>
      </c>
      <c r="BQ48" s="2" t="n">
        <f aca="false">BN42</f>
        <v>4</v>
      </c>
      <c r="BR48" s="2" t="n">
        <f aca="false">BN40</f>
        <v>3</v>
      </c>
      <c r="BS48" s="2" t="n">
        <f aca="false">BN38</f>
        <v>3</v>
      </c>
      <c r="BT48" s="2" t="n">
        <f aca="false">BN36</f>
        <v>3</v>
      </c>
      <c r="BU48" s="2" t="n">
        <f aca="false">BN34</f>
        <v>3</v>
      </c>
      <c r="BV48" s="2" t="n">
        <f aca="false">BN32</f>
        <v>3</v>
      </c>
      <c r="BW48" s="2" t="n">
        <f aca="false">BN30</f>
        <v>3</v>
      </c>
      <c r="BX48" s="2" t="n">
        <f aca="false">BN28</f>
        <v>4</v>
      </c>
      <c r="BY48" s="2" t="n">
        <f aca="false">BN26</f>
        <v>3</v>
      </c>
      <c r="BZ48" s="1" t="n">
        <v>-3.04208</v>
      </c>
      <c r="CA48" s="2" t="n">
        <f aca="false">BZ46</f>
        <v>-4.11545</v>
      </c>
      <c r="CB48" s="2" t="n">
        <f aca="false">BZ44</f>
        <v>-1.5315</v>
      </c>
      <c r="CC48" s="2" t="n">
        <f aca="false">BZ42</f>
        <v>-1.89278</v>
      </c>
      <c r="CD48" s="2" t="n">
        <f aca="false">BZ40</f>
        <v>-2.52222</v>
      </c>
      <c r="CE48" s="2" t="n">
        <f aca="false">BZ38</f>
        <v>-4.08154</v>
      </c>
      <c r="CF48" s="2" t="n">
        <f aca="false">BZ36</f>
        <v>-3.946</v>
      </c>
      <c r="CG48" s="2" t="n">
        <f aca="false">BZ34</f>
        <v>-4.063</v>
      </c>
      <c r="CH48" s="2" t="n">
        <f aca="false">BZ32</f>
        <v>-3.17211</v>
      </c>
      <c r="CI48" s="2" t="n">
        <f aca="false">BZ30</f>
        <v>-3.05556</v>
      </c>
      <c r="CJ48" s="2" t="n">
        <f aca="false">BZ28</f>
        <v>-1.26632</v>
      </c>
      <c r="CK48" s="2" t="n">
        <f aca="false">BZ26</f>
        <v>-4.17097</v>
      </c>
      <c r="CL48" s="1" t="n">
        <v>3</v>
      </c>
      <c r="CM48" s="2" t="n">
        <f aca="false">CL46</f>
        <v>3</v>
      </c>
      <c r="CN48" s="2" t="n">
        <f aca="false">CL44</f>
        <v>3</v>
      </c>
      <c r="CO48" s="2" t="n">
        <f aca="false">CL42</f>
        <v>3</v>
      </c>
      <c r="CP48" s="2" t="n">
        <f aca="false">CL40</f>
        <v>3</v>
      </c>
      <c r="CQ48" s="2" t="n">
        <f aca="false">CL38</f>
        <v>3</v>
      </c>
      <c r="CR48" s="2" t="n">
        <f aca="false">CL36</f>
        <v>3</v>
      </c>
      <c r="CS48" s="2" t="n">
        <f aca="false">CL34</f>
        <v>3</v>
      </c>
      <c r="CT48" s="2" t="n">
        <f aca="false">CL32</f>
        <v>3</v>
      </c>
      <c r="CU48" s="2" t="n">
        <f aca="false">CL30</f>
        <v>3</v>
      </c>
      <c r="CV48" s="2" t="n">
        <f aca="false">CL28</f>
        <v>3</v>
      </c>
      <c r="CW48" s="2" t="n">
        <f aca="false">CL26</f>
        <v>3</v>
      </c>
      <c r="CX48" s="1" t="n">
        <v>-71.8032</v>
      </c>
      <c r="CY48" s="2" t="n">
        <f aca="false">CX46</f>
        <v>-76.3426</v>
      </c>
      <c r="CZ48" s="2" t="n">
        <f aca="false">CX44</f>
        <v>-56.8573</v>
      </c>
      <c r="DA48" s="2" t="n">
        <f aca="false">CX42</f>
        <v>-62.1514</v>
      </c>
      <c r="DB48" s="2" t="n">
        <f aca="false">CX40</f>
        <v>-68.3729</v>
      </c>
      <c r="DC48" s="2" t="n">
        <f aca="false">CX38</f>
        <v>-76.2334</v>
      </c>
      <c r="DD48" s="2" t="n">
        <f aca="false">CX36</f>
        <v>-75.7794</v>
      </c>
      <c r="DE48" s="2" t="n">
        <f aca="false">CX34</f>
        <v>-76.173</v>
      </c>
      <c r="DF48" s="2" t="n">
        <f aca="false">CX32</f>
        <v>-72.5026</v>
      </c>
      <c r="DG48" s="2" t="n">
        <f aca="false">CX30</f>
        <v>-71.8781</v>
      </c>
      <c r="DH48" s="2" t="n">
        <f aca="false">CX28</f>
        <v>-51.7021</v>
      </c>
      <c r="DI48" s="2" t="n">
        <f aca="false">CX26</f>
        <v>-76.5177</v>
      </c>
      <c r="DJ48" s="1" t="s">
        <v>172</v>
      </c>
      <c r="DK48" s="2" t="str">
        <f aca="false">DJ46</f>
        <v>LL</v>
      </c>
      <c r="DL48" s="2" t="str">
        <f aca="false">DJ44</f>
        <v>HL</v>
      </c>
      <c r="DM48" s="2" t="str">
        <f aca="false">DJ42</f>
        <v>LL</v>
      </c>
      <c r="DN48" s="2" t="str">
        <f aca="false">DJ40</f>
        <v>HL</v>
      </c>
      <c r="DO48" s="2" t="str">
        <f aca="false">DJ38</f>
        <v>LL</v>
      </c>
      <c r="DP48" s="2" t="str">
        <f aca="false">DJ36</f>
        <v>LL</v>
      </c>
      <c r="DQ48" s="2" t="str">
        <f aca="false">DJ34</f>
        <v>LL</v>
      </c>
      <c r="DR48" s="2" t="str">
        <f aca="false">DJ32</f>
        <v>LL</v>
      </c>
      <c r="DS48" s="2" t="str">
        <f aca="false">DJ30</f>
        <v>LL</v>
      </c>
      <c r="DT48" s="2" t="str">
        <f aca="false">DJ28</f>
        <v>HL</v>
      </c>
      <c r="DU48" s="2" t="str">
        <f aca="false">DJ26</f>
        <v>LL</v>
      </c>
      <c r="DV48" s="2" t="n">
        <f aca="false">IFERROR((G48-$F48)/$F48*100,"")</f>
        <v>2.46316233161804</v>
      </c>
      <c r="DW48" s="2" t="n">
        <f aca="false">IFERROR((H48-$F48)/$F48*100,"")</f>
        <v>3.16500992289995</v>
      </c>
      <c r="DX48" s="2" t="n">
        <f aca="false">IFERROR((I48-$F48)/$F48*100,"")</f>
        <v>2.57358752349006</v>
      </c>
      <c r="DY48" s="2" t="n">
        <f aca="false">IFERROR((J48-$F48)/$F48*100,"")</f>
        <v>2.62561688824884</v>
      </c>
      <c r="DZ48" s="2" t="n">
        <f aca="false">IFERROR((K48-$F48)/$F48*100,"")</f>
        <v>2.26228946767594</v>
      </c>
      <c r="EA48" s="2" t="n">
        <f aca="false">IFERROR((L48-$F48)/$F48*100,"")</f>
        <v>2.39686330985792</v>
      </c>
      <c r="EB48" s="2" t="n">
        <f aca="false">IFERROR((M48-$F48)/$F48*100,"")</f>
        <v>2.83505154639176</v>
      </c>
      <c r="EC48" s="2" t="n">
        <f aca="false">IFERROR((N48-$F48)/$F48*100,"")</f>
        <v>3.02824074887161</v>
      </c>
      <c r="ED48" s="2" t="n">
        <f aca="false">IFERROR((O48-$F48)/$F48*100,"")</f>
        <v>3.05634099650504</v>
      </c>
      <c r="EE48" s="2" t="n">
        <f aca="false">IFERROR((P48-$F48)/$F48*100,"")</f>
        <v>3.70813502168988</v>
      </c>
      <c r="EF48" s="2" t="n">
        <f aca="false">IFERROR((Q48-$F48)/$F48*100,"")</f>
        <v>2.49148211243611</v>
      </c>
      <c r="EG48" s="2" t="str">
        <f aca="false">IF(DV48="","",IF(AND(ABS(DV48)&lt;=0.25,$E48="Bottom",DK48="LL"),"EQL",IF(AND(ABS(DV48)&lt;=0.25,$E48="Peak",DK48="HH"),"EQH","")))</f>
        <v/>
      </c>
      <c r="EH48" s="2" t="str">
        <f aca="false">IF(DW48="","",IF(AND(ABS(DW48)&lt;=0.25,$E48="Bottom",DL48="LL"),"EQL",IF(AND(ABS(DW48)&lt;=0.25,$E48="Peak",DL48="HH"),"EQH","")))</f>
        <v/>
      </c>
      <c r="EI48" s="2" t="str">
        <f aca="false">IF(DX48="","",IF(AND(ABS(DX48)&lt;=0.25,$E48="Bottom",DM48="LL"),"EQL",IF(AND(ABS(DX48)&lt;=0.25,$E48="Peak",DM48="HH"),"EQH","")))</f>
        <v/>
      </c>
      <c r="EJ48" s="2" t="str">
        <f aca="false">IF(DY48="","",IF(AND(ABS(DY48)&lt;=0.25,$E48="Bottom",DN48="LL"),"EQL",IF(AND(ABS(DY48)&lt;=0.25,$E48="Peak",DN48="HH"),"EQH","")))</f>
        <v/>
      </c>
      <c r="EK48" s="2" t="str">
        <f aca="false">IF(DZ48="","",IF(AND(ABS(DZ48)&lt;=0.25,$E48="Bottom",DO48="LL"),"EQL",IF(AND(ABS(DZ48)&lt;=0.25,$E48="Peak",DO48="HH"),"EQH","")))</f>
        <v/>
      </c>
      <c r="EL48" s="2" t="str">
        <f aca="false">IF(EA48="","",IF(AND(ABS(EA48)&lt;=0.25,$E48="Bottom",DP48="LL"),"EQL",IF(AND(ABS(EA48)&lt;=0.25,$E48="Peak",DP48="HH"),"EQH","")))</f>
        <v/>
      </c>
      <c r="EM48" s="2" t="str">
        <f aca="false">IF(EB48="","",IF(AND(ABS(EB48)&lt;=0.25,$E48="Bottom",DQ48="LL"),"EQL",IF(AND(ABS(EB48)&lt;=0.25,$E48="Peak",DQ48="HH"),"EQH","")))</f>
        <v/>
      </c>
      <c r="EN48" s="2" t="str">
        <f aca="false">IF(EC48="","",IF(AND(ABS(EC48)&lt;=0.25,$E48="Bottom",DR48="LL"),"EQL",IF(AND(ABS(EC48)&lt;=0.25,$E48="Peak",DR48="HH"),"EQH","")))</f>
        <v/>
      </c>
      <c r="EO48" s="2" t="str">
        <f aca="false">IF(ED48="","",IF(AND(ABS(ED48)&lt;=0.25,$E48="Bottom",DS48="LL"),"EQL",IF(AND(ABS(ED48)&lt;=0.25,$E48="Peak",DS48="HH"),"EQH","")))</f>
        <v/>
      </c>
      <c r="EP48" s="2" t="str">
        <f aca="false">IF(EE48="","",IF(AND(ABS(EE48)&lt;=0.25,$E48="Bottom",DT48="LL"),"EQL",IF(AND(ABS(EE48)&lt;=0.25,$E48="Peak",DT48="HH"),"EQH","")))</f>
        <v/>
      </c>
      <c r="EQ48" s="2" t="str">
        <f aca="false">IF(EF48="","",IF(AND(ABS(EF48)&lt;=0.25,$E48="Bottom",DU48="LL"),"EQL",IF(AND(ABS(EF48)&lt;=0.25,$E48="Peak",DU48="HH"),"EQH","")))</f>
        <v/>
      </c>
      <c r="ER48" s="2" t="str">
        <f aca="false">IF(OR(EG48="EQL",EG48="EQH"),G48,"")</f>
        <v/>
      </c>
      <c r="ES48" s="2" t="str">
        <f aca="false">IF(OR(EH48="EQL",EH48="EQH"),H48,"")</f>
        <v/>
      </c>
      <c r="ET48" s="2" t="str">
        <f aca="false">IF(OR(EI48="EQL",EI48="EQH"),I48,"")</f>
        <v/>
      </c>
      <c r="EU48" s="2" t="str">
        <f aca="false">IF(OR(EJ48="EQL",EJ48="EQH"),J48,"")</f>
        <v/>
      </c>
      <c r="EV48" s="2" t="str">
        <f aca="false">IF(OR(EK48="EQL",EK48="EQH"),K48,"")</f>
        <v/>
      </c>
      <c r="EW48" s="2" t="str">
        <f aca="false">IF(OR(EL48="EQL",EL48="EQH"),L48,"")</f>
        <v/>
      </c>
      <c r="EX48" s="2" t="str">
        <f aca="false">IF(OR(EM48="EQL",EM48="EQH"),M48,"")</f>
        <v/>
      </c>
      <c r="EY48" s="2" t="str">
        <f aca="false">IF(OR(EN48="EQL",EN48="EQH"),N48,"")</f>
        <v/>
      </c>
      <c r="EZ48" s="2" t="str">
        <f aca="false">IF(OR(EO48="EQL",EO48="EQH"),O48,"")</f>
        <v/>
      </c>
      <c r="FA48" s="2" t="str">
        <f aca="false">IF(OR(EP48="EQL",EP48="EQH"),P48,"")</f>
        <v/>
      </c>
      <c r="FB48" s="2" t="str">
        <f aca="false">IF(OR(EQ48="EQL",EQ48="EQH"),Q48,"")</f>
        <v/>
      </c>
      <c r="FC48" s="2" t="str">
        <f aca="false">IF(AND(EG48="EQL",OR(AQ48=4,AQ48=5)),"IEQL",IF(AND(EG48="EQH",OR(AQ48=1,AQ48=2)),"IEQH",""))</f>
        <v/>
      </c>
      <c r="FD48" s="2" t="str">
        <f aca="false">IF(AND(EH48="EQL",OR(AR48=4,AR48=5)),"IEQL",IF(AND(EH48="EQH",OR(AR48=1,AR48=2)),"IEQH",""))</f>
        <v/>
      </c>
      <c r="FE48" s="2" t="str">
        <f aca="false">IF(AND(EI48="EQL",OR(AS48=4,AS48=5)),"IEQL",IF(AND(EI48="EQH",OR(AS48=1,AS48=2)),"IEQH",""))</f>
        <v/>
      </c>
      <c r="FF48" s="2" t="str">
        <f aca="false">IF(AND(EJ48="EQL",OR(AT48=4,AT48=5)),"IEQL",IF(AND(EJ48="EQH",OR(AT48=1,AT48=2)),"IEQH",""))</f>
        <v/>
      </c>
      <c r="FG48" s="2" t="str">
        <f aca="false">IF(AND(EK48="EQL",OR(AU48=4,AU48=5)),"IEQL",IF(AND(EK48="EQH",OR(AU48=1,AU48=2)),"IEQH",""))</f>
        <v/>
      </c>
      <c r="FH48" s="2" t="str">
        <f aca="false">IF(AND(EL48="EQL",OR(AV48=4,AV48=5)),"IEQL",IF(AND(EL48="EQH",OR(AV48=1,AV48=2)),"IEQH",""))</f>
        <v/>
      </c>
      <c r="FI48" s="2" t="str">
        <f aca="false">IF(AND(EM48="EQL",OR(AW48=4,AW48=5)),"IEQL",IF(AND(EM48="EQH",OR(AW48=1,AW48=2)),"IEQH",""))</f>
        <v/>
      </c>
      <c r="FJ48" s="2" t="str">
        <f aca="false">IF(AND(EN48="EQL",OR(AX48=4,AX48=5)),"IEQL",IF(AND(EN48="EQH",OR(AX48=1,AX48=2)),"IEQH",""))</f>
        <v/>
      </c>
      <c r="FK48" s="2" t="str">
        <f aca="false">IF(AND(EO48="EQL",OR(AY48=4,AY48=5)),"IEQL",IF(AND(EO48="EQH",OR(AY48=1,AY48=2)),"IEQH",""))</f>
        <v/>
      </c>
      <c r="FL48" s="2" t="str">
        <f aca="false">IF(AND(EP48="EQL",OR(AZ48=4,AZ48=5)),"IEQL",IF(AND(EP48="EQH",OR(AZ48=1,AZ48=2)),"IEQH",""))</f>
        <v/>
      </c>
      <c r="FM48" s="2" t="str">
        <f aca="false">IF(AND(EQ48="EQL",OR(BA48=4,BA48=5)),"IEQL",IF(AND(EQ48="EQH",OR(BA48=1,BA48=2)),"IEQH",""))</f>
        <v/>
      </c>
    </row>
    <row r="49" customFormat="false" ht="14.25" hidden="false" customHeight="false" outlineLevel="0" collapsed="false">
      <c r="A49" s="1" t="n">
        <v>1777397402</v>
      </c>
      <c r="B49" s="1" t="s">
        <v>169</v>
      </c>
      <c r="C49" s="1" t="s">
        <v>170</v>
      </c>
      <c r="D49" s="1" t="n">
        <v>4599.02</v>
      </c>
      <c r="E49" s="1" t="s">
        <v>173</v>
      </c>
      <c r="F49" s="1" t="n">
        <v>4601.49</v>
      </c>
      <c r="G49" s="2" t="n">
        <f aca="false">F47</f>
        <v>4701.14</v>
      </c>
      <c r="H49" s="2" t="n">
        <f aca="false">F45</f>
        <v>4712.59</v>
      </c>
      <c r="I49" s="2" t="n">
        <f aca="false">F43</f>
        <v>4729.92</v>
      </c>
      <c r="J49" s="2" t="n">
        <f aca="false">F41</f>
        <v>4740.49</v>
      </c>
      <c r="K49" s="2" t="n">
        <f aca="false">F39</f>
        <v>4697.42</v>
      </c>
      <c r="L49" s="2" t="n">
        <f aca="false">F37</f>
        <v>4711.23</v>
      </c>
      <c r="M49" s="2" t="n">
        <f aca="false">F35</f>
        <v>4743.22</v>
      </c>
      <c r="N49" s="2" t="n">
        <f aca="false">F33</f>
        <v>4724.89</v>
      </c>
      <c r="O49" s="2" t="n">
        <f aca="false">F31</f>
        <v>4753.33</v>
      </c>
      <c r="P49" s="2" t="n">
        <f aca="false">F29</f>
        <v>4749.34</v>
      </c>
      <c r="Q49" s="2" t="n">
        <f aca="false">F27</f>
        <v>4772.15</v>
      </c>
      <c r="R49" s="1" t="n">
        <v>46.37</v>
      </c>
      <c r="S49" s="2" t="n">
        <f aca="false">R47</f>
        <v>33.82</v>
      </c>
      <c r="T49" s="2" t="n">
        <f aca="false">R45</f>
        <v>13.3</v>
      </c>
      <c r="U49" s="2" t="n">
        <f aca="false">R43</f>
        <v>57.57</v>
      </c>
      <c r="V49" s="2" t="n">
        <f aca="false">R41</f>
        <v>65.77</v>
      </c>
      <c r="W49" s="2" t="n">
        <f aca="false">R39</f>
        <v>39.25</v>
      </c>
      <c r="X49" s="2" t="n">
        <f aca="false">R37</f>
        <v>46.93</v>
      </c>
      <c r="Y49" s="2" t="n">
        <f aca="false">R35</f>
        <v>58.96</v>
      </c>
      <c r="Z49" s="2" t="n">
        <f aca="false">R33</f>
        <v>31.83</v>
      </c>
      <c r="AA49" s="2" t="n">
        <f aca="false">R31</f>
        <v>58.99</v>
      </c>
      <c r="AB49" s="2" t="n">
        <f aca="false">R29</f>
        <v>25.31</v>
      </c>
      <c r="AC49" s="2" t="n">
        <f aca="false">R27</f>
        <v>103.54</v>
      </c>
      <c r="AD49" s="1" t="n">
        <v>1.02</v>
      </c>
      <c r="AE49" s="2" t="n">
        <f aca="false">AD47</f>
        <v>0.72</v>
      </c>
      <c r="AF49" s="2" t="n">
        <f aca="false">AD45</f>
        <v>0.28</v>
      </c>
      <c r="AG49" s="2" t="n">
        <f aca="false">AD43</f>
        <v>1.23</v>
      </c>
      <c r="AH49" s="2" t="n">
        <f aca="false">AD41</f>
        <v>1.41</v>
      </c>
      <c r="AI49" s="2" t="n">
        <f aca="false">AD39</f>
        <v>0.84</v>
      </c>
      <c r="AJ49" s="2" t="n">
        <f aca="false">AD37</f>
        <v>1.01</v>
      </c>
      <c r="AK49" s="2" t="n">
        <f aca="false">AD35</f>
        <v>1.26</v>
      </c>
      <c r="AL49" s="2" t="n">
        <f aca="false">AD33</f>
        <v>0.68</v>
      </c>
      <c r="AM49" s="2" t="n">
        <f aca="false">AD31</f>
        <v>1.26</v>
      </c>
      <c r="AN49" s="2" t="n">
        <f aca="false">AD29</f>
        <v>0.54</v>
      </c>
      <c r="AO49" s="2" t="n">
        <f aca="false">AD27</f>
        <v>2.22</v>
      </c>
      <c r="AP49" s="1" t="n">
        <v>0</v>
      </c>
      <c r="AQ49" s="2" t="n">
        <f aca="false">AP47</f>
        <v>0</v>
      </c>
      <c r="AR49" s="2" t="n">
        <f aca="false">AP45</f>
        <v>0</v>
      </c>
      <c r="AS49" s="2" t="n">
        <f aca="false">AP43</f>
        <v>0</v>
      </c>
      <c r="AT49" s="2" t="n">
        <f aca="false">AP41</f>
        <v>0</v>
      </c>
      <c r="AU49" s="2" t="n">
        <f aca="false">AP39</f>
        <v>0</v>
      </c>
      <c r="AV49" s="2" t="n">
        <f aca="false">AP37</f>
        <v>0</v>
      </c>
      <c r="AW49" s="2" t="n">
        <f aca="false">AP35</f>
        <v>0</v>
      </c>
      <c r="AX49" s="2" t="n">
        <f aca="false">AP33</f>
        <v>0</v>
      </c>
      <c r="AY49" s="2" t="n">
        <f aca="false">AP31</f>
        <v>0</v>
      </c>
      <c r="AZ49" s="2" t="n">
        <f aca="false">AP29</f>
        <v>0</v>
      </c>
      <c r="BA49" s="2" t="n">
        <f aca="false">AP27</f>
        <v>1</v>
      </c>
      <c r="BB49" s="1" t="n">
        <v>22</v>
      </c>
      <c r="BC49" s="2" t="n">
        <f aca="false">BB47</f>
        <v>32</v>
      </c>
      <c r="BD49" s="2" t="n">
        <f aca="false">BB45</f>
        <v>11</v>
      </c>
      <c r="BE49" s="2" t="n">
        <f aca="false">BB43</f>
        <v>18</v>
      </c>
      <c r="BF49" s="2" t="n">
        <f aca="false">BB41</f>
        <v>14</v>
      </c>
      <c r="BG49" s="2" t="n">
        <f aca="false">BB39</f>
        <v>15</v>
      </c>
      <c r="BH49" s="2" t="n">
        <f aca="false">BB37</f>
        <v>26</v>
      </c>
      <c r="BI49" s="2" t="n">
        <f aca="false">BB35</f>
        <v>9</v>
      </c>
      <c r="BJ49" s="2" t="n">
        <f aca="false">BB33</f>
        <v>10</v>
      </c>
      <c r="BK49" s="2" t="n">
        <f aca="false">BB31</f>
        <v>2</v>
      </c>
      <c r="BL49" s="2" t="n">
        <f aca="false">BB29</f>
        <v>9</v>
      </c>
      <c r="BM49" s="2" t="n">
        <f aca="false">BB27</f>
        <v>42</v>
      </c>
      <c r="BN49" s="1" t="n">
        <v>0</v>
      </c>
      <c r="BO49" s="2" t="n">
        <f aca="false">BN47</f>
        <v>0</v>
      </c>
      <c r="BP49" s="2" t="n">
        <f aca="false">BN45</f>
        <v>0</v>
      </c>
      <c r="BQ49" s="2" t="n">
        <f aca="false">BN43</f>
        <v>0</v>
      </c>
      <c r="BR49" s="2" t="n">
        <f aca="false">BN41</f>
        <v>0</v>
      </c>
      <c r="BS49" s="2" t="n">
        <f aca="false">BN39</f>
        <v>0</v>
      </c>
      <c r="BT49" s="2" t="n">
        <f aca="false">BN37</f>
        <v>0</v>
      </c>
      <c r="BU49" s="2" t="n">
        <f aca="false">BN35</f>
        <v>0</v>
      </c>
      <c r="BV49" s="2" t="n">
        <f aca="false">BN33</f>
        <v>0</v>
      </c>
      <c r="BW49" s="2" t="n">
        <f aca="false">BN31</f>
        <v>0</v>
      </c>
      <c r="BX49" s="2" t="n">
        <f aca="false">BN29</f>
        <v>0</v>
      </c>
      <c r="BY49" s="2" t="n">
        <f aca="false">BN27</f>
        <v>1</v>
      </c>
      <c r="BZ49" s="1" t="n">
        <v>2.10773</v>
      </c>
      <c r="CA49" s="2" t="n">
        <f aca="false">BZ47</f>
        <v>1.05688</v>
      </c>
      <c r="CB49" s="2" t="n">
        <f aca="false">BZ45</f>
        <v>1.20909</v>
      </c>
      <c r="CC49" s="2" t="n">
        <f aca="false">BZ43</f>
        <v>3.19833</v>
      </c>
      <c r="CD49" s="2" t="n">
        <f aca="false">BZ41</f>
        <v>4.69786</v>
      </c>
      <c r="CE49" s="2" t="n">
        <f aca="false">BZ39</f>
        <v>2.61667</v>
      </c>
      <c r="CF49" s="2" t="n">
        <f aca="false">BZ37</f>
        <v>1.805</v>
      </c>
      <c r="CG49" s="2" t="n">
        <f aca="false">BZ35</f>
        <v>6.55111</v>
      </c>
      <c r="CH49" s="2" t="n">
        <f aca="false">BZ33</f>
        <v>3.183</v>
      </c>
      <c r="CI49" s="2" t="n">
        <f aca="false">BZ31</f>
        <v>29.495</v>
      </c>
      <c r="CJ49" s="2" t="n">
        <f aca="false">BZ29</f>
        <v>2.81222</v>
      </c>
      <c r="CK49" s="2" t="n">
        <f aca="false">BZ27</f>
        <v>2.46524</v>
      </c>
      <c r="CL49" s="1" t="n">
        <v>0</v>
      </c>
      <c r="CM49" s="2" t="n">
        <f aca="false">CL47</f>
        <v>0</v>
      </c>
      <c r="CN49" s="2" t="n">
        <f aca="false">CL45</f>
        <v>0</v>
      </c>
      <c r="CO49" s="2" t="n">
        <f aca="false">CL43</f>
        <v>0</v>
      </c>
      <c r="CP49" s="2" t="n">
        <f aca="false">CL41</f>
        <v>0</v>
      </c>
      <c r="CQ49" s="2" t="n">
        <f aca="false">CL39</f>
        <v>0</v>
      </c>
      <c r="CR49" s="2" t="n">
        <f aca="false">CL37</f>
        <v>0</v>
      </c>
      <c r="CS49" s="2" t="n">
        <f aca="false">CL35</f>
        <v>0</v>
      </c>
      <c r="CT49" s="2" t="n">
        <f aca="false">CL33</f>
        <v>0</v>
      </c>
      <c r="CU49" s="2" t="n">
        <f aca="false">CL31</f>
        <v>2</v>
      </c>
      <c r="CV49" s="2" t="n">
        <f aca="false">CL29</f>
        <v>0</v>
      </c>
      <c r="CW49" s="2" t="n">
        <f aca="false">CL27</f>
        <v>0</v>
      </c>
      <c r="CX49" s="1" t="n">
        <v>64.6182</v>
      </c>
      <c r="CY49" s="2" t="n">
        <f aca="false">CX47</f>
        <v>46.5839</v>
      </c>
      <c r="CZ49" s="2" t="n">
        <f aca="false">CX45</f>
        <v>50.4069</v>
      </c>
      <c r="DA49" s="2" t="n">
        <f aca="false">CX43</f>
        <v>72.6375</v>
      </c>
      <c r="DB49" s="2" t="n">
        <f aca="false">CX41</f>
        <v>77.9832</v>
      </c>
      <c r="DC49" s="2" t="n">
        <f aca="false">CX39</f>
        <v>69.0849</v>
      </c>
      <c r="DD49" s="2" t="n">
        <f aca="false">CX37</f>
        <v>61.0128</v>
      </c>
      <c r="DE49" s="2" t="n">
        <f aca="false">CX35</f>
        <v>81.321</v>
      </c>
      <c r="DF49" s="2" t="n">
        <f aca="false">CX33</f>
        <v>72.5589</v>
      </c>
      <c r="DG49" s="2" t="n">
        <f aca="false">CX31</f>
        <v>88.0582</v>
      </c>
      <c r="DH49" s="2" t="n">
        <f aca="false">CX29</f>
        <v>70.4251</v>
      </c>
      <c r="DI49" s="2" t="n">
        <f aca="false">CX27</f>
        <v>67.9205</v>
      </c>
      <c r="DJ49" s="1" t="s">
        <v>174</v>
      </c>
      <c r="DK49" s="2" t="str">
        <f aca="false">DJ47</f>
        <v>LH</v>
      </c>
      <c r="DL49" s="2" t="str">
        <f aca="false">DJ45</f>
        <v>LH</v>
      </c>
      <c r="DM49" s="2" t="str">
        <f aca="false">DJ43</f>
        <v>LH</v>
      </c>
      <c r="DN49" s="2" t="str">
        <f aca="false">DJ41</f>
        <v>HH</v>
      </c>
      <c r="DO49" s="2" t="str">
        <f aca="false">DJ39</f>
        <v>LH</v>
      </c>
      <c r="DP49" s="2" t="str">
        <f aca="false">DJ37</f>
        <v>LH</v>
      </c>
      <c r="DQ49" s="2" t="str">
        <f aca="false">DJ35</f>
        <v>HH</v>
      </c>
      <c r="DR49" s="2" t="str">
        <f aca="false">DJ33</f>
        <v>LH</v>
      </c>
      <c r="DS49" s="2" t="str">
        <f aca="false">DJ31</f>
        <v>HH</v>
      </c>
      <c r="DT49" s="2" t="str">
        <f aca="false">DJ29</f>
        <v>LH</v>
      </c>
      <c r="DU49" s="2" t="str">
        <f aca="false">DJ27</f>
        <v>LH</v>
      </c>
      <c r="DV49" s="2" t="n">
        <f aca="false">IFERROR((G49-$F49)/$F49*100,"")</f>
        <v>2.16560288080601</v>
      </c>
      <c r="DW49" s="2" t="n">
        <f aca="false">IFERROR((H49-$F49)/$F49*100,"")</f>
        <v>2.41443532421021</v>
      </c>
      <c r="DX49" s="2" t="n">
        <f aca="false">IFERROR((I49-$F49)/$F49*100,"")</f>
        <v>2.7910524634412</v>
      </c>
      <c r="DY49" s="2" t="n">
        <f aca="false">IFERROR((J49-$F49)/$F49*100,"")</f>
        <v>3.02076066665363</v>
      </c>
      <c r="DZ49" s="2" t="n">
        <f aca="false">IFERROR((K49-$F49)/$F49*100,"")</f>
        <v>2.08475950181355</v>
      </c>
      <c r="EA49" s="2" t="n">
        <f aca="false">IFERROR((L49-$F49)/$F49*100,"")</f>
        <v>2.38487968027747</v>
      </c>
      <c r="EB49" s="2" t="n">
        <f aca="false">IFERROR((M49-$F49)/$F49*100,"")</f>
        <v>3.08008927543036</v>
      </c>
      <c r="EC49" s="2" t="n">
        <f aca="false">IFERROR((N49-$F49)/$F49*100,"")</f>
        <v>2.68174004507237</v>
      </c>
      <c r="ED49" s="2" t="n">
        <f aca="false">IFERROR((O49-$F49)/$F49*100,"")</f>
        <v>3.29980071672437</v>
      </c>
      <c r="EE49" s="2" t="n">
        <f aca="false">IFERROR((P49-$F49)/$F49*100,"")</f>
        <v>3.21308967312763</v>
      </c>
      <c r="EF49" s="2" t="n">
        <f aca="false">IFERROR((Q49-$F49)/$F49*100,"")</f>
        <v>3.70879867173459</v>
      </c>
      <c r="EG49" s="2" t="str">
        <f aca="false">IF(DV49="","",IF(AND(ABS(DV49)&lt;=0.25,$E49="Bottom",DK49="LL"),"EQL",IF(AND(ABS(DV49)&lt;=0.25,$E49="Peak",DK49="HH"),"EQH","")))</f>
        <v/>
      </c>
      <c r="EH49" s="2" t="str">
        <f aca="false">IF(DW49="","",IF(AND(ABS(DW49)&lt;=0.25,$E49="Bottom",DL49="LL"),"EQL",IF(AND(ABS(DW49)&lt;=0.25,$E49="Peak",DL49="HH"),"EQH","")))</f>
        <v/>
      </c>
      <c r="EI49" s="2" t="str">
        <f aca="false">IF(DX49="","",IF(AND(ABS(DX49)&lt;=0.25,$E49="Bottom",DM49="LL"),"EQL",IF(AND(ABS(DX49)&lt;=0.25,$E49="Peak",DM49="HH"),"EQH","")))</f>
        <v/>
      </c>
      <c r="EJ49" s="2" t="str">
        <f aca="false">IF(DY49="","",IF(AND(ABS(DY49)&lt;=0.25,$E49="Bottom",DN49="LL"),"EQL",IF(AND(ABS(DY49)&lt;=0.25,$E49="Peak",DN49="HH"),"EQH","")))</f>
        <v/>
      </c>
      <c r="EK49" s="2" t="str">
        <f aca="false">IF(DZ49="","",IF(AND(ABS(DZ49)&lt;=0.25,$E49="Bottom",DO49="LL"),"EQL",IF(AND(ABS(DZ49)&lt;=0.25,$E49="Peak",DO49="HH"),"EQH","")))</f>
        <v/>
      </c>
      <c r="EL49" s="2" t="str">
        <f aca="false">IF(EA49="","",IF(AND(ABS(EA49)&lt;=0.25,$E49="Bottom",DP49="LL"),"EQL",IF(AND(ABS(EA49)&lt;=0.25,$E49="Peak",DP49="HH"),"EQH","")))</f>
        <v/>
      </c>
      <c r="EM49" s="2" t="str">
        <f aca="false">IF(EB49="","",IF(AND(ABS(EB49)&lt;=0.25,$E49="Bottom",DQ49="LL"),"EQL",IF(AND(ABS(EB49)&lt;=0.25,$E49="Peak",DQ49="HH"),"EQH","")))</f>
        <v/>
      </c>
      <c r="EN49" s="2" t="str">
        <f aca="false">IF(EC49="","",IF(AND(ABS(EC49)&lt;=0.25,$E49="Bottom",DR49="LL"),"EQL",IF(AND(ABS(EC49)&lt;=0.25,$E49="Peak",DR49="HH"),"EQH","")))</f>
        <v/>
      </c>
      <c r="EO49" s="2" t="str">
        <f aca="false">IF(ED49="","",IF(AND(ABS(ED49)&lt;=0.25,$E49="Bottom",DS49="LL"),"EQL",IF(AND(ABS(ED49)&lt;=0.25,$E49="Peak",DS49="HH"),"EQH","")))</f>
        <v/>
      </c>
      <c r="EP49" s="2" t="str">
        <f aca="false">IF(EE49="","",IF(AND(ABS(EE49)&lt;=0.25,$E49="Bottom",DT49="LL"),"EQL",IF(AND(ABS(EE49)&lt;=0.25,$E49="Peak",DT49="HH"),"EQH","")))</f>
        <v/>
      </c>
      <c r="EQ49" s="2" t="str">
        <f aca="false">IF(EF49="","",IF(AND(ABS(EF49)&lt;=0.25,$E49="Bottom",DU49="LL"),"EQL",IF(AND(ABS(EF49)&lt;=0.25,$E49="Peak",DU49="HH"),"EQH","")))</f>
        <v/>
      </c>
      <c r="ER49" s="2" t="str">
        <f aca="false">IF(OR(EG49="EQL",EG49="EQH"),G49,"")</f>
        <v/>
      </c>
      <c r="ES49" s="2" t="str">
        <f aca="false">IF(OR(EH49="EQL",EH49="EQH"),H49,"")</f>
        <v/>
      </c>
      <c r="ET49" s="2" t="str">
        <f aca="false">IF(OR(EI49="EQL",EI49="EQH"),I49,"")</f>
        <v/>
      </c>
      <c r="EU49" s="2" t="str">
        <f aca="false">IF(OR(EJ49="EQL",EJ49="EQH"),J49,"")</f>
        <v/>
      </c>
      <c r="EV49" s="2" t="str">
        <f aca="false">IF(OR(EK49="EQL",EK49="EQH"),K49,"")</f>
        <v/>
      </c>
      <c r="EW49" s="2" t="str">
        <f aca="false">IF(OR(EL49="EQL",EL49="EQH"),L49,"")</f>
        <v/>
      </c>
      <c r="EX49" s="2" t="str">
        <f aca="false">IF(OR(EM49="EQL",EM49="EQH"),M49,"")</f>
        <v/>
      </c>
      <c r="EY49" s="2" t="str">
        <f aca="false">IF(OR(EN49="EQL",EN49="EQH"),N49,"")</f>
        <v/>
      </c>
      <c r="EZ49" s="2" t="str">
        <f aca="false">IF(OR(EO49="EQL",EO49="EQH"),O49,"")</f>
        <v/>
      </c>
      <c r="FA49" s="2" t="str">
        <f aca="false">IF(OR(EP49="EQL",EP49="EQH"),P49,"")</f>
        <v/>
      </c>
      <c r="FB49" s="2" t="str">
        <f aca="false">IF(OR(EQ49="EQL",EQ49="EQH"),Q49,"")</f>
        <v/>
      </c>
      <c r="FC49" s="2" t="str">
        <f aca="false">IF(AND(EG49="EQL",OR(AQ49=4,AQ49=5)),"IEQL",IF(AND(EG49="EQH",OR(AQ49=1,AQ49=2)),"IEQH",""))</f>
        <v/>
      </c>
      <c r="FD49" s="2" t="str">
        <f aca="false">IF(AND(EH49="EQL",OR(AR49=4,AR49=5)),"IEQL",IF(AND(EH49="EQH",OR(AR49=1,AR49=2)),"IEQH",""))</f>
        <v/>
      </c>
      <c r="FE49" s="2" t="str">
        <f aca="false">IF(AND(EI49="EQL",OR(AS49=4,AS49=5)),"IEQL",IF(AND(EI49="EQH",OR(AS49=1,AS49=2)),"IEQH",""))</f>
        <v/>
      </c>
      <c r="FF49" s="2" t="str">
        <f aca="false">IF(AND(EJ49="EQL",OR(AT49=4,AT49=5)),"IEQL",IF(AND(EJ49="EQH",OR(AT49=1,AT49=2)),"IEQH",""))</f>
        <v/>
      </c>
      <c r="FG49" s="2" t="str">
        <f aca="false">IF(AND(EK49="EQL",OR(AU49=4,AU49=5)),"IEQL",IF(AND(EK49="EQH",OR(AU49=1,AU49=2)),"IEQH",""))</f>
        <v/>
      </c>
      <c r="FH49" s="2" t="str">
        <f aca="false">IF(AND(EL49="EQL",OR(AV49=4,AV49=5)),"IEQL",IF(AND(EL49="EQH",OR(AV49=1,AV49=2)),"IEQH",""))</f>
        <v/>
      </c>
      <c r="FI49" s="2" t="str">
        <f aca="false">IF(AND(EM49="EQL",OR(AW49=4,AW49=5)),"IEQL",IF(AND(EM49="EQH",OR(AW49=1,AW49=2)),"IEQH",""))</f>
        <v/>
      </c>
      <c r="FJ49" s="2" t="str">
        <f aca="false">IF(AND(EN49="EQL",OR(AX49=4,AX49=5)),"IEQL",IF(AND(EN49="EQH",OR(AX49=1,AX49=2)),"IEQH",""))</f>
        <v/>
      </c>
      <c r="FK49" s="2" t="str">
        <f aca="false">IF(AND(EO49="EQL",OR(AY49=4,AY49=5)),"IEQL",IF(AND(EO49="EQH",OR(AY49=1,AY49=2)),"IEQH",""))</f>
        <v/>
      </c>
      <c r="FL49" s="2" t="str">
        <f aca="false">IF(AND(EP49="EQL",OR(AZ49=4,AZ49=5)),"IEQL",IF(AND(EP49="EQH",OR(AZ49=1,AZ49=2)),"IEQH",""))</f>
        <v/>
      </c>
      <c r="FM49" s="2" t="str">
        <f aca="false">IF(AND(EQ49="EQL",OR(BA49=4,BA49=5)),"IEQL",IF(AND(EQ49="EQH",OR(BA49=1,BA49=2)),"IEQH",""))</f>
        <v/>
      </c>
    </row>
    <row r="50" customFormat="false" ht="14.25" hidden="false" customHeight="false" outlineLevel="0" collapsed="false">
      <c r="A50" s="1" t="n">
        <v>1777419002</v>
      </c>
      <c r="B50" s="1" t="s">
        <v>169</v>
      </c>
      <c r="C50" s="1" t="s">
        <v>170</v>
      </c>
      <c r="D50" s="1" t="n">
        <v>4589.91</v>
      </c>
      <c r="E50" s="1" t="s">
        <v>171</v>
      </c>
      <c r="F50" s="1" t="n">
        <v>4587.93</v>
      </c>
      <c r="G50" s="2" t="n">
        <f aca="false">F48</f>
        <v>4555.12</v>
      </c>
      <c r="H50" s="2" t="n">
        <f aca="false">F46</f>
        <v>4667.32</v>
      </c>
      <c r="I50" s="2" t="n">
        <f aca="false">F44</f>
        <v>4699.29</v>
      </c>
      <c r="J50" s="2" t="n">
        <f aca="false">F42</f>
        <v>4672.35</v>
      </c>
      <c r="K50" s="2" t="n">
        <f aca="false">F40</f>
        <v>4674.72</v>
      </c>
      <c r="L50" s="2" t="n">
        <f aca="false">F38</f>
        <v>4658.17</v>
      </c>
      <c r="M50" s="2" t="n">
        <f aca="false">F36</f>
        <v>4664.3</v>
      </c>
      <c r="N50" s="2" t="n">
        <f aca="false">F34</f>
        <v>4684.26</v>
      </c>
      <c r="O50" s="2" t="n">
        <f aca="false">F32</f>
        <v>4693.06</v>
      </c>
      <c r="P50" s="2" t="n">
        <f aca="false">F30</f>
        <v>4694.34</v>
      </c>
      <c r="Q50" s="2" t="n">
        <f aca="false">F28</f>
        <v>4724.03</v>
      </c>
      <c r="R50" s="1" t="n">
        <v>-13.56</v>
      </c>
      <c r="S50" s="2" t="n">
        <f aca="false">R48</f>
        <v>-146.02</v>
      </c>
      <c r="T50" s="2" t="n">
        <f aca="false">R46</f>
        <v>-45.27</v>
      </c>
      <c r="U50" s="2" t="n">
        <f aca="false">R44</f>
        <v>-30.63</v>
      </c>
      <c r="V50" s="2" t="n">
        <f aca="false">R42</f>
        <v>-68.14</v>
      </c>
      <c r="W50" s="2" t="n">
        <f aca="false">R40</f>
        <v>-22.7</v>
      </c>
      <c r="X50" s="2" t="n">
        <f aca="false">R38</f>
        <v>-53.06</v>
      </c>
      <c r="Y50" s="2" t="n">
        <f aca="false">R36</f>
        <v>-78.92</v>
      </c>
      <c r="Z50" s="2" t="n">
        <f aca="false">R34</f>
        <v>-40.63</v>
      </c>
      <c r="AA50" s="2" t="n">
        <f aca="false">R32</f>
        <v>-60.27</v>
      </c>
      <c r="AB50" s="2" t="n">
        <f aca="false">R30</f>
        <v>-55</v>
      </c>
      <c r="AC50" s="2" t="n">
        <f aca="false">R28</f>
        <v>-48.12</v>
      </c>
      <c r="AD50" s="1" t="n">
        <v>-0.29</v>
      </c>
      <c r="AE50" s="2" t="n">
        <f aca="false">AD48</f>
        <v>-3.11</v>
      </c>
      <c r="AF50" s="2" t="n">
        <f aca="false">AD46</f>
        <v>-0.96</v>
      </c>
      <c r="AG50" s="2" t="n">
        <f aca="false">AD44</f>
        <v>-0.65</v>
      </c>
      <c r="AH50" s="2" t="n">
        <f aca="false">AD42</f>
        <v>-1.44</v>
      </c>
      <c r="AI50" s="2" t="n">
        <f aca="false">AD40</f>
        <v>-0.48</v>
      </c>
      <c r="AJ50" s="2" t="n">
        <f aca="false">AD38</f>
        <v>-1.13</v>
      </c>
      <c r="AK50" s="2" t="n">
        <f aca="false">AD36</f>
        <v>-1.66</v>
      </c>
      <c r="AL50" s="2" t="n">
        <f aca="false">AD34</f>
        <v>-0.86</v>
      </c>
      <c r="AM50" s="2" t="n">
        <f aca="false">AD32</f>
        <v>-1.27</v>
      </c>
      <c r="AN50" s="2" t="n">
        <f aca="false">AD30</f>
        <v>-1.16</v>
      </c>
      <c r="AO50" s="2" t="n">
        <f aca="false">AD28</f>
        <v>-1.01</v>
      </c>
      <c r="AP50" s="1" t="n">
        <v>3</v>
      </c>
      <c r="AQ50" s="2" t="n">
        <f aca="false">AP48</f>
        <v>5</v>
      </c>
      <c r="AR50" s="2" t="n">
        <f aca="false">AP46</f>
        <v>3</v>
      </c>
      <c r="AS50" s="2" t="n">
        <f aca="false">AP44</f>
        <v>3</v>
      </c>
      <c r="AT50" s="2" t="n">
        <f aca="false">AP42</f>
        <v>3</v>
      </c>
      <c r="AU50" s="2" t="n">
        <f aca="false">AP40</f>
        <v>3</v>
      </c>
      <c r="AV50" s="2" t="n">
        <f aca="false">AP38</f>
        <v>3</v>
      </c>
      <c r="AW50" s="2" t="n">
        <f aca="false">AP36</f>
        <v>3</v>
      </c>
      <c r="AX50" s="2" t="n">
        <f aca="false">AP34</f>
        <v>3</v>
      </c>
      <c r="AY50" s="2" t="n">
        <f aca="false">AP32</f>
        <v>3</v>
      </c>
      <c r="AZ50" s="2" t="n">
        <f aca="false">AP30</f>
        <v>3</v>
      </c>
      <c r="BA50" s="2" t="n">
        <f aca="false">AP28</f>
        <v>3</v>
      </c>
      <c r="BB50" s="1" t="n">
        <v>20</v>
      </c>
      <c r="BC50" s="2" t="n">
        <f aca="false">BB48</f>
        <v>48</v>
      </c>
      <c r="BD50" s="2" t="n">
        <f aca="false">BB46</f>
        <v>11</v>
      </c>
      <c r="BE50" s="2" t="n">
        <f aca="false">BB44</f>
        <v>20</v>
      </c>
      <c r="BF50" s="2" t="n">
        <f aca="false">BB42</f>
        <v>36</v>
      </c>
      <c r="BG50" s="2" t="n">
        <f aca="false">BB40</f>
        <v>9</v>
      </c>
      <c r="BH50" s="2" t="n">
        <f aca="false">BB38</f>
        <v>13</v>
      </c>
      <c r="BI50" s="2" t="n">
        <f aca="false">BB36</f>
        <v>20</v>
      </c>
      <c r="BJ50" s="2" t="n">
        <f aca="false">BB34</f>
        <v>10</v>
      </c>
      <c r="BK50" s="2" t="n">
        <f aca="false">BB32</f>
        <v>19</v>
      </c>
      <c r="BL50" s="2" t="n">
        <f aca="false">BB30</f>
        <v>18</v>
      </c>
      <c r="BM50" s="2" t="n">
        <f aca="false">BB28</f>
        <v>38</v>
      </c>
      <c r="BN50" s="1" t="n">
        <v>3</v>
      </c>
      <c r="BO50" s="2" t="n">
        <f aca="false">BN48</f>
        <v>5</v>
      </c>
      <c r="BP50" s="2" t="n">
        <f aca="false">BN46</f>
        <v>3</v>
      </c>
      <c r="BQ50" s="2" t="n">
        <f aca="false">BN44</f>
        <v>3</v>
      </c>
      <c r="BR50" s="2" t="n">
        <f aca="false">BN42</f>
        <v>4</v>
      </c>
      <c r="BS50" s="2" t="n">
        <f aca="false">BN40</f>
        <v>3</v>
      </c>
      <c r="BT50" s="2" t="n">
        <f aca="false">BN38</f>
        <v>3</v>
      </c>
      <c r="BU50" s="2" t="n">
        <f aca="false">BN36</f>
        <v>3</v>
      </c>
      <c r="BV50" s="2" t="n">
        <f aca="false">BN34</f>
        <v>3</v>
      </c>
      <c r="BW50" s="2" t="n">
        <f aca="false">BN32</f>
        <v>3</v>
      </c>
      <c r="BX50" s="2" t="n">
        <f aca="false">BN30</f>
        <v>3</v>
      </c>
      <c r="BY50" s="2" t="n">
        <f aca="false">BN28</f>
        <v>4</v>
      </c>
      <c r="BZ50" s="1" t="n">
        <v>-0.678</v>
      </c>
      <c r="CA50" s="2" t="n">
        <f aca="false">BZ48</f>
        <v>-3.04208</v>
      </c>
      <c r="CB50" s="2" t="n">
        <f aca="false">BZ46</f>
        <v>-4.11545</v>
      </c>
      <c r="CC50" s="2" t="n">
        <f aca="false">BZ44</f>
        <v>-1.5315</v>
      </c>
      <c r="CD50" s="2" t="n">
        <f aca="false">BZ42</f>
        <v>-1.89278</v>
      </c>
      <c r="CE50" s="2" t="n">
        <f aca="false">BZ40</f>
        <v>-2.52222</v>
      </c>
      <c r="CF50" s="2" t="n">
        <f aca="false">BZ38</f>
        <v>-4.08154</v>
      </c>
      <c r="CG50" s="2" t="n">
        <f aca="false">BZ36</f>
        <v>-3.946</v>
      </c>
      <c r="CH50" s="2" t="n">
        <f aca="false">BZ34</f>
        <v>-4.063</v>
      </c>
      <c r="CI50" s="2" t="n">
        <f aca="false">BZ32</f>
        <v>-3.17211</v>
      </c>
      <c r="CJ50" s="2" t="n">
        <f aca="false">BZ30</f>
        <v>-3.05556</v>
      </c>
      <c r="CK50" s="2" t="n">
        <f aca="false">BZ28</f>
        <v>-1.26632</v>
      </c>
      <c r="CL50" s="1" t="n">
        <v>3</v>
      </c>
      <c r="CM50" s="2" t="n">
        <f aca="false">CL48</f>
        <v>3</v>
      </c>
      <c r="CN50" s="2" t="n">
        <f aca="false">CL46</f>
        <v>3</v>
      </c>
      <c r="CO50" s="2" t="n">
        <f aca="false">CL44</f>
        <v>3</v>
      </c>
      <c r="CP50" s="2" t="n">
        <f aca="false">CL42</f>
        <v>3</v>
      </c>
      <c r="CQ50" s="2" t="n">
        <f aca="false">CL40</f>
        <v>3</v>
      </c>
      <c r="CR50" s="2" t="n">
        <f aca="false">CL38</f>
        <v>3</v>
      </c>
      <c r="CS50" s="2" t="n">
        <f aca="false">CL36</f>
        <v>3</v>
      </c>
      <c r="CT50" s="2" t="n">
        <f aca="false">CL34</f>
        <v>3</v>
      </c>
      <c r="CU50" s="2" t="n">
        <f aca="false">CL32</f>
        <v>3</v>
      </c>
      <c r="CV50" s="2" t="n">
        <f aca="false">CL30</f>
        <v>3</v>
      </c>
      <c r="CW50" s="2" t="n">
        <f aca="false">CL28</f>
        <v>3</v>
      </c>
      <c r="CX50" s="1" t="n">
        <v>-34.1373</v>
      </c>
      <c r="CY50" s="2" t="n">
        <f aca="false">CX48</f>
        <v>-71.8032</v>
      </c>
      <c r="CZ50" s="2" t="n">
        <f aca="false">CX46</f>
        <v>-76.3426</v>
      </c>
      <c r="DA50" s="2" t="n">
        <f aca="false">CX44</f>
        <v>-56.8573</v>
      </c>
      <c r="DB50" s="2" t="n">
        <f aca="false">CX42</f>
        <v>-62.1514</v>
      </c>
      <c r="DC50" s="2" t="n">
        <f aca="false">CX40</f>
        <v>-68.3729</v>
      </c>
      <c r="DD50" s="2" t="n">
        <f aca="false">CX38</f>
        <v>-76.2334</v>
      </c>
      <c r="DE50" s="2" t="n">
        <f aca="false">CX36</f>
        <v>-75.7794</v>
      </c>
      <c r="DF50" s="2" t="n">
        <f aca="false">CX34</f>
        <v>-76.173</v>
      </c>
      <c r="DG50" s="2" t="n">
        <f aca="false">CX32</f>
        <v>-72.5026</v>
      </c>
      <c r="DH50" s="2" t="n">
        <f aca="false">CX30</f>
        <v>-71.8781</v>
      </c>
      <c r="DI50" s="2" t="n">
        <f aca="false">CX28</f>
        <v>-51.7021</v>
      </c>
      <c r="DJ50" s="1" t="s">
        <v>175</v>
      </c>
      <c r="DK50" s="2" t="str">
        <f aca="false">DJ48</f>
        <v>LL</v>
      </c>
      <c r="DL50" s="2" t="str">
        <f aca="false">DJ46</f>
        <v>LL</v>
      </c>
      <c r="DM50" s="2" t="str">
        <f aca="false">DJ44</f>
        <v>HL</v>
      </c>
      <c r="DN50" s="2" t="str">
        <f aca="false">DJ42</f>
        <v>LL</v>
      </c>
      <c r="DO50" s="2" t="str">
        <f aca="false">DJ40</f>
        <v>HL</v>
      </c>
      <c r="DP50" s="2" t="str">
        <f aca="false">DJ38</f>
        <v>LL</v>
      </c>
      <c r="DQ50" s="2" t="str">
        <f aca="false">DJ36</f>
        <v>LL</v>
      </c>
      <c r="DR50" s="2" t="str">
        <f aca="false">DJ34</f>
        <v>LL</v>
      </c>
      <c r="DS50" s="2" t="str">
        <f aca="false">DJ32</f>
        <v>LL</v>
      </c>
      <c r="DT50" s="2" t="str">
        <f aca="false">DJ30</f>
        <v>LL</v>
      </c>
      <c r="DU50" s="2" t="str">
        <f aca="false">DJ28</f>
        <v>HL</v>
      </c>
      <c r="DV50" s="2" t="n">
        <f aca="false">IFERROR((G50-$F50)/$F50*100,"")</f>
        <v>-0.715137327727328</v>
      </c>
      <c r="DW50" s="2" t="n">
        <f aca="false">IFERROR((H50-$F50)/$F50*100,"")</f>
        <v>1.7304100106148</v>
      </c>
      <c r="DX50" s="2" t="n">
        <f aca="false">IFERROR((I50-$F50)/$F50*100,"")</f>
        <v>2.42723842778769</v>
      </c>
      <c r="DY50" s="2" t="n">
        <f aca="false">IFERROR((J50-$F50)/$F50*100,"")</f>
        <v>1.84004551072052</v>
      </c>
      <c r="DZ50" s="2" t="n">
        <f aca="false">IFERROR((K50-$F50)/$F50*100,"")</f>
        <v>1.89170279407053</v>
      </c>
      <c r="EA50" s="2" t="n">
        <f aca="false">IFERROR((L50-$F50)/$F50*100,"")</f>
        <v>1.53097366350402</v>
      </c>
      <c r="EB50" s="2" t="n">
        <f aca="false">IFERROR((M50-$F50)/$F50*100,"")</f>
        <v>1.6645851179072</v>
      </c>
      <c r="EC50" s="2" t="n">
        <f aca="false">IFERROR((N50-$F50)/$F50*100,"")</f>
        <v>2.09963970679587</v>
      </c>
      <c r="ED50" s="2" t="n">
        <f aca="false">IFERROR((O50-$F50)/$F50*100,"")</f>
        <v>2.29144734117565</v>
      </c>
      <c r="EE50" s="2" t="n">
        <f aca="false">IFERROR((P50-$F50)/$F50*100,"")</f>
        <v>2.31934663344907</v>
      </c>
      <c r="EF50" s="2" t="n">
        <f aca="false">IFERROR((Q50-$F50)/$F50*100,"")</f>
        <v>2.96647943625991</v>
      </c>
      <c r="EG50" s="2" t="str">
        <f aca="false">IF(DV50="","",IF(AND(ABS(DV50)&lt;=0.25,$E50="Bottom",DK50="LL"),"EQL",IF(AND(ABS(DV50)&lt;=0.25,$E50="Peak",DK50="HH"),"EQH","")))</f>
        <v/>
      </c>
      <c r="EH50" s="2" t="str">
        <f aca="false">IF(DW50="","",IF(AND(ABS(DW50)&lt;=0.25,$E50="Bottom",DL50="LL"),"EQL",IF(AND(ABS(DW50)&lt;=0.25,$E50="Peak",DL50="HH"),"EQH","")))</f>
        <v/>
      </c>
      <c r="EI50" s="2" t="str">
        <f aca="false">IF(DX50="","",IF(AND(ABS(DX50)&lt;=0.25,$E50="Bottom",DM50="LL"),"EQL",IF(AND(ABS(DX50)&lt;=0.25,$E50="Peak",DM50="HH"),"EQH","")))</f>
        <v/>
      </c>
      <c r="EJ50" s="2" t="str">
        <f aca="false">IF(DY50="","",IF(AND(ABS(DY50)&lt;=0.25,$E50="Bottom",DN50="LL"),"EQL",IF(AND(ABS(DY50)&lt;=0.25,$E50="Peak",DN50="HH"),"EQH","")))</f>
        <v/>
      </c>
      <c r="EK50" s="2" t="str">
        <f aca="false">IF(DZ50="","",IF(AND(ABS(DZ50)&lt;=0.25,$E50="Bottom",DO50="LL"),"EQL",IF(AND(ABS(DZ50)&lt;=0.25,$E50="Peak",DO50="HH"),"EQH","")))</f>
        <v/>
      </c>
      <c r="EL50" s="2" t="str">
        <f aca="false">IF(EA50="","",IF(AND(ABS(EA50)&lt;=0.25,$E50="Bottom",DP50="LL"),"EQL",IF(AND(ABS(EA50)&lt;=0.25,$E50="Peak",DP50="HH"),"EQH","")))</f>
        <v/>
      </c>
      <c r="EM50" s="2" t="str">
        <f aca="false">IF(EB50="","",IF(AND(ABS(EB50)&lt;=0.25,$E50="Bottom",DQ50="LL"),"EQL",IF(AND(ABS(EB50)&lt;=0.25,$E50="Peak",DQ50="HH"),"EQH","")))</f>
        <v/>
      </c>
      <c r="EN50" s="2" t="str">
        <f aca="false">IF(EC50="","",IF(AND(ABS(EC50)&lt;=0.25,$E50="Bottom",DR50="LL"),"EQL",IF(AND(ABS(EC50)&lt;=0.25,$E50="Peak",DR50="HH"),"EQH","")))</f>
        <v/>
      </c>
      <c r="EO50" s="2" t="str">
        <f aca="false">IF(ED50="","",IF(AND(ABS(ED50)&lt;=0.25,$E50="Bottom",DS50="LL"),"EQL",IF(AND(ABS(ED50)&lt;=0.25,$E50="Peak",DS50="HH"),"EQH","")))</f>
        <v/>
      </c>
      <c r="EP50" s="2" t="str">
        <f aca="false">IF(EE50="","",IF(AND(ABS(EE50)&lt;=0.25,$E50="Bottom",DT50="LL"),"EQL",IF(AND(ABS(EE50)&lt;=0.25,$E50="Peak",DT50="HH"),"EQH","")))</f>
        <v/>
      </c>
      <c r="EQ50" s="2" t="str">
        <f aca="false">IF(EF50="","",IF(AND(ABS(EF50)&lt;=0.25,$E50="Bottom",DU50="LL"),"EQL",IF(AND(ABS(EF50)&lt;=0.25,$E50="Peak",DU50="HH"),"EQH","")))</f>
        <v/>
      </c>
      <c r="ER50" s="2" t="str">
        <f aca="false">IF(OR(EG50="EQL",EG50="EQH"),G50,"")</f>
        <v/>
      </c>
      <c r="ES50" s="2" t="str">
        <f aca="false">IF(OR(EH50="EQL",EH50="EQH"),H50,"")</f>
        <v/>
      </c>
      <c r="ET50" s="2" t="str">
        <f aca="false">IF(OR(EI50="EQL",EI50="EQH"),I50,"")</f>
        <v/>
      </c>
      <c r="EU50" s="2" t="str">
        <f aca="false">IF(OR(EJ50="EQL",EJ50="EQH"),J50,"")</f>
        <v/>
      </c>
      <c r="EV50" s="2" t="str">
        <f aca="false">IF(OR(EK50="EQL",EK50="EQH"),K50,"")</f>
        <v/>
      </c>
      <c r="EW50" s="2" t="str">
        <f aca="false">IF(OR(EL50="EQL",EL50="EQH"),L50,"")</f>
        <v/>
      </c>
      <c r="EX50" s="2" t="str">
        <f aca="false">IF(OR(EM50="EQL",EM50="EQH"),M50,"")</f>
        <v/>
      </c>
      <c r="EY50" s="2" t="str">
        <f aca="false">IF(OR(EN50="EQL",EN50="EQH"),N50,"")</f>
        <v/>
      </c>
      <c r="EZ50" s="2" t="str">
        <f aca="false">IF(OR(EO50="EQL",EO50="EQH"),O50,"")</f>
        <v/>
      </c>
      <c r="FA50" s="2" t="str">
        <f aca="false">IF(OR(EP50="EQL",EP50="EQH"),P50,"")</f>
        <v/>
      </c>
      <c r="FB50" s="2" t="str">
        <f aca="false">IF(OR(EQ50="EQL",EQ50="EQH"),Q50,"")</f>
        <v/>
      </c>
      <c r="FC50" s="2" t="str">
        <f aca="false">IF(AND(EG50="EQL",OR(AQ50=4,AQ50=5)),"IEQL",IF(AND(EG50="EQH",OR(AQ50=1,AQ50=2)),"IEQH",""))</f>
        <v/>
      </c>
      <c r="FD50" s="2" t="str">
        <f aca="false">IF(AND(EH50="EQL",OR(AR50=4,AR50=5)),"IEQL",IF(AND(EH50="EQH",OR(AR50=1,AR50=2)),"IEQH",""))</f>
        <v/>
      </c>
      <c r="FE50" s="2" t="str">
        <f aca="false">IF(AND(EI50="EQL",OR(AS50=4,AS50=5)),"IEQL",IF(AND(EI50="EQH",OR(AS50=1,AS50=2)),"IEQH",""))</f>
        <v/>
      </c>
      <c r="FF50" s="2" t="str">
        <f aca="false">IF(AND(EJ50="EQL",OR(AT50=4,AT50=5)),"IEQL",IF(AND(EJ50="EQH",OR(AT50=1,AT50=2)),"IEQH",""))</f>
        <v/>
      </c>
      <c r="FG50" s="2" t="str">
        <f aca="false">IF(AND(EK50="EQL",OR(AU50=4,AU50=5)),"IEQL",IF(AND(EK50="EQH",OR(AU50=1,AU50=2)),"IEQH",""))</f>
        <v/>
      </c>
      <c r="FH50" s="2" t="str">
        <f aca="false">IF(AND(EL50="EQL",OR(AV50=4,AV50=5)),"IEQL",IF(AND(EL50="EQH",OR(AV50=1,AV50=2)),"IEQH",""))</f>
        <v/>
      </c>
      <c r="FI50" s="2" t="str">
        <f aca="false">IF(AND(EM50="EQL",OR(AW50=4,AW50=5)),"IEQL",IF(AND(EM50="EQH",OR(AW50=1,AW50=2)),"IEQH",""))</f>
        <v/>
      </c>
      <c r="FJ50" s="2" t="str">
        <f aca="false">IF(AND(EN50="EQL",OR(AX50=4,AX50=5)),"IEQL",IF(AND(EN50="EQH",OR(AX50=1,AX50=2)),"IEQH",""))</f>
        <v/>
      </c>
      <c r="FK50" s="2" t="str">
        <f aca="false">IF(AND(EO50="EQL",OR(AY50=4,AY50=5)),"IEQL",IF(AND(EO50="EQH",OR(AY50=1,AY50=2)),"IEQH",""))</f>
        <v/>
      </c>
      <c r="FL50" s="2" t="str">
        <f aca="false">IF(AND(EP50="EQL",OR(AZ50=4,AZ50=5)),"IEQL",IF(AND(EP50="EQH",OR(AZ50=1,AZ50=2)),"IEQH",""))</f>
        <v/>
      </c>
      <c r="FM50" s="2" t="str">
        <f aca="false">IF(AND(EQ50="EQL",OR(BA50=4,BA50=5)),"IEQL",IF(AND(EQ50="EQH",OR(BA50=1,BA50=2)),"IEQH",""))</f>
        <v/>
      </c>
    </row>
    <row r="51" customFormat="false" ht="14.25" hidden="false" customHeight="false" outlineLevel="0" collapsed="false">
      <c r="A51" s="1" t="n">
        <v>1777420802</v>
      </c>
      <c r="B51" s="1" t="s">
        <v>169</v>
      </c>
      <c r="C51" s="1" t="s">
        <v>170</v>
      </c>
      <c r="D51" s="1" t="n">
        <v>4607.37</v>
      </c>
      <c r="E51" s="1" t="s">
        <v>173</v>
      </c>
      <c r="F51" s="1" t="n">
        <v>4610.15</v>
      </c>
      <c r="G51" s="2" t="n">
        <f aca="false">F49</f>
        <v>4601.49</v>
      </c>
      <c r="H51" s="2" t="n">
        <f aca="false">F47</f>
        <v>4701.14</v>
      </c>
      <c r="I51" s="2" t="n">
        <f aca="false">F45</f>
        <v>4712.59</v>
      </c>
      <c r="J51" s="2" t="n">
        <f aca="false">F43</f>
        <v>4729.92</v>
      </c>
      <c r="K51" s="2" t="n">
        <f aca="false">F41</f>
        <v>4740.49</v>
      </c>
      <c r="L51" s="2" t="n">
        <f aca="false">F39</f>
        <v>4697.42</v>
      </c>
      <c r="M51" s="2" t="n">
        <f aca="false">F37</f>
        <v>4711.23</v>
      </c>
      <c r="N51" s="2" t="n">
        <f aca="false">F35</f>
        <v>4743.22</v>
      </c>
      <c r="O51" s="2" t="n">
        <f aca="false">F33</f>
        <v>4724.89</v>
      </c>
      <c r="P51" s="2" t="n">
        <f aca="false">F31</f>
        <v>4753.33</v>
      </c>
      <c r="Q51" s="2" t="n">
        <f aca="false">F29</f>
        <v>4749.34</v>
      </c>
      <c r="R51" s="1" t="n">
        <v>22.22</v>
      </c>
      <c r="S51" s="2" t="n">
        <f aca="false">R49</f>
        <v>46.37</v>
      </c>
      <c r="T51" s="2" t="n">
        <f aca="false">R47</f>
        <v>33.82</v>
      </c>
      <c r="U51" s="2" t="n">
        <f aca="false">R45</f>
        <v>13.3</v>
      </c>
      <c r="V51" s="2" t="n">
        <f aca="false">R43</f>
        <v>57.57</v>
      </c>
      <c r="W51" s="2" t="n">
        <f aca="false">R41</f>
        <v>65.77</v>
      </c>
      <c r="X51" s="2" t="n">
        <f aca="false">R39</f>
        <v>39.25</v>
      </c>
      <c r="Y51" s="2" t="n">
        <f aca="false">R37</f>
        <v>46.93</v>
      </c>
      <c r="Z51" s="2" t="n">
        <f aca="false">R35</f>
        <v>58.96</v>
      </c>
      <c r="AA51" s="2" t="n">
        <f aca="false">R33</f>
        <v>31.83</v>
      </c>
      <c r="AB51" s="2" t="n">
        <f aca="false">R31</f>
        <v>58.99</v>
      </c>
      <c r="AC51" s="2" t="n">
        <f aca="false">R29</f>
        <v>25.31</v>
      </c>
      <c r="AD51" s="1" t="n">
        <v>0.48</v>
      </c>
      <c r="AE51" s="2" t="n">
        <f aca="false">AD49</f>
        <v>1.02</v>
      </c>
      <c r="AF51" s="2" t="n">
        <f aca="false">AD47</f>
        <v>0.72</v>
      </c>
      <c r="AG51" s="2" t="n">
        <f aca="false">AD45</f>
        <v>0.28</v>
      </c>
      <c r="AH51" s="2" t="n">
        <f aca="false">AD43</f>
        <v>1.23</v>
      </c>
      <c r="AI51" s="2" t="n">
        <f aca="false">AD41</f>
        <v>1.41</v>
      </c>
      <c r="AJ51" s="2" t="n">
        <f aca="false">AD39</f>
        <v>0.84</v>
      </c>
      <c r="AK51" s="2" t="n">
        <f aca="false">AD37</f>
        <v>1.01</v>
      </c>
      <c r="AL51" s="2" t="n">
        <f aca="false">AD35</f>
        <v>1.26</v>
      </c>
      <c r="AM51" s="2" t="n">
        <f aca="false">AD33</f>
        <v>0.68</v>
      </c>
      <c r="AN51" s="2" t="n">
        <f aca="false">AD31</f>
        <v>1.26</v>
      </c>
      <c r="AO51" s="2" t="n">
        <f aca="false">AD29</f>
        <v>0.54</v>
      </c>
      <c r="AP51" s="1" t="n">
        <v>0</v>
      </c>
      <c r="AQ51" s="2" t="n">
        <f aca="false">AP49</f>
        <v>0</v>
      </c>
      <c r="AR51" s="2" t="n">
        <f aca="false">AP47</f>
        <v>0</v>
      </c>
      <c r="AS51" s="2" t="n">
        <f aca="false">AP45</f>
        <v>0</v>
      </c>
      <c r="AT51" s="2" t="n">
        <f aca="false">AP43</f>
        <v>0</v>
      </c>
      <c r="AU51" s="2" t="n">
        <f aca="false">AP41</f>
        <v>0</v>
      </c>
      <c r="AV51" s="2" t="n">
        <f aca="false">AP39</f>
        <v>0</v>
      </c>
      <c r="AW51" s="2" t="n">
        <f aca="false">AP37</f>
        <v>0</v>
      </c>
      <c r="AX51" s="2" t="n">
        <f aca="false">AP35</f>
        <v>0</v>
      </c>
      <c r="AY51" s="2" t="n">
        <f aca="false">AP33</f>
        <v>0</v>
      </c>
      <c r="AZ51" s="2" t="n">
        <f aca="false">AP31</f>
        <v>0</v>
      </c>
      <c r="BA51" s="2" t="n">
        <f aca="false">AP29</f>
        <v>0</v>
      </c>
      <c r="BB51" s="1" t="n">
        <v>2</v>
      </c>
      <c r="BC51" s="2" t="n">
        <f aca="false">BB49</f>
        <v>22</v>
      </c>
      <c r="BD51" s="2" t="n">
        <f aca="false">BB47</f>
        <v>32</v>
      </c>
      <c r="BE51" s="2" t="n">
        <f aca="false">BB45</f>
        <v>11</v>
      </c>
      <c r="BF51" s="2" t="n">
        <f aca="false">BB43</f>
        <v>18</v>
      </c>
      <c r="BG51" s="2" t="n">
        <f aca="false">BB41</f>
        <v>14</v>
      </c>
      <c r="BH51" s="2" t="n">
        <f aca="false">BB39</f>
        <v>15</v>
      </c>
      <c r="BI51" s="2" t="n">
        <f aca="false">BB37</f>
        <v>26</v>
      </c>
      <c r="BJ51" s="2" t="n">
        <f aca="false">BB35</f>
        <v>9</v>
      </c>
      <c r="BK51" s="2" t="n">
        <f aca="false">BB33</f>
        <v>10</v>
      </c>
      <c r="BL51" s="2" t="n">
        <f aca="false">BB31</f>
        <v>2</v>
      </c>
      <c r="BM51" s="2" t="n">
        <f aca="false">BB29</f>
        <v>9</v>
      </c>
      <c r="BN51" s="1" t="n">
        <v>0</v>
      </c>
      <c r="BO51" s="2" t="n">
        <f aca="false">BN49</f>
        <v>0</v>
      </c>
      <c r="BP51" s="2" t="n">
        <f aca="false">BN47</f>
        <v>0</v>
      </c>
      <c r="BQ51" s="2" t="n">
        <f aca="false">BN45</f>
        <v>0</v>
      </c>
      <c r="BR51" s="2" t="n">
        <f aca="false">BN43</f>
        <v>0</v>
      </c>
      <c r="BS51" s="2" t="n">
        <f aca="false">BN41</f>
        <v>0</v>
      </c>
      <c r="BT51" s="2" t="n">
        <f aca="false">BN39</f>
        <v>0</v>
      </c>
      <c r="BU51" s="2" t="n">
        <f aca="false">BN37</f>
        <v>0</v>
      </c>
      <c r="BV51" s="2" t="n">
        <f aca="false">BN35</f>
        <v>0</v>
      </c>
      <c r="BW51" s="2" t="n">
        <f aca="false">BN33</f>
        <v>0</v>
      </c>
      <c r="BX51" s="2" t="n">
        <f aca="false">BN31</f>
        <v>0</v>
      </c>
      <c r="BY51" s="2" t="n">
        <f aca="false">BN29</f>
        <v>0</v>
      </c>
      <c r="BZ51" s="1" t="n">
        <v>11.11</v>
      </c>
      <c r="CA51" s="2" t="n">
        <f aca="false">BZ49</f>
        <v>2.10773</v>
      </c>
      <c r="CB51" s="2" t="n">
        <f aca="false">BZ47</f>
        <v>1.05688</v>
      </c>
      <c r="CC51" s="2" t="n">
        <f aca="false">BZ45</f>
        <v>1.20909</v>
      </c>
      <c r="CD51" s="2" t="n">
        <f aca="false">BZ43</f>
        <v>3.19833</v>
      </c>
      <c r="CE51" s="2" t="n">
        <f aca="false">BZ41</f>
        <v>4.69786</v>
      </c>
      <c r="CF51" s="2" t="n">
        <f aca="false">BZ39</f>
        <v>2.61667</v>
      </c>
      <c r="CG51" s="2" t="n">
        <f aca="false">BZ37</f>
        <v>1.805</v>
      </c>
      <c r="CH51" s="2" t="n">
        <f aca="false">BZ35</f>
        <v>6.55111</v>
      </c>
      <c r="CI51" s="2" t="n">
        <f aca="false">BZ33</f>
        <v>3.183</v>
      </c>
      <c r="CJ51" s="2" t="n">
        <f aca="false">BZ31</f>
        <v>29.495</v>
      </c>
      <c r="CK51" s="2" t="n">
        <f aca="false">BZ29</f>
        <v>2.81222</v>
      </c>
      <c r="CL51" s="1" t="n">
        <v>0</v>
      </c>
      <c r="CM51" s="2" t="n">
        <f aca="false">CL49</f>
        <v>0</v>
      </c>
      <c r="CN51" s="2" t="n">
        <f aca="false">CL47</f>
        <v>0</v>
      </c>
      <c r="CO51" s="2" t="n">
        <f aca="false">CL45</f>
        <v>0</v>
      </c>
      <c r="CP51" s="2" t="n">
        <f aca="false">CL43</f>
        <v>0</v>
      </c>
      <c r="CQ51" s="2" t="n">
        <f aca="false">CL41</f>
        <v>0</v>
      </c>
      <c r="CR51" s="2" t="n">
        <f aca="false">CL39</f>
        <v>0</v>
      </c>
      <c r="CS51" s="2" t="n">
        <f aca="false">CL37</f>
        <v>0</v>
      </c>
      <c r="CT51" s="2" t="n">
        <f aca="false">CL35</f>
        <v>0</v>
      </c>
      <c r="CU51" s="2" t="n">
        <f aca="false">CL33</f>
        <v>0</v>
      </c>
      <c r="CV51" s="2" t="n">
        <f aca="false">CL31</f>
        <v>2</v>
      </c>
      <c r="CW51" s="2" t="n">
        <f aca="false">CL29</f>
        <v>0</v>
      </c>
      <c r="CX51" s="1" t="n">
        <v>84.8567</v>
      </c>
      <c r="CY51" s="2" t="n">
        <f aca="false">CX49</f>
        <v>64.6182</v>
      </c>
      <c r="CZ51" s="2" t="n">
        <f aca="false">CX47</f>
        <v>46.5839</v>
      </c>
      <c r="DA51" s="2" t="n">
        <f aca="false">CX45</f>
        <v>50.4069</v>
      </c>
      <c r="DB51" s="2" t="n">
        <f aca="false">CX43</f>
        <v>72.6375</v>
      </c>
      <c r="DC51" s="2" t="n">
        <f aca="false">CX41</f>
        <v>77.9832</v>
      </c>
      <c r="DD51" s="2" t="n">
        <f aca="false">CX39</f>
        <v>69.0849</v>
      </c>
      <c r="DE51" s="2" t="n">
        <f aca="false">CX37</f>
        <v>61.0128</v>
      </c>
      <c r="DF51" s="2" t="n">
        <f aca="false">CX35</f>
        <v>81.321</v>
      </c>
      <c r="DG51" s="2" t="n">
        <f aca="false">CX33</f>
        <v>72.5589</v>
      </c>
      <c r="DH51" s="2" t="n">
        <f aca="false">CX31</f>
        <v>88.0582</v>
      </c>
      <c r="DI51" s="2" t="n">
        <f aca="false">CX29</f>
        <v>70.4251</v>
      </c>
      <c r="DJ51" s="1" t="s">
        <v>176</v>
      </c>
      <c r="DK51" s="2" t="str">
        <f aca="false">DJ49</f>
        <v>LH</v>
      </c>
      <c r="DL51" s="2" t="str">
        <f aca="false">DJ47</f>
        <v>LH</v>
      </c>
      <c r="DM51" s="2" t="str">
        <f aca="false">DJ45</f>
        <v>LH</v>
      </c>
      <c r="DN51" s="2" t="str">
        <f aca="false">DJ43</f>
        <v>LH</v>
      </c>
      <c r="DO51" s="2" t="str">
        <f aca="false">DJ41</f>
        <v>HH</v>
      </c>
      <c r="DP51" s="2" t="str">
        <f aca="false">DJ39</f>
        <v>LH</v>
      </c>
      <c r="DQ51" s="2" t="str">
        <f aca="false">DJ37</f>
        <v>LH</v>
      </c>
      <c r="DR51" s="2" t="str">
        <f aca="false">DJ35</f>
        <v>HH</v>
      </c>
      <c r="DS51" s="2" t="str">
        <f aca="false">DJ33</f>
        <v>LH</v>
      </c>
      <c r="DT51" s="2" t="str">
        <f aca="false">DJ31</f>
        <v>HH</v>
      </c>
      <c r="DU51" s="2" t="str">
        <f aca="false">DJ29</f>
        <v>LH</v>
      </c>
      <c r="DV51" s="2" t="n">
        <f aca="false">IFERROR((G51-$F51)/$F51*100,"")</f>
        <v>-0.187846382438746</v>
      </c>
      <c r="DW51" s="2" t="n">
        <f aca="false">IFERROR((H51-$F51)/$F51*100,"")</f>
        <v>1.97368849169768</v>
      </c>
      <c r="DX51" s="2" t="n">
        <f aca="false">IFERROR((I51-$F51)/$F51*100,"")</f>
        <v>2.22205351235861</v>
      </c>
      <c r="DY51" s="2" t="n">
        <f aca="false">IFERROR((J51-$F51)/$F51*100,"")</f>
        <v>2.59796318991791</v>
      </c>
      <c r="DZ51" s="2" t="n">
        <f aca="false">IFERROR((K51-$F51)/$F51*100,"")</f>
        <v>2.82723989458044</v>
      </c>
      <c r="EA51" s="2" t="n">
        <f aca="false">IFERROR((L51-$F51)/$F51*100,"")</f>
        <v>1.8929969740681</v>
      </c>
      <c r="EB51" s="2" t="n">
        <f aca="false">IFERROR((M51-$F51)/$F51*100,"")</f>
        <v>2.19255338763381</v>
      </c>
      <c r="EC51" s="2" t="n">
        <f aca="false">IFERROR((N51-$F51)/$F51*100,"")</f>
        <v>2.88645705671183</v>
      </c>
      <c r="ED51" s="2" t="n">
        <f aca="false">IFERROR((O51-$F51)/$F51*100,"")</f>
        <v>2.48885611097254</v>
      </c>
      <c r="EE51" s="2" t="n">
        <f aca="false">IFERROR((P51-$F51)/$F51*100,"")</f>
        <v>3.10575577801157</v>
      </c>
      <c r="EF51" s="2" t="n">
        <f aca="false">IFERROR((Q51-$F51)/$F51*100,"")</f>
        <v>3.0192076179734</v>
      </c>
      <c r="EG51" s="2" t="str">
        <f aca="false">IF(DV51="","",IF(AND(ABS(DV51)&lt;=0.25,$E51="Bottom",DK51="LL"),"EQL",IF(AND(ABS(DV51)&lt;=0.25,$E51="Peak",DK51="HH"),"EQH","")))</f>
        <v/>
      </c>
      <c r="EH51" s="2" t="str">
        <f aca="false">IF(DW51="","",IF(AND(ABS(DW51)&lt;=0.25,$E51="Bottom",DL51="LL"),"EQL",IF(AND(ABS(DW51)&lt;=0.25,$E51="Peak",DL51="HH"),"EQH","")))</f>
        <v/>
      </c>
      <c r="EI51" s="2" t="str">
        <f aca="false">IF(DX51="","",IF(AND(ABS(DX51)&lt;=0.25,$E51="Bottom",DM51="LL"),"EQL",IF(AND(ABS(DX51)&lt;=0.25,$E51="Peak",DM51="HH"),"EQH","")))</f>
        <v/>
      </c>
      <c r="EJ51" s="2" t="str">
        <f aca="false">IF(DY51="","",IF(AND(ABS(DY51)&lt;=0.25,$E51="Bottom",DN51="LL"),"EQL",IF(AND(ABS(DY51)&lt;=0.25,$E51="Peak",DN51="HH"),"EQH","")))</f>
        <v/>
      </c>
      <c r="EK51" s="2" t="str">
        <f aca="false">IF(DZ51="","",IF(AND(ABS(DZ51)&lt;=0.25,$E51="Bottom",DO51="LL"),"EQL",IF(AND(ABS(DZ51)&lt;=0.25,$E51="Peak",DO51="HH"),"EQH","")))</f>
        <v/>
      </c>
      <c r="EL51" s="2" t="str">
        <f aca="false">IF(EA51="","",IF(AND(ABS(EA51)&lt;=0.25,$E51="Bottom",DP51="LL"),"EQL",IF(AND(ABS(EA51)&lt;=0.25,$E51="Peak",DP51="HH"),"EQH","")))</f>
        <v/>
      </c>
      <c r="EM51" s="2" t="str">
        <f aca="false">IF(EB51="","",IF(AND(ABS(EB51)&lt;=0.25,$E51="Bottom",DQ51="LL"),"EQL",IF(AND(ABS(EB51)&lt;=0.25,$E51="Peak",DQ51="HH"),"EQH","")))</f>
        <v/>
      </c>
      <c r="EN51" s="2" t="str">
        <f aca="false">IF(EC51="","",IF(AND(ABS(EC51)&lt;=0.25,$E51="Bottom",DR51="LL"),"EQL",IF(AND(ABS(EC51)&lt;=0.25,$E51="Peak",DR51="HH"),"EQH","")))</f>
        <v/>
      </c>
      <c r="EO51" s="2" t="str">
        <f aca="false">IF(ED51="","",IF(AND(ABS(ED51)&lt;=0.25,$E51="Bottom",DS51="LL"),"EQL",IF(AND(ABS(ED51)&lt;=0.25,$E51="Peak",DS51="HH"),"EQH","")))</f>
        <v/>
      </c>
      <c r="EP51" s="2" t="str">
        <f aca="false">IF(EE51="","",IF(AND(ABS(EE51)&lt;=0.25,$E51="Bottom",DT51="LL"),"EQL",IF(AND(ABS(EE51)&lt;=0.25,$E51="Peak",DT51="HH"),"EQH","")))</f>
        <v/>
      </c>
      <c r="EQ51" s="2" t="str">
        <f aca="false">IF(EF51="","",IF(AND(ABS(EF51)&lt;=0.25,$E51="Bottom",DU51="LL"),"EQL",IF(AND(ABS(EF51)&lt;=0.25,$E51="Peak",DU51="HH"),"EQH","")))</f>
        <v/>
      </c>
      <c r="ER51" s="2" t="str">
        <f aca="false">IF(OR(EG51="EQL",EG51="EQH"),G51,"")</f>
        <v/>
      </c>
      <c r="ES51" s="2" t="str">
        <f aca="false">IF(OR(EH51="EQL",EH51="EQH"),H51,"")</f>
        <v/>
      </c>
      <c r="ET51" s="2" t="str">
        <f aca="false">IF(OR(EI51="EQL",EI51="EQH"),I51,"")</f>
        <v/>
      </c>
      <c r="EU51" s="2" t="str">
        <f aca="false">IF(OR(EJ51="EQL",EJ51="EQH"),J51,"")</f>
        <v/>
      </c>
      <c r="EV51" s="2" t="str">
        <f aca="false">IF(OR(EK51="EQL",EK51="EQH"),K51,"")</f>
        <v/>
      </c>
      <c r="EW51" s="2" t="str">
        <f aca="false">IF(OR(EL51="EQL",EL51="EQH"),L51,"")</f>
        <v/>
      </c>
      <c r="EX51" s="2" t="str">
        <f aca="false">IF(OR(EM51="EQL",EM51="EQH"),M51,"")</f>
        <v/>
      </c>
      <c r="EY51" s="2" t="str">
        <f aca="false">IF(OR(EN51="EQL",EN51="EQH"),N51,"")</f>
        <v/>
      </c>
      <c r="EZ51" s="2" t="str">
        <f aca="false">IF(OR(EO51="EQL",EO51="EQH"),O51,"")</f>
        <v/>
      </c>
      <c r="FA51" s="2" t="str">
        <f aca="false">IF(OR(EP51="EQL",EP51="EQH"),P51,"")</f>
        <v/>
      </c>
      <c r="FB51" s="2" t="str">
        <f aca="false">IF(OR(EQ51="EQL",EQ51="EQH"),Q51,"")</f>
        <v/>
      </c>
      <c r="FC51" s="2" t="str">
        <f aca="false">IF(AND(EG51="EQL",OR(AQ51=4,AQ51=5)),"IEQL",IF(AND(EG51="EQH",OR(AQ51=1,AQ51=2)),"IEQH",""))</f>
        <v/>
      </c>
      <c r="FD51" s="2" t="str">
        <f aca="false">IF(AND(EH51="EQL",OR(AR51=4,AR51=5)),"IEQL",IF(AND(EH51="EQH",OR(AR51=1,AR51=2)),"IEQH",""))</f>
        <v/>
      </c>
      <c r="FE51" s="2" t="str">
        <f aca="false">IF(AND(EI51="EQL",OR(AS51=4,AS51=5)),"IEQL",IF(AND(EI51="EQH",OR(AS51=1,AS51=2)),"IEQH",""))</f>
        <v/>
      </c>
      <c r="FF51" s="2" t="str">
        <f aca="false">IF(AND(EJ51="EQL",OR(AT51=4,AT51=5)),"IEQL",IF(AND(EJ51="EQH",OR(AT51=1,AT51=2)),"IEQH",""))</f>
        <v/>
      </c>
      <c r="FG51" s="2" t="str">
        <f aca="false">IF(AND(EK51="EQL",OR(AU51=4,AU51=5)),"IEQL",IF(AND(EK51="EQH",OR(AU51=1,AU51=2)),"IEQH",""))</f>
        <v/>
      </c>
      <c r="FH51" s="2" t="str">
        <f aca="false">IF(AND(EL51="EQL",OR(AV51=4,AV51=5)),"IEQL",IF(AND(EL51="EQH",OR(AV51=1,AV51=2)),"IEQH",""))</f>
        <v/>
      </c>
      <c r="FI51" s="2" t="str">
        <f aca="false">IF(AND(EM51="EQL",OR(AW51=4,AW51=5)),"IEQL",IF(AND(EM51="EQH",OR(AW51=1,AW51=2)),"IEQH",""))</f>
        <v/>
      </c>
      <c r="FJ51" s="2" t="str">
        <f aca="false">IF(AND(EN51="EQL",OR(AX51=4,AX51=5)),"IEQL",IF(AND(EN51="EQH",OR(AX51=1,AX51=2)),"IEQH",""))</f>
        <v/>
      </c>
      <c r="FK51" s="2" t="str">
        <f aca="false">IF(AND(EO51="EQL",OR(AY51=4,AY51=5)),"IEQL",IF(AND(EO51="EQH",OR(AY51=1,AY51=2)),"IEQH",""))</f>
        <v/>
      </c>
      <c r="FL51" s="2" t="str">
        <f aca="false">IF(AND(EP51="EQL",OR(AZ51=4,AZ51=5)),"IEQL",IF(AND(EP51="EQH",OR(AZ51=1,AZ51=2)),"IEQH",""))</f>
        <v/>
      </c>
      <c r="FM51" s="2" t="str">
        <f aca="false">IF(AND(EQ51="EQL",OR(BA51=4,BA51=5)),"IEQL",IF(AND(EQ51="EQH",OR(BA51=1,BA51=2)),"IEQH",""))</f>
        <v/>
      </c>
    </row>
    <row r="52" customFormat="false" ht="14.25" hidden="false" customHeight="false" outlineLevel="0" collapsed="false">
      <c r="A52" s="1" t="n">
        <v>1777424402</v>
      </c>
      <c r="B52" s="1" t="s">
        <v>169</v>
      </c>
      <c r="C52" s="1" t="s">
        <v>170</v>
      </c>
      <c r="D52" s="1" t="n">
        <v>4582.65</v>
      </c>
      <c r="E52" s="1" t="s">
        <v>171</v>
      </c>
      <c r="F52" s="1" t="n">
        <v>4575.84</v>
      </c>
      <c r="G52" s="2" t="n">
        <f aca="false">F50</f>
        <v>4587.93</v>
      </c>
      <c r="H52" s="2" t="n">
        <f aca="false">F48</f>
        <v>4555.12</v>
      </c>
      <c r="I52" s="2" t="n">
        <f aca="false">F46</f>
        <v>4667.32</v>
      </c>
      <c r="J52" s="2" t="n">
        <f aca="false">F44</f>
        <v>4699.29</v>
      </c>
      <c r="K52" s="2" t="n">
        <f aca="false">F42</f>
        <v>4672.35</v>
      </c>
      <c r="L52" s="2" t="n">
        <f aca="false">F40</f>
        <v>4674.72</v>
      </c>
      <c r="M52" s="2" t="n">
        <f aca="false">F38</f>
        <v>4658.17</v>
      </c>
      <c r="N52" s="2" t="n">
        <f aca="false">F36</f>
        <v>4664.3</v>
      </c>
      <c r="O52" s="2" t="n">
        <f aca="false">F34</f>
        <v>4684.26</v>
      </c>
      <c r="P52" s="2" t="n">
        <f aca="false">F32</f>
        <v>4693.06</v>
      </c>
      <c r="Q52" s="2" t="n">
        <f aca="false">F30</f>
        <v>4694.34</v>
      </c>
      <c r="R52" s="1" t="n">
        <v>-34.31</v>
      </c>
      <c r="S52" s="2" t="n">
        <f aca="false">R50</f>
        <v>-13.56</v>
      </c>
      <c r="T52" s="2" t="n">
        <f aca="false">R48</f>
        <v>-146.02</v>
      </c>
      <c r="U52" s="2" t="n">
        <f aca="false">R46</f>
        <v>-45.27</v>
      </c>
      <c r="V52" s="2" t="n">
        <f aca="false">R44</f>
        <v>-30.63</v>
      </c>
      <c r="W52" s="2" t="n">
        <f aca="false">R42</f>
        <v>-68.14</v>
      </c>
      <c r="X52" s="2" t="n">
        <f aca="false">R40</f>
        <v>-22.7</v>
      </c>
      <c r="Y52" s="2" t="n">
        <f aca="false">R38</f>
        <v>-53.06</v>
      </c>
      <c r="Z52" s="2" t="n">
        <f aca="false">R36</f>
        <v>-78.92</v>
      </c>
      <c r="AA52" s="2" t="n">
        <f aca="false">R34</f>
        <v>-40.63</v>
      </c>
      <c r="AB52" s="2" t="n">
        <f aca="false">R32</f>
        <v>-60.27</v>
      </c>
      <c r="AC52" s="2" t="n">
        <f aca="false">R30</f>
        <v>-55</v>
      </c>
      <c r="AD52" s="1" t="n">
        <v>-0.74</v>
      </c>
      <c r="AE52" s="2" t="n">
        <f aca="false">AD50</f>
        <v>-0.29</v>
      </c>
      <c r="AF52" s="2" t="n">
        <f aca="false">AD48</f>
        <v>-3.11</v>
      </c>
      <c r="AG52" s="2" t="n">
        <f aca="false">AD46</f>
        <v>-0.96</v>
      </c>
      <c r="AH52" s="2" t="n">
        <f aca="false">AD44</f>
        <v>-0.65</v>
      </c>
      <c r="AI52" s="2" t="n">
        <f aca="false">AD42</f>
        <v>-1.44</v>
      </c>
      <c r="AJ52" s="2" t="n">
        <f aca="false">AD40</f>
        <v>-0.48</v>
      </c>
      <c r="AK52" s="2" t="n">
        <f aca="false">AD38</f>
        <v>-1.13</v>
      </c>
      <c r="AL52" s="2" t="n">
        <f aca="false">AD36</f>
        <v>-1.66</v>
      </c>
      <c r="AM52" s="2" t="n">
        <f aca="false">AD34</f>
        <v>-0.86</v>
      </c>
      <c r="AN52" s="2" t="n">
        <f aca="false">AD32</f>
        <v>-1.27</v>
      </c>
      <c r="AO52" s="2" t="n">
        <f aca="false">AD30</f>
        <v>-1.16</v>
      </c>
      <c r="AP52" s="1" t="n">
        <v>3</v>
      </c>
      <c r="AQ52" s="2" t="n">
        <f aca="false">AP50</f>
        <v>3</v>
      </c>
      <c r="AR52" s="2" t="n">
        <f aca="false">AP48</f>
        <v>5</v>
      </c>
      <c r="AS52" s="2" t="n">
        <f aca="false">AP46</f>
        <v>3</v>
      </c>
      <c r="AT52" s="2" t="n">
        <f aca="false">AP44</f>
        <v>3</v>
      </c>
      <c r="AU52" s="2" t="n">
        <f aca="false">AP42</f>
        <v>3</v>
      </c>
      <c r="AV52" s="2" t="n">
        <f aca="false">AP40</f>
        <v>3</v>
      </c>
      <c r="AW52" s="2" t="n">
        <f aca="false">AP38</f>
        <v>3</v>
      </c>
      <c r="AX52" s="2" t="n">
        <f aca="false">AP36</f>
        <v>3</v>
      </c>
      <c r="AY52" s="2" t="n">
        <f aca="false">AP34</f>
        <v>3</v>
      </c>
      <c r="AZ52" s="2" t="n">
        <f aca="false">AP32</f>
        <v>3</v>
      </c>
      <c r="BA52" s="2" t="n">
        <f aca="false">AP30</f>
        <v>3</v>
      </c>
      <c r="BB52" s="1" t="n">
        <v>4</v>
      </c>
      <c r="BC52" s="2" t="n">
        <f aca="false">BB50</f>
        <v>20</v>
      </c>
      <c r="BD52" s="2" t="n">
        <f aca="false">BB48</f>
        <v>48</v>
      </c>
      <c r="BE52" s="2" t="n">
        <f aca="false">BB46</f>
        <v>11</v>
      </c>
      <c r="BF52" s="2" t="n">
        <f aca="false">BB44</f>
        <v>20</v>
      </c>
      <c r="BG52" s="2" t="n">
        <f aca="false">BB42</f>
        <v>36</v>
      </c>
      <c r="BH52" s="2" t="n">
        <f aca="false">BB40</f>
        <v>9</v>
      </c>
      <c r="BI52" s="2" t="n">
        <f aca="false">BB38</f>
        <v>13</v>
      </c>
      <c r="BJ52" s="2" t="n">
        <f aca="false">BB36</f>
        <v>20</v>
      </c>
      <c r="BK52" s="2" t="n">
        <f aca="false">BB34</f>
        <v>10</v>
      </c>
      <c r="BL52" s="2" t="n">
        <f aca="false">BB32</f>
        <v>19</v>
      </c>
      <c r="BM52" s="2" t="n">
        <f aca="false">BB30</f>
        <v>18</v>
      </c>
      <c r="BN52" s="1" t="n">
        <v>3</v>
      </c>
      <c r="BO52" s="2" t="n">
        <f aca="false">BN50</f>
        <v>3</v>
      </c>
      <c r="BP52" s="2" t="n">
        <f aca="false">BN48</f>
        <v>5</v>
      </c>
      <c r="BQ52" s="2" t="n">
        <f aca="false">BN46</f>
        <v>3</v>
      </c>
      <c r="BR52" s="2" t="n">
        <f aca="false">BN44</f>
        <v>3</v>
      </c>
      <c r="BS52" s="2" t="n">
        <f aca="false">BN42</f>
        <v>4</v>
      </c>
      <c r="BT52" s="2" t="n">
        <f aca="false">BN40</f>
        <v>3</v>
      </c>
      <c r="BU52" s="2" t="n">
        <f aca="false">BN38</f>
        <v>3</v>
      </c>
      <c r="BV52" s="2" t="n">
        <f aca="false">BN36</f>
        <v>3</v>
      </c>
      <c r="BW52" s="2" t="n">
        <f aca="false">BN34</f>
        <v>3</v>
      </c>
      <c r="BX52" s="2" t="n">
        <f aca="false">BN32</f>
        <v>3</v>
      </c>
      <c r="BY52" s="2" t="n">
        <f aca="false">BN30</f>
        <v>3</v>
      </c>
      <c r="BZ52" s="1" t="n">
        <v>-8.5775</v>
      </c>
      <c r="CA52" s="2" t="n">
        <f aca="false">BZ50</f>
        <v>-0.678</v>
      </c>
      <c r="CB52" s="2" t="n">
        <f aca="false">BZ48</f>
        <v>-3.04208</v>
      </c>
      <c r="CC52" s="2" t="n">
        <f aca="false">BZ46</f>
        <v>-4.11545</v>
      </c>
      <c r="CD52" s="2" t="n">
        <f aca="false">BZ44</f>
        <v>-1.5315</v>
      </c>
      <c r="CE52" s="2" t="n">
        <f aca="false">BZ42</f>
        <v>-1.89278</v>
      </c>
      <c r="CF52" s="2" t="n">
        <f aca="false">BZ40</f>
        <v>-2.52222</v>
      </c>
      <c r="CG52" s="2" t="n">
        <f aca="false">BZ38</f>
        <v>-4.08154</v>
      </c>
      <c r="CH52" s="2" t="n">
        <f aca="false">BZ36</f>
        <v>-3.946</v>
      </c>
      <c r="CI52" s="2" t="n">
        <f aca="false">BZ34</f>
        <v>-4.063</v>
      </c>
      <c r="CJ52" s="2" t="n">
        <f aca="false">BZ32</f>
        <v>-3.17211</v>
      </c>
      <c r="CK52" s="2" t="n">
        <f aca="false">BZ30</f>
        <v>-3.05556</v>
      </c>
      <c r="CL52" s="1" t="n">
        <v>3</v>
      </c>
      <c r="CM52" s="2" t="n">
        <f aca="false">CL50</f>
        <v>3</v>
      </c>
      <c r="CN52" s="2" t="n">
        <f aca="false">CL48</f>
        <v>3</v>
      </c>
      <c r="CO52" s="2" t="n">
        <f aca="false">CL46</f>
        <v>3</v>
      </c>
      <c r="CP52" s="2" t="n">
        <f aca="false">CL44</f>
        <v>3</v>
      </c>
      <c r="CQ52" s="2" t="n">
        <f aca="false">CL42</f>
        <v>3</v>
      </c>
      <c r="CR52" s="2" t="n">
        <f aca="false">CL40</f>
        <v>3</v>
      </c>
      <c r="CS52" s="2" t="n">
        <f aca="false">CL38</f>
        <v>3</v>
      </c>
      <c r="CT52" s="2" t="n">
        <f aca="false">CL36</f>
        <v>3</v>
      </c>
      <c r="CU52" s="2" t="n">
        <f aca="false">CL34</f>
        <v>3</v>
      </c>
      <c r="CV52" s="2" t="n">
        <f aca="false">CL32</f>
        <v>3</v>
      </c>
      <c r="CW52" s="2" t="n">
        <f aca="false">CL30</f>
        <v>3</v>
      </c>
      <c r="CX52" s="1" t="n">
        <v>-83.3502</v>
      </c>
      <c r="CY52" s="2" t="n">
        <f aca="false">CX50</f>
        <v>-34.1373</v>
      </c>
      <c r="CZ52" s="2" t="n">
        <f aca="false">CX48</f>
        <v>-71.8032</v>
      </c>
      <c r="DA52" s="2" t="n">
        <f aca="false">CX46</f>
        <v>-76.3426</v>
      </c>
      <c r="DB52" s="2" t="n">
        <f aca="false">CX44</f>
        <v>-56.8573</v>
      </c>
      <c r="DC52" s="2" t="n">
        <f aca="false">CX42</f>
        <v>-62.1514</v>
      </c>
      <c r="DD52" s="2" t="n">
        <f aca="false">CX40</f>
        <v>-68.3729</v>
      </c>
      <c r="DE52" s="2" t="n">
        <f aca="false">CX38</f>
        <v>-76.2334</v>
      </c>
      <c r="DF52" s="2" t="n">
        <f aca="false">CX36</f>
        <v>-75.7794</v>
      </c>
      <c r="DG52" s="2" t="n">
        <f aca="false">CX34</f>
        <v>-76.173</v>
      </c>
      <c r="DH52" s="2" t="n">
        <f aca="false">CX32</f>
        <v>-72.5026</v>
      </c>
      <c r="DI52" s="2" t="n">
        <f aca="false">CX30</f>
        <v>-71.8781</v>
      </c>
      <c r="DJ52" s="1" t="s">
        <v>172</v>
      </c>
      <c r="DK52" s="2" t="str">
        <f aca="false">DJ50</f>
        <v>HL</v>
      </c>
      <c r="DL52" s="2" t="str">
        <f aca="false">DJ48</f>
        <v>LL</v>
      </c>
      <c r="DM52" s="2" t="str">
        <f aca="false">DJ46</f>
        <v>LL</v>
      </c>
      <c r="DN52" s="2" t="str">
        <f aca="false">DJ44</f>
        <v>HL</v>
      </c>
      <c r="DO52" s="2" t="str">
        <f aca="false">DJ42</f>
        <v>LL</v>
      </c>
      <c r="DP52" s="2" t="str">
        <f aca="false">DJ40</f>
        <v>HL</v>
      </c>
      <c r="DQ52" s="2" t="str">
        <f aca="false">DJ38</f>
        <v>LL</v>
      </c>
      <c r="DR52" s="2" t="str">
        <f aca="false">DJ36</f>
        <v>LL</v>
      </c>
      <c r="DS52" s="2" t="str">
        <f aca="false">DJ34</f>
        <v>LL</v>
      </c>
      <c r="DT52" s="2" t="str">
        <f aca="false">DJ32</f>
        <v>LL</v>
      </c>
      <c r="DU52" s="2" t="str">
        <f aca="false">DJ30</f>
        <v>LL</v>
      </c>
      <c r="DV52" s="2" t="n">
        <f aca="false">IFERROR((G52-$F52)/$F52*100,"")</f>
        <v>0.264213783698734</v>
      </c>
      <c r="DW52" s="2" t="n">
        <f aca="false">IFERROR((H52-$F52)/$F52*100,"")</f>
        <v>-0.452813035420824</v>
      </c>
      <c r="DX52" s="2" t="n">
        <f aca="false">IFERROR((I52-$F52)/$F52*100,"")</f>
        <v>1.99919577607608</v>
      </c>
      <c r="DY52" s="2" t="n">
        <f aca="false">IFERROR((J52-$F52)/$F52*100,"")</f>
        <v>2.69786530997587</v>
      </c>
      <c r="DZ52" s="2" t="n">
        <f aca="false">IFERROR((K52-$F52)/$F52*100,"")</f>
        <v>2.10912094828491</v>
      </c>
      <c r="EA52" s="2" t="n">
        <f aca="false">IFERROR((L52-$F52)/$F52*100,"")</f>
        <v>2.16091471729781</v>
      </c>
      <c r="EB52" s="2" t="n">
        <f aca="false">IFERROR((M52-$F52)/$F52*100,"")</f>
        <v>1.79923249064652</v>
      </c>
      <c r="EC52" s="2" t="n">
        <f aca="false">IFERROR((N52-$F52)/$F52*100,"")</f>
        <v>1.93319696492884</v>
      </c>
      <c r="ED52" s="2" t="n">
        <f aca="false">IFERROR((O52-$F52)/$F52*100,"")</f>
        <v>2.36940102800797</v>
      </c>
      <c r="EE52" s="2" t="n">
        <f aca="false">IFERROR((P52-$F52)/$F52*100,"")</f>
        <v>2.56171544459597</v>
      </c>
      <c r="EF52" s="2" t="n">
        <f aca="false">IFERROR((Q52-$F52)/$F52*100,"")</f>
        <v>2.58968845064513</v>
      </c>
      <c r="EG52" s="2" t="str">
        <f aca="false">IF(DV52="","",IF(AND(ABS(DV52)&lt;=0.25,$E52="Bottom",DK52="LL"),"EQL",IF(AND(ABS(DV52)&lt;=0.25,$E52="Peak",DK52="HH"),"EQH","")))</f>
        <v/>
      </c>
      <c r="EH52" s="2" t="str">
        <f aca="false">IF(DW52="","",IF(AND(ABS(DW52)&lt;=0.25,$E52="Bottom",DL52="LL"),"EQL",IF(AND(ABS(DW52)&lt;=0.25,$E52="Peak",DL52="HH"),"EQH","")))</f>
        <v/>
      </c>
      <c r="EI52" s="2" t="str">
        <f aca="false">IF(DX52="","",IF(AND(ABS(DX52)&lt;=0.25,$E52="Bottom",DM52="LL"),"EQL",IF(AND(ABS(DX52)&lt;=0.25,$E52="Peak",DM52="HH"),"EQH","")))</f>
        <v/>
      </c>
      <c r="EJ52" s="2" t="str">
        <f aca="false">IF(DY52="","",IF(AND(ABS(DY52)&lt;=0.25,$E52="Bottom",DN52="LL"),"EQL",IF(AND(ABS(DY52)&lt;=0.25,$E52="Peak",DN52="HH"),"EQH","")))</f>
        <v/>
      </c>
      <c r="EK52" s="2" t="str">
        <f aca="false">IF(DZ52="","",IF(AND(ABS(DZ52)&lt;=0.25,$E52="Bottom",DO52="LL"),"EQL",IF(AND(ABS(DZ52)&lt;=0.25,$E52="Peak",DO52="HH"),"EQH","")))</f>
        <v/>
      </c>
      <c r="EL52" s="2" t="str">
        <f aca="false">IF(EA52="","",IF(AND(ABS(EA52)&lt;=0.25,$E52="Bottom",DP52="LL"),"EQL",IF(AND(ABS(EA52)&lt;=0.25,$E52="Peak",DP52="HH"),"EQH","")))</f>
        <v/>
      </c>
      <c r="EM52" s="2" t="str">
        <f aca="false">IF(EB52="","",IF(AND(ABS(EB52)&lt;=0.25,$E52="Bottom",DQ52="LL"),"EQL",IF(AND(ABS(EB52)&lt;=0.25,$E52="Peak",DQ52="HH"),"EQH","")))</f>
        <v/>
      </c>
      <c r="EN52" s="2" t="str">
        <f aca="false">IF(EC52="","",IF(AND(ABS(EC52)&lt;=0.25,$E52="Bottom",DR52="LL"),"EQL",IF(AND(ABS(EC52)&lt;=0.25,$E52="Peak",DR52="HH"),"EQH","")))</f>
        <v/>
      </c>
      <c r="EO52" s="2" t="str">
        <f aca="false">IF(ED52="","",IF(AND(ABS(ED52)&lt;=0.25,$E52="Bottom",DS52="LL"),"EQL",IF(AND(ABS(ED52)&lt;=0.25,$E52="Peak",DS52="HH"),"EQH","")))</f>
        <v/>
      </c>
      <c r="EP52" s="2" t="str">
        <f aca="false">IF(EE52="","",IF(AND(ABS(EE52)&lt;=0.25,$E52="Bottom",DT52="LL"),"EQL",IF(AND(ABS(EE52)&lt;=0.25,$E52="Peak",DT52="HH"),"EQH","")))</f>
        <v/>
      </c>
      <c r="EQ52" s="2" t="str">
        <f aca="false">IF(EF52="","",IF(AND(ABS(EF52)&lt;=0.25,$E52="Bottom",DU52="LL"),"EQL",IF(AND(ABS(EF52)&lt;=0.25,$E52="Peak",DU52="HH"),"EQH","")))</f>
        <v/>
      </c>
      <c r="ER52" s="2" t="str">
        <f aca="false">IF(OR(EG52="EQL",EG52="EQH"),G52,"")</f>
        <v/>
      </c>
      <c r="ES52" s="2" t="str">
        <f aca="false">IF(OR(EH52="EQL",EH52="EQH"),H52,"")</f>
        <v/>
      </c>
      <c r="ET52" s="2" t="str">
        <f aca="false">IF(OR(EI52="EQL",EI52="EQH"),I52,"")</f>
        <v/>
      </c>
      <c r="EU52" s="2" t="str">
        <f aca="false">IF(OR(EJ52="EQL",EJ52="EQH"),J52,"")</f>
        <v/>
      </c>
      <c r="EV52" s="2" t="str">
        <f aca="false">IF(OR(EK52="EQL",EK52="EQH"),K52,"")</f>
        <v/>
      </c>
      <c r="EW52" s="2" t="str">
        <f aca="false">IF(OR(EL52="EQL",EL52="EQH"),L52,"")</f>
        <v/>
      </c>
      <c r="EX52" s="2" t="str">
        <f aca="false">IF(OR(EM52="EQL",EM52="EQH"),M52,"")</f>
        <v/>
      </c>
      <c r="EY52" s="2" t="str">
        <f aca="false">IF(OR(EN52="EQL",EN52="EQH"),N52,"")</f>
        <v/>
      </c>
      <c r="EZ52" s="2" t="str">
        <f aca="false">IF(OR(EO52="EQL",EO52="EQH"),O52,"")</f>
        <v/>
      </c>
      <c r="FA52" s="2" t="str">
        <f aca="false">IF(OR(EP52="EQL",EP52="EQH"),P52,"")</f>
        <v/>
      </c>
      <c r="FB52" s="2" t="str">
        <f aca="false">IF(OR(EQ52="EQL",EQ52="EQH"),Q52,"")</f>
        <v/>
      </c>
      <c r="FC52" s="2" t="str">
        <f aca="false">IF(AND(EG52="EQL",OR(AQ52=4,AQ52=5)),"IEQL",IF(AND(EG52="EQH",OR(AQ52=1,AQ52=2)),"IEQH",""))</f>
        <v/>
      </c>
      <c r="FD52" s="2" t="str">
        <f aca="false">IF(AND(EH52="EQL",OR(AR52=4,AR52=5)),"IEQL",IF(AND(EH52="EQH",OR(AR52=1,AR52=2)),"IEQH",""))</f>
        <v/>
      </c>
      <c r="FE52" s="2" t="str">
        <f aca="false">IF(AND(EI52="EQL",OR(AS52=4,AS52=5)),"IEQL",IF(AND(EI52="EQH",OR(AS52=1,AS52=2)),"IEQH",""))</f>
        <v/>
      </c>
      <c r="FF52" s="2" t="str">
        <f aca="false">IF(AND(EJ52="EQL",OR(AT52=4,AT52=5)),"IEQL",IF(AND(EJ52="EQH",OR(AT52=1,AT52=2)),"IEQH",""))</f>
        <v/>
      </c>
      <c r="FG52" s="2" t="str">
        <f aca="false">IF(AND(EK52="EQL",OR(AU52=4,AU52=5)),"IEQL",IF(AND(EK52="EQH",OR(AU52=1,AU52=2)),"IEQH",""))</f>
        <v/>
      </c>
      <c r="FH52" s="2" t="str">
        <f aca="false">IF(AND(EL52="EQL",OR(AV52=4,AV52=5)),"IEQL",IF(AND(EL52="EQH",OR(AV52=1,AV52=2)),"IEQH",""))</f>
        <v/>
      </c>
      <c r="FI52" s="2" t="str">
        <f aca="false">IF(AND(EM52="EQL",OR(AW52=4,AW52=5)),"IEQL",IF(AND(EM52="EQH",OR(AW52=1,AW52=2)),"IEQH",""))</f>
        <v/>
      </c>
      <c r="FJ52" s="2" t="str">
        <f aca="false">IF(AND(EN52="EQL",OR(AX52=4,AX52=5)),"IEQL",IF(AND(EN52="EQH",OR(AX52=1,AX52=2)),"IEQH",""))</f>
        <v/>
      </c>
      <c r="FK52" s="2" t="str">
        <f aca="false">IF(AND(EO52="EQL",OR(AY52=4,AY52=5)),"IEQL",IF(AND(EO52="EQH",OR(AY52=1,AY52=2)),"IEQH",""))</f>
        <v/>
      </c>
      <c r="FL52" s="2" t="str">
        <f aca="false">IF(AND(EP52="EQL",OR(AZ52=4,AZ52=5)),"IEQL",IF(AND(EP52="EQH",OR(AZ52=1,AZ52=2)),"IEQH",""))</f>
        <v/>
      </c>
      <c r="FM52" s="2" t="str">
        <f aca="false">IF(AND(EQ52="EQL",OR(BA52=4,BA52=5)),"IEQL",IF(AND(EQ52="EQH",OR(BA52=1,BA52=2)),"IEQH",""))</f>
        <v/>
      </c>
    </row>
    <row r="53" customFormat="false" ht="14.25" hidden="false" customHeight="false" outlineLevel="0" collapsed="false">
      <c r="A53" s="1" t="n">
        <v>1777438802</v>
      </c>
      <c r="B53" s="1" t="s">
        <v>169</v>
      </c>
      <c r="C53" s="1" t="s">
        <v>170</v>
      </c>
      <c r="D53" s="1" t="n">
        <v>4601.15</v>
      </c>
      <c r="E53" s="1" t="s">
        <v>173</v>
      </c>
      <c r="F53" s="1" t="n">
        <v>4607.77</v>
      </c>
      <c r="G53" s="2" t="n">
        <f aca="false">F51</f>
        <v>4610.15</v>
      </c>
      <c r="H53" s="2" t="n">
        <f aca="false">F49</f>
        <v>4601.49</v>
      </c>
      <c r="I53" s="2" t="n">
        <f aca="false">F47</f>
        <v>4701.14</v>
      </c>
      <c r="J53" s="2" t="n">
        <f aca="false">F45</f>
        <v>4712.59</v>
      </c>
      <c r="K53" s="2" t="n">
        <f aca="false">F43</f>
        <v>4729.92</v>
      </c>
      <c r="L53" s="2" t="n">
        <f aca="false">F41</f>
        <v>4740.49</v>
      </c>
      <c r="M53" s="2" t="n">
        <f aca="false">F39</f>
        <v>4697.42</v>
      </c>
      <c r="N53" s="2" t="n">
        <f aca="false">F37</f>
        <v>4711.23</v>
      </c>
      <c r="O53" s="2" t="n">
        <f aca="false">F35</f>
        <v>4743.22</v>
      </c>
      <c r="P53" s="2" t="n">
        <f aca="false">F33</f>
        <v>4724.89</v>
      </c>
      <c r="Q53" s="2" t="n">
        <f aca="false">F31</f>
        <v>4753.33</v>
      </c>
      <c r="R53" s="1" t="n">
        <v>31.93</v>
      </c>
      <c r="S53" s="2" t="n">
        <f aca="false">R51</f>
        <v>22.22</v>
      </c>
      <c r="T53" s="2" t="n">
        <f aca="false">R49</f>
        <v>46.37</v>
      </c>
      <c r="U53" s="2" t="n">
        <f aca="false">R47</f>
        <v>33.82</v>
      </c>
      <c r="V53" s="2" t="n">
        <f aca="false">R45</f>
        <v>13.3</v>
      </c>
      <c r="W53" s="2" t="n">
        <f aca="false">R43</f>
        <v>57.57</v>
      </c>
      <c r="X53" s="2" t="n">
        <f aca="false">R41</f>
        <v>65.77</v>
      </c>
      <c r="Y53" s="2" t="n">
        <f aca="false">R39</f>
        <v>39.25</v>
      </c>
      <c r="Z53" s="2" t="n">
        <f aca="false">R37</f>
        <v>46.93</v>
      </c>
      <c r="AA53" s="2" t="n">
        <f aca="false">R35</f>
        <v>58.96</v>
      </c>
      <c r="AB53" s="2" t="n">
        <f aca="false">R33</f>
        <v>31.83</v>
      </c>
      <c r="AC53" s="2" t="n">
        <f aca="false">R31</f>
        <v>58.99</v>
      </c>
      <c r="AD53" s="1" t="n">
        <v>0.7</v>
      </c>
      <c r="AE53" s="2" t="n">
        <f aca="false">AD51</f>
        <v>0.48</v>
      </c>
      <c r="AF53" s="2" t="n">
        <f aca="false">AD49</f>
        <v>1.02</v>
      </c>
      <c r="AG53" s="2" t="n">
        <f aca="false">AD47</f>
        <v>0.72</v>
      </c>
      <c r="AH53" s="2" t="n">
        <f aca="false">AD45</f>
        <v>0.28</v>
      </c>
      <c r="AI53" s="2" t="n">
        <f aca="false">AD43</f>
        <v>1.23</v>
      </c>
      <c r="AJ53" s="2" t="n">
        <f aca="false">AD41</f>
        <v>1.41</v>
      </c>
      <c r="AK53" s="2" t="n">
        <f aca="false">AD39</f>
        <v>0.84</v>
      </c>
      <c r="AL53" s="2" t="n">
        <f aca="false">AD37</f>
        <v>1.01</v>
      </c>
      <c r="AM53" s="2" t="n">
        <f aca="false">AD35</f>
        <v>1.26</v>
      </c>
      <c r="AN53" s="2" t="n">
        <f aca="false">AD33</f>
        <v>0.68</v>
      </c>
      <c r="AO53" s="2" t="n">
        <f aca="false">AD31</f>
        <v>1.26</v>
      </c>
      <c r="AP53" s="1" t="n">
        <v>0</v>
      </c>
      <c r="AQ53" s="2" t="n">
        <f aca="false">AP51</f>
        <v>0</v>
      </c>
      <c r="AR53" s="2" t="n">
        <f aca="false">AP49</f>
        <v>0</v>
      </c>
      <c r="AS53" s="2" t="n">
        <f aca="false">AP47</f>
        <v>0</v>
      </c>
      <c r="AT53" s="2" t="n">
        <f aca="false">AP45</f>
        <v>0</v>
      </c>
      <c r="AU53" s="2" t="n">
        <f aca="false">AP43</f>
        <v>0</v>
      </c>
      <c r="AV53" s="2" t="n">
        <f aca="false">AP41</f>
        <v>0</v>
      </c>
      <c r="AW53" s="2" t="n">
        <f aca="false">AP39</f>
        <v>0</v>
      </c>
      <c r="AX53" s="2" t="n">
        <f aca="false">AP37</f>
        <v>0</v>
      </c>
      <c r="AY53" s="2" t="n">
        <f aca="false">AP35</f>
        <v>0</v>
      </c>
      <c r="AZ53" s="2" t="n">
        <f aca="false">AP33</f>
        <v>0</v>
      </c>
      <c r="BA53" s="2" t="n">
        <f aca="false">AP31</f>
        <v>0</v>
      </c>
      <c r="BB53" s="1" t="n">
        <v>16</v>
      </c>
      <c r="BC53" s="2" t="n">
        <f aca="false">BB51</f>
        <v>2</v>
      </c>
      <c r="BD53" s="2" t="n">
        <f aca="false">BB49</f>
        <v>22</v>
      </c>
      <c r="BE53" s="2" t="n">
        <f aca="false">BB47</f>
        <v>32</v>
      </c>
      <c r="BF53" s="2" t="n">
        <f aca="false">BB45</f>
        <v>11</v>
      </c>
      <c r="BG53" s="2" t="n">
        <f aca="false">BB43</f>
        <v>18</v>
      </c>
      <c r="BH53" s="2" t="n">
        <f aca="false">BB41</f>
        <v>14</v>
      </c>
      <c r="BI53" s="2" t="n">
        <f aca="false">BB39</f>
        <v>15</v>
      </c>
      <c r="BJ53" s="2" t="n">
        <f aca="false">BB37</f>
        <v>26</v>
      </c>
      <c r="BK53" s="2" t="n">
        <f aca="false">BB35</f>
        <v>9</v>
      </c>
      <c r="BL53" s="2" t="n">
        <f aca="false">BB33</f>
        <v>10</v>
      </c>
      <c r="BM53" s="2" t="n">
        <f aca="false">BB31</f>
        <v>2</v>
      </c>
      <c r="BN53" s="1" t="n">
        <v>0</v>
      </c>
      <c r="BO53" s="2" t="n">
        <f aca="false">BN51</f>
        <v>0</v>
      </c>
      <c r="BP53" s="2" t="n">
        <f aca="false">BN49</f>
        <v>0</v>
      </c>
      <c r="BQ53" s="2" t="n">
        <f aca="false">BN47</f>
        <v>0</v>
      </c>
      <c r="BR53" s="2" t="n">
        <f aca="false">BN45</f>
        <v>0</v>
      </c>
      <c r="BS53" s="2" t="n">
        <f aca="false">BN43</f>
        <v>0</v>
      </c>
      <c r="BT53" s="2" t="n">
        <f aca="false">BN41</f>
        <v>0</v>
      </c>
      <c r="BU53" s="2" t="n">
        <f aca="false">BN39</f>
        <v>0</v>
      </c>
      <c r="BV53" s="2" t="n">
        <f aca="false">BN37</f>
        <v>0</v>
      </c>
      <c r="BW53" s="2" t="n">
        <f aca="false">BN35</f>
        <v>0</v>
      </c>
      <c r="BX53" s="2" t="n">
        <f aca="false">BN33</f>
        <v>0</v>
      </c>
      <c r="BY53" s="2" t="n">
        <f aca="false">BN31</f>
        <v>0</v>
      </c>
      <c r="BZ53" s="1" t="n">
        <v>1.99563</v>
      </c>
      <c r="CA53" s="2" t="n">
        <f aca="false">BZ51</f>
        <v>11.11</v>
      </c>
      <c r="CB53" s="2" t="n">
        <f aca="false">BZ49</f>
        <v>2.10773</v>
      </c>
      <c r="CC53" s="2" t="n">
        <f aca="false">BZ47</f>
        <v>1.05688</v>
      </c>
      <c r="CD53" s="2" t="n">
        <f aca="false">BZ45</f>
        <v>1.20909</v>
      </c>
      <c r="CE53" s="2" t="n">
        <f aca="false">BZ43</f>
        <v>3.19833</v>
      </c>
      <c r="CF53" s="2" t="n">
        <f aca="false">BZ41</f>
        <v>4.69786</v>
      </c>
      <c r="CG53" s="2" t="n">
        <f aca="false">BZ39</f>
        <v>2.61667</v>
      </c>
      <c r="CH53" s="2" t="n">
        <f aca="false">BZ37</f>
        <v>1.805</v>
      </c>
      <c r="CI53" s="2" t="n">
        <f aca="false">BZ35</f>
        <v>6.55111</v>
      </c>
      <c r="CJ53" s="2" t="n">
        <f aca="false">BZ33</f>
        <v>3.183</v>
      </c>
      <c r="CK53" s="2" t="n">
        <f aca="false">BZ31</f>
        <v>29.495</v>
      </c>
      <c r="CL53" s="1" t="n">
        <v>0</v>
      </c>
      <c r="CM53" s="2" t="n">
        <f aca="false">CL51</f>
        <v>0</v>
      </c>
      <c r="CN53" s="2" t="n">
        <f aca="false">CL49</f>
        <v>0</v>
      </c>
      <c r="CO53" s="2" t="n">
        <f aca="false">CL47</f>
        <v>0</v>
      </c>
      <c r="CP53" s="2" t="n">
        <f aca="false">CL45</f>
        <v>0</v>
      </c>
      <c r="CQ53" s="2" t="n">
        <f aca="false">CL43</f>
        <v>0</v>
      </c>
      <c r="CR53" s="2" t="n">
        <f aca="false">CL41</f>
        <v>0</v>
      </c>
      <c r="CS53" s="2" t="n">
        <f aca="false">CL39</f>
        <v>0</v>
      </c>
      <c r="CT53" s="2" t="n">
        <f aca="false">CL37</f>
        <v>0</v>
      </c>
      <c r="CU53" s="2" t="n">
        <f aca="false">CL35</f>
        <v>0</v>
      </c>
      <c r="CV53" s="2" t="n">
        <f aca="false">CL33</f>
        <v>0</v>
      </c>
      <c r="CW53" s="2" t="n">
        <f aca="false">CL31</f>
        <v>2</v>
      </c>
      <c r="CX53" s="1" t="n">
        <v>63.3847</v>
      </c>
      <c r="CY53" s="2" t="n">
        <f aca="false">CX51</f>
        <v>84.8567</v>
      </c>
      <c r="CZ53" s="2" t="n">
        <f aca="false">CX49</f>
        <v>64.6182</v>
      </c>
      <c r="DA53" s="2" t="n">
        <f aca="false">CX47</f>
        <v>46.5839</v>
      </c>
      <c r="DB53" s="2" t="n">
        <f aca="false">CX45</f>
        <v>50.4069</v>
      </c>
      <c r="DC53" s="2" t="n">
        <f aca="false">CX43</f>
        <v>72.6375</v>
      </c>
      <c r="DD53" s="2" t="n">
        <f aca="false">CX41</f>
        <v>77.9832</v>
      </c>
      <c r="DE53" s="2" t="n">
        <f aca="false">CX39</f>
        <v>69.0849</v>
      </c>
      <c r="DF53" s="2" t="n">
        <f aca="false">CX37</f>
        <v>61.0128</v>
      </c>
      <c r="DG53" s="2" t="n">
        <f aca="false">CX35</f>
        <v>81.321</v>
      </c>
      <c r="DH53" s="2" t="n">
        <f aca="false">CX33</f>
        <v>72.5589</v>
      </c>
      <c r="DI53" s="2" t="n">
        <f aca="false">CX31</f>
        <v>88.0582</v>
      </c>
      <c r="DJ53" s="1" t="s">
        <v>174</v>
      </c>
      <c r="DK53" s="2" t="str">
        <f aca="false">DJ51</f>
        <v>HH</v>
      </c>
      <c r="DL53" s="2" t="str">
        <f aca="false">DJ49</f>
        <v>LH</v>
      </c>
      <c r="DM53" s="2" t="str">
        <f aca="false">DJ47</f>
        <v>LH</v>
      </c>
      <c r="DN53" s="2" t="str">
        <f aca="false">DJ45</f>
        <v>LH</v>
      </c>
      <c r="DO53" s="2" t="str">
        <f aca="false">DJ43</f>
        <v>LH</v>
      </c>
      <c r="DP53" s="2" t="str">
        <f aca="false">DJ41</f>
        <v>HH</v>
      </c>
      <c r="DQ53" s="2" t="str">
        <f aca="false">DJ39</f>
        <v>LH</v>
      </c>
      <c r="DR53" s="2" t="str">
        <f aca="false">DJ37</f>
        <v>LH</v>
      </c>
      <c r="DS53" s="2" t="str">
        <f aca="false">DJ35</f>
        <v>HH</v>
      </c>
      <c r="DT53" s="2" t="str">
        <f aca="false">DJ33</f>
        <v>LH</v>
      </c>
      <c r="DU53" s="2" t="str">
        <f aca="false">DJ31</f>
        <v>HH</v>
      </c>
      <c r="DV53" s="2" t="n">
        <f aca="false">IFERROR((G53-$F53)/$F53*100,"")</f>
        <v>0.051651883666051</v>
      </c>
      <c r="DW53" s="2" t="n">
        <f aca="false">IFERROR((H53-$F53)/$F53*100,"")</f>
        <v>-0.136291524967623</v>
      </c>
      <c r="DX53" s="2" t="n">
        <f aca="false">IFERROR((I53-$F53)/$F53*100,"")</f>
        <v>2.0263598226474</v>
      </c>
      <c r="DY53" s="2" t="n">
        <f aca="false">IFERROR((J53-$F53)/$F53*100,"")</f>
        <v>2.27485312851986</v>
      </c>
      <c r="DZ53" s="2" t="n">
        <f aca="false">IFERROR((K53-$F53)/$F53*100,"")</f>
        <v>2.6509569705085</v>
      </c>
      <c r="EA53" s="2" t="n">
        <f aca="false">IFERROR((L53-$F53)/$F53*100,"")</f>
        <v>2.8803521009078</v>
      </c>
      <c r="EB53" s="2" t="n">
        <f aca="false">IFERROR((M53-$F53)/$F53*100,"")</f>
        <v>1.945626626329</v>
      </c>
      <c r="EC53" s="2" t="n">
        <f aca="false">IFERROR((N53-$F53)/$F53*100,"")</f>
        <v>2.24533776642495</v>
      </c>
      <c r="ED53" s="2" t="n">
        <f aca="false">IFERROR((O53-$F53)/$F53*100,"")</f>
        <v>2.93959984981889</v>
      </c>
      <c r="EE53" s="2" t="n">
        <f aca="false">IFERROR((P53-$F53)/$F53*100,"")</f>
        <v>2.54179353570165</v>
      </c>
      <c r="EF53" s="2" t="n">
        <f aca="false">IFERROR((Q53-$F53)/$F53*100,"")</f>
        <v>3.15901184303903</v>
      </c>
      <c r="EG53" s="2" t="str">
        <f aca="false">IF(DV53="","",IF(AND(ABS(DV53)&lt;=0.25,$E53="Bottom",DK53="LL"),"EQL",IF(AND(ABS(DV53)&lt;=0.25,$E53="Peak",DK53="HH"),"EQH","")))</f>
        <v>EQH</v>
      </c>
      <c r="EH53" s="2" t="str">
        <f aca="false">IF(DW53="","",IF(AND(ABS(DW53)&lt;=0.25,$E53="Bottom",DL53="LL"),"EQL",IF(AND(ABS(DW53)&lt;=0.25,$E53="Peak",DL53="HH"),"EQH","")))</f>
        <v/>
      </c>
      <c r="EI53" s="2" t="str">
        <f aca="false">IF(DX53="","",IF(AND(ABS(DX53)&lt;=0.25,$E53="Bottom",DM53="LL"),"EQL",IF(AND(ABS(DX53)&lt;=0.25,$E53="Peak",DM53="HH"),"EQH","")))</f>
        <v/>
      </c>
      <c r="EJ53" s="2" t="str">
        <f aca="false">IF(DY53="","",IF(AND(ABS(DY53)&lt;=0.25,$E53="Bottom",DN53="LL"),"EQL",IF(AND(ABS(DY53)&lt;=0.25,$E53="Peak",DN53="HH"),"EQH","")))</f>
        <v/>
      </c>
      <c r="EK53" s="2" t="str">
        <f aca="false">IF(DZ53="","",IF(AND(ABS(DZ53)&lt;=0.25,$E53="Bottom",DO53="LL"),"EQL",IF(AND(ABS(DZ53)&lt;=0.25,$E53="Peak",DO53="HH"),"EQH","")))</f>
        <v/>
      </c>
      <c r="EL53" s="2" t="str">
        <f aca="false">IF(EA53="","",IF(AND(ABS(EA53)&lt;=0.25,$E53="Bottom",DP53="LL"),"EQL",IF(AND(ABS(EA53)&lt;=0.25,$E53="Peak",DP53="HH"),"EQH","")))</f>
        <v/>
      </c>
      <c r="EM53" s="2" t="str">
        <f aca="false">IF(EB53="","",IF(AND(ABS(EB53)&lt;=0.25,$E53="Bottom",DQ53="LL"),"EQL",IF(AND(ABS(EB53)&lt;=0.25,$E53="Peak",DQ53="HH"),"EQH","")))</f>
        <v/>
      </c>
      <c r="EN53" s="2" t="str">
        <f aca="false">IF(EC53="","",IF(AND(ABS(EC53)&lt;=0.25,$E53="Bottom",DR53="LL"),"EQL",IF(AND(ABS(EC53)&lt;=0.25,$E53="Peak",DR53="HH"),"EQH","")))</f>
        <v/>
      </c>
      <c r="EO53" s="2" t="str">
        <f aca="false">IF(ED53="","",IF(AND(ABS(ED53)&lt;=0.25,$E53="Bottom",DS53="LL"),"EQL",IF(AND(ABS(ED53)&lt;=0.25,$E53="Peak",DS53="HH"),"EQH","")))</f>
        <v/>
      </c>
      <c r="EP53" s="2" t="str">
        <f aca="false">IF(EE53="","",IF(AND(ABS(EE53)&lt;=0.25,$E53="Bottom",DT53="LL"),"EQL",IF(AND(ABS(EE53)&lt;=0.25,$E53="Peak",DT53="HH"),"EQH","")))</f>
        <v/>
      </c>
      <c r="EQ53" s="2" t="str">
        <f aca="false">IF(EF53="","",IF(AND(ABS(EF53)&lt;=0.25,$E53="Bottom",DU53="LL"),"EQL",IF(AND(ABS(EF53)&lt;=0.25,$E53="Peak",DU53="HH"),"EQH","")))</f>
        <v/>
      </c>
      <c r="ER53" s="2" t="n">
        <f aca="false">IF(OR(EG53="EQL",EG53="EQH"),G53,"")</f>
        <v>4610.15</v>
      </c>
      <c r="ES53" s="2" t="str">
        <f aca="false">IF(OR(EH53="EQL",EH53="EQH"),H53,"")</f>
        <v/>
      </c>
      <c r="ET53" s="2" t="str">
        <f aca="false">IF(OR(EI53="EQL",EI53="EQH"),I53,"")</f>
        <v/>
      </c>
      <c r="EU53" s="2" t="str">
        <f aca="false">IF(OR(EJ53="EQL",EJ53="EQH"),J53,"")</f>
        <v/>
      </c>
      <c r="EV53" s="2" t="str">
        <f aca="false">IF(OR(EK53="EQL",EK53="EQH"),K53,"")</f>
        <v/>
      </c>
      <c r="EW53" s="2" t="str">
        <f aca="false">IF(OR(EL53="EQL",EL53="EQH"),L53,"")</f>
        <v/>
      </c>
      <c r="EX53" s="2" t="str">
        <f aca="false">IF(OR(EM53="EQL",EM53="EQH"),M53,"")</f>
        <v/>
      </c>
      <c r="EY53" s="2" t="str">
        <f aca="false">IF(OR(EN53="EQL",EN53="EQH"),N53,"")</f>
        <v/>
      </c>
      <c r="EZ53" s="2" t="str">
        <f aca="false">IF(OR(EO53="EQL",EO53="EQH"),O53,"")</f>
        <v/>
      </c>
      <c r="FA53" s="2" t="str">
        <f aca="false">IF(OR(EP53="EQL",EP53="EQH"),P53,"")</f>
        <v/>
      </c>
      <c r="FB53" s="2" t="str">
        <f aca="false">IF(OR(EQ53="EQL",EQ53="EQH"),Q53,"")</f>
        <v/>
      </c>
      <c r="FC53" s="2" t="str">
        <f aca="false">IF(AND(EG53="EQL",OR(AQ53=4,AQ53=5)),"IEQL",IF(AND(EG53="EQH",OR(AQ53=1,AQ53=2)),"IEQH",""))</f>
        <v/>
      </c>
      <c r="FD53" s="2" t="str">
        <f aca="false">IF(AND(EH53="EQL",OR(AR53=4,AR53=5)),"IEQL",IF(AND(EH53="EQH",OR(AR53=1,AR53=2)),"IEQH",""))</f>
        <v/>
      </c>
      <c r="FE53" s="2" t="str">
        <f aca="false">IF(AND(EI53="EQL",OR(AS53=4,AS53=5)),"IEQL",IF(AND(EI53="EQH",OR(AS53=1,AS53=2)),"IEQH",""))</f>
        <v/>
      </c>
      <c r="FF53" s="2" t="str">
        <f aca="false">IF(AND(EJ53="EQL",OR(AT53=4,AT53=5)),"IEQL",IF(AND(EJ53="EQH",OR(AT53=1,AT53=2)),"IEQH",""))</f>
        <v/>
      </c>
      <c r="FG53" s="2" t="str">
        <f aca="false">IF(AND(EK53="EQL",OR(AU53=4,AU53=5)),"IEQL",IF(AND(EK53="EQH",OR(AU53=1,AU53=2)),"IEQH",""))</f>
        <v/>
      </c>
      <c r="FH53" s="2" t="str">
        <f aca="false">IF(AND(EL53="EQL",OR(AV53=4,AV53=5)),"IEQL",IF(AND(EL53="EQH",OR(AV53=1,AV53=2)),"IEQH",""))</f>
        <v/>
      </c>
      <c r="FI53" s="2" t="str">
        <f aca="false">IF(AND(EM53="EQL",OR(AW53=4,AW53=5)),"IEQL",IF(AND(EM53="EQH",OR(AW53=1,AW53=2)),"IEQH",""))</f>
        <v/>
      </c>
      <c r="FJ53" s="2" t="str">
        <f aca="false">IF(AND(EN53="EQL",OR(AX53=4,AX53=5)),"IEQL",IF(AND(EN53="EQH",OR(AX53=1,AX53=2)),"IEQH",""))</f>
        <v/>
      </c>
      <c r="FK53" s="2" t="str">
        <f aca="false">IF(AND(EO53="EQL",OR(AY53=4,AY53=5)),"IEQL",IF(AND(EO53="EQH",OR(AY53=1,AY53=2)),"IEQH",""))</f>
        <v/>
      </c>
      <c r="FL53" s="2" t="str">
        <f aca="false">IF(AND(EP53="EQL",OR(AZ53=4,AZ53=5)),"IEQL",IF(AND(EP53="EQH",OR(AZ53=1,AZ53=2)),"IEQH",""))</f>
        <v/>
      </c>
      <c r="FM53" s="2" t="str">
        <f aca="false">IF(AND(EQ53="EQL",OR(BA53=4,BA53=5)),"IEQL",IF(AND(EQ53="EQH",OR(BA53=1,BA53=2)),"IEQH",""))</f>
        <v/>
      </c>
    </row>
    <row r="54" customFormat="false" ht="14.25" hidden="false" customHeight="false" outlineLevel="0" collapsed="false">
      <c r="A54" s="1" t="n">
        <v>1777470302</v>
      </c>
      <c r="B54" s="1" t="s">
        <v>169</v>
      </c>
      <c r="C54" s="1" t="s">
        <v>170</v>
      </c>
      <c r="D54" s="1" t="n">
        <v>4521.71</v>
      </c>
      <c r="E54" s="1" t="s">
        <v>171</v>
      </c>
      <c r="F54" s="1" t="n">
        <v>4510.28</v>
      </c>
      <c r="G54" s="2" t="n">
        <f aca="false">F52</f>
        <v>4575.84</v>
      </c>
      <c r="H54" s="2" t="n">
        <f aca="false">F50</f>
        <v>4587.93</v>
      </c>
      <c r="I54" s="2" t="n">
        <f aca="false">F48</f>
        <v>4555.12</v>
      </c>
      <c r="J54" s="2" t="n">
        <f aca="false">F46</f>
        <v>4667.32</v>
      </c>
      <c r="K54" s="2" t="n">
        <f aca="false">F44</f>
        <v>4699.29</v>
      </c>
      <c r="L54" s="2" t="n">
        <f aca="false">F42</f>
        <v>4672.35</v>
      </c>
      <c r="M54" s="2" t="n">
        <f aca="false">F40</f>
        <v>4674.72</v>
      </c>
      <c r="N54" s="2" t="n">
        <f aca="false">F38</f>
        <v>4658.17</v>
      </c>
      <c r="O54" s="2" t="n">
        <f aca="false">F36</f>
        <v>4664.3</v>
      </c>
      <c r="P54" s="2" t="n">
        <f aca="false">F34</f>
        <v>4684.26</v>
      </c>
      <c r="Q54" s="2" t="n">
        <f aca="false">F32</f>
        <v>4693.06</v>
      </c>
      <c r="R54" s="1" t="n">
        <v>-97.49</v>
      </c>
      <c r="S54" s="2" t="n">
        <f aca="false">R52</f>
        <v>-34.31</v>
      </c>
      <c r="T54" s="2" t="n">
        <f aca="false">R50</f>
        <v>-13.56</v>
      </c>
      <c r="U54" s="2" t="n">
        <f aca="false">R48</f>
        <v>-146.02</v>
      </c>
      <c r="V54" s="2" t="n">
        <f aca="false">R46</f>
        <v>-45.27</v>
      </c>
      <c r="W54" s="2" t="n">
        <f aca="false">R44</f>
        <v>-30.63</v>
      </c>
      <c r="X54" s="2" t="n">
        <f aca="false">R42</f>
        <v>-68.14</v>
      </c>
      <c r="Y54" s="2" t="n">
        <f aca="false">R40</f>
        <v>-22.7</v>
      </c>
      <c r="Z54" s="2" t="n">
        <f aca="false">R38</f>
        <v>-53.06</v>
      </c>
      <c r="AA54" s="2" t="n">
        <f aca="false">R36</f>
        <v>-78.92</v>
      </c>
      <c r="AB54" s="2" t="n">
        <f aca="false">R34</f>
        <v>-40.63</v>
      </c>
      <c r="AC54" s="2" t="n">
        <f aca="false">R32</f>
        <v>-60.27</v>
      </c>
      <c r="AD54" s="1" t="n">
        <v>-2.12</v>
      </c>
      <c r="AE54" s="2" t="n">
        <f aca="false">AD52</f>
        <v>-0.74</v>
      </c>
      <c r="AF54" s="2" t="n">
        <f aca="false">AD50</f>
        <v>-0.29</v>
      </c>
      <c r="AG54" s="2" t="n">
        <f aca="false">AD48</f>
        <v>-3.11</v>
      </c>
      <c r="AH54" s="2" t="n">
        <f aca="false">AD46</f>
        <v>-0.96</v>
      </c>
      <c r="AI54" s="2" t="n">
        <f aca="false">AD44</f>
        <v>-0.65</v>
      </c>
      <c r="AJ54" s="2" t="n">
        <f aca="false">AD42</f>
        <v>-1.44</v>
      </c>
      <c r="AK54" s="2" t="n">
        <f aca="false">AD40</f>
        <v>-0.48</v>
      </c>
      <c r="AL54" s="2" t="n">
        <f aca="false">AD38</f>
        <v>-1.13</v>
      </c>
      <c r="AM54" s="2" t="n">
        <f aca="false">AD36</f>
        <v>-1.66</v>
      </c>
      <c r="AN54" s="2" t="n">
        <f aca="false">AD34</f>
        <v>-0.86</v>
      </c>
      <c r="AO54" s="2" t="n">
        <f aca="false">AD32</f>
        <v>-1.27</v>
      </c>
      <c r="AP54" s="1" t="n">
        <v>4</v>
      </c>
      <c r="AQ54" s="2" t="n">
        <f aca="false">AP52</f>
        <v>3</v>
      </c>
      <c r="AR54" s="2" t="n">
        <f aca="false">AP50</f>
        <v>3</v>
      </c>
      <c r="AS54" s="2" t="n">
        <f aca="false">AP48</f>
        <v>5</v>
      </c>
      <c r="AT54" s="2" t="n">
        <f aca="false">AP46</f>
        <v>3</v>
      </c>
      <c r="AU54" s="2" t="n">
        <f aca="false">AP44</f>
        <v>3</v>
      </c>
      <c r="AV54" s="2" t="n">
        <f aca="false">AP42</f>
        <v>3</v>
      </c>
      <c r="AW54" s="2" t="n">
        <f aca="false">AP40</f>
        <v>3</v>
      </c>
      <c r="AX54" s="2" t="n">
        <f aca="false">AP38</f>
        <v>3</v>
      </c>
      <c r="AY54" s="2" t="n">
        <f aca="false">AP36</f>
        <v>3</v>
      </c>
      <c r="AZ54" s="2" t="n">
        <f aca="false">AP34</f>
        <v>3</v>
      </c>
      <c r="BA54" s="2" t="n">
        <f aca="false">AP32</f>
        <v>3</v>
      </c>
      <c r="BB54" s="1" t="n">
        <v>35</v>
      </c>
      <c r="BC54" s="2" t="n">
        <f aca="false">BB52</f>
        <v>4</v>
      </c>
      <c r="BD54" s="2" t="n">
        <f aca="false">BB50</f>
        <v>20</v>
      </c>
      <c r="BE54" s="2" t="n">
        <f aca="false">BB48</f>
        <v>48</v>
      </c>
      <c r="BF54" s="2" t="n">
        <f aca="false">BB46</f>
        <v>11</v>
      </c>
      <c r="BG54" s="2" t="n">
        <f aca="false">BB44</f>
        <v>20</v>
      </c>
      <c r="BH54" s="2" t="n">
        <f aca="false">BB42</f>
        <v>36</v>
      </c>
      <c r="BI54" s="2" t="n">
        <f aca="false">BB40</f>
        <v>9</v>
      </c>
      <c r="BJ54" s="2" t="n">
        <f aca="false">BB38</f>
        <v>13</v>
      </c>
      <c r="BK54" s="2" t="n">
        <f aca="false">BB36</f>
        <v>20</v>
      </c>
      <c r="BL54" s="2" t="n">
        <f aca="false">BB34</f>
        <v>10</v>
      </c>
      <c r="BM54" s="2" t="n">
        <f aca="false">BB32</f>
        <v>19</v>
      </c>
      <c r="BN54" s="1" t="n">
        <v>3</v>
      </c>
      <c r="BO54" s="2" t="n">
        <f aca="false">BN52</f>
        <v>3</v>
      </c>
      <c r="BP54" s="2" t="n">
        <f aca="false">BN50</f>
        <v>3</v>
      </c>
      <c r="BQ54" s="2" t="n">
        <f aca="false">BN48</f>
        <v>5</v>
      </c>
      <c r="BR54" s="2" t="n">
        <f aca="false">BN46</f>
        <v>3</v>
      </c>
      <c r="BS54" s="2" t="n">
        <f aca="false">BN44</f>
        <v>3</v>
      </c>
      <c r="BT54" s="2" t="n">
        <f aca="false">BN42</f>
        <v>4</v>
      </c>
      <c r="BU54" s="2" t="n">
        <f aca="false">BN40</f>
        <v>3</v>
      </c>
      <c r="BV54" s="2" t="n">
        <f aca="false">BN38</f>
        <v>3</v>
      </c>
      <c r="BW54" s="2" t="n">
        <f aca="false">BN36</f>
        <v>3</v>
      </c>
      <c r="BX54" s="2" t="n">
        <f aca="false">BN34</f>
        <v>3</v>
      </c>
      <c r="BY54" s="2" t="n">
        <f aca="false">BN32</f>
        <v>3</v>
      </c>
      <c r="BZ54" s="1" t="n">
        <v>-2.78543</v>
      </c>
      <c r="CA54" s="2" t="n">
        <f aca="false">BZ52</f>
        <v>-8.5775</v>
      </c>
      <c r="CB54" s="2" t="n">
        <f aca="false">BZ50</f>
        <v>-0.678</v>
      </c>
      <c r="CC54" s="2" t="n">
        <f aca="false">BZ48</f>
        <v>-3.04208</v>
      </c>
      <c r="CD54" s="2" t="n">
        <f aca="false">BZ46</f>
        <v>-4.11545</v>
      </c>
      <c r="CE54" s="2" t="n">
        <f aca="false">BZ44</f>
        <v>-1.5315</v>
      </c>
      <c r="CF54" s="2" t="n">
        <f aca="false">BZ42</f>
        <v>-1.89278</v>
      </c>
      <c r="CG54" s="2" t="n">
        <f aca="false">BZ40</f>
        <v>-2.52222</v>
      </c>
      <c r="CH54" s="2" t="n">
        <f aca="false">BZ38</f>
        <v>-4.08154</v>
      </c>
      <c r="CI54" s="2" t="n">
        <f aca="false">BZ36</f>
        <v>-3.946</v>
      </c>
      <c r="CJ54" s="2" t="n">
        <f aca="false">BZ34</f>
        <v>-4.063</v>
      </c>
      <c r="CK54" s="2" t="n">
        <f aca="false">BZ32</f>
        <v>-3.17211</v>
      </c>
      <c r="CL54" s="1" t="n">
        <v>3</v>
      </c>
      <c r="CM54" s="2" t="n">
        <f aca="false">CL52</f>
        <v>3</v>
      </c>
      <c r="CN54" s="2" t="n">
        <f aca="false">CL50</f>
        <v>3</v>
      </c>
      <c r="CO54" s="2" t="n">
        <f aca="false">CL48</f>
        <v>3</v>
      </c>
      <c r="CP54" s="2" t="n">
        <f aca="false">CL46</f>
        <v>3</v>
      </c>
      <c r="CQ54" s="2" t="n">
        <f aca="false">CL44</f>
        <v>3</v>
      </c>
      <c r="CR54" s="2" t="n">
        <f aca="false">CL42</f>
        <v>3</v>
      </c>
      <c r="CS54" s="2" t="n">
        <f aca="false">CL40</f>
        <v>3</v>
      </c>
      <c r="CT54" s="2" t="n">
        <f aca="false">CL38</f>
        <v>3</v>
      </c>
      <c r="CU54" s="2" t="n">
        <f aca="false">CL36</f>
        <v>3</v>
      </c>
      <c r="CV54" s="2" t="n">
        <f aca="false">CL34</f>
        <v>3</v>
      </c>
      <c r="CW54" s="2" t="n">
        <f aca="false">CL32</f>
        <v>3</v>
      </c>
      <c r="CX54" s="1" t="n">
        <v>-70.2513</v>
      </c>
      <c r="CY54" s="2" t="n">
        <f aca="false">CX52</f>
        <v>-83.3502</v>
      </c>
      <c r="CZ54" s="2" t="n">
        <f aca="false">CX50</f>
        <v>-34.1373</v>
      </c>
      <c r="DA54" s="2" t="n">
        <f aca="false">CX48</f>
        <v>-71.8032</v>
      </c>
      <c r="DB54" s="2" t="n">
        <f aca="false">CX46</f>
        <v>-76.3426</v>
      </c>
      <c r="DC54" s="2" t="n">
        <f aca="false">CX44</f>
        <v>-56.8573</v>
      </c>
      <c r="DD54" s="2" t="n">
        <f aca="false">CX42</f>
        <v>-62.1514</v>
      </c>
      <c r="DE54" s="2" t="n">
        <f aca="false">CX40</f>
        <v>-68.3729</v>
      </c>
      <c r="DF54" s="2" t="n">
        <f aca="false">CX38</f>
        <v>-76.2334</v>
      </c>
      <c r="DG54" s="2" t="n">
        <f aca="false">CX36</f>
        <v>-75.7794</v>
      </c>
      <c r="DH54" s="2" t="n">
        <f aca="false">CX34</f>
        <v>-76.173</v>
      </c>
      <c r="DI54" s="2" t="n">
        <f aca="false">CX32</f>
        <v>-72.5026</v>
      </c>
      <c r="DJ54" s="1" t="s">
        <v>172</v>
      </c>
      <c r="DK54" s="2" t="str">
        <f aca="false">DJ52</f>
        <v>LL</v>
      </c>
      <c r="DL54" s="2" t="str">
        <f aca="false">DJ50</f>
        <v>HL</v>
      </c>
      <c r="DM54" s="2" t="str">
        <f aca="false">DJ48</f>
        <v>LL</v>
      </c>
      <c r="DN54" s="2" t="str">
        <f aca="false">DJ46</f>
        <v>LL</v>
      </c>
      <c r="DO54" s="2" t="str">
        <f aca="false">DJ44</f>
        <v>HL</v>
      </c>
      <c r="DP54" s="2" t="str">
        <f aca="false">DJ42</f>
        <v>LL</v>
      </c>
      <c r="DQ54" s="2" t="str">
        <f aca="false">DJ40</f>
        <v>HL</v>
      </c>
      <c r="DR54" s="2" t="str">
        <f aca="false">DJ38</f>
        <v>LL</v>
      </c>
      <c r="DS54" s="2" t="str">
        <f aca="false">DJ36</f>
        <v>LL</v>
      </c>
      <c r="DT54" s="2" t="str">
        <f aca="false">DJ34</f>
        <v>LL</v>
      </c>
      <c r="DU54" s="2" t="str">
        <f aca="false">DJ32</f>
        <v>LL</v>
      </c>
      <c r="DV54" s="2" t="n">
        <f aca="false">IFERROR((G54-$F54)/$F54*100,"")</f>
        <v>1.45356829287761</v>
      </c>
      <c r="DW54" s="2" t="n">
        <f aca="false">IFERROR((H54-$F54)/$F54*100,"")</f>
        <v>1.7216226043616</v>
      </c>
      <c r="DX54" s="2" t="n">
        <f aca="false">IFERROR((I54-$F54)/$F54*100,"")</f>
        <v>0.994173310747895</v>
      </c>
      <c r="DY54" s="2" t="n">
        <f aca="false">IFERROR((J54-$F54)/$F54*100,"")</f>
        <v>3.48182374486728</v>
      </c>
      <c r="DZ54" s="2" t="n">
        <f aca="false">IFERROR((K54-$F54)/$F54*100,"")</f>
        <v>4.19064891758384</v>
      </c>
      <c r="EA54" s="2" t="n">
        <f aca="false">IFERROR((L54-$F54)/$F54*100,"")</f>
        <v>3.59334675452523</v>
      </c>
      <c r="EB54" s="2" t="n">
        <f aca="false">IFERROR((M54-$F54)/$F54*100,"")</f>
        <v>3.64589338134219</v>
      </c>
      <c r="EC54" s="2" t="n">
        <f aca="false">IFERROR((N54-$F54)/$F54*100,"")</f>
        <v>3.27895385652333</v>
      </c>
      <c r="ED54" s="2" t="n">
        <f aca="false">IFERROR((O54-$F54)/$F54*100,"")</f>
        <v>3.41486559592754</v>
      </c>
      <c r="EE54" s="2" t="n">
        <f aca="false">IFERROR((P54-$F54)/$F54*100,"")</f>
        <v>3.85741018295983</v>
      </c>
      <c r="EF54" s="2" t="n">
        <f aca="false">IFERROR((Q54-$F54)/$F54*100,"")</f>
        <v>4.05252002092998</v>
      </c>
      <c r="EG54" s="2" t="str">
        <f aca="false">IF(DV54="","",IF(AND(ABS(DV54)&lt;=0.25,$E54="Bottom",DK54="LL"),"EQL",IF(AND(ABS(DV54)&lt;=0.25,$E54="Peak",DK54="HH"),"EQH","")))</f>
        <v/>
      </c>
      <c r="EH54" s="2" t="str">
        <f aca="false">IF(DW54="","",IF(AND(ABS(DW54)&lt;=0.25,$E54="Bottom",DL54="LL"),"EQL",IF(AND(ABS(DW54)&lt;=0.25,$E54="Peak",DL54="HH"),"EQH","")))</f>
        <v/>
      </c>
      <c r="EI54" s="2" t="str">
        <f aca="false">IF(DX54="","",IF(AND(ABS(DX54)&lt;=0.25,$E54="Bottom",DM54="LL"),"EQL",IF(AND(ABS(DX54)&lt;=0.25,$E54="Peak",DM54="HH"),"EQH","")))</f>
        <v/>
      </c>
      <c r="EJ54" s="2" t="str">
        <f aca="false">IF(DY54="","",IF(AND(ABS(DY54)&lt;=0.25,$E54="Bottom",DN54="LL"),"EQL",IF(AND(ABS(DY54)&lt;=0.25,$E54="Peak",DN54="HH"),"EQH","")))</f>
        <v/>
      </c>
      <c r="EK54" s="2" t="str">
        <f aca="false">IF(DZ54="","",IF(AND(ABS(DZ54)&lt;=0.25,$E54="Bottom",DO54="LL"),"EQL",IF(AND(ABS(DZ54)&lt;=0.25,$E54="Peak",DO54="HH"),"EQH","")))</f>
        <v/>
      </c>
      <c r="EL54" s="2" t="str">
        <f aca="false">IF(EA54="","",IF(AND(ABS(EA54)&lt;=0.25,$E54="Bottom",DP54="LL"),"EQL",IF(AND(ABS(EA54)&lt;=0.25,$E54="Peak",DP54="HH"),"EQH","")))</f>
        <v/>
      </c>
      <c r="EM54" s="2" t="str">
        <f aca="false">IF(EB54="","",IF(AND(ABS(EB54)&lt;=0.25,$E54="Bottom",DQ54="LL"),"EQL",IF(AND(ABS(EB54)&lt;=0.25,$E54="Peak",DQ54="HH"),"EQH","")))</f>
        <v/>
      </c>
      <c r="EN54" s="2" t="str">
        <f aca="false">IF(EC54="","",IF(AND(ABS(EC54)&lt;=0.25,$E54="Bottom",DR54="LL"),"EQL",IF(AND(ABS(EC54)&lt;=0.25,$E54="Peak",DR54="HH"),"EQH","")))</f>
        <v/>
      </c>
      <c r="EO54" s="2" t="str">
        <f aca="false">IF(ED54="","",IF(AND(ABS(ED54)&lt;=0.25,$E54="Bottom",DS54="LL"),"EQL",IF(AND(ABS(ED54)&lt;=0.25,$E54="Peak",DS54="HH"),"EQH","")))</f>
        <v/>
      </c>
      <c r="EP54" s="2" t="str">
        <f aca="false">IF(EE54="","",IF(AND(ABS(EE54)&lt;=0.25,$E54="Bottom",DT54="LL"),"EQL",IF(AND(ABS(EE54)&lt;=0.25,$E54="Peak",DT54="HH"),"EQH","")))</f>
        <v/>
      </c>
      <c r="EQ54" s="2" t="str">
        <f aca="false">IF(EF54="","",IF(AND(ABS(EF54)&lt;=0.25,$E54="Bottom",DU54="LL"),"EQL",IF(AND(ABS(EF54)&lt;=0.25,$E54="Peak",DU54="HH"),"EQH","")))</f>
        <v/>
      </c>
      <c r="ER54" s="2" t="str">
        <f aca="false">IF(OR(EG54="EQL",EG54="EQH"),G54,"")</f>
        <v/>
      </c>
      <c r="ES54" s="2" t="str">
        <f aca="false">IF(OR(EH54="EQL",EH54="EQH"),H54,"")</f>
        <v/>
      </c>
      <c r="ET54" s="2" t="str">
        <f aca="false">IF(OR(EI54="EQL",EI54="EQH"),I54,"")</f>
        <v/>
      </c>
      <c r="EU54" s="2" t="str">
        <f aca="false">IF(OR(EJ54="EQL",EJ54="EQH"),J54,"")</f>
        <v/>
      </c>
      <c r="EV54" s="2" t="str">
        <f aca="false">IF(OR(EK54="EQL",EK54="EQH"),K54,"")</f>
        <v/>
      </c>
      <c r="EW54" s="2" t="str">
        <f aca="false">IF(OR(EL54="EQL",EL54="EQH"),L54,"")</f>
        <v/>
      </c>
      <c r="EX54" s="2" t="str">
        <f aca="false">IF(OR(EM54="EQL",EM54="EQH"),M54,"")</f>
        <v/>
      </c>
      <c r="EY54" s="2" t="str">
        <f aca="false">IF(OR(EN54="EQL",EN54="EQH"),N54,"")</f>
        <v/>
      </c>
      <c r="EZ54" s="2" t="str">
        <f aca="false">IF(OR(EO54="EQL",EO54="EQH"),O54,"")</f>
        <v/>
      </c>
      <c r="FA54" s="2" t="str">
        <f aca="false">IF(OR(EP54="EQL",EP54="EQH"),P54,"")</f>
        <v/>
      </c>
      <c r="FB54" s="2" t="str">
        <f aca="false">IF(OR(EQ54="EQL",EQ54="EQH"),Q54,"")</f>
        <v/>
      </c>
      <c r="FC54" s="2" t="str">
        <f aca="false">IF(AND(EG54="EQL",OR(AQ54=4,AQ54=5)),"IEQL",IF(AND(EG54="EQH",OR(AQ54=1,AQ54=2)),"IEQH",""))</f>
        <v/>
      </c>
      <c r="FD54" s="2" t="str">
        <f aca="false">IF(AND(EH54="EQL",OR(AR54=4,AR54=5)),"IEQL",IF(AND(EH54="EQH",OR(AR54=1,AR54=2)),"IEQH",""))</f>
        <v/>
      </c>
      <c r="FE54" s="2" t="str">
        <f aca="false">IF(AND(EI54="EQL",OR(AS54=4,AS54=5)),"IEQL",IF(AND(EI54="EQH",OR(AS54=1,AS54=2)),"IEQH",""))</f>
        <v/>
      </c>
      <c r="FF54" s="2" t="str">
        <f aca="false">IF(AND(EJ54="EQL",OR(AT54=4,AT54=5)),"IEQL",IF(AND(EJ54="EQH",OR(AT54=1,AT54=2)),"IEQH",""))</f>
        <v/>
      </c>
      <c r="FG54" s="2" t="str">
        <f aca="false">IF(AND(EK54="EQL",OR(AU54=4,AU54=5)),"IEQL",IF(AND(EK54="EQH",OR(AU54=1,AU54=2)),"IEQH",""))</f>
        <v/>
      </c>
      <c r="FH54" s="2" t="str">
        <f aca="false">IF(AND(EL54="EQL",OR(AV54=4,AV54=5)),"IEQL",IF(AND(EL54="EQH",OR(AV54=1,AV54=2)),"IEQH",""))</f>
        <v/>
      </c>
      <c r="FI54" s="2" t="str">
        <f aca="false">IF(AND(EM54="EQL",OR(AW54=4,AW54=5)),"IEQL",IF(AND(EM54="EQH",OR(AW54=1,AW54=2)),"IEQH",""))</f>
        <v/>
      </c>
      <c r="FJ54" s="2" t="str">
        <f aca="false">IF(AND(EN54="EQL",OR(AX54=4,AX54=5)),"IEQL",IF(AND(EN54="EQH",OR(AX54=1,AX54=2)),"IEQH",""))</f>
        <v/>
      </c>
      <c r="FK54" s="2" t="str">
        <f aca="false">IF(AND(EO54="EQL",OR(AY54=4,AY54=5)),"IEQL",IF(AND(EO54="EQH",OR(AY54=1,AY54=2)),"IEQH",""))</f>
        <v/>
      </c>
      <c r="FL54" s="2" t="str">
        <f aca="false">IF(AND(EP54="EQL",OR(AZ54=4,AZ54=5)),"IEQL",IF(AND(EP54="EQH",OR(AZ54=1,AZ54=2)),"IEQH",""))</f>
        <v/>
      </c>
      <c r="FM54" s="2" t="str">
        <f aca="false">IF(AND(EQ54="EQL",OR(BA54=4,BA54=5)),"IEQL",IF(AND(EQ54="EQH",OR(BA54=1,BA54=2)),"IEQH",""))</f>
        <v/>
      </c>
    </row>
    <row r="55" customFormat="false" ht="14.25" hidden="false" customHeight="false" outlineLevel="0" collapsed="false">
      <c r="A55" s="1" t="n">
        <v>1777478402</v>
      </c>
      <c r="B55" s="1" t="s">
        <v>169</v>
      </c>
      <c r="C55" s="1" t="s">
        <v>170</v>
      </c>
      <c r="D55" s="1" t="n">
        <v>4559.1</v>
      </c>
      <c r="E55" s="1" t="s">
        <v>173</v>
      </c>
      <c r="F55" s="1" t="n">
        <v>4564.75</v>
      </c>
      <c r="G55" s="2" t="n">
        <f aca="false">F53</f>
        <v>4607.77</v>
      </c>
      <c r="H55" s="2" t="n">
        <f aca="false">F51</f>
        <v>4610.15</v>
      </c>
      <c r="I55" s="2" t="n">
        <f aca="false">F49</f>
        <v>4601.49</v>
      </c>
      <c r="J55" s="2" t="n">
        <f aca="false">F47</f>
        <v>4701.14</v>
      </c>
      <c r="K55" s="2" t="n">
        <f aca="false">F45</f>
        <v>4712.59</v>
      </c>
      <c r="L55" s="2" t="n">
        <f aca="false">F43</f>
        <v>4729.92</v>
      </c>
      <c r="M55" s="2" t="n">
        <f aca="false">F41</f>
        <v>4740.49</v>
      </c>
      <c r="N55" s="2" t="n">
        <f aca="false">F39</f>
        <v>4697.42</v>
      </c>
      <c r="O55" s="2" t="n">
        <f aca="false">F37</f>
        <v>4711.23</v>
      </c>
      <c r="P55" s="2" t="n">
        <f aca="false">F35</f>
        <v>4743.22</v>
      </c>
      <c r="Q55" s="2" t="n">
        <f aca="false">F33</f>
        <v>4724.89</v>
      </c>
      <c r="R55" s="1" t="n">
        <v>54.47</v>
      </c>
      <c r="S55" s="2" t="n">
        <f aca="false">R53</f>
        <v>31.93</v>
      </c>
      <c r="T55" s="2" t="n">
        <f aca="false">R51</f>
        <v>22.22</v>
      </c>
      <c r="U55" s="2" t="n">
        <f aca="false">R49</f>
        <v>46.37</v>
      </c>
      <c r="V55" s="2" t="n">
        <f aca="false">R47</f>
        <v>33.82</v>
      </c>
      <c r="W55" s="2" t="n">
        <f aca="false">R45</f>
        <v>13.3</v>
      </c>
      <c r="X55" s="2" t="n">
        <f aca="false">R43</f>
        <v>57.57</v>
      </c>
      <c r="Y55" s="2" t="n">
        <f aca="false">R41</f>
        <v>65.77</v>
      </c>
      <c r="Z55" s="2" t="n">
        <f aca="false">R39</f>
        <v>39.25</v>
      </c>
      <c r="AA55" s="2" t="n">
        <f aca="false">R37</f>
        <v>46.93</v>
      </c>
      <c r="AB55" s="2" t="n">
        <f aca="false">R35</f>
        <v>58.96</v>
      </c>
      <c r="AC55" s="2" t="n">
        <f aca="false">R33</f>
        <v>31.83</v>
      </c>
      <c r="AD55" s="1" t="n">
        <v>1.21</v>
      </c>
      <c r="AE55" s="2" t="n">
        <f aca="false">AD53</f>
        <v>0.7</v>
      </c>
      <c r="AF55" s="2" t="n">
        <f aca="false">AD51</f>
        <v>0.48</v>
      </c>
      <c r="AG55" s="2" t="n">
        <f aca="false">AD49</f>
        <v>1.02</v>
      </c>
      <c r="AH55" s="2" t="n">
        <f aca="false">AD47</f>
        <v>0.72</v>
      </c>
      <c r="AI55" s="2" t="n">
        <f aca="false">AD45</f>
        <v>0.28</v>
      </c>
      <c r="AJ55" s="2" t="n">
        <f aca="false">AD43</f>
        <v>1.23</v>
      </c>
      <c r="AK55" s="2" t="n">
        <f aca="false">AD41</f>
        <v>1.41</v>
      </c>
      <c r="AL55" s="2" t="n">
        <f aca="false">AD39</f>
        <v>0.84</v>
      </c>
      <c r="AM55" s="2" t="n">
        <f aca="false">AD37</f>
        <v>1.01</v>
      </c>
      <c r="AN55" s="2" t="n">
        <f aca="false">AD35</f>
        <v>1.26</v>
      </c>
      <c r="AO55" s="2" t="n">
        <f aca="false">AD33</f>
        <v>0.68</v>
      </c>
      <c r="AP55" s="1" t="n">
        <v>0</v>
      </c>
      <c r="AQ55" s="2" t="n">
        <f aca="false">AP53</f>
        <v>0</v>
      </c>
      <c r="AR55" s="2" t="n">
        <f aca="false">AP51</f>
        <v>0</v>
      </c>
      <c r="AS55" s="2" t="n">
        <f aca="false">AP49</f>
        <v>0</v>
      </c>
      <c r="AT55" s="2" t="n">
        <f aca="false">AP47</f>
        <v>0</v>
      </c>
      <c r="AU55" s="2" t="n">
        <f aca="false">AP45</f>
        <v>0</v>
      </c>
      <c r="AV55" s="2" t="n">
        <f aca="false">AP43</f>
        <v>0</v>
      </c>
      <c r="AW55" s="2" t="n">
        <f aca="false">AP41</f>
        <v>0</v>
      </c>
      <c r="AX55" s="2" t="n">
        <f aca="false">AP39</f>
        <v>0</v>
      </c>
      <c r="AY55" s="2" t="n">
        <f aca="false">AP37</f>
        <v>0</v>
      </c>
      <c r="AZ55" s="2" t="n">
        <f aca="false">AP35</f>
        <v>0</v>
      </c>
      <c r="BA55" s="2" t="n">
        <f aca="false">AP33</f>
        <v>0</v>
      </c>
      <c r="BB55" s="1" t="n">
        <v>9</v>
      </c>
      <c r="BC55" s="2" t="n">
        <f aca="false">BB53</f>
        <v>16</v>
      </c>
      <c r="BD55" s="2" t="n">
        <f aca="false">BB51</f>
        <v>2</v>
      </c>
      <c r="BE55" s="2" t="n">
        <f aca="false">BB49</f>
        <v>22</v>
      </c>
      <c r="BF55" s="2" t="n">
        <f aca="false">BB47</f>
        <v>32</v>
      </c>
      <c r="BG55" s="2" t="n">
        <f aca="false">BB45</f>
        <v>11</v>
      </c>
      <c r="BH55" s="2" t="n">
        <f aca="false">BB43</f>
        <v>18</v>
      </c>
      <c r="BI55" s="2" t="n">
        <f aca="false">BB41</f>
        <v>14</v>
      </c>
      <c r="BJ55" s="2" t="n">
        <f aca="false">BB39</f>
        <v>15</v>
      </c>
      <c r="BK55" s="2" t="n">
        <f aca="false">BB37</f>
        <v>26</v>
      </c>
      <c r="BL55" s="2" t="n">
        <f aca="false">BB35</f>
        <v>9</v>
      </c>
      <c r="BM55" s="2" t="n">
        <f aca="false">BB33</f>
        <v>10</v>
      </c>
      <c r="BN55" s="1" t="n">
        <v>0</v>
      </c>
      <c r="BO55" s="2" t="n">
        <f aca="false">BN53</f>
        <v>0</v>
      </c>
      <c r="BP55" s="2" t="n">
        <f aca="false">BN51</f>
        <v>0</v>
      </c>
      <c r="BQ55" s="2" t="n">
        <f aca="false">BN49</f>
        <v>0</v>
      </c>
      <c r="BR55" s="2" t="n">
        <f aca="false">BN47</f>
        <v>0</v>
      </c>
      <c r="BS55" s="2" t="n">
        <f aca="false">BN45</f>
        <v>0</v>
      </c>
      <c r="BT55" s="2" t="n">
        <f aca="false">BN43</f>
        <v>0</v>
      </c>
      <c r="BU55" s="2" t="n">
        <f aca="false">BN41</f>
        <v>0</v>
      </c>
      <c r="BV55" s="2" t="n">
        <f aca="false">BN39</f>
        <v>0</v>
      </c>
      <c r="BW55" s="2" t="n">
        <f aca="false">BN37</f>
        <v>0</v>
      </c>
      <c r="BX55" s="2" t="n">
        <f aca="false">BN35</f>
        <v>0</v>
      </c>
      <c r="BY55" s="2" t="n">
        <f aca="false">BN33</f>
        <v>0</v>
      </c>
      <c r="BZ55" s="1" t="n">
        <v>6.05222</v>
      </c>
      <c r="CA55" s="2" t="n">
        <f aca="false">BZ53</f>
        <v>1.99563</v>
      </c>
      <c r="CB55" s="2" t="n">
        <f aca="false">BZ51</f>
        <v>11.11</v>
      </c>
      <c r="CC55" s="2" t="n">
        <f aca="false">BZ49</f>
        <v>2.10773</v>
      </c>
      <c r="CD55" s="2" t="n">
        <f aca="false">BZ47</f>
        <v>1.05688</v>
      </c>
      <c r="CE55" s="2" t="n">
        <f aca="false">BZ45</f>
        <v>1.20909</v>
      </c>
      <c r="CF55" s="2" t="n">
        <f aca="false">BZ43</f>
        <v>3.19833</v>
      </c>
      <c r="CG55" s="2" t="n">
        <f aca="false">BZ41</f>
        <v>4.69786</v>
      </c>
      <c r="CH55" s="2" t="n">
        <f aca="false">BZ39</f>
        <v>2.61667</v>
      </c>
      <c r="CI55" s="2" t="n">
        <f aca="false">BZ37</f>
        <v>1.805</v>
      </c>
      <c r="CJ55" s="2" t="n">
        <f aca="false">BZ35</f>
        <v>6.55111</v>
      </c>
      <c r="CK55" s="2" t="n">
        <f aca="false">BZ33</f>
        <v>3.183</v>
      </c>
      <c r="CL55" s="1" t="n">
        <v>0</v>
      </c>
      <c r="CM55" s="2" t="n">
        <f aca="false">CL53</f>
        <v>0</v>
      </c>
      <c r="CN55" s="2" t="n">
        <f aca="false">CL51</f>
        <v>0</v>
      </c>
      <c r="CO55" s="2" t="n">
        <f aca="false">CL49</f>
        <v>0</v>
      </c>
      <c r="CP55" s="2" t="n">
        <f aca="false">CL47</f>
        <v>0</v>
      </c>
      <c r="CQ55" s="2" t="n">
        <f aca="false">CL45</f>
        <v>0</v>
      </c>
      <c r="CR55" s="2" t="n">
        <f aca="false">CL43</f>
        <v>0</v>
      </c>
      <c r="CS55" s="2" t="n">
        <f aca="false">CL41</f>
        <v>0</v>
      </c>
      <c r="CT55" s="2" t="n">
        <f aca="false">CL39</f>
        <v>0</v>
      </c>
      <c r="CU55" s="2" t="n">
        <f aca="false">CL37</f>
        <v>0</v>
      </c>
      <c r="CV55" s="2" t="n">
        <f aca="false">CL35</f>
        <v>0</v>
      </c>
      <c r="CW55" s="2" t="n">
        <f aca="false">CL33</f>
        <v>0</v>
      </c>
      <c r="CX55" s="1" t="n">
        <v>80.6179</v>
      </c>
      <c r="CY55" s="2" t="n">
        <f aca="false">CX53</f>
        <v>63.3847</v>
      </c>
      <c r="CZ55" s="2" t="n">
        <f aca="false">CX51</f>
        <v>84.8567</v>
      </c>
      <c r="DA55" s="2" t="n">
        <f aca="false">CX49</f>
        <v>64.6182</v>
      </c>
      <c r="DB55" s="2" t="n">
        <f aca="false">CX47</f>
        <v>46.5839</v>
      </c>
      <c r="DC55" s="2" t="n">
        <f aca="false">CX45</f>
        <v>50.4069</v>
      </c>
      <c r="DD55" s="2" t="n">
        <f aca="false">CX43</f>
        <v>72.6375</v>
      </c>
      <c r="DE55" s="2" t="n">
        <f aca="false">CX41</f>
        <v>77.9832</v>
      </c>
      <c r="DF55" s="2" t="n">
        <f aca="false">CX39</f>
        <v>69.0849</v>
      </c>
      <c r="DG55" s="2" t="n">
        <f aca="false">CX37</f>
        <v>61.0128</v>
      </c>
      <c r="DH55" s="2" t="n">
        <f aca="false">CX35</f>
        <v>81.321</v>
      </c>
      <c r="DI55" s="2" t="n">
        <f aca="false">CX33</f>
        <v>72.5589</v>
      </c>
      <c r="DJ55" s="1" t="s">
        <v>174</v>
      </c>
      <c r="DK55" s="2" t="str">
        <f aca="false">DJ53</f>
        <v>LH</v>
      </c>
      <c r="DL55" s="2" t="str">
        <f aca="false">DJ51</f>
        <v>HH</v>
      </c>
      <c r="DM55" s="2" t="str">
        <f aca="false">DJ49</f>
        <v>LH</v>
      </c>
      <c r="DN55" s="2" t="str">
        <f aca="false">DJ47</f>
        <v>LH</v>
      </c>
      <c r="DO55" s="2" t="str">
        <f aca="false">DJ45</f>
        <v>LH</v>
      </c>
      <c r="DP55" s="2" t="str">
        <f aca="false">DJ43</f>
        <v>LH</v>
      </c>
      <c r="DQ55" s="2" t="str">
        <f aca="false">DJ41</f>
        <v>HH</v>
      </c>
      <c r="DR55" s="2" t="str">
        <f aca="false">DJ39</f>
        <v>LH</v>
      </c>
      <c r="DS55" s="2" t="str">
        <f aca="false">DJ37</f>
        <v>LH</v>
      </c>
      <c r="DT55" s="2" t="str">
        <f aca="false">DJ35</f>
        <v>HH</v>
      </c>
      <c r="DU55" s="2" t="str">
        <f aca="false">DJ33</f>
        <v>LH</v>
      </c>
      <c r="DV55" s="2" t="n">
        <f aca="false">IFERROR((G55-$F55)/$F55*100,"")</f>
        <v>0.942439344980567</v>
      </c>
      <c r="DW55" s="2" t="n">
        <f aca="false">IFERROR((H55-$F55)/$F55*100,"")</f>
        <v>0.994578016320711</v>
      </c>
      <c r="DX55" s="2" t="n">
        <f aca="false">IFERROR((I55-$F55)/$F55*100,"")</f>
        <v>0.804863355057775</v>
      </c>
      <c r="DY55" s="2" t="n">
        <f aca="false">IFERROR((J55-$F55)/$F55*100,"")</f>
        <v>2.98789637986747</v>
      </c>
      <c r="DZ55" s="2" t="n">
        <f aca="false">IFERROR((K55-$F55)/$F55*100,"")</f>
        <v>3.23873158442412</v>
      </c>
      <c r="EA55" s="2" t="n">
        <f aca="false">IFERROR((L55-$F55)/$F55*100,"")</f>
        <v>3.61837997699765</v>
      </c>
      <c r="EB55" s="2" t="n">
        <f aca="false">IFERROR((M55-$F55)/$F55*100,"")</f>
        <v>3.8499370173613</v>
      </c>
      <c r="EC55" s="2" t="n">
        <f aca="false">IFERROR((N55-$F55)/$F55*100,"")</f>
        <v>2.90640232214251</v>
      </c>
      <c r="ED55" s="2" t="n">
        <f aca="false">IFERROR((O55-$F55)/$F55*100,"")</f>
        <v>3.20893805794402</v>
      </c>
      <c r="EE55" s="2" t="n">
        <f aca="false">IFERROR((P55-$F55)/$F55*100,"")</f>
        <v>3.90974314036914</v>
      </c>
      <c r="EF55" s="2" t="n">
        <f aca="false">IFERROR((Q55-$F55)/$F55*100,"")</f>
        <v>3.50818774303084</v>
      </c>
      <c r="EG55" s="2" t="str">
        <f aca="false">IF(DV55="","",IF(AND(ABS(DV55)&lt;=0.25,$E55="Bottom",DK55="LL"),"EQL",IF(AND(ABS(DV55)&lt;=0.25,$E55="Peak",DK55="HH"),"EQH","")))</f>
        <v/>
      </c>
      <c r="EH55" s="2" t="str">
        <f aca="false">IF(DW55="","",IF(AND(ABS(DW55)&lt;=0.25,$E55="Bottom",DL55="LL"),"EQL",IF(AND(ABS(DW55)&lt;=0.25,$E55="Peak",DL55="HH"),"EQH","")))</f>
        <v/>
      </c>
      <c r="EI55" s="2" t="str">
        <f aca="false">IF(DX55="","",IF(AND(ABS(DX55)&lt;=0.25,$E55="Bottom",DM55="LL"),"EQL",IF(AND(ABS(DX55)&lt;=0.25,$E55="Peak",DM55="HH"),"EQH","")))</f>
        <v/>
      </c>
      <c r="EJ55" s="2" t="str">
        <f aca="false">IF(DY55="","",IF(AND(ABS(DY55)&lt;=0.25,$E55="Bottom",DN55="LL"),"EQL",IF(AND(ABS(DY55)&lt;=0.25,$E55="Peak",DN55="HH"),"EQH","")))</f>
        <v/>
      </c>
      <c r="EK55" s="2" t="str">
        <f aca="false">IF(DZ55="","",IF(AND(ABS(DZ55)&lt;=0.25,$E55="Bottom",DO55="LL"),"EQL",IF(AND(ABS(DZ55)&lt;=0.25,$E55="Peak",DO55="HH"),"EQH","")))</f>
        <v/>
      </c>
      <c r="EL55" s="2" t="str">
        <f aca="false">IF(EA55="","",IF(AND(ABS(EA55)&lt;=0.25,$E55="Bottom",DP55="LL"),"EQL",IF(AND(ABS(EA55)&lt;=0.25,$E55="Peak",DP55="HH"),"EQH","")))</f>
        <v/>
      </c>
      <c r="EM55" s="2" t="str">
        <f aca="false">IF(EB55="","",IF(AND(ABS(EB55)&lt;=0.25,$E55="Bottom",DQ55="LL"),"EQL",IF(AND(ABS(EB55)&lt;=0.25,$E55="Peak",DQ55="HH"),"EQH","")))</f>
        <v/>
      </c>
      <c r="EN55" s="2" t="str">
        <f aca="false">IF(EC55="","",IF(AND(ABS(EC55)&lt;=0.25,$E55="Bottom",DR55="LL"),"EQL",IF(AND(ABS(EC55)&lt;=0.25,$E55="Peak",DR55="HH"),"EQH","")))</f>
        <v/>
      </c>
      <c r="EO55" s="2" t="str">
        <f aca="false">IF(ED55="","",IF(AND(ABS(ED55)&lt;=0.25,$E55="Bottom",DS55="LL"),"EQL",IF(AND(ABS(ED55)&lt;=0.25,$E55="Peak",DS55="HH"),"EQH","")))</f>
        <v/>
      </c>
      <c r="EP55" s="2" t="str">
        <f aca="false">IF(EE55="","",IF(AND(ABS(EE55)&lt;=0.25,$E55="Bottom",DT55="LL"),"EQL",IF(AND(ABS(EE55)&lt;=0.25,$E55="Peak",DT55="HH"),"EQH","")))</f>
        <v/>
      </c>
      <c r="EQ55" s="2" t="str">
        <f aca="false">IF(EF55="","",IF(AND(ABS(EF55)&lt;=0.25,$E55="Bottom",DU55="LL"),"EQL",IF(AND(ABS(EF55)&lt;=0.25,$E55="Peak",DU55="HH"),"EQH","")))</f>
        <v/>
      </c>
      <c r="ER55" s="2" t="str">
        <f aca="false">IF(OR(EG55="EQL",EG55="EQH"),G55,"")</f>
        <v/>
      </c>
      <c r="ES55" s="2" t="str">
        <f aca="false">IF(OR(EH55="EQL",EH55="EQH"),H55,"")</f>
        <v/>
      </c>
      <c r="ET55" s="2" t="str">
        <f aca="false">IF(OR(EI55="EQL",EI55="EQH"),I55,"")</f>
        <v/>
      </c>
      <c r="EU55" s="2" t="str">
        <f aca="false">IF(OR(EJ55="EQL",EJ55="EQH"),J55,"")</f>
        <v/>
      </c>
      <c r="EV55" s="2" t="str">
        <f aca="false">IF(OR(EK55="EQL",EK55="EQH"),K55,"")</f>
        <v/>
      </c>
      <c r="EW55" s="2" t="str">
        <f aca="false">IF(OR(EL55="EQL",EL55="EQH"),L55,"")</f>
        <v/>
      </c>
      <c r="EX55" s="2" t="str">
        <f aca="false">IF(OR(EM55="EQL",EM55="EQH"),M55,"")</f>
        <v/>
      </c>
      <c r="EY55" s="2" t="str">
        <f aca="false">IF(OR(EN55="EQL",EN55="EQH"),N55,"")</f>
        <v/>
      </c>
      <c r="EZ55" s="2" t="str">
        <f aca="false">IF(OR(EO55="EQL",EO55="EQH"),O55,"")</f>
        <v/>
      </c>
      <c r="FA55" s="2" t="str">
        <f aca="false">IF(OR(EP55="EQL",EP55="EQH"),P55,"")</f>
        <v/>
      </c>
      <c r="FB55" s="2" t="str">
        <f aca="false">IF(OR(EQ55="EQL",EQ55="EQH"),Q55,"")</f>
        <v/>
      </c>
      <c r="FC55" s="2" t="str">
        <f aca="false">IF(AND(EG55="EQL",OR(AQ55=4,AQ55=5)),"IEQL",IF(AND(EG55="EQH",OR(AQ55=1,AQ55=2)),"IEQH",""))</f>
        <v/>
      </c>
      <c r="FD55" s="2" t="str">
        <f aca="false">IF(AND(EH55="EQL",OR(AR55=4,AR55=5)),"IEQL",IF(AND(EH55="EQH",OR(AR55=1,AR55=2)),"IEQH",""))</f>
        <v/>
      </c>
      <c r="FE55" s="2" t="str">
        <f aca="false">IF(AND(EI55="EQL",OR(AS55=4,AS55=5)),"IEQL",IF(AND(EI55="EQH",OR(AS55=1,AS55=2)),"IEQH",""))</f>
        <v/>
      </c>
      <c r="FF55" s="2" t="str">
        <f aca="false">IF(AND(EJ55="EQL",OR(AT55=4,AT55=5)),"IEQL",IF(AND(EJ55="EQH",OR(AT55=1,AT55=2)),"IEQH",""))</f>
        <v/>
      </c>
      <c r="FG55" s="2" t="str">
        <f aca="false">IF(AND(EK55="EQL",OR(AU55=4,AU55=5)),"IEQL",IF(AND(EK55="EQH",OR(AU55=1,AU55=2)),"IEQH",""))</f>
        <v/>
      </c>
      <c r="FH55" s="2" t="str">
        <f aca="false">IF(AND(EL55="EQL",OR(AV55=4,AV55=5)),"IEQL",IF(AND(EL55="EQH",OR(AV55=1,AV55=2)),"IEQH",""))</f>
        <v/>
      </c>
      <c r="FI55" s="2" t="str">
        <f aca="false">IF(AND(EM55="EQL",OR(AW55=4,AW55=5)),"IEQL",IF(AND(EM55="EQH",OR(AW55=1,AW55=2)),"IEQH",""))</f>
        <v/>
      </c>
      <c r="FJ55" s="2" t="str">
        <f aca="false">IF(AND(EN55="EQL",OR(AX55=4,AX55=5)),"IEQL",IF(AND(EN55="EQH",OR(AX55=1,AX55=2)),"IEQH",""))</f>
        <v/>
      </c>
      <c r="FK55" s="2" t="str">
        <f aca="false">IF(AND(EO55="EQL",OR(AY55=4,AY55=5)),"IEQL",IF(AND(EO55="EQH",OR(AY55=1,AY55=2)),"IEQH",""))</f>
        <v/>
      </c>
      <c r="FL55" s="2" t="str">
        <f aca="false">IF(AND(EP55="EQL",OR(AZ55=4,AZ55=5)),"IEQL",IF(AND(EP55="EQH",OR(AZ55=1,AZ55=2)),"IEQH",""))</f>
        <v/>
      </c>
      <c r="FM55" s="2" t="str">
        <f aca="false">IF(AND(EQ55="EQL",OR(BA55=4,BA55=5)),"IEQL",IF(AND(EQ55="EQH",OR(BA55=1,BA55=2)),"IEQH",""))</f>
        <v/>
      </c>
    </row>
    <row r="56" customFormat="false" ht="14.25" hidden="false" customHeight="false" outlineLevel="0" collapsed="false">
      <c r="A56" s="1" t="n">
        <v>1777488302</v>
      </c>
      <c r="B56" s="1" t="s">
        <v>169</v>
      </c>
      <c r="C56" s="1" t="s">
        <v>170</v>
      </c>
      <c r="D56" s="1" t="n">
        <v>4538.19</v>
      </c>
      <c r="E56" s="1" t="s">
        <v>171</v>
      </c>
      <c r="F56" s="1" t="n">
        <v>4518.41</v>
      </c>
      <c r="G56" s="2" t="n">
        <f aca="false">F54</f>
        <v>4510.28</v>
      </c>
      <c r="H56" s="2" t="n">
        <f aca="false">F52</f>
        <v>4575.84</v>
      </c>
      <c r="I56" s="2" t="n">
        <f aca="false">F50</f>
        <v>4587.93</v>
      </c>
      <c r="J56" s="2" t="n">
        <f aca="false">F48</f>
        <v>4555.12</v>
      </c>
      <c r="K56" s="2" t="n">
        <f aca="false">F46</f>
        <v>4667.32</v>
      </c>
      <c r="L56" s="2" t="n">
        <f aca="false">F44</f>
        <v>4699.29</v>
      </c>
      <c r="M56" s="2" t="n">
        <f aca="false">F42</f>
        <v>4672.35</v>
      </c>
      <c r="N56" s="2" t="n">
        <f aca="false">F40</f>
        <v>4674.72</v>
      </c>
      <c r="O56" s="2" t="n">
        <f aca="false">F38</f>
        <v>4658.17</v>
      </c>
      <c r="P56" s="2" t="n">
        <f aca="false">F36</f>
        <v>4664.3</v>
      </c>
      <c r="Q56" s="2" t="n">
        <f aca="false">F34</f>
        <v>4684.26</v>
      </c>
      <c r="R56" s="1" t="n">
        <v>-46.34</v>
      </c>
      <c r="S56" s="2" t="n">
        <f aca="false">R54</f>
        <v>-97.49</v>
      </c>
      <c r="T56" s="2" t="n">
        <f aca="false">R52</f>
        <v>-34.31</v>
      </c>
      <c r="U56" s="2" t="n">
        <f aca="false">R50</f>
        <v>-13.56</v>
      </c>
      <c r="V56" s="2" t="n">
        <f aca="false">R48</f>
        <v>-146.02</v>
      </c>
      <c r="W56" s="2" t="n">
        <f aca="false">R46</f>
        <v>-45.27</v>
      </c>
      <c r="X56" s="2" t="n">
        <f aca="false">R44</f>
        <v>-30.63</v>
      </c>
      <c r="Y56" s="2" t="n">
        <f aca="false">R42</f>
        <v>-68.14</v>
      </c>
      <c r="Z56" s="2" t="n">
        <f aca="false">R40</f>
        <v>-22.7</v>
      </c>
      <c r="AA56" s="2" t="n">
        <f aca="false">R38</f>
        <v>-53.06</v>
      </c>
      <c r="AB56" s="2" t="n">
        <f aca="false">R36</f>
        <v>-78.92</v>
      </c>
      <c r="AC56" s="2" t="n">
        <f aca="false">R34</f>
        <v>-40.63</v>
      </c>
      <c r="AD56" s="1" t="n">
        <v>-1.02</v>
      </c>
      <c r="AE56" s="2" t="n">
        <f aca="false">AD54</f>
        <v>-2.12</v>
      </c>
      <c r="AF56" s="2" t="n">
        <f aca="false">AD52</f>
        <v>-0.74</v>
      </c>
      <c r="AG56" s="2" t="n">
        <f aca="false">AD50</f>
        <v>-0.29</v>
      </c>
      <c r="AH56" s="2" t="n">
        <f aca="false">AD48</f>
        <v>-3.11</v>
      </c>
      <c r="AI56" s="2" t="n">
        <f aca="false">AD46</f>
        <v>-0.96</v>
      </c>
      <c r="AJ56" s="2" t="n">
        <f aca="false">AD44</f>
        <v>-0.65</v>
      </c>
      <c r="AK56" s="2" t="n">
        <f aca="false">AD42</f>
        <v>-1.44</v>
      </c>
      <c r="AL56" s="2" t="n">
        <f aca="false">AD40</f>
        <v>-0.48</v>
      </c>
      <c r="AM56" s="2" t="n">
        <f aca="false">AD38</f>
        <v>-1.13</v>
      </c>
      <c r="AN56" s="2" t="n">
        <f aca="false">AD36</f>
        <v>-1.66</v>
      </c>
      <c r="AO56" s="2" t="n">
        <f aca="false">AD34</f>
        <v>-0.86</v>
      </c>
      <c r="AP56" s="1" t="n">
        <v>3</v>
      </c>
      <c r="AQ56" s="2" t="n">
        <f aca="false">AP54</f>
        <v>4</v>
      </c>
      <c r="AR56" s="2" t="n">
        <f aca="false">AP52</f>
        <v>3</v>
      </c>
      <c r="AS56" s="2" t="n">
        <f aca="false">AP50</f>
        <v>3</v>
      </c>
      <c r="AT56" s="2" t="n">
        <f aca="false">AP48</f>
        <v>5</v>
      </c>
      <c r="AU56" s="2" t="n">
        <f aca="false">AP46</f>
        <v>3</v>
      </c>
      <c r="AV56" s="2" t="n">
        <f aca="false">AP44</f>
        <v>3</v>
      </c>
      <c r="AW56" s="2" t="n">
        <f aca="false">AP42</f>
        <v>3</v>
      </c>
      <c r="AX56" s="2" t="n">
        <f aca="false">AP40</f>
        <v>3</v>
      </c>
      <c r="AY56" s="2" t="n">
        <f aca="false">AP38</f>
        <v>3</v>
      </c>
      <c r="AZ56" s="2" t="n">
        <f aca="false">AP36</f>
        <v>3</v>
      </c>
      <c r="BA56" s="2" t="n">
        <f aca="false">AP34</f>
        <v>3</v>
      </c>
      <c r="BB56" s="1" t="n">
        <v>11</v>
      </c>
      <c r="BC56" s="2" t="n">
        <f aca="false">BB54</f>
        <v>35</v>
      </c>
      <c r="BD56" s="2" t="n">
        <f aca="false">BB52</f>
        <v>4</v>
      </c>
      <c r="BE56" s="2" t="n">
        <f aca="false">BB50</f>
        <v>20</v>
      </c>
      <c r="BF56" s="2" t="n">
        <f aca="false">BB48</f>
        <v>48</v>
      </c>
      <c r="BG56" s="2" t="n">
        <f aca="false">BB46</f>
        <v>11</v>
      </c>
      <c r="BH56" s="2" t="n">
        <f aca="false">BB44</f>
        <v>20</v>
      </c>
      <c r="BI56" s="2" t="n">
        <f aca="false">BB42</f>
        <v>36</v>
      </c>
      <c r="BJ56" s="2" t="n">
        <f aca="false">BB40</f>
        <v>9</v>
      </c>
      <c r="BK56" s="2" t="n">
        <f aca="false">BB38</f>
        <v>13</v>
      </c>
      <c r="BL56" s="2" t="n">
        <f aca="false">BB36</f>
        <v>20</v>
      </c>
      <c r="BM56" s="2" t="n">
        <f aca="false">BB34</f>
        <v>10</v>
      </c>
      <c r="BN56" s="1" t="n">
        <v>3</v>
      </c>
      <c r="BO56" s="2" t="n">
        <f aca="false">BN54</f>
        <v>3</v>
      </c>
      <c r="BP56" s="2" t="n">
        <f aca="false">BN52</f>
        <v>3</v>
      </c>
      <c r="BQ56" s="2" t="n">
        <f aca="false">BN50</f>
        <v>3</v>
      </c>
      <c r="BR56" s="2" t="n">
        <f aca="false">BN48</f>
        <v>5</v>
      </c>
      <c r="BS56" s="2" t="n">
        <f aca="false">BN46</f>
        <v>3</v>
      </c>
      <c r="BT56" s="2" t="n">
        <f aca="false">BN44</f>
        <v>3</v>
      </c>
      <c r="BU56" s="2" t="n">
        <f aca="false">BN42</f>
        <v>4</v>
      </c>
      <c r="BV56" s="2" t="n">
        <f aca="false">BN40</f>
        <v>3</v>
      </c>
      <c r="BW56" s="2" t="n">
        <f aca="false">BN38</f>
        <v>3</v>
      </c>
      <c r="BX56" s="2" t="n">
        <f aca="false">BN36</f>
        <v>3</v>
      </c>
      <c r="BY56" s="2" t="n">
        <f aca="false">BN34</f>
        <v>3</v>
      </c>
      <c r="BZ56" s="1" t="n">
        <v>-4.21273</v>
      </c>
      <c r="CA56" s="2" t="n">
        <f aca="false">BZ54</f>
        <v>-2.78543</v>
      </c>
      <c r="CB56" s="2" t="n">
        <f aca="false">BZ52</f>
        <v>-8.5775</v>
      </c>
      <c r="CC56" s="2" t="n">
        <f aca="false">BZ50</f>
        <v>-0.678</v>
      </c>
      <c r="CD56" s="2" t="n">
        <f aca="false">BZ48</f>
        <v>-3.04208</v>
      </c>
      <c r="CE56" s="2" t="n">
        <f aca="false">BZ46</f>
        <v>-4.11545</v>
      </c>
      <c r="CF56" s="2" t="n">
        <f aca="false">BZ44</f>
        <v>-1.5315</v>
      </c>
      <c r="CG56" s="2" t="n">
        <f aca="false">BZ42</f>
        <v>-1.89278</v>
      </c>
      <c r="CH56" s="2" t="n">
        <f aca="false">BZ40</f>
        <v>-2.52222</v>
      </c>
      <c r="CI56" s="2" t="n">
        <f aca="false">BZ38</f>
        <v>-4.08154</v>
      </c>
      <c r="CJ56" s="2" t="n">
        <f aca="false">BZ36</f>
        <v>-3.946</v>
      </c>
      <c r="CK56" s="2" t="n">
        <f aca="false">BZ34</f>
        <v>-4.063</v>
      </c>
      <c r="CL56" s="1" t="n">
        <v>3</v>
      </c>
      <c r="CM56" s="2" t="n">
        <f aca="false">CL54</f>
        <v>3</v>
      </c>
      <c r="CN56" s="2" t="n">
        <f aca="false">CL52</f>
        <v>3</v>
      </c>
      <c r="CO56" s="2" t="n">
        <f aca="false">CL50</f>
        <v>3</v>
      </c>
      <c r="CP56" s="2" t="n">
        <f aca="false">CL48</f>
        <v>3</v>
      </c>
      <c r="CQ56" s="2" t="n">
        <f aca="false">CL46</f>
        <v>3</v>
      </c>
      <c r="CR56" s="2" t="n">
        <f aca="false">CL44</f>
        <v>3</v>
      </c>
      <c r="CS56" s="2" t="n">
        <f aca="false">CL42</f>
        <v>3</v>
      </c>
      <c r="CT56" s="2" t="n">
        <f aca="false">CL40</f>
        <v>3</v>
      </c>
      <c r="CU56" s="2" t="n">
        <f aca="false">CL38</f>
        <v>3</v>
      </c>
      <c r="CV56" s="2" t="n">
        <f aca="false">CL36</f>
        <v>3</v>
      </c>
      <c r="CW56" s="2" t="n">
        <f aca="false">CL34</f>
        <v>3</v>
      </c>
      <c r="CX56" s="1" t="n">
        <v>-76.6465</v>
      </c>
      <c r="CY56" s="2" t="n">
        <f aca="false">CX54</f>
        <v>-70.2513</v>
      </c>
      <c r="CZ56" s="2" t="n">
        <f aca="false">CX52</f>
        <v>-83.3502</v>
      </c>
      <c r="DA56" s="2" t="n">
        <f aca="false">CX50</f>
        <v>-34.1373</v>
      </c>
      <c r="DB56" s="2" t="n">
        <f aca="false">CX48</f>
        <v>-71.8032</v>
      </c>
      <c r="DC56" s="2" t="n">
        <f aca="false">CX46</f>
        <v>-76.3426</v>
      </c>
      <c r="DD56" s="2" t="n">
        <f aca="false">CX44</f>
        <v>-56.8573</v>
      </c>
      <c r="DE56" s="2" t="n">
        <f aca="false">CX42</f>
        <v>-62.1514</v>
      </c>
      <c r="DF56" s="2" t="n">
        <f aca="false">CX40</f>
        <v>-68.3729</v>
      </c>
      <c r="DG56" s="2" t="n">
        <f aca="false">CX38</f>
        <v>-76.2334</v>
      </c>
      <c r="DH56" s="2" t="n">
        <f aca="false">CX36</f>
        <v>-75.7794</v>
      </c>
      <c r="DI56" s="2" t="n">
        <f aca="false">CX34</f>
        <v>-76.173</v>
      </c>
      <c r="DJ56" s="1" t="s">
        <v>175</v>
      </c>
      <c r="DK56" s="2" t="str">
        <f aca="false">DJ54</f>
        <v>LL</v>
      </c>
      <c r="DL56" s="2" t="str">
        <f aca="false">DJ52</f>
        <v>LL</v>
      </c>
      <c r="DM56" s="2" t="str">
        <f aca="false">DJ50</f>
        <v>HL</v>
      </c>
      <c r="DN56" s="2" t="str">
        <f aca="false">DJ48</f>
        <v>LL</v>
      </c>
      <c r="DO56" s="2" t="str">
        <f aca="false">DJ46</f>
        <v>LL</v>
      </c>
      <c r="DP56" s="2" t="str">
        <f aca="false">DJ44</f>
        <v>HL</v>
      </c>
      <c r="DQ56" s="2" t="str">
        <f aca="false">DJ42</f>
        <v>LL</v>
      </c>
      <c r="DR56" s="2" t="str">
        <f aca="false">DJ40</f>
        <v>HL</v>
      </c>
      <c r="DS56" s="2" t="str">
        <f aca="false">DJ38</f>
        <v>LL</v>
      </c>
      <c r="DT56" s="2" t="str">
        <f aca="false">DJ36</f>
        <v>LL</v>
      </c>
      <c r="DU56" s="2" t="str">
        <f aca="false">DJ34</f>
        <v>LL</v>
      </c>
      <c r="DV56" s="2" t="n">
        <f aca="false">IFERROR((G56-$F56)/$F56*100,"")</f>
        <v>-0.179930550791099</v>
      </c>
      <c r="DW56" s="2" t="n">
        <f aca="false">IFERROR((H56-$F56)/$F56*100,"")</f>
        <v>1.27102232865101</v>
      </c>
      <c r="DX56" s="2" t="n">
        <f aca="false">IFERROR((I56-$F56)/$F56*100,"")</f>
        <v>1.53859432853593</v>
      </c>
      <c r="DY56" s="2" t="n">
        <f aca="false">IFERROR((J56-$F56)/$F56*100,"")</f>
        <v>0.812453938442949</v>
      </c>
      <c r="DZ56" s="2" t="n">
        <f aca="false">IFERROR((K56-$F56)/$F56*100,"")</f>
        <v>3.29562832943447</v>
      </c>
      <c r="EA56" s="2" t="n">
        <f aca="false">IFERROR((L56-$F56)/$F56*100,"")</f>
        <v>4.00317810911361</v>
      </c>
      <c r="EB56" s="2" t="n">
        <f aca="false">IFERROR((M56-$F56)/$F56*100,"")</f>
        <v>3.40695067512688</v>
      </c>
      <c r="EC56" s="2" t="n">
        <f aca="false">IFERROR((N56-$F56)/$F56*100,"")</f>
        <v>3.45940275450879</v>
      </c>
      <c r="ED56" s="2" t="n">
        <f aca="false">IFERROR((O56-$F56)/$F56*100,"")</f>
        <v>3.093123465998</v>
      </c>
      <c r="EE56" s="2" t="n">
        <f aca="false">IFERROR((P56-$F56)/$F56*100,"")</f>
        <v>3.22879065866091</v>
      </c>
      <c r="EF56" s="2" t="n">
        <f aca="false">IFERROR((Q56-$F56)/$F56*100,"")</f>
        <v>3.67053897278026</v>
      </c>
      <c r="EG56" s="2" t="str">
        <f aca="false">IF(DV56="","",IF(AND(ABS(DV56)&lt;=0.25,$E56="Bottom",DK56="LL"),"EQL",IF(AND(ABS(DV56)&lt;=0.25,$E56="Peak",DK56="HH"),"EQH","")))</f>
        <v>EQL</v>
      </c>
      <c r="EH56" s="2" t="str">
        <f aca="false">IF(DW56="","",IF(AND(ABS(DW56)&lt;=0.25,$E56="Bottom",DL56="LL"),"EQL",IF(AND(ABS(DW56)&lt;=0.25,$E56="Peak",DL56="HH"),"EQH","")))</f>
        <v/>
      </c>
      <c r="EI56" s="2" t="str">
        <f aca="false">IF(DX56="","",IF(AND(ABS(DX56)&lt;=0.25,$E56="Bottom",DM56="LL"),"EQL",IF(AND(ABS(DX56)&lt;=0.25,$E56="Peak",DM56="HH"),"EQH","")))</f>
        <v/>
      </c>
      <c r="EJ56" s="2" t="str">
        <f aca="false">IF(DY56="","",IF(AND(ABS(DY56)&lt;=0.25,$E56="Bottom",DN56="LL"),"EQL",IF(AND(ABS(DY56)&lt;=0.25,$E56="Peak",DN56="HH"),"EQH","")))</f>
        <v/>
      </c>
      <c r="EK56" s="2" t="str">
        <f aca="false">IF(DZ56="","",IF(AND(ABS(DZ56)&lt;=0.25,$E56="Bottom",DO56="LL"),"EQL",IF(AND(ABS(DZ56)&lt;=0.25,$E56="Peak",DO56="HH"),"EQH","")))</f>
        <v/>
      </c>
      <c r="EL56" s="2" t="str">
        <f aca="false">IF(EA56="","",IF(AND(ABS(EA56)&lt;=0.25,$E56="Bottom",DP56="LL"),"EQL",IF(AND(ABS(EA56)&lt;=0.25,$E56="Peak",DP56="HH"),"EQH","")))</f>
        <v/>
      </c>
      <c r="EM56" s="2" t="str">
        <f aca="false">IF(EB56="","",IF(AND(ABS(EB56)&lt;=0.25,$E56="Bottom",DQ56="LL"),"EQL",IF(AND(ABS(EB56)&lt;=0.25,$E56="Peak",DQ56="HH"),"EQH","")))</f>
        <v/>
      </c>
      <c r="EN56" s="2" t="str">
        <f aca="false">IF(EC56="","",IF(AND(ABS(EC56)&lt;=0.25,$E56="Bottom",DR56="LL"),"EQL",IF(AND(ABS(EC56)&lt;=0.25,$E56="Peak",DR56="HH"),"EQH","")))</f>
        <v/>
      </c>
      <c r="EO56" s="2" t="str">
        <f aca="false">IF(ED56="","",IF(AND(ABS(ED56)&lt;=0.25,$E56="Bottom",DS56="LL"),"EQL",IF(AND(ABS(ED56)&lt;=0.25,$E56="Peak",DS56="HH"),"EQH","")))</f>
        <v/>
      </c>
      <c r="EP56" s="2" t="str">
        <f aca="false">IF(EE56="","",IF(AND(ABS(EE56)&lt;=0.25,$E56="Bottom",DT56="LL"),"EQL",IF(AND(ABS(EE56)&lt;=0.25,$E56="Peak",DT56="HH"),"EQH","")))</f>
        <v/>
      </c>
      <c r="EQ56" s="2" t="str">
        <f aca="false">IF(EF56="","",IF(AND(ABS(EF56)&lt;=0.25,$E56="Bottom",DU56="LL"),"EQL",IF(AND(ABS(EF56)&lt;=0.25,$E56="Peak",DU56="HH"),"EQH","")))</f>
        <v/>
      </c>
      <c r="ER56" s="2" t="n">
        <f aca="false">IF(OR(EG56="EQL",EG56="EQH"),G56,"")</f>
        <v>4510.28</v>
      </c>
      <c r="ES56" s="2" t="str">
        <f aca="false">IF(OR(EH56="EQL",EH56="EQH"),H56,"")</f>
        <v/>
      </c>
      <c r="ET56" s="2" t="str">
        <f aca="false">IF(OR(EI56="EQL",EI56="EQH"),I56,"")</f>
        <v/>
      </c>
      <c r="EU56" s="2" t="str">
        <f aca="false">IF(OR(EJ56="EQL",EJ56="EQH"),J56,"")</f>
        <v/>
      </c>
      <c r="EV56" s="2" t="str">
        <f aca="false">IF(OR(EK56="EQL",EK56="EQH"),K56,"")</f>
        <v/>
      </c>
      <c r="EW56" s="2" t="str">
        <f aca="false">IF(OR(EL56="EQL",EL56="EQH"),L56,"")</f>
        <v/>
      </c>
      <c r="EX56" s="2" t="str">
        <f aca="false">IF(OR(EM56="EQL",EM56="EQH"),M56,"")</f>
        <v/>
      </c>
      <c r="EY56" s="2" t="str">
        <f aca="false">IF(OR(EN56="EQL",EN56="EQH"),N56,"")</f>
        <v/>
      </c>
      <c r="EZ56" s="2" t="str">
        <f aca="false">IF(OR(EO56="EQL",EO56="EQH"),O56,"")</f>
        <v/>
      </c>
      <c r="FA56" s="2" t="str">
        <f aca="false">IF(OR(EP56="EQL",EP56="EQH"),P56,"")</f>
        <v/>
      </c>
      <c r="FB56" s="2" t="str">
        <f aca="false">IF(OR(EQ56="EQL",EQ56="EQH"),Q56,"")</f>
        <v/>
      </c>
      <c r="FC56" s="2" t="str">
        <f aca="false">IF(AND(EG56="EQL",OR(AQ56=4,AQ56=5)),"IEQL",IF(AND(EG56="EQH",OR(AQ56=1,AQ56=2)),"IEQH",""))</f>
        <v>IEQL</v>
      </c>
      <c r="FD56" s="2" t="str">
        <f aca="false">IF(AND(EH56="EQL",OR(AR56=4,AR56=5)),"IEQL",IF(AND(EH56="EQH",OR(AR56=1,AR56=2)),"IEQH",""))</f>
        <v/>
      </c>
      <c r="FE56" s="2" t="str">
        <f aca="false">IF(AND(EI56="EQL",OR(AS56=4,AS56=5)),"IEQL",IF(AND(EI56="EQH",OR(AS56=1,AS56=2)),"IEQH",""))</f>
        <v/>
      </c>
      <c r="FF56" s="2" t="str">
        <f aca="false">IF(AND(EJ56="EQL",OR(AT56=4,AT56=5)),"IEQL",IF(AND(EJ56="EQH",OR(AT56=1,AT56=2)),"IEQH",""))</f>
        <v/>
      </c>
      <c r="FG56" s="2" t="str">
        <f aca="false">IF(AND(EK56="EQL",OR(AU56=4,AU56=5)),"IEQL",IF(AND(EK56="EQH",OR(AU56=1,AU56=2)),"IEQH",""))</f>
        <v/>
      </c>
      <c r="FH56" s="2" t="str">
        <f aca="false">IF(AND(EL56="EQL",OR(AV56=4,AV56=5)),"IEQL",IF(AND(EL56="EQH",OR(AV56=1,AV56=2)),"IEQH",""))</f>
        <v/>
      </c>
      <c r="FI56" s="2" t="str">
        <f aca="false">IF(AND(EM56="EQL",OR(AW56=4,AW56=5)),"IEQL",IF(AND(EM56="EQH",OR(AW56=1,AW56=2)),"IEQH",""))</f>
        <v/>
      </c>
      <c r="FJ56" s="2" t="str">
        <f aca="false">IF(AND(EN56="EQL",OR(AX56=4,AX56=5)),"IEQL",IF(AND(EN56="EQH",OR(AX56=1,AX56=2)),"IEQH",""))</f>
        <v/>
      </c>
      <c r="FK56" s="2" t="str">
        <f aca="false">IF(AND(EO56="EQL",OR(AY56=4,AY56=5)),"IEQL",IF(AND(EO56="EQH",OR(AY56=1,AY56=2)),"IEQH",""))</f>
        <v/>
      </c>
      <c r="FL56" s="2" t="str">
        <f aca="false">IF(AND(EP56="EQL",OR(AZ56=4,AZ56=5)),"IEQL",IF(AND(EP56="EQH",OR(AZ56=1,AZ56=2)),"IEQH",""))</f>
        <v/>
      </c>
      <c r="FM56" s="2" t="str">
        <f aca="false">IF(AND(EQ56="EQL",OR(BA56=4,BA56=5)),"IEQL",IF(AND(EQ56="EQH",OR(BA56=1,BA56=2)),"IEQH",""))</f>
        <v/>
      </c>
    </row>
    <row r="57" customFormat="false" ht="14.25" hidden="false" customHeight="false" outlineLevel="0" collapsed="false">
      <c r="A57" s="1" t="n">
        <v>1777513502</v>
      </c>
      <c r="B57" s="1" t="s">
        <v>169</v>
      </c>
      <c r="C57" s="1" t="s">
        <v>170</v>
      </c>
      <c r="D57" s="1" t="n">
        <v>4579.13</v>
      </c>
      <c r="E57" s="1" t="s">
        <v>173</v>
      </c>
      <c r="F57" s="1" t="n">
        <v>4582.32</v>
      </c>
      <c r="G57" s="2" t="n">
        <f aca="false">F55</f>
        <v>4564.75</v>
      </c>
      <c r="H57" s="2" t="n">
        <f aca="false">F53</f>
        <v>4607.77</v>
      </c>
      <c r="I57" s="2" t="n">
        <f aca="false">F51</f>
        <v>4610.15</v>
      </c>
      <c r="J57" s="2" t="n">
        <f aca="false">F49</f>
        <v>4601.49</v>
      </c>
      <c r="K57" s="2" t="n">
        <f aca="false">F47</f>
        <v>4701.14</v>
      </c>
      <c r="L57" s="2" t="n">
        <f aca="false">F45</f>
        <v>4712.59</v>
      </c>
      <c r="M57" s="2" t="n">
        <f aca="false">F43</f>
        <v>4729.92</v>
      </c>
      <c r="N57" s="2" t="n">
        <f aca="false">F41</f>
        <v>4740.49</v>
      </c>
      <c r="O57" s="2" t="n">
        <f aca="false">F39</f>
        <v>4697.42</v>
      </c>
      <c r="P57" s="2" t="n">
        <f aca="false">F37</f>
        <v>4711.23</v>
      </c>
      <c r="Q57" s="2" t="n">
        <f aca="false">F35</f>
        <v>4743.22</v>
      </c>
      <c r="R57" s="1" t="n">
        <v>63.91</v>
      </c>
      <c r="S57" s="2" t="n">
        <f aca="false">R55</f>
        <v>54.47</v>
      </c>
      <c r="T57" s="2" t="n">
        <f aca="false">R53</f>
        <v>31.93</v>
      </c>
      <c r="U57" s="2" t="n">
        <f aca="false">R51</f>
        <v>22.22</v>
      </c>
      <c r="V57" s="2" t="n">
        <f aca="false">R49</f>
        <v>46.37</v>
      </c>
      <c r="W57" s="2" t="n">
        <f aca="false">R47</f>
        <v>33.82</v>
      </c>
      <c r="X57" s="2" t="n">
        <f aca="false">R45</f>
        <v>13.3</v>
      </c>
      <c r="Y57" s="2" t="n">
        <f aca="false">R43</f>
        <v>57.57</v>
      </c>
      <c r="Z57" s="2" t="n">
        <f aca="false">R41</f>
        <v>65.77</v>
      </c>
      <c r="AA57" s="2" t="n">
        <f aca="false">R39</f>
        <v>39.25</v>
      </c>
      <c r="AB57" s="2" t="n">
        <f aca="false">R37</f>
        <v>46.93</v>
      </c>
      <c r="AC57" s="2" t="n">
        <f aca="false">R35</f>
        <v>58.96</v>
      </c>
      <c r="AD57" s="1" t="n">
        <v>1.41</v>
      </c>
      <c r="AE57" s="2" t="n">
        <f aca="false">AD55</f>
        <v>1.21</v>
      </c>
      <c r="AF57" s="2" t="n">
        <f aca="false">AD53</f>
        <v>0.7</v>
      </c>
      <c r="AG57" s="2" t="n">
        <f aca="false">AD51</f>
        <v>0.48</v>
      </c>
      <c r="AH57" s="2" t="n">
        <f aca="false">AD49</f>
        <v>1.02</v>
      </c>
      <c r="AI57" s="2" t="n">
        <f aca="false">AD47</f>
        <v>0.72</v>
      </c>
      <c r="AJ57" s="2" t="n">
        <f aca="false">AD45</f>
        <v>0.28</v>
      </c>
      <c r="AK57" s="2" t="n">
        <f aca="false">AD43</f>
        <v>1.23</v>
      </c>
      <c r="AL57" s="2" t="n">
        <f aca="false">AD41</f>
        <v>1.41</v>
      </c>
      <c r="AM57" s="2" t="n">
        <f aca="false">AD39</f>
        <v>0.84</v>
      </c>
      <c r="AN57" s="2" t="n">
        <f aca="false">AD37</f>
        <v>1.01</v>
      </c>
      <c r="AO57" s="2" t="n">
        <f aca="false">AD35</f>
        <v>1.26</v>
      </c>
      <c r="AP57" s="1" t="n">
        <v>0</v>
      </c>
      <c r="AQ57" s="2" t="n">
        <f aca="false">AP55</f>
        <v>0</v>
      </c>
      <c r="AR57" s="2" t="n">
        <f aca="false">AP53</f>
        <v>0</v>
      </c>
      <c r="AS57" s="2" t="n">
        <f aca="false">AP51</f>
        <v>0</v>
      </c>
      <c r="AT57" s="2" t="n">
        <f aca="false">AP49</f>
        <v>0</v>
      </c>
      <c r="AU57" s="2" t="n">
        <f aca="false">AP47</f>
        <v>0</v>
      </c>
      <c r="AV57" s="2" t="n">
        <f aca="false">AP45</f>
        <v>0</v>
      </c>
      <c r="AW57" s="2" t="n">
        <f aca="false">AP43</f>
        <v>0</v>
      </c>
      <c r="AX57" s="2" t="n">
        <f aca="false">AP41</f>
        <v>0</v>
      </c>
      <c r="AY57" s="2" t="n">
        <f aca="false">AP39</f>
        <v>0</v>
      </c>
      <c r="AZ57" s="2" t="n">
        <f aca="false">AP37</f>
        <v>0</v>
      </c>
      <c r="BA57" s="2" t="n">
        <f aca="false">AP35</f>
        <v>0</v>
      </c>
      <c r="BB57" s="1" t="n">
        <v>24</v>
      </c>
      <c r="BC57" s="2" t="n">
        <f aca="false">BB55</f>
        <v>9</v>
      </c>
      <c r="BD57" s="2" t="n">
        <f aca="false">BB53</f>
        <v>16</v>
      </c>
      <c r="BE57" s="2" t="n">
        <f aca="false">BB51</f>
        <v>2</v>
      </c>
      <c r="BF57" s="2" t="n">
        <f aca="false">BB49</f>
        <v>22</v>
      </c>
      <c r="BG57" s="2" t="n">
        <f aca="false">BB47</f>
        <v>32</v>
      </c>
      <c r="BH57" s="2" t="n">
        <f aca="false">BB45</f>
        <v>11</v>
      </c>
      <c r="BI57" s="2" t="n">
        <f aca="false">BB43</f>
        <v>18</v>
      </c>
      <c r="BJ57" s="2" t="n">
        <f aca="false">BB41</f>
        <v>14</v>
      </c>
      <c r="BK57" s="2" t="n">
        <f aca="false">BB39</f>
        <v>15</v>
      </c>
      <c r="BL57" s="2" t="n">
        <f aca="false">BB37</f>
        <v>26</v>
      </c>
      <c r="BM57" s="2" t="n">
        <f aca="false">BB35</f>
        <v>9</v>
      </c>
      <c r="BN57" s="1" t="n">
        <v>0</v>
      </c>
      <c r="BO57" s="2" t="n">
        <f aca="false">BN55</f>
        <v>0</v>
      </c>
      <c r="BP57" s="2" t="n">
        <f aca="false">BN53</f>
        <v>0</v>
      </c>
      <c r="BQ57" s="2" t="n">
        <f aca="false">BN51</f>
        <v>0</v>
      </c>
      <c r="BR57" s="2" t="n">
        <f aca="false">BN49</f>
        <v>0</v>
      </c>
      <c r="BS57" s="2" t="n">
        <f aca="false">BN47</f>
        <v>0</v>
      </c>
      <c r="BT57" s="2" t="n">
        <f aca="false">BN45</f>
        <v>0</v>
      </c>
      <c r="BU57" s="2" t="n">
        <f aca="false">BN43</f>
        <v>0</v>
      </c>
      <c r="BV57" s="2" t="n">
        <f aca="false">BN41</f>
        <v>0</v>
      </c>
      <c r="BW57" s="2" t="n">
        <f aca="false">BN39</f>
        <v>0</v>
      </c>
      <c r="BX57" s="2" t="n">
        <f aca="false">BN37</f>
        <v>0</v>
      </c>
      <c r="BY57" s="2" t="n">
        <f aca="false">BN35</f>
        <v>0</v>
      </c>
      <c r="BZ57" s="1" t="n">
        <v>2.66292</v>
      </c>
      <c r="CA57" s="2" t="n">
        <f aca="false">BZ55</f>
        <v>6.05222</v>
      </c>
      <c r="CB57" s="2" t="n">
        <f aca="false">BZ53</f>
        <v>1.99563</v>
      </c>
      <c r="CC57" s="2" t="n">
        <f aca="false">BZ51</f>
        <v>11.11</v>
      </c>
      <c r="CD57" s="2" t="n">
        <f aca="false">BZ49</f>
        <v>2.10773</v>
      </c>
      <c r="CE57" s="2" t="n">
        <f aca="false">BZ47</f>
        <v>1.05688</v>
      </c>
      <c r="CF57" s="2" t="n">
        <f aca="false">BZ45</f>
        <v>1.20909</v>
      </c>
      <c r="CG57" s="2" t="n">
        <f aca="false">BZ43</f>
        <v>3.19833</v>
      </c>
      <c r="CH57" s="2" t="n">
        <f aca="false">BZ41</f>
        <v>4.69786</v>
      </c>
      <c r="CI57" s="2" t="n">
        <f aca="false">BZ39</f>
        <v>2.61667</v>
      </c>
      <c r="CJ57" s="2" t="n">
        <f aca="false">BZ37</f>
        <v>1.805</v>
      </c>
      <c r="CK57" s="2" t="n">
        <f aca="false">BZ35</f>
        <v>6.55111</v>
      </c>
      <c r="CL57" s="1" t="n">
        <v>0</v>
      </c>
      <c r="CM57" s="2" t="n">
        <f aca="false">CL55</f>
        <v>0</v>
      </c>
      <c r="CN57" s="2" t="n">
        <f aca="false">CL53</f>
        <v>0</v>
      </c>
      <c r="CO57" s="2" t="n">
        <f aca="false">CL51</f>
        <v>0</v>
      </c>
      <c r="CP57" s="2" t="n">
        <f aca="false">CL49</f>
        <v>0</v>
      </c>
      <c r="CQ57" s="2" t="n">
        <f aca="false">CL47</f>
        <v>0</v>
      </c>
      <c r="CR57" s="2" t="n">
        <f aca="false">CL45</f>
        <v>0</v>
      </c>
      <c r="CS57" s="2" t="n">
        <f aca="false">CL43</f>
        <v>0</v>
      </c>
      <c r="CT57" s="2" t="n">
        <f aca="false">CL41</f>
        <v>0</v>
      </c>
      <c r="CU57" s="2" t="n">
        <f aca="false">CL39</f>
        <v>0</v>
      </c>
      <c r="CV57" s="2" t="n">
        <f aca="false">CL37</f>
        <v>0</v>
      </c>
      <c r="CW57" s="2" t="n">
        <f aca="false">CL35</f>
        <v>0</v>
      </c>
      <c r="CX57" s="1" t="n">
        <v>69.4174</v>
      </c>
      <c r="CY57" s="2" t="n">
        <f aca="false">CX55</f>
        <v>80.6179</v>
      </c>
      <c r="CZ57" s="2" t="n">
        <f aca="false">CX53</f>
        <v>63.3847</v>
      </c>
      <c r="DA57" s="2" t="n">
        <f aca="false">CX51</f>
        <v>84.8567</v>
      </c>
      <c r="DB57" s="2" t="n">
        <f aca="false">CX49</f>
        <v>64.6182</v>
      </c>
      <c r="DC57" s="2" t="n">
        <f aca="false">CX47</f>
        <v>46.5839</v>
      </c>
      <c r="DD57" s="2" t="n">
        <f aca="false">CX45</f>
        <v>50.4069</v>
      </c>
      <c r="DE57" s="2" t="n">
        <f aca="false">CX43</f>
        <v>72.6375</v>
      </c>
      <c r="DF57" s="2" t="n">
        <f aca="false">CX41</f>
        <v>77.9832</v>
      </c>
      <c r="DG57" s="2" t="n">
        <f aca="false">CX39</f>
        <v>69.0849</v>
      </c>
      <c r="DH57" s="2" t="n">
        <f aca="false">CX37</f>
        <v>61.0128</v>
      </c>
      <c r="DI57" s="2" t="n">
        <f aca="false">CX35</f>
        <v>81.321</v>
      </c>
      <c r="DJ57" s="1" t="s">
        <v>176</v>
      </c>
      <c r="DK57" s="2" t="str">
        <f aca="false">DJ55</f>
        <v>LH</v>
      </c>
      <c r="DL57" s="2" t="str">
        <f aca="false">DJ53</f>
        <v>LH</v>
      </c>
      <c r="DM57" s="2" t="str">
        <f aca="false">DJ51</f>
        <v>HH</v>
      </c>
      <c r="DN57" s="2" t="str">
        <f aca="false">DJ49</f>
        <v>LH</v>
      </c>
      <c r="DO57" s="2" t="str">
        <f aca="false">DJ47</f>
        <v>LH</v>
      </c>
      <c r="DP57" s="2" t="str">
        <f aca="false">DJ45</f>
        <v>LH</v>
      </c>
      <c r="DQ57" s="2" t="str">
        <f aca="false">DJ43</f>
        <v>LH</v>
      </c>
      <c r="DR57" s="2" t="str">
        <f aca="false">DJ41</f>
        <v>HH</v>
      </c>
      <c r="DS57" s="2" t="str">
        <f aca="false">DJ39</f>
        <v>LH</v>
      </c>
      <c r="DT57" s="2" t="str">
        <f aca="false">DJ37</f>
        <v>LH</v>
      </c>
      <c r="DU57" s="2" t="str">
        <f aca="false">DJ35</f>
        <v>HH</v>
      </c>
      <c r="DV57" s="2" t="n">
        <f aca="false">IFERROR((G57-$F57)/$F57*100,"")</f>
        <v>-0.383430227483015</v>
      </c>
      <c r="DW57" s="2" t="n">
        <f aca="false">IFERROR((H57-$F57)/$F57*100,"")</f>
        <v>0.555395520173203</v>
      </c>
      <c r="DX57" s="2" t="n">
        <f aca="false">IFERROR((I57-$F57)/$F57*100,"")</f>
        <v>0.607334276087221</v>
      </c>
      <c r="DY57" s="2" t="n">
        <f aca="false">IFERROR((J57-$F57)/$F57*100,"")</f>
        <v>0.418347038181534</v>
      </c>
      <c r="DZ57" s="2" t="n">
        <f aca="false">IFERROR((K57-$F57)/$F57*100,"")</f>
        <v>2.59300965449817</v>
      </c>
      <c r="EA57" s="2" t="n">
        <f aca="false">IFERROR((L57-$F57)/$F57*100,"")</f>
        <v>2.84288308105939</v>
      </c>
      <c r="EB57" s="2" t="n">
        <f aca="false">IFERROR((M57-$F57)/$F57*100,"")</f>
        <v>3.22107578693763</v>
      </c>
      <c r="EC57" s="2" t="n">
        <f aca="false">IFERROR((N57-$F57)/$F57*100,"")</f>
        <v>3.45174496761466</v>
      </c>
      <c r="ED57" s="2" t="n">
        <f aca="false">IFERROR((O57-$F57)/$F57*100,"")</f>
        <v>2.51182806962413</v>
      </c>
      <c r="EE57" s="2" t="n">
        <f aca="false">IFERROR((P57-$F57)/$F57*100,"")</f>
        <v>2.81320379196564</v>
      </c>
      <c r="EF57" s="2" t="n">
        <f aca="false">IFERROR((Q57-$F57)/$F57*100,"")</f>
        <v>3.511321775869</v>
      </c>
      <c r="EG57" s="2" t="str">
        <f aca="false">IF(DV57="","",IF(AND(ABS(DV57)&lt;=0.25,$E57="Bottom",DK57="LL"),"EQL",IF(AND(ABS(DV57)&lt;=0.25,$E57="Peak",DK57="HH"),"EQH","")))</f>
        <v/>
      </c>
      <c r="EH57" s="2" t="str">
        <f aca="false">IF(DW57="","",IF(AND(ABS(DW57)&lt;=0.25,$E57="Bottom",DL57="LL"),"EQL",IF(AND(ABS(DW57)&lt;=0.25,$E57="Peak",DL57="HH"),"EQH","")))</f>
        <v/>
      </c>
      <c r="EI57" s="2" t="str">
        <f aca="false">IF(DX57="","",IF(AND(ABS(DX57)&lt;=0.25,$E57="Bottom",DM57="LL"),"EQL",IF(AND(ABS(DX57)&lt;=0.25,$E57="Peak",DM57="HH"),"EQH","")))</f>
        <v/>
      </c>
      <c r="EJ57" s="2" t="str">
        <f aca="false">IF(DY57="","",IF(AND(ABS(DY57)&lt;=0.25,$E57="Bottom",DN57="LL"),"EQL",IF(AND(ABS(DY57)&lt;=0.25,$E57="Peak",DN57="HH"),"EQH","")))</f>
        <v/>
      </c>
      <c r="EK57" s="2" t="str">
        <f aca="false">IF(DZ57="","",IF(AND(ABS(DZ57)&lt;=0.25,$E57="Bottom",DO57="LL"),"EQL",IF(AND(ABS(DZ57)&lt;=0.25,$E57="Peak",DO57="HH"),"EQH","")))</f>
        <v/>
      </c>
      <c r="EL57" s="2" t="str">
        <f aca="false">IF(EA57="","",IF(AND(ABS(EA57)&lt;=0.25,$E57="Bottom",DP57="LL"),"EQL",IF(AND(ABS(EA57)&lt;=0.25,$E57="Peak",DP57="HH"),"EQH","")))</f>
        <v/>
      </c>
      <c r="EM57" s="2" t="str">
        <f aca="false">IF(EB57="","",IF(AND(ABS(EB57)&lt;=0.25,$E57="Bottom",DQ57="LL"),"EQL",IF(AND(ABS(EB57)&lt;=0.25,$E57="Peak",DQ57="HH"),"EQH","")))</f>
        <v/>
      </c>
      <c r="EN57" s="2" t="str">
        <f aca="false">IF(EC57="","",IF(AND(ABS(EC57)&lt;=0.25,$E57="Bottom",DR57="LL"),"EQL",IF(AND(ABS(EC57)&lt;=0.25,$E57="Peak",DR57="HH"),"EQH","")))</f>
        <v/>
      </c>
      <c r="EO57" s="2" t="str">
        <f aca="false">IF(ED57="","",IF(AND(ABS(ED57)&lt;=0.25,$E57="Bottom",DS57="LL"),"EQL",IF(AND(ABS(ED57)&lt;=0.25,$E57="Peak",DS57="HH"),"EQH","")))</f>
        <v/>
      </c>
      <c r="EP57" s="2" t="str">
        <f aca="false">IF(EE57="","",IF(AND(ABS(EE57)&lt;=0.25,$E57="Bottom",DT57="LL"),"EQL",IF(AND(ABS(EE57)&lt;=0.25,$E57="Peak",DT57="HH"),"EQH","")))</f>
        <v/>
      </c>
      <c r="EQ57" s="2" t="str">
        <f aca="false">IF(EF57="","",IF(AND(ABS(EF57)&lt;=0.25,$E57="Bottom",DU57="LL"),"EQL",IF(AND(ABS(EF57)&lt;=0.25,$E57="Peak",DU57="HH"),"EQH","")))</f>
        <v/>
      </c>
      <c r="ER57" s="2" t="str">
        <f aca="false">IF(OR(EG57="EQL",EG57="EQH"),G57,"")</f>
        <v/>
      </c>
      <c r="ES57" s="2" t="str">
        <f aca="false">IF(OR(EH57="EQL",EH57="EQH"),H57,"")</f>
        <v/>
      </c>
      <c r="ET57" s="2" t="str">
        <f aca="false">IF(OR(EI57="EQL",EI57="EQH"),I57,"")</f>
        <v/>
      </c>
      <c r="EU57" s="2" t="str">
        <f aca="false">IF(OR(EJ57="EQL",EJ57="EQH"),J57,"")</f>
        <v/>
      </c>
      <c r="EV57" s="2" t="str">
        <f aca="false">IF(OR(EK57="EQL",EK57="EQH"),K57,"")</f>
        <v/>
      </c>
      <c r="EW57" s="2" t="str">
        <f aca="false">IF(OR(EL57="EQL",EL57="EQH"),L57,"")</f>
        <v/>
      </c>
      <c r="EX57" s="2" t="str">
        <f aca="false">IF(OR(EM57="EQL",EM57="EQH"),M57,"")</f>
        <v/>
      </c>
      <c r="EY57" s="2" t="str">
        <f aca="false">IF(OR(EN57="EQL",EN57="EQH"),N57,"")</f>
        <v/>
      </c>
      <c r="EZ57" s="2" t="str">
        <f aca="false">IF(OR(EO57="EQL",EO57="EQH"),O57,"")</f>
        <v/>
      </c>
      <c r="FA57" s="2" t="str">
        <f aca="false">IF(OR(EP57="EQL",EP57="EQH"),P57,"")</f>
        <v/>
      </c>
      <c r="FB57" s="2" t="str">
        <f aca="false">IF(OR(EQ57="EQL",EQ57="EQH"),Q57,"")</f>
        <v/>
      </c>
      <c r="FC57" s="2" t="str">
        <f aca="false">IF(AND(EG57="EQL",OR(AQ57=4,AQ57=5)),"IEQL",IF(AND(EG57="EQH",OR(AQ57=1,AQ57=2)),"IEQH",""))</f>
        <v/>
      </c>
      <c r="FD57" s="2" t="str">
        <f aca="false">IF(AND(EH57="EQL",OR(AR57=4,AR57=5)),"IEQL",IF(AND(EH57="EQH",OR(AR57=1,AR57=2)),"IEQH",""))</f>
        <v/>
      </c>
      <c r="FE57" s="2" t="str">
        <f aca="false">IF(AND(EI57="EQL",OR(AS57=4,AS57=5)),"IEQL",IF(AND(EI57="EQH",OR(AS57=1,AS57=2)),"IEQH",""))</f>
        <v/>
      </c>
      <c r="FF57" s="2" t="str">
        <f aca="false">IF(AND(EJ57="EQL",OR(AT57=4,AT57=5)),"IEQL",IF(AND(EJ57="EQH",OR(AT57=1,AT57=2)),"IEQH",""))</f>
        <v/>
      </c>
      <c r="FG57" s="2" t="str">
        <f aca="false">IF(AND(EK57="EQL",OR(AU57=4,AU57=5)),"IEQL",IF(AND(EK57="EQH",OR(AU57=1,AU57=2)),"IEQH",""))</f>
        <v/>
      </c>
      <c r="FH57" s="2" t="str">
        <f aca="false">IF(AND(EL57="EQL",OR(AV57=4,AV57=5)),"IEQL",IF(AND(EL57="EQH",OR(AV57=1,AV57=2)),"IEQH",""))</f>
        <v/>
      </c>
      <c r="FI57" s="2" t="str">
        <f aca="false">IF(AND(EM57="EQL",OR(AW57=4,AW57=5)),"IEQL",IF(AND(EM57="EQH",OR(AW57=1,AW57=2)),"IEQH",""))</f>
        <v/>
      </c>
      <c r="FJ57" s="2" t="str">
        <f aca="false">IF(AND(EN57="EQL",OR(AX57=4,AX57=5)),"IEQL",IF(AND(EN57="EQH",OR(AX57=1,AX57=2)),"IEQH",""))</f>
        <v/>
      </c>
      <c r="FK57" s="2" t="str">
        <f aca="false">IF(AND(EO57="EQL",OR(AY57=4,AY57=5)),"IEQL",IF(AND(EO57="EQH",OR(AY57=1,AY57=2)),"IEQH",""))</f>
        <v/>
      </c>
      <c r="FL57" s="2" t="str">
        <f aca="false">IF(AND(EP57="EQL",OR(AZ57=4,AZ57=5)),"IEQL",IF(AND(EP57="EQH",OR(AZ57=1,AZ57=2)),"IEQH",""))</f>
        <v/>
      </c>
      <c r="FM57" s="2" t="str">
        <f aca="false">IF(AND(EQ57="EQL",OR(BA57=4,BA57=5)),"IEQL",IF(AND(EQ57="EQH",OR(BA57=1,BA57=2)),"IEQH",""))</f>
        <v/>
      </c>
    </row>
    <row r="58" customFormat="false" ht="14.25" hidden="false" customHeight="false" outlineLevel="0" collapsed="false">
      <c r="A58" s="1" t="n">
        <v>1777523402</v>
      </c>
      <c r="B58" s="1" t="s">
        <v>169</v>
      </c>
      <c r="C58" s="1" t="s">
        <v>170</v>
      </c>
      <c r="D58" s="1" t="n">
        <v>4544.74</v>
      </c>
      <c r="E58" s="1" t="s">
        <v>171</v>
      </c>
      <c r="F58" s="1" t="n">
        <v>4540.82</v>
      </c>
      <c r="G58" s="2" t="n">
        <f aca="false">F56</f>
        <v>4518.41</v>
      </c>
      <c r="H58" s="2" t="n">
        <f aca="false">F54</f>
        <v>4510.28</v>
      </c>
      <c r="I58" s="2" t="n">
        <f aca="false">F52</f>
        <v>4575.84</v>
      </c>
      <c r="J58" s="2" t="n">
        <f aca="false">F50</f>
        <v>4587.93</v>
      </c>
      <c r="K58" s="2" t="n">
        <f aca="false">F48</f>
        <v>4555.12</v>
      </c>
      <c r="L58" s="2" t="n">
        <f aca="false">F46</f>
        <v>4667.32</v>
      </c>
      <c r="M58" s="2" t="n">
        <f aca="false">F44</f>
        <v>4699.29</v>
      </c>
      <c r="N58" s="2" t="n">
        <f aca="false">F42</f>
        <v>4672.35</v>
      </c>
      <c r="O58" s="2" t="n">
        <f aca="false">F40</f>
        <v>4674.72</v>
      </c>
      <c r="P58" s="2" t="n">
        <f aca="false">F38</f>
        <v>4658.17</v>
      </c>
      <c r="Q58" s="2" t="n">
        <f aca="false">F36</f>
        <v>4664.3</v>
      </c>
      <c r="R58" s="1" t="n">
        <v>-41.5</v>
      </c>
      <c r="S58" s="2" t="n">
        <f aca="false">R56</f>
        <v>-46.34</v>
      </c>
      <c r="T58" s="2" t="n">
        <f aca="false">R54</f>
        <v>-97.49</v>
      </c>
      <c r="U58" s="2" t="n">
        <f aca="false">R52</f>
        <v>-34.31</v>
      </c>
      <c r="V58" s="2" t="n">
        <f aca="false">R50</f>
        <v>-13.56</v>
      </c>
      <c r="W58" s="2" t="n">
        <f aca="false">R48</f>
        <v>-146.02</v>
      </c>
      <c r="X58" s="2" t="n">
        <f aca="false">R46</f>
        <v>-45.27</v>
      </c>
      <c r="Y58" s="2" t="n">
        <f aca="false">R44</f>
        <v>-30.63</v>
      </c>
      <c r="Z58" s="2" t="n">
        <f aca="false">R42</f>
        <v>-68.14</v>
      </c>
      <c r="AA58" s="2" t="n">
        <f aca="false">R40</f>
        <v>-22.7</v>
      </c>
      <c r="AB58" s="2" t="n">
        <f aca="false">R38</f>
        <v>-53.06</v>
      </c>
      <c r="AC58" s="2" t="n">
        <f aca="false">R36</f>
        <v>-78.92</v>
      </c>
      <c r="AD58" s="1" t="n">
        <v>-0.91</v>
      </c>
      <c r="AE58" s="2" t="n">
        <f aca="false">AD56</f>
        <v>-1.02</v>
      </c>
      <c r="AF58" s="2" t="n">
        <f aca="false">AD54</f>
        <v>-2.12</v>
      </c>
      <c r="AG58" s="2" t="n">
        <f aca="false">AD52</f>
        <v>-0.74</v>
      </c>
      <c r="AH58" s="2" t="n">
        <f aca="false">AD50</f>
        <v>-0.29</v>
      </c>
      <c r="AI58" s="2" t="n">
        <f aca="false">AD48</f>
        <v>-3.11</v>
      </c>
      <c r="AJ58" s="2" t="n">
        <f aca="false">AD46</f>
        <v>-0.96</v>
      </c>
      <c r="AK58" s="2" t="n">
        <f aca="false">AD44</f>
        <v>-0.65</v>
      </c>
      <c r="AL58" s="2" t="n">
        <f aca="false">AD42</f>
        <v>-1.44</v>
      </c>
      <c r="AM58" s="2" t="n">
        <f aca="false">AD40</f>
        <v>-0.48</v>
      </c>
      <c r="AN58" s="2" t="n">
        <f aca="false">AD38</f>
        <v>-1.13</v>
      </c>
      <c r="AO58" s="2" t="n">
        <f aca="false">AD36</f>
        <v>-1.66</v>
      </c>
      <c r="AP58" s="1" t="n">
        <v>3</v>
      </c>
      <c r="AQ58" s="2" t="n">
        <f aca="false">AP56</f>
        <v>3</v>
      </c>
      <c r="AR58" s="2" t="n">
        <f aca="false">AP54</f>
        <v>4</v>
      </c>
      <c r="AS58" s="2" t="n">
        <f aca="false">AP52</f>
        <v>3</v>
      </c>
      <c r="AT58" s="2" t="n">
        <f aca="false">AP50</f>
        <v>3</v>
      </c>
      <c r="AU58" s="2" t="n">
        <f aca="false">AP48</f>
        <v>5</v>
      </c>
      <c r="AV58" s="2" t="n">
        <f aca="false">AP46</f>
        <v>3</v>
      </c>
      <c r="AW58" s="2" t="n">
        <f aca="false">AP44</f>
        <v>3</v>
      </c>
      <c r="AX58" s="2" t="n">
        <f aca="false">AP42</f>
        <v>3</v>
      </c>
      <c r="AY58" s="2" t="n">
        <f aca="false">AP40</f>
        <v>3</v>
      </c>
      <c r="AZ58" s="2" t="n">
        <f aca="false">AP38</f>
        <v>3</v>
      </c>
      <c r="BA58" s="2" t="n">
        <f aca="false">AP36</f>
        <v>3</v>
      </c>
      <c r="BB58" s="1" t="n">
        <v>11</v>
      </c>
      <c r="BC58" s="2" t="n">
        <f aca="false">BB56</f>
        <v>11</v>
      </c>
      <c r="BD58" s="2" t="n">
        <f aca="false">BB54</f>
        <v>35</v>
      </c>
      <c r="BE58" s="2" t="n">
        <f aca="false">BB52</f>
        <v>4</v>
      </c>
      <c r="BF58" s="2" t="n">
        <f aca="false">BB50</f>
        <v>20</v>
      </c>
      <c r="BG58" s="2" t="n">
        <f aca="false">BB48</f>
        <v>48</v>
      </c>
      <c r="BH58" s="2" t="n">
        <f aca="false">BB46</f>
        <v>11</v>
      </c>
      <c r="BI58" s="2" t="n">
        <f aca="false">BB44</f>
        <v>20</v>
      </c>
      <c r="BJ58" s="2" t="n">
        <f aca="false">BB42</f>
        <v>36</v>
      </c>
      <c r="BK58" s="2" t="n">
        <f aca="false">BB40</f>
        <v>9</v>
      </c>
      <c r="BL58" s="2" t="n">
        <f aca="false">BB38</f>
        <v>13</v>
      </c>
      <c r="BM58" s="2" t="n">
        <f aca="false">BB36</f>
        <v>20</v>
      </c>
      <c r="BN58" s="1" t="n">
        <v>3</v>
      </c>
      <c r="BO58" s="2" t="n">
        <f aca="false">BN56</f>
        <v>3</v>
      </c>
      <c r="BP58" s="2" t="n">
        <f aca="false">BN54</f>
        <v>3</v>
      </c>
      <c r="BQ58" s="2" t="n">
        <f aca="false">BN52</f>
        <v>3</v>
      </c>
      <c r="BR58" s="2" t="n">
        <f aca="false">BN50</f>
        <v>3</v>
      </c>
      <c r="BS58" s="2" t="n">
        <f aca="false">BN48</f>
        <v>5</v>
      </c>
      <c r="BT58" s="2" t="n">
        <f aca="false">BN46</f>
        <v>3</v>
      </c>
      <c r="BU58" s="2" t="n">
        <f aca="false">BN44</f>
        <v>3</v>
      </c>
      <c r="BV58" s="2" t="n">
        <f aca="false">BN42</f>
        <v>4</v>
      </c>
      <c r="BW58" s="2" t="n">
        <f aca="false">BN40</f>
        <v>3</v>
      </c>
      <c r="BX58" s="2" t="n">
        <f aca="false">BN38</f>
        <v>3</v>
      </c>
      <c r="BY58" s="2" t="n">
        <f aca="false">BN36</f>
        <v>3</v>
      </c>
      <c r="BZ58" s="1" t="n">
        <v>-3.77273</v>
      </c>
      <c r="CA58" s="2" t="n">
        <f aca="false">BZ56</f>
        <v>-4.21273</v>
      </c>
      <c r="CB58" s="2" t="n">
        <f aca="false">BZ54</f>
        <v>-2.78543</v>
      </c>
      <c r="CC58" s="2" t="n">
        <f aca="false">BZ52</f>
        <v>-8.5775</v>
      </c>
      <c r="CD58" s="2" t="n">
        <f aca="false">BZ50</f>
        <v>-0.678</v>
      </c>
      <c r="CE58" s="2" t="n">
        <f aca="false">BZ48</f>
        <v>-3.04208</v>
      </c>
      <c r="CF58" s="2" t="n">
        <f aca="false">BZ46</f>
        <v>-4.11545</v>
      </c>
      <c r="CG58" s="2" t="n">
        <f aca="false">BZ44</f>
        <v>-1.5315</v>
      </c>
      <c r="CH58" s="2" t="n">
        <f aca="false">BZ42</f>
        <v>-1.89278</v>
      </c>
      <c r="CI58" s="2" t="n">
        <f aca="false">BZ40</f>
        <v>-2.52222</v>
      </c>
      <c r="CJ58" s="2" t="n">
        <f aca="false">BZ38</f>
        <v>-4.08154</v>
      </c>
      <c r="CK58" s="2" t="n">
        <f aca="false">BZ36</f>
        <v>-3.946</v>
      </c>
      <c r="CL58" s="1" t="n">
        <v>3</v>
      </c>
      <c r="CM58" s="2" t="n">
        <f aca="false">CL56</f>
        <v>3</v>
      </c>
      <c r="CN58" s="2" t="n">
        <f aca="false">CL54</f>
        <v>3</v>
      </c>
      <c r="CO58" s="2" t="n">
        <f aca="false">CL52</f>
        <v>3</v>
      </c>
      <c r="CP58" s="2" t="n">
        <f aca="false">CL50</f>
        <v>3</v>
      </c>
      <c r="CQ58" s="2" t="n">
        <f aca="false">CL48</f>
        <v>3</v>
      </c>
      <c r="CR58" s="2" t="n">
        <f aca="false">CL46</f>
        <v>3</v>
      </c>
      <c r="CS58" s="2" t="n">
        <f aca="false">CL44</f>
        <v>3</v>
      </c>
      <c r="CT58" s="2" t="n">
        <f aca="false">CL42</f>
        <v>3</v>
      </c>
      <c r="CU58" s="2" t="n">
        <f aca="false">CL40</f>
        <v>3</v>
      </c>
      <c r="CV58" s="2" t="n">
        <f aca="false">CL38</f>
        <v>3</v>
      </c>
      <c r="CW58" s="2" t="n">
        <f aca="false">CL36</f>
        <v>3</v>
      </c>
      <c r="CX58" s="1" t="n">
        <v>-75.1545</v>
      </c>
      <c r="CY58" s="2" t="n">
        <f aca="false">CX56</f>
        <v>-76.6465</v>
      </c>
      <c r="CZ58" s="2" t="n">
        <f aca="false">CX54</f>
        <v>-70.2513</v>
      </c>
      <c r="DA58" s="2" t="n">
        <f aca="false">CX52</f>
        <v>-83.3502</v>
      </c>
      <c r="DB58" s="2" t="n">
        <f aca="false">CX50</f>
        <v>-34.1373</v>
      </c>
      <c r="DC58" s="2" t="n">
        <f aca="false">CX48</f>
        <v>-71.8032</v>
      </c>
      <c r="DD58" s="2" t="n">
        <f aca="false">CX46</f>
        <v>-76.3426</v>
      </c>
      <c r="DE58" s="2" t="n">
        <f aca="false">CX44</f>
        <v>-56.8573</v>
      </c>
      <c r="DF58" s="2" t="n">
        <f aca="false">CX42</f>
        <v>-62.1514</v>
      </c>
      <c r="DG58" s="2" t="n">
        <f aca="false">CX40</f>
        <v>-68.3729</v>
      </c>
      <c r="DH58" s="2" t="n">
        <f aca="false">CX38</f>
        <v>-76.2334</v>
      </c>
      <c r="DI58" s="2" t="n">
        <f aca="false">CX36</f>
        <v>-75.7794</v>
      </c>
      <c r="DJ58" s="1" t="s">
        <v>175</v>
      </c>
      <c r="DK58" s="2" t="str">
        <f aca="false">DJ56</f>
        <v>HL</v>
      </c>
      <c r="DL58" s="2" t="str">
        <f aca="false">DJ54</f>
        <v>LL</v>
      </c>
      <c r="DM58" s="2" t="str">
        <f aca="false">DJ52</f>
        <v>LL</v>
      </c>
      <c r="DN58" s="2" t="str">
        <f aca="false">DJ50</f>
        <v>HL</v>
      </c>
      <c r="DO58" s="2" t="str">
        <f aca="false">DJ48</f>
        <v>LL</v>
      </c>
      <c r="DP58" s="2" t="str">
        <f aca="false">DJ46</f>
        <v>LL</v>
      </c>
      <c r="DQ58" s="2" t="str">
        <f aca="false">DJ44</f>
        <v>HL</v>
      </c>
      <c r="DR58" s="2" t="str">
        <f aca="false">DJ42</f>
        <v>LL</v>
      </c>
      <c r="DS58" s="2" t="str">
        <f aca="false">DJ40</f>
        <v>HL</v>
      </c>
      <c r="DT58" s="2" t="str">
        <f aca="false">DJ38</f>
        <v>LL</v>
      </c>
      <c r="DU58" s="2" t="str">
        <f aca="false">DJ36</f>
        <v>LL</v>
      </c>
      <c r="DV58" s="2" t="n">
        <f aca="false">IFERROR((G58-$F58)/$F58*100,"")</f>
        <v>-0.493523196250894</v>
      </c>
      <c r="DW58" s="2" t="n">
        <f aca="false">IFERROR((H58-$F58)/$F58*100,"")</f>
        <v>-0.672565748036697</v>
      </c>
      <c r="DX58" s="2" t="n">
        <f aca="false">IFERROR((I58-$F58)/$F58*100,"")</f>
        <v>0.771226342378699</v>
      </c>
      <c r="DY58" s="2" t="n">
        <f aca="false">IFERROR((J58-$F58)/$F58*100,"")</f>
        <v>1.03747781237751</v>
      </c>
      <c r="DZ58" s="2" t="n">
        <f aca="false">IFERROR((K58-$F58)/$F58*100,"")</f>
        <v>0.314921093546985</v>
      </c>
      <c r="EA58" s="2" t="n">
        <f aca="false">IFERROR((L58-$F58)/$F58*100,"")</f>
        <v>2.7858404429156</v>
      </c>
      <c r="EB58" s="2" t="n">
        <f aca="false">IFERROR((M58-$F58)/$F58*100,"")</f>
        <v>3.489898300307</v>
      </c>
      <c r="EC58" s="2" t="n">
        <f aca="false">IFERROR((N58-$F58)/$F58*100,"")</f>
        <v>2.89661338700941</v>
      </c>
      <c r="ED58" s="2" t="n">
        <f aca="false">IFERROR((O58-$F58)/$F58*100,"")</f>
        <v>2.94880660321265</v>
      </c>
      <c r="EE58" s="2" t="n">
        <f aca="false">IFERROR((P58-$F58)/$F58*100,"")</f>
        <v>2.58433498795373</v>
      </c>
      <c r="EF58" s="2" t="n">
        <f aca="false">IFERROR((Q58-$F58)/$F58*100,"")</f>
        <v>2.71933263155114</v>
      </c>
      <c r="EG58" s="2" t="str">
        <f aca="false">IF(DV58="","",IF(AND(ABS(DV58)&lt;=0.25,$E58="Bottom",DK58="LL"),"EQL",IF(AND(ABS(DV58)&lt;=0.25,$E58="Peak",DK58="HH"),"EQH","")))</f>
        <v/>
      </c>
      <c r="EH58" s="2" t="str">
        <f aca="false">IF(DW58="","",IF(AND(ABS(DW58)&lt;=0.25,$E58="Bottom",DL58="LL"),"EQL",IF(AND(ABS(DW58)&lt;=0.25,$E58="Peak",DL58="HH"),"EQH","")))</f>
        <v/>
      </c>
      <c r="EI58" s="2" t="str">
        <f aca="false">IF(DX58="","",IF(AND(ABS(DX58)&lt;=0.25,$E58="Bottom",DM58="LL"),"EQL",IF(AND(ABS(DX58)&lt;=0.25,$E58="Peak",DM58="HH"),"EQH","")))</f>
        <v/>
      </c>
      <c r="EJ58" s="2" t="str">
        <f aca="false">IF(DY58="","",IF(AND(ABS(DY58)&lt;=0.25,$E58="Bottom",DN58="LL"),"EQL",IF(AND(ABS(DY58)&lt;=0.25,$E58="Peak",DN58="HH"),"EQH","")))</f>
        <v/>
      </c>
      <c r="EK58" s="2" t="str">
        <f aca="false">IF(DZ58="","",IF(AND(ABS(DZ58)&lt;=0.25,$E58="Bottom",DO58="LL"),"EQL",IF(AND(ABS(DZ58)&lt;=0.25,$E58="Peak",DO58="HH"),"EQH","")))</f>
        <v/>
      </c>
      <c r="EL58" s="2" t="str">
        <f aca="false">IF(EA58="","",IF(AND(ABS(EA58)&lt;=0.25,$E58="Bottom",DP58="LL"),"EQL",IF(AND(ABS(EA58)&lt;=0.25,$E58="Peak",DP58="HH"),"EQH","")))</f>
        <v/>
      </c>
      <c r="EM58" s="2" t="str">
        <f aca="false">IF(EB58="","",IF(AND(ABS(EB58)&lt;=0.25,$E58="Bottom",DQ58="LL"),"EQL",IF(AND(ABS(EB58)&lt;=0.25,$E58="Peak",DQ58="HH"),"EQH","")))</f>
        <v/>
      </c>
      <c r="EN58" s="2" t="str">
        <f aca="false">IF(EC58="","",IF(AND(ABS(EC58)&lt;=0.25,$E58="Bottom",DR58="LL"),"EQL",IF(AND(ABS(EC58)&lt;=0.25,$E58="Peak",DR58="HH"),"EQH","")))</f>
        <v/>
      </c>
      <c r="EO58" s="2" t="str">
        <f aca="false">IF(ED58="","",IF(AND(ABS(ED58)&lt;=0.25,$E58="Bottom",DS58="LL"),"EQL",IF(AND(ABS(ED58)&lt;=0.25,$E58="Peak",DS58="HH"),"EQH","")))</f>
        <v/>
      </c>
      <c r="EP58" s="2" t="str">
        <f aca="false">IF(EE58="","",IF(AND(ABS(EE58)&lt;=0.25,$E58="Bottom",DT58="LL"),"EQL",IF(AND(ABS(EE58)&lt;=0.25,$E58="Peak",DT58="HH"),"EQH","")))</f>
        <v/>
      </c>
      <c r="EQ58" s="2" t="str">
        <f aca="false">IF(EF58="","",IF(AND(ABS(EF58)&lt;=0.25,$E58="Bottom",DU58="LL"),"EQL",IF(AND(ABS(EF58)&lt;=0.25,$E58="Peak",DU58="HH"),"EQH","")))</f>
        <v/>
      </c>
      <c r="ER58" s="2" t="str">
        <f aca="false">IF(OR(EG58="EQL",EG58="EQH"),G58,"")</f>
        <v/>
      </c>
      <c r="ES58" s="2" t="str">
        <f aca="false">IF(OR(EH58="EQL",EH58="EQH"),H58,"")</f>
        <v/>
      </c>
      <c r="ET58" s="2" t="str">
        <f aca="false">IF(OR(EI58="EQL",EI58="EQH"),I58,"")</f>
        <v/>
      </c>
      <c r="EU58" s="2" t="str">
        <f aca="false">IF(OR(EJ58="EQL",EJ58="EQH"),J58,"")</f>
        <v/>
      </c>
      <c r="EV58" s="2" t="str">
        <f aca="false">IF(OR(EK58="EQL",EK58="EQH"),K58,"")</f>
        <v/>
      </c>
      <c r="EW58" s="2" t="str">
        <f aca="false">IF(OR(EL58="EQL",EL58="EQH"),L58,"")</f>
        <v/>
      </c>
      <c r="EX58" s="2" t="str">
        <f aca="false">IF(OR(EM58="EQL",EM58="EQH"),M58,"")</f>
        <v/>
      </c>
      <c r="EY58" s="2" t="str">
        <f aca="false">IF(OR(EN58="EQL",EN58="EQH"),N58,"")</f>
        <v/>
      </c>
      <c r="EZ58" s="2" t="str">
        <f aca="false">IF(OR(EO58="EQL",EO58="EQH"),O58,"")</f>
        <v/>
      </c>
      <c r="FA58" s="2" t="str">
        <f aca="false">IF(OR(EP58="EQL",EP58="EQH"),P58,"")</f>
        <v/>
      </c>
      <c r="FB58" s="2" t="str">
        <f aca="false">IF(OR(EQ58="EQL",EQ58="EQH"),Q58,"")</f>
        <v/>
      </c>
      <c r="FC58" s="2" t="str">
        <f aca="false">IF(AND(EG58="EQL",OR(AQ58=4,AQ58=5)),"IEQL",IF(AND(EG58="EQH",OR(AQ58=1,AQ58=2)),"IEQH",""))</f>
        <v/>
      </c>
      <c r="FD58" s="2" t="str">
        <f aca="false">IF(AND(EH58="EQL",OR(AR58=4,AR58=5)),"IEQL",IF(AND(EH58="EQH",OR(AR58=1,AR58=2)),"IEQH",""))</f>
        <v/>
      </c>
      <c r="FE58" s="2" t="str">
        <f aca="false">IF(AND(EI58="EQL",OR(AS58=4,AS58=5)),"IEQL",IF(AND(EI58="EQH",OR(AS58=1,AS58=2)),"IEQH",""))</f>
        <v/>
      </c>
      <c r="FF58" s="2" t="str">
        <f aca="false">IF(AND(EJ58="EQL",OR(AT58=4,AT58=5)),"IEQL",IF(AND(EJ58="EQH",OR(AT58=1,AT58=2)),"IEQH",""))</f>
        <v/>
      </c>
      <c r="FG58" s="2" t="str">
        <f aca="false">IF(AND(EK58="EQL",OR(AU58=4,AU58=5)),"IEQL",IF(AND(EK58="EQH",OR(AU58=1,AU58=2)),"IEQH",""))</f>
        <v/>
      </c>
      <c r="FH58" s="2" t="str">
        <f aca="false">IF(AND(EL58="EQL",OR(AV58=4,AV58=5)),"IEQL",IF(AND(EL58="EQH",OR(AV58=1,AV58=2)),"IEQH",""))</f>
        <v/>
      </c>
      <c r="FI58" s="2" t="str">
        <f aca="false">IF(AND(EM58="EQL",OR(AW58=4,AW58=5)),"IEQL",IF(AND(EM58="EQH",OR(AW58=1,AW58=2)),"IEQH",""))</f>
        <v/>
      </c>
      <c r="FJ58" s="2" t="str">
        <f aca="false">IF(AND(EN58="EQL",OR(AX58=4,AX58=5)),"IEQL",IF(AND(EN58="EQH",OR(AX58=1,AX58=2)),"IEQH",""))</f>
        <v/>
      </c>
      <c r="FK58" s="2" t="str">
        <f aca="false">IF(AND(EO58="EQL",OR(AY58=4,AY58=5)),"IEQL",IF(AND(EO58="EQH",OR(AY58=1,AY58=2)),"IEQH",""))</f>
        <v/>
      </c>
      <c r="FL58" s="2" t="str">
        <f aca="false">IF(AND(EP58="EQL",OR(AZ58=4,AZ58=5)),"IEQL",IF(AND(EP58="EQH",OR(AZ58=1,AZ58=2)),"IEQH",""))</f>
        <v/>
      </c>
      <c r="FM58" s="2" t="str">
        <f aca="false">IF(AND(EQ58="EQL",OR(BA58=4,BA58=5)),"IEQL",IF(AND(EQ58="EQH",OR(BA58=1,BA58=2)),"IEQH",""))</f>
        <v/>
      </c>
    </row>
    <row r="59" customFormat="false" ht="14.25" hidden="false" customHeight="false" outlineLevel="0" collapsed="false">
      <c r="A59" s="1" t="n">
        <v>1777545002</v>
      </c>
      <c r="B59" s="1" t="s">
        <v>169</v>
      </c>
      <c r="C59" s="1" t="s">
        <v>170</v>
      </c>
      <c r="D59" s="1" t="n">
        <v>4636.62</v>
      </c>
      <c r="E59" s="1" t="s">
        <v>173</v>
      </c>
      <c r="F59" s="1" t="n">
        <v>4647.1</v>
      </c>
      <c r="G59" s="2" t="n">
        <f aca="false">F57</f>
        <v>4582.32</v>
      </c>
      <c r="H59" s="2" t="n">
        <f aca="false">F55</f>
        <v>4564.75</v>
      </c>
      <c r="I59" s="2" t="n">
        <f aca="false">F53</f>
        <v>4607.77</v>
      </c>
      <c r="J59" s="2" t="n">
        <f aca="false">F51</f>
        <v>4610.15</v>
      </c>
      <c r="K59" s="2" t="n">
        <f aca="false">F49</f>
        <v>4601.49</v>
      </c>
      <c r="L59" s="2" t="n">
        <f aca="false">F47</f>
        <v>4701.14</v>
      </c>
      <c r="M59" s="2" t="n">
        <f aca="false">F45</f>
        <v>4712.59</v>
      </c>
      <c r="N59" s="2" t="n">
        <f aca="false">F43</f>
        <v>4729.92</v>
      </c>
      <c r="O59" s="2" t="n">
        <f aca="false">F41</f>
        <v>4740.49</v>
      </c>
      <c r="P59" s="2" t="n">
        <f aca="false">F39</f>
        <v>4697.42</v>
      </c>
      <c r="Q59" s="2" t="n">
        <f aca="false">F37</f>
        <v>4711.23</v>
      </c>
      <c r="R59" s="1" t="n">
        <v>106.28</v>
      </c>
      <c r="S59" s="2" t="n">
        <f aca="false">R57</f>
        <v>63.91</v>
      </c>
      <c r="T59" s="2" t="n">
        <f aca="false">R55</f>
        <v>54.47</v>
      </c>
      <c r="U59" s="2" t="n">
        <f aca="false">R53</f>
        <v>31.93</v>
      </c>
      <c r="V59" s="2" t="n">
        <f aca="false">R51</f>
        <v>22.22</v>
      </c>
      <c r="W59" s="2" t="n">
        <f aca="false">R49</f>
        <v>46.37</v>
      </c>
      <c r="X59" s="2" t="n">
        <f aca="false">R47</f>
        <v>33.82</v>
      </c>
      <c r="Y59" s="2" t="n">
        <f aca="false">R45</f>
        <v>13.3</v>
      </c>
      <c r="Z59" s="2" t="n">
        <f aca="false">R43</f>
        <v>57.57</v>
      </c>
      <c r="AA59" s="2" t="n">
        <f aca="false">R41</f>
        <v>65.77</v>
      </c>
      <c r="AB59" s="2" t="n">
        <f aca="false">R39</f>
        <v>39.25</v>
      </c>
      <c r="AC59" s="2" t="n">
        <f aca="false">R37</f>
        <v>46.93</v>
      </c>
      <c r="AD59" s="1" t="n">
        <v>2.34</v>
      </c>
      <c r="AE59" s="2" t="n">
        <f aca="false">AD57</f>
        <v>1.41</v>
      </c>
      <c r="AF59" s="2" t="n">
        <f aca="false">AD55</f>
        <v>1.21</v>
      </c>
      <c r="AG59" s="2" t="n">
        <f aca="false">AD53</f>
        <v>0.7</v>
      </c>
      <c r="AH59" s="2" t="n">
        <f aca="false">AD51</f>
        <v>0.48</v>
      </c>
      <c r="AI59" s="2" t="n">
        <f aca="false">AD49</f>
        <v>1.02</v>
      </c>
      <c r="AJ59" s="2" t="n">
        <f aca="false">AD47</f>
        <v>0.72</v>
      </c>
      <c r="AK59" s="2" t="n">
        <f aca="false">AD45</f>
        <v>0.28</v>
      </c>
      <c r="AL59" s="2" t="n">
        <f aca="false">AD43</f>
        <v>1.23</v>
      </c>
      <c r="AM59" s="2" t="n">
        <f aca="false">AD41</f>
        <v>1.41</v>
      </c>
      <c r="AN59" s="2" t="n">
        <f aca="false">AD39</f>
        <v>0.84</v>
      </c>
      <c r="AO59" s="2" t="n">
        <f aca="false">AD37</f>
        <v>1.01</v>
      </c>
      <c r="AP59" s="1" t="n">
        <v>1</v>
      </c>
      <c r="AQ59" s="2" t="n">
        <f aca="false">AP57</f>
        <v>0</v>
      </c>
      <c r="AR59" s="2" t="n">
        <f aca="false">AP55</f>
        <v>0</v>
      </c>
      <c r="AS59" s="2" t="n">
        <f aca="false">AP53</f>
        <v>0</v>
      </c>
      <c r="AT59" s="2" t="n">
        <f aca="false">AP51</f>
        <v>0</v>
      </c>
      <c r="AU59" s="2" t="n">
        <f aca="false">AP49</f>
        <v>0</v>
      </c>
      <c r="AV59" s="2" t="n">
        <f aca="false">AP47</f>
        <v>0</v>
      </c>
      <c r="AW59" s="2" t="n">
        <f aca="false">AP45</f>
        <v>0</v>
      </c>
      <c r="AX59" s="2" t="n">
        <f aca="false">AP43</f>
        <v>0</v>
      </c>
      <c r="AY59" s="2" t="n">
        <f aca="false">AP41</f>
        <v>0</v>
      </c>
      <c r="AZ59" s="2" t="n">
        <f aca="false">AP39</f>
        <v>0</v>
      </c>
      <c r="BA59" s="2" t="n">
        <f aca="false">AP37</f>
        <v>0</v>
      </c>
      <c r="BB59" s="1" t="n">
        <v>24</v>
      </c>
      <c r="BC59" s="2" t="n">
        <f aca="false">BB57</f>
        <v>24</v>
      </c>
      <c r="BD59" s="2" t="n">
        <f aca="false">BB55</f>
        <v>9</v>
      </c>
      <c r="BE59" s="2" t="n">
        <f aca="false">BB53</f>
        <v>16</v>
      </c>
      <c r="BF59" s="2" t="n">
        <f aca="false">BB51</f>
        <v>2</v>
      </c>
      <c r="BG59" s="2" t="n">
        <f aca="false">BB49</f>
        <v>22</v>
      </c>
      <c r="BH59" s="2" t="n">
        <f aca="false">BB47</f>
        <v>32</v>
      </c>
      <c r="BI59" s="2" t="n">
        <f aca="false">BB45</f>
        <v>11</v>
      </c>
      <c r="BJ59" s="2" t="n">
        <f aca="false">BB43</f>
        <v>18</v>
      </c>
      <c r="BK59" s="2" t="n">
        <f aca="false">BB41</f>
        <v>14</v>
      </c>
      <c r="BL59" s="2" t="n">
        <f aca="false">BB39</f>
        <v>15</v>
      </c>
      <c r="BM59" s="2" t="n">
        <f aca="false">BB37</f>
        <v>26</v>
      </c>
      <c r="BN59" s="1" t="n">
        <v>0</v>
      </c>
      <c r="BO59" s="2" t="n">
        <f aca="false">BN57</f>
        <v>0</v>
      </c>
      <c r="BP59" s="2" t="n">
        <f aca="false">BN55</f>
        <v>0</v>
      </c>
      <c r="BQ59" s="2" t="n">
        <f aca="false">BN53</f>
        <v>0</v>
      </c>
      <c r="BR59" s="2" t="n">
        <f aca="false">BN51</f>
        <v>0</v>
      </c>
      <c r="BS59" s="2" t="n">
        <f aca="false">BN49</f>
        <v>0</v>
      </c>
      <c r="BT59" s="2" t="n">
        <f aca="false">BN47</f>
        <v>0</v>
      </c>
      <c r="BU59" s="2" t="n">
        <f aca="false">BN45</f>
        <v>0</v>
      </c>
      <c r="BV59" s="2" t="n">
        <f aca="false">BN43</f>
        <v>0</v>
      </c>
      <c r="BW59" s="2" t="n">
        <f aca="false">BN41</f>
        <v>0</v>
      </c>
      <c r="BX59" s="2" t="n">
        <f aca="false">BN39</f>
        <v>0</v>
      </c>
      <c r="BY59" s="2" t="n">
        <f aca="false">BN37</f>
        <v>0</v>
      </c>
      <c r="BZ59" s="1" t="n">
        <v>4.42833</v>
      </c>
      <c r="CA59" s="2" t="n">
        <f aca="false">BZ57</f>
        <v>2.66292</v>
      </c>
      <c r="CB59" s="2" t="n">
        <f aca="false">BZ55</f>
        <v>6.05222</v>
      </c>
      <c r="CC59" s="2" t="n">
        <f aca="false">BZ53</f>
        <v>1.99563</v>
      </c>
      <c r="CD59" s="2" t="n">
        <f aca="false">BZ51</f>
        <v>11.11</v>
      </c>
      <c r="CE59" s="2" t="n">
        <f aca="false">BZ49</f>
        <v>2.10773</v>
      </c>
      <c r="CF59" s="2" t="n">
        <f aca="false">BZ47</f>
        <v>1.05688</v>
      </c>
      <c r="CG59" s="2" t="n">
        <f aca="false">BZ45</f>
        <v>1.20909</v>
      </c>
      <c r="CH59" s="2" t="n">
        <f aca="false">BZ43</f>
        <v>3.19833</v>
      </c>
      <c r="CI59" s="2" t="n">
        <f aca="false">BZ41</f>
        <v>4.69786</v>
      </c>
      <c r="CJ59" s="2" t="n">
        <f aca="false">BZ39</f>
        <v>2.61667</v>
      </c>
      <c r="CK59" s="2" t="n">
        <f aca="false">BZ37</f>
        <v>1.805</v>
      </c>
      <c r="CL59" s="1" t="n">
        <v>0</v>
      </c>
      <c r="CM59" s="2" t="n">
        <f aca="false">CL57</f>
        <v>0</v>
      </c>
      <c r="CN59" s="2" t="n">
        <f aca="false">CL55</f>
        <v>0</v>
      </c>
      <c r="CO59" s="2" t="n">
        <f aca="false">CL53</f>
        <v>0</v>
      </c>
      <c r="CP59" s="2" t="n">
        <f aca="false">CL51</f>
        <v>0</v>
      </c>
      <c r="CQ59" s="2" t="n">
        <f aca="false">CL49</f>
        <v>0</v>
      </c>
      <c r="CR59" s="2" t="n">
        <f aca="false">CL47</f>
        <v>0</v>
      </c>
      <c r="CS59" s="2" t="n">
        <f aca="false">CL45</f>
        <v>0</v>
      </c>
      <c r="CT59" s="2" t="n">
        <f aca="false">CL43</f>
        <v>0</v>
      </c>
      <c r="CU59" s="2" t="n">
        <f aca="false">CL41</f>
        <v>0</v>
      </c>
      <c r="CV59" s="2" t="n">
        <f aca="false">CL39</f>
        <v>0</v>
      </c>
      <c r="CW59" s="2" t="n">
        <f aca="false">CL37</f>
        <v>0</v>
      </c>
      <c r="CX59" s="1" t="n">
        <v>77.275</v>
      </c>
      <c r="CY59" s="2" t="n">
        <f aca="false">CX57</f>
        <v>69.4174</v>
      </c>
      <c r="CZ59" s="2" t="n">
        <f aca="false">CX55</f>
        <v>80.6179</v>
      </c>
      <c r="DA59" s="2" t="n">
        <f aca="false">CX53</f>
        <v>63.3847</v>
      </c>
      <c r="DB59" s="2" t="n">
        <f aca="false">CX51</f>
        <v>84.8567</v>
      </c>
      <c r="DC59" s="2" t="n">
        <f aca="false">CX49</f>
        <v>64.6182</v>
      </c>
      <c r="DD59" s="2" t="n">
        <f aca="false">CX47</f>
        <v>46.5839</v>
      </c>
      <c r="DE59" s="2" t="n">
        <f aca="false">CX45</f>
        <v>50.4069</v>
      </c>
      <c r="DF59" s="2" t="n">
        <f aca="false">CX43</f>
        <v>72.6375</v>
      </c>
      <c r="DG59" s="2" t="n">
        <f aca="false">CX41</f>
        <v>77.9832</v>
      </c>
      <c r="DH59" s="2" t="n">
        <f aca="false">CX39</f>
        <v>69.0849</v>
      </c>
      <c r="DI59" s="2" t="n">
        <f aca="false">CX37</f>
        <v>61.0128</v>
      </c>
      <c r="DJ59" s="1" t="s">
        <v>176</v>
      </c>
      <c r="DK59" s="2" t="str">
        <f aca="false">DJ57</f>
        <v>HH</v>
      </c>
      <c r="DL59" s="2" t="str">
        <f aca="false">DJ55</f>
        <v>LH</v>
      </c>
      <c r="DM59" s="2" t="str">
        <f aca="false">DJ53</f>
        <v>LH</v>
      </c>
      <c r="DN59" s="2" t="str">
        <f aca="false">DJ51</f>
        <v>HH</v>
      </c>
      <c r="DO59" s="2" t="str">
        <f aca="false">DJ49</f>
        <v>LH</v>
      </c>
      <c r="DP59" s="2" t="str">
        <f aca="false">DJ47</f>
        <v>LH</v>
      </c>
      <c r="DQ59" s="2" t="str">
        <f aca="false">DJ45</f>
        <v>LH</v>
      </c>
      <c r="DR59" s="2" t="str">
        <f aca="false">DJ43</f>
        <v>LH</v>
      </c>
      <c r="DS59" s="2" t="str">
        <f aca="false">DJ41</f>
        <v>HH</v>
      </c>
      <c r="DT59" s="2" t="str">
        <f aca="false">DJ39</f>
        <v>LH</v>
      </c>
      <c r="DU59" s="2" t="str">
        <f aca="false">DJ37</f>
        <v>LH</v>
      </c>
      <c r="DV59" s="2" t="n">
        <f aca="false">IFERROR((G59-$F59)/$F59*100,"")</f>
        <v>-1.39398764821073</v>
      </c>
      <c r="DW59" s="2" t="n">
        <f aca="false">IFERROR((H59-$F59)/$F59*100,"")</f>
        <v>-1.77207290568312</v>
      </c>
      <c r="DX59" s="2" t="n">
        <f aca="false">IFERROR((I59-$F59)/$F59*100,"")</f>
        <v>-0.846334272987453</v>
      </c>
      <c r="DY59" s="2" t="n">
        <f aca="false">IFERROR((J59-$F59)/$F59*100,"")</f>
        <v>-0.795119536915511</v>
      </c>
      <c r="DZ59" s="2" t="n">
        <f aca="false">IFERROR((K59-$F59)/$F59*100,"")</f>
        <v>-0.981472316068098</v>
      </c>
      <c r="EA59" s="2" t="n">
        <f aca="false">IFERROR((L59-$F59)/$F59*100,"")</f>
        <v>1.16287577198683</v>
      </c>
      <c r="EB59" s="2" t="n">
        <f aca="false">IFERROR((M59-$F59)/$F59*100,"")</f>
        <v>1.40926599384562</v>
      </c>
      <c r="EC59" s="2" t="n">
        <f aca="false">IFERROR((N59-$F59)/$F59*100,"")</f>
        <v>1.78218674011749</v>
      </c>
      <c r="ED59" s="2" t="n">
        <f aca="false">IFERROR((O59-$F59)/$F59*100,"")</f>
        <v>2.00964042090765</v>
      </c>
      <c r="EE59" s="2" t="n">
        <f aca="false">IFERROR((P59-$F59)/$F59*100,"")</f>
        <v>1.08282584837855</v>
      </c>
      <c r="EF59" s="2" t="n">
        <f aca="false">IFERROR((Q59-$F59)/$F59*100,"")</f>
        <v>1.38000043037592</v>
      </c>
      <c r="EG59" s="2" t="str">
        <f aca="false">IF(DV59="","",IF(AND(ABS(DV59)&lt;=0.25,$E59="Bottom",DK59="LL"),"EQL",IF(AND(ABS(DV59)&lt;=0.25,$E59="Peak",DK59="HH"),"EQH","")))</f>
        <v/>
      </c>
      <c r="EH59" s="2" t="str">
        <f aca="false">IF(DW59="","",IF(AND(ABS(DW59)&lt;=0.25,$E59="Bottom",DL59="LL"),"EQL",IF(AND(ABS(DW59)&lt;=0.25,$E59="Peak",DL59="HH"),"EQH","")))</f>
        <v/>
      </c>
      <c r="EI59" s="2" t="str">
        <f aca="false">IF(DX59="","",IF(AND(ABS(DX59)&lt;=0.25,$E59="Bottom",DM59="LL"),"EQL",IF(AND(ABS(DX59)&lt;=0.25,$E59="Peak",DM59="HH"),"EQH","")))</f>
        <v/>
      </c>
      <c r="EJ59" s="2" t="str">
        <f aca="false">IF(DY59="","",IF(AND(ABS(DY59)&lt;=0.25,$E59="Bottom",DN59="LL"),"EQL",IF(AND(ABS(DY59)&lt;=0.25,$E59="Peak",DN59="HH"),"EQH","")))</f>
        <v/>
      </c>
      <c r="EK59" s="2" t="str">
        <f aca="false">IF(DZ59="","",IF(AND(ABS(DZ59)&lt;=0.25,$E59="Bottom",DO59="LL"),"EQL",IF(AND(ABS(DZ59)&lt;=0.25,$E59="Peak",DO59="HH"),"EQH","")))</f>
        <v/>
      </c>
      <c r="EL59" s="2" t="str">
        <f aca="false">IF(EA59="","",IF(AND(ABS(EA59)&lt;=0.25,$E59="Bottom",DP59="LL"),"EQL",IF(AND(ABS(EA59)&lt;=0.25,$E59="Peak",DP59="HH"),"EQH","")))</f>
        <v/>
      </c>
      <c r="EM59" s="2" t="str">
        <f aca="false">IF(EB59="","",IF(AND(ABS(EB59)&lt;=0.25,$E59="Bottom",DQ59="LL"),"EQL",IF(AND(ABS(EB59)&lt;=0.25,$E59="Peak",DQ59="HH"),"EQH","")))</f>
        <v/>
      </c>
      <c r="EN59" s="2" t="str">
        <f aca="false">IF(EC59="","",IF(AND(ABS(EC59)&lt;=0.25,$E59="Bottom",DR59="LL"),"EQL",IF(AND(ABS(EC59)&lt;=0.25,$E59="Peak",DR59="HH"),"EQH","")))</f>
        <v/>
      </c>
      <c r="EO59" s="2" t="str">
        <f aca="false">IF(ED59="","",IF(AND(ABS(ED59)&lt;=0.25,$E59="Bottom",DS59="LL"),"EQL",IF(AND(ABS(ED59)&lt;=0.25,$E59="Peak",DS59="HH"),"EQH","")))</f>
        <v/>
      </c>
      <c r="EP59" s="2" t="str">
        <f aca="false">IF(EE59="","",IF(AND(ABS(EE59)&lt;=0.25,$E59="Bottom",DT59="LL"),"EQL",IF(AND(ABS(EE59)&lt;=0.25,$E59="Peak",DT59="HH"),"EQH","")))</f>
        <v/>
      </c>
      <c r="EQ59" s="2" t="str">
        <f aca="false">IF(EF59="","",IF(AND(ABS(EF59)&lt;=0.25,$E59="Bottom",DU59="LL"),"EQL",IF(AND(ABS(EF59)&lt;=0.25,$E59="Peak",DU59="HH"),"EQH","")))</f>
        <v/>
      </c>
      <c r="ER59" s="2" t="str">
        <f aca="false">IF(OR(EG59="EQL",EG59="EQH"),G59,"")</f>
        <v/>
      </c>
      <c r="ES59" s="2" t="str">
        <f aca="false">IF(OR(EH59="EQL",EH59="EQH"),H59,"")</f>
        <v/>
      </c>
      <c r="ET59" s="2" t="str">
        <f aca="false">IF(OR(EI59="EQL",EI59="EQH"),I59,"")</f>
        <v/>
      </c>
      <c r="EU59" s="2" t="str">
        <f aca="false">IF(OR(EJ59="EQL",EJ59="EQH"),J59,"")</f>
        <v/>
      </c>
      <c r="EV59" s="2" t="str">
        <f aca="false">IF(OR(EK59="EQL",EK59="EQH"),K59,"")</f>
        <v/>
      </c>
      <c r="EW59" s="2" t="str">
        <f aca="false">IF(OR(EL59="EQL",EL59="EQH"),L59,"")</f>
        <v/>
      </c>
      <c r="EX59" s="2" t="str">
        <f aca="false">IF(OR(EM59="EQL",EM59="EQH"),M59,"")</f>
        <v/>
      </c>
      <c r="EY59" s="2" t="str">
        <f aca="false">IF(OR(EN59="EQL",EN59="EQH"),N59,"")</f>
        <v/>
      </c>
      <c r="EZ59" s="2" t="str">
        <f aca="false">IF(OR(EO59="EQL",EO59="EQH"),O59,"")</f>
        <v/>
      </c>
      <c r="FA59" s="2" t="str">
        <f aca="false">IF(OR(EP59="EQL",EP59="EQH"),P59,"")</f>
        <v/>
      </c>
      <c r="FB59" s="2" t="str">
        <f aca="false">IF(OR(EQ59="EQL",EQ59="EQH"),Q59,"")</f>
        <v/>
      </c>
      <c r="FC59" s="2" t="str">
        <f aca="false">IF(AND(EG59="EQL",OR(AQ59=4,AQ59=5)),"IEQL",IF(AND(EG59="EQH",OR(AQ59=1,AQ59=2)),"IEQH",""))</f>
        <v/>
      </c>
      <c r="FD59" s="2" t="str">
        <f aca="false">IF(AND(EH59="EQL",OR(AR59=4,AR59=5)),"IEQL",IF(AND(EH59="EQH",OR(AR59=1,AR59=2)),"IEQH",""))</f>
        <v/>
      </c>
      <c r="FE59" s="2" t="str">
        <f aca="false">IF(AND(EI59="EQL",OR(AS59=4,AS59=5)),"IEQL",IF(AND(EI59="EQH",OR(AS59=1,AS59=2)),"IEQH",""))</f>
        <v/>
      </c>
      <c r="FF59" s="2" t="str">
        <f aca="false">IF(AND(EJ59="EQL",OR(AT59=4,AT59=5)),"IEQL",IF(AND(EJ59="EQH",OR(AT59=1,AT59=2)),"IEQH",""))</f>
        <v/>
      </c>
      <c r="FG59" s="2" t="str">
        <f aca="false">IF(AND(EK59="EQL",OR(AU59=4,AU59=5)),"IEQL",IF(AND(EK59="EQH",OR(AU59=1,AU59=2)),"IEQH",""))</f>
        <v/>
      </c>
      <c r="FH59" s="2" t="str">
        <f aca="false">IF(AND(EL59="EQL",OR(AV59=4,AV59=5)),"IEQL",IF(AND(EL59="EQH",OR(AV59=1,AV59=2)),"IEQH",""))</f>
        <v/>
      </c>
      <c r="FI59" s="2" t="str">
        <f aca="false">IF(AND(EM59="EQL",OR(AW59=4,AW59=5)),"IEQL",IF(AND(EM59="EQH",OR(AW59=1,AW59=2)),"IEQH",""))</f>
        <v/>
      </c>
      <c r="FJ59" s="2" t="str">
        <f aca="false">IF(AND(EN59="EQL",OR(AX59=4,AX59=5)),"IEQL",IF(AND(EN59="EQH",OR(AX59=1,AX59=2)),"IEQH",""))</f>
        <v/>
      </c>
      <c r="FK59" s="2" t="str">
        <f aca="false">IF(AND(EO59="EQL",OR(AY59=4,AY59=5)),"IEQL",IF(AND(EO59="EQH",OR(AY59=1,AY59=2)),"IEQH",""))</f>
        <v/>
      </c>
      <c r="FL59" s="2" t="str">
        <f aca="false">IF(AND(EP59="EQL",OR(AZ59=4,AZ59=5)),"IEQL",IF(AND(EP59="EQH",OR(AZ59=1,AZ59=2)),"IEQH",""))</f>
        <v/>
      </c>
      <c r="FM59" s="2" t="str">
        <f aca="false">IF(AND(EQ59="EQL",OR(BA59=4,BA59=5)),"IEQL",IF(AND(EQ59="EQH",OR(BA59=1,BA59=2)),"IEQH",""))</f>
        <v/>
      </c>
    </row>
    <row r="60" customFormat="false" ht="14.25" hidden="false" customHeight="false" outlineLevel="0" collapsed="false">
      <c r="A60" s="1" t="n">
        <v>1777567502</v>
      </c>
      <c r="B60" s="1" t="s">
        <v>169</v>
      </c>
      <c r="C60" s="1" t="s">
        <v>170</v>
      </c>
      <c r="D60" s="1" t="n">
        <v>4607.62</v>
      </c>
      <c r="E60" s="1" t="s">
        <v>171</v>
      </c>
      <c r="F60" s="1" t="n">
        <v>4605.56</v>
      </c>
      <c r="G60" s="2" t="n">
        <f aca="false">F58</f>
        <v>4540.82</v>
      </c>
      <c r="H60" s="2" t="n">
        <f aca="false">F56</f>
        <v>4518.41</v>
      </c>
      <c r="I60" s="2" t="n">
        <f aca="false">F54</f>
        <v>4510.28</v>
      </c>
      <c r="J60" s="2" t="n">
        <f aca="false">F52</f>
        <v>4575.84</v>
      </c>
      <c r="K60" s="2" t="n">
        <f aca="false">F50</f>
        <v>4587.93</v>
      </c>
      <c r="L60" s="2" t="n">
        <f aca="false">F48</f>
        <v>4555.12</v>
      </c>
      <c r="M60" s="2" t="n">
        <f aca="false">F46</f>
        <v>4667.32</v>
      </c>
      <c r="N60" s="2" t="n">
        <f aca="false">F44</f>
        <v>4699.29</v>
      </c>
      <c r="O60" s="2" t="n">
        <f aca="false">F42</f>
        <v>4672.35</v>
      </c>
      <c r="P60" s="2" t="n">
        <f aca="false">F40</f>
        <v>4674.72</v>
      </c>
      <c r="Q60" s="2" t="n">
        <f aca="false">F38</f>
        <v>4658.17</v>
      </c>
      <c r="R60" s="1" t="n">
        <v>-41.54</v>
      </c>
      <c r="S60" s="2" t="n">
        <f aca="false">R58</f>
        <v>-41.5</v>
      </c>
      <c r="T60" s="2" t="n">
        <f aca="false">R56</f>
        <v>-46.34</v>
      </c>
      <c r="U60" s="2" t="n">
        <f aca="false">R54</f>
        <v>-97.49</v>
      </c>
      <c r="V60" s="2" t="n">
        <f aca="false">R52</f>
        <v>-34.31</v>
      </c>
      <c r="W60" s="2" t="n">
        <f aca="false">R50</f>
        <v>-13.56</v>
      </c>
      <c r="X60" s="2" t="n">
        <f aca="false">R48</f>
        <v>-146.02</v>
      </c>
      <c r="Y60" s="2" t="n">
        <f aca="false">R46</f>
        <v>-45.27</v>
      </c>
      <c r="Z60" s="2" t="n">
        <f aca="false">R44</f>
        <v>-30.63</v>
      </c>
      <c r="AA60" s="2" t="n">
        <f aca="false">R42</f>
        <v>-68.14</v>
      </c>
      <c r="AB60" s="2" t="n">
        <f aca="false">R40</f>
        <v>-22.7</v>
      </c>
      <c r="AC60" s="2" t="n">
        <f aca="false">R38</f>
        <v>-53.06</v>
      </c>
      <c r="AD60" s="1" t="n">
        <v>-0.89</v>
      </c>
      <c r="AE60" s="2" t="n">
        <f aca="false">AD58</f>
        <v>-0.91</v>
      </c>
      <c r="AF60" s="2" t="n">
        <f aca="false">AD56</f>
        <v>-1.02</v>
      </c>
      <c r="AG60" s="2" t="n">
        <f aca="false">AD54</f>
        <v>-2.12</v>
      </c>
      <c r="AH60" s="2" t="n">
        <f aca="false">AD52</f>
        <v>-0.74</v>
      </c>
      <c r="AI60" s="2" t="n">
        <f aca="false">AD50</f>
        <v>-0.29</v>
      </c>
      <c r="AJ60" s="2" t="n">
        <f aca="false">AD48</f>
        <v>-3.11</v>
      </c>
      <c r="AK60" s="2" t="n">
        <f aca="false">AD46</f>
        <v>-0.96</v>
      </c>
      <c r="AL60" s="2" t="n">
        <f aca="false">AD44</f>
        <v>-0.65</v>
      </c>
      <c r="AM60" s="2" t="n">
        <f aca="false">AD42</f>
        <v>-1.44</v>
      </c>
      <c r="AN60" s="2" t="n">
        <f aca="false">AD40</f>
        <v>-0.48</v>
      </c>
      <c r="AO60" s="2" t="n">
        <f aca="false">AD38</f>
        <v>-1.13</v>
      </c>
      <c r="AP60" s="1" t="n">
        <v>3</v>
      </c>
      <c r="AQ60" s="2" t="n">
        <f aca="false">AP58</f>
        <v>3</v>
      </c>
      <c r="AR60" s="2" t="n">
        <f aca="false">AP56</f>
        <v>3</v>
      </c>
      <c r="AS60" s="2" t="n">
        <f aca="false">AP54</f>
        <v>4</v>
      </c>
      <c r="AT60" s="2" t="n">
        <f aca="false">AP52</f>
        <v>3</v>
      </c>
      <c r="AU60" s="2" t="n">
        <f aca="false">AP50</f>
        <v>3</v>
      </c>
      <c r="AV60" s="2" t="n">
        <f aca="false">AP48</f>
        <v>5</v>
      </c>
      <c r="AW60" s="2" t="n">
        <f aca="false">AP46</f>
        <v>3</v>
      </c>
      <c r="AX60" s="2" t="n">
        <f aca="false">AP44</f>
        <v>3</v>
      </c>
      <c r="AY60" s="2" t="n">
        <f aca="false">AP42</f>
        <v>3</v>
      </c>
      <c r="AZ60" s="2" t="n">
        <f aca="false">AP40</f>
        <v>3</v>
      </c>
      <c r="BA60" s="2" t="n">
        <f aca="false">AP38</f>
        <v>3</v>
      </c>
      <c r="BB60" s="1" t="n">
        <v>25</v>
      </c>
      <c r="BC60" s="2" t="n">
        <f aca="false">BB58</f>
        <v>11</v>
      </c>
      <c r="BD60" s="2" t="n">
        <f aca="false">BB56</f>
        <v>11</v>
      </c>
      <c r="BE60" s="2" t="n">
        <f aca="false">BB54</f>
        <v>35</v>
      </c>
      <c r="BF60" s="2" t="n">
        <f aca="false">BB52</f>
        <v>4</v>
      </c>
      <c r="BG60" s="2" t="n">
        <f aca="false">BB50</f>
        <v>20</v>
      </c>
      <c r="BH60" s="2" t="n">
        <f aca="false">BB48</f>
        <v>48</v>
      </c>
      <c r="BI60" s="2" t="n">
        <f aca="false">BB46</f>
        <v>11</v>
      </c>
      <c r="BJ60" s="2" t="n">
        <f aca="false">BB44</f>
        <v>20</v>
      </c>
      <c r="BK60" s="2" t="n">
        <f aca="false">BB42</f>
        <v>36</v>
      </c>
      <c r="BL60" s="2" t="n">
        <f aca="false">BB40</f>
        <v>9</v>
      </c>
      <c r="BM60" s="2" t="n">
        <f aca="false">BB38</f>
        <v>13</v>
      </c>
      <c r="BN60" s="1" t="n">
        <v>3</v>
      </c>
      <c r="BO60" s="2" t="n">
        <f aca="false">BN58</f>
        <v>3</v>
      </c>
      <c r="BP60" s="2" t="n">
        <f aca="false">BN56</f>
        <v>3</v>
      </c>
      <c r="BQ60" s="2" t="n">
        <f aca="false">BN54</f>
        <v>3</v>
      </c>
      <c r="BR60" s="2" t="n">
        <f aca="false">BN52</f>
        <v>3</v>
      </c>
      <c r="BS60" s="2" t="n">
        <f aca="false">BN50</f>
        <v>3</v>
      </c>
      <c r="BT60" s="2" t="n">
        <f aca="false">BN48</f>
        <v>5</v>
      </c>
      <c r="BU60" s="2" t="n">
        <f aca="false">BN46</f>
        <v>3</v>
      </c>
      <c r="BV60" s="2" t="n">
        <f aca="false">BN44</f>
        <v>3</v>
      </c>
      <c r="BW60" s="2" t="n">
        <f aca="false">BN42</f>
        <v>4</v>
      </c>
      <c r="BX60" s="2" t="n">
        <f aca="false">BN40</f>
        <v>3</v>
      </c>
      <c r="BY60" s="2" t="n">
        <f aca="false">BN38</f>
        <v>3</v>
      </c>
      <c r="BZ60" s="1" t="n">
        <v>-1.6616</v>
      </c>
      <c r="CA60" s="2" t="n">
        <f aca="false">BZ58</f>
        <v>-3.77273</v>
      </c>
      <c r="CB60" s="2" t="n">
        <f aca="false">BZ56</f>
        <v>-4.21273</v>
      </c>
      <c r="CC60" s="2" t="n">
        <f aca="false">BZ54</f>
        <v>-2.78543</v>
      </c>
      <c r="CD60" s="2" t="n">
        <f aca="false">BZ52</f>
        <v>-8.5775</v>
      </c>
      <c r="CE60" s="2" t="n">
        <f aca="false">BZ50</f>
        <v>-0.678</v>
      </c>
      <c r="CF60" s="2" t="n">
        <f aca="false">BZ48</f>
        <v>-3.04208</v>
      </c>
      <c r="CG60" s="2" t="n">
        <f aca="false">BZ46</f>
        <v>-4.11545</v>
      </c>
      <c r="CH60" s="2" t="n">
        <f aca="false">BZ44</f>
        <v>-1.5315</v>
      </c>
      <c r="CI60" s="2" t="n">
        <f aca="false">BZ42</f>
        <v>-1.89278</v>
      </c>
      <c r="CJ60" s="2" t="n">
        <f aca="false">BZ40</f>
        <v>-2.52222</v>
      </c>
      <c r="CK60" s="2" t="n">
        <f aca="false">BZ38</f>
        <v>-4.08154</v>
      </c>
      <c r="CL60" s="1" t="n">
        <v>3</v>
      </c>
      <c r="CM60" s="2" t="n">
        <f aca="false">CL58</f>
        <v>3</v>
      </c>
      <c r="CN60" s="2" t="n">
        <f aca="false">CL56</f>
        <v>3</v>
      </c>
      <c r="CO60" s="2" t="n">
        <f aca="false">CL54</f>
        <v>3</v>
      </c>
      <c r="CP60" s="2" t="n">
        <f aca="false">CL52</f>
        <v>3</v>
      </c>
      <c r="CQ60" s="2" t="n">
        <f aca="false">CL50</f>
        <v>3</v>
      </c>
      <c r="CR60" s="2" t="n">
        <f aca="false">CL48</f>
        <v>3</v>
      </c>
      <c r="CS60" s="2" t="n">
        <f aca="false">CL46</f>
        <v>3</v>
      </c>
      <c r="CT60" s="2" t="n">
        <f aca="false">CL44</f>
        <v>3</v>
      </c>
      <c r="CU60" s="2" t="n">
        <f aca="false">CL42</f>
        <v>3</v>
      </c>
      <c r="CV60" s="2" t="n">
        <f aca="false">CL40</f>
        <v>3</v>
      </c>
      <c r="CW60" s="2" t="n">
        <f aca="false">CL38</f>
        <v>3</v>
      </c>
      <c r="CX60" s="1" t="n">
        <v>-58.9592</v>
      </c>
      <c r="CY60" s="2" t="n">
        <f aca="false">CX58</f>
        <v>-75.1545</v>
      </c>
      <c r="CZ60" s="2" t="n">
        <f aca="false">CX56</f>
        <v>-76.6465</v>
      </c>
      <c r="DA60" s="2" t="n">
        <f aca="false">CX54</f>
        <v>-70.2513</v>
      </c>
      <c r="DB60" s="2" t="n">
        <f aca="false">CX52</f>
        <v>-83.3502</v>
      </c>
      <c r="DC60" s="2" t="n">
        <f aca="false">CX50</f>
        <v>-34.1373</v>
      </c>
      <c r="DD60" s="2" t="n">
        <f aca="false">CX48</f>
        <v>-71.8032</v>
      </c>
      <c r="DE60" s="2" t="n">
        <f aca="false">CX46</f>
        <v>-76.3426</v>
      </c>
      <c r="DF60" s="2" t="n">
        <f aca="false">CX44</f>
        <v>-56.8573</v>
      </c>
      <c r="DG60" s="2" t="n">
        <f aca="false">CX42</f>
        <v>-62.1514</v>
      </c>
      <c r="DH60" s="2" t="n">
        <f aca="false">CX40</f>
        <v>-68.3729</v>
      </c>
      <c r="DI60" s="2" t="n">
        <f aca="false">CX38</f>
        <v>-76.2334</v>
      </c>
      <c r="DJ60" s="1" t="s">
        <v>175</v>
      </c>
      <c r="DK60" s="2" t="str">
        <f aca="false">DJ58</f>
        <v>HL</v>
      </c>
      <c r="DL60" s="2" t="str">
        <f aca="false">DJ56</f>
        <v>HL</v>
      </c>
      <c r="DM60" s="2" t="str">
        <f aca="false">DJ54</f>
        <v>LL</v>
      </c>
      <c r="DN60" s="2" t="str">
        <f aca="false">DJ52</f>
        <v>LL</v>
      </c>
      <c r="DO60" s="2" t="str">
        <f aca="false">DJ50</f>
        <v>HL</v>
      </c>
      <c r="DP60" s="2" t="str">
        <f aca="false">DJ48</f>
        <v>LL</v>
      </c>
      <c r="DQ60" s="2" t="str">
        <f aca="false">DJ46</f>
        <v>LL</v>
      </c>
      <c r="DR60" s="2" t="str">
        <f aca="false">DJ44</f>
        <v>HL</v>
      </c>
      <c r="DS60" s="2" t="str">
        <f aca="false">DJ42</f>
        <v>LL</v>
      </c>
      <c r="DT60" s="2" t="str">
        <f aca="false">DJ40</f>
        <v>HL</v>
      </c>
      <c r="DU60" s="2" t="str">
        <f aca="false">DJ38</f>
        <v>LL</v>
      </c>
      <c r="DV60" s="2" t="n">
        <f aca="false">IFERROR((G60-$F60)/$F60*100,"")</f>
        <v>-1.40569225023669</v>
      </c>
      <c r="DW60" s="2" t="n">
        <f aca="false">IFERROR((H60-$F60)/$F60*100,"")</f>
        <v>-1.89227802916476</v>
      </c>
      <c r="DX60" s="2" t="n">
        <f aca="false">IFERROR((I60-$F60)/$F60*100,"")</f>
        <v>-2.06880379367549</v>
      </c>
      <c r="DY60" s="2" t="n">
        <f aca="false">IFERROR((J60-$F60)/$F60*100,"")</f>
        <v>-0.645306976784588</v>
      </c>
      <c r="DZ60" s="2" t="n">
        <f aca="false">IFERROR((K60-$F60)/$F60*100,"")</f>
        <v>-0.382798183065688</v>
      </c>
      <c r="EA60" s="2" t="n">
        <f aca="false">IFERROR((L60-$F60)/$F60*100,"")</f>
        <v>-1.09519797809605</v>
      </c>
      <c r="EB60" s="2" t="n">
        <f aca="false">IFERROR((M60-$F60)/$F60*100,"")</f>
        <v>1.34098784946889</v>
      </c>
      <c r="EC60" s="2" t="n">
        <f aca="false">IFERROR((N60-$F60)/$F60*100,"")</f>
        <v>2.03514882012176</v>
      </c>
      <c r="ED60" s="2" t="n">
        <f aca="false">IFERROR((O60-$F60)/$F60*100,"")</f>
        <v>1.45020366687221</v>
      </c>
      <c r="EE60" s="2" t="n">
        <f aca="false">IFERROR((P60-$F60)/$F60*100,"")</f>
        <v>1.50166320708013</v>
      </c>
      <c r="EF60" s="2" t="n">
        <f aca="false">IFERROR((Q60-$F60)/$F60*100,"")</f>
        <v>1.14231494107122</v>
      </c>
      <c r="EG60" s="2" t="str">
        <f aca="false">IF(DV60="","",IF(AND(ABS(DV60)&lt;=0.25,$E60="Bottom",DK60="LL"),"EQL",IF(AND(ABS(DV60)&lt;=0.25,$E60="Peak",DK60="HH"),"EQH","")))</f>
        <v/>
      </c>
      <c r="EH60" s="2" t="str">
        <f aca="false">IF(DW60="","",IF(AND(ABS(DW60)&lt;=0.25,$E60="Bottom",DL60="LL"),"EQL",IF(AND(ABS(DW60)&lt;=0.25,$E60="Peak",DL60="HH"),"EQH","")))</f>
        <v/>
      </c>
      <c r="EI60" s="2" t="str">
        <f aca="false">IF(DX60="","",IF(AND(ABS(DX60)&lt;=0.25,$E60="Bottom",DM60="LL"),"EQL",IF(AND(ABS(DX60)&lt;=0.25,$E60="Peak",DM60="HH"),"EQH","")))</f>
        <v/>
      </c>
      <c r="EJ60" s="2" t="str">
        <f aca="false">IF(DY60="","",IF(AND(ABS(DY60)&lt;=0.25,$E60="Bottom",DN60="LL"),"EQL",IF(AND(ABS(DY60)&lt;=0.25,$E60="Peak",DN60="HH"),"EQH","")))</f>
        <v/>
      </c>
      <c r="EK60" s="2" t="str">
        <f aca="false">IF(DZ60="","",IF(AND(ABS(DZ60)&lt;=0.25,$E60="Bottom",DO60="LL"),"EQL",IF(AND(ABS(DZ60)&lt;=0.25,$E60="Peak",DO60="HH"),"EQH","")))</f>
        <v/>
      </c>
      <c r="EL60" s="2" t="str">
        <f aca="false">IF(EA60="","",IF(AND(ABS(EA60)&lt;=0.25,$E60="Bottom",DP60="LL"),"EQL",IF(AND(ABS(EA60)&lt;=0.25,$E60="Peak",DP60="HH"),"EQH","")))</f>
        <v/>
      </c>
      <c r="EM60" s="2" t="str">
        <f aca="false">IF(EB60="","",IF(AND(ABS(EB60)&lt;=0.25,$E60="Bottom",DQ60="LL"),"EQL",IF(AND(ABS(EB60)&lt;=0.25,$E60="Peak",DQ60="HH"),"EQH","")))</f>
        <v/>
      </c>
      <c r="EN60" s="2" t="str">
        <f aca="false">IF(EC60="","",IF(AND(ABS(EC60)&lt;=0.25,$E60="Bottom",DR60="LL"),"EQL",IF(AND(ABS(EC60)&lt;=0.25,$E60="Peak",DR60="HH"),"EQH","")))</f>
        <v/>
      </c>
      <c r="EO60" s="2" t="str">
        <f aca="false">IF(ED60="","",IF(AND(ABS(ED60)&lt;=0.25,$E60="Bottom",DS60="LL"),"EQL",IF(AND(ABS(ED60)&lt;=0.25,$E60="Peak",DS60="HH"),"EQH","")))</f>
        <v/>
      </c>
      <c r="EP60" s="2" t="str">
        <f aca="false">IF(EE60="","",IF(AND(ABS(EE60)&lt;=0.25,$E60="Bottom",DT60="LL"),"EQL",IF(AND(ABS(EE60)&lt;=0.25,$E60="Peak",DT60="HH"),"EQH","")))</f>
        <v/>
      </c>
      <c r="EQ60" s="2" t="str">
        <f aca="false">IF(EF60="","",IF(AND(ABS(EF60)&lt;=0.25,$E60="Bottom",DU60="LL"),"EQL",IF(AND(ABS(EF60)&lt;=0.25,$E60="Peak",DU60="HH"),"EQH","")))</f>
        <v/>
      </c>
      <c r="ER60" s="2" t="str">
        <f aca="false">IF(OR(EG60="EQL",EG60="EQH"),G60,"")</f>
        <v/>
      </c>
      <c r="ES60" s="2" t="str">
        <f aca="false">IF(OR(EH60="EQL",EH60="EQH"),H60,"")</f>
        <v/>
      </c>
      <c r="ET60" s="2" t="str">
        <f aca="false">IF(OR(EI60="EQL",EI60="EQH"),I60,"")</f>
        <v/>
      </c>
      <c r="EU60" s="2" t="str">
        <f aca="false">IF(OR(EJ60="EQL",EJ60="EQH"),J60,"")</f>
        <v/>
      </c>
      <c r="EV60" s="2" t="str">
        <f aca="false">IF(OR(EK60="EQL",EK60="EQH"),K60,"")</f>
        <v/>
      </c>
      <c r="EW60" s="2" t="str">
        <f aca="false">IF(OR(EL60="EQL",EL60="EQH"),L60,"")</f>
        <v/>
      </c>
      <c r="EX60" s="2" t="str">
        <f aca="false">IF(OR(EM60="EQL",EM60="EQH"),M60,"")</f>
        <v/>
      </c>
      <c r="EY60" s="2" t="str">
        <f aca="false">IF(OR(EN60="EQL",EN60="EQH"),N60,"")</f>
        <v/>
      </c>
      <c r="EZ60" s="2" t="str">
        <f aca="false">IF(OR(EO60="EQL",EO60="EQH"),O60,"")</f>
        <v/>
      </c>
      <c r="FA60" s="2" t="str">
        <f aca="false">IF(OR(EP60="EQL",EP60="EQH"),P60,"")</f>
        <v/>
      </c>
      <c r="FB60" s="2" t="str">
        <f aca="false">IF(OR(EQ60="EQL",EQ60="EQH"),Q60,"")</f>
        <v/>
      </c>
      <c r="FC60" s="2" t="str">
        <f aca="false">IF(AND(EG60="EQL",OR(AQ60=4,AQ60=5)),"IEQL",IF(AND(EG60="EQH",OR(AQ60=1,AQ60=2)),"IEQH",""))</f>
        <v/>
      </c>
      <c r="FD60" s="2" t="str">
        <f aca="false">IF(AND(EH60="EQL",OR(AR60=4,AR60=5)),"IEQL",IF(AND(EH60="EQH",OR(AR60=1,AR60=2)),"IEQH",""))</f>
        <v/>
      </c>
      <c r="FE60" s="2" t="str">
        <f aca="false">IF(AND(EI60="EQL",OR(AS60=4,AS60=5)),"IEQL",IF(AND(EI60="EQH",OR(AS60=1,AS60=2)),"IEQH",""))</f>
        <v/>
      </c>
      <c r="FF60" s="2" t="str">
        <f aca="false">IF(AND(EJ60="EQL",OR(AT60=4,AT60=5)),"IEQL",IF(AND(EJ60="EQH",OR(AT60=1,AT60=2)),"IEQH",""))</f>
        <v/>
      </c>
      <c r="FG60" s="2" t="str">
        <f aca="false">IF(AND(EK60="EQL",OR(AU60=4,AU60=5)),"IEQL",IF(AND(EK60="EQH",OR(AU60=1,AU60=2)),"IEQH",""))</f>
        <v/>
      </c>
      <c r="FH60" s="2" t="str">
        <f aca="false">IF(AND(EL60="EQL",OR(AV60=4,AV60=5)),"IEQL",IF(AND(EL60="EQH",OR(AV60=1,AV60=2)),"IEQH",""))</f>
        <v/>
      </c>
      <c r="FI60" s="2" t="str">
        <f aca="false">IF(AND(EM60="EQL",OR(AW60=4,AW60=5)),"IEQL",IF(AND(EM60="EQH",OR(AW60=1,AW60=2)),"IEQH",""))</f>
        <v/>
      </c>
      <c r="FJ60" s="2" t="str">
        <f aca="false">IF(AND(EN60="EQL",OR(AX60=4,AX60=5)),"IEQL",IF(AND(EN60="EQH",OR(AX60=1,AX60=2)),"IEQH",""))</f>
        <v/>
      </c>
      <c r="FK60" s="2" t="str">
        <f aca="false">IF(AND(EO60="EQL",OR(AY60=4,AY60=5)),"IEQL",IF(AND(EO60="EQH",OR(AY60=1,AY60=2)),"IEQH",""))</f>
        <v/>
      </c>
      <c r="FL60" s="2" t="str">
        <f aca="false">IF(AND(EP60="EQL",OR(AZ60=4,AZ60=5)),"IEQL",IF(AND(EP60="EQH",OR(AZ60=1,AZ60=2)),"IEQH",""))</f>
        <v/>
      </c>
      <c r="FM60" s="2" t="str">
        <f aca="false">IF(AND(EQ60="EQL",OR(BA60=4,BA60=5)),"IEQL",IF(AND(EQ60="EQH",OR(BA60=1,BA60=2)),"IEQH",""))</f>
        <v/>
      </c>
    </row>
    <row r="61" customFormat="false" ht="14.25" hidden="false" customHeight="false" outlineLevel="0" collapsed="false">
      <c r="A61" s="1" t="n">
        <v>1777591802</v>
      </c>
      <c r="B61" s="1" t="s">
        <v>169</v>
      </c>
      <c r="C61" s="1" t="s">
        <v>170</v>
      </c>
      <c r="D61" s="1" t="n">
        <v>4631.31</v>
      </c>
      <c r="E61" s="1" t="s">
        <v>173</v>
      </c>
      <c r="F61" s="1" t="n">
        <v>4634.14</v>
      </c>
      <c r="G61" s="2" t="n">
        <f aca="false">F59</f>
        <v>4647.1</v>
      </c>
      <c r="H61" s="2" t="n">
        <f aca="false">F57</f>
        <v>4582.32</v>
      </c>
      <c r="I61" s="2" t="n">
        <f aca="false">F55</f>
        <v>4564.75</v>
      </c>
      <c r="J61" s="2" t="n">
        <f aca="false">F53</f>
        <v>4607.77</v>
      </c>
      <c r="K61" s="2" t="n">
        <f aca="false">F51</f>
        <v>4610.15</v>
      </c>
      <c r="L61" s="2" t="n">
        <f aca="false">F49</f>
        <v>4601.49</v>
      </c>
      <c r="M61" s="2" t="n">
        <f aca="false">F47</f>
        <v>4701.14</v>
      </c>
      <c r="N61" s="2" t="n">
        <f aca="false">F45</f>
        <v>4712.59</v>
      </c>
      <c r="O61" s="2" t="n">
        <f aca="false">F43</f>
        <v>4729.92</v>
      </c>
      <c r="P61" s="2" t="n">
        <f aca="false">F41</f>
        <v>4740.49</v>
      </c>
      <c r="Q61" s="2" t="n">
        <f aca="false">F39</f>
        <v>4697.42</v>
      </c>
      <c r="R61" s="1" t="n">
        <v>28.58</v>
      </c>
      <c r="S61" s="2" t="n">
        <f aca="false">R59</f>
        <v>106.28</v>
      </c>
      <c r="T61" s="2" t="n">
        <f aca="false">R57</f>
        <v>63.91</v>
      </c>
      <c r="U61" s="2" t="n">
        <f aca="false">R55</f>
        <v>54.47</v>
      </c>
      <c r="V61" s="2" t="n">
        <f aca="false">R53</f>
        <v>31.93</v>
      </c>
      <c r="W61" s="2" t="n">
        <f aca="false">R51</f>
        <v>22.22</v>
      </c>
      <c r="X61" s="2" t="n">
        <f aca="false">R49</f>
        <v>46.37</v>
      </c>
      <c r="Y61" s="2" t="n">
        <f aca="false">R47</f>
        <v>33.82</v>
      </c>
      <c r="Z61" s="2" t="n">
        <f aca="false">R45</f>
        <v>13.3</v>
      </c>
      <c r="AA61" s="2" t="n">
        <f aca="false">R43</f>
        <v>57.57</v>
      </c>
      <c r="AB61" s="2" t="n">
        <f aca="false">R41</f>
        <v>65.77</v>
      </c>
      <c r="AC61" s="2" t="n">
        <f aca="false">R39</f>
        <v>39.25</v>
      </c>
      <c r="AD61" s="1" t="n">
        <v>0.62</v>
      </c>
      <c r="AE61" s="2" t="n">
        <f aca="false">AD59</f>
        <v>2.34</v>
      </c>
      <c r="AF61" s="2" t="n">
        <f aca="false">AD57</f>
        <v>1.41</v>
      </c>
      <c r="AG61" s="2" t="n">
        <f aca="false">AD55</f>
        <v>1.21</v>
      </c>
      <c r="AH61" s="2" t="n">
        <f aca="false">AD53</f>
        <v>0.7</v>
      </c>
      <c r="AI61" s="2" t="n">
        <f aca="false">AD51</f>
        <v>0.48</v>
      </c>
      <c r="AJ61" s="2" t="n">
        <f aca="false">AD49</f>
        <v>1.02</v>
      </c>
      <c r="AK61" s="2" t="n">
        <f aca="false">AD47</f>
        <v>0.72</v>
      </c>
      <c r="AL61" s="2" t="n">
        <f aca="false">AD45</f>
        <v>0.28</v>
      </c>
      <c r="AM61" s="2" t="n">
        <f aca="false">AD43</f>
        <v>1.23</v>
      </c>
      <c r="AN61" s="2" t="n">
        <f aca="false">AD41</f>
        <v>1.41</v>
      </c>
      <c r="AO61" s="2" t="n">
        <f aca="false">AD39</f>
        <v>0.84</v>
      </c>
      <c r="AP61" s="1" t="n">
        <v>0</v>
      </c>
      <c r="AQ61" s="2" t="n">
        <f aca="false">AP59</f>
        <v>1</v>
      </c>
      <c r="AR61" s="2" t="n">
        <f aca="false">AP57</f>
        <v>0</v>
      </c>
      <c r="AS61" s="2" t="n">
        <f aca="false">AP55</f>
        <v>0</v>
      </c>
      <c r="AT61" s="2" t="n">
        <f aca="false">AP53</f>
        <v>0</v>
      </c>
      <c r="AU61" s="2" t="n">
        <f aca="false">AP51</f>
        <v>0</v>
      </c>
      <c r="AV61" s="2" t="n">
        <f aca="false">AP49</f>
        <v>0</v>
      </c>
      <c r="AW61" s="2" t="n">
        <f aca="false">AP47</f>
        <v>0</v>
      </c>
      <c r="AX61" s="2" t="n">
        <f aca="false">AP45</f>
        <v>0</v>
      </c>
      <c r="AY61" s="2" t="n">
        <f aca="false">AP43</f>
        <v>0</v>
      </c>
      <c r="AZ61" s="2" t="n">
        <f aca="false">AP41</f>
        <v>0</v>
      </c>
      <c r="BA61" s="2" t="n">
        <f aca="false">AP39</f>
        <v>0</v>
      </c>
      <c r="BB61" s="1" t="n">
        <v>23</v>
      </c>
      <c r="BC61" s="2" t="n">
        <f aca="false">BB59</f>
        <v>24</v>
      </c>
      <c r="BD61" s="2" t="n">
        <f aca="false">BB57</f>
        <v>24</v>
      </c>
      <c r="BE61" s="2" t="n">
        <f aca="false">BB55</f>
        <v>9</v>
      </c>
      <c r="BF61" s="2" t="n">
        <f aca="false">BB53</f>
        <v>16</v>
      </c>
      <c r="BG61" s="2" t="n">
        <f aca="false">BB51</f>
        <v>2</v>
      </c>
      <c r="BH61" s="2" t="n">
        <f aca="false">BB49</f>
        <v>22</v>
      </c>
      <c r="BI61" s="2" t="n">
        <f aca="false">BB47</f>
        <v>32</v>
      </c>
      <c r="BJ61" s="2" t="n">
        <f aca="false">BB45</f>
        <v>11</v>
      </c>
      <c r="BK61" s="2" t="n">
        <f aca="false">BB43</f>
        <v>18</v>
      </c>
      <c r="BL61" s="2" t="n">
        <f aca="false">BB41</f>
        <v>14</v>
      </c>
      <c r="BM61" s="2" t="n">
        <f aca="false">BB39</f>
        <v>15</v>
      </c>
      <c r="BN61" s="1" t="n">
        <v>0</v>
      </c>
      <c r="BO61" s="2" t="n">
        <f aca="false">BN59</f>
        <v>0</v>
      </c>
      <c r="BP61" s="2" t="n">
        <f aca="false">BN57</f>
        <v>0</v>
      </c>
      <c r="BQ61" s="2" t="n">
        <f aca="false">BN55</f>
        <v>0</v>
      </c>
      <c r="BR61" s="2" t="n">
        <f aca="false">BN53</f>
        <v>0</v>
      </c>
      <c r="BS61" s="2" t="n">
        <f aca="false">BN51</f>
        <v>0</v>
      </c>
      <c r="BT61" s="2" t="n">
        <f aca="false">BN49</f>
        <v>0</v>
      </c>
      <c r="BU61" s="2" t="n">
        <f aca="false">BN47</f>
        <v>0</v>
      </c>
      <c r="BV61" s="2" t="n">
        <f aca="false">BN45</f>
        <v>0</v>
      </c>
      <c r="BW61" s="2" t="n">
        <f aca="false">BN43</f>
        <v>0</v>
      </c>
      <c r="BX61" s="2" t="n">
        <f aca="false">BN41</f>
        <v>0</v>
      </c>
      <c r="BY61" s="2" t="n">
        <f aca="false">BN39</f>
        <v>0</v>
      </c>
      <c r="BZ61" s="1" t="n">
        <v>1.24261</v>
      </c>
      <c r="CA61" s="2" t="n">
        <f aca="false">BZ59</f>
        <v>4.42833</v>
      </c>
      <c r="CB61" s="2" t="n">
        <f aca="false">BZ57</f>
        <v>2.66292</v>
      </c>
      <c r="CC61" s="2" t="n">
        <f aca="false">BZ55</f>
        <v>6.05222</v>
      </c>
      <c r="CD61" s="2" t="n">
        <f aca="false">BZ53</f>
        <v>1.99563</v>
      </c>
      <c r="CE61" s="2" t="n">
        <f aca="false">BZ51</f>
        <v>11.11</v>
      </c>
      <c r="CF61" s="2" t="n">
        <f aca="false">BZ49</f>
        <v>2.10773</v>
      </c>
      <c r="CG61" s="2" t="n">
        <f aca="false">BZ47</f>
        <v>1.05688</v>
      </c>
      <c r="CH61" s="2" t="n">
        <f aca="false">BZ45</f>
        <v>1.20909</v>
      </c>
      <c r="CI61" s="2" t="n">
        <f aca="false">BZ43</f>
        <v>3.19833</v>
      </c>
      <c r="CJ61" s="2" t="n">
        <f aca="false">BZ41</f>
        <v>4.69786</v>
      </c>
      <c r="CK61" s="2" t="n">
        <f aca="false">BZ39</f>
        <v>2.61667</v>
      </c>
      <c r="CL61" s="1" t="n">
        <v>0</v>
      </c>
      <c r="CM61" s="2" t="n">
        <f aca="false">CL59</f>
        <v>0</v>
      </c>
      <c r="CN61" s="2" t="n">
        <f aca="false">CL57</f>
        <v>0</v>
      </c>
      <c r="CO61" s="2" t="n">
        <f aca="false">CL55</f>
        <v>0</v>
      </c>
      <c r="CP61" s="2" t="n">
        <f aca="false">CL53</f>
        <v>0</v>
      </c>
      <c r="CQ61" s="2" t="n">
        <f aca="false">CL51</f>
        <v>0</v>
      </c>
      <c r="CR61" s="2" t="n">
        <f aca="false">CL49</f>
        <v>0</v>
      </c>
      <c r="CS61" s="2" t="n">
        <f aca="false">CL47</f>
        <v>0</v>
      </c>
      <c r="CT61" s="2" t="n">
        <f aca="false">CL45</f>
        <v>0</v>
      </c>
      <c r="CU61" s="2" t="n">
        <f aca="false">CL43</f>
        <v>0</v>
      </c>
      <c r="CV61" s="2" t="n">
        <f aca="false">CL41</f>
        <v>0</v>
      </c>
      <c r="CW61" s="2" t="n">
        <f aca="false">CL39</f>
        <v>0</v>
      </c>
      <c r="CX61" s="1" t="n">
        <v>51.1743</v>
      </c>
      <c r="CY61" s="2" t="n">
        <f aca="false">CX59</f>
        <v>77.275</v>
      </c>
      <c r="CZ61" s="2" t="n">
        <f aca="false">CX57</f>
        <v>69.4174</v>
      </c>
      <c r="DA61" s="2" t="n">
        <f aca="false">CX55</f>
        <v>80.6179</v>
      </c>
      <c r="DB61" s="2" t="n">
        <f aca="false">CX53</f>
        <v>63.3847</v>
      </c>
      <c r="DC61" s="2" t="n">
        <f aca="false">CX51</f>
        <v>84.8567</v>
      </c>
      <c r="DD61" s="2" t="n">
        <f aca="false">CX49</f>
        <v>64.6182</v>
      </c>
      <c r="DE61" s="2" t="n">
        <f aca="false">CX47</f>
        <v>46.5839</v>
      </c>
      <c r="DF61" s="2" t="n">
        <f aca="false">CX45</f>
        <v>50.4069</v>
      </c>
      <c r="DG61" s="2" t="n">
        <f aca="false">CX43</f>
        <v>72.6375</v>
      </c>
      <c r="DH61" s="2" t="n">
        <f aca="false">CX41</f>
        <v>77.9832</v>
      </c>
      <c r="DI61" s="2" t="n">
        <f aca="false">CX39</f>
        <v>69.0849</v>
      </c>
      <c r="DJ61" s="1" t="s">
        <v>174</v>
      </c>
      <c r="DK61" s="2" t="str">
        <f aca="false">DJ59</f>
        <v>HH</v>
      </c>
      <c r="DL61" s="2" t="str">
        <f aca="false">DJ57</f>
        <v>HH</v>
      </c>
      <c r="DM61" s="2" t="str">
        <f aca="false">DJ55</f>
        <v>LH</v>
      </c>
      <c r="DN61" s="2" t="str">
        <f aca="false">DJ53</f>
        <v>LH</v>
      </c>
      <c r="DO61" s="2" t="str">
        <f aca="false">DJ51</f>
        <v>HH</v>
      </c>
      <c r="DP61" s="2" t="str">
        <f aca="false">DJ49</f>
        <v>LH</v>
      </c>
      <c r="DQ61" s="2" t="str">
        <f aca="false">DJ47</f>
        <v>LH</v>
      </c>
      <c r="DR61" s="2" t="str">
        <f aca="false">DJ45</f>
        <v>LH</v>
      </c>
      <c r="DS61" s="2" t="str">
        <f aca="false">DJ43</f>
        <v>LH</v>
      </c>
      <c r="DT61" s="2" t="str">
        <f aca="false">DJ41</f>
        <v>HH</v>
      </c>
      <c r="DU61" s="2" t="str">
        <f aca="false">DJ39</f>
        <v>LH</v>
      </c>
      <c r="DV61" s="2" t="n">
        <f aca="false">IFERROR((G61-$F61)/$F61*100,"")</f>
        <v>0.279663540592214</v>
      </c>
      <c r="DW61" s="2" t="n">
        <f aca="false">IFERROR((H61-$F61)/$F61*100,"")</f>
        <v>-1.11822258283092</v>
      </c>
      <c r="DX61" s="2" t="n">
        <f aca="false">IFERROR((I61-$F61)/$F61*100,"")</f>
        <v>-1.49736520692082</v>
      </c>
      <c r="DY61" s="2" t="n">
        <f aca="false">IFERROR((J61-$F61)/$F61*100,"")</f>
        <v>-0.569037620788321</v>
      </c>
      <c r="DZ61" s="2" t="n">
        <f aca="false">IFERROR((K61-$F61)/$F61*100,"")</f>
        <v>-0.517679655772176</v>
      </c>
      <c r="EA61" s="2" t="n">
        <f aca="false">IFERROR((L61-$F61)/$F61*100,"")</f>
        <v>-0.704553595704932</v>
      </c>
      <c r="EB61" s="2" t="n">
        <f aca="false">IFERROR((M61-$F61)/$F61*100,"")</f>
        <v>1.44579145213567</v>
      </c>
      <c r="EC61" s="2" t="n">
        <f aca="false">IFERROR((N61-$F61)/$F61*100,"")</f>
        <v>1.69287073761258</v>
      </c>
      <c r="ED61" s="2" t="n">
        <f aca="false">IFERROR((O61-$F61)/$F61*100,"")</f>
        <v>2.06683440724708</v>
      </c>
      <c r="EE61" s="2" t="n">
        <f aca="false">IFERROR((P61-$F61)/$F61*100,"")</f>
        <v>2.29492419305415</v>
      </c>
      <c r="EF61" s="2" t="n">
        <f aca="false">IFERROR((Q61-$F61)/$F61*100,"")</f>
        <v>1.36551765807679</v>
      </c>
      <c r="EG61" s="2" t="str">
        <f aca="false">IF(DV61="","",IF(AND(ABS(DV61)&lt;=0.25,$E61="Bottom",DK61="LL"),"EQL",IF(AND(ABS(DV61)&lt;=0.25,$E61="Peak",DK61="HH"),"EQH","")))</f>
        <v/>
      </c>
      <c r="EH61" s="2" t="str">
        <f aca="false">IF(DW61="","",IF(AND(ABS(DW61)&lt;=0.25,$E61="Bottom",DL61="LL"),"EQL",IF(AND(ABS(DW61)&lt;=0.25,$E61="Peak",DL61="HH"),"EQH","")))</f>
        <v/>
      </c>
      <c r="EI61" s="2" t="str">
        <f aca="false">IF(DX61="","",IF(AND(ABS(DX61)&lt;=0.25,$E61="Bottom",DM61="LL"),"EQL",IF(AND(ABS(DX61)&lt;=0.25,$E61="Peak",DM61="HH"),"EQH","")))</f>
        <v/>
      </c>
      <c r="EJ61" s="2" t="str">
        <f aca="false">IF(DY61="","",IF(AND(ABS(DY61)&lt;=0.25,$E61="Bottom",DN61="LL"),"EQL",IF(AND(ABS(DY61)&lt;=0.25,$E61="Peak",DN61="HH"),"EQH","")))</f>
        <v/>
      </c>
      <c r="EK61" s="2" t="str">
        <f aca="false">IF(DZ61="","",IF(AND(ABS(DZ61)&lt;=0.25,$E61="Bottom",DO61="LL"),"EQL",IF(AND(ABS(DZ61)&lt;=0.25,$E61="Peak",DO61="HH"),"EQH","")))</f>
        <v/>
      </c>
      <c r="EL61" s="2" t="str">
        <f aca="false">IF(EA61="","",IF(AND(ABS(EA61)&lt;=0.25,$E61="Bottom",DP61="LL"),"EQL",IF(AND(ABS(EA61)&lt;=0.25,$E61="Peak",DP61="HH"),"EQH","")))</f>
        <v/>
      </c>
      <c r="EM61" s="2" t="str">
        <f aca="false">IF(EB61="","",IF(AND(ABS(EB61)&lt;=0.25,$E61="Bottom",DQ61="LL"),"EQL",IF(AND(ABS(EB61)&lt;=0.25,$E61="Peak",DQ61="HH"),"EQH","")))</f>
        <v/>
      </c>
      <c r="EN61" s="2" t="str">
        <f aca="false">IF(EC61="","",IF(AND(ABS(EC61)&lt;=0.25,$E61="Bottom",DR61="LL"),"EQL",IF(AND(ABS(EC61)&lt;=0.25,$E61="Peak",DR61="HH"),"EQH","")))</f>
        <v/>
      </c>
      <c r="EO61" s="2" t="str">
        <f aca="false">IF(ED61="","",IF(AND(ABS(ED61)&lt;=0.25,$E61="Bottom",DS61="LL"),"EQL",IF(AND(ABS(ED61)&lt;=0.25,$E61="Peak",DS61="HH"),"EQH","")))</f>
        <v/>
      </c>
      <c r="EP61" s="2" t="str">
        <f aca="false">IF(EE61="","",IF(AND(ABS(EE61)&lt;=0.25,$E61="Bottom",DT61="LL"),"EQL",IF(AND(ABS(EE61)&lt;=0.25,$E61="Peak",DT61="HH"),"EQH","")))</f>
        <v/>
      </c>
      <c r="EQ61" s="2" t="str">
        <f aca="false">IF(EF61="","",IF(AND(ABS(EF61)&lt;=0.25,$E61="Bottom",DU61="LL"),"EQL",IF(AND(ABS(EF61)&lt;=0.25,$E61="Peak",DU61="HH"),"EQH","")))</f>
        <v/>
      </c>
      <c r="ER61" s="2" t="str">
        <f aca="false">IF(OR(EG61="EQL",EG61="EQH"),G61,"")</f>
        <v/>
      </c>
      <c r="ES61" s="2" t="str">
        <f aca="false">IF(OR(EH61="EQL",EH61="EQH"),H61,"")</f>
        <v/>
      </c>
      <c r="ET61" s="2" t="str">
        <f aca="false">IF(OR(EI61="EQL",EI61="EQH"),I61,"")</f>
        <v/>
      </c>
      <c r="EU61" s="2" t="str">
        <f aca="false">IF(OR(EJ61="EQL",EJ61="EQH"),J61,"")</f>
        <v/>
      </c>
      <c r="EV61" s="2" t="str">
        <f aca="false">IF(OR(EK61="EQL",EK61="EQH"),K61,"")</f>
        <v/>
      </c>
      <c r="EW61" s="2" t="str">
        <f aca="false">IF(OR(EL61="EQL",EL61="EQH"),L61,"")</f>
        <v/>
      </c>
      <c r="EX61" s="2" t="str">
        <f aca="false">IF(OR(EM61="EQL",EM61="EQH"),M61,"")</f>
        <v/>
      </c>
      <c r="EY61" s="2" t="str">
        <f aca="false">IF(OR(EN61="EQL",EN61="EQH"),N61,"")</f>
        <v/>
      </c>
      <c r="EZ61" s="2" t="str">
        <f aca="false">IF(OR(EO61="EQL",EO61="EQH"),O61,"")</f>
        <v/>
      </c>
      <c r="FA61" s="2" t="str">
        <f aca="false">IF(OR(EP61="EQL",EP61="EQH"),P61,"")</f>
        <v/>
      </c>
      <c r="FB61" s="2" t="str">
        <f aca="false">IF(OR(EQ61="EQL",EQ61="EQH"),Q61,"")</f>
        <v/>
      </c>
      <c r="FC61" s="2" t="str">
        <f aca="false">IF(AND(EG61="EQL",OR(AQ61=4,AQ61=5)),"IEQL",IF(AND(EG61="EQH",OR(AQ61=1,AQ61=2)),"IEQH",""))</f>
        <v/>
      </c>
      <c r="FD61" s="2" t="str">
        <f aca="false">IF(AND(EH61="EQL",OR(AR61=4,AR61=5)),"IEQL",IF(AND(EH61="EQH",OR(AR61=1,AR61=2)),"IEQH",""))</f>
        <v/>
      </c>
      <c r="FE61" s="2" t="str">
        <f aca="false">IF(AND(EI61="EQL",OR(AS61=4,AS61=5)),"IEQL",IF(AND(EI61="EQH",OR(AS61=1,AS61=2)),"IEQH",""))</f>
        <v/>
      </c>
      <c r="FF61" s="2" t="str">
        <f aca="false">IF(AND(EJ61="EQL",OR(AT61=4,AT61=5)),"IEQL",IF(AND(EJ61="EQH",OR(AT61=1,AT61=2)),"IEQH",""))</f>
        <v/>
      </c>
      <c r="FG61" s="2" t="str">
        <f aca="false">IF(AND(EK61="EQL",OR(AU61=4,AU61=5)),"IEQL",IF(AND(EK61="EQH",OR(AU61=1,AU61=2)),"IEQH",""))</f>
        <v/>
      </c>
      <c r="FH61" s="2" t="str">
        <f aca="false">IF(AND(EL61="EQL",OR(AV61=4,AV61=5)),"IEQL",IF(AND(EL61="EQH",OR(AV61=1,AV61=2)),"IEQH",""))</f>
        <v/>
      </c>
      <c r="FI61" s="2" t="str">
        <f aca="false">IF(AND(EM61="EQL",OR(AW61=4,AW61=5)),"IEQL",IF(AND(EM61="EQH",OR(AW61=1,AW61=2)),"IEQH",""))</f>
        <v/>
      </c>
      <c r="FJ61" s="2" t="str">
        <f aca="false">IF(AND(EN61="EQL",OR(AX61=4,AX61=5)),"IEQL",IF(AND(EN61="EQH",OR(AX61=1,AX61=2)),"IEQH",""))</f>
        <v/>
      </c>
      <c r="FK61" s="2" t="str">
        <f aca="false">IF(AND(EO61="EQL",OR(AY61=4,AY61=5)),"IEQL",IF(AND(EO61="EQH",OR(AY61=1,AY61=2)),"IEQH",""))</f>
        <v/>
      </c>
      <c r="FL61" s="2" t="str">
        <f aca="false">IF(AND(EP61="EQL",OR(AZ61=4,AZ61=5)),"IEQL",IF(AND(EP61="EQH",OR(AZ61=1,AZ61=2)),"IEQH",""))</f>
        <v/>
      </c>
      <c r="FM61" s="2" t="str">
        <f aca="false">IF(AND(EQ61="EQL",OR(BA61=4,BA61=5)),"IEQL",IF(AND(EQ61="EQH",OR(BA61=1,BA61=2)),"IEQH",""))</f>
        <v/>
      </c>
    </row>
    <row r="62" customFormat="false" ht="14.25" hidden="false" customHeight="false" outlineLevel="0" collapsed="false">
      <c r="A62" s="1" t="n">
        <v>1777598102</v>
      </c>
      <c r="B62" s="1" t="s">
        <v>169</v>
      </c>
      <c r="C62" s="1" t="s">
        <v>170</v>
      </c>
      <c r="D62" s="1" t="n">
        <v>4616.68</v>
      </c>
      <c r="E62" s="1" t="s">
        <v>171</v>
      </c>
      <c r="F62" s="1" t="n">
        <v>4614.27</v>
      </c>
      <c r="G62" s="2" t="n">
        <f aca="false">F60</f>
        <v>4605.56</v>
      </c>
      <c r="H62" s="2" t="n">
        <f aca="false">F58</f>
        <v>4540.82</v>
      </c>
      <c r="I62" s="2" t="n">
        <f aca="false">F56</f>
        <v>4518.41</v>
      </c>
      <c r="J62" s="2" t="n">
        <f aca="false">F54</f>
        <v>4510.28</v>
      </c>
      <c r="K62" s="2" t="n">
        <f aca="false">F52</f>
        <v>4575.84</v>
      </c>
      <c r="L62" s="2" t="n">
        <f aca="false">F50</f>
        <v>4587.93</v>
      </c>
      <c r="M62" s="2" t="n">
        <f aca="false">F48</f>
        <v>4555.12</v>
      </c>
      <c r="N62" s="2" t="n">
        <f aca="false">F46</f>
        <v>4667.32</v>
      </c>
      <c r="O62" s="2" t="n">
        <f aca="false">F44</f>
        <v>4699.29</v>
      </c>
      <c r="P62" s="2" t="n">
        <f aca="false">F42</f>
        <v>4672.35</v>
      </c>
      <c r="Q62" s="2" t="n">
        <f aca="false">F40</f>
        <v>4674.72</v>
      </c>
      <c r="R62" s="1" t="n">
        <v>-19.87</v>
      </c>
      <c r="S62" s="2" t="n">
        <f aca="false">R60</f>
        <v>-41.54</v>
      </c>
      <c r="T62" s="2" t="n">
        <f aca="false">R58</f>
        <v>-41.5</v>
      </c>
      <c r="U62" s="2" t="n">
        <f aca="false">R56</f>
        <v>-46.34</v>
      </c>
      <c r="V62" s="2" t="n">
        <f aca="false">R54</f>
        <v>-97.49</v>
      </c>
      <c r="W62" s="2" t="n">
        <f aca="false">R52</f>
        <v>-34.31</v>
      </c>
      <c r="X62" s="2" t="n">
        <f aca="false">R50</f>
        <v>-13.56</v>
      </c>
      <c r="Y62" s="2" t="n">
        <f aca="false">R48</f>
        <v>-146.02</v>
      </c>
      <c r="Z62" s="2" t="n">
        <f aca="false">R46</f>
        <v>-45.27</v>
      </c>
      <c r="AA62" s="2" t="n">
        <f aca="false">R44</f>
        <v>-30.63</v>
      </c>
      <c r="AB62" s="2" t="n">
        <f aca="false">R42</f>
        <v>-68.14</v>
      </c>
      <c r="AC62" s="2" t="n">
        <f aca="false">R40</f>
        <v>-22.7</v>
      </c>
      <c r="AD62" s="1" t="n">
        <v>-0.43</v>
      </c>
      <c r="AE62" s="2" t="n">
        <f aca="false">AD60</f>
        <v>-0.89</v>
      </c>
      <c r="AF62" s="2" t="n">
        <f aca="false">AD58</f>
        <v>-0.91</v>
      </c>
      <c r="AG62" s="2" t="n">
        <f aca="false">AD56</f>
        <v>-1.02</v>
      </c>
      <c r="AH62" s="2" t="n">
        <f aca="false">AD54</f>
        <v>-2.12</v>
      </c>
      <c r="AI62" s="2" t="n">
        <f aca="false">AD52</f>
        <v>-0.74</v>
      </c>
      <c r="AJ62" s="2" t="n">
        <f aca="false">AD50</f>
        <v>-0.29</v>
      </c>
      <c r="AK62" s="2" t="n">
        <f aca="false">AD48</f>
        <v>-3.11</v>
      </c>
      <c r="AL62" s="2" t="n">
        <f aca="false">AD46</f>
        <v>-0.96</v>
      </c>
      <c r="AM62" s="2" t="n">
        <f aca="false">AD44</f>
        <v>-0.65</v>
      </c>
      <c r="AN62" s="2" t="n">
        <f aca="false">AD42</f>
        <v>-1.44</v>
      </c>
      <c r="AO62" s="2" t="n">
        <f aca="false">AD40</f>
        <v>-0.48</v>
      </c>
      <c r="AP62" s="1" t="n">
        <v>3</v>
      </c>
      <c r="AQ62" s="2" t="n">
        <f aca="false">AP60</f>
        <v>3</v>
      </c>
      <c r="AR62" s="2" t="n">
        <f aca="false">AP58</f>
        <v>3</v>
      </c>
      <c r="AS62" s="2" t="n">
        <f aca="false">AP56</f>
        <v>3</v>
      </c>
      <c r="AT62" s="2" t="n">
        <f aca="false">AP54</f>
        <v>4</v>
      </c>
      <c r="AU62" s="2" t="n">
        <f aca="false">AP52</f>
        <v>3</v>
      </c>
      <c r="AV62" s="2" t="n">
        <f aca="false">AP50</f>
        <v>3</v>
      </c>
      <c r="AW62" s="2" t="n">
        <f aca="false">AP48</f>
        <v>5</v>
      </c>
      <c r="AX62" s="2" t="n">
        <f aca="false">AP46</f>
        <v>3</v>
      </c>
      <c r="AY62" s="2" t="n">
        <f aca="false">AP44</f>
        <v>3</v>
      </c>
      <c r="AZ62" s="2" t="n">
        <f aca="false">AP42</f>
        <v>3</v>
      </c>
      <c r="BA62" s="2" t="n">
        <f aca="false">AP40</f>
        <v>3</v>
      </c>
      <c r="BB62" s="1" t="n">
        <v>7</v>
      </c>
      <c r="BC62" s="2" t="n">
        <f aca="false">BB60</f>
        <v>25</v>
      </c>
      <c r="BD62" s="2" t="n">
        <f aca="false">BB58</f>
        <v>11</v>
      </c>
      <c r="BE62" s="2" t="n">
        <f aca="false">BB56</f>
        <v>11</v>
      </c>
      <c r="BF62" s="2" t="n">
        <f aca="false">BB54</f>
        <v>35</v>
      </c>
      <c r="BG62" s="2" t="n">
        <f aca="false">BB52</f>
        <v>4</v>
      </c>
      <c r="BH62" s="2" t="n">
        <f aca="false">BB50</f>
        <v>20</v>
      </c>
      <c r="BI62" s="2" t="n">
        <f aca="false">BB48</f>
        <v>48</v>
      </c>
      <c r="BJ62" s="2" t="n">
        <f aca="false">BB46</f>
        <v>11</v>
      </c>
      <c r="BK62" s="2" t="n">
        <f aca="false">BB44</f>
        <v>20</v>
      </c>
      <c r="BL62" s="2" t="n">
        <f aca="false">BB42</f>
        <v>36</v>
      </c>
      <c r="BM62" s="2" t="n">
        <f aca="false">BB40</f>
        <v>9</v>
      </c>
      <c r="BN62" s="1" t="n">
        <v>3</v>
      </c>
      <c r="BO62" s="2" t="n">
        <f aca="false">BN60</f>
        <v>3</v>
      </c>
      <c r="BP62" s="2" t="n">
        <f aca="false">BN58</f>
        <v>3</v>
      </c>
      <c r="BQ62" s="2" t="n">
        <f aca="false">BN56</f>
        <v>3</v>
      </c>
      <c r="BR62" s="2" t="n">
        <f aca="false">BN54</f>
        <v>3</v>
      </c>
      <c r="BS62" s="2" t="n">
        <f aca="false">BN52</f>
        <v>3</v>
      </c>
      <c r="BT62" s="2" t="n">
        <f aca="false">BN50</f>
        <v>3</v>
      </c>
      <c r="BU62" s="2" t="n">
        <f aca="false">BN48</f>
        <v>5</v>
      </c>
      <c r="BV62" s="2" t="n">
        <f aca="false">BN46</f>
        <v>3</v>
      </c>
      <c r="BW62" s="2" t="n">
        <f aca="false">BN44</f>
        <v>3</v>
      </c>
      <c r="BX62" s="2" t="n">
        <f aca="false">BN42</f>
        <v>4</v>
      </c>
      <c r="BY62" s="2" t="n">
        <f aca="false">BN40</f>
        <v>3</v>
      </c>
      <c r="BZ62" s="1" t="n">
        <v>-2.83857</v>
      </c>
      <c r="CA62" s="2" t="n">
        <f aca="false">BZ60</f>
        <v>-1.6616</v>
      </c>
      <c r="CB62" s="2" t="n">
        <f aca="false">BZ58</f>
        <v>-3.77273</v>
      </c>
      <c r="CC62" s="2" t="n">
        <f aca="false">BZ56</f>
        <v>-4.21273</v>
      </c>
      <c r="CD62" s="2" t="n">
        <f aca="false">BZ54</f>
        <v>-2.78543</v>
      </c>
      <c r="CE62" s="2" t="n">
        <f aca="false">BZ52</f>
        <v>-8.5775</v>
      </c>
      <c r="CF62" s="2" t="n">
        <f aca="false">BZ50</f>
        <v>-0.678</v>
      </c>
      <c r="CG62" s="2" t="n">
        <f aca="false">BZ48</f>
        <v>-3.04208</v>
      </c>
      <c r="CH62" s="2" t="n">
        <f aca="false">BZ46</f>
        <v>-4.11545</v>
      </c>
      <c r="CI62" s="2" t="n">
        <f aca="false">BZ44</f>
        <v>-1.5315</v>
      </c>
      <c r="CJ62" s="2" t="n">
        <f aca="false">BZ42</f>
        <v>-1.89278</v>
      </c>
      <c r="CK62" s="2" t="n">
        <f aca="false">BZ40</f>
        <v>-2.52222</v>
      </c>
      <c r="CL62" s="1" t="n">
        <v>3</v>
      </c>
      <c r="CM62" s="2" t="n">
        <f aca="false">CL60</f>
        <v>3</v>
      </c>
      <c r="CN62" s="2" t="n">
        <f aca="false">CL58</f>
        <v>3</v>
      </c>
      <c r="CO62" s="2" t="n">
        <f aca="false">CL56</f>
        <v>3</v>
      </c>
      <c r="CP62" s="2" t="n">
        <f aca="false">CL54</f>
        <v>3</v>
      </c>
      <c r="CQ62" s="2" t="n">
        <f aca="false">CL52</f>
        <v>3</v>
      </c>
      <c r="CR62" s="2" t="n">
        <f aca="false">CL50</f>
        <v>3</v>
      </c>
      <c r="CS62" s="2" t="n">
        <f aca="false">CL48</f>
        <v>3</v>
      </c>
      <c r="CT62" s="2" t="n">
        <f aca="false">CL46</f>
        <v>3</v>
      </c>
      <c r="CU62" s="2" t="n">
        <f aca="false">CL44</f>
        <v>3</v>
      </c>
      <c r="CV62" s="2" t="n">
        <f aca="false">CL42</f>
        <v>3</v>
      </c>
      <c r="CW62" s="2" t="n">
        <f aca="false">CL40</f>
        <v>3</v>
      </c>
      <c r="CX62" s="1" t="n">
        <v>-70.5932</v>
      </c>
      <c r="CY62" s="2" t="n">
        <f aca="false">CX60</f>
        <v>-58.9592</v>
      </c>
      <c r="CZ62" s="2" t="n">
        <f aca="false">CX58</f>
        <v>-75.1545</v>
      </c>
      <c r="DA62" s="2" t="n">
        <f aca="false">CX56</f>
        <v>-76.6465</v>
      </c>
      <c r="DB62" s="2" t="n">
        <f aca="false">CX54</f>
        <v>-70.2513</v>
      </c>
      <c r="DC62" s="2" t="n">
        <f aca="false">CX52</f>
        <v>-83.3502</v>
      </c>
      <c r="DD62" s="2" t="n">
        <f aca="false">CX50</f>
        <v>-34.1373</v>
      </c>
      <c r="DE62" s="2" t="n">
        <f aca="false">CX48</f>
        <v>-71.8032</v>
      </c>
      <c r="DF62" s="2" t="n">
        <f aca="false">CX46</f>
        <v>-76.3426</v>
      </c>
      <c r="DG62" s="2" t="n">
        <f aca="false">CX44</f>
        <v>-56.8573</v>
      </c>
      <c r="DH62" s="2" t="n">
        <f aca="false">CX42</f>
        <v>-62.1514</v>
      </c>
      <c r="DI62" s="2" t="n">
        <f aca="false">CX40</f>
        <v>-68.3729</v>
      </c>
      <c r="DJ62" s="1" t="s">
        <v>175</v>
      </c>
      <c r="DK62" s="2" t="str">
        <f aca="false">DJ60</f>
        <v>HL</v>
      </c>
      <c r="DL62" s="2" t="str">
        <f aca="false">DJ58</f>
        <v>HL</v>
      </c>
      <c r="DM62" s="2" t="str">
        <f aca="false">DJ56</f>
        <v>HL</v>
      </c>
      <c r="DN62" s="2" t="str">
        <f aca="false">DJ54</f>
        <v>LL</v>
      </c>
      <c r="DO62" s="2" t="str">
        <f aca="false">DJ52</f>
        <v>LL</v>
      </c>
      <c r="DP62" s="2" t="str">
        <f aca="false">DJ50</f>
        <v>HL</v>
      </c>
      <c r="DQ62" s="2" t="str">
        <f aca="false">DJ48</f>
        <v>LL</v>
      </c>
      <c r="DR62" s="2" t="str">
        <f aca="false">DJ46</f>
        <v>LL</v>
      </c>
      <c r="DS62" s="2" t="str">
        <f aca="false">DJ44</f>
        <v>HL</v>
      </c>
      <c r="DT62" s="2" t="str">
        <f aca="false">DJ42</f>
        <v>LL</v>
      </c>
      <c r="DU62" s="2" t="str">
        <f aca="false">DJ40</f>
        <v>HL</v>
      </c>
      <c r="DV62" s="2" t="n">
        <f aca="false">IFERROR((G62-$F62)/$F62*100,"")</f>
        <v>-0.188762252750707</v>
      </c>
      <c r="DW62" s="2" t="n">
        <f aca="false">IFERROR((H62-$F62)/$F62*100,"")</f>
        <v>-1.5918010866291</v>
      </c>
      <c r="DX62" s="2" t="n">
        <f aca="false">IFERROR((I62-$F62)/$F62*100,"")</f>
        <v>-2.07746837527931</v>
      </c>
      <c r="DY62" s="2" t="n">
        <f aca="false">IFERROR((J62-$F62)/$F62*100,"")</f>
        <v>-2.25366092578026</v>
      </c>
      <c r="DZ62" s="2" t="n">
        <f aca="false">IFERROR((K62-$F62)/$F62*100,"")</f>
        <v>-0.832851133548758</v>
      </c>
      <c r="EA62" s="2" t="n">
        <f aca="false">IFERROR((L62-$F62)/$F62*100,"")</f>
        <v>-0.570837857342551</v>
      </c>
      <c r="EB62" s="2" t="n">
        <f aca="false">IFERROR((M62-$F62)/$F62*100,"")</f>
        <v>-1.28189291047122</v>
      </c>
      <c r="EC62" s="2" t="n">
        <f aca="false">IFERROR((N62-$F62)/$F62*100,"")</f>
        <v>1.14969431784441</v>
      </c>
      <c r="ED62" s="2" t="n">
        <f aca="false">IFERROR((O62-$F62)/$F62*100,"")</f>
        <v>1.84254497461136</v>
      </c>
      <c r="EE62" s="2" t="n">
        <f aca="false">IFERROR((P62-$F62)/$F62*100,"")</f>
        <v>1.25870397701045</v>
      </c>
      <c r="EF62" s="2" t="n">
        <f aca="false">IFERROR((Q62-$F62)/$F62*100,"")</f>
        <v>1.31006638103102</v>
      </c>
      <c r="EG62" s="2" t="str">
        <f aca="false">IF(DV62="","",IF(AND(ABS(DV62)&lt;=0.25,$E62="Bottom",DK62="LL"),"EQL",IF(AND(ABS(DV62)&lt;=0.25,$E62="Peak",DK62="HH"),"EQH","")))</f>
        <v/>
      </c>
      <c r="EH62" s="2" t="str">
        <f aca="false">IF(DW62="","",IF(AND(ABS(DW62)&lt;=0.25,$E62="Bottom",DL62="LL"),"EQL",IF(AND(ABS(DW62)&lt;=0.25,$E62="Peak",DL62="HH"),"EQH","")))</f>
        <v/>
      </c>
      <c r="EI62" s="2" t="str">
        <f aca="false">IF(DX62="","",IF(AND(ABS(DX62)&lt;=0.25,$E62="Bottom",DM62="LL"),"EQL",IF(AND(ABS(DX62)&lt;=0.25,$E62="Peak",DM62="HH"),"EQH","")))</f>
        <v/>
      </c>
      <c r="EJ62" s="2" t="str">
        <f aca="false">IF(DY62="","",IF(AND(ABS(DY62)&lt;=0.25,$E62="Bottom",DN62="LL"),"EQL",IF(AND(ABS(DY62)&lt;=0.25,$E62="Peak",DN62="HH"),"EQH","")))</f>
        <v/>
      </c>
      <c r="EK62" s="2" t="str">
        <f aca="false">IF(DZ62="","",IF(AND(ABS(DZ62)&lt;=0.25,$E62="Bottom",DO62="LL"),"EQL",IF(AND(ABS(DZ62)&lt;=0.25,$E62="Peak",DO62="HH"),"EQH","")))</f>
        <v/>
      </c>
      <c r="EL62" s="2" t="str">
        <f aca="false">IF(EA62="","",IF(AND(ABS(EA62)&lt;=0.25,$E62="Bottom",DP62="LL"),"EQL",IF(AND(ABS(EA62)&lt;=0.25,$E62="Peak",DP62="HH"),"EQH","")))</f>
        <v/>
      </c>
      <c r="EM62" s="2" t="str">
        <f aca="false">IF(EB62="","",IF(AND(ABS(EB62)&lt;=0.25,$E62="Bottom",DQ62="LL"),"EQL",IF(AND(ABS(EB62)&lt;=0.25,$E62="Peak",DQ62="HH"),"EQH","")))</f>
        <v/>
      </c>
      <c r="EN62" s="2" t="str">
        <f aca="false">IF(EC62="","",IF(AND(ABS(EC62)&lt;=0.25,$E62="Bottom",DR62="LL"),"EQL",IF(AND(ABS(EC62)&lt;=0.25,$E62="Peak",DR62="HH"),"EQH","")))</f>
        <v/>
      </c>
      <c r="EO62" s="2" t="str">
        <f aca="false">IF(ED62="","",IF(AND(ABS(ED62)&lt;=0.25,$E62="Bottom",DS62="LL"),"EQL",IF(AND(ABS(ED62)&lt;=0.25,$E62="Peak",DS62="HH"),"EQH","")))</f>
        <v/>
      </c>
      <c r="EP62" s="2" t="str">
        <f aca="false">IF(EE62="","",IF(AND(ABS(EE62)&lt;=0.25,$E62="Bottom",DT62="LL"),"EQL",IF(AND(ABS(EE62)&lt;=0.25,$E62="Peak",DT62="HH"),"EQH","")))</f>
        <v/>
      </c>
      <c r="EQ62" s="2" t="str">
        <f aca="false">IF(EF62="","",IF(AND(ABS(EF62)&lt;=0.25,$E62="Bottom",DU62="LL"),"EQL",IF(AND(ABS(EF62)&lt;=0.25,$E62="Peak",DU62="HH"),"EQH","")))</f>
        <v/>
      </c>
      <c r="ER62" s="2" t="str">
        <f aca="false">IF(OR(EG62="EQL",EG62="EQH"),G62,"")</f>
        <v/>
      </c>
      <c r="ES62" s="2" t="str">
        <f aca="false">IF(OR(EH62="EQL",EH62="EQH"),H62,"")</f>
        <v/>
      </c>
      <c r="ET62" s="2" t="str">
        <f aca="false">IF(OR(EI62="EQL",EI62="EQH"),I62,"")</f>
        <v/>
      </c>
      <c r="EU62" s="2" t="str">
        <f aca="false">IF(OR(EJ62="EQL",EJ62="EQH"),J62,"")</f>
        <v/>
      </c>
      <c r="EV62" s="2" t="str">
        <f aca="false">IF(OR(EK62="EQL",EK62="EQH"),K62,"")</f>
        <v/>
      </c>
      <c r="EW62" s="2" t="str">
        <f aca="false">IF(OR(EL62="EQL",EL62="EQH"),L62,"")</f>
        <v/>
      </c>
      <c r="EX62" s="2" t="str">
        <f aca="false">IF(OR(EM62="EQL",EM62="EQH"),M62,"")</f>
        <v/>
      </c>
      <c r="EY62" s="2" t="str">
        <f aca="false">IF(OR(EN62="EQL",EN62="EQH"),N62,"")</f>
        <v/>
      </c>
      <c r="EZ62" s="2" t="str">
        <f aca="false">IF(OR(EO62="EQL",EO62="EQH"),O62,"")</f>
        <v/>
      </c>
      <c r="FA62" s="2" t="str">
        <f aca="false">IF(OR(EP62="EQL",EP62="EQH"),P62,"")</f>
        <v/>
      </c>
      <c r="FB62" s="2" t="str">
        <f aca="false">IF(OR(EQ62="EQL",EQ62="EQH"),Q62,"")</f>
        <v/>
      </c>
      <c r="FC62" s="2" t="str">
        <f aca="false">IF(AND(EG62="EQL",OR(AQ62=4,AQ62=5)),"IEQL",IF(AND(EG62="EQH",OR(AQ62=1,AQ62=2)),"IEQH",""))</f>
        <v/>
      </c>
      <c r="FD62" s="2" t="str">
        <f aca="false">IF(AND(EH62="EQL",OR(AR62=4,AR62=5)),"IEQL",IF(AND(EH62="EQH",OR(AR62=1,AR62=2)),"IEQH",""))</f>
        <v/>
      </c>
      <c r="FE62" s="2" t="str">
        <f aca="false">IF(AND(EI62="EQL",OR(AS62=4,AS62=5)),"IEQL",IF(AND(EI62="EQH",OR(AS62=1,AS62=2)),"IEQH",""))</f>
        <v/>
      </c>
      <c r="FF62" s="2" t="str">
        <f aca="false">IF(AND(EJ62="EQL",OR(AT62=4,AT62=5)),"IEQL",IF(AND(EJ62="EQH",OR(AT62=1,AT62=2)),"IEQH",""))</f>
        <v/>
      </c>
      <c r="FG62" s="2" t="str">
        <f aca="false">IF(AND(EK62="EQL",OR(AU62=4,AU62=5)),"IEQL",IF(AND(EK62="EQH",OR(AU62=1,AU62=2)),"IEQH",""))</f>
        <v/>
      </c>
      <c r="FH62" s="2" t="str">
        <f aca="false">IF(AND(EL62="EQL",OR(AV62=4,AV62=5)),"IEQL",IF(AND(EL62="EQH",OR(AV62=1,AV62=2)),"IEQH",""))</f>
        <v/>
      </c>
      <c r="FI62" s="2" t="str">
        <f aca="false">IF(AND(EM62="EQL",OR(AW62=4,AW62=5)),"IEQL",IF(AND(EM62="EQH",OR(AW62=1,AW62=2)),"IEQH",""))</f>
        <v/>
      </c>
      <c r="FJ62" s="2" t="str">
        <f aca="false">IF(AND(EN62="EQL",OR(AX62=4,AX62=5)),"IEQL",IF(AND(EN62="EQH",OR(AX62=1,AX62=2)),"IEQH",""))</f>
        <v/>
      </c>
      <c r="FK62" s="2" t="str">
        <f aca="false">IF(AND(EO62="EQL",OR(AY62=4,AY62=5)),"IEQL",IF(AND(EO62="EQH",OR(AY62=1,AY62=2)),"IEQH",""))</f>
        <v/>
      </c>
      <c r="FL62" s="2" t="str">
        <f aca="false">IF(AND(EP62="EQL",OR(AZ62=4,AZ62=5)),"IEQL",IF(AND(EP62="EQH",OR(AZ62=1,AZ62=2)),"IEQH",""))</f>
        <v/>
      </c>
      <c r="FM62" s="2" t="str">
        <f aca="false">IF(AND(EQ62="EQL",OR(BA62=4,BA62=5)),"IEQL",IF(AND(EQ62="EQH",OR(BA62=1,BA62=2)),"IEQH",""))</f>
        <v/>
      </c>
    </row>
    <row r="63" customFormat="false" ht="14.25" hidden="false" customHeight="false" outlineLevel="0" collapsed="false">
      <c r="A63" s="1" t="n">
        <v>1777601702</v>
      </c>
      <c r="B63" s="1" t="s">
        <v>169</v>
      </c>
      <c r="C63" s="1" t="s">
        <v>170</v>
      </c>
      <c r="D63" s="1" t="n">
        <v>4629.39</v>
      </c>
      <c r="E63" s="1" t="s">
        <v>173</v>
      </c>
      <c r="F63" s="1" t="n">
        <v>4635.83</v>
      </c>
      <c r="G63" s="2" t="n">
        <f aca="false">F61</f>
        <v>4634.14</v>
      </c>
      <c r="H63" s="2" t="n">
        <f aca="false">F59</f>
        <v>4647.1</v>
      </c>
      <c r="I63" s="2" t="n">
        <f aca="false">F57</f>
        <v>4582.32</v>
      </c>
      <c r="J63" s="2" t="n">
        <f aca="false">F55</f>
        <v>4564.75</v>
      </c>
      <c r="K63" s="2" t="n">
        <f aca="false">F53</f>
        <v>4607.77</v>
      </c>
      <c r="L63" s="2" t="n">
        <f aca="false">F51</f>
        <v>4610.15</v>
      </c>
      <c r="M63" s="2" t="n">
        <f aca="false">F49</f>
        <v>4601.49</v>
      </c>
      <c r="N63" s="2" t="n">
        <f aca="false">F47</f>
        <v>4701.14</v>
      </c>
      <c r="O63" s="2" t="n">
        <f aca="false">F45</f>
        <v>4712.59</v>
      </c>
      <c r="P63" s="2" t="n">
        <f aca="false">F43</f>
        <v>4729.92</v>
      </c>
      <c r="Q63" s="2" t="n">
        <f aca="false">F41</f>
        <v>4740.49</v>
      </c>
      <c r="R63" s="1" t="n">
        <v>21.56</v>
      </c>
      <c r="S63" s="2" t="n">
        <f aca="false">R61</f>
        <v>28.58</v>
      </c>
      <c r="T63" s="2" t="n">
        <f aca="false">R59</f>
        <v>106.28</v>
      </c>
      <c r="U63" s="2" t="n">
        <f aca="false">R57</f>
        <v>63.91</v>
      </c>
      <c r="V63" s="2" t="n">
        <f aca="false">R55</f>
        <v>54.47</v>
      </c>
      <c r="W63" s="2" t="n">
        <f aca="false">R53</f>
        <v>31.93</v>
      </c>
      <c r="X63" s="2" t="n">
        <f aca="false">R51</f>
        <v>22.22</v>
      </c>
      <c r="Y63" s="2" t="n">
        <f aca="false">R49</f>
        <v>46.37</v>
      </c>
      <c r="Z63" s="2" t="n">
        <f aca="false">R47</f>
        <v>33.82</v>
      </c>
      <c r="AA63" s="2" t="n">
        <f aca="false">R45</f>
        <v>13.3</v>
      </c>
      <c r="AB63" s="2" t="n">
        <f aca="false">R43</f>
        <v>57.57</v>
      </c>
      <c r="AC63" s="2" t="n">
        <f aca="false">R41</f>
        <v>65.77</v>
      </c>
      <c r="AD63" s="1" t="n">
        <v>0.47</v>
      </c>
      <c r="AE63" s="2" t="n">
        <f aca="false">AD61</f>
        <v>0.62</v>
      </c>
      <c r="AF63" s="2" t="n">
        <f aca="false">AD59</f>
        <v>2.34</v>
      </c>
      <c r="AG63" s="2" t="n">
        <f aca="false">AD57</f>
        <v>1.41</v>
      </c>
      <c r="AH63" s="2" t="n">
        <f aca="false">AD55</f>
        <v>1.21</v>
      </c>
      <c r="AI63" s="2" t="n">
        <f aca="false">AD53</f>
        <v>0.7</v>
      </c>
      <c r="AJ63" s="2" t="n">
        <f aca="false">AD51</f>
        <v>0.48</v>
      </c>
      <c r="AK63" s="2" t="n">
        <f aca="false">AD49</f>
        <v>1.02</v>
      </c>
      <c r="AL63" s="2" t="n">
        <f aca="false">AD47</f>
        <v>0.72</v>
      </c>
      <c r="AM63" s="2" t="n">
        <f aca="false">AD45</f>
        <v>0.28</v>
      </c>
      <c r="AN63" s="2" t="n">
        <f aca="false">AD43</f>
        <v>1.23</v>
      </c>
      <c r="AO63" s="2" t="n">
        <f aca="false">AD41</f>
        <v>1.41</v>
      </c>
      <c r="AP63" s="1" t="n">
        <v>0</v>
      </c>
      <c r="AQ63" s="2" t="n">
        <f aca="false">AP61</f>
        <v>0</v>
      </c>
      <c r="AR63" s="2" t="n">
        <f aca="false">AP59</f>
        <v>1</v>
      </c>
      <c r="AS63" s="2" t="n">
        <f aca="false">AP57</f>
        <v>0</v>
      </c>
      <c r="AT63" s="2" t="n">
        <f aca="false">AP55</f>
        <v>0</v>
      </c>
      <c r="AU63" s="2" t="n">
        <f aca="false">AP53</f>
        <v>0</v>
      </c>
      <c r="AV63" s="2" t="n">
        <f aca="false">AP51</f>
        <v>0</v>
      </c>
      <c r="AW63" s="2" t="n">
        <f aca="false">AP49</f>
        <v>0</v>
      </c>
      <c r="AX63" s="2" t="n">
        <f aca="false">AP47</f>
        <v>0</v>
      </c>
      <c r="AY63" s="2" t="n">
        <f aca="false">AP45</f>
        <v>0</v>
      </c>
      <c r="AZ63" s="2" t="n">
        <f aca="false">AP43</f>
        <v>0</v>
      </c>
      <c r="BA63" s="2" t="n">
        <f aca="false">AP41</f>
        <v>0</v>
      </c>
      <c r="BB63" s="1" t="n">
        <v>4</v>
      </c>
      <c r="BC63" s="2" t="n">
        <f aca="false">BB61</f>
        <v>23</v>
      </c>
      <c r="BD63" s="2" t="n">
        <f aca="false">BB59</f>
        <v>24</v>
      </c>
      <c r="BE63" s="2" t="n">
        <f aca="false">BB57</f>
        <v>24</v>
      </c>
      <c r="BF63" s="2" t="n">
        <f aca="false">BB55</f>
        <v>9</v>
      </c>
      <c r="BG63" s="2" t="n">
        <f aca="false">BB53</f>
        <v>16</v>
      </c>
      <c r="BH63" s="2" t="n">
        <f aca="false">BB51</f>
        <v>2</v>
      </c>
      <c r="BI63" s="2" t="n">
        <f aca="false">BB49</f>
        <v>22</v>
      </c>
      <c r="BJ63" s="2" t="n">
        <f aca="false">BB47</f>
        <v>32</v>
      </c>
      <c r="BK63" s="2" t="n">
        <f aca="false">BB45</f>
        <v>11</v>
      </c>
      <c r="BL63" s="2" t="n">
        <f aca="false">BB43</f>
        <v>18</v>
      </c>
      <c r="BM63" s="2" t="n">
        <f aca="false">BB41</f>
        <v>14</v>
      </c>
      <c r="BN63" s="1" t="n">
        <v>0</v>
      </c>
      <c r="BO63" s="2" t="n">
        <f aca="false">BN61</f>
        <v>0</v>
      </c>
      <c r="BP63" s="2" t="n">
        <f aca="false">BN59</f>
        <v>0</v>
      </c>
      <c r="BQ63" s="2" t="n">
        <f aca="false">BN57</f>
        <v>0</v>
      </c>
      <c r="BR63" s="2" t="n">
        <f aca="false">BN55</f>
        <v>0</v>
      </c>
      <c r="BS63" s="2" t="n">
        <f aca="false">BN53</f>
        <v>0</v>
      </c>
      <c r="BT63" s="2" t="n">
        <f aca="false">BN51</f>
        <v>0</v>
      </c>
      <c r="BU63" s="2" t="n">
        <f aca="false">BN49</f>
        <v>0</v>
      </c>
      <c r="BV63" s="2" t="n">
        <f aca="false">BN47</f>
        <v>0</v>
      </c>
      <c r="BW63" s="2" t="n">
        <f aca="false">BN45</f>
        <v>0</v>
      </c>
      <c r="BX63" s="2" t="n">
        <f aca="false">BN43</f>
        <v>0</v>
      </c>
      <c r="BY63" s="2" t="n">
        <f aca="false">BN41</f>
        <v>0</v>
      </c>
      <c r="BZ63" s="1" t="n">
        <v>5.39</v>
      </c>
      <c r="CA63" s="2" t="n">
        <f aca="false">BZ61</f>
        <v>1.24261</v>
      </c>
      <c r="CB63" s="2" t="n">
        <f aca="false">BZ59</f>
        <v>4.42833</v>
      </c>
      <c r="CC63" s="2" t="n">
        <f aca="false">BZ57</f>
        <v>2.66292</v>
      </c>
      <c r="CD63" s="2" t="n">
        <f aca="false">BZ55</f>
        <v>6.05222</v>
      </c>
      <c r="CE63" s="2" t="n">
        <f aca="false">BZ53</f>
        <v>1.99563</v>
      </c>
      <c r="CF63" s="2" t="n">
        <f aca="false">BZ51</f>
        <v>11.11</v>
      </c>
      <c r="CG63" s="2" t="n">
        <f aca="false">BZ49</f>
        <v>2.10773</v>
      </c>
      <c r="CH63" s="2" t="n">
        <f aca="false">BZ47</f>
        <v>1.05688</v>
      </c>
      <c r="CI63" s="2" t="n">
        <f aca="false">BZ45</f>
        <v>1.20909</v>
      </c>
      <c r="CJ63" s="2" t="n">
        <f aca="false">BZ43</f>
        <v>3.19833</v>
      </c>
      <c r="CK63" s="2" t="n">
        <f aca="false">BZ41</f>
        <v>4.69786</v>
      </c>
      <c r="CL63" s="1" t="n">
        <v>0</v>
      </c>
      <c r="CM63" s="2" t="n">
        <f aca="false">CL61</f>
        <v>0</v>
      </c>
      <c r="CN63" s="2" t="n">
        <f aca="false">CL59</f>
        <v>0</v>
      </c>
      <c r="CO63" s="2" t="n">
        <f aca="false">CL57</f>
        <v>0</v>
      </c>
      <c r="CP63" s="2" t="n">
        <f aca="false">CL55</f>
        <v>0</v>
      </c>
      <c r="CQ63" s="2" t="n">
        <f aca="false">CL53</f>
        <v>0</v>
      </c>
      <c r="CR63" s="2" t="n">
        <f aca="false">CL51</f>
        <v>0</v>
      </c>
      <c r="CS63" s="2" t="n">
        <f aca="false">CL49</f>
        <v>0</v>
      </c>
      <c r="CT63" s="2" t="n">
        <f aca="false">CL47</f>
        <v>0</v>
      </c>
      <c r="CU63" s="2" t="n">
        <f aca="false">CL45</f>
        <v>0</v>
      </c>
      <c r="CV63" s="2" t="n">
        <f aca="false">CL43</f>
        <v>0</v>
      </c>
      <c r="CW63" s="2" t="n">
        <f aca="false">CL41</f>
        <v>0</v>
      </c>
      <c r="CX63" s="1" t="n">
        <v>79.4895</v>
      </c>
      <c r="CY63" s="2" t="n">
        <f aca="false">CX61</f>
        <v>51.1743</v>
      </c>
      <c r="CZ63" s="2" t="n">
        <f aca="false">CX59</f>
        <v>77.275</v>
      </c>
      <c r="DA63" s="2" t="n">
        <f aca="false">CX57</f>
        <v>69.4174</v>
      </c>
      <c r="DB63" s="2" t="n">
        <f aca="false">CX55</f>
        <v>80.6179</v>
      </c>
      <c r="DC63" s="2" t="n">
        <f aca="false">CX53</f>
        <v>63.3847</v>
      </c>
      <c r="DD63" s="2" t="n">
        <f aca="false">CX51</f>
        <v>84.8567</v>
      </c>
      <c r="DE63" s="2" t="n">
        <f aca="false">CX49</f>
        <v>64.6182</v>
      </c>
      <c r="DF63" s="2" t="n">
        <f aca="false">CX47</f>
        <v>46.5839</v>
      </c>
      <c r="DG63" s="2" t="n">
        <f aca="false">CX45</f>
        <v>50.4069</v>
      </c>
      <c r="DH63" s="2" t="n">
        <f aca="false">CX43</f>
        <v>72.6375</v>
      </c>
      <c r="DI63" s="2" t="n">
        <f aca="false">CX41</f>
        <v>77.9832</v>
      </c>
      <c r="DJ63" s="1" t="s">
        <v>176</v>
      </c>
      <c r="DK63" s="2" t="str">
        <f aca="false">DJ61</f>
        <v>LH</v>
      </c>
      <c r="DL63" s="2" t="str">
        <f aca="false">DJ59</f>
        <v>HH</v>
      </c>
      <c r="DM63" s="2" t="str">
        <f aca="false">DJ57</f>
        <v>HH</v>
      </c>
      <c r="DN63" s="2" t="str">
        <f aca="false">DJ55</f>
        <v>LH</v>
      </c>
      <c r="DO63" s="2" t="str">
        <f aca="false">DJ53</f>
        <v>LH</v>
      </c>
      <c r="DP63" s="2" t="str">
        <f aca="false">DJ51</f>
        <v>HH</v>
      </c>
      <c r="DQ63" s="2" t="str">
        <f aca="false">DJ49</f>
        <v>LH</v>
      </c>
      <c r="DR63" s="2" t="str">
        <f aca="false">DJ47</f>
        <v>LH</v>
      </c>
      <c r="DS63" s="2" t="str">
        <f aca="false">DJ45</f>
        <v>LH</v>
      </c>
      <c r="DT63" s="2" t="str">
        <f aca="false">DJ43</f>
        <v>LH</v>
      </c>
      <c r="DU63" s="2" t="str">
        <f aca="false">DJ41</f>
        <v>HH</v>
      </c>
      <c r="DV63" s="2" t="n">
        <f aca="false">IFERROR((G63-$F63)/$F63*100,"")</f>
        <v>-0.0364551763114609</v>
      </c>
      <c r="DW63" s="2" t="n">
        <f aca="false">IFERROR((H63-$F63)/$F63*100,"")</f>
        <v>0.243106412443951</v>
      </c>
      <c r="DX63" s="2" t="n">
        <f aca="false">IFERROR((I63-$F63)/$F63*100,"")</f>
        <v>-1.15427010912825</v>
      </c>
      <c r="DY63" s="2" t="n">
        <f aca="false">IFERROR((J63-$F63)/$F63*100,"")</f>
        <v>-1.53327451610607</v>
      </c>
      <c r="DZ63" s="2" t="n">
        <f aca="false">IFERROR((K63-$F63)/$F63*100,"")</f>
        <v>-0.605285353431845</v>
      </c>
      <c r="EA63" s="2" t="n">
        <f aca="false">IFERROR((L63-$F63)/$F63*100,"")</f>
        <v>-0.553946111052396</v>
      </c>
      <c r="EB63" s="2" t="n">
        <f aca="false">IFERROR((M63-$F63)/$F63*100,"")</f>
        <v>-0.74075192576087</v>
      </c>
      <c r="EC63" s="2" t="n">
        <f aca="false">IFERROR((N63-$F63)/$F63*100,"")</f>
        <v>1.40880921000124</v>
      </c>
      <c r="ED63" s="2" t="n">
        <f aca="false">IFERROR((O63-$F63)/$F63*100,"")</f>
        <v>1.655798422289</v>
      </c>
      <c r="EE63" s="2" t="n">
        <f aca="false">IFERROR((P63-$F63)/$F63*100,"")</f>
        <v>2.02962576280839</v>
      </c>
      <c r="EF63" s="2" t="n">
        <f aca="false">IFERROR((Q63-$F63)/$F63*100,"")</f>
        <v>2.25763239808189</v>
      </c>
      <c r="EG63" s="2" t="str">
        <f aca="false">IF(DV63="","",IF(AND(ABS(DV63)&lt;=0.25,$E63="Bottom",DK63="LL"),"EQL",IF(AND(ABS(DV63)&lt;=0.25,$E63="Peak",DK63="HH"),"EQH","")))</f>
        <v/>
      </c>
      <c r="EH63" s="2" t="str">
        <f aca="false">IF(DW63="","",IF(AND(ABS(DW63)&lt;=0.25,$E63="Bottom",DL63="LL"),"EQL",IF(AND(ABS(DW63)&lt;=0.25,$E63="Peak",DL63="HH"),"EQH","")))</f>
        <v>EQH</v>
      </c>
      <c r="EI63" s="2" t="str">
        <f aca="false">IF(DX63="","",IF(AND(ABS(DX63)&lt;=0.25,$E63="Bottom",DM63="LL"),"EQL",IF(AND(ABS(DX63)&lt;=0.25,$E63="Peak",DM63="HH"),"EQH","")))</f>
        <v/>
      </c>
      <c r="EJ63" s="2" t="str">
        <f aca="false">IF(DY63="","",IF(AND(ABS(DY63)&lt;=0.25,$E63="Bottom",DN63="LL"),"EQL",IF(AND(ABS(DY63)&lt;=0.25,$E63="Peak",DN63="HH"),"EQH","")))</f>
        <v/>
      </c>
      <c r="EK63" s="2" t="str">
        <f aca="false">IF(DZ63="","",IF(AND(ABS(DZ63)&lt;=0.25,$E63="Bottom",DO63="LL"),"EQL",IF(AND(ABS(DZ63)&lt;=0.25,$E63="Peak",DO63="HH"),"EQH","")))</f>
        <v/>
      </c>
      <c r="EL63" s="2" t="str">
        <f aca="false">IF(EA63="","",IF(AND(ABS(EA63)&lt;=0.25,$E63="Bottom",DP63="LL"),"EQL",IF(AND(ABS(EA63)&lt;=0.25,$E63="Peak",DP63="HH"),"EQH","")))</f>
        <v/>
      </c>
      <c r="EM63" s="2" t="str">
        <f aca="false">IF(EB63="","",IF(AND(ABS(EB63)&lt;=0.25,$E63="Bottom",DQ63="LL"),"EQL",IF(AND(ABS(EB63)&lt;=0.25,$E63="Peak",DQ63="HH"),"EQH","")))</f>
        <v/>
      </c>
      <c r="EN63" s="2" t="str">
        <f aca="false">IF(EC63="","",IF(AND(ABS(EC63)&lt;=0.25,$E63="Bottom",DR63="LL"),"EQL",IF(AND(ABS(EC63)&lt;=0.25,$E63="Peak",DR63="HH"),"EQH","")))</f>
        <v/>
      </c>
      <c r="EO63" s="2" t="str">
        <f aca="false">IF(ED63="","",IF(AND(ABS(ED63)&lt;=0.25,$E63="Bottom",DS63="LL"),"EQL",IF(AND(ABS(ED63)&lt;=0.25,$E63="Peak",DS63="HH"),"EQH","")))</f>
        <v/>
      </c>
      <c r="EP63" s="2" t="str">
        <f aca="false">IF(EE63="","",IF(AND(ABS(EE63)&lt;=0.25,$E63="Bottom",DT63="LL"),"EQL",IF(AND(ABS(EE63)&lt;=0.25,$E63="Peak",DT63="HH"),"EQH","")))</f>
        <v/>
      </c>
      <c r="EQ63" s="2" t="str">
        <f aca="false">IF(EF63="","",IF(AND(ABS(EF63)&lt;=0.25,$E63="Bottom",DU63="LL"),"EQL",IF(AND(ABS(EF63)&lt;=0.25,$E63="Peak",DU63="HH"),"EQH","")))</f>
        <v/>
      </c>
      <c r="ER63" s="2" t="str">
        <f aca="false">IF(OR(EG63="EQL",EG63="EQH"),G63,"")</f>
        <v/>
      </c>
      <c r="ES63" s="2" t="n">
        <f aca="false">IF(OR(EH63="EQL",EH63="EQH"),H63,"")</f>
        <v>4647.1</v>
      </c>
      <c r="ET63" s="2" t="str">
        <f aca="false">IF(OR(EI63="EQL",EI63="EQH"),I63,"")</f>
        <v/>
      </c>
      <c r="EU63" s="2" t="str">
        <f aca="false">IF(OR(EJ63="EQL",EJ63="EQH"),J63,"")</f>
        <v/>
      </c>
      <c r="EV63" s="2" t="str">
        <f aca="false">IF(OR(EK63="EQL",EK63="EQH"),K63,"")</f>
        <v/>
      </c>
      <c r="EW63" s="2" t="str">
        <f aca="false">IF(OR(EL63="EQL",EL63="EQH"),L63,"")</f>
        <v/>
      </c>
      <c r="EX63" s="2" t="str">
        <f aca="false">IF(OR(EM63="EQL",EM63="EQH"),M63,"")</f>
        <v/>
      </c>
      <c r="EY63" s="2" t="str">
        <f aca="false">IF(OR(EN63="EQL",EN63="EQH"),N63,"")</f>
        <v/>
      </c>
      <c r="EZ63" s="2" t="str">
        <f aca="false">IF(OR(EO63="EQL",EO63="EQH"),O63,"")</f>
        <v/>
      </c>
      <c r="FA63" s="2" t="str">
        <f aca="false">IF(OR(EP63="EQL",EP63="EQH"),P63,"")</f>
        <v/>
      </c>
      <c r="FB63" s="2" t="str">
        <f aca="false">IF(OR(EQ63="EQL",EQ63="EQH"),Q63,"")</f>
        <v/>
      </c>
      <c r="FC63" s="2" t="str">
        <f aca="false">IF(AND(EG63="EQL",OR(AQ63=4,AQ63=5)),"IEQL",IF(AND(EG63="EQH",OR(AQ63=1,AQ63=2)),"IEQH",""))</f>
        <v/>
      </c>
      <c r="FD63" s="2" t="str">
        <f aca="false">IF(AND(EH63="EQL",OR(AR63=4,AR63=5)),"IEQL",IF(AND(EH63="EQH",OR(AR63=1,AR63=2)),"IEQH",""))</f>
        <v>IEQH</v>
      </c>
      <c r="FE63" s="2" t="str">
        <f aca="false">IF(AND(EI63="EQL",OR(AS63=4,AS63=5)),"IEQL",IF(AND(EI63="EQH",OR(AS63=1,AS63=2)),"IEQH",""))</f>
        <v/>
      </c>
      <c r="FF63" s="2" t="str">
        <f aca="false">IF(AND(EJ63="EQL",OR(AT63=4,AT63=5)),"IEQL",IF(AND(EJ63="EQH",OR(AT63=1,AT63=2)),"IEQH",""))</f>
        <v/>
      </c>
      <c r="FG63" s="2" t="str">
        <f aca="false">IF(AND(EK63="EQL",OR(AU63=4,AU63=5)),"IEQL",IF(AND(EK63="EQH",OR(AU63=1,AU63=2)),"IEQH",""))</f>
        <v/>
      </c>
      <c r="FH63" s="2" t="str">
        <f aca="false">IF(AND(EL63="EQL",OR(AV63=4,AV63=5)),"IEQL",IF(AND(EL63="EQH",OR(AV63=1,AV63=2)),"IEQH",""))</f>
        <v/>
      </c>
      <c r="FI63" s="2" t="str">
        <f aca="false">IF(AND(EM63="EQL",OR(AW63=4,AW63=5)),"IEQL",IF(AND(EM63="EQH",OR(AW63=1,AW63=2)),"IEQH",""))</f>
        <v/>
      </c>
      <c r="FJ63" s="2" t="str">
        <f aca="false">IF(AND(EN63="EQL",OR(AX63=4,AX63=5)),"IEQL",IF(AND(EN63="EQH",OR(AX63=1,AX63=2)),"IEQH",""))</f>
        <v/>
      </c>
      <c r="FK63" s="2" t="str">
        <f aca="false">IF(AND(EO63="EQL",OR(AY63=4,AY63=5)),"IEQL",IF(AND(EO63="EQH",OR(AY63=1,AY63=2)),"IEQH",""))</f>
        <v/>
      </c>
      <c r="FL63" s="2" t="str">
        <f aca="false">IF(AND(EP63="EQL",OR(AZ63=4,AZ63=5)),"IEQL",IF(AND(EP63="EQH",OR(AZ63=1,AZ63=2)),"IEQH",""))</f>
        <v/>
      </c>
      <c r="FM63" s="2" t="str">
        <f aca="false">IF(AND(EQ63="EQL",OR(BA63=4,BA63=5)),"IEQL",IF(AND(EQ63="EQH",OR(BA63=1,BA63=2)),"IEQH",""))</f>
        <v/>
      </c>
    </row>
    <row r="64" customFormat="false" ht="14.25" hidden="false" customHeight="false" outlineLevel="0" collapsed="false">
      <c r="A64" s="1" t="n">
        <v>1777628702</v>
      </c>
      <c r="B64" s="1" t="s">
        <v>169</v>
      </c>
      <c r="C64" s="1" t="s">
        <v>170</v>
      </c>
      <c r="D64" s="1" t="n">
        <v>4563.12</v>
      </c>
      <c r="E64" s="1" t="s">
        <v>171</v>
      </c>
      <c r="F64" s="1" t="n">
        <v>4560.44</v>
      </c>
      <c r="G64" s="2" t="n">
        <f aca="false">F62</f>
        <v>4614.27</v>
      </c>
      <c r="H64" s="2" t="n">
        <f aca="false">F60</f>
        <v>4605.56</v>
      </c>
      <c r="I64" s="2" t="n">
        <f aca="false">F58</f>
        <v>4540.82</v>
      </c>
      <c r="J64" s="2" t="n">
        <f aca="false">F56</f>
        <v>4518.41</v>
      </c>
      <c r="K64" s="2" t="n">
        <f aca="false">F54</f>
        <v>4510.28</v>
      </c>
      <c r="L64" s="2" t="n">
        <f aca="false">F52</f>
        <v>4575.84</v>
      </c>
      <c r="M64" s="2" t="n">
        <f aca="false">F50</f>
        <v>4587.93</v>
      </c>
      <c r="N64" s="2" t="n">
        <f aca="false">F48</f>
        <v>4555.12</v>
      </c>
      <c r="O64" s="2" t="n">
        <f aca="false">F46</f>
        <v>4667.32</v>
      </c>
      <c r="P64" s="2" t="n">
        <f aca="false">F44</f>
        <v>4699.29</v>
      </c>
      <c r="Q64" s="2" t="n">
        <f aca="false">F42</f>
        <v>4672.35</v>
      </c>
      <c r="R64" s="1" t="n">
        <v>-75.39</v>
      </c>
      <c r="S64" s="2" t="n">
        <f aca="false">R62</f>
        <v>-19.87</v>
      </c>
      <c r="T64" s="2" t="n">
        <f aca="false">R60</f>
        <v>-41.54</v>
      </c>
      <c r="U64" s="2" t="n">
        <f aca="false">R58</f>
        <v>-41.5</v>
      </c>
      <c r="V64" s="2" t="n">
        <f aca="false">R56</f>
        <v>-46.34</v>
      </c>
      <c r="W64" s="2" t="n">
        <f aca="false">R54</f>
        <v>-97.49</v>
      </c>
      <c r="X64" s="2" t="n">
        <f aca="false">R52</f>
        <v>-34.31</v>
      </c>
      <c r="Y64" s="2" t="n">
        <f aca="false">R50</f>
        <v>-13.56</v>
      </c>
      <c r="Z64" s="2" t="n">
        <f aca="false">R48</f>
        <v>-146.02</v>
      </c>
      <c r="AA64" s="2" t="n">
        <f aca="false">R46</f>
        <v>-45.27</v>
      </c>
      <c r="AB64" s="2" t="n">
        <f aca="false">R44</f>
        <v>-30.63</v>
      </c>
      <c r="AC64" s="2" t="n">
        <f aca="false">R42</f>
        <v>-68.14</v>
      </c>
      <c r="AD64" s="1" t="n">
        <v>-1.63</v>
      </c>
      <c r="AE64" s="2" t="n">
        <f aca="false">AD62</f>
        <v>-0.43</v>
      </c>
      <c r="AF64" s="2" t="n">
        <f aca="false">AD60</f>
        <v>-0.89</v>
      </c>
      <c r="AG64" s="2" t="n">
        <f aca="false">AD58</f>
        <v>-0.91</v>
      </c>
      <c r="AH64" s="2" t="n">
        <f aca="false">AD56</f>
        <v>-1.02</v>
      </c>
      <c r="AI64" s="2" t="n">
        <f aca="false">AD54</f>
        <v>-2.12</v>
      </c>
      <c r="AJ64" s="2" t="n">
        <f aca="false">AD52</f>
        <v>-0.74</v>
      </c>
      <c r="AK64" s="2" t="n">
        <f aca="false">AD50</f>
        <v>-0.29</v>
      </c>
      <c r="AL64" s="2" t="n">
        <f aca="false">AD48</f>
        <v>-3.11</v>
      </c>
      <c r="AM64" s="2" t="n">
        <f aca="false">AD46</f>
        <v>-0.96</v>
      </c>
      <c r="AN64" s="2" t="n">
        <f aca="false">AD44</f>
        <v>-0.65</v>
      </c>
      <c r="AO64" s="2" t="n">
        <f aca="false">AD42</f>
        <v>-1.44</v>
      </c>
      <c r="AP64" s="1" t="n">
        <v>3</v>
      </c>
      <c r="AQ64" s="2" t="n">
        <f aca="false">AP62</f>
        <v>3</v>
      </c>
      <c r="AR64" s="2" t="n">
        <f aca="false">AP60</f>
        <v>3</v>
      </c>
      <c r="AS64" s="2" t="n">
        <f aca="false">AP58</f>
        <v>3</v>
      </c>
      <c r="AT64" s="2" t="n">
        <f aca="false">AP56</f>
        <v>3</v>
      </c>
      <c r="AU64" s="2" t="n">
        <f aca="false">AP54</f>
        <v>4</v>
      </c>
      <c r="AV64" s="2" t="n">
        <f aca="false">AP52</f>
        <v>3</v>
      </c>
      <c r="AW64" s="2" t="n">
        <f aca="false">AP50</f>
        <v>3</v>
      </c>
      <c r="AX64" s="2" t="n">
        <f aca="false">AP48</f>
        <v>5</v>
      </c>
      <c r="AY64" s="2" t="n">
        <f aca="false">AP46</f>
        <v>3</v>
      </c>
      <c r="AZ64" s="2" t="n">
        <f aca="false">AP44</f>
        <v>3</v>
      </c>
      <c r="BA64" s="2" t="n">
        <f aca="false">AP42</f>
        <v>3</v>
      </c>
      <c r="BB64" s="1" t="n">
        <v>30</v>
      </c>
      <c r="BC64" s="2" t="n">
        <f aca="false">BB62</f>
        <v>7</v>
      </c>
      <c r="BD64" s="2" t="n">
        <f aca="false">BB60</f>
        <v>25</v>
      </c>
      <c r="BE64" s="2" t="n">
        <f aca="false">BB58</f>
        <v>11</v>
      </c>
      <c r="BF64" s="2" t="n">
        <f aca="false">BB56</f>
        <v>11</v>
      </c>
      <c r="BG64" s="2" t="n">
        <f aca="false">BB54</f>
        <v>35</v>
      </c>
      <c r="BH64" s="2" t="n">
        <f aca="false">BB52</f>
        <v>4</v>
      </c>
      <c r="BI64" s="2" t="n">
        <f aca="false">BB50</f>
        <v>20</v>
      </c>
      <c r="BJ64" s="2" t="n">
        <f aca="false">BB48</f>
        <v>48</v>
      </c>
      <c r="BK64" s="2" t="n">
        <f aca="false">BB46</f>
        <v>11</v>
      </c>
      <c r="BL64" s="2" t="n">
        <f aca="false">BB44</f>
        <v>20</v>
      </c>
      <c r="BM64" s="2" t="n">
        <f aca="false">BB42</f>
        <v>36</v>
      </c>
      <c r="BN64" s="1" t="n">
        <v>3</v>
      </c>
      <c r="BO64" s="2" t="n">
        <f aca="false">BN62</f>
        <v>3</v>
      </c>
      <c r="BP64" s="2" t="n">
        <f aca="false">BN60</f>
        <v>3</v>
      </c>
      <c r="BQ64" s="2" t="n">
        <f aca="false">BN58</f>
        <v>3</v>
      </c>
      <c r="BR64" s="2" t="n">
        <f aca="false">BN56</f>
        <v>3</v>
      </c>
      <c r="BS64" s="2" t="n">
        <f aca="false">BN54</f>
        <v>3</v>
      </c>
      <c r="BT64" s="2" t="n">
        <f aca="false">BN52</f>
        <v>3</v>
      </c>
      <c r="BU64" s="2" t="n">
        <f aca="false">BN50</f>
        <v>3</v>
      </c>
      <c r="BV64" s="2" t="n">
        <f aca="false">BN48</f>
        <v>5</v>
      </c>
      <c r="BW64" s="2" t="n">
        <f aca="false">BN46</f>
        <v>3</v>
      </c>
      <c r="BX64" s="2" t="n">
        <f aca="false">BN44</f>
        <v>3</v>
      </c>
      <c r="BY64" s="2" t="n">
        <f aca="false">BN42</f>
        <v>4</v>
      </c>
      <c r="BZ64" s="1" t="n">
        <v>-2.513</v>
      </c>
      <c r="CA64" s="2" t="n">
        <f aca="false">BZ62</f>
        <v>-2.83857</v>
      </c>
      <c r="CB64" s="2" t="n">
        <f aca="false">BZ60</f>
        <v>-1.6616</v>
      </c>
      <c r="CC64" s="2" t="n">
        <f aca="false">BZ58</f>
        <v>-3.77273</v>
      </c>
      <c r="CD64" s="2" t="n">
        <f aca="false">BZ56</f>
        <v>-4.21273</v>
      </c>
      <c r="CE64" s="2" t="n">
        <f aca="false">BZ54</f>
        <v>-2.78543</v>
      </c>
      <c r="CF64" s="2" t="n">
        <f aca="false">BZ52</f>
        <v>-8.5775</v>
      </c>
      <c r="CG64" s="2" t="n">
        <f aca="false">BZ50</f>
        <v>-0.678</v>
      </c>
      <c r="CH64" s="2" t="n">
        <f aca="false">BZ48</f>
        <v>-3.04208</v>
      </c>
      <c r="CI64" s="2" t="n">
        <f aca="false">BZ46</f>
        <v>-4.11545</v>
      </c>
      <c r="CJ64" s="2" t="n">
        <f aca="false">BZ44</f>
        <v>-1.5315</v>
      </c>
      <c r="CK64" s="2" t="n">
        <f aca="false">BZ42</f>
        <v>-1.89278</v>
      </c>
      <c r="CL64" s="1" t="n">
        <v>3</v>
      </c>
      <c r="CM64" s="2" t="n">
        <f aca="false">CL62</f>
        <v>3</v>
      </c>
      <c r="CN64" s="2" t="n">
        <f aca="false">CL60</f>
        <v>3</v>
      </c>
      <c r="CO64" s="2" t="n">
        <f aca="false">CL58</f>
        <v>3</v>
      </c>
      <c r="CP64" s="2" t="n">
        <f aca="false">CL56</f>
        <v>3</v>
      </c>
      <c r="CQ64" s="2" t="n">
        <f aca="false">CL54</f>
        <v>3</v>
      </c>
      <c r="CR64" s="2" t="n">
        <f aca="false">CL52</f>
        <v>3</v>
      </c>
      <c r="CS64" s="2" t="n">
        <f aca="false">CL50</f>
        <v>3</v>
      </c>
      <c r="CT64" s="2" t="n">
        <f aca="false">CL48</f>
        <v>3</v>
      </c>
      <c r="CU64" s="2" t="n">
        <f aca="false">CL46</f>
        <v>3</v>
      </c>
      <c r="CV64" s="2" t="n">
        <f aca="false">CL44</f>
        <v>3</v>
      </c>
      <c r="CW64" s="2" t="n">
        <f aca="false">CL42</f>
        <v>3</v>
      </c>
      <c r="CX64" s="1" t="n">
        <v>-68.3009</v>
      </c>
      <c r="CY64" s="2" t="n">
        <f aca="false">CX62</f>
        <v>-70.5932</v>
      </c>
      <c r="CZ64" s="2" t="n">
        <f aca="false">CX60</f>
        <v>-58.9592</v>
      </c>
      <c r="DA64" s="2" t="n">
        <f aca="false">CX58</f>
        <v>-75.1545</v>
      </c>
      <c r="DB64" s="2" t="n">
        <f aca="false">CX56</f>
        <v>-76.6465</v>
      </c>
      <c r="DC64" s="2" t="n">
        <f aca="false">CX54</f>
        <v>-70.2513</v>
      </c>
      <c r="DD64" s="2" t="n">
        <f aca="false">CX52</f>
        <v>-83.3502</v>
      </c>
      <c r="DE64" s="2" t="n">
        <f aca="false">CX50</f>
        <v>-34.1373</v>
      </c>
      <c r="DF64" s="2" t="n">
        <f aca="false">CX48</f>
        <v>-71.8032</v>
      </c>
      <c r="DG64" s="2" t="n">
        <f aca="false">CX46</f>
        <v>-76.3426</v>
      </c>
      <c r="DH64" s="2" t="n">
        <f aca="false">CX44</f>
        <v>-56.8573</v>
      </c>
      <c r="DI64" s="2" t="n">
        <f aca="false">CX42</f>
        <v>-62.1514</v>
      </c>
      <c r="DJ64" s="1" t="s">
        <v>172</v>
      </c>
      <c r="DK64" s="2" t="str">
        <f aca="false">DJ62</f>
        <v>HL</v>
      </c>
      <c r="DL64" s="2" t="str">
        <f aca="false">DJ60</f>
        <v>HL</v>
      </c>
      <c r="DM64" s="2" t="str">
        <f aca="false">DJ58</f>
        <v>HL</v>
      </c>
      <c r="DN64" s="2" t="str">
        <f aca="false">DJ56</f>
        <v>HL</v>
      </c>
      <c r="DO64" s="2" t="str">
        <f aca="false">DJ54</f>
        <v>LL</v>
      </c>
      <c r="DP64" s="2" t="str">
        <f aca="false">DJ52</f>
        <v>LL</v>
      </c>
      <c r="DQ64" s="2" t="str">
        <f aca="false">DJ50</f>
        <v>HL</v>
      </c>
      <c r="DR64" s="2" t="str">
        <f aca="false">DJ48</f>
        <v>LL</v>
      </c>
      <c r="DS64" s="2" t="str">
        <f aca="false">DJ46</f>
        <v>LL</v>
      </c>
      <c r="DT64" s="2" t="str">
        <f aca="false">DJ44</f>
        <v>HL</v>
      </c>
      <c r="DU64" s="2" t="str">
        <f aca="false">DJ42</f>
        <v>LL</v>
      </c>
      <c r="DV64" s="2" t="n">
        <f aca="false">IFERROR((G64-$F64)/$F64*100,"")</f>
        <v>1.18036856092835</v>
      </c>
      <c r="DW64" s="2" t="n">
        <f aca="false">IFERROR((H64-$F64)/$F64*100,"")</f>
        <v>0.989378217891274</v>
      </c>
      <c r="DX64" s="2" t="n">
        <f aca="false">IFERROR((I64-$F64)/$F64*100,"")</f>
        <v>-0.430221645279839</v>
      </c>
      <c r="DY64" s="2" t="n">
        <f aca="false">IFERROR((J64-$F64)/$F64*100,"")</f>
        <v>-0.921621597915985</v>
      </c>
      <c r="DZ64" s="2" t="n">
        <f aca="false">IFERROR((K64-$F64)/$F64*100,"")</f>
        <v>-1.09989386988974</v>
      </c>
      <c r="EA64" s="2" t="n">
        <f aca="false">IFERROR((L64-$F64)/$F64*100,"")</f>
        <v>0.337686714439847</v>
      </c>
      <c r="EB64" s="2" t="n">
        <f aca="false">IFERROR((M64-$F64)/$F64*100,"")</f>
        <v>0.60279271298385</v>
      </c>
      <c r="EC64" s="2" t="n">
        <f aca="false">IFERROR((N64-$F64)/$F64*100,"")</f>
        <v>-0.116655410442846</v>
      </c>
      <c r="ED64" s="2" t="n">
        <f aca="false">IFERROR((O64-$F64)/$F64*100,"")</f>
        <v>2.34363350904738</v>
      </c>
      <c r="EE64" s="2" t="n">
        <f aca="false">IFERROR((P64-$F64)/$F64*100,"")</f>
        <v>3.04466235714099</v>
      </c>
      <c r="EF64" s="2" t="n">
        <f aca="false">IFERROR((Q64-$F64)/$F64*100,"")</f>
        <v>2.45392988395858</v>
      </c>
      <c r="EG64" s="2" t="str">
        <f aca="false">IF(DV64="","",IF(AND(ABS(DV64)&lt;=0.25,$E64="Bottom",DK64="LL"),"EQL",IF(AND(ABS(DV64)&lt;=0.25,$E64="Peak",DK64="HH"),"EQH","")))</f>
        <v/>
      </c>
      <c r="EH64" s="2" t="str">
        <f aca="false">IF(DW64="","",IF(AND(ABS(DW64)&lt;=0.25,$E64="Bottom",DL64="LL"),"EQL",IF(AND(ABS(DW64)&lt;=0.25,$E64="Peak",DL64="HH"),"EQH","")))</f>
        <v/>
      </c>
      <c r="EI64" s="2" t="str">
        <f aca="false">IF(DX64="","",IF(AND(ABS(DX64)&lt;=0.25,$E64="Bottom",DM64="LL"),"EQL",IF(AND(ABS(DX64)&lt;=0.25,$E64="Peak",DM64="HH"),"EQH","")))</f>
        <v/>
      </c>
      <c r="EJ64" s="2" t="str">
        <f aca="false">IF(DY64="","",IF(AND(ABS(DY64)&lt;=0.25,$E64="Bottom",DN64="LL"),"EQL",IF(AND(ABS(DY64)&lt;=0.25,$E64="Peak",DN64="HH"),"EQH","")))</f>
        <v/>
      </c>
      <c r="EK64" s="2" t="str">
        <f aca="false">IF(DZ64="","",IF(AND(ABS(DZ64)&lt;=0.25,$E64="Bottom",DO64="LL"),"EQL",IF(AND(ABS(DZ64)&lt;=0.25,$E64="Peak",DO64="HH"),"EQH","")))</f>
        <v/>
      </c>
      <c r="EL64" s="2" t="str">
        <f aca="false">IF(EA64="","",IF(AND(ABS(EA64)&lt;=0.25,$E64="Bottom",DP64="LL"),"EQL",IF(AND(ABS(EA64)&lt;=0.25,$E64="Peak",DP64="HH"),"EQH","")))</f>
        <v/>
      </c>
      <c r="EM64" s="2" t="str">
        <f aca="false">IF(EB64="","",IF(AND(ABS(EB64)&lt;=0.25,$E64="Bottom",DQ64="LL"),"EQL",IF(AND(ABS(EB64)&lt;=0.25,$E64="Peak",DQ64="HH"),"EQH","")))</f>
        <v/>
      </c>
      <c r="EN64" s="2" t="str">
        <f aca="false">IF(EC64="","",IF(AND(ABS(EC64)&lt;=0.25,$E64="Bottom",DR64="LL"),"EQL",IF(AND(ABS(EC64)&lt;=0.25,$E64="Peak",DR64="HH"),"EQH","")))</f>
        <v>EQL</v>
      </c>
      <c r="EO64" s="2" t="str">
        <f aca="false">IF(ED64="","",IF(AND(ABS(ED64)&lt;=0.25,$E64="Bottom",DS64="LL"),"EQL",IF(AND(ABS(ED64)&lt;=0.25,$E64="Peak",DS64="HH"),"EQH","")))</f>
        <v/>
      </c>
      <c r="EP64" s="2" t="str">
        <f aca="false">IF(EE64="","",IF(AND(ABS(EE64)&lt;=0.25,$E64="Bottom",DT64="LL"),"EQL",IF(AND(ABS(EE64)&lt;=0.25,$E64="Peak",DT64="HH"),"EQH","")))</f>
        <v/>
      </c>
      <c r="EQ64" s="2" t="str">
        <f aca="false">IF(EF64="","",IF(AND(ABS(EF64)&lt;=0.25,$E64="Bottom",DU64="LL"),"EQL",IF(AND(ABS(EF64)&lt;=0.25,$E64="Peak",DU64="HH"),"EQH","")))</f>
        <v/>
      </c>
      <c r="ER64" s="2" t="str">
        <f aca="false">IF(OR(EG64="EQL",EG64="EQH"),G64,"")</f>
        <v/>
      </c>
      <c r="ES64" s="2" t="str">
        <f aca="false">IF(OR(EH64="EQL",EH64="EQH"),H64,"")</f>
        <v/>
      </c>
      <c r="ET64" s="2" t="str">
        <f aca="false">IF(OR(EI64="EQL",EI64="EQH"),I64,"")</f>
        <v/>
      </c>
      <c r="EU64" s="2" t="str">
        <f aca="false">IF(OR(EJ64="EQL",EJ64="EQH"),J64,"")</f>
        <v/>
      </c>
      <c r="EV64" s="2" t="str">
        <f aca="false">IF(OR(EK64="EQL",EK64="EQH"),K64,"")</f>
        <v/>
      </c>
      <c r="EW64" s="2" t="str">
        <f aca="false">IF(OR(EL64="EQL",EL64="EQH"),L64,"")</f>
        <v/>
      </c>
      <c r="EX64" s="2" t="str">
        <f aca="false">IF(OR(EM64="EQL",EM64="EQH"),M64,"")</f>
        <v/>
      </c>
      <c r="EY64" s="2" t="n">
        <f aca="false">IF(OR(EN64="EQL",EN64="EQH"),N64,"")</f>
        <v>4555.12</v>
      </c>
      <c r="EZ64" s="2" t="str">
        <f aca="false">IF(OR(EO64="EQL",EO64="EQH"),O64,"")</f>
        <v/>
      </c>
      <c r="FA64" s="2" t="str">
        <f aca="false">IF(OR(EP64="EQL",EP64="EQH"),P64,"")</f>
        <v/>
      </c>
      <c r="FB64" s="2" t="str">
        <f aca="false">IF(OR(EQ64="EQL",EQ64="EQH"),Q64,"")</f>
        <v/>
      </c>
      <c r="FC64" s="2" t="str">
        <f aca="false">IF(AND(EG64="EQL",OR(AQ64=4,AQ64=5)),"IEQL",IF(AND(EG64="EQH",OR(AQ64=1,AQ64=2)),"IEQH",""))</f>
        <v/>
      </c>
      <c r="FD64" s="2" t="str">
        <f aca="false">IF(AND(EH64="EQL",OR(AR64=4,AR64=5)),"IEQL",IF(AND(EH64="EQH",OR(AR64=1,AR64=2)),"IEQH",""))</f>
        <v/>
      </c>
      <c r="FE64" s="2" t="str">
        <f aca="false">IF(AND(EI64="EQL",OR(AS64=4,AS64=5)),"IEQL",IF(AND(EI64="EQH",OR(AS64=1,AS64=2)),"IEQH",""))</f>
        <v/>
      </c>
      <c r="FF64" s="2" t="str">
        <f aca="false">IF(AND(EJ64="EQL",OR(AT64=4,AT64=5)),"IEQL",IF(AND(EJ64="EQH",OR(AT64=1,AT64=2)),"IEQH",""))</f>
        <v/>
      </c>
      <c r="FG64" s="2" t="str">
        <f aca="false">IF(AND(EK64="EQL",OR(AU64=4,AU64=5)),"IEQL",IF(AND(EK64="EQH",OR(AU64=1,AU64=2)),"IEQH",""))</f>
        <v/>
      </c>
      <c r="FH64" s="2" t="str">
        <f aca="false">IF(AND(EL64="EQL",OR(AV64=4,AV64=5)),"IEQL",IF(AND(EL64="EQH",OR(AV64=1,AV64=2)),"IEQH",""))</f>
        <v/>
      </c>
      <c r="FI64" s="2" t="str">
        <f aca="false">IF(AND(EM64="EQL",OR(AW64=4,AW64=5)),"IEQL",IF(AND(EM64="EQH",OR(AW64=1,AW64=2)),"IEQH",""))</f>
        <v/>
      </c>
      <c r="FJ64" s="2" t="str">
        <f aca="false">IF(AND(EN64="EQL",OR(AX64=4,AX64=5)),"IEQL",IF(AND(EN64="EQH",OR(AX64=1,AX64=2)),"IEQH",""))</f>
        <v>IEQL</v>
      </c>
      <c r="FK64" s="2" t="str">
        <f aca="false">IF(AND(EO64="EQL",OR(AY64=4,AY64=5)),"IEQL",IF(AND(EO64="EQH",OR(AY64=1,AY64=2)),"IEQH",""))</f>
        <v/>
      </c>
      <c r="FL64" s="2" t="str">
        <f aca="false">IF(AND(EP64="EQL",OR(AZ64=4,AZ64=5)),"IEQL",IF(AND(EP64="EQH",OR(AZ64=1,AZ64=2)),"IEQH",""))</f>
        <v/>
      </c>
      <c r="FM64" s="2" t="str">
        <f aca="false">IF(AND(EQ64="EQL",OR(BA64=4,BA64=5)),"IEQL",IF(AND(EQ64="EQH",OR(BA64=1,BA64=2)),"IEQH",""))</f>
        <v/>
      </c>
    </row>
    <row r="65" customFormat="false" ht="14.25" hidden="false" customHeight="false" outlineLevel="0" collapsed="false">
      <c r="A65" s="1" t="n">
        <v>1777644902</v>
      </c>
      <c r="B65" s="1" t="s">
        <v>169</v>
      </c>
      <c r="C65" s="1" t="s">
        <v>170</v>
      </c>
      <c r="D65" s="1" t="n">
        <v>4644.67</v>
      </c>
      <c r="E65" s="1" t="s">
        <v>173</v>
      </c>
      <c r="F65" s="1" t="n">
        <v>4660.32</v>
      </c>
      <c r="G65" s="2" t="n">
        <f aca="false">F63</f>
        <v>4635.83</v>
      </c>
      <c r="H65" s="2" t="n">
        <f aca="false">F61</f>
        <v>4634.14</v>
      </c>
      <c r="I65" s="2" t="n">
        <f aca="false">F59</f>
        <v>4647.1</v>
      </c>
      <c r="J65" s="2" t="n">
        <f aca="false">F57</f>
        <v>4582.32</v>
      </c>
      <c r="K65" s="2" t="n">
        <f aca="false">F55</f>
        <v>4564.75</v>
      </c>
      <c r="L65" s="2" t="n">
        <f aca="false">F53</f>
        <v>4607.77</v>
      </c>
      <c r="M65" s="2" t="n">
        <f aca="false">F51</f>
        <v>4610.15</v>
      </c>
      <c r="N65" s="2" t="n">
        <f aca="false">F49</f>
        <v>4601.49</v>
      </c>
      <c r="O65" s="2" t="n">
        <f aca="false">F47</f>
        <v>4701.14</v>
      </c>
      <c r="P65" s="2" t="n">
        <f aca="false">F45</f>
        <v>4712.59</v>
      </c>
      <c r="Q65" s="2" t="n">
        <f aca="false">F43</f>
        <v>4729.92</v>
      </c>
      <c r="R65" s="1" t="n">
        <v>99.88</v>
      </c>
      <c r="S65" s="2" t="n">
        <f aca="false">R63</f>
        <v>21.56</v>
      </c>
      <c r="T65" s="2" t="n">
        <f aca="false">R61</f>
        <v>28.58</v>
      </c>
      <c r="U65" s="2" t="n">
        <f aca="false">R59</f>
        <v>106.28</v>
      </c>
      <c r="V65" s="2" t="n">
        <f aca="false">R57</f>
        <v>63.91</v>
      </c>
      <c r="W65" s="2" t="n">
        <f aca="false">R55</f>
        <v>54.47</v>
      </c>
      <c r="X65" s="2" t="n">
        <f aca="false">R53</f>
        <v>31.93</v>
      </c>
      <c r="Y65" s="2" t="n">
        <f aca="false">R51</f>
        <v>22.22</v>
      </c>
      <c r="Z65" s="2" t="n">
        <f aca="false">R49</f>
        <v>46.37</v>
      </c>
      <c r="AA65" s="2" t="n">
        <f aca="false">R47</f>
        <v>33.82</v>
      </c>
      <c r="AB65" s="2" t="n">
        <f aca="false">R45</f>
        <v>13.3</v>
      </c>
      <c r="AC65" s="2" t="n">
        <f aca="false">R43</f>
        <v>57.57</v>
      </c>
      <c r="AD65" s="1" t="n">
        <v>2.19</v>
      </c>
      <c r="AE65" s="2" t="n">
        <f aca="false">AD63</f>
        <v>0.47</v>
      </c>
      <c r="AF65" s="2" t="n">
        <f aca="false">AD61</f>
        <v>0.62</v>
      </c>
      <c r="AG65" s="2" t="n">
        <f aca="false">AD59</f>
        <v>2.34</v>
      </c>
      <c r="AH65" s="2" t="n">
        <f aca="false">AD57</f>
        <v>1.41</v>
      </c>
      <c r="AI65" s="2" t="n">
        <f aca="false">AD55</f>
        <v>1.21</v>
      </c>
      <c r="AJ65" s="2" t="n">
        <f aca="false">AD53</f>
        <v>0.7</v>
      </c>
      <c r="AK65" s="2" t="n">
        <f aca="false">AD51</f>
        <v>0.48</v>
      </c>
      <c r="AL65" s="2" t="n">
        <f aca="false">AD49</f>
        <v>1.02</v>
      </c>
      <c r="AM65" s="2" t="n">
        <f aca="false">AD47</f>
        <v>0.72</v>
      </c>
      <c r="AN65" s="2" t="n">
        <f aca="false">AD45</f>
        <v>0.28</v>
      </c>
      <c r="AO65" s="2" t="n">
        <f aca="false">AD43</f>
        <v>1.23</v>
      </c>
      <c r="AP65" s="1" t="n">
        <v>1</v>
      </c>
      <c r="AQ65" s="2" t="n">
        <f aca="false">AP63</f>
        <v>0</v>
      </c>
      <c r="AR65" s="2" t="n">
        <f aca="false">AP61</f>
        <v>0</v>
      </c>
      <c r="AS65" s="2" t="n">
        <f aca="false">AP59</f>
        <v>1</v>
      </c>
      <c r="AT65" s="2" t="n">
        <f aca="false">AP57</f>
        <v>0</v>
      </c>
      <c r="AU65" s="2" t="n">
        <f aca="false">AP55</f>
        <v>0</v>
      </c>
      <c r="AV65" s="2" t="n">
        <f aca="false">AP53</f>
        <v>0</v>
      </c>
      <c r="AW65" s="2" t="n">
        <f aca="false">AP51</f>
        <v>0</v>
      </c>
      <c r="AX65" s="2" t="n">
        <f aca="false">AP49</f>
        <v>0</v>
      </c>
      <c r="AY65" s="2" t="n">
        <f aca="false">AP47</f>
        <v>0</v>
      </c>
      <c r="AZ65" s="2" t="n">
        <f aca="false">AP45</f>
        <v>0</v>
      </c>
      <c r="BA65" s="2" t="n">
        <f aca="false">AP43</f>
        <v>0</v>
      </c>
      <c r="BB65" s="1" t="n">
        <v>18</v>
      </c>
      <c r="BC65" s="2" t="n">
        <f aca="false">BB63</f>
        <v>4</v>
      </c>
      <c r="BD65" s="2" t="n">
        <f aca="false">BB61</f>
        <v>23</v>
      </c>
      <c r="BE65" s="2" t="n">
        <f aca="false">BB59</f>
        <v>24</v>
      </c>
      <c r="BF65" s="2" t="n">
        <f aca="false">BB57</f>
        <v>24</v>
      </c>
      <c r="BG65" s="2" t="n">
        <f aca="false">BB55</f>
        <v>9</v>
      </c>
      <c r="BH65" s="2" t="n">
        <f aca="false">BB53</f>
        <v>16</v>
      </c>
      <c r="BI65" s="2" t="n">
        <f aca="false">BB51</f>
        <v>2</v>
      </c>
      <c r="BJ65" s="2" t="n">
        <f aca="false">BB49</f>
        <v>22</v>
      </c>
      <c r="BK65" s="2" t="n">
        <f aca="false">BB47</f>
        <v>32</v>
      </c>
      <c r="BL65" s="2" t="n">
        <f aca="false">BB45</f>
        <v>11</v>
      </c>
      <c r="BM65" s="2" t="n">
        <f aca="false">BB43</f>
        <v>18</v>
      </c>
      <c r="BN65" s="1" t="n">
        <v>0</v>
      </c>
      <c r="BO65" s="2" t="n">
        <f aca="false">BN63</f>
        <v>0</v>
      </c>
      <c r="BP65" s="2" t="n">
        <f aca="false">BN61</f>
        <v>0</v>
      </c>
      <c r="BQ65" s="2" t="n">
        <f aca="false">BN59</f>
        <v>0</v>
      </c>
      <c r="BR65" s="2" t="n">
        <f aca="false">BN57</f>
        <v>0</v>
      </c>
      <c r="BS65" s="2" t="n">
        <f aca="false">BN55</f>
        <v>0</v>
      </c>
      <c r="BT65" s="2" t="n">
        <f aca="false">BN53</f>
        <v>0</v>
      </c>
      <c r="BU65" s="2" t="n">
        <f aca="false">BN51</f>
        <v>0</v>
      </c>
      <c r="BV65" s="2" t="n">
        <f aca="false">BN49</f>
        <v>0</v>
      </c>
      <c r="BW65" s="2" t="n">
        <f aca="false">BN47</f>
        <v>0</v>
      </c>
      <c r="BX65" s="2" t="n">
        <f aca="false">BN45</f>
        <v>0</v>
      </c>
      <c r="BY65" s="2" t="n">
        <f aca="false">BN43</f>
        <v>0</v>
      </c>
      <c r="BZ65" s="1" t="n">
        <v>5.54889</v>
      </c>
      <c r="CA65" s="2" t="n">
        <f aca="false">BZ63</f>
        <v>5.39</v>
      </c>
      <c r="CB65" s="2" t="n">
        <f aca="false">BZ61</f>
        <v>1.24261</v>
      </c>
      <c r="CC65" s="2" t="n">
        <f aca="false">BZ59</f>
        <v>4.42833</v>
      </c>
      <c r="CD65" s="2" t="n">
        <f aca="false">BZ57</f>
        <v>2.66292</v>
      </c>
      <c r="CE65" s="2" t="n">
        <f aca="false">BZ55</f>
        <v>6.05222</v>
      </c>
      <c r="CF65" s="2" t="n">
        <f aca="false">BZ53</f>
        <v>1.99563</v>
      </c>
      <c r="CG65" s="2" t="n">
        <f aca="false">BZ51</f>
        <v>11.11</v>
      </c>
      <c r="CH65" s="2" t="n">
        <f aca="false">BZ49</f>
        <v>2.10773</v>
      </c>
      <c r="CI65" s="2" t="n">
        <f aca="false">BZ47</f>
        <v>1.05688</v>
      </c>
      <c r="CJ65" s="2" t="n">
        <f aca="false">BZ45</f>
        <v>1.20909</v>
      </c>
      <c r="CK65" s="2" t="n">
        <f aca="false">BZ43</f>
        <v>3.19833</v>
      </c>
      <c r="CL65" s="1" t="n">
        <v>0</v>
      </c>
      <c r="CM65" s="2" t="n">
        <f aca="false">CL63</f>
        <v>0</v>
      </c>
      <c r="CN65" s="2" t="n">
        <f aca="false">CL61</f>
        <v>0</v>
      </c>
      <c r="CO65" s="2" t="n">
        <f aca="false">CL59</f>
        <v>0</v>
      </c>
      <c r="CP65" s="2" t="n">
        <f aca="false">CL57</f>
        <v>0</v>
      </c>
      <c r="CQ65" s="2" t="n">
        <f aca="false">CL55</f>
        <v>0</v>
      </c>
      <c r="CR65" s="2" t="n">
        <f aca="false">CL53</f>
        <v>0</v>
      </c>
      <c r="CS65" s="2" t="n">
        <f aca="false">CL51</f>
        <v>0</v>
      </c>
      <c r="CT65" s="2" t="n">
        <f aca="false">CL49</f>
        <v>0</v>
      </c>
      <c r="CU65" s="2" t="n">
        <f aca="false">CL47</f>
        <v>0</v>
      </c>
      <c r="CV65" s="2" t="n">
        <f aca="false">CL45</f>
        <v>0</v>
      </c>
      <c r="CW65" s="2" t="n">
        <f aca="false">CL43</f>
        <v>0</v>
      </c>
      <c r="CX65" s="1" t="n">
        <v>79.784</v>
      </c>
      <c r="CY65" s="2" t="n">
        <f aca="false">CX63</f>
        <v>79.4895</v>
      </c>
      <c r="CZ65" s="2" t="n">
        <f aca="false">CX61</f>
        <v>51.1743</v>
      </c>
      <c r="DA65" s="2" t="n">
        <f aca="false">CX59</f>
        <v>77.275</v>
      </c>
      <c r="DB65" s="2" t="n">
        <f aca="false">CX57</f>
        <v>69.4174</v>
      </c>
      <c r="DC65" s="2" t="n">
        <f aca="false">CX55</f>
        <v>80.6179</v>
      </c>
      <c r="DD65" s="2" t="n">
        <f aca="false">CX53</f>
        <v>63.3847</v>
      </c>
      <c r="DE65" s="2" t="n">
        <f aca="false">CX51</f>
        <v>84.8567</v>
      </c>
      <c r="DF65" s="2" t="n">
        <f aca="false">CX49</f>
        <v>64.6182</v>
      </c>
      <c r="DG65" s="2" t="n">
        <f aca="false">CX47</f>
        <v>46.5839</v>
      </c>
      <c r="DH65" s="2" t="n">
        <f aca="false">CX45</f>
        <v>50.4069</v>
      </c>
      <c r="DI65" s="2" t="n">
        <f aca="false">CX43</f>
        <v>72.6375</v>
      </c>
      <c r="DJ65" s="1" t="s">
        <v>176</v>
      </c>
      <c r="DK65" s="2" t="str">
        <f aca="false">DJ63</f>
        <v>HH</v>
      </c>
      <c r="DL65" s="2" t="str">
        <f aca="false">DJ61</f>
        <v>LH</v>
      </c>
      <c r="DM65" s="2" t="str">
        <f aca="false">DJ59</f>
        <v>HH</v>
      </c>
      <c r="DN65" s="2" t="str">
        <f aca="false">DJ57</f>
        <v>HH</v>
      </c>
      <c r="DO65" s="2" t="str">
        <f aca="false">DJ55</f>
        <v>LH</v>
      </c>
      <c r="DP65" s="2" t="str">
        <f aca="false">DJ53</f>
        <v>LH</v>
      </c>
      <c r="DQ65" s="2" t="str">
        <f aca="false">DJ51</f>
        <v>HH</v>
      </c>
      <c r="DR65" s="2" t="str">
        <f aca="false">DJ49</f>
        <v>LH</v>
      </c>
      <c r="DS65" s="2" t="str">
        <f aca="false">DJ47</f>
        <v>LH</v>
      </c>
      <c r="DT65" s="2" t="str">
        <f aca="false">DJ45</f>
        <v>LH</v>
      </c>
      <c r="DU65" s="2" t="str">
        <f aca="false">DJ43</f>
        <v>LH</v>
      </c>
      <c r="DV65" s="2" t="n">
        <f aca="false">IFERROR((G65-$F65)/$F65*100,"")</f>
        <v>-0.525500394822669</v>
      </c>
      <c r="DW65" s="2" t="n">
        <f aca="false">IFERROR((H65-$F65)/$F65*100,"")</f>
        <v>-0.561763999038679</v>
      </c>
      <c r="DX65" s="2" t="n">
        <f aca="false">IFERROR((I65-$F65)/$F65*100,"")</f>
        <v>-0.283671507535949</v>
      </c>
      <c r="DY65" s="2" t="n">
        <f aca="false">IFERROR((J65-$F65)/$F65*100,"")</f>
        <v>-1.67370480997013</v>
      </c>
      <c r="DZ65" s="2" t="n">
        <f aca="false">IFERROR((K65-$F65)/$F65*100,"")</f>
        <v>-2.05071754729288</v>
      </c>
      <c r="EA65" s="2" t="n">
        <f aca="false">IFERROR((L65-$F65)/$F65*100,"")</f>
        <v>-1.12760497133243</v>
      </c>
      <c r="EB65" s="2" t="n">
        <f aca="false">IFERROR((M65-$F65)/$F65*100,"")</f>
        <v>-1.07653551687438</v>
      </c>
      <c r="EC65" s="2" t="n">
        <f aca="false">IFERROR((N65-$F65)/$F65*100,"")</f>
        <v>-1.26235966628901</v>
      </c>
      <c r="ED65" s="2" t="n">
        <f aca="false">IFERROR((O65-$F65)/$F65*100,"")</f>
        <v>0.875905517217715</v>
      </c>
      <c r="EE65" s="2" t="n">
        <f aca="false">IFERROR((P65-$F65)/$F65*100,"")</f>
        <v>1.12159680021974</v>
      </c>
      <c r="EF65" s="2" t="n">
        <f aca="false">IFERROR((Q65-$F65)/$F65*100,"")</f>
        <v>1.49345967658874</v>
      </c>
      <c r="EG65" s="2" t="str">
        <f aca="false">IF(DV65="","",IF(AND(ABS(DV65)&lt;=0.25,$E65="Bottom",DK65="LL"),"EQL",IF(AND(ABS(DV65)&lt;=0.25,$E65="Peak",DK65="HH"),"EQH","")))</f>
        <v/>
      </c>
      <c r="EH65" s="2" t="str">
        <f aca="false">IF(DW65="","",IF(AND(ABS(DW65)&lt;=0.25,$E65="Bottom",DL65="LL"),"EQL",IF(AND(ABS(DW65)&lt;=0.25,$E65="Peak",DL65="HH"),"EQH","")))</f>
        <v/>
      </c>
      <c r="EI65" s="2" t="str">
        <f aca="false">IF(DX65="","",IF(AND(ABS(DX65)&lt;=0.25,$E65="Bottom",DM65="LL"),"EQL",IF(AND(ABS(DX65)&lt;=0.25,$E65="Peak",DM65="HH"),"EQH","")))</f>
        <v/>
      </c>
      <c r="EJ65" s="2" t="str">
        <f aca="false">IF(DY65="","",IF(AND(ABS(DY65)&lt;=0.25,$E65="Bottom",DN65="LL"),"EQL",IF(AND(ABS(DY65)&lt;=0.25,$E65="Peak",DN65="HH"),"EQH","")))</f>
        <v/>
      </c>
      <c r="EK65" s="2" t="str">
        <f aca="false">IF(DZ65="","",IF(AND(ABS(DZ65)&lt;=0.25,$E65="Bottom",DO65="LL"),"EQL",IF(AND(ABS(DZ65)&lt;=0.25,$E65="Peak",DO65="HH"),"EQH","")))</f>
        <v/>
      </c>
      <c r="EL65" s="2" t="str">
        <f aca="false">IF(EA65="","",IF(AND(ABS(EA65)&lt;=0.25,$E65="Bottom",DP65="LL"),"EQL",IF(AND(ABS(EA65)&lt;=0.25,$E65="Peak",DP65="HH"),"EQH","")))</f>
        <v/>
      </c>
      <c r="EM65" s="2" t="str">
        <f aca="false">IF(EB65="","",IF(AND(ABS(EB65)&lt;=0.25,$E65="Bottom",DQ65="LL"),"EQL",IF(AND(ABS(EB65)&lt;=0.25,$E65="Peak",DQ65="HH"),"EQH","")))</f>
        <v/>
      </c>
      <c r="EN65" s="2" t="str">
        <f aca="false">IF(EC65="","",IF(AND(ABS(EC65)&lt;=0.25,$E65="Bottom",DR65="LL"),"EQL",IF(AND(ABS(EC65)&lt;=0.25,$E65="Peak",DR65="HH"),"EQH","")))</f>
        <v/>
      </c>
      <c r="EO65" s="2" t="str">
        <f aca="false">IF(ED65="","",IF(AND(ABS(ED65)&lt;=0.25,$E65="Bottom",DS65="LL"),"EQL",IF(AND(ABS(ED65)&lt;=0.25,$E65="Peak",DS65="HH"),"EQH","")))</f>
        <v/>
      </c>
      <c r="EP65" s="2" t="str">
        <f aca="false">IF(EE65="","",IF(AND(ABS(EE65)&lt;=0.25,$E65="Bottom",DT65="LL"),"EQL",IF(AND(ABS(EE65)&lt;=0.25,$E65="Peak",DT65="HH"),"EQH","")))</f>
        <v/>
      </c>
      <c r="EQ65" s="2" t="str">
        <f aca="false">IF(EF65="","",IF(AND(ABS(EF65)&lt;=0.25,$E65="Bottom",DU65="LL"),"EQL",IF(AND(ABS(EF65)&lt;=0.25,$E65="Peak",DU65="HH"),"EQH","")))</f>
        <v/>
      </c>
      <c r="ER65" s="2" t="str">
        <f aca="false">IF(OR(EG65="EQL",EG65="EQH"),G65,"")</f>
        <v/>
      </c>
      <c r="ES65" s="2" t="str">
        <f aca="false">IF(OR(EH65="EQL",EH65="EQH"),H65,"")</f>
        <v/>
      </c>
      <c r="ET65" s="2" t="str">
        <f aca="false">IF(OR(EI65="EQL",EI65="EQH"),I65,"")</f>
        <v/>
      </c>
      <c r="EU65" s="2" t="str">
        <f aca="false">IF(OR(EJ65="EQL",EJ65="EQH"),J65,"")</f>
        <v/>
      </c>
      <c r="EV65" s="2" t="str">
        <f aca="false">IF(OR(EK65="EQL",EK65="EQH"),K65,"")</f>
        <v/>
      </c>
      <c r="EW65" s="2" t="str">
        <f aca="false">IF(OR(EL65="EQL",EL65="EQH"),L65,"")</f>
        <v/>
      </c>
      <c r="EX65" s="2" t="str">
        <f aca="false">IF(OR(EM65="EQL",EM65="EQH"),M65,"")</f>
        <v/>
      </c>
      <c r="EY65" s="2" t="str">
        <f aca="false">IF(OR(EN65="EQL",EN65="EQH"),N65,"")</f>
        <v/>
      </c>
      <c r="EZ65" s="2" t="str">
        <f aca="false">IF(OR(EO65="EQL",EO65="EQH"),O65,"")</f>
        <v/>
      </c>
      <c r="FA65" s="2" t="str">
        <f aca="false">IF(OR(EP65="EQL",EP65="EQH"),P65,"")</f>
        <v/>
      </c>
      <c r="FB65" s="2" t="str">
        <f aca="false">IF(OR(EQ65="EQL",EQ65="EQH"),Q65,"")</f>
        <v/>
      </c>
      <c r="FC65" s="2" t="str">
        <f aca="false">IF(AND(EG65="EQL",OR(AQ65=4,AQ65=5)),"IEQL",IF(AND(EG65="EQH",OR(AQ65=1,AQ65=2)),"IEQH",""))</f>
        <v/>
      </c>
      <c r="FD65" s="2" t="str">
        <f aca="false">IF(AND(EH65="EQL",OR(AR65=4,AR65=5)),"IEQL",IF(AND(EH65="EQH",OR(AR65=1,AR65=2)),"IEQH",""))</f>
        <v/>
      </c>
      <c r="FE65" s="2" t="str">
        <f aca="false">IF(AND(EI65="EQL",OR(AS65=4,AS65=5)),"IEQL",IF(AND(EI65="EQH",OR(AS65=1,AS65=2)),"IEQH",""))</f>
        <v/>
      </c>
      <c r="FF65" s="2" t="str">
        <f aca="false">IF(AND(EJ65="EQL",OR(AT65=4,AT65=5)),"IEQL",IF(AND(EJ65="EQH",OR(AT65=1,AT65=2)),"IEQH",""))</f>
        <v/>
      </c>
      <c r="FG65" s="2" t="str">
        <f aca="false">IF(AND(EK65="EQL",OR(AU65=4,AU65=5)),"IEQL",IF(AND(EK65="EQH",OR(AU65=1,AU65=2)),"IEQH",""))</f>
        <v/>
      </c>
      <c r="FH65" s="2" t="str">
        <f aca="false">IF(AND(EL65="EQL",OR(AV65=4,AV65=5)),"IEQL",IF(AND(EL65="EQH",OR(AV65=1,AV65=2)),"IEQH",""))</f>
        <v/>
      </c>
      <c r="FI65" s="2" t="str">
        <f aca="false">IF(AND(EM65="EQL",OR(AW65=4,AW65=5)),"IEQL",IF(AND(EM65="EQH",OR(AW65=1,AW65=2)),"IEQH",""))</f>
        <v/>
      </c>
      <c r="FJ65" s="2" t="str">
        <f aca="false">IF(AND(EN65="EQL",OR(AX65=4,AX65=5)),"IEQL",IF(AND(EN65="EQH",OR(AX65=1,AX65=2)),"IEQH",""))</f>
        <v/>
      </c>
      <c r="FK65" s="2" t="str">
        <f aca="false">IF(AND(EO65="EQL",OR(AY65=4,AY65=5)),"IEQL",IF(AND(EO65="EQH",OR(AY65=1,AY65=2)),"IEQH",""))</f>
        <v/>
      </c>
      <c r="FL65" s="2" t="str">
        <f aca="false">IF(AND(EP65="EQL",OR(AZ65=4,AZ65=5)),"IEQL",IF(AND(EP65="EQH",OR(AZ65=1,AZ65=2)),"IEQH",""))</f>
        <v/>
      </c>
      <c r="FM65" s="2" t="str">
        <f aca="false">IF(AND(EQ65="EQL",OR(BA65=4,BA65=5)),"IEQL",IF(AND(EQ65="EQH",OR(BA65=1,BA65=2)),"IEQH",""))</f>
        <v/>
      </c>
    </row>
    <row r="66" customFormat="false" ht="14.25" hidden="false" customHeight="false" outlineLevel="0" collapsed="false">
      <c r="A66" s="1" t="n">
        <v>1777665602</v>
      </c>
      <c r="B66" s="1" t="s">
        <v>169</v>
      </c>
      <c r="C66" s="1" t="s">
        <v>170</v>
      </c>
      <c r="D66" s="1" t="n">
        <v>4611.41</v>
      </c>
      <c r="E66" s="1" t="s">
        <v>171</v>
      </c>
      <c r="F66" s="1" t="n">
        <v>4607.09</v>
      </c>
      <c r="G66" s="2" t="n">
        <f aca="false">F64</f>
        <v>4560.44</v>
      </c>
      <c r="H66" s="2" t="n">
        <f aca="false">F62</f>
        <v>4614.27</v>
      </c>
      <c r="I66" s="2" t="n">
        <f aca="false">F60</f>
        <v>4605.56</v>
      </c>
      <c r="J66" s="2" t="n">
        <f aca="false">F58</f>
        <v>4540.82</v>
      </c>
      <c r="K66" s="2" t="n">
        <f aca="false">F56</f>
        <v>4518.41</v>
      </c>
      <c r="L66" s="2" t="n">
        <f aca="false">F54</f>
        <v>4510.28</v>
      </c>
      <c r="M66" s="2" t="n">
        <f aca="false">F52</f>
        <v>4575.84</v>
      </c>
      <c r="N66" s="2" t="n">
        <f aca="false">F50</f>
        <v>4587.93</v>
      </c>
      <c r="O66" s="2" t="n">
        <f aca="false">F48</f>
        <v>4555.12</v>
      </c>
      <c r="P66" s="2" t="n">
        <f aca="false">F46</f>
        <v>4667.32</v>
      </c>
      <c r="Q66" s="2" t="n">
        <f aca="false">F44</f>
        <v>4699.29</v>
      </c>
      <c r="R66" s="1" t="n">
        <v>-53.23</v>
      </c>
      <c r="S66" s="2" t="n">
        <f aca="false">R64</f>
        <v>-75.39</v>
      </c>
      <c r="T66" s="2" t="n">
        <f aca="false">R62</f>
        <v>-19.87</v>
      </c>
      <c r="U66" s="2" t="n">
        <f aca="false">R60</f>
        <v>-41.54</v>
      </c>
      <c r="V66" s="2" t="n">
        <f aca="false">R58</f>
        <v>-41.5</v>
      </c>
      <c r="W66" s="2" t="n">
        <f aca="false">R56</f>
        <v>-46.34</v>
      </c>
      <c r="X66" s="2" t="n">
        <f aca="false">R54</f>
        <v>-97.49</v>
      </c>
      <c r="Y66" s="2" t="n">
        <f aca="false">R52</f>
        <v>-34.31</v>
      </c>
      <c r="Z66" s="2" t="n">
        <f aca="false">R50</f>
        <v>-13.56</v>
      </c>
      <c r="AA66" s="2" t="n">
        <f aca="false">R48</f>
        <v>-146.02</v>
      </c>
      <c r="AB66" s="2" t="n">
        <f aca="false">R46</f>
        <v>-45.27</v>
      </c>
      <c r="AC66" s="2" t="n">
        <f aca="false">R44</f>
        <v>-30.63</v>
      </c>
      <c r="AD66" s="1" t="n">
        <v>-1.14</v>
      </c>
      <c r="AE66" s="2" t="n">
        <f aca="false">AD64</f>
        <v>-1.63</v>
      </c>
      <c r="AF66" s="2" t="n">
        <f aca="false">AD62</f>
        <v>-0.43</v>
      </c>
      <c r="AG66" s="2" t="n">
        <f aca="false">AD60</f>
        <v>-0.89</v>
      </c>
      <c r="AH66" s="2" t="n">
        <f aca="false">AD58</f>
        <v>-0.91</v>
      </c>
      <c r="AI66" s="2" t="n">
        <f aca="false">AD56</f>
        <v>-1.02</v>
      </c>
      <c r="AJ66" s="2" t="n">
        <f aca="false">AD54</f>
        <v>-2.12</v>
      </c>
      <c r="AK66" s="2" t="n">
        <f aca="false">AD52</f>
        <v>-0.74</v>
      </c>
      <c r="AL66" s="2" t="n">
        <f aca="false">AD50</f>
        <v>-0.29</v>
      </c>
      <c r="AM66" s="2" t="n">
        <f aca="false">AD48</f>
        <v>-3.11</v>
      </c>
      <c r="AN66" s="2" t="n">
        <f aca="false">AD46</f>
        <v>-0.96</v>
      </c>
      <c r="AO66" s="2" t="n">
        <f aca="false">AD44</f>
        <v>-0.65</v>
      </c>
      <c r="AP66" s="1" t="n">
        <v>3</v>
      </c>
      <c r="AQ66" s="2" t="n">
        <f aca="false">AP64</f>
        <v>3</v>
      </c>
      <c r="AR66" s="2" t="n">
        <f aca="false">AP62</f>
        <v>3</v>
      </c>
      <c r="AS66" s="2" t="n">
        <f aca="false">AP60</f>
        <v>3</v>
      </c>
      <c r="AT66" s="2" t="n">
        <f aca="false">AP58</f>
        <v>3</v>
      </c>
      <c r="AU66" s="2" t="n">
        <f aca="false">AP56</f>
        <v>3</v>
      </c>
      <c r="AV66" s="2" t="n">
        <f aca="false">AP54</f>
        <v>4</v>
      </c>
      <c r="AW66" s="2" t="n">
        <f aca="false">AP52</f>
        <v>3</v>
      </c>
      <c r="AX66" s="2" t="n">
        <f aca="false">AP50</f>
        <v>3</v>
      </c>
      <c r="AY66" s="2" t="n">
        <f aca="false">AP48</f>
        <v>5</v>
      </c>
      <c r="AZ66" s="2" t="n">
        <f aca="false">AP46</f>
        <v>3</v>
      </c>
      <c r="BA66" s="2" t="n">
        <f aca="false">AP44</f>
        <v>3</v>
      </c>
      <c r="BB66" s="1" t="n">
        <v>23</v>
      </c>
      <c r="BC66" s="2" t="n">
        <f aca="false">BB64</f>
        <v>30</v>
      </c>
      <c r="BD66" s="2" t="n">
        <f aca="false">BB62</f>
        <v>7</v>
      </c>
      <c r="BE66" s="2" t="n">
        <f aca="false">BB60</f>
        <v>25</v>
      </c>
      <c r="BF66" s="2" t="n">
        <f aca="false">BB58</f>
        <v>11</v>
      </c>
      <c r="BG66" s="2" t="n">
        <f aca="false">BB56</f>
        <v>11</v>
      </c>
      <c r="BH66" s="2" t="n">
        <f aca="false">BB54</f>
        <v>35</v>
      </c>
      <c r="BI66" s="2" t="n">
        <f aca="false">BB52</f>
        <v>4</v>
      </c>
      <c r="BJ66" s="2" t="n">
        <f aca="false">BB50</f>
        <v>20</v>
      </c>
      <c r="BK66" s="2" t="n">
        <f aca="false">BB48</f>
        <v>48</v>
      </c>
      <c r="BL66" s="2" t="n">
        <f aca="false">BB46</f>
        <v>11</v>
      </c>
      <c r="BM66" s="2" t="n">
        <f aca="false">BB44</f>
        <v>20</v>
      </c>
      <c r="BN66" s="1" t="n">
        <v>3</v>
      </c>
      <c r="BO66" s="2" t="n">
        <f aca="false">BN64</f>
        <v>3</v>
      </c>
      <c r="BP66" s="2" t="n">
        <f aca="false">BN62</f>
        <v>3</v>
      </c>
      <c r="BQ66" s="2" t="n">
        <f aca="false">BN60</f>
        <v>3</v>
      </c>
      <c r="BR66" s="2" t="n">
        <f aca="false">BN58</f>
        <v>3</v>
      </c>
      <c r="BS66" s="2" t="n">
        <f aca="false">BN56</f>
        <v>3</v>
      </c>
      <c r="BT66" s="2" t="n">
        <f aca="false">BN54</f>
        <v>3</v>
      </c>
      <c r="BU66" s="2" t="n">
        <f aca="false">BN52</f>
        <v>3</v>
      </c>
      <c r="BV66" s="2" t="n">
        <f aca="false">BN50</f>
        <v>3</v>
      </c>
      <c r="BW66" s="2" t="n">
        <f aca="false">BN48</f>
        <v>5</v>
      </c>
      <c r="BX66" s="2" t="n">
        <f aca="false">BN46</f>
        <v>3</v>
      </c>
      <c r="BY66" s="2" t="n">
        <f aca="false">BN44</f>
        <v>3</v>
      </c>
      <c r="BZ66" s="1" t="n">
        <v>-2.31435</v>
      </c>
      <c r="CA66" s="2" t="n">
        <f aca="false">BZ64</f>
        <v>-2.513</v>
      </c>
      <c r="CB66" s="2" t="n">
        <f aca="false">BZ62</f>
        <v>-2.83857</v>
      </c>
      <c r="CC66" s="2" t="n">
        <f aca="false">BZ60</f>
        <v>-1.6616</v>
      </c>
      <c r="CD66" s="2" t="n">
        <f aca="false">BZ58</f>
        <v>-3.77273</v>
      </c>
      <c r="CE66" s="2" t="n">
        <f aca="false">BZ56</f>
        <v>-4.21273</v>
      </c>
      <c r="CF66" s="2" t="n">
        <f aca="false">BZ54</f>
        <v>-2.78543</v>
      </c>
      <c r="CG66" s="2" t="n">
        <f aca="false">BZ52</f>
        <v>-8.5775</v>
      </c>
      <c r="CH66" s="2" t="n">
        <f aca="false">BZ50</f>
        <v>-0.678</v>
      </c>
      <c r="CI66" s="2" t="n">
        <f aca="false">BZ48</f>
        <v>-3.04208</v>
      </c>
      <c r="CJ66" s="2" t="n">
        <f aca="false">BZ46</f>
        <v>-4.11545</v>
      </c>
      <c r="CK66" s="2" t="n">
        <f aca="false">BZ44</f>
        <v>-1.5315</v>
      </c>
      <c r="CL66" s="1" t="n">
        <v>3</v>
      </c>
      <c r="CM66" s="2" t="n">
        <f aca="false">CL64</f>
        <v>3</v>
      </c>
      <c r="CN66" s="2" t="n">
        <f aca="false">CL62</f>
        <v>3</v>
      </c>
      <c r="CO66" s="2" t="n">
        <f aca="false">CL60</f>
        <v>3</v>
      </c>
      <c r="CP66" s="2" t="n">
        <f aca="false">CL58</f>
        <v>3</v>
      </c>
      <c r="CQ66" s="2" t="n">
        <f aca="false">CL56</f>
        <v>3</v>
      </c>
      <c r="CR66" s="2" t="n">
        <f aca="false">CL54</f>
        <v>3</v>
      </c>
      <c r="CS66" s="2" t="n">
        <f aca="false">CL52</f>
        <v>3</v>
      </c>
      <c r="CT66" s="2" t="n">
        <f aca="false">CL50</f>
        <v>3</v>
      </c>
      <c r="CU66" s="2" t="n">
        <f aca="false">CL48</f>
        <v>3</v>
      </c>
      <c r="CV66" s="2" t="n">
        <f aca="false">CL46</f>
        <v>3</v>
      </c>
      <c r="CW66" s="2" t="n">
        <f aca="false">CL44</f>
        <v>3</v>
      </c>
      <c r="CX66" s="1" t="n">
        <v>-66.6314</v>
      </c>
      <c r="CY66" s="2" t="n">
        <f aca="false">CX64</f>
        <v>-68.3009</v>
      </c>
      <c r="CZ66" s="2" t="n">
        <f aca="false">CX62</f>
        <v>-70.5932</v>
      </c>
      <c r="DA66" s="2" t="n">
        <f aca="false">CX60</f>
        <v>-58.9592</v>
      </c>
      <c r="DB66" s="2" t="n">
        <f aca="false">CX58</f>
        <v>-75.1545</v>
      </c>
      <c r="DC66" s="2" t="n">
        <f aca="false">CX56</f>
        <v>-76.6465</v>
      </c>
      <c r="DD66" s="2" t="n">
        <f aca="false">CX54</f>
        <v>-70.2513</v>
      </c>
      <c r="DE66" s="2" t="n">
        <f aca="false">CX52</f>
        <v>-83.3502</v>
      </c>
      <c r="DF66" s="2" t="n">
        <f aca="false">CX50</f>
        <v>-34.1373</v>
      </c>
      <c r="DG66" s="2" t="n">
        <f aca="false">CX48</f>
        <v>-71.8032</v>
      </c>
      <c r="DH66" s="2" t="n">
        <f aca="false">CX46</f>
        <v>-76.3426</v>
      </c>
      <c r="DI66" s="2" t="n">
        <f aca="false">CX44</f>
        <v>-56.8573</v>
      </c>
      <c r="DJ66" s="1" t="s">
        <v>175</v>
      </c>
      <c r="DK66" s="2" t="str">
        <f aca="false">DJ64</f>
        <v>LL</v>
      </c>
      <c r="DL66" s="2" t="str">
        <f aca="false">DJ62</f>
        <v>HL</v>
      </c>
      <c r="DM66" s="2" t="str">
        <f aca="false">DJ60</f>
        <v>HL</v>
      </c>
      <c r="DN66" s="2" t="str">
        <f aca="false">DJ58</f>
        <v>HL</v>
      </c>
      <c r="DO66" s="2" t="str">
        <f aca="false">DJ56</f>
        <v>HL</v>
      </c>
      <c r="DP66" s="2" t="str">
        <f aca="false">DJ54</f>
        <v>LL</v>
      </c>
      <c r="DQ66" s="2" t="str">
        <f aca="false">DJ52</f>
        <v>LL</v>
      </c>
      <c r="DR66" s="2" t="str">
        <f aca="false">DJ50</f>
        <v>HL</v>
      </c>
      <c r="DS66" s="2" t="str">
        <f aca="false">DJ48</f>
        <v>LL</v>
      </c>
      <c r="DT66" s="2" t="str">
        <f aca="false">DJ46</f>
        <v>LL</v>
      </c>
      <c r="DU66" s="2" t="str">
        <f aca="false">DJ44</f>
        <v>HL</v>
      </c>
      <c r="DV66" s="2" t="n">
        <f aca="false">IFERROR((G66-$F66)/$F66*100,"")</f>
        <v>-1.01256975661427</v>
      </c>
      <c r="DW66" s="2" t="n">
        <f aca="false">IFERROR((H66-$F66)/$F66*100,"")</f>
        <v>0.155846749249533</v>
      </c>
      <c r="DX66" s="2" t="n">
        <f aca="false">IFERROR((I66-$F66)/$F66*100,"")</f>
        <v>-0.0332096833358963</v>
      </c>
      <c r="DY66" s="2" t="n">
        <f aca="false">IFERROR((J66-$F66)/$F66*100,"")</f>
        <v>-1.4384351076276</v>
      </c>
      <c r="DZ66" s="2" t="n">
        <f aca="false">IFERROR((K66-$F66)/$F66*100,"")</f>
        <v>-1.92485929295934</v>
      </c>
      <c r="EA66" s="2" t="n">
        <f aca="false">IFERROR((L66-$F66)/$F66*100,"")</f>
        <v>-2.10132643382266</v>
      </c>
      <c r="EB66" s="2" t="n">
        <f aca="false">IFERROR((M66-$F66)/$F66*100,"")</f>
        <v>-0.678302355716949</v>
      </c>
      <c r="EC66" s="2" t="n">
        <f aca="false">IFERROR((N66-$F66)/$F66*100,"")</f>
        <v>-0.415880740337173</v>
      </c>
      <c r="ED66" s="2" t="n">
        <f aca="false">IFERROR((O66-$F66)/$F66*100,"")</f>
        <v>-1.12804394965152</v>
      </c>
      <c r="EE66" s="2" t="n">
        <f aca="false">IFERROR((P66-$F66)/$F66*100,"")</f>
        <v>1.30733282831461</v>
      </c>
      <c r="EF66" s="2" t="n">
        <f aca="false">IFERROR((Q66-$F66)/$F66*100,"")</f>
        <v>2.00126327030728</v>
      </c>
      <c r="EG66" s="2" t="str">
        <f aca="false">IF(DV66="","",IF(AND(ABS(DV66)&lt;=0.25,$E66="Bottom",DK66="LL"),"EQL",IF(AND(ABS(DV66)&lt;=0.25,$E66="Peak",DK66="HH"),"EQH","")))</f>
        <v/>
      </c>
      <c r="EH66" s="2" t="str">
        <f aca="false">IF(DW66="","",IF(AND(ABS(DW66)&lt;=0.25,$E66="Bottom",DL66="LL"),"EQL",IF(AND(ABS(DW66)&lt;=0.25,$E66="Peak",DL66="HH"),"EQH","")))</f>
        <v/>
      </c>
      <c r="EI66" s="2" t="str">
        <f aca="false">IF(DX66="","",IF(AND(ABS(DX66)&lt;=0.25,$E66="Bottom",DM66="LL"),"EQL",IF(AND(ABS(DX66)&lt;=0.25,$E66="Peak",DM66="HH"),"EQH","")))</f>
        <v/>
      </c>
      <c r="EJ66" s="2" t="str">
        <f aca="false">IF(DY66="","",IF(AND(ABS(DY66)&lt;=0.25,$E66="Bottom",DN66="LL"),"EQL",IF(AND(ABS(DY66)&lt;=0.25,$E66="Peak",DN66="HH"),"EQH","")))</f>
        <v/>
      </c>
      <c r="EK66" s="2" t="str">
        <f aca="false">IF(DZ66="","",IF(AND(ABS(DZ66)&lt;=0.25,$E66="Bottom",DO66="LL"),"EQL",IF(AND(ABS(DZ66)&lt;=0.25,$E66="Peak",DO66="HH"),"EQH","")))</f>
        <v/>
      </c>
      <c r="EL66" s="2" t="str">
        <f aca="false">IF(EA66="","",IF(AND(ABS(EA66)&lt;=0.25,$E66="Bottom",DP66="LL"),"EQL",IF(AND(ABS(EA66)&lt;=0.25,$E66="Peak",DP66="HH"),"EQH","")))</f>
        <v/>
      </c>
      <c r="EM66" s="2" t="str">
        <f aca="false">IF(EB66="","",IF(AND(ABS(EB66)&lt;=0.25,$E66="Bottom",DQ66="LL"),"EQL",IF(AND(ABS(EB66)&lt;=0.25,$E66="Peak",DQ66="HH"),"EQH","")))</f>
        <v/>
      </c>
      <c r="EN66" s="2" t="str">
        <f aca="false">IF(EC66="","",IF(AND(ABS(EC66)&lt;=0.25,$E66="Bottom",DR66="LL"),"EQL",IF(AND(ABS(EC66)&lt;=0.25,$E66="Peak",DR66="HH"),"EQH","")))</f>
        <v/>
      </c>
      <c r="EO66" s="2" t="str">
        <f aca="false">IF(ED66="","",IF(AND(ABS(ED66)&lt;=0.25,$E66="Bottom",DS66="LL"),"EQL",IF(AND(ABS(ED66)&lt;=0.25,$E66="Peak",DS66="HH"),"EQH","")))</f>
        <v/>
      </c>
      <c r="EP66" s="2" t="str">
        <f aca="false">IF(EE66="","",IF(AND(ABS(EE66)&lt;=0.25,$E66="Bottom",DT66="LL"),"EQL",IF(AND(ABS(EE66)&lt;=0.25,$E66="Peak",DT66="HH"),"EQH","")))</f>
        <v/>
      </c>
      <c r="EQ66" s="2" t="str">
        <f aca="false">IF(EF66="","",IF(AND(ABS(EF66)&lt;=0.25,$E66="Bottom",DU66="LL"),"EQL",IF(AND(ABS(EF66)&lt;=0.25,$E66="Peak",DU66="HH"),"EQH","")))</f>
        <v/>
      </c>
      <c r="ER66" s="2" t="str">
        <f aca="false">IF(OR(EG66="EQL",EG66="EQH"),G66,"")</f>
        <v/>
      </c>
      <c r="ES66" s="2" t="str">
        <f aca="false">IF(OR(EH66="EQL",EH66="EQH"),H66,"")</f>
        <v/>
      </c>
      <c r="ET66" s="2" t="str">
        <f aca="false">IF(OR(EI66="EQL",EI66="EQH"),I66,"")</f>
        <v/>
      </c>
      <c r="EU66" s="2" t="str">
        <f aca="false">IF(OR(EJ66="EQL",EJ66="EQH"),J66,"")</f>
        <v/>
      </c>
      <c r="EV66" s="2" t="str">
        <f aca="false">IF(OR(EK66="EQL",EK66="EQH"),K66,"")</f>
        <v/>
      </c>
      <c r="EW66" s="2" t="str">
        <f aca="false">IF(OR(EL66="EQL",EL66="EQH"),L66,"")</f>
        <v/>
      </c>
      <c r="EX66" s="2" t="str">
        <f aca="false">IF(OR(EM66="EQL",EM66="EQH"),M66,"")</f>
        <v/>
      </c>
      <c r="EY66" s="2" t="str">
        <f aca="false">IF(OR(EN66="EQL",EN66="EQH"),N66,"")</f>
        <v/>
      </c>
      <c r="EZ66" s="2" t="str">
        <f aca="false">IF(OR(EO66="EQL",EO66="EQH"),O66,"")</f>
        <v/>
      </c>
      <c r="FA66" s="2" t="str">
        <f aca="false">IF(OR(EP66="EQL",EP66="EQH"),P66,"")</f>
        <v/>
      </c>
      <c r="FB66" s="2" t="str">
        <f aca="false">IF(OR(EQ66="EQL",EQ66="EQH"),Q66,"")</f>
        <v/>
      </c>
      <c r="FC66" s="2" t="str">
        <f aca="false">IF(AND(EG66="EQL",OR(AQ66=4,AQ66=5)),"IEQL",IF(AND(EG66="EQH",OR(AQ66=1,AQ66=2)),"IEQH",""))</f>
        <v/>
      </c>
      <c r="FD66" s="2" t="str">
        <f aca="false">IF(AND(EH66="EQL",OR(AR66=4,AR66=5)),"IEQL",IF(AND(EH66="EQH",OR(AR66=1,AR66=2)),"IEQH",""))</f>
        <v/>
      </c>
      <c r="FE66" s="2" t="str">
        <f aca="false">IF(AND(EI66="EQL",OR(AS66=4,AS66=5)),"IEQL",IF(AND(EI66="EQH",OR(AS66=1,AS66=2)),"IEQH",""))</f>
        <v/>
      </c>
      <c r="FF66" s="2" t="str">
        <f aca="false">IF(AND(EJ66="EQL",OR(AT66=4,AT66=5)),"IEQL",IF(AND(EJ66="EQH",OR(AT66=1,AT66=2)),"IEQH",""))</f>
        <v/>
      </c>
      <c r="FG66" s="2" t="str">
        <f aca="false">IF(AND(EK66="EQL",OR(AU66=4,AU66=5)),"IEQL",IF(AND(EK66="EQH",OR(AU66=1,AU66=2)),"IEQH",""))</f>
        <v/>
      </c>
      <c r="FH66" s="2" t="str">
        <f aca="false">IF(AND(EL66="EQL",OR(AV66=4,AV66=5)),"IEQL",IF(AND(EL66="EQH",OR(AV66=1,AV66=2)),"IEQH",""))</f>
        <v/>
      </c>
      <c r="FI66" s="2" t="str">
        <f aca="false">IF(AND(EM66="EQL",OR(AW66=4,AW66=5)),"IEQL",IF(AND(EM66="EQH",OR(AW66=1,AW66=2)),"IEQH",""))</f>
        <v/>
      </c>
      <c r="FJ66" s="2" t="str">
        <f aca="false">IF(AND(EN66="EQL",OR(AX66=4,AX66=5)),"IEQL",IF(AND(EN66="EQH",OR(AX66=1,AX66=2)),"IEQH",""))</f>
        <v/>
      </c>
      <c r="FK66" s="2" t="str">
        <f aca="false">IF(AND(EO66="EQL",OR(AY66=4,AY66=5)),"IEQL",IF(AND(EO66="EQH",OR(AY66=1,AY66=2)),"IEQH",""))</f>
        <v/>
      </c>
      <c r="FL66" s="2" t="str">
        <f aca="false">IF(AND(EP66="EQL",OR(AZ66=4,AZ66=5)),"IEQL",IF(AND(EP66="EQH",OR(AZ66=1,AZ66=2)),"IEQH",""))</f>
        <v/>
      </c>
      <c r="FM66" s="2" t="str">
        <f aca="false">IF(AND(EQ66="EQL",OR(BA66=4,BA66=5)),"IEQL",IF(AND(EQ66="EQH",OR(BA66=1,BA66=2)),"IEQH",""))</f>
        <v/>
      </c>
    </row>
    <row r="67" customFormat="false" ht="14.25" hidden="false" customHeight="false" outlineLevel="0" collapsed="false">
      <c r="A67" s="1" t="n">
        <v>1777845602</v>
      </c>
      <c r="B67" s="1" t="s">
        <v>169</v>
      </c>
      <c r="C67" s="1" t="s">
        <v>170</v>
      </c>
      <c r="D67" s="1" t="n">
        <v>4623.11</v>
      </c>
      <c r="E67" s="1" t="s">
        <v>173</v>
      </c>
      <c r="F67" s="1" t="n">
        <v>4632.11</v>
      </c>
      <c r="G67" s="2" t="n">
        <f aca="false">F65</f>
        <v>4660.32</v>
      </c>
      <c r="H67" s="2" t="n">
        <f aca="false">F63</f>
        <v>4635.83</v>
      </c>
      <c r="I67" s="2" t="n">
        <f aca="false">F61</f>
        <v>4634.14</v>
      </c>
      <c r="J67" s="2" t="n">
        <f aca="false">F59</f>
        <v>4647.1</v>
      </c>
      <c r="K67" s="2" t="n">
        <f aca="false">F57</f>
        <v>4582.32</v>
      </c>
      <c r="L67" s="2" t="n">
        <f aca="false">F55</f>
        <v>4564.75</v>
      </c>
      <c r="M67" s="2" t="n">
        <f aca="false">F53</f>
        <v>4607.77</v>
      </c>
      <c r="N67" s="2" t="n">
        <f aca="false">F51</f>
        <v>4610.15</v>
      </c>
      <c r="O67" s="2" t="n">
        <f aca="false">F49</f>
        <v>4601.49</v>
      </c>
      <c r="P67" s="2" t="n">
        <f aca="false">F47</f>
        <v>4701.14</v>
      </c>
      <c r="Q67" s="2" t="n">
        <f aca="false">F45</f>
        <v>4712.59</v>
      </c>
      <c r="R67" s="1" t="n">
        <v>25.02</v>
      </c>
      <c r="S67" s="2" t="n">
        <f aca="false">R65</f>
        <v>99.88</v>
      </c>
      <c r="T67" s="2" t="n">
        <f aca="false">R63</f>
        <v>21.56</v>
      </c>
      <c r="U67" s="2" t="n">
        <f aca="false">R61</f>
        <v>28.58</v>
      </c>
      <c r="V67" s="2" t="n">
        <f aca="false">R59</f>
        <v>106.28</v>
      </c>
      <c r="W67" s="2" t="n">
        <f aca="false">R57</f>
        <v>63.91</v>
      </c>
      <c r="X67" s="2" t="n">
        <f aca="false">R55</f>
        <v>54.47</v>
      </c>
      <c r="Y67" s="2" t="n">
        <f aca="false">R53</f>
        <v>31.93</v>
      </c>
      <c r="Z67" s="2" t="n">
        <f aca="false">R51</f>
        <v>22.22</v>
      </c>
      <c r="AA67" s="2" t="n">
        <f aca="false">R49</f>
        <v>46.37</v>
      </c>
      <c r="AB67" s="2" t="n">
        <f aca="false">R47</f>
        <v>33.82</v>
      </c>
      <c r="AC67" s="2" t="n">
        <f aca="false">R45</f>
        <v>13.3</v>
      </c>
      <c r="AD67" s="1" t="n">
        <v>0.54</v>
      </c>
      <c r="AE67" s="2" t="n">
        <f aca="false">AD65</f>
        <v>2.19</v>
      </c>
      <c r="AF67" s="2" t="n">
        <f aca="false">AD63</f>
        <v>0.47</v>
      </c>
      <c r="AG67" s="2" t="n">
        <f aca="false">AD61</f>
        <v>0.62</v>
      </c>
      <c r="AH67" s="2" t="n">
        <f aca="false">AD59</f>
        <v>2.34</v>
      </c>
      <c r="AI67" s="2" t="n">
        <f aca="false">AD57</f>
        <v>1.41</v>
      </c>
      <c r="AJ67" s="2" t="n">
        <f aca="false">AD55</f>
        <v>1.21</v>
      </c>
      <c r="AK67" s="2" t="n">
        <f aca="false">AD53</f>
        <v>0.7</v>
      </c>
      <c r="AL67" s="2" t="n">
        <f aca="false">AD51</f>
        <v>0.48</v>
      </c>
      <c r="AM67" s="2" t="n">
        <f aca="false">AD49</f>
        <v>1.02</v>
      </c>
      <c r="AN67" s="2" t="n">
        <f aca="false">AD47</f>
        <v>0.72</v>
      </c>
      <c r="AO67" s="2" t="n">
        <f aca="false">AD45</f>
        <v>0.28</v>
      </c>
      <c r="AP67" s="1" t="n">
        <v>0</v>
      </c>
      <c r="AQ67" s="2" t="n">
        <f aca="false">AP65</f>
        <v>1</v>
      </c>
      <c r="AR67" s="2" t="n">
        <f aca="false">AP63</f>
        <v>0</v>
      </c>
      <c r="AS67" s="2" t="n">
        <f aca="false">AP61</f>
        <v>0</v>
      </c>
      <c r="AT67" s="2" t="n">
        <f aca="false">AP59</f>
        <v>1</v>
      </c>
      <c r="AU67" s="2" t="n">
        <f aca="false">AP57</f>
        <v>0</v>
      </c>
      <c r="AV67" s="2" t="n">
        <f aca="false">AP55</f>
        <v>0</v>
      </c>
      <c r="AW67" s="2" t="n">
        <f aca="false">AP53</f>
        <v>0</v>
      </c>
      <c r="AX67" s="2" t="n">
        <f aca="false">AP51</f>
        <v>0</v>
      </c>
      <c r="AY67" s="2" t="n">
        <f aca="false">AP49</f>
        <v>0</v>
      </c>
      <c r="AZ67" s="2" t="n">
        <f aca="false">AP47</f>
        <v>0</v>
      </c>
      <c r="BA67" s="2" t="n">
        <f aca="false">AP45</f>
        <v>0</v>
      </c>
      <c r="BB67" s="1" t="n">
        <v>4</v>
      </c>
      <c r="BC67" s="2" t="n">
        <f aca="false">BB65</f>
        <v>18</v>
      </c>
      <c r="BD67" s="2" t="n">
        <f aca="false">BB63</f>
        <v>4</v>
      </c>
      <c r="BE67" s="2" t="n">
        <f aca="false">BB61</f>
        <v>23</v>
      </c>
      <c r="BF67" s="2" t="n">
        <f aca="false">BB59</f>
        <v>24</v>
      </c>
      <c r="BG67" s="2" t="n">
        <f aca="false">BB57</f>
        <v>24</v>
      </c>
      <c r="BH67" s="2" t="n">
        <f aca="false">BB55</f>
        <v>9</v>
      </c>
      <c r="BI67" s="2" t="n">
        <f aca="false">BB53</f>
        <v>16</v>
      </c>
      <c r="BJ67" s="2" t="n">
        <f aca="false">BB51</f>
        <v>2</v>
      </c>
      <c r="BK67" s="2" t="n">
        <f aca="false">BB49</f>
        <v>22</v>
      </c>
      <c r="BL67" s="2" t="n">
        <f aca="false">BB47</f>
        <v>32</v>
      </c>
      <c r="BM67" s="2" t="n">
        <f aca="false">BB45</f>
        <v>11</v>
      </c>
      <c r="BN67" s="1" t="n">
        <v>0</v>
      </c>
      <c r="BO67" s="2" t="n">
        <f aca="false">BN65</f>
        <v>0</v>
      </c>
      <c r="BP67" s="2" t="n">
        <f aca="false">BN63</f>
        <v>0</v>
      </c>
      <c r="BQ67" s="2" t="n">
        <f aca="false">BN61</f>
        <v>0</v>
      </c>
      <c r="BR67" s="2" t="n">
        <f aca="false">BN59</f>
        <v>0</v>
      </c>
      <c r="BS67" s="2" t="n">
        <f aca="false">BN57</f>
        <v>0</v>
      </c>
      <c r="BT67" s="2" t="n">
        <f aca="false">BN55</f>
        <v>0</v>
      </c>
      <c r="BU67" s="2" t="n">
        <f aca="false">BN53</f>
        <v>0</v>
      </c>
      <c r="BV67" s="2" t="n">
        <f aca="false">BN51</f>
        <v>0</v>
      </c>
      <c r="BW67" s="2" t="n">
        <f aca="false">BN49</f>
        <v>0</v>
      </c>
      <c r="BX67" s="2" t="n">
        <f aca="false">BN47</f>
        <v>0</v>
      </c>
      <c r="BY67" s="2" t="n">
        <f aca="false">BN45</f>
        <v>0</v>
      </c>
      <c r="BZ67" s="1" t="n">
        <v>6.255</v>
      </c>
      <c r="CA67" s="2" t="n">
        <f aca="false">BZ65</f>
        <v>5.54889</v>
      </c>
      <c r="CB67" s="2" t="n">
        <f aca="false">BZ63</f>
        <v>5.39</v>
      </c>
      <c r="CC67" s="2" t="n">
        <f aca="false">BZ61</f>
        <v>1.24261</v>
      </c>
      <c r="CD67" s="2" t="n">
        <f aca="false">BZ59</f>
        <v>4.42833</v>
      </c>
      <c r="CE67" s="2" t="n">
        <f aca="false">BZ57</f>
        <v>2.66292</v>
      </c>
      <c r="CF67" s="2" t="n">
        <f aca="false">BZ55</f>
        <v>6.05222</v>
      </c>
      <c r="CG67" s="2" t="n">
        <f aca="false">BZ53</f>
        <v>1.99563</v>
      </c>
      <c r="CH67" s="2" t="n">
        <f aca="false">BZ51</f>
        <v>11.11</v>
      </c>
      <c r="CI67" s="2" t="n">
        <f aca="false">BZ49</f>
        <v>2.10773</v>
      </c>
      <c r="CJ67" s="2" t="n">
        <f aca="false">BZ47</f>
        <v>1.05688</v>
      </c>
      <c r="CK67" s="2" t="n">
        <f aca="false">BZ45</f>
        <v>1.20909</v>
      </c>
      <c r="CL67" s="1" t="n">
        <v>0</v>
      </c>
      <c r="CM67" s="2" t="n">
        <f aca="false">CL65</f>
        <v>0</v>
      </c>
      <c r="CN67" s="2" t="n">
        <f aca="false">CL63</f>
        <v>0</v>
      </c>
      <c r="CO67" s="2" t="n">
        <f aca="false">CL61</f>
        <v>0</v>
      </c>
      <c r="CP67" s="2" t="n">
        <f aca="false">CL59</f>
        <v>0</v>
      </c>
      <c r="CQ67" s="2" t="n">
        <f aca="false">CL57</f>
        <v>0</v>
      </c>
      <c r="CR67" s="2" t="n">
        <f aca="false">CL55</f>
        <v>0</v>
      </c>
      <c r="CS67" s="2" t="n">
        <f aca="false">CL53</f>
        <v>0</v>
      </c>
      <c r="CT67" s="2" t="n">
        <f aca="false">CL51</f>
        <v>0</v>
      </c>
      <c r="CU67" s="2" t="n">
        <f aca="false">CL49</f>
        <v>0</v>
      </c>
      <c r="CV67" s="2" t="n">
        <f aca="false">CL47</f>
        <v>0</v>
      </c>
      <c r="CW67" s="2" t="n">
        <f aca="false">CL45</f>
        <v>0</v>
      </c>
      <c r="CX67" s="1" t="n">
        <v>80.9169</v>
      </c>
      <c r="CY67" s="2" t="n">
        <f aca="false">CX65</f>
        <v>79.784</v>
      </c>
      <c r="CZ67" s="2" t="n">
        <f aca="false">CX63</f>
        <v>79.4895</v>
      </c>
      <c r="DA67" s="2" t="n">
        <f aca="false">CX61</f>
        <v>51.1743</v>
      </c>
      <c r="DB67" s="2" t="n">
        <f aca="false">CX59</f>
        <v>77.275</v>
      </c>
      <c r="DC67" s="2" t="n">
        <f aca="false">CX57</f>
        <v>69.4174</v>
      </c>
      <c r="DD67" s="2" t="n">
        <f aca="false">CX55</f>
        <v>80.6179</v>
      </c>
      <c r="DE67" s="2" t="n">
        <f aca="false">CX53</f>
        <v>63.3847</v>
      </c>
      <c r="DF67" s="2" t="n">
        <f aca="false">CX51</f>
        <v>84.8567</v>
      </c>
      <c r="DG67" s="2" t="n">
        <f aca="false">CX49</f>
        <v>64.6182</v>
      </c>
      <c r="DH67" s="2" t="n">
        <f aca="false">CX47</f>
        <v>46.5839</v>
      </c>
      <c r="DI67" s="2" t="n">
        <f aca="false">CX45</f>
        <v>50.4069</v>
      </c>
      <c r="DJ67" s="1" t="s">
        <v>174</v>
      </c>
      <c r="DK67" s="2" t="str">
        <f aca="false">DJ65</f>
        <v>HH</v>
      </c>
      <c r="DL67" s="2" t="str">
        <f aca="false">DJ63</f>
        <v>HH</v>
      </c>
      <c r="DM67" s="2" t="str">
        <f aca="false">DJ61</f>
        <v>LH</v>
      </c>
      <c r="DN67" s="2" t="str">
        <f aca="false">DJ59</f>
        <v>HH</v>
      </c>
      <c r="DO67" s="2" t="str">
        <f aca="false">DJ57</f>
        <v>HH</v>
      </c>
      <c r="DP67" s="2" t="str">
        <f aca="false">DJ55</f>
        <v>LH</v>
      </c>
      <c r="DQ67" s="2" t="str">
        <f aca="false">DJ53</f>
        <v>LH</v>
      </c>
      <c r="DR67" s="2" t="str">
        <f aca="false">DJ51</f>
        <v>HH</v>
      </c>
      <c r="DS67" s="2" t="str">
        <f aca="false">DJ49</f>
        <v>LH</v>
      </c>
      <c r="DT67" s="2" t="str">
        <f aca="false">DJ47</f>
        <v>LH</v>
      </c>
      <c r="DU67" s="2" t="str">
        <f aca="false">DJ45</f>
        <v>LH</v>
      </c>
      <c r="DV67" s="2" t="n">
        <f aca="false">IFERROR((G67-$F67)/$F67*100,"")</f>
        <v>0.609009716954046</v>
      </c>
      <c r="DW67" s="2" t="n">
        <f aca="false">IFERROR((H67-$F67)/$F67*100,"")</f>
        <v>0.0803089736642751</v>
      </c>
      <c r="DX67" s="2" t="n">
        <f aca="false">IFERROR((I67-$F67)/$F67*100,"")</f>
        <v>0.043824520574871</v>
      </c>
      <c r="DY67" s="2" t="n">
        <f aca="false">IFERROR((J67-$F67)/$F67*100,"")</f>
        <v>0.323610622372972</v>
      </c>
      <c r="DZ67" s="2" t="n">
        <f aca="false">IFERROR((K67-$F67)/$F67*100,"")</f>
        <v>-1.07488811794193</v>
      </c>
      <c r="EA67" s="2" t="n">
        <f aca="false">IFERROR((L67-$F67)/$F67*100,"")</f>
        <v>-1.45419689946913</v>
      </c>
      <c r="EB67" s="2" t="n">
        <f aca="false">IFERROR((M67-$F67)/$F67*100,"")</f>
        <v>-0.525462478222651</v>
      </c>
      <c r="EC67" s="2" t="n">
        <f aca="false">IFERROR((N67-$F67)/$F67*100,"")</f>
        <v>-0.47408200582456</v>
      </c>
      <c r="ED67" s="2" t="n">
        <f aca="false">IFERROR((O67-$F67)/$F67*100,"")</f>
        <v>-0.661037842365572</v>
      </c>
      <c r="EE67" s="2" t="n">
        <f aca="false">IFERROR((P67-$F67)/$F67*100,"")</f>
        <v>1.49024958388295</v>
      </c>
      <c r="EF67" s="2" t="n">
        <f aca="false">IFERROR((Q67-$F67)/$F67*100,"")</f>
        <v>1.73743715067217</v>
      </c>
      <c r="EG67" s="2" t="str">
        <f aca="false">IF(DV67="","",IF(AND(ABS(DV67)&lt;=0.25,$E67="Bottom",DK67="LL"),"EQL",IF(AND(ABS(DV67)&lt;=0.25,$E67="Peak",DK67="HH"),"EQH","")))</f>
        <v/>
      </c>
      <c r="EH67" s="2" t="str">
        <f aca="false">IF(DW67="","",IF(AND(ABS(DW67)&lt;=0.25,$E67="Bottom",DL67="LL"),"EQL",IF(AND(ABS(DW67)&lt;=0.25,$E67="Peak",DL67="HH"),"EQH","")))</f>
        <v>EQH</v>
      </c>
      <c r="EI67" s="2" t="str">
        <f aca="false">IF(DX67="","",IF(AND(ABS(DX67)&lt;=0.25,$E67="Bottom",DM67="LL"),"EQL",IF(AND(ABS(DX67)&lt;=0.25,$E67="Peak",DM67="HH"),"EQH","")))</f>
        <v/>
      </c>
      <c r="EJ67" s="2" t="str">
        <f aca="false">IF(DY67="","",IF(AND(ABS(DY67)&lt;=0.25,$E67="Bottom",DN67="LL"),"EQL",IF(AND(ABS(DY67)&lt;=0.25,$E67="Peak",DN67="HH"),"EQH","")))</f>
        <v/>
      </c>
      <c r="EK67" s="2" t="str">
        <f aca="false">IF(DZ67="","",IF(AND(ABS(DZ67)&lt;=0.25,$E67="Bottom",DO67="LL"),"EQL",IF(AND(ABS(DZ67)&lt;=0.25,$E67="Peak",DO67="HH"),"EQH","")))</f>
        <v/>
      </c>
      <c r="EL67" s="2" t="str">
        <f aca="false">IF(EA67="","",IF(AND(ABS(EA67)&lt;=0.25,$E67="Bottom",DP67="LL"),"EQL",IF(AND(ABS(EA67)&lt;=0.25,$E67="Peak",DP67="HH"),"EQH","")))</f>
        <v/>
      </c>
      <c r="EM67" s="2" t="str">
        <f aca="false">IF(EB67="","",IF(AND(ABS(EB67)&lt;=0.25,$E67="Bottom",DQ67="LL"),"EQL",IF(AND(ABS(EB67)&lt;=0.25,$E67="Peak",DQ67="HH"),"EQH","")))</f>
        <v/>
      </c>
      <c r="EN67" s="2" t="str">
        <f aca="false">IF(EC67="","",IF(AND(ABS(EC67)&lt;=0.25,$E67="Bottom",DR67="LL"),"EQL",IF(AND(ABS(EC67)&lt;=0.25,$E67="Peak",DR67="HH"),"EQH","")))</f>
        <v/>
      </c>
      <c r="EO67" s="2" t="str">
        <f aca="false">IF(ED67="","",IF(AND(ABS(ED67)&lt;=0.25,$E67="Bottom",DS67="LL"),"EQL",IF(AND(ABS(ED67)&lt;=0.25,$E67="Peak",DS67="HH"),"EQH","")))</f>
        <v/>
      </c>
      <c r="EP67" s="2" t="str">
        <f aca="false">IF(EE67="","",IF(AND(ABS(EE67)&lt;=0.25,$E67="Bottom",DT67="LL"),"EQL",IF(AND(ABS(EE67)&lt;=0.25,$E67="Peak",DT67="HH"),"EQH","")))</f>
        <v/>
      </c>
      <c r="EQ67" s="2" t="str">
        <f aca="false">IF(EF67="","",IF(AND(ABS(EF67)&lt;=0.25,$E67="Bottom",DU67="LL"),"EQL",IF(AND(ABS(EF67)&lt;=0.25,$E67="Peak",DU67="HH"),"EQH","")))</f>
        <v/>
      </c>
      <c r="ER67" s="2" t="str">
        <f aca="false">IF(OR(EG67="EQL",EG67="EQH"),G67,"")</f>
        <v/>
      </c>
      <c r="ES67" s="2" t="n">
        <f aca="false">IF(OR(EH67="EQL",EH67="EQH"),H67,"")</f>
        <v>4635.83</v>
      </c>
      <c r="ET67" s="2" t="str">
        <f aca="false">IF(OR(EI67="EQL",EI67="EQH"),I67,"")</f>
        <v/>
      </c>
      <c r="EU67" s="2" t="str">
        <f aca="false">IF(OR(EJ67="EQL",EJ67="EQH"),J67,"")</f>
        <v/>
      </c>
      <c r="EV67" s="2" t="str">
        <f aca="false">IF(OR(EK67="EQL",EK67="EQH"),K67,"")</f>
        <v/>
      </c>
      <c r="EW67" s="2" t="str">
        <f aca="false">IF(OR(EL67="EQL",EL67="EQH"),L67,"")</f>
        <v/>
      </c>
      <c r="EX67" s="2" t="str">
        <f aca="false">IF(OR(EM67="EQL",EM67="EQH"),M67,"")</f>
        <v/>
      </c>
      <c r="EY67" s="2" t="str">
        <f aca="false">IF(OR(EN67="EQL",EN67="EQH"),N67,"")</f>
        <v/>
      </c>
      <c r="EZ67" s="2" t="str">
        <f aca="false">IF(OR(EO67="EQL",EO67="EQH"),O67,"")</f>
        <v/>
      </c>
      <c r="FA67" s="2" t="str">
        <f aca="false">IF(OR(EP67="EQL",EP67="EQH"),P67,"")</f>
        <v/>
      </c>
      <c r="FB67" s="2" t="str">
        <f aca="false">IF(OR(EQ67="EQL",EQ67="EQH"),Q67,"")</f>
        <v/>
      </c>
      <c r="FC67" s="2" t="str">
        <f aca="false">IF(AND(EG67="EQL",OR(AQ67=4,AQ67=5)),"IEQL",IF(AND(EG67="EQH",OR(AQ67=1,AQ67=2)),"IEQH",""))</f>
        <v/>
      </c>
      <c r="FD67" s="2" t="str">
        <f aca="false">IF(AND(EH67="EQL",OR(AR67=4,AR67=5)),"IEQL",IF(AND(EH67="EQH",OR(AR67=1,AR67=2)),"IEQH",""))</f>
        <v/>
      </c>
      <c r="FE67" s="2" t="str">
        <f aca="false">IF(AND(EI67="EQL",OR(AS67=4,AS67=5)),"IEQL",IF(AND(EI67="EQH",OR(AS67=1,AS67=2)),"IEQH",""))</f>
        <v/>
      </c>
      <c r="FF67" s="2" t="str">
        <f aca="false">IF(AND(EJ67="EQL",OR(AT67=4,AT67=5)),"IEQL",IF(AND(EJ67="EQH",OR(AT67=1,AT67=2)),"IEQH",""))</f>
        <v/>
      </c>
      <c r="FG67" s="2" t="str">
        <f aca="false">IF(AND(EK67="EQL",OR(AU67=4,AU67=5)),"IEQL",IF(AND(EK67="EQH",OR(AU67=1,AU67=2)),"IEQH",""))</f>
        <v/>
      </c>
      <c r="FH67" s="2" t="str">
        <f aca="false">IF(AND(EL67="EQL",OR(AV67=4,AV67=5)),"IEQL",IF(AND(EL67="EQH",OR(AV67=1,AV67=2)),"IEQH",""))</f>
        <v/>
      </c>
      <c r="FI67" s="2" t="str">
        <f aca="false">IF(AND(EM67="EQL",OR(AW67=4,AW67=5)),"IEQL",IF(AND(EM67="EQH",OR(AW67=1,AW67=2)),"IEQH",""))</f>
        <v/>
      </c>
      <c r="FJ67" s="2" t="str">
        <f aca="false">IF(AND(EN67="EQL",OR(AX67=4,AX67=5)),"IEQL",IF(AND(EN67="EQH",OR(AX67=1,AX67=2)),"IEQH",""))</f>
        <v/>
      </c>
      <c r="FK67" s="2" t="str">
        <f aca="false">IF(AND(EO67="EQL",OR(AY67=4,AY67=5)),"IEQL",IF(AND(EO67="EQH",OR(AY67=1,AY67=2)),"IEQH",""))</f>
        <v/>
      </c>
      <c r="FL67" s="2" t="str">
        <f aca="false">IF(AND(EP67="EQL",OR(AZ67=4,AZ67=5)),"IEQL",IF(AND(EP67="EQH",OR(AZ67=1,AZ67=2)),"IEQH",""))</f>
        <v/>
      </c>
      <c r="FM67" s="2" t="str">
        <f aca="false">IF(AND(EQ67="EQL",OR(BA67=4,BA67=5)),"IEQL",IF(AND(EQ67="EQH",OR(BA67=1,BA67=2)),"IEQH",""))</f>
        <v/>
      </c>
    </row>
    <row r="68" customFormat="false" ht="14.25" hidden="false" customHeight="false" outlineLevel="0" collapsed="false">
      <c r="A68" s="1" t="n">
        <v>1777858202</v>
      </c>
      <c r="B68" s="1" t="s">
        <v>169</v>
      </c>
      <c r="C68" s="1" t="s">
        <v>170</v>
      </c>
      <c r="D68" s="1" t="n">
        <v>4601.59</v>
      </c>
      <c r="E68" s="1" t="s">
        <v>171</v>
      </c>
      <c r="F68" s="1" t="n">
        <v>4592.93</v>
      </c>
      <c r="G68" s="2" t="n">
        <f aca="false">F66</f>
        <v>4607.09</v>
      </c>
      <c r="H68" s="2" t="n">
        <f aca="false">F64</f>
        <v>4560.44</v>
      </c>
      <c r="I68" s="2" t="n">
        <f aca="false">F62</f>
        <v>4614.27</v>
      </c>
      <c r="J68" s="2" t="n">
        <f aca="false">F60</f>
        <v>4605.56</v>
      </c>
      <c r="K68" s="2" t="n">
        <f aca="false">F58</f>
        <v>4540.82</v>
      </c>
      <c r="L68" s="2" t="n">
        <f aca="false">F56</f>
        <v>4518.41</v>
      </c>
      <c r="M68" s="2" t="n">
        <f aca="false">F54</f>
        <v>4510.28</v>
      </c>
      <c r="N68" s="2" t="n">
        <f aca="false">F52</f>
        <v>4575.84</v>
      </c>
      <c r="O68" s="2" t="n">
        <f aca="false">F50</f>
        <v>4587.93</v>
      </c>
      <c r="P68" s="2" t="n">
        <f aca="false">F48</f>
        <v>4555.12</v>
      </c>
      <c r="Q68" s="2" t="n">
        <f aca="false">F46</f>
        <v>4667.32</v>
      </c>
      <c r="R68" s="1" t="n">
        <v>-39.18</v>
      </c>
      <c r="S68" s="2" t="n">
        <f aca="false">R66</f>
        <v>-53.23</v>
      </c>
      <c r="T68" s="2" t="n">
        <f aca="false">R64</f>
        <v>-75.39</v>
      </c>
      <c r="U68" s="2" t="n">
        <f aca="false">R62</f>
        <v>-19.87</v>
      </c>
      <c r="V68" s="2" t="n">
        <f aca="false">R60</f>
        <v>-41.54</v>
      </c>
      <c r="W68" s="2" t="n">
        <f aca="false">R58</f>
        <v>-41.5</v>
      </c>
      <c r="X68" s="2" t="n">
        <f aca="false">R56</f>
        <v>-46.34</v>
      </c>
      <c r="Y68" s="2" t="n">
        <f aca="false">R54</f>
        <v>-97.49</v>
      </c>
      <c r="Z68" s="2" t="n">
        <f aca="false">R52</f>
        <v>-34.31</v>
      </c>
      <c r="AA68" s="2" t="n">
        <f aca="false">R50</f>
        <v>-13.56</v>
      </c>
      <c r="AB68" s="2" t="n">
        <f aca="false">R48</f>
        <v>-146.02</v>
      </c>
      <c r="AC68" s="2" t="n">
        <f aca="false">R46</f>
        <v>-45.27</v>
      </c>
      <c r="AD68" s="1" t="n">
        <v>-0.85</v>
      </c>
      <c r="AE68" s="2" t="n">
        <f aca="false">AD66</f>
        <v>-1.14</v>
      </c>
      <c r="AF68" s="2" t="n">
        <f aca="false">AD64</f>
        <v>-1.63</v>
      </c>
      <c r="AG68" s="2" t="n">
        <f aca="false">AD62</f>
        <v>-0.43</v>
      </c>
      <c r="AH68" s="2" t="n">
        <f aca="false">AD60</f>
        <v>-0.89</v>
      </c>
      <c r="AI68" s="2" t="n">
        <f aca="false">AD58</f>
        <v>-0.91</v>
      </c>
      <c r="AJ68" s="2" t="n">
        <f aca="false">AD56</f>
        <v>-1.02</v>
      </c>
      <c r="AK68" s="2" t="n">
        <f aca="false">AD54</f>
        <v>-2.12</v>
      </c>
      <c r="AL68" s="2" t="n">
        <f aca="false">AD52</f>
        <v>-0.74</v>
      </c>
      <c r="AM68" s="2" t="n">
        <f aca="false">AD50</f>
        <v>-0.29</v>
      </c>
      <c r="AN68" s="2" t="n">
        <f aca="false">AD48</f>
        <v>-3.11</v>
      </c>
      <c r="AO68" s="2" t="n">
        <f aca="false">AD46</f>
        <v>-0.96</v>
      </c>
      <c r="AP68" s="1" t="n">
        <v>3</v>
      </c>
      <c r="AQ68" s="2" t="n">
        <f aca="false">AP66</f>
        <v>3</v>
      </c>
      <c r="AR68" s="2" t="n">
        <f aca="false">AP64</f>
        <v>3</v>
      </c>
      <c r="AS68" s="2" t="n">
        <f aca="false">AP62</f>
        <v>3</v>
      </c>
      <c r="AT68" s="2" t="n">
        <f aca="false">AP60</f>
        <v>3</v>
      </c>
      <c r="AU68" s="2" t="n">
        <f aca="false">AP58</f>
        <v>3</v>
      </c>
      <c r="AV68" s="2" t="n">
        <f aca="false">AP56</f>
        <v>3</v>
      </c>
      <c r="AW68" s="2" t="n">
        <f aca="false">AP54</f>
        <v>4</v>
      </c>
      <c r="AX68" s="2" t="n">
        <f aca="false">AP52</f>
        <v>3</v>
      </c>
      <c r="AY68" s="2" t="n">
        <f aca="false">AP50</f>
        <v>3</v>
      </c>
      <c r="AZ68" s="2" t="n">
        <f aca="false">AP48</f>
        <v>5</v>
      </c>
      <c r="BA68" s="2" t="n">
        <f aca="false">AP46</f>
        <v>3</v>
      </c>
      <c r="BB68" s="1" t="n">
        <v>14</v>
      </c>
      <c r="BC68" s="2" t="n">
        <f aca="false">BB66</f>
        <v>23</v>
      </c>
      <c r="BD68" s="2" t="n">
        <f aca="false">BB64</f>
        <v>30</v>
      </c>
      <c r="BE68" s="2" t="n">
        <f aca="false">BB62</f>
        <v>7</v>
      </c>
      <c r="BF68" s="2" t="n">
        <f aca="false">BB60</f>
        <v>25</v>
      </c>
      <c r="BG68" s="2" t="n">
        <f aca="false">BB58</f>
        <v>11</v>
      </c>
      <c r="BH68" s="2" t="n">
        <f aca="false">BB56</f>
        <v>11</v>
      </c>
      <c r="BI68" s="2" t="n">
        <f aca="false">BB54</f>
        <v>35</v>
      </c>
      <c r="BJ68" s="2" t="n">
        <f aca="false">BB52</f>
        <v>4</v>
      </c>
      <c r="BK68" s="2" t="n">
        <f aca="false">BB50</f>
        <v>20</v>
      </c>
      <c r="BL68" s="2" t="n">
        <f aca="false">BB48</f>
        <v>48</v>
      </c>
      <c r="BM68" s="2" t="n">
        <f aca="false">BB46</f>
        <v>11</v>
      </c>
      <c r="BN68" s="1" t="n">
        <v>3</v>
      </c>
      <c r="BO68" s="2" t="n">
        <f aca="false">BN66</f>
        <v>3</v>
      </c>
      <c r="BP68" s="2" t="n">
        <f aca="false">BN64</f>
        <v>3</v>
      </c>
      <c r="BQ68" s="2" t="n">
        <f aca="false">BN62</f>
        <v>3</v>
      </c>
      <c r="BR68" s="2" t="n">
        <f aca="false">BN60</f>
        <v>3</v>
      </c>
      <c r="BS68" s="2" t="n">
        <f aca="false">BN58</f>
        <v>3</v>
      </c>
      <c r="BT68" s="2" t="n">
        <f aca="false">BN56</f>
        <v>3</v>
      </c>
      <c r="BU68" s="2" t="n">
        <f aca="false">BN54</f>
        <v>3</v>
      </c>
      <c r="BV68" s="2" t="n">
        <f aca="false">BN52</f>
        <v>3</v>
      </c>
      <c r="BW68" s="2" t="n">
        <f aca="false">BN50</f>
        <v>3</v>
      </c>
      <c r="BX68" s="2" t="n">
        <f aca="false">BN48</f>
        <v>5</v>
      </c>
      <c r="BY68" s="2" t="n">
        <f aca="false">BN46</f>
        <v>3</v>
      </c>
      <c r="BZ68" s="1" t="n">
        <v>-2.79857</v>
      </c>
      <c r="CA68" s="2" t="n">
        <f aca="false">BZ66</f>
        <v>-2.31435</v>
      </c>
      <c r="CB68" s="2" t="n">
        <f aca="false">BZ64</f>
        <v>-2.513</v>
      </c>
      <c r="CC68" s="2" t="n">
        <f aca="false">BZ62</f>
        <v>-2.83857</v>
      </c>
      <c r="CD68" s="2" t="n">
        <f aca="false">BZ60</f>
        <v>-1.6616</v>
      </c>
      <c r="CE68" s="2" t="n">
        <f aca="false">BZ58</f>
        <v>-3.77273</v>
      </c>
      <c r="CF68" s="2" t="n">
        <f aca="false">BZ56</f>
        <v>-4.21273</v>
      </c>
      <c r="CG68" s="2" t="n">
        <f aca="false">BZ54</f>
        <v>-2.78543</v>
      </c>
      <c r="CH68" s="2" t="n">
        <f aca="false">BZ52</f>
        <v>-8.5775</v>
      </c>
      <c r="CI68" s="2" t="n">
        <f aca="false">BZ50</f>
        <v>-0.678</v>
      </c>
      <c r="CJ68" s="2" t="n">
        <f aca="false">BZ48</f>
        <v>-3.04208</v>
      </c>
      <c r="CK68" s="2" t="n">
        <f aca="false">BZ46</f>
        <v>-4.11545</v>
      </c>
      <c r="CL68" s="1" t="n">
        <v>3</v>
      </c>
      <c r="CM68" s="2" t="n">
        <f aca="false">CL66</f>
        <v>3</v>
      </c>
      <c r="CN68" s="2" t="n">
        <f aca="false">CL64</f>
        <v>3</v>
      </c>
      <c r="CO68" s="2" t="n">
        <f aca="false">CL62</f>
        <v>3</v>
      </c>
      <c r="CP68" s="2" t="n">
        <f aca="false">CL60</f>
        <v>3</v>
      </c>
      <c r="CQ68" s="2" t="n">
        <f aca="false">CL58</f>
        <v>3</v>
      </c>
      <c r="CR68" s="2" t="n">
        <f aca="false">CL56</f>
        <v>3</v>
      </c>
      <c r="CS68" s="2" t="n">
        <f aca="false">CL54</f>
        <v>3</v>
      </c>
      <c r="CT68" s="2" t="n">
        <f aca="false">CL52</f>
        <v>3</v>
      </c>
      <c r="CU68" s="2" t="n">
        <f aca="false">CL50</f>
        <v>3</v>
      </c>
      <c r="CV68" s="2" t="n">
        <f aca="false">CL48</f>
        <v>3</v>
      </c>
      <c r="CW68" s="2" t="n">
        <f aca="false">CL46</f>
        <v>3</v>
      </c>
      <c r="CX68" s="1" t="n">
        <v>-70.3369</v>
      </c>
      <c r="CY68" s="2" t="n">
        <f aca="false">CX66</f>
        <v>-66.6314</v>
      </c>
      <c r="CZ68" s="2" t="n">
        <f aca="false">CX64</f>
        <v>-68.3009</v>
      </c>
      <c r="DA68" s="2" t="n">
        <f aca="false">CX62</f>
        <v>-70.5932</v>
      </c>
      <c r="DB68" s="2" t="n">
        <f aca="false">CX60</f>
        <v>-58.9592</v>
      </c>
      <c r="DC68" s="2" t="n">
        <f aca="false">CX58</f>
        <v>-75.1545</v>
      </c>
      <c r="DD68" s="2" t="n">
        <f aca="false">CX56</f>
        <v>-76.6465</v>
      </c>
      <c r="DE68" s="2" t="n">
        <f aca="false">CX54</f>
        <v>-70.2513</v>
      </c>
      <c r="DF68" s="2" t="n">
        <f aca="false">CX52</f>
        <v>-83.3502</v>
      </c>
      <c r="DG68" s="2" t="n">
        <f aca="false">CX50</f>
        <v>-34.1373</v>
      </c>
      <c r="DH68" s="2" t="n">
        <f aca="false">CX48</f>
        <v>-71.8032</v>
      </c>
      <c r="DI68" s="2" t="n">
        <f aca="false">CX46</f>
        <v>-76.3426</v>
      </c>
      <c r="DJ68" s="1" t="s">
        <v>172</v>
      </c>
      <c r="DK68" s="2" t="str">
        <f aca="false">DJ66</f>
        <v>HL</v>
      </c>
      <c r="DL68" s="2" t="str">
        <f aca="false">DJ64</f>
        <v>LL</v>
      </c>
      <c r="DM68" s="2" t="str">
        <f aca="false">DJ62</f>
        <v>HL</v>
      </c>
      <c r="DN68" s="2" t="str">
        <f aca="false">DJ60</f>
        <v>HL</v>
      </c>
      <c r="DO68" s="2" t="str">
        <f aca="false">DJ58</f>
        <v>HL</v>
      </c>
      <c r="DP68" s="2" t="str">
        <f aca="false">DJ56</f>
        <v>HL</v>
      </c>
      <c r="DQ68" s="2" t="str">
        <f aca="false">DJ54</f>
        <v>LL</v>
      </c>
      <c r="DR68" s="2" t="str">
        <f aca="false">DJ52</f>
        <v>LL</v>
      </c>
      <c r="DS68" s="2" t="str">
        <f aca="false">DJ50</f>
        <v>HL</v>
      </c>
      <c r="DT68" s="2" t="str">
        <f aca="false">DJ48</f>
        <v>LL</v>
      </c>
      <c r="DU68" s="2" t="str">
        <f aca="false">DJ46</f>
        <v>LL</v>
      </c>
      <c r="DV68" s="2" t="n">
        <f aca="false">IFERROR((G68-$F68)/$F68*100,"")</f>
        <v>0.308299930545422</v>
      </c>
      <c r="DW68" s="2" t="n">
        <f aca="false">IFERROR((H68-$F68)/$F68*100,"")</f>
        <v>-0.707391577925218</v>
      </c>
      <c r="DX68" s="2" t="n">
        <f aca="false">IFERROR((I68-$F68)/$F68*100,"")</f>
        <v>0.464627155214648</v>
      </c>
      <c r="DY68" s="2" t="n">
        <f aca="false">IFERROR((J68-$F68)/$F68*100,"")</f>
        <v>0.274987861778867</v>
      </c>
      <c r="DZ68" s="2" t="n">
        <f aca="false">IFERROR((K68-$F68)/$F68*100,"")</f>
        <v>-1.13456987151994</v>
      </c>
      <c r="EA68" s="2" t="n">
        <f aca="false">IFERROR((L68-$F68)/$F68*100,"")</f>
        <v>-1.62249370227721</v>
      </c>
      <c r="EB68" s="2" t="n">
        <f aca="false">IFERROR((M68-$F68)/$F68*100,"")</f>
        <v>-1.79950489121325</v>
      </c>
      <c r="EC68" s="2" t="n">
        <f aca="false">IFERROR((N68-$F68)/$F68*100,"")</f>
        <v>-0.372093630863091</v>
      </c>
      <c r="ED68" s="2" t="n">
        <f aca="false">IFERROR((O68-$F68)/$F68*100,"")</f>
        <v>-0.108862969825362</v>
      </c>
      <c r="EE68" s="2" t="n">
        <f aca="false">IFERROR((P68-$F68)/$F68*100,"")</f>
        <v>-0.823221777819396</v>
      </c>
      <c r="EF68" s="2" t="n">
        <f aca="false">IFERROR((Q68-$F68)/$F68*100,"")</f>
        <v>1.61966326506172</v>
      </c>
      <c r="EG68" s="2" t="str">
        <f aca="false">IF(DV68="","",IF(AND(ABS(DV68)&lt;=0.25,$E68="Bottom",DK68="LL"),"EQL",IF(AND(ABS(DV68)&lt;=0.25,$E68="Peak",DK68="HH"),"EQH","")))</f>
        <v/>
      </c>
      <c r="EH68" s="2" t="str">
        <f aca="false">IF(DW68="","",IF(AND(ABS(DW68)&lt;=0.25,$E68="Bottom",DL68="LL"),"EQL",IF(AND(ABS(DW68)&lt;=0.25,$E68="Peak",DL68="HH"),"EQH","")))</f>
        <v/>
      </c>
      <c r="EI68" s="2" t="str">
        <f aca="false">IF(DX68="","",IF(AND(ABS(DX68)&lt;=0.25,$E68="Bottom",DM68="LL"),"EQL",IF(AND(ABS(DX68)&lt;=0.25,$E68="Peak",DM68="HH"),"EQH","")))</f>
        <v/>
      </c>
      <c r="EJ68" s="2" t="str">
        <f aca="false">IF(DY68="","",IF(AND(ABS(DY68)&lt;=0.25,$E68="Bottom",DN68="LL"),"EQL",IF(AND(ABS(DY68)&lt;=0.25,$E68="Peak",DN68="HH"),"EQH","")))</f>
        <v/>
      </c>
      <c r="EK68" s="2" t="str">
        <f aca="false">IF(DZ68="","",IF(AND(ABS(DZ68)&lt;=0.25,$E68="Bottom",DO68="LL"),"EQL",IF(AND(ABS(DZ68)&lt;=0.25,$E68="Peak",DO68="HH"),"EQH","")))</f>
        <v/>
      </c>
      <c r="EL68" s="2" t="str">
        <f aca="false">IF(EA68="","",IF(AND(ABS(EA68)&lt;=0.25,$E68="Bottom",DP68="LL"),"EQL",IF(AND(ABS(EA68)&lt;=0.25,$E68="Peak",DP68="HH"),"EQH","")))</f>
        <v/>
      </c>
      <c r="EM68" s="2" t="str">
        <f aca="false">IF(EB68="","",IF(AND(ABS(EB68)&lt;=0.25,$E68="Bottom",DQ68="LL"),"EQL",IF(AND(ABS(EB68)&lt;=0.25,$E68="Peak",DQ68="HH"),"EQH","")))</f>
        <v/>
      </c>
      <c r="EN68" s="2" t="str">
        <f aca="false">IF(EC68="","",IF(AND(ABS(EC68)&lt;=0.25,$E68="Bottom",DR68="LL"),"EQL",IF(AND(ABS(EC68)&lt;=0.25,$E68="Peak",DR68="HH"),"EQH","")))</f>
        <v/>
      </c>
      <c r="EO68" s="2" t="str">
        <f aca="false">IF(ED68="","",IF(AND(ABS(ED68)&lt;=0.25,$E68="Bottom",DS68="LL"),"EQL",IF(AND(ABS(ED68)&lt;=0.25,$E68="Peak",DS68="HH"),"EQH","")))</f>
        <v/>
      </c>
      <c r="EP68" s="2" t="str">
        <f aca="false">IF(EE68="","",IF(AND(ABS(EE68)&lt;=0.25,$E68="Bottom",DT68="LL"),"EQL",IF(AND(ABS(EE68)&lt;=0.25,$E68="Peak",DT68="HH"),"EQH","")))</f>
        <v/>
      </c>
      <c r="EQ68" s="2" t="str">
        <f aca="false">IF(EF68="","",IF(AND(ABS(EF68)&lt;=0.25,$E68="Bottom",DU68="LL"),"EQL",IF(AND(ABS(EF68)&lt;=0.25,$E68="Peak",DU68="HH"),"EQH","")))</f>
        <v/>
      </c>
      <c r="ER68" s="2" t="str">
        <f aca="false">IF(OR(EG68="EQL",EG68="EQH"),G68,"")</f>
        <v/>
      </c>
      <c r="ES68" s="2" t="str">
        <f aca="false">IF(OR(EH68="EQL",EH68="EQH"),H68,"")</f>
        <v/>
      </c>
      <c r="ET68" s="2" t="str">
        <f aca="false">IF(OR(EI68="EQL",EI68="EQH"),I68,"")</f>
        <v/>
      </c>
      <c r="EU68" s="2" t="str">
        <f aca="false">IF(OR(EJ68="EQL",EJ68="EQH"),J68,"")</f>
        <v/>
      </c>
      <c r="EV68" s="2" t="str">
        <f aca="false">IF(OR(EK68="EQL",EK68="EQH"),K68,"")</f>
        <v/>
      </c>
      <c r="EW68" s="2" t="str">
        <f aca="false">IF(OR(EL68="EQL",EL68="EQH"),L68,"")</f>
        <v/>
      </c>
      <c r="EX68" s="2" t="str">
        <f aca="false">IF(OR(EM68="EQL",EM68="EQH"),M68,"")</f>
        <v/>
      </c>
      <c r="EY68" s="2" t="str">
        <f aca="false">IF(OR(EN68="EQL",EN68="EQH"),N68,"")</f>
        <v/>
      </c>
      <c r="EZ68" s="2" t="str">
        <f aca="false">IF(OR(EO68="EQL",EO68="EQH"),O68,"")</f>
        <v/>
      </c>
      <c r="FA68" s="2" t="str">
        <f aca="false">IF(OR(EP68="EQL",EP68="EQH"),P68,"")</f>
        <v/>
      </c>
      <c r="FB68" s="2" t="str">
        <f aca="false">IF(OR(EQ68="EQL",EQ68="EQH"),Q68,"")</f>
        <v/>
      </c>
      <c r="FC68" s="2" t="str">
        <f aca="false">IF(AND(EG68="EQL",OR(AQ68=4,AQ68=5)),"IEQL",IF(AND(EG68="EQH",OR(AQ68=1,AQ68=2)),"IEQH",""))</f>
        <v/>
      </c>
      <c r="FD68" s="2" t="str">
        <f aca="false">IF(AND(EH68="EQL",OR(AR68=4,AR68=5)),"IEQL",IF(AND(EH68="EQH",OR(AR68=1,AR68=2)),"IEQH",""))</f>
        <v/>
      </c>
      <c r="FE68" s="2" t="str">
        <f aca="false">IF(AND(EI68="EQL",OR(AS68=4,AS68=5)),"IEQL",IF(AND(EI68="EQH",OR(AS68=1,AS68=2)),"IEQH",""))</f>
        <v/>
      </c>
      <c r="FF68" s="2" t="str">
        <f aca="false">IF(AND(EJ68="EQL",OR(AT68=4,AT68=5)),"IEQL",IF(AND(EJ68="EQH",OR(AT68=1,AT68=2)),"IEQH",""))</f>
        <v/>
      </c>
      <c r="FG68" s="2" t="str">
        <f aca="false">IF(AND(EK68="EQL",OR(AU68=4,AU68=5)),"IEQL",IF(AND(EK68="EQH",OR(AU68=1,AU68=2)),"IEQH",""))</f>
        <v/>
      </c>
      <c r="FH68" s="2" t="str">
        <f aca="false">IF(AND(EL68="EQL",OR(AV68=4,AV68=5)),"IEQL",IF(AND(EL68="EQH",OR(AV68=1,AV68=2)),"IEQH",""))</f>
        <v/>
      </c>
      <c r="FI68" s="2" t="str">
        <f aca="false">IF(AND(EM68="EQL",OR(AW68=4,AW68=5)),"IEQL",IF(AND(EM68="EQH",OR(AW68=1,AW68=2)),"IEQH",""))</f>
        <v/>
      </c>
      <c r="FJ68" s="2" t="str">
        <f aca="false">IF(AND(EN68="EQL",OR(AX68=4,AX68=5)),"IEQL",IF(AND(EN68="EQH",OR(AX68=1,AX68=2)),"IEQH",""))</f>
        <v/>
      </c>
      <c r="FK68" s="2" t="str">
        <f aca="false">IF(AND(EO68="EQL",OR(AY68=4,AY68=5)),"IEQL",IF(AND(EO68="EQH",OR(AY68=1,AY68=2)),"IEQH",""))</f>
        <v/>
      </c>
      <c r="FL68" s="2" t="str">
        <f aca="false">IF(AND(EP68="EQL",OR(AZ68=4,AZ68=5)),"IEQL",IF(AND(EP68="EQH",OR(AZ68=1,AZ68=2)),"IEQH",""))</f>
        <v/>
      </c>
      <c r="FM68" s="2" t="str">
        <f aca="false">IF(AND(EQ68="EQL",OR(BA68=4,BA68=5)),"IEQL",IF(AND(EQ68="EQH",OR(BA68=1,BA68=2)),"IEQH",""))</f>
        <v/>
      </c>
    </row>
    <row r="69" customFormat="false" ht="14.25" hidden="false" customHeight="false" outlineLevel="0" collapsed="false">
      <c r="A69" s="1" t="n">
        <v>1777860002</v>
      </c>
      <c r="B69" s="1" t="s">
        <v>169</v>
      </c>
      <c r="C69" s="1" t="s">
        <v>170</v>
      </c>
      <c r="D69" s="1" t="n">
        <v>4608.34</v>
      </c>
      <c r="E69" s="1" t="s">
        <v>173</v>
      </c>
      <c r="F69" s="1" t="n">
        <v>4618.59</v>
      </c>
      <c r="G69" s="2" t="n">
        <f aca="false">F67</f>
        <v>4632.11</v>
      </c>
      <c r="H69" s="2" t="n">
        <f aca="false">F65</f>
        <v>4660.32</v>
      </c>
      <c r="I69" s="2" t="n">
        <f aca="false">F63</f>
        <v>4635.83</v>
      </c>
      <c r="J69" s="2" t="n">
        <f aca="false">F61</f>
        <v>4634.14</v>
      </c>
      <c r="K69" s="2" t="n">
        <f aca="false">F59</f>
        <v>4647.1</v>
      </c>
      <c r="L69" s="2" t="n">
        <f aca="false">F57</f>
        <v>4582.32</v>
      </c>
      <c r="M69" s="2" t="n">
        <f aca="false">F55</f>
        <v>4564.75</v>
      </c>
      <c r="N69" s="2" t="n">
        <f aca="false">F53</f>
        <v>4607.77</v>
      </c>
      <c r="O69" s="2" t="n">
        <f aca="false">F51</f>
        <v>4610.15</v>
      </c>
      <c r="P69" s="2" t="n">
        <f aca="false">F49</f>
        <v>4601.49</v>
      </c>
      <c r="Q69" s="2" t="n">
        <f aca="false">F47</f>
        <v>4701.14</v>
      </c>
      <c r="R69" s="1" t="n">
        <v>25.66</v>
      </c>
      <c r="S69" s="2" t="n">
        <f aca="false">R67</f>
        <v>25.02</v>
      </c>
      <c r="T69" s="2" t="n">
        <f aca="false">R65</f>
        <v>99.88</v>
      </c>
      <c r="U69" s="2" t="n">
        <f aca="false">R63</f>
        <v>21.56</v>
      </c>
      <c r="V69" s="2" t="n">
        <f aca="false">R61</f>
        <v>28.58</v>
      </c>
      <c r="W69" s="2" t="n">
        <f aca="false">R59</f>
        <v>106.28</v>
      </c>
      <c r="X69" s="2" t="n">
        <f aca="false">R57</f>
        <v>63.91</v>
      </c>
      <c r="Y69" s="2" t="n">
        <f aca="false">R55</f>
        <v>54.47</v>
      </c>
      <c r="Z69" s="2" t="n">
        <f aca="false">R53</f>
        <v>31.93</v>
      </c>
      <c r="AA69" s="2" t="n">
        <f aca="false">R51</f>
        <v>22.22</v>
      </c>
      <c r="AB69" s="2" t="n">
        <f aca="false">R49</f>
        <v>46.37</v>
      </c>
      <c r="AC69" s="2" t="n">
        <f aca="false">R47</f>
        <v>33.82</v>
      </c>
      <c r="AD69" s="1" t="n">
        <v>0.56</v>
      </c>
      <c r="AE69" s="2" t="n">
        <f aca="false">AD67</f>
        <v>0.54</v>
      </c>
      <c r="AF69" s="2" t="n">
        <f aca="false">AD65</f>
        <v>2.19</v>
      </c>
      <c r="AG69" s="2" t="n">
        <f aca="false">AD63</f>
        <v>0.47</v>
      </c>
      <c r="AH69" s="2" t="n">
        <f aca="false">AD61</f>
        <v>0.62</v>
      </c>
      <c r="AI69" s="2" t="n">
        <f aca="false">AD59</f>
        <v>2.34</v>
      </c>
      <c r="AJ69" s="2" t="n">
        <f aca="false">AD57</f>
        <v>1.41</v>
      </c>
      <c r="AK69" s="2" t="n">
        <f aca="false">AD55</f>
        <v>1.21</v>
      </c>
      <c r="AL69" s="2" t="n">
        <f aca="false">AD53</f>
        <v>0.7</v>
      </c>
      <c r="AM69" s="2" t="n">
        <f aca="false">AD51</f>
        <v>0.48</v>
      </c>
      <c r="AN69" s="2" t="n">
        <f aca="false">AD49</f>
        <v>1.02</v>
      </c>
      <c r="AO69" s="2" t="n">
        <f aca="false">AD47</f>
        <v>0.72</v>
      </c>
      <c r="AP69" s="1" t="n">
        <v>0</v>
      </c>
      <c r="AQ69" s="2" t="n">
        <f aca="false">AP67</f>
        <v>0</v>
      </c>
      <c r="AR69" s="2" t="n">
        <f aca="false">AP65</f>
        <v>1</v>
      </c>
      <c r="AS69" s="2" t="n">
        <f aca="false">AP63</f>
        <v>0</v>
      </c>
      <c r="AT69" s="2" t="n">
        <f aca="false">AP61</f>
        <v>0</v>
      </c>
      <c r="AU69" s="2" t="n">
        <f aca="false">AP59</f>
        <v>1</v>
      </c>
      <c r="AV69" s="2" t="n">
        <f aca="false">AP57</f>
        <v>0</v>
      </c>
      <c r="AW69" s="2" t="n">
        <f aca="false">AP55</f>
        <v>0</v>
      </c>
      <c r="AX69" s="2" t="n">
        <f aca="false">AP53</f>
        <v>0</v>
      </c>
      <c r="AY69" s="2" t="n">
        <f aca="false">AP51</f>
        <v>0</v>
      </c>
      <c r="AZ69" s="2" t="n">
        <f aca="false">AP49</f>
        <v>0</v>
      </c>
      <c r="BA69" s="2" t="n">
        <f aca="false">AP47</f>
        <v>0</v>
      </c>
      <c r="BB69" s="1" t="n">
        <v>2</v>
      </c>
      <c r="BC69" s="2" t="n">
        <f aca="false">BB67</f>
        <v>4</v>
      </c>
      <c r="BD69" s="2" t="n">
        <f aca="false">BB65</f>
        <v>18</v>
      </c>
      <c r="BE69" s="2" t="n">
        <f aca="false">BB63</f>
        <v>4</v>
      </c>
      <c r="BF69" s="2" t="n">
        <f aca="false">BB61</f>
        <v>23</v>
      </c>
      <c r="BG69" s="2" t="n">
        <f aca="false">BB59</f>
        <v>24</v>
      </c>
      <c r="BH69" s="2" t="n">
        <f aca="false">BB57</f>
        <v>24</v>
      </c>
      <c r="BI69" s="2" t="n">
        <f aca="false">BB55</f>
        <v>9</v>
      </c>
      <c r="BJ69" s="2" t="n">
        <f aca="false">BB53</f>
        <v>16</v>
      </c>
      <c r="BK69" s="2" t="n">
        <f aca="false">BB51</f>
        <v>2</v>
      </c>
      <c r="BL69" s="2" t="n">
        <f aca="false">BB49</f>
        <v>22</v>
      </c>
      <c r="BM69" s="2" t="n">
        <f aca="false">BB47</f>
        <v>32</v>
      </c>
      <c r="BN69" s="1" t="n">
        <v>0</v>
      </c>
      <c r="BO69" s="2" t="n">
        <f aca="false">BN67</f>
        <v>0</v>
      </c>
      <c r="BP69" s="2" t="n">
        <f aca="false">BN65</f>
        <v>0</v>
      </c>
      <c r="BQ69" s="2" t="n">
        <f aca="false">BN63</f>
        <v>0</v>
      </c>
      <c r="BR69" s="2" t="n">
        <f aca="false">BN61</f>
        <v>0</v>
      </c>
      <c r="BS69" s="2" t="n">
        <f aca="false">BN59</f>
        <v>0</v>
      </c>
      <c r="BT69" s="2" t="n">
        <f aca="false">BN57</f>
        <v>0</v>
      </c>
      <c r="BU69" s="2" t="n">
        <f aca="false">BN55</f>
        <v>0</v>
      </c>
      <c r="BV69" s="2" t="n">
        <f aca="false">BN53</f>
        <v>0</v>
      </c>
      <c r="BW69" s="2" t="n">
        <f aca="false">BN51</f>
        <v>0</v>
      </c>
      <c r="BX69" s="2" t="n">
        <f aca="false">BN49</f>
        <v>0</v>
      </c>
      <c r="BY69" s="2" t="n">
        <f aca="false">BN47</f>
        <v>0</v>
      </c>
      <c r="BZ69" s="1" t="n">
        <v>12.83</v>
      </c>
      <c r="CA69" s="2" t="n">
        <f aca="false">BZ67</f>
        <v>6.255</v>
      </c>
      <c r="CB69" s="2" t="n">
        <f aca="false">BZ65</f>
        <v>5.54889</v>
      </c>
      <c r="CC69" s="2" t="n">
        <f aca="false">BZ63</f>
        <v>5.39</v>
      </c>
      <c r="CD69" s="2" t="n">
        <f aca="false">BZ61</f>
        <v>1.24261</v>
      </c>
      <c r="CE69" s="2" t="n">
        <f aca="false">BZ59</f>
        <v>4.42833</v>
      </c>
      <c r="CF69" s="2" t="n">
        <f aca="false">BZ57</f>
        <v>2.66292</v>
      </c>
      <c r="CG69" s="2" t="n">
        <f aca="false">BZ55</f>
        <v>6.05222</v>
      </c>
      <c r="CH69" s="2" t="n">
        <f aca="false">BZ53</f>
        <v>1.99563</v>
      </c>
      <c r="CI69" s="2" t="n">
        <f aca="false">BZ51</f>
        <v>11.11</v>
      </c>
      <c r="CJ69" s="2" t="n">
        <f aca="false">BZ49</f>
        <v>2.10773</v>
      </c>
      <c r="CK69" s="2" t="n">
        <f aca="false">BZ47</f>
        <v>1.05688</v>
      </c>
      <c r="CL69" s="1" t="n">
        <v>0</v>
      </c>
      <c r="CM69" s="2" t="n">
        <f aca="false">CL67</f>
        <v>0</v>
      </c>
      <c r="CN69" s="2" t="n">
        <f aca="false">CL65</f>
        <v>0</v>
      </c>
      <c r="CO69" s="2" t="n">
        <f aca="false">CL63</f>
        <v>0</v>
      </c>
      <c r="CP69" s="2" t="n">
        <f aca="false">CL61</f>
        <v>0</v>
      </c>
      <c r="CQ69" s="2" t="n">
        <f aca="false">CL59</f>
        <v>0</v>
      </c>
      <c r="CR69" s="2" t="n">
        <f aca="false">CL57</f>
        <v>0</v>
      </c>
      <c r="CS69" s="2" t="n">
        <f aca="false">CL55</f>
        <v>0</v>
      </c>
      <c r="CT69" s="2" t="n">
        <f aca="false">CL53</f>
        <v>0</v>
      </c>
      <c r="CU69" s="2" t="n">
        <f aca="false">CL51</f>
        <v>0</v>
      </c>
      <c r="CV69" s="2" t="n">
        <f aca="false">CL49</f>
        <v>0</v>
      </c>
      <c r="CW69" s="2" t="n">
        <f aca="false">CL47</f>
        <v>0</v>
      </c>
      <c r="CX69" s="1" t="n">
        <v>85.5432</v>
      </c>
      <c r="CY69" s="2" t="n">
        <f aca="false">CX67</f>
        <v>80.9169</v>
      </c>
      <c r="CZ69" s="2" t="n">
        <f aca="false">CX65</f>
        <v>79.784</v>
      </c>
      <c r="DA69" s="2" t="n">
        <f aca="false">CX63</f>
        <v>79.4895</v>
      </c>
      <c r="DB69" s="2" t="n">
        <f aca="false">CX61</f>
        <v>51.1743</v>
      </c>
      <c r="DC69" s="2" t="n">
        <f aca="false">CX59</f>
        <v>77.275</v>
      </c>
      <c r="DD69" s="2" t="n">
        <f aca="false">CX57</f>
        <v>69.4174</v>
      </c>
      <c r="DE69" s="2" t="n">
        <f aca="false">CX55</f>
        <v>80.6179</v>
      </c>
      <c r="DF69" s="2" t="n">
        <f aca="false">CX53</f>
        <v>63.3847</v>
      </c>
      <c r="DG69" s="2" t="n">
        <f aca="false">CX51</f>
        <v>84.8567</v>
      </c>
      <c r="DH69" s="2" t="n">
        <f aca="false">CX49</f>
        <v>64.6182</v>
      </c>
      <c r="DI69" s="2" t="n">
        <f aca="false">CX47</f>
        <v>46.5839</v>
      </c>
      <c r="DJ69" s="1" t="s">
        <v>174</v>
      </c>
      <c r="DK69" s="2" t="str">
        <f aca="false">DJ67</f>
        <v>LH</v>
      </c>
      <c r="DL69" s="2" t="str">
        <f aca="false">DJ65</f>
        <v>HH</v>
      </c>
      <c r="DM69" s="2" t="str">
        <f aca="false">DJ63</f>
        <v>HH</v>
      </c>
      <c r="DN69" s="2" t="str">
        <f aca="false">DJ61</f>
        <v>LH</v>
      </c>
      <c r="DO69" s="2" t="str">
        <f aca="false">DJ59</f>
        <v>HH</v>
      </c>
      <c r="DP69" s="2" t="str">
        <f aca="false">DJ57</f>
        <v>HH</v>
      </c>
      <c r="DQ69" s="2" t="str">
        <f aca="false">DJ55</f>
        <v>LH</v>
      </c>
      <c r="DR69" s="2" t="str">
        <f aca="false">DJ53</f>
        <v>LH</v>
      </c>
      <c r="DS69" s="2" t="str">
        <f aca="false">DJ51</f>
        <v>HH</v>
      </c>
      <c r="DT69" s="2" t="str">
        <f aca="false">DJ49</f>
        <v>LH</v>
      </c>
      <c r="DU69" s="2" t="str">
        <f aca="false">DJ47</f>
        <v>LH</v>
      </c>
      <c r="DV69" s="2" t="n">
        <f aca="false">IFERROR((G69-$F69)/$F69*100,"")</f>
        <v>0.292730032325873</v>
      </c>
      <c r="DW69" s="2" t="n">
        <f aca="false">IFERROR((H69-$F69)/$F69*100,"")</f>
        <v>0.903522503621226</v>
      </c>
      <c r="DX69" s="2" t="n">
        <f aca="false">IFERROR((I69-$F69)/$F69*100,"")</f>
        <v>0.373274094474716</v>
      </c>
      <c r="DY69" s="2" t="n">
        <f aca="false">IFERROR((J69-$F69)/$F69*100,"")</f>
        <v>0.336682840433989</v>
      </c>
      <c r="DZ69" s="2" t="n">
        <f aca="false">IFERROR((K69-$F69)/$F69*100,"")</f>
        <v>0.617287960178328</v>
      </c>
      <c r="EA69" s="2" t="n">
        <f aca="false">IFERROR((L69-$F69)/$F69*100,"")</f>
        <v>-0.785304605951177</v>
      </c>
      <c r="EB69" s="2" t="n">
        <f aca="false">IFERROR((M69-$F69)/$F69*100,"")</f>
        <v>-1.16572373819716</v>
      </c>
      <c r="EC69" s="2" t="n">
        <f aca="false">IFERROR((N69-$F69)/$F69*100,"")</f>
        <v>-0.23427063237914</v>
      </c>
      <c r="ED69" s="2" t="n">
        <f aca="false">IFERROR((O69-$F69)/$F69*100,"")</f>
        <v>-0.182739753907589</v>
      </c>
      <c r="EE69" s="2" t="n">
        <f aca="false">IFERROR((P69-$F69)/$F69*100,"")</f>
        <v>-0.370242866329342</v>
      </c>
      <c r="EF69" s="2" t="n">
        <f aca="false">IFERROR((Q69-$F69)/$F69*100,"")</f>
        <v>1.78734202429746</v>
      </c>
      <c r="EG69" s="2" t="str">
        <f aca="false">IF(DV69="","",IF(AND(ABS(DV69)&lt;=0.25,$E69="Bottom",DK69="LL"),"EQL",IF(AND(ABS(DV69)&lt;=0.25,$E69="Peak",DK69="HH"),"EQH","")))</f>
        <v/>
      </c>
      <c r="EH69" s="2" t="str">
        <f aca="false">IF(DW69="","",IF(AND(ABS(DW69)&lt;=0.25,$E69="Bottom",DL69="LL"),"EQL",IF(AND(ABS(DW69)&lt;=0.25,$E69="Peak",DL69="HH"),"EQH","")))</f>
        <v/>
      </c>
      <c r="EI69" s="2" t="str">
        <f aca="false">IF(DX69="","",IF(AND(ABS(DX69)&lt;=0.25,$E69="Bottom",DM69="LL"),"EQL",IF(AND(ABS(DX69)&lt;=0.25,$E69="Peak",DM69="HH"),"EQH","")))</f>
        <v/>
      </c>
      <c r="EJ69" s="2" t="str">
        <f aca="false">IF(DY69="","",IF(AND(ABS(DY69)&lt;=0.25,$E69="Bottom",DN69="LL"),"EQL",IF(AND(ABS(DY69)&lt;=0.25,$E69="Peak",DN69="HH"),"EQH","")))</f>
        <v/>
      </c>
      <c r="EK69" s="2" t="str">
        <f aca="false">IF(DZ69="","",IF(AND(ABS(DZ69)&lt;=0.25,$E69="Bottom",DO69="LL"),"EQL",IF(AND(ABS(DZ69)&lt;=0.25,$E69="Peak",DO69="HH"),"EQH","")))</f>
        <v/>
      </c>
      <c r="EL69" s="2" t="str">
        <f aca="false">IF(EA69="","",IF(AND(ABS(EA69)&lt;=0.25,$E69="Bottom",DP69="LL"),"EQL",IF(AND(ABS(EA69)&lt;=0.25,$E69="Peak",DP69="HH"),"EQH","")))</f>
        <v/>
      </c>
      <c r="EM69" s="2" t="str">
        <f aca="false">IF(EB69="","",IF(AND(ABS(EB69)&lt;=0.25,$E69="Bottom",DQ69="LL"),"EQL",IF(AND(ABS(EB69)&lt;=0.25,$E69="Peak",DQ69="HH"),"EQH","")))</f>
        <v/>
      </c>
      <c r="EN69" s="2" t="str">
        <f aca="false">IF(EC69="","",IF(AND(ABS(EC69)&lt;=0.25,$E69="Bottom",DR69="LL"),"EQL",IF(AND(ABS(EC69)&lt;=0.25,$E69="Peak",DR69="HH"),"EQH","")))</f>
        <v/>
      </c>
      <c r="EO69" s="2" t="str">
        <f aca="false">IF(ED69="","",IF(AND(ABS(ED69)&lt;=0.25,$E69="Bottom",DS69="LL"),"EQL",IF(AND(ABS(ED69)&lt;=0.25,$E69="Peak",DS69="HH"),"EQH","")))</f>
        <v>EQH</v>
      </c>
      <c r="EP69" s="2" t="str">
        <f aca="false">IF(EE69="","",IF(AND(ABS(EE69)&lt;=0.25,$E69="Bottom",DT69="LL"),"EQL",IF(AND(ABS(EE69)&lt;=0.25,$E69="Peak",DT69="HH"),"EQH","")))</f>
        <v/>
      </c>
      <c r="EQ69" s="2" t="str">
        <f aca="false">IF(EF69="","",IF(AND(ABS(EF69)&lt;=0.25,$E69="Bottom",DU69="LL"),"EQL",IF(AND(ABS(EF69)&lt;=0.25,$E69="Peak",DU69="HH"),"EQH","")))</f>
        <v/>
      </c>
      <c r="ER69" s="2" t="str">
        <f aca="false">IF(OR(EG69="EQL",EG69="EQH"),G69,"")</f>
        <v/>
      </c>
      <c r="ES69" s="2" t="str">
        <f aca="false">IF(OR(EH69="EQL",EH69="EQH"),H69,"")</f>
        <v/>
      </c>
      <c r="ET69" s="2" t="str">
        <f aca="false">IF(OR(EI69="EQL",EI69="EQH"),I69,"")</f>
        <v/>
      </c>
      <c r="EU69" s="2" t="str">
        <f aca="false">IF(OR(EJ69="EQL",EJ69="EQH"),J69,"")</f>
        <v/>
      </c>
      <c r="EV69" s="2" t="str">
        <f aca="false">IF(OR(EK69="EQL",EK69="EQH"),K69,"")</f>
        <v/>
      </c>
      <c r="EW69" s="2" t="str">
        <f aca="false">IF(OR(EL69="EQL",EL69="EQH"),L69,"")</f>
        <v/>
      </c>
      <c r="EX69" s="2" t="str">
        <f aca="false">IF(OR(EM69="EQL",EM69="EQH"),M69,"")</f>
        <v/>
      </c>
      <c r="EY69" s="2" t="str">
        <f aca="false">IF(OR(EN69="EQL",EN69="EQH"),N69,"")</f>
        <v/>
      </c>
      <c r="EZ69" s="2" t="n">
        <f aca="false">IF(OR(EO69="EQL",EO69="EQH"),O69,"")</f>
        <v>4610.15</v>
      </c>
      <c r="FA69" s="2" t="str">
        <f aca="false">IF(OR(EP69="EQL",EP69="EQH"),P69,"")</f>
        <v/>
      </c>
      <c r="FB69" s="2" t="str">
        <f aca="false">IF(OR(EQ69="EQL",EQ69="EQH"),Q69,"")</f>
        <v/>
      </c>
      <c r="FC69" s="2" t="str">
        <f aca="false">IF(AND(EG69="EQL",OR(AQ69=4,AQ69=5)),"IEQL",IF(AND(EG69="EQH",OR(AQ69=1,AQ69=2)),"IEQH",""))</f>
        <v/>
      </c>
      <c r="FD69" s="2" t="str">
        <f aca="false">IF(AND(EH69="EQL",OR(AR69=4,AR69=5)),"IEQL",IF(AND(EH69="EQH",OR(AR69=1,AR69=2)),"IEQH",""))</f>
        <v/>
      </c>
      <c r="FE69" s="2" t="str">
        <f aca="false">IF(AND(EI69="EQL",OR(AS69=4,AS69=5)),"IEQL",IF(AND(EI69="EQH",OR(AS69=1,AS69=2)),"IEQH",""))</f>
        <v/>
      </c>
      <c r="FF69" s="2" t="str">
        <f aca="false">IF(AND(EJ69="EQL",OR(AT69=4,AT69=5)),"IEQL",IF(AND(EJ69="EQH",OR(AT69=1,AT69=2)),"IEQH",""))</f>
        <v/>
      </c>
      <c r="FG69" s="2" t="str">
        <f aca="false">IF(AND(EK69="EQL",OR(AU69=4,AU69=5)),"IEQL",IF(AND(EK69="EQH",OR(AU69=1,AU69=2)),"IEQH",""))</f>
        <v/>
      </c>
      <c r="FH69" s="2" t="str">
        <f aca="false">IF(AND(EL69="EQL",OR(AV69=4,AV69=5)),"IEQL",IF(AND(EL69="EQH",OR(AV69=1,AV69=2)),"IEQH",""))</f>
        <v/>
      </c>
      <c r="FI69" s="2" t="str">
        <f aca="false">IF(AND(EM69="EQL",OR(AW69=4,AW69=5)),"IEQL",IF(AND(EM69="EQH",OR(AW69=1,AW69=2)),"IEQH",""))</f>
        <v/>
      </c>
      <c r="FJ69" s="2" t="str">
        <f aca="false">IF(AND(EN69="EQL",OR(AX69=4,AX69=5)),"IEQL",IF(AND(EN69="EQH",OR(AX69=1,AX69=2)),"IEQH",""))</f>
        <v/>
      </c>
      <c r="FK69" s="2" t="str">
        <f aca="false">IF(AND(EO69="EQL",OR(AY69=4,AY69=5)),"IEQL",IF(AND(EO69="EQH",OR(AY69=1,AY69=2)),"IEQH",""))</f>
        <v/>
      </c>
      <c r="FL69" s="2" t="str">
        <f aca="false">IF(AND(EP69="EQL",OR(AZ69=4,AZ69=5)),"IEQL",IF(AND(EP69="EQH",OR(AZ69=1,AZ69=2)),"IEQH",""))</f>
        <v/>
      </c>
      <c r="FM69" s="2" t="str">
        <f aca="false">IF(AND(EQ69="EQL",OR(BA69=4,BA69=5)),"IEQL",IF(AND(EQ69="EQH",OR(BA69=1,BA69=2)),"IEQH",""))</f>
        <v/>
      </c>
    </row>
    <row r="70" customFormat="false" ht="14.25" hidden="false" customHeight="false" outlineLevel="0" collapsed="false">
      <c r="A70" s="1" t="n">
        <v>1777889702</v>
      </c>
      <c r="B70" s="1" t="s">
        <v>169</v>
      </c>
      <c r="C70" s="1" t="s">
        <v>170</v>
      </c>
      <c r="D70" s="1" t="n">
        <v>4545</v>
      </c>
      <c r="E70" s="1" t="s">
        <v>171</v>
      </c>
      <c r="F70" s="1" t="n">
        <v>4526.4</v>
      </c>
      <c r="G70" s="2" t="n">
        <f aca="false">F68</f>
        <v>4592.93</v>
      </c>
      <c r="H70" s="2" t="n">
        <f aca="false">F66</f>
        <v>4607.09</v>
      </c>
      <c r="I70" s="2" t="n">
        <f aca="false">F64</f>
        <v>4560.44</v>
      </c>
      <c r="J70" s="2" t="n">
        <f aca="false">F62</f>
        <v>4614.27</v>
      </c>
      <c r="K70" s="2" t="n">
        <f aca="false">F60</f>
        <v>4605.56</v>
      </c>
      <c r="L70" s="2" t="n">
        <f aca="false">F58</f>
        <v>4540.82</v>
      </c>
      <c r="M70" s="2" t="n">
        <f aca="false">F56</f>
        <v>4518.41</v>
      </c>
      <c r="N70" s="2" t="n">
        <f aca="false">F54</f>
        <v>4510.28</v>
      </c>
      <c r="O70" s="2" t="n">
        <f aca="false">F52</f>
        <v>4575.84</v>
      </c>
      <c r="P70" s="2" t="n">
        <f aca="false">F50</f>
        <v>4587.93</v>
      </c>
      <c r="Q70" s="2" t="n">
        <f aca="false">F48</f>
        <v>4555.12</v>
      </c>
      <c r="R70" s="1" t="n">
        <v>-92.19</v>
      </c>
      <c r="S70" s="2" t="n">
        <f aca="false">R68</f>
        <v>-39.18</v>
      </c>
      <c r="T70" s="2" t="n">
        <f aca="false">R66</f>
        <v>-53.23</v>
      </c>
      <c r="U70" s="2" t="n">
        <f aca="false">R64</f>
        <v>-75.39</v>
      </c>
      <c r="V70" s="2" t="n">
        <f aca="false">R62</f>
        <v>-19.87</v>
      </c>
      <c r="W70" s="2" t="n">
        <f aca="false">R60</f>
        <v>-41.54</v>
      </c>
      <c r="X70" s="2" t="n">
        <f aca="false">R58</f>
        <v>-41.5</v>
      </c>
      <c r="Y70" s="2" t="n">
        <f aca="false">R56</f>
        <v>-46.34</v>
      </c>
      <c r="Z70" s="2" t="n">
        <f aca="false">R54</f>
        <v>-97.49</v>
      </c>
      <c r="AA70" s="2" t="n">
        <f aca="false">R52</f>
        <v>-34.31</v>
      </c>
      <c r="AB70" s="2" t="n">
        <f aca="false">R50</f>
        <v>-13.56</v>
      </c>
      <c r="AC70" s="2" t="n">
        <f aca="false">R48</f>
        <v>-146.02</v>
      </c>
      <c r="AD70" s="1" t="n">
        <v>-2</v>
      </c>
      <c r="AE70" s="2" t="n">
        <f aca="false">AD68</f>
        <v>-0.85</v>
      </c>
      <c r="AF70" s="2" t="n">
        <f aca="false">AD66</f>
        <v>-1.14</v>
      </c>
      <c r="AG70" s="2" t="n">
        <f aca="false">AD64</f>
        <v>-1.63</v>
      </c>
      <c r="AH70" s="2" t="n">
        <f aca="false">AD62</f>
        <v>-0.43</v>
      </c>
      <c r="AI70" s="2" t="n">
        <f aca="false">AD60</f>
        <v>-0.89</v>
      </c>
      <c r="AJ70" s="2" t="n">
        <f aca="false">AD58</f>
        <v>-0.91</v>
      </c>
      <c r="AK70" s="2" t="n">
        <f aca="false">AD56</f>
        <v>-1.02</v>
      </c>
      <c r="AL70" s="2" t="n">
        <f aca="false">AD54</f>
        <v>-2.12</v>
      </c>
      <c r="AM70" s="2" t="n">
        <f aca="false">AD52</f>
        <v>-0.74</v>
      </c>
      <c r="AN70" s="2" t="n">
        <f aca="false">AD50</f>
        <v>-0.29</v>
      </c>
      <c r="AO70" s="2" t="n">
        <f aca="false">AD48</f>
        <v>-3.11</v>
      </c>
      <c r="AP70" s="1" t="n">
        <v>4</v>
      </c>
      <c r="AQ70" s="2" t="n">
        <f aca="false">AP68</f>
        <v>3</v>
      </c>
      <c r="AR70" s="2" t="n">
        <f aca="false">AP66</f>
        <v>3</v>
      </c>
      <c r="AS70" s="2" t="n">
        <f aca="false">AP64</f>
        <v>3</v>
      </c>
      <c r="AT70" s="2" t="n">
        <f aca="false">AP62</f>
        <v>3</v>
      </c>
      <c r="AU70" s="2" t="n">
        <f aca="false">AP60</f>
        <v>3</v>
      </c>
      <c r="AV70" s="2" t="n">
        <f aca="false">AP58</f>
        <v>3</v>
      </c>
      <c r="AW70" s="2" t="n">
        <f aca="false">AP56</f>
        <v>3</v>
      </c>
      <c r="AX70" s="2" t="n">
        <f aca="false">AP54</f>
        <v>4</v>
      </c>
      <c r="AY70" s="2" t="n">
        <f aca="false">AP52</f>
        <v>3</v>
      </c>
      <c r="AZ70" s="2" t="n">
        <f aca="false">AP50</f>
        <v>3</v>
      </c>
      <c r="BA70" s="2" t="n">
        <f aca="false">AP48</f>
        <v>5</v>
      </c>
      <c r="BB70" s="1" t="n">
        <v>33</v>
      </c>
      <c r="BC70" s="2" t="n">
        <f aca="false">BB68</f>
        <v>14</v>
      </c>
      <c r="BD70" s="2" t="n">
        <f aca="false">BB66</f>
        <v>23</v>
      </c>
      <c r="BE70" s="2" t="n">
        <f aca="false">BB64</f>
        <v>30</v>
      </c>
      <c r="BF70" s="2" t="n">
        <f aca="false">BB62</f>
        <v>7</v>
      </c>
      <c r="BG70" s="2" t="n">
        <f aca="false">BB60</f>
        <v>25</v>
      </c>
      <c r="BH70" s="2" t="n">
        <f aca="false">BB58</f>
        <v>11</v>
      </c>
      <c r="BI70" s="2" t="n">
        <f aca="false">BB56</f>
        <v>11</v>
      </c>
      <c r="BJ70" s="2" t="n">
        <f aca="false">BB54</f>
        <v>35</v>
      </c>
      <c r="BK70" s="2" t="n">
        <f aca="false">BB52</f>
        <v>4</v>
      </c>
      <c r="BL70" s="2" t="n">
        <f aca="false">BB50</f>
        <v>20</v>
      </c>
      <c r="BM70" s="2" t="n">
        <f aca="false">BB48</f>
        <v>48</v>
      </c>
      <c r="BN70" s="1" t="n">
        <v>3</v>
      </c>
      <c r="BO70" s="2" t="n">
        <f aca="false">BN68</f>
        <v>3</v>
      </c>
      <c r="BP70" s="2" t="n">
        <f aca="false">BN66</f>
        <v>3</v>
      </c>
      <c r="BQ70" s="2" t="n">
        <f aca="false">BN64</f>
        <v>3</v>
      </c>
      <c r="BR70" s="2" t="n">
        <f aca="false">BN62</f>
        <v>3</v>
      </c>
      <c r="BS70" s="2" t="n">
        <f aca="false">BN60</f>
        <v>3</v>
      </c>
      <c r="BT70" s="2" t="n">
        <f aca="false">BN58</f>
        <v>3</v>
      </c>
      <c r="BU70" s="2" t="n">
        <f aca="false">BN56</f>
        <v>3</v>
      </c>
      <c r="BV70" s="2" t="n">
        <f aca="false">BN54</f>
        <v>3</v>
      </c>
      <c r="BW70" s="2" t="n">
        <f aca="false">BN52</f>
        <v>3</v>
      </c>
      <c r="BX70" s="2" t="n">
        <f aca="false">BN50</f>
        <v>3</v>
      </c>
      <c r="BY70" s="2" t="n">
        <f aca="false">BN48</f>
        <v>5</v>
      </c>
      <c r="BZ70" s="1" t="n">
        <v>-2.79364</v>
      </c>
      <c r="CA70" s="2" t="n">
        <f aca="false">BZ68</f>
        <v>-2.79857</v>
      </c>
      <c r="CB70" s="2" t="n">
        <f aca="false">BZ66</f>
        <v>-2.31435</v>
      </c>
      <c r="CC70" s="2" t="n">
        <f aca="false">BZ64</f>
        <v>-2.513</v>
      </c>
      <c r="CD70" s="2" t="n">
        <f aca="false">BZ62</f>
        <v>-2.83857</v>
      </c>
      <c r="CE70" s="2" t="n">
        <f aca="false">BZ60</f>
        <v>-1.6616</v>
      </c>
      <c r="CF70" s="2" t="n">
        <f aca="false">BZ58</f>
        <v>-3.77273</v>
      </c>
      <c r="CG70" s="2" t="n">
        <f aca="false">BZ56</f>
        <v>-4.21273</v>
      </c>
      <c r="CH70" s="2" t="n">
        <f aca="false">BZ54</f>
        <v>-2.78543</v>
      </c>
      <c r="CI70" s="2" t="n">
        <f aca="false">BZ52</f>
        <v>-8.5775</v>
      </c>
      <c r="CJ70" s="2" t="n">
        <f aca="false">BZ50</f>
        <v>-0.678</v>
      </c>
      <c r="CK70" s="2" t="n">
        <f aca="false">BZ48</f>
        <v>-3.04208</v>
      </c>
      <c r="CL70" s="1" t="n">
        <v>3</v>
      </c>
      <c r="CM70" s="2" t="n">
        <f aca="false">CL68</f>
        <v>3</v>
      </c>
      <c r="CN70" s="2" t="n">
        <f aca="false">CL66</f>
        <v>3</v>
      </c>
      <c r="CO70" s="2" t="n">
        <f aca="false">CL64</f>
        <v>3</v>
      </c>
      <c r="CP70" s="2" t="n">
        <f aca="false">CL62</f>
        <v>3</v>
      </c>
      <c r="CQ70" s="2" t="n">
        <f aca="false">CL60</f>
        <v>3</v>
      </c>
      <c r="CR70" s="2" t="n">
        <f aca="false">CL58</f>
        <v>3</v>
      </c>
      <c r="CS70" s="2" t="n">
        <f aca="false">CL56</f>
        <v>3</v>
      </c>
      <c r="CT70" s="2" t="n">
        <f aca="false">CL54</f>
        <v>3</v>
      </c>
      <c r="CU70" s="2" t="n">
        <f aca="false">CL52</f>
        <v>3</v>
      </c>
      <c r="CV70" s="2" t="n">
        <f aca="false">CL50</f>
        <v>3</v>
      </c>
      <c r="CW70" s="2" t="n">
        <f aca="false">CL48</f>
        <v>3</v>
      </c>
      <c r="CX70" s="1" t="n">
        <v>-70.3048</v>
      </c>
      <c r="CY70" s="2" t="n">
        <f aca="false">CX68</f>
        <v>-70.3369</v>
      </c>
      <c r="CZ70" s="2" t="n">
        <f aca="false">CX66</f>
        <v>-66.6314</v>
      </c>
      <c r="DA70" s="2" t="n">
        <f aca="false">CX64</f>
        <v>-68.3009</v>
      </c>
      <c r="DB70" s="2" t="n">
        <f aca="false">CX62</f>
        <v>-70.5932</v>
      </c>
      <c r="DC70" s="2" t="n">
        <f aca="false">CX60</f>
        <v>-58.9592</v>
      </c>
      <c r="DD70" s="2" t="n">
        <f aca="false">CX58</f>
        <v>-75.1545</v>
      </c>
      <c r="DE70" s="2" t="n">
        <f aca="false">CX56</f>
        <v>-76.6465</v>
      </c>
      <c r="DF70" s="2" t="n">
        <f aca="false">CX54</f>
        <v>-70.2513</v>
      </c>
      <c r="DG70" s="2" t="n">
        <f aca="false">CX52</f>
        <v>-83.3502</v>
      </c>
      <c r="DH70" s="2" t="n">
        <f aca="false">CX50</f>
        <v>-34.1373</v>
      </c>
      <c r="DI70" s="2" t="n">
        <f aca="false">CX48</f>
        <v>-71.8032</v>
      </c>
      <c r="DJ70" s="1" t="s">
        <v>172</v>
      </c>
      <c r="DK70" s="2" t="str">
        <f aca="false">DJ68</f>
        <v>LL</v>
      </c>
      <c r="DL70" s="2" t="str">
        <f aca="false">DJ66</f>
        <v>HL</v>
      </c>
      <c r="DM70" s="2" t="str">
        <f aca="false">DJ64</f>
        <v>LL</v>
      </c>
      <c r="DN70" s="2" t="str">
        <f aca="false">DJ62</f>
        <v>HL</v>
      </c>
      <c r="DO70" s="2" t="str">
        <f aca="false">DJ60</f>
        <v>HL</v>
      </c>
      <c r="DP70" s="2" t="str">
        <f aca="false">DJ58</f>
        <v>HL</v>
      </c>
      <c r="DQ70" s="2" t="str">
        <f aca="false">DJ56</f>
        <v>HL</v>
      </c>
      <c r="DR70" s="2" t="str">
        <f aca="false">DJ54</f>
        <v>LL</v>
      </c>
      <c r="DS70" s="2" t="str">
        <f aca="false">DJ52</f>
        <v>LL</v>
      </c>
      <c r="DT70" s="2" t="str">
        <f aca="false">DJ50</f>
        <v>HL</v>
      </c>
      <c r="DU70" s="2" t="str">
        <f aca="false">DJ48</f>
        <v>LL</v>
      </c>
      <c r="DV70" s="2" t="n">
        <f aca="false">IFERROR((G70-$F70)/$F70*100,"")</f>
        <v>1.46982149169319</v>
      </c>
      <c r="DW70" s="2" t="n">
        <f aca="false">IFERROR((H70-$F70)/$F70*100,"")</f>
        <v>1.78265288087665</v>
      </c>
      <c r="DX70" s="2" t="n">
        <f aca="false">IFERROR((I70-$F70)/$F70*100,"")</f>
        <v>0.752032520325203</v>
      </c>
      <c r="DY70" s="2" t="n">
        <f aca="false">IFERROR((J70-$F70)/$F70*100,"")</f>
        <v>1.94127783669143</v>
      </c>
      <c r="DZ70" s="2" t="n">
        <f aca="false">IFERROR((K70-$F70)/$F70*100,"")</f>
        <v>1.74885118416403</v>
      </c>
      <c r="EA70" s="2" t="n">
        <f aca="false">IFERROR((L70-$F70)/$F70*100,"")</f>
        <v>0.318575468363381</v>
      </c>
      <c r="EB70" s="2" t="n">
        <f aca="false">IFERROR((M70-$F70)/$F70*100,"")</f>
        <v>-0.176519971721452</v>
      </c>
      <c r="EC70" s="2" t="n">
        <f aca="false">IFERROR((N70-$F70)/$F70*100,"")</f>
        <v>-0.356132909155176</v>
      </c>
      <c r="ED70" s="2" t="n">
        <f aca="false">IFERROR((O70-$F70)/$F70*100,"")</f>
        <v>1.09225874867445</v>
      </c>
      <c r="EE70" s="2" t="n">
        <f aca="false">IFERROR((P70-$F70)/$F70*100,"")</f>
        <v>1.35935843054084</v>
      </c>
      <c r="EF70" s="2" t="n">
        <f aca="false">IFERROR((Q70-$F70)/$F70*100,"")</f>
        <v>0.634499823259108</v>
      </c>
      <c r="EG70" s="2" t="str">
        <f aca="false">IF(DV70="","",IF(AND(ABS(DV70)&lt;=0.25,$E70="Bottom",DK70="LL"),"EQL",IF(AND(ABS(DV70)&lt;=0.25,$E70="Peak",DK70="HH"),"EQH","")))</f>
        <v/>
      </c>
      <c r="EH70" s="2" t="str">
        <f aca="false">IF(DW70="","",IF(AND(ABS(DW70)&lt;=0.25,$E70="Bottom",DL70="LL"),"EQL",IF(AND(ABS(DW70)&lt;=0.25,$E70="Peak",DL70="HH"),"EQH","")))</f>
        <v/>
      </c>
      <c r="EI70" s="2" t="str">
        <f aca="false">IF(DX70="","",IF(AND(ABS(DX70)&lt;=0.25,$E70="Bottom",DM70="LL"),"EQL",IF(AND(ABS(DX70)&lt;=0.25,$E70="Peak",DM70="HH"),"EQH","")))</f>
        <v/>
      </c>
      <c r="EJ70" s="2" t="str">
        <f aca="false">IF(DY70="","",IF(AND(ABS(DY70)&lt;=0.25,$E70="Bottom",DN70="LL"),"EQL",IF(AND(ABS(DY70)&lt;=0.25,$E70="Peak",DN70="HH"),"EQH","")))</f>
        <v/>
      </c>
      <c r="EK70" s="2" t="str">
        <f aca="false">IF(DZ70="","",IF(AND(ABS(DZ70)&lt;=0.25,$E70="Bottom",DO70="LL"),"EQL",IF(AND(ABS(DZ70)&lt;=0.25,$E70="Peak",DO70="HH"),"EQH","")))</f>
        <v/>
      </c>
      <c r="EL70" s="2" t="str">
        <f aca="false">IF(EA70="","",IF(AND(ABS(EA70)&lt;=0.25,$E70="Bottom",DP70="LL"),"EQL",IF(AND(ABS(EA70)&lt;=0.25,$E70="Peak",DP70="HH"),"EQH","")))</f>
        <v/>
      </c>
      <c r="EM70" s="2" t="str">
        <f aca="false">IF(EB70="","",IF(AND(ABS(EB70)&lt;=0.25,$E70="Bottom",DQ70="LL"),"EQL",IF(AND(ABS(EB70)&lt;=0.25,$E70="Peak",DQ70="HH"),"EQH","")))</f>
        <v/>
      </c>
      <c r="EN70" s="2" t="str">
        <f aca="false">IF(EC70="","",IF(AND(ABS(EC70)&lt;=0.25,$E70="Bottom",DR70="LL"),"EQL",IF(AND(ABS(EC70)&lt;=0.25,$E70="Peak",DR70="HH"),"EQH","")))</f>
        <v/>
      </c>
      <c r="EO70" s="2" t="str">
        <f aca="false">IF(ED70="","",IF(AND(ABS(ED70)&lt;=0.25,$E70="Bottom",DS70="LL"),"EQL",IF(AND(ABS(ED70)&lt;=0.25,$E70="Peak",DS70="HH"),"EQH","")))</f>
        <v/>
      </c>
      <c r="EP70" s="2" t="str">
        <f aca="false">IF(EE70="","",IF(AND(ABS(EE70)&lt;=0.25,$E70="Bottom",DT70="LL"),"EQL",IF(AND(ABS(EE70)&lt;=0.25,$E70="Peak",DT70="HH"),"EQH","")))</f>
        <v/>
      </c>
      <c r="EQ70" s="2" t="str">
        <f aca="false">IF(EF70="","",IF(AND(ABS(EF70)&lt;=0.25,$E70="Bottom",DU70="LL"),"EQL",IF(AND(ABS(EF70)&lt;=0.25,$E70="Peak",DU70="HH"),"EQH","")))</f>
        <v/>
      </c>
      <c r="ER70" s="2" t="str">
        <f aca="false">IF(OR(EG70="EQL",EG70="EQH"),G70,"")</f>
        <v/>
      </c>
      <c r="ES70" s="2" t="str">
        <f aca="false">IF(OR(EH70="EQL",EH70="EQH"),H70,"")</f>
        <v/>
      </c>
      <c r="ET70" s="2" t="str">
        <f aca="false">IF(OR(EI70="EQL",EI70="EQH"),I70,"")</f>
        <v/>
      </c>
      <c r="EU70" s="2" t="str">
        <f aca="false">IF(OR(EJ70="EQL",EJ70="EQH"),J70,"")</f>
        <v/>
      </c>
      <c r="EV70" s="2" t="str">
        <f aca="false">IF(OR(EK70="EQL",EK70="EQH"),K70,"")</f>
        <v/>
      </c>
      <c r="EW70" s="2" t="str">
        <f aca="false">IF(OR(EL70="EQL",EL70="EQH"),L70,"")</f>
        <v/>
      </c>
      <c r="EX70" s="2" t="str">
        <f aca="false">IF(OR(EM70="EQL",EM70="EQH"),M70,"")</f>
        <v/>
      </c>
      <c r="EY70" s="2" t="str">
        <f aca="false">IF(OR(EN70="EQL",EN70="EQH"),N70,"")</f>
        <v/>
      </c>
      <c r="EZ70" s="2" t="str">
        <f aca="false">IF(OR(EO70="EQL",EO70="EQH"),O70,"")</f>
        <v/>
      </c>
      <c r="FA70" s="2" t="str">
        <f aca="false">IF(OR(EP70="EQL",EP70="EQH"),P70,"")</f>
        <v/>
      </c>
      <c r="FB70" s="2" t="str">
        <f aca="false">IF(OR(EQ70="EQL",EQ70="EQH"),Q70,"")</f>
        <v/>
      </c>
      <c r="FC70" s="2" t="str">
        <f aca="false">IF(AND(EG70="EQL",OR(AQ70=4,AQ70=5)),"IEQL",IF(AND(EG70="EQH",OR(AQ70=1,AQ70=2)),"IEQH",""))</f>
        <v/>
      </c>
      <c r="FD70" s="2" t="str">
        <f aca="false">IF(AND(EH70="EQL",OR(AR70=4,AR70=5)),"IEQL",IF(AND(EH70="EQH",OR(AR70=1,AR70=2)),"IEQH",""))</f>
        <v/>
      </c>
      <c r="FE70" s="2" t="str">
        <f aca="false">IF(AND(EI70="EQL",OR(AS70=4,AS70=5)),"IEQL",IF(AND(EI70="EQH",OR(AS70=1,AS70=2)),"IEQH",""))</f>
        <v/>
      </c>
      <c r="FF70" s="2" t="str">
        <f aca="false">IF(AND(EJ70="EQL",OR(AT70=4,AT70=5)),"IEQL",IF(AND(EJ70="EQH",OR(AT70=1,AT70=2)),"IEQH",""))</f>
        <v/>
      </c>
      <c r="FG70" s="2" t="str">
        <f aca="false">IF(AND(EK70="EQL",OR(AU70=4,AU70=5)),"IEQL",IF(AND(EK70="EQH",OR(AU70=1,AU70=2)),"IEQH",""))</f>
        <v/>
      </c>
      <c r="FH70" s="2" t="str">
        <f aca="false">IF(AND(EL70="EQL",OR(AV70=4,AV70=5)),"IEQL",IF(AND(EL70="EQH",OR(AV70=1,AV70=2)),"IEQH",""))</f>
        <v/>
      </c>
      <c r="FI70" s="2" t="str">
        <f aca="false">IF(AND(EM70="EQL",OR(AW70=4,AW70=5)),"IEQL",IF(AND(EM70="EQH",OR(AW70=1,AW70=2)),"IEQH",""))</f>
        <v/>
      </c>
      <c r="FJ70" s="2" t="str">
        <f aca="false">IF(AND(EN70="EQL",OR(AX70=4,AX70=5)),"IEQL",IF(AND(EN70="EQH",OR(AX70=1,AX70=2)),"IEQH",""))</f>
        <v/>
      </c>
      <c r="FK70" s="2" t="str">
        <f aca="false">IF(AND(EO70="EQL",OR(AY70=4,AY70=5)),"IEQL",IF(AND(EO70="EQH",OR(AY70=1,AY70=2)),"IEQH",""))</f>
        <v/>
      </c>
      <c r="FL70" s="2" t="str">
        <f aca="false">IF(AND(EP70="EQL",OR(AZ70=4,AZ70=5)),"IEQL",IF(AND(EP70="EQH",OR(AZ70=1,AZ70=2)),"IEQH",""))</f>
        <v/>
      </c>
      <c r="FM70" s="2" t="str">
        <f aca="false">IF(AND(EQ70="EQL",OR(BA70=4,BA70=5)),"IEQL",IF(AND(EQ70="EQH",OR(BA70=1,BA70=2)),"IEQH",""))</f>
        <v/>
      </c>
    </row>
    <row r="71" customFormat="false" ht="14.25" hidden="false" customHeight="false" outlineLevel="0" collapsed="false">
      <c r="A71" s="1" t="n">
        <v>1777905002</v>
      </c>
      <c r="B71" s="1" t="s">
        <v>169</v>
      </c>
      <c r="C71" s="1" t="s">
        <v>170</v>
      </c>
      <c r="D71" s="1" t="n">
        <v>4574.38</v>
      </c>
      <c r="E71" s="1" t="s">
        <v>173</v>
      </c>
      <c r="F71" s="1" t="n">
        <v>4583.16</v>
      </c>
      <c r="G71" s="2" t="n">
        <f aca="false">F69</f>
        <v>4618.59</v>
      </c>
      <c r="H71" s="2" t="n">
        <f aca="false">F67</f>
        <v>4632.11</v>
      </c>
      <c r="I71" s="2" t="n">
        <f aca="false">F65</f>
        <v>4660.32</v>
      </c>
      <c r="J71" s="2" t="n">
        <f aca="false">F63</f>
        <v>4635.83</v>
      </c>
      <c r="K71" s="2" t="n">
        <f aca="false">F61</f>
        <v>4634.14</v>
      </c>
      <c r="L71" s="2" t="n">
        <f aca="false">F59</f>
        <v>4647.1</v>
      </c>
      <c r="M71" s="2" t="n">
        <f aca="false">F57</f>
        <v>4582.32</v>
      </c>
      <c r="N71" s="2" t="n">
        <f aca="false">F55</f>
        <v>4564.75</v>
      </c>
      <c r="O71" s="2" t="n">
        <f aca="false">F53</f>
        <v>4607.77</v>
      </c>
      <c r="P71" s="2" t="n">
        <f aca="false">F51</f>
        <v>4610.15</v>
      </c>
      <c r="Q71" s="2" t="n">
        <f aca="false">F49</f>
        <v>4601.49</v>
      </c>
      <c r="R71" s="1" t="n">
        <v>56.76</v>
      </c>
      <c r="S71" s="2" t="n">
        <f aca="false">R69</f>
        <v>25.66</v>
      </c>
      <c r="T71" s="2" t="n">
        <f aca="false">R67</f>
        <v>25.02</v>
      </c>
      <c r="U71" s="2" t="n">
        <f aca="false">R65</f>
        <v>99.88</v>
      </c>
      <c r="V71" s="2" t="n">
        <f aca="false">R63</f>
        <v>21.56</v>
      </c>
      <c r="W71" s="2" t="n">
        <f aca="false">R61</f>
        <v>28.58</v>
      </c>
      <c r="X71" s="2" t="n">
        <f aca="false">R59</f>
        <v>106.28</v>
      </c>
      <c r="Y71" s="2" t="n">
        <f aca="false">R57</f>
        <v>63.91</v>
      </c>
      <c r="Z71" s="2" t="n">
        <f aca="false">R55</f>
        <v>54.47</v>
      </c>
      <c r="AA71" s="2" t="n">
        <f aca="false">R53</f>
        <v>31.93</v>
      </c>
      <c r="AB71" s="2" t="n">
        <f aca="false">R51</f>
        <v>22.22</v>
      </c>
      <c r="AC71" s="2" t="n">
        <f aca="false">R49</f>
        <v>46.37</v>
      </c>
      <c r="AD71" s="1" t="n">
        <v>1.25</v>
      </c>
      <c r="AE71" s="2" t="n">
        <f aca="false">AD69</f>
        <v>0.56</v>
      </c>
      <c r="AF71" s="2" t="n">
        <f aca="false">AD67</f>
        <v>0.54</v>
      </c>
      <c r="AG71" s="2" t="n">
        <f aca="false">AD65</f>
        <v>2.19</v>
      </c>
      <c r="AH71" s="2" t="n">
        <f aca="false">AD63</f>
        <v>0.47</v>
      </c>
      <c r="AI71" s="2" t="n">
        <f aca="false">AD61</f>
        <v>0.62</v>
      </c>
      <c r="AJ71" s="2" t="n">
        <f aca="false">AD59</f>
        <v>2.34</v>
      </c>
      <c r="AK71" s="2" t="n">
        <f aca="false">AD57</f>
        <v>1.41</v>
      </c>
      <c r="AL71" s="2" t="n">
        <f aca="false">AD55</f>
        <v>1.21</v>
      </c>
      <c r="AM71" s="2" t="n">
        <f aca="false">AD53</f>
        <v>0.7</v>
      </c>
      <c r="AN71" s="2" t="n">
        <f aca="false">AD51</f>
        <v>0.48</v>
      </c>
      <c r="AO71" s="2" t="n">
        <f aca="false">AD49</f>
        <v>1.02</v>
      </c>
      <c r="AP71" s="1" t="n">
        <v>0</v>
      </c>
      <c r="AQ71" s="2" t="n">
        <f aca="false">AP69</f>
        <v>0</v>
      </c>
      <c r="AR71" s="2" t="n">
        <f aca="false">AP67</f>
        <v>0</v>
      </c>
      <c r="AS71" s="2" t="n">
        <f aca="false">AP65</f>
        <v>1</v>
      </c>
      <c r="AT71" s="2" t="n">
        <f aca="false">AP63</f>
        <v>0</v>
      </c>
      <c r="AU71" s="2" t="n">
        <f aca="false">AP61</f>
        <v>0</v>
      </c>
      <c r="AV71" s="2" t="n">
        <f aca="false">AP59</f>
        <v>1</v>
      </c>
      <c r="AW71" s="2" t="n">
        <f aca="false">AP57</f>
        <v>0</v>
      </c>
      <c r="AX71" s="2" t="n">
        <f aca="false">AP55</f>
        <v>0</v>
      </c>
      <c r="AY71" s="2" t="n">
        <f aca="false">AP53</f>
        <v>0</v>
      </c>
      <c r="AZ71" s="2" t="n">
        <f aca="false">AP51</f>
        <v>0</v>
      </c>
      <c r="BA71" s="2" t="n">
        <f aca="false">AP49</f>
        <v>0</v>
      </c>
      <c r="BB71" s="1" t="n">
        <v>17</v>
      </c>
      <c r="BC71" s="2" t="n">
        <f aca="false">BB69</f>
        <v>2</v>
      </c>
      <c r="BD71" s="2" t="n">
        <f aca="false">BB67</f>
        <v>4</v>
      </c>
      <c r="BE71" s="2" t="n">
        <f aca="false">BB65</f>
        <v>18</v>
      </c>
      <c r="BF71" s="2" t="n">
        <f aca="false">BB63</f>
        <v>4</v>
      </c>
      <c r="BG71" s="2" t="n">
        <f aca="false">BB61</f>
        <v>23</v>
      </c>
      <c r="BH71" s="2" t="n">
        <f aca="false">BB59</f>
        <v>24</v>
      </c>
      <c r="BI71" s="2" t="n">
        <f aca="false">BB57</f>
        <v>24</v>
      </c>
      <c r="BJ71" s="2" t="n">
        <f aca="false">BB55</f>
        <v>9</v>
      </c>
      <c r="BK71" s="2" t="n">
        <f aca="false">BB53</f>
        <v>16</v>
      </c>
      <c r="BL71" s="2" t="n">
        <f aca="false">BB51</f>
        <v>2</v>
      </c>
      <c r="BM71" s="2" t="n">
        <f aca="false">BB49</f>
        <v>22</v>
      </c>
      <c r="BN71" s="1" t="n">
        <v>0</v>
      </c>
      <c r="BO71" s="2" t="n">
        <f aca="false">BN69</f>
        <v>0</v>
      </c>
      <c r="BP71" s="2" t="n">
        <f aca="false">BN67</f>
        <v>0</v>
      </c>
      <c r="BQ71" s="2" t="n">
        <f aca="false">BN65</f>
        <v>0</v>
      </c>
      <c r="BR71" s="2" t="n">
        <f aca="false">BN63</f>
        <v>0</v>
      </c>
      <c r="BS71" s="2" t="n">
        <f aca="false">BN61</f>
        <v>0</v>
      </c>
      <c r="BT71" s="2" t="n">
        <f aca="false">BN59</f>
        <v>0</v>
      </c>
      <c r="BU71" s="2" t="n">
        <f aca="false">BN57</f>
        <v>0</v>
      </c>
      <c r="BV71" s="2" t="n">
        <f aca="false">BN55</f>
        <v>0</v>
      </c>
      <c r="BW71" s="2" t="n">
        <f aca="false">BN53</f>
        <v>0</v>
      </c>
      <c r="BX71" s="2" t="n">
        <f aca="false">BN51</f>
        <v>0</v>
      </c>
      <c r="BY71" s="2" t="n">
        <f aca="false">BN49</f>
        <v>0</v>
      </c>
      <c r="BZ71" s="1" t="n">
        <v>3.33882</v>
      </c>
      <c r="CA71" s="2" t="n">
        <f aca="false">BZ69</f>
        <v>12.83</v>
      </c>
      <c r="CB71" s="2" t="n">
        <f aca="false">BZ67</f>
        <v>6.255</v>
      </c>
      <c r="CC71" s="2" t="n">
        <f aca="false">BZ65</f>
        <v>5.54889</v>
      </c>
      <c r="CD71" s="2" t="n">
        <f aca="false">BZ63</f>
        <v>5.39</v>
      </c>
      <c r="CE71" s="2" t="n">
        <f aca="false">BZ61</f>
        <v>1.24261</v>
      </c>
      <c r="CF71" s="2" t="n">
        <f aca="false">BZ59</f>
        <v>4.42833</v>
      </c>
      <c r="CG71" s="2" t="n">
        <f aca="false">BZ57</f>
        <v>2.66292</v>
      </c>
      <c r="CH71" s="2" t="n">
        <f aca="false">BZ55</f>
        <v>6.05222</v>
      </c>
      <c r="CI71" s="2" t="n">
        <f aca="false">BZ53</f>
        <v>1.99563</v>
      </c>
      <c r="CJ71" s="2" t="n">
        <f aca="false">BZ51</f>
        <v>11.11</v>
      </c>
      <c r="CK71" s="2" t="n">
        <f aca="false">BZ49</f>
        <v>2.10773</v>
      </c>
      <c r="CL71" s="1" t="n">
        <v>0</v>
      </c>
      <c r="CM71" s="2" t="n">
        <f aca="false">CL69</f>
        <v>0</v>
      </c>
      <c r="CN71" s="2" t="n">
        <f aca="false">CL67</f>
        <v>0</v>
      </c>
      <c r="CO71" s="2" t="n">
        <f aca="false">CL65</f>
        <v>0</v>
      </c>
      <c r="CP71" s="2" t="n">
        <f aca="false">CL63</f>
        <v>0</v>
      </c>
      <c r="CQ71" s="2" t="n">
        <f aca="false">CL61</f>
        <v>0</v>
      </c>
      <c r="CR71" s="2" t="n">
        <f aca="false">CL59</f>
        <v>0</v>
      </c>
      <c r="CS71" s="2" t="n">
        <f aca="false">CL57</f>
        <v>0</v>
      </c>
      <c r="CT71" s="2" t="n">
        <f aca="false">CL55</f>
        <v>0</v>
      </c>
      <c r="CU71" s="2" t="n">
        <f aca="false">CL53</f>
        <v>0</v>
      </c>
      <c r="CV71" s="2" t="n">
        <f aca="false">CL51</f>
        <v>0</v>
      </c>
      <c r="CW71" s="2" t="n">
        <f aca="false">CL49</f>
        <v>0</v>
      </c>
      <c r="CX71" s="1" t="n">
        <v>73.3267</v>
      </c>
      <c r="CY71" s="2" t="n">
        <f aca="false">CX69</f>
        <v>85.5432</v>
      </c>
      <c r="CZ71" s="2" t="n">
        <f aca="false">CX67</f>
        <v>80.9169</v>
      </c>
      <c r="DA71" s="2" t="n">
        <f aca="false">CX65</f>
        <v>79.784</v>
      </c>
      <c r="DB71" s="2" t="n">
        <f aca="false">CX63</f>
        <v>79.4895</v>
      </c>
      <c r="DC71" s="2" t="n">
        <f aca="false">CX61</f>
        <v>51.1743</v>
      </c>
      <c r="DD71" s="2" t="n">
        <f aca="false">CX59</f>
        <v>77.275</v>
      </c>
      <c r="DE71" s="2" t="n">
        <f aca="false">CX57</f>
        <v>69.4174</v>
      </c>
      <c r="DF71" s="2" t="n">
        <f aca="false">CX55</f>
        <v>80.6179</v>
      </c>
      <c r="DG71" s="2" t="n">
        <f aca="false">CX53</f>
        <v>63.3847</v>
      </c>
      <c r="DH71" s="2" t="n">
        <f aca="false">CX51</f>
        <v>84.8567</v>
      </c>
      <c r="DI71" s="2" t="n">
        <f aca="false">CX49</f>
        <v>64.6182</v>
      </c>
      <c r="DJ71" s="1" t="s">
        <v>174</v>
      </c>
      <c r="DK71" s="2" t="str">
        <f aca="false">DJ69</f>
        <v>LH</v>
      </c>
      <c r="DL71" s="2" t="str">
        <f aca="false">DJ67</f>
        <v>LH</v>
      </c>
      <c r="DM71" s="2" t="str">
        <f aca="false">DJ65</f>
        <v>HH</v>
      </c>
      <c r="DN71" s="2" t="str">
        <f aca="false">DJ63</f>
        <v>HH</v>
      </c>
      <c r="DO71" s="2" t="str">
        <f aca="false">DJ61</f>
        <v>LH</v>
      </c>
      <c r="DP71" s="2" t="str">
        <f aca="false">DJ59</f>
        <v>HH</v>
      </c>
      <c r="DQ71" s="2" t="str">
        <f aca="false">DJ57</f>
        <v>HH</v>
      </c>
      <c r="DR71" s="2" t="str">
        <f aca="false">DJ55</f>
        <v>LH</v>
      </c>
      <c r="DS71" s="2" t="str">
        <f aca="false">DJ53</f>
        <v>LH</v>
      </c>
      <c r="DT71" s="2" t="str">
        <f aca="false">DJ51</f>
        <v>HH</v>
      </c>
      <c r="DU71" s="2" t="str">
        <f aca="false">DJ49</f>
        <v>LH</v>
      </c>
      <c r="DV71" s="2" t="n">
        <f aca="false">IFERROR((G71-$F71)/$F71*100,"")</f>
        <v>0.773047417065961</v>
      </c>
      <c r="DW71" s="2" t="n">
        <f aca="false">IFERROR((H71-$F71)/$F71*100,"")</f>
        <v>1.06804039134571</v>
      </c>
      <c r="DX71" s="2" t="n">
        <f aca="false">IFERROR((I71-$F71)/$F71*100,"")</f>
        <v>1.68355457806404</v>
      </c>
      <c r="DY71" s="2" t="n">
        <f aca="false">IFERROR((J71-$F71)/$F71*100,"")</f>
        <v>1.14920709728659</v>
      </c>
      <c r="DZ71" s="2" t="n">
        <f aca="false">IFERROR((K71-$F71)/$F71*100,"")</f>
        <v>1.11233297550163</v>
      </c>
      <c r="EA71" s="2" t="n">
        <f aca="false">IFERROR((L71-$F71)/$F71*100,"")</f>
        <v>1.39510730587631</v>
      </c>
      <c r="EB71" s="2" t="n">
        <f aca="false">IFERROR((M71-$F71)/$F71*100,"")</f>
        <v>-0.0183279658576211</v>
      </c>
      <c r="EC71" s="2" t="n">
        <f aca="false">IFERROR((N71-$F71)/$F71*100,"")</f>
        <v>-0.401687918379456</v>
      </c>
      <c r="ED71" s="2" t="n">
        <f aca="false">IFERROR((O71-$F71)/$F71*100,"")</f>
        <v>0.53696576161427</v>
      </c>
      <c r="EE71" s="2" t="n">
        <f aca="false">IFERROR((P71-$F71)/$F71*100,"")</f>
        <v>0.588894998210837</v>
      </c>
      <c r="EF71" s="2" t="n">
        <f aca="false">IFERROR((Q71-$F71)/$F71*100,"")</f>
        <v>0.399942397821589</v>
      </c>
      <c r="EG71" s="2" t="str">
        <f aca="false">IF(DV71="","",IF(AND(ABS(DV71)&lt;=0.25,$E71="Bottom",DK71="LL"),"EQL",IF(AND(ABS(DV71)&lt;=0.25,$E71="Peak",DK71="HH"),"EQH","")))</f>
        <v/>
      </c>
      <c r="EH71" s="2" t="str">
        <f aca="false">IF(DW71="","",IF(AND(ABS(DW71)&lt;=0.25,$E71="Bottom",DL71="LL"),"EQL",IF(AND(ABS(DW71)&lt;=0.25,$E71="Peak",DL71="HH"),"EQH","")))</f>
        <v/>
      </c>
      <c r="EI71" s="2" t="str">
        <f aca="false">IF(DX71="","",IF(AND(ABS(DX71)&lt;=0.25,$E71="Bottom",DM71="LL"),"EQL",IF(AND(ABS(DX71)&lt;=0.25,$E71="Peak",DM71="HH"),"EQH","")))</f>
        <v/>
      </c>
      <c r="EJ71" s="2" t="str">
        <f aca="false">IF(DY71="","",IF(AND(ABS(DY71)&lt;=0.25,$E71="Bottom",DN71="LL"),"EQL",IF(AND(ABS(DY71)&lt;=0.25,$E71="Peak",DN71="HH"),"EQH","")))</f>
        <v/>
      </c>
      <c r="EK71" s="2" t="str">
        <f aca="false">IF(DZ71="","",IF(AND(ABS(DZ71)&lt;=0.25,$E71="Bottom",DO71="LL"),"EQL",IF(AND(ABS(DZ71)&lt;=0.25,$E71="Peak",DO71="HH"),"EQH","")))</f>
        <v/>
      </c>
      <c r="EL71" s="2" t="str">
        <f aca="false">IF(EA71="","",IF(AND(ABS(EA71)&lt;=0.25,$E71="Bottom",DP71="LL"),"EQL",IF(AND(ABS(EA71)&lt;=0.25,$E71="Peak",DP71="HH"),"EQH","")))</f>
        <v/>
      </c>
      <c r="EM71" s="2" t="str">
        <f aca="false">IF(EB71="","",IF(AND(ABS(EB71)&lt;=0.25,$E71="Bottom",DQ71="LL"),"EQL",IF(AND(ABS(EB71)&lt;=0.25,$E71="Peak",DQ71="HH"),"EQH","")))</f>
        <v>EQH</v>
      </c>
      <c r="EN71" s="2" t="str">
        <f aca="false">IF(EC71="","",IF(AND(ABS(EC71)&lt;=0.25,$E71="Bottom",DR71="LL"),"EQL",IF(AND(ABS(EC71)&lt;=0.25,$E71="Peak",DR71="HH"),"EQH","")))</f>
        <v/>
      </c>
      <c r="EO71" s="2" t="str">
        <f aca="false">IF(ED71="","",IF(AND(ABS(ED71)&lt;=0.25,$E71="Bottom",DS71="LL"),"EQL",IF(AND(ABS(ED71)&lt;=0.25,$E71="Peak",DS71="HH"),"EQH","")))</f>
        <v/>
      </c>
      <c r="EP71" s="2" t="str">
        <f aca="false">IF(EE71="","",IF(AND(ABS(EE71)&lt;=0.25,$E71="Bottom",DT71="LL"),"EQL",IF(AND(ABS(EE71)&lt;=0.25,$E71="Peak",DT71="HH"),"EQH","")))</f>
        <v/>
      </c>
      <c r="EQ71" s="2" t="str">
        <f aca="false">IF(EF71="","",IF(AND(ABS(EF71)&lt;=0.25,$E71="Bottom",DU71="LL"),"EQL",IF(AND(ABS(EF71)&lt;=0.25,$E71="Peak",DU71="HH"),"EQH","")))</f>
        <v/>
      </c>
      <c r="ER71" s="2" t="str">
        <f aca="false">IF(OR(EG71="EQL",EG71="EQH"),G71,"")</f>
        <v/>
      </c>
      <c r="ES71" s="2" t="str">
        <f aca="false">IF(OR(EH71="EQL",EH71="EQH"),H71,"")</f>
        <v/>
      </c>
      <c r="ET71" s="2" t="str">
        <f aca="false">IF(OR(EI71="EQL",EI71="EQH"),I71,"")</f>
        <v/>
      </c>
      <c r="EU71" s="2" t="str">
        <f aca="false">IF(OR(EJ71="EQL",EJ71="EQH"),J71,"")</f>
        <v/>
      </c>
      <c r="EV71" s="2" t="str">
        <f aca="false">IF(OR(EK71="EQL",EK71="EQH"),K71,"")</f>
        <v/>
      </c>
      <c r="EW71" s="2" t="str">
        <f aca="false">IF(OR(EL71="EQL",EL71="EQH"),L71,"")</f>
        <v/>
      </c>
      <c r="EX71" s="2" t="n">
        <f aca="false">IF(OR(EM71="EQL",EM71="EQH"),M71,"")</f>
        <v>4582.32</v>
      </c>
      <c r="EY71" s="2" t="str">
        <f aca="false">IF(OR(EN71="EQL",EN71="EQH"),N71,"")</f>
        <v/>
      </c>
      <c r="EZ71" s="2" t="str">
        <f aca="false">IF(OR(EO71="EQL",EO71="EQH"),O71,"")</f>
        <v/>
      </c>
      <c r="FA71" s="2" t="str">
        <f aca="false">IF(OR(EP71="EQL",EP71="EQH"),P71,"")</f>
        <v/>
      </c>
      <c r="FB71" s="2" t="str">
        <f aca="false">IF(OR(EQ71="EQL",EQ71="EQH"),Q71,"")</f>
        <v/>
      </c>
      <c r="FC71" s="2" t="str">
        <f aca="false">IF(AND(EG71="EQL",OR(AQ71=4,AQ71=5)),"IEQL",IF(AND(EG71="EQH",OR(AQ71=1,AQ71=2)),"IEQH",""))</f>
        <v/>
      </c>
      <c r="FD71" s="2" t="str">
        <f aca="false">IF(AND(EH71="EQL",OR(AR71=4,AR71=5)),"IEQL",IF(AND(EH71="EQH",OR(AR71=1,AR71=2)),"IEQH",""))</f>
        <v/>
      </c>
      <c r="FE71" s="2" t="str">
        <f aca="false">IF(AND(EI71="EQL",OR(AS71=4,AS71=5)),"IEQL",IF(AND(EI71="EQH",OR(AS71=1,AS71=2)),"IEQH",""))</f>
        <v/>
      </c>
      <c r="FF71" s="2" t="str">
        <f aca="false">IF(AND(EJ71="EQL",OR(AT71=4,AT71=5)),"IEQL",IF(AND(EJ71="EQH",OR(AT71=1,AT71=2)),"IEQH",""))</f>
        <v/>
      </c>
      <c r="FG71" s="2" t="str">
        <f aca="false">IF(AND(EK71="EQL",OR(AU71=4,AU71=5)),"IEQL",IF(AND(EK71="EQH",OR(AU71=1,AU71=2)),"IEQH",""))</f>
        <v/>
      </c>
      <c r="FH71" s="2" t="str">
        <f aca="false">IF(AND(EL71="EQL",OR(AV71=4,AV71=5)),"IEQL",IF(AND(EL71="EQH",OR(AV71=1,AV71=2)),"IEQH",""))</f>
        <v/>
      </c>
      <c r="FI71" s="2" t="str">
        <f aca="false">IF(AND(EM71="EQL",OR(AW71=4,AW71=5)),"IEQL",IF(AND(EM71="EQH",OR(AW71=1,AW71=2)),"IEQH",""))</f>
        <v/>
      </c>
      <c r="FJ71" s="2" t="str">
        <f aca="false">IF(AND(EN71="EQL",OR(AX71=4,AX71=5)),"IEQL",IF(AND(EN71="EQH",OR(AX71=1,AX71=2)),"IEQH",""))</f>
        <v/>
      </c>
      <c r="FK71" s="2" t="str">
        <f aca="false">IF(AND(EO71="EQL",OR(AY71=4,AY71=5)),"IEQL",IF(AND(EO71="EQH",OR(AY71=1,AY71=2)),"IEQH",""))</f>
        <v/>
      </c>
      <c r="FL71" s="2" t="str">
        <f aca="false">IF(AND(EP71="EQL",OR(AZ71=4,AZ71=5)),"IEQL",IF(AND(EP71="EQH",OR(AZ71=1,AZ71=2)),"IEQH",""))</f>
        <v/>
      </c>
      <c r="FM71" s="2" t="str">
        <f aca="false">IF(AND(EQ71="EQL",OR(BA71=4,BA71=5)),"IEQL",IF(AND(EQ71="EQH",OR(BA71=1,BA71=2)),"IEQH",""))</f>
        <v/>
      </c>
    </row>
    <row r="72" customFormat="false" ht="14.25" hidden="false" customHeight="false" outlineLevel="0" collapsed="false">
      <c r="A72" s="1" t="n">
        <v>1777910402</v>
      </c>
      <c r="B72" s="1" t="s">
        <v>169</v>
      </c>
      <c r="C72" s="1" t="s">
        <v>170</v>
      </c>
      <c r="D72" s="1" t="n">
        <v>4509.88</v>
      </c>
      <c r="E72" s="1" t="s">
        <v>171</v>
      </c>
      <c r="F72" s="1" t="n">
        <v>4500.86</v>
      </c>
      <c r="G72" s="2" t="n">
        <f aca="false">F70</f>
        <v>4526.4</v>
      </c>
      <c r="H72" s="2" t="n">
        <f aca="false">F68</f>
        <v>4592.93</v>
      </c>
      <c r="I72" s="2" t="n">
        <f aca="false">F66</f>
        <v>4607.09</v>
      </c>
      <c r="J72" s="2" t="n">
        <f aca="false">F64</f>
        <v>4560.44</v>
      </c>
      <c r="K72" s="2" t="n">
        <f aca="false">F62</f>
        <v>4614.27</v>
      </c>
      <c r="L72" s="2" t="n">
        <f aca="false">F60</f>
        <v>4605.56</v>
      </c>
      <c r="M72" s="2" t="n">
        <f aca="false">F58</f>
        <v>4540.82</v>
      </c>
      <c r="N72" s="2" t="n">
        <f aca="false">F56</f>
        <v>4518.41</v>
      </c>
      <c r="O72" s="2" t="n">
        <f aca="false">F54</f>
        <v>4510.28</v>
      </c>
      <c r="P72" s="2" t="n">
        <f aca="false">F52</f>
        <v>4575.84</v>
      </c>
      <c r="Q72" s="2" t="n">
        <f aca="false">F50</f>
        <v>4587.93</v>
      </c>
      <c r="R72" s="1" t="n">
        <v>-82.3</v>
      </c>
      <c r="S72" s="2" t="n">
        <f aca="false">R70</f>
        <v>-92.19</v>
      </c>
      <c r="T72" s="2" t="n">
        <f aca="false">R68</f>
        <v>-39.18</v>
      </c>
      <c r="U72" s="2" t="n">
        <f aca="false">R66</f>
        <v>-53.23</v>
      </c>
      <c r="V72" s="2" t="n">
        <f aca="false">R64</f>
        <v>-75.39</v>
      </c>
      <c r="W72" s="2" t="n">
        <f aca="false">R62</f>
        <v>-19.87</v>
      </c>
      <c r="X72" s="2" t="n">
        <f aca="false">R60</f>
        <v>-41.54</v>
      </c>
      <c r="Y72" s="2" t="n">
        <f aca="false">R58</f>
        <v>-41.5</v>
      </c>
      <c r="Z72" s="2" t="n">
        <f aca="false">R56</f>
        <v>-46.34</v>
      </c>
      <c r="AA72" s="2" t="n">
        <f aca="false">R54</f>
        <v>-97.49</v>
      </c>
      <c r="AB72" s="2" t="n">
        <f aca="false">R52</f>
        <v>-34.31</v>
      </c>
      <c r="AC72" s="2" t="n">
        <f aca="false">R50</f>
        <v>-13.56</v>
      </c>
      <c r="AD72" s="1" t="n">
        <v>-1.8</v>
      </c>
      <c r="AE72" s="2" t="n">
        <f aca="false">AD70</f>
        <v>-2</v>
      </c>
      <c r="AF72" s="2" t="n">
        <f aca="false">AD68</f>
        <v>-0.85</v>
      </c>
      <c r="AG72" s="2" t="n">
        <f aca="false">AD66</f>
        <v>-1.14</v>
      </c>
      <c r="AH72" s="2" t="n">
        <f aca="false">AD64</f>
        <v>-1.63</v>
      </c>
      <c r="AI72" s="2" t="n">
        <f aca="false">AD62</f>
        <v>-0.43</v>
      </c>
      <c r="AJ72" s="2" t="n">
        <f aca="false">AD60</f>
        <v>-0.89</v>
      </c>
      <c r="AK72" s="2" t="n">
        <f aca="false">AD58</f>
        <v>-0.91</v>
      </c>
      <c r="AL72" s="2" t="n">
        <f aca="false">AD56</f>
        <v>-1.02</v>
      </c>
      <c r="AM72" s="2" t="n">
        <f aca="false">AD54</f>
        <v>-2.12</v>
      </c>
      <c r="AN72" s="2" t="n">
        <f aca="false">AD52</f>
        <v>-0.74</v>
      </c>
      <c r="AO72" s="2" t="n">
        <f aca="false">AD50</f>
        <v>-0.29</v>
      </c>
      <c r="AP72" s="1" t="n">
        <v>3</v>
      </c>
      <c r="AQ72" s="2" t="n">
        <f aca="false">AP70</f>
        <v>4</v>
      </c>
      <c r="AR72" s="2" t="n">
        <f aca="false">AP68</f>
        <v>3</v>
      </c>
      <c r="AS72" s="2" t="n">
        <f aca="false">AP66</f>
        <v>3</v>
      </c>
      <c r="AT72" s="2" t="n">
        <f aca="false">AP64</f>
        <v>3</v>
      </c>
      <c r="AU72" s="2" t="n">
        <f aca="false">AP62</f>
        <v>3</v>
      </c>
      <c r="AV72" s="2" t="n">
        <f aca="false">AP60</f>
        <v>3</v>
      </c>
      <c r="AW72" s="2" t="n">
        <f aca="false">AP58</f>
        <v>3</v>
      </c>
      <c r="AX72" s="2" t="n">
        <f aca="false">AP56</f>
        <v>3</v>
      </c>
      <c r="AY72" s="2" t="n">
        <f aca="false">AP54</f>
        <v>4</v>
      </c>
      <c r="AZ72" s="2" t="n">
        <f aca="false">AP52</f>
        <v>3</v>
      </c>
      <c r="BA72" s="2" t="n">
        <f aca="false">AP50</f>
        <v>3</v>
      </c>
      <c r="BB72" s="1" t="n">
        <v>6</v>
      </c>
      <c r="BC72" s="2" t="n">
        <f aca="false">BB70</f>
        <v>33</v>
      </c>
      <c r="BD72" s="2" t="n">
        <f aca="false">BB68</f>
        <v>14</v>
      </c>
      <c r="BE72" s="2" t="n">
        <f aca="false">BB66</f>
        <v>23</v>
      </c>
      <c r="BF72" s="2" t="n">
        <f aca="false">BB64</f>
        <v>30</v>
      </c>
      <c r="BG72" s="2" t="n">
        <f aca="false">BB62</f>
        <v>7</v>
      </c>
      <c r="BH72" s="2" t="n">
        <f aca="false">BB60</f>
        <v>25</v>
      </c>
      <c r="BI72" s="2" t="n">
        <f aca="false">BB58</f>
        <v>11</v>
      </c>
      <c r="BJ72" s="2" t="n">
        <f aca="false">BB56</f>
        <v>11</v>
      </c>
      <c r="BK72" s="2" t="n">
        <f aca="false">BB54</f>
        <v>35</v>
      </c>
      <c r="BL72" s="2" t="n">
        <f aca="false">BB52</f>
        <v>4</v>
      </c>
      <c r="BM72" s="2" t="n">
        <f aca="false">BB50</f>
        <v>20</v>
      </c>
      <c r="BN72" s="1" t="n">
        <v>3</v>
      </c>
      <c r="BO72" s="2" t="n">
        <f aca="false">BN70</f>
        <v>3</v>
      </c>
      <c r="BP72" s="2" t="n">
        <f aca="false">BN68</f>
        <v>3</v>
      </c>
      <c r="BQ72" s="2" t="n">
        <f aca="false">BN66</f>
        <v>3</v>
      </c>
      <c r="BR72" s="2" t="n">
        <f aca="false">BN64</f>
        <v>3</v>
      </c>
      <c r="BS72" s="2" t="n">
        <f aca="false">BN62</f>
        <v>3</v>
      </c>
      <c r="BT72" s="2" t="n">
        <f aca="false">BN60</f>
        <v>3</v>
      </c>
      <c r="BU72" s="2" t="n">
        <f aca="false">BN58</f>
        <v>3</v>
      </c>
      <c r="BV72" s="2" t="n">
        <f aca="false">BN56</f>
        <v>3</v>
      </c>
      <c r="BW72" s="2" t="n">
        <f aca="false">BN54</f>
        <v>3</v>
      </c>
      <c r="BX72" s="2" t="n">
        <f aca="false">BN52</f>
        <v>3</v>
      </c>
      <c r="BY72" s="2" t="n">
        <f aca="false">BN50</f>
        <v>3</v>
      </c>
      <c r="BZ72" s="1" t="n">
        <v>-13.71667</v>
      </c>
      <c r="CA72" s="2" t="n">
        <f aca="false">BZ70</f>
        <v>-2.79364</v>
      </c>
      <c r="CB72" s="2" t="n">
        <f aca="false">BZ68</f>
        <v>-2.79857</v>
      </c>
      <c r="CC72" s="2" t="n">
        <f aca="false">BZ66</f>
        <v>-2.31435</v>
      </c>
      <c r="CD72" s="2" t="n">
        <f aca="false">BZ64</f>
        <v>-2.513</v>
      </c>
      <c r="CE72" s="2" t="n">
        <f aca="false">BZ62</f>
        <v>-2.83857</v>
      </c>
      <c r="CF72" s="2" t="n">
        <f aca="false">BZ60</f>
        <v>-1.6616</v>
      </c>
      <c r="CG72" s="2" t="n">
        <f aca="false">BZ58</f>
        <v>-3.77273</v>
      </c>
      <c r="CH72" s="2" t="n">
        <f aca="false">BZ56</f>
        <v>-4.21273</v>
      </c>
      <c r="CI72" s="2" t="n">
        <f aca="false">BZ54</f>
        <v>-2.78543</v>
      </c>
      <c r="CJ72" s="2" t="n">
        <f aca="false">BZ52</f>
        <v>-8.5775</v>
      </c>
      <c r="CK72" s="2" t="n">
        <f aca="false">BZ50</f>
        <v>-0.678</v>
      </c>
      <c r="CL72" s="1" t="n">
        <v>5</v>
      </c>
      <c r="CM72" s="2" t="n">
        <f aca="false">CL70</f>
        <v>3</v>
      </c>
      <c r="CN72" s="2" t="n">
        <f aca="false">CL68</f>
        <v>3</v>
      </c>
      <c r="CO72" s="2" t="n">
        <f aca="false">CL66</f>
        <v>3</v>
      </c>
      <c r="CP72" s="2" t="n">
        <f aca="false">CL64</f>
        <v>3</v>
      </c>
      <c r="CQ72" s="2" t="n">
        <f aca="false">CL62</f>
        <v>3</v>
      </c>
      <c r="CR72" s="2" t="n">
        <f aca="false">CL60</f>
        <v>3</v>
      </c>
      <c r="CS72" s="2" t="n">
        <f aca="false">CL58</f>
        <v>3</v>
      </c>
      <c r="CT72" s="2" t="n">
        <f aca="false">CL56</f>
        <v>3</v>
      </c>
      <c r="CU72" s="2" t="n">
        <f aca="false">CL54</f>
        <v>3</v>
      </c>
      <c r="CV72" s="2" t="n">
        <f aca="false">CL52</f>
        <v>3</v>
      </c>
      <c r="CW72" s="2" t="n">
        <f aca="false">CL50</f>
        <v>3</v>
      </c>
      <c r="CX72" s="1" t="n">
        <v>-85.8303</v>
      </c>
      <c r="CY72" s="2" t="n">
        <f aca="false">CX70</f>
        <v>-70.3048</v>
      </c>
      <c r="CZ72" s="2" t="n">
        <f aca="false">CX68</f>
        <v>-70.3369</v>
      </c>
      <c r="DA72" s="2" t="n">
        <f aca="false">CX66</f>
        <v>-66.6314</v>
      </c>
      <c r="DB72" s="2" t="n">
        <f aca="false">CX64</f>
        <v>-68.3009</v>
      </c>
      <c r="DC72" s="2" t="n">
        <f aca="false">CX62</f>
        <v>-70.5932</v>
      </c>
      <c r="DD72" s="2" t="n">
        <f aca="false">CX60</f>
        <v>-58.9592</v>
      </c>
      <c r="DE72" s="2" t="n">
        <f aca="false">CX58</f>
        <v>-75.1545</v>
      </c>
      <c r="DF72" s="2" t="n">
        <f aca="false">CX56</f>
        <v>-76.6465</v>
      </c>
      <c r="DG72" s="2" t="n">
        <f aca="false">CX54</f>
        <v>-70.2513</v>
      </c>
      <c r="DH72" s="2" t="n">
        <f aca="false">CX52</f>
        <v>-83.3502</v>
      </c>
      <c r="DI72" s="2" t="n">
        <f aca="false">CX50</f>
        <v>-34.1373</v>
      </c>
      <c r="DJ72" s="1" t="s">
        <v>172</v>
      </c>
      <c r="DK72" s="2" t="str">
        <f aca="false">DJ70</f>
        <v>LL</v>
      </c>
      <c r="DL72" s="2" t="str">
        <f aca="false">DJ68</f>
        <v>LL</v>
      </c>
      <c r="DM72" s="2" t="str">
        <f aca="false">DJ66</f>
        <v>HL</v>
      </c>
      <c r="DN72" s="2" t="str">
        <f aca="false">DJ64</f>
        <v>LL</v>
      </c>
      <c r="DO72" s="2" t="str">
        <f aca="false">DJ62</f>
        <v>HL</v>
      </c>
      <c r="DP72" s="2" t="str">
        <f aca="false">DJ60</f>
        <v>HL</v>
      </c>
      <c r="DQ72" s="2" t="str">
        <f aca="false">DJ58</f>
        <v>HL</v>
      </c>
      <c r="DR72" s="2" t="str">
        <f aca="false">DJ56</f>
        <v>HL</v>
      </c>
      <c r="DS72" s="2" t="str">
        <f aca="false">DJ54</f>
        <v>LL</v>
      </c>
      <c r="DT72" s="2" t="str">
        <f aca="false">DJ52</f>
        <v>LL</v>
      </c>
      <c r="DU72" s="2" t="str">
        <f aca="false">DJ50</f>
        <v>HL</v>
      </c>
      <c r="DV72" s="2" t="n">
        <f aca="false">IFERROR((G72-$F72)/$F72*100,"")</f>
        <v>0.567447110107845</v>
      </c>
      <c r="DW72" s="2" t="n">
        <f aca="false">IFERROR((H72-$F72)/$F72*100,"")</f>
        <v>2.04560906137939</v>
      </c>
      <c r="DX72" s="2" t="n">
        <f aca="false">IFERROR((I72-$F72)/$F72*100,"")</f>
        <v>2.36021560324028</v>
      </c>
      <c r="DY72" s="2" t="n">
        <f aca="false">IFERROR((J72-$F72)/$F72*100,"")</f>
        <v>1.3237470172367</v>
      </c>
      <c r="DZ72" s="2" t="n">
        <f aca="false">IFERROR((K72-$F72)/$F72*100,"")</f>
        <v>2.51974067178274</v>
      </c>
      <c r="EA72" s="2" t="n">
        <f aca="false">IFERROR((L72-$F72)/$F72*100,"")</f>
        <v>2.3262220997765</v>
      </c>
      <c r="EB72" s="2" t="n">
        <f aca="false">IFERROR((M72-$F72)/$F72*100,"")</f>
        <v>0.887830325759967</v>
      </c>
      <c r="EC72" s="2" t="n">
        <f aca="false">IFERROR((N72-$F72)/$F72*100,"")</f>
        <v>0.389925480908097</v>
      </c>
      <c r="ED72" s="2" t="n">
        <f aca="false">IFERROR((O72-$F72)/$F72*100,"")</f>
        <v>0.209293335051525</v>
      </c>
      <c r="EE72" s="2" t="n">
        <f aca="false">IFERROR((P72-$F72)/$F72*100,"")</f>
        <v>1.66590384948655</v>
      </c>
      <c r="EF72" s="2" t="n">
        <f aca="false">IFERROR((Q72-$F72)/$F72*100,"")</f>
        <v>1.9345191807788</v>
      </c>
      <c r="EG72" s="2" t="str">
        <f aca="false">IF(DV72="","",IF(AND(ABS(DV72)&lt;=0.25,$E72="Bottom",DK72="LL"),"EQL",IF(AND(ABS(DV72)&lt;=0.25,$E72="Peak",DK72="HH"),"EQH","")))</f>
        <v/>
      </c>
      <c r="EH72" s="2" t="str">
        <f aca="false">IF(DW72="","",IF(AND(ABS(DW72)&lt;=0.25,$E72="Bottom",DL72="LL"),"EQL",IF(AND(ABS(DW72)&lt;=0.25,$E72="Peak",DL72="HH"),"EQH","")))</f>
        <v/>
      </c>
      <c r="EI72" s="2" t="str">
        <f aca="false">IF(DX72="","",IF(AND(ABS(DX72)&lt;=0.25,$E72="Bottom",DM72="LL"),"EQL",IF(AND(ABS(DX72)&lt;=0.25,$E72="Peak",DM72="HH"),"EQH","")))</f>
        <v/>
      </c>
      <c r="EJ72" s="2" t="str">
        <f aca="false">IF(DY72="","",IF(AND(ABS(DY72)&lt;=0.25,$E72="Bottom",DN72="LL"),"EQL",IF(AND(ABS(DY72)&lt;=0.25,$E72="Peak",DN72="HH"),"EQH","")))</f>
        <v/>
      </c>
      <c r="EK72" s="2" t="str">
        <f aca="false">IF(DZ72="","",IF(AND(ABS(DZ72)&lt;=0.25,$E72="Bottom",DO72="LL"),"EQL",IF(AND(ABS(DZ72)&lt;=0.25,$E72="Peak",DO72="HH"),"EQH","")))</f>
        <v/>
      </c>
      <c r="EL72" s="2" t="str">
        <f aca="false">IF(EA72="","",IF(AND(ABS(EA72)&lt;=0.25,$E72="Bottom",DP72="LL"),"EQL",IF(AND(ABS(EA72)&lt;=0.25,$E72="Peak",DP72="HH"),"EQH","")))</f>
        <v/>
      </c>
      <c r="EM72" s="2" t="str">
        <f aca="false">IF(EB72="","",IF(AND(ABS(EB72)&lt;=0.25,$E72="Bottom",DQ72="LL"),"EQL",IF(AND(ABS(EB72)&lt;=0.25,$E72="Peak",DQ72="HH"),"EQH","")))</f>
        <v/>
      </c>
      <c r="EN72" s="2" t="str">
        <f aca="false">IF(EC72="","",IF(AND(ABS(EC72)&lt;=0.25,$E72="Bottom",DR72="LL"),"EQL",IF(AND(ABS(EC72)&lt;=0.25,$E72="Peak",DR72="HH"),"EQH","")))</f>
        <v/>
      </c>
      <c r="EO72" s="2" t="str">
        <f aca="false">IF(ED72="","",IF(AND(ABS(ED72)&lt;=0.25,$E72="Bottom",DS72="LL"),"EQL",IF(AND(ABS(ED72)&lt;=0.25,$E72="Peak",DS72="HH"),"EQH","")))</f>
        <v>EQL</v>
      </c>
      <c r="EP72" s="2" t="str">
        <f aca="false">IF(EE72="","",IF(AND(ABS(EE72)&lt;=0.25,$E72="Bottom",DT72="LL"),"EQL",IF(AND(ABS(EE72)&lt;=0.25,$E72="Peak",DT72="HH"),"EQH","")))</f>
        <v/>
      </c>
      <c r="EQ72" s="2" t="str">
        <f aca="false">IF(EF72="","",IF(AND(ABS(EF72)&lt;=0.25,$E72="Bottom",DU72="LL"),"EQL",IF(AND(ABS(EF72)&lt;=0.25,$E72="Peak",DU72="HH"),"EQH","")))</f>
        <v/>
      </c>
      <c r="ER72" s="2" t="str">
        <f aca="false">IF(OR(EG72="EQL",EG72="EQH"),G72,"")</f>
        <v/>
      </c>
      <c r="ES72" s="2" t="str">
        <f aca="false">IF(OR(EH72="EQL",EH72="EQH"),H72,"")</f>
        <v/>
      </c>
      <c r="ET72" s="2" t="str">
        <f aca="false">IF(OR(EI72="EQL",EI72="EQH"),I72,"")</f>
        <v/>
      </c>
      <c r="EU72" s="2" t="str">
        <f aca="false">IF(OR(EJ72="EQL",EJ72="EQH"),J72,"")</f>
        <v/>
      </c>
      <c r="EV72" s="2" t="str">
        <f aca="false">IF(OR(EK72="EQL",EK72="EQH"),K72,"")</f>
        <v/>
      </c>
      <c r="EW72" s="2" t="str">
        <f aca="false">IF(OR(EL72="EQL",EL72="EQH"),L72,"")</f>
        <v/>
      </c>
      <c r="EX72" s="2" t="str">
        <f aca="false">IF(OR(EM72="EQL",EM72="EQH"),M72,"")</f>
        <v/>
      </c>
      <c r="EY72" s="2" t="str">
        <f aca="false">IF(OR(EN72="EQL",EN72="EQH"),N72,"")</f>
        <v/>
      </c>
      <c r="EZ72" s="2" t="n">
        <f aca="false">IF(OR(EO72="EQL",EO72="EQH"),O72,"")</f>
        <v>4510.28</v>
      </c>
      <c r="FA72" s="2" t="str">
        <f aca="false">IF(OR(EP72="EQL",EP72="EQH"),P72,"")</f>
        <v/>
      </c>
      <c r="FB72" s="2" t="str">
        <f aca="false">IF(OR(EQ72="EQL",EQ72="EQH"),Q72,"")</f>
        <v/>
      </c>
      <c r="FC72" s="2" t="str">
        <f aca="false">IF(AND(EG72="EQL",OR(AQ72=4,AQ72=5)),"IEQL",IF(AND(EG72="EQH",OR(AQ72=1,AQ72=2)),"IEQH",""))</f>
        <v/>
      </c>
      <c r="FD72" s="2" t="str">
        <f aca="false">IF(AND(EH72="EQL",OR(AR72=4,AR72=5)),"IEQL",IF(AND(EH72="EQH",OR(AR72=1,AR72=2)),"IEQH",""))</f>
        <v/>
      </c>
      <c r="FE72" s="2" t="str">
        <f aca="false">IF(AND(EI72="EQL",OR(AS72=4,AS72=5)),"IEQL",IF(AND(EI72="EQH",OR(AS72=1,AS72=2)),"IEQH",""))</f>
        <v/>
      </c>
      <c r="FF72" s="2" t="str">
        <f aca="false">IF(AND(EJ72="EQL",OR(AT72=4,AT72=5)),"IEQL",IF(AND(EJ72="EQH",OR(AT72=1,AT72=2)),"IEQH",""))</f>
        <v/>
      </c>
      <c r="FG72" s="2" t="str">
        <f aca="false">IF(AND(EK72="EQL",OR(AU72=4,AU72=5)),"IEQL",IF(AND(EK72="EQH",OR(AU72=1,AU72=2)),"IEQH",""))</f>
        <v/>
      </c>
      <c r="FH72" s="2" t="str">
        <f aca="false">IF(AND(EL72="EQL",OR(AV72=4,AV72=5)),"IEQL",IF(AND(EL72="EQH",OR(AV72=1,AV72=2)),"IEQH",""))</f>
        <v/>
      </c>
      <c r="FI72" s="2" t="str">
        <f aca="false">IF(AND(EM72="EQL",OR(AW72=4,AW72=5)),"IEQL",IF(AND(EM72="EQH",OR(AW72=1,AW72=2)),"IEQH",""))</f>
        <v/>
      </c>
      <c r="FJ72" s="2" t="str">
        <f aca="false">IF(AND(EN72="EQL",OR(AX72=4,AX72=5)),"IEQL",IF(AND(EN72="EQH",OR(AX72=1,AX72=2)),"IEQH",""))</f>
        <v/>
      </c>
      <c r="FK72" s="2" t="str">
        <f aca="false">IF(AND(EO72="EQL",OR(AY72=4,AY72=5)),"IEQL",IF(AND(EO72="EQH",OR(AY72=1,AY72=2)),"IEQH",""))</f>
        <v>IEQL</v>
      </c>
      <c r="FL72" s="2" t="str">
        <f aca="false">IF(AND(EP72="EQL",OR(AZ72=4,AZ72=5)),"IEQL",IF(AND(EP72="EQH",OR(AZ72=1,AZ72=2)),"IEQH",""))</f>
        <v/>
      </c>
      <c r="FM72" s="2" t="str">
        <f aca="false">IF(AND(EQ72="EQL",OR(BA72=4,BA72=5)),"IEQL",IF(AND(EQ72="EQH",OR(BA72=1,BA72=2)),"IEQH",""))</f>
        <v/>
      </c>
    </row>
    <row r="73" customFormat="false" ht="14.25" hidden="false" customHeight="false" outlineLevel="0" collapsed="false">
      <c r="A73" s="1" t="n">
        <v>1777939202</v>
      </c>
      <c r="B73" s="1" t="s">
        <v>169</v>
      </c>
      <c r="C73" s="1" t="s">
        <v>170</v>
      </c>
      <c r="D73" s="1" t="n">
        <v>4527.77</v>
      </c>
      <c r="E73" s="1" t="s">
        <v>173</v>
      </c>
      <c r="F73" s="1" t="n">
        <v>4528.57</v>
      </c>
      <c r="G73" s="2" t="n">
        <f aca="false">F71</f>
        <v>4583.16</v>
      </c>
      <c r="H73" s="2" t="n">
        <f aca="false">F69</f>
        <v>4618.59</v>
      </c>
      <c r="I73" s="2" t="n">
        <f aca="false">F67</f>
        <v>4632.11</v>
      </c>
      <c r="J73" s="2" t="n">
        <f aca="false">F65</f>
        <v>4660.32</v>
      </c>
      <c r="K73" s="2" t="n">
        <f aca="false">F63</f>
        <v>4635.83</v>
      </c>
      <c r="L73" s="2" t="n">
        <f aca="false">F61</f>
        <v>4634.14</v>
      </c>
      <c r="M73" s="2" t="n">
        <f aca="false">F59</f>
        <v>4647.1</v>
      </c>
      <c r="N73" s="2" t="n">
        <f aca="false">F57</f>
        <v>4582.32</v>
      </c>
      <c r="O73" s="2" t="n">
        <f aca="false">F55</f>
        <v>4564.75</v>
      </c>
      <c r="P73" s="2" t="n">
        <f aca="false">F53</f>
        <v>4607.77</v>
      </c>
      <c r="Q73" s="2" t="n">
        <f aca="false">F51</f>
        <v>4610.15</v>
      </c>
      <c r="R73" s="1" t="n">
        <v>27.71</v>
      </c>
      <c r="S73" s="2" t="n">
        <f aca="false">R71</f>
        <v>56.76</v>
      </c>
      <c r="T73" s="2" t="n">
        <f aca="false">R69</f>
        <v>25.66</v>
      </c>
      <c r="U73" s="2" t="n">
        <f aca="false">R67</f>
        <v>25.02</v>
      </c>
      <c r="V73" s="2" t="n">
        <f aca="false">R65</f>
        <v>99.88</v>
      </c>
      <c r="W73" s="2" t="n">
        <f aca="false">R63</f>
        <v>21.56</v>
      </c>
      <c r="X73" s="2" t="n">
        <f aca="false">R61</f>
        <v>28.58</v>
      </c>
      <c r="Y73" s="2" t="n">
        <f aca="false">R59</f>
        <v>106.28</v>
      </c>
      <c r="Z73" s="2" t="n">
        <f aca="false">R57</f>
        <v>63.91</v>
      </c>
      <c r="AA73" s="2" t="n">
        <f aca="false">R55</f>
        <v>54.47</v>
      </c>
      <c r="AB73" s="2" t="n">
        <f aca="false">R53</f>
        <v>31.93</v>
      </c>
      <c r="AC73" s="2" t="n">
        <f aca="false">R51</f>
        <v>22.22</v>
      </c>
      <c r="AD73" s="1" t="n">
        <v>0.62</v>
      </c>
      <c r="AE73" s="2" t="n">
        <f aca="false">AD71</f>
        <v>1.25</v>
      </c>
      <c r="AF73" s="2" t="n">
        <f aca="false">AD69</f>
        <v>0.56</v>
      </c>
      <c r="AG73" s="2" t="n">
        <f aca="false">AD67</f>
        <v>0.54</v>
      </c>
      <c r="AH73" s="2" t="n">
        <f aca="false">AD65</f>
        <v>2.19</v>
      </c>
      <c r="AI73" s="2" t="n">
        <f aca="false">AD63</f>
        <v>0.47</v>
      </c>
      <c r="AJ73" s="2" t="n">
        <f aca="false">AD61</f>
        <v>0.62</v>
      </c>
      <c r="AK73" s="2" t="n">
        <f aca="false">AD59</f>
        <v>2.34</v>
      </c>
      <c r="AL73" s="2" t="n">
        <f aca="false">AD57</f>
        <v>1.41</v>
      </c>
      <c r="AM73" s="2" t="n">
        <f aca="false">AD55</f>
        <v>1.21</v>
      </c>
      <c r="AN73" s="2" t="n">
        <f aca="false">AD53</f>
        <v>0.7</v>
      </c>
      <c r="AO73" s="2" t="n">
        <f aca="false">AD51</f>
        <v>0.48</v>
      </c>
      <c r="AP73" s="1" t="n">
        <v>0</v>
      </c>
      <c r="AQ73" s="2" t="n">
        <f aca="false">AP71</f>
        <v>0</v>
      </c>
      <c r="AR73" s="2" t="n">
        <f aca="false">AP69</f>
        <v>0</v>
      </c>
      <c r="AS73" s="2" t="n">
        <f aca="false">AP67</f>
        <v>0</v>
      </c>
      <c r="AT73" s="2" t="n">
        <f aca="false">AP65</f>
        <v>1</v>
      </c>
      <c r="AU73" s="2" t="n">
        <f aca="false">AP63</f>
        <v>0</v>
      </c>
      <c r="AV73" s="2" t="n">
        <f aca="false">AP61</f>
        <v>0</v>
      </c>
      <c r="AW73" s="2" t="n">
        <f aca="false">AP59</f>
        <v>1</v>
      </c>
      <c r="AX73" s="2" t="n">
        <f aca="false">AP57</f>
        <v>0</v>
      </c>
      <c r="AY73" s="2" t="n">
        <f aca="false">AP55</f>
        <v>0</v>
      </c>
      <c r="AZ73" s="2" t="n">
        <f aca="false">AP53</f>
        <v>0</v>
      </c>
      <c r="BA73" s="2" t="n">
        <f aca="false">AP51</f>
        <v>0</v>
      </c>
      <c r="BB73" s="1" t="n">
        <v>28</v>
      </c>
      <c r="BC73" s="2" t="n">
        <f aca="false">BB71</f>
        <v>17</v>
      </c>
      <c r="BD73" s="2" t="n">
        <f aca="false">BB69</f>
        <v>2</v>
      </c>
      <c r="BE73" s="2" t="n">
        <f aca="false">BB67</f>
        <v>4</v>
      </c>
      <c r="BF73" s="2" t="n">
        <f aca="false">BB65</f>
        <v>18</v>
      </c>
      <c r="BG73" s="2" t="n">
        <f aca="false">BB63</f>
        <v>4</v>
      </c>
      <c r="BH73" s="2" t="n">
        <f aca="false">BB61</f>
        <v>23</v>
      </c>
      <c r="BI73" s="2" t="n">
        <f aca="false">BB59</f>
        <v>24</v>
      </c>
      <c r="BJ73" s="2" t="n">
        <f aca="false">BB57</f>
        <v>24</v>
      </c>
      <c r="BK73" s="2" t="n">
        <f aca="false">BB55</f>
        <v>9</v>
      </c>
      <c r="BL73" s="2" t="n">
        <f aca="false">BB53</f>
        <v>16</v>
      </c>
      <c r="BM73" s="2" t="n">
        <f aca="false">BB51</f>
        <v>2</v>
      </c>
      <c r="BN73" s="1" t="n">
        <v>0</v>
      </c>
      <c r="BO73" s="2" t="n">
        <f aca="false">BN71</f>
        <v>0</v>
      </c>
      <c r="BP73" s="2" t="n">
        <f aca="false">BN69</f>
        <v>0</v>
      </c>
      <c r="BQ73" s="2" t="n">
        <f aca="false">BN67</f>
        <v>0</v>
      </c>
      <c r="BR73" s="2" t="n">
        <f aca="false">BN65</f>
        <v>0</v>
      </c>
      <c r="BS73" s="2" t="n">
        <f aca="false">BN63</f>
        <v>0</v>
      </c>
      <c r="BT73" s="2" t="n">
        <f aca="false">BN61</f>
        <v>0</v>
      </c>
      <c r="BU73" s="2" t="n">
        <f aca="false">BN59</f>
        <v>0</v>
      </c>
      <c r="BV73" s="2" t="n">
        <f aca="false">BN57</f>
        <v>0</v>
      </c>
      <c r="BW73" s="2" t="n">
        <f aca="false">BN55</f>
        <v>0</v>
      </c>
      <c r="BX73" s="2" t="n">
        <f aca="false">BN53</f>
        <v>0</v>
      </c>
      <c r="BY73" s="2" t="n">
        <f aca="false">BN51</f>
        <v>0</v>
      </c>
      <c r="BZ73" s="1" t="n">
        <v>0.98964</v>
      </c>
      <c r="CA73" s="2" t="n">
        <f aca="false">BZ71</f>
        <v>3.33882</v>
      </c>
      <c r="CB73" s="2" t="n">
        <f aca="false">BZ69</f>
        <v>12.83</v>
      </c>
      <c r="CC73" s="2" t="n">
        <f aca="false">BZ67</f>
        <v>6.255</v>
      </c>
      <c r="CD73" s="2" t="n">
        <f aca="false">BZ65</f>
        <v>5.54889</v>
      </c>
      <c r="CE73" s="2" t="n">
        <f aca="false">BZ63</f>
        <v>5.39</v>
      </c>
      <c r="CF73" s="2" t="n">
        <f aca="false">BZ61</f>
        <v>1.24261</v>
      </c>
      <c r="CG73" s="2" t="n">
        <f aca="false">BZ59</f>
        <v>4.42833</v>
      </c>
      <c r="CH73" s="2" t="n">
        <f aca="false">BZ57</f>
        <v>2.66292</v>
      </c>
      <c r="CI73" s="2" t="n">
        <f aca="false">BZ55</f>
        <v>6.05222</v>
      </c>
      <c r="CJ73" s="2" t="n">
        <f aca="false">BZ53</f>
        <v>1.99563</v>
      </c>
      <c r="CK73" s="2" t="n">
        <f aca="false">BZ51</f>
        <v>11.11</v>
      </c>
      <c r="CL73" s="1" t="n">
        <v>0</v>
      </c>
      <c r="CM73" s="2" t="n">
        <f aca="false">CL71</f>
        <v>0</v>
      </c>
      <c r="CN73" s="2" t="n">
        <f aca="false">CL69</f>
        <v>0</v>
      </c>
      <c r="CO73" s="2" t="n">
        <f aca="false">CL67</f>
        <v>0</v>
      </c>
      <c r="CP73" s="2" t="n">
        <f aca="false">CL65</f>
        <v>0</v>
      </c>
      <c r="CQ73" s="2" t="n">
        <f aca="false">CL63</f>
        <v>0</v>
      </c>
      <c r="CR73" s="2" t="n">
        <f aca="false">CL61</f>
        <v>0</v>
      </c>
      <c r="CS73" s="2" t="n">
        <f aca="false">CL59</f>
        <v>0</v>
      </c>
      <c r="CT73" s="2" t="n">
        <f aca="false">CL57</f>
        <v>0</v>
      </c>
      <c r="CU73" s="2" t="n">
        <f aca="false">CL55</f>
        <v>0</v>
      </c>
      <c r="CV73" s="2" t="n">
        <f aca="false">CL53</f>
        <v>0</v>
      </c>
      <c r="CW73" s="2" t="n">
        <f aca="false">CL51</f>
        <v>0</v>
      </c>
      <c r="CX73" s="1" t="n">
        <v>44.7017</v>
      </c>
      <c r="CY73" s="2" t="n">
        <f aca="false">CX71</f>
        <v>73.3267</v>
      </c>
      <c r="CZ73" s="2" t="n">
        <f aca="false">CX69</f>
        <v>85.5432</v>
      </c>
      <c r="DA73" s="2" t="n">
        <f aca="false">CX67</f>
        <v>80.9169</v>
      </c>
      <c r="DB73" s="2" t="n">
        <f aca="false">CX65</f>
        <v>79.784</v>
      </c>
      <c r="DC73" s="2" t="n">
        <f aca="false">CX63</f>
        <v>79.4895</v>
      </c>
      <c r="DD73" s="2" t="n">
        <f aca="false">CX61</f>
        <v>51.1743</v>
      </c>
      <c r="DE73" s="2" t="n">
        <f aca="false">CX59</f>
        <v>77.275</v>
      </c>
      <c r="DF73" s="2" t="n">
        <f aca="false">CX57</f>
        <v>69.4174</v>
      </c>
      <c r="DG73" s="2" t="n">
        <f aca="false">CX55</f>
        <v>80.6179</v>
      </c>
      <c r="DH73" s="2" t="n">
        <f aca="false">CX53</f>
        <v>63.3847</v>
      </c>
      <c r="DI73" s="2" t="n">
        <f aca="false">CX51</f>
        <v>84.8567</v>
      </c>
      <c r="DJ73" s="1" t="s">
        <v>174</v>
      </c>
      <c r="DK73" s="2" t="str">
        <f aca="false">DJ71</f>
        <v>LH</v>
      </c>
      <c r="DL73" s="2" t="str">
        <f aca="false">DJ69</f>
        <v>LH</v>
      </c>
      <c r="DM73" s="2" t="str">
        <f aca="false">DJ67</f>
        <v>LH</v>
      </c>
      <c r="DN73" s="2" t="str">
        <f aca="false">DJ65</f>
        <v>HH</v>
      </c>
      <c r="DO73" s="2" t="str">
        <f aca="false">DJ63</f>
        <v>HH</v>
      </c>
      <c r="DP73" s="2" t="str">
        <f aca="false">DJ61</f>
        <v>LH</v>
      </c>
      <c r="DQ73" s="2" t="str">
        <f aca="false">DJ59</f>
        <v>HH</v>
      </c>
      <c r="DR73" s="2" t="str">
        <f aca="false">DJ57</f>
        <v>HH</v>
      </c>
      <c r="DS73" s="2" t="str">
        <f aca="false">DJ55</f>
        <v>LH</v>
      </c>
      <c r="DT73" s="2" t="str">
        <f aca="false">DJ53</f>
        <v>LH</v>
      </c>
      <c r="DU73" s="2" t="str">
        <f aca="false">DJ51</f>
        <v>HH</v>
      </c>
      <c r="DV73" s="2" t="n">
        <f aca="false">IFERROR((G73-$F73)/$F73*100,"")</f>
        <v>1.20545779351981</v>
      </c>
      <c r="DW73" s="2" t="n">
        <f aca="false">IFERROR((H73-$F73)/$F73*100,"")</f>
        <v>1.9878239709224</v>
      </c>
      <c r="DX73" s="2" t="n">
        <f aca="false">IFERROR((I73-$F73)/$F73*100,"")</f>
        <v>2.28637296100093</v>
      </c>
      <c r="DY73" s="2" t="n">
        <f aca="false">IFERROR((J73-$F73)/$F73*100,"")</f>
        <v>2.90930691145328</v>
      </c>
      <c r="DZ73" s="2" t="n">
        <f aca="false">IFERROR((K73-$F73)/$F73*100,"")</f>
        <v>2.36851809732433</v>
      </c>
      <c r="EA73" s="2" t="n">
        <f aca="false">IFERROR((L73-$F73)/$F73*100,"")</f>
        <v>2.33119947356452</v>
      </c>
      <c r="EB73" s="2" t="n">
        <f aca="false">IFERROR((M73-$F73)/$F73*100,"")</f>
        <v>2.61738252914277</v>
      </c>
      <c r="EC73" s="2" t="n">
        <f aca="false">IFERROR((N73-$F73)/$F73*100,"")</f>
        <v>1.18690889176937</v>
      </c>
      <c r="ED73" s="2" t="n">
        <f aca="false">IFERROR((O73-$F73)/$F73*100,"")</f>
        <v>0.798927696822624</v>
      </c>
      <c r="EE73" s="2" t="n">
        <f aca="false">IFERROR((P73-$F73)/$F73*100,"")</f>
        <v>1.74889645075599</v>
      </c>
      <c r="EF73" s="2" t="n">
        <f aca="false">IFERROR((Q73-$F73)/$F73*100,"")</f>
        <v>1.80145167238223</v>
      </c>
      <c r="EG73" s="2" t="str">
        <f aca="false">IF(DV73="","",IF(AND(ABS(DV73)&lt;=0.25,$E73="Bottom",DK73="LL"),"EQL",IF(AND(ABS(DV73)&lt;=0.25,$E73="Peak",DK73="HH"),"EQH","")))</f>
        <v/>
      </c>
      <c r="EH73" s="2" t="str">
        <f aca="false">IF(DW73="","",IF(AND(ABS(DW73)&lt;=0.25,$E73="Bottom",DL73="LL"),"EQL",IF(AND(ABS(DW73)&lt;=0.25,$E73="Peak",DL73="HH"),"EQH","")))</f>
        <v/>
      </c>
      <c r="EI73" s="2" t="str">
        <f aca="false">IF(DX73="","",IF(AND(ABS(DX73)&lt;=0.25,$E73="Bottom",DM73="LL"),"EQL",IF(AND(ABS(DX73)&lt;=0.25,$E73="Peak",DM73="HH"),"EQH","")))</f>
        <v/>
      </c>
      <c r="EJ73" s="2" t="str">
        <f aca="false">IF(DY73="","",IF(AND(ABS(DY73)&lt;=0.25,$E73="Bottom",DN73="LL"),"EQL",IF(AND(ABS(DY73)&lt;=0.25,$E73="Peak",DN73="HH"),"EQH","")))</f>
        <v/>
      </c>
      <c r="EK73" s="2" t="str">
        <f aca="false">IF(DZ73="","",IF(AND(ABS(DZ73)&lt;=0.25,$E73="Bottom",DO73="LL"),"EQL",IF(AND(ABS(DZ73)&lt;=0.25,$E73="Peak",DO73="HH"),"EQH","")))</f>
        <v/>
      </c>
      <c r="EL73" s="2" t="str">
        <f aca="false">IF(EA73="","",IF(AND(ABS(EA73)&lt;=0.25,$E73="Bottom",DP73="LL"),"EQL",IF(AND(ABS(EA73)&lt;=0.25,$E73="Peak",DP73="HH"),"EQH","")))</f>
        <v/>
      </c>
      <c r="EM73" s="2" t="str">
        <f aca="false">IF(EB73="","",IF(AND(ABS(EB73)&lt;=0.25,$E73="Bottom",DQ73="LL"),"EQL",IF(AND(ABS(EB73)&lt;=0.25,$E73="Peak",DQ73="HH"),"EQH","")))</f>
        <v/>
      </c>
      <c r="EN73" s="2" t="str">
        <f aca="false">IF(EC73="","",IF(AND(ABS(EC73)&lt;=0.25,$E73="Bottom",DR73="LL"),"EQL",IF(AND(ABS(EC73)&lt;=0.25,$E73="Peak",DR73="HH"),"EQH","")))</f>
        <v/>
      </c>
      <c r="EO73" s="2" t="str">
        <f aca="false">IF(ED73="","",IF(AND(ABS(ED73)&lt;=0.25,$E73="Bottom",DS73="LL"),"EQL",IF(AND(ABS(ED73)&lt;=0.25,$E73="Peak",DS73="HH"),"EQH","")))</f>
        <v/>
      </c>
      <c r="EP73" s="2" t="str">
        <f aca="false">IF(EE73="","",IF(AND(ABS(EE73)&lt;=0.25,$E73="Bottom",DT73="LL"),"EQL",IF(AND(ABS(EE73)&lt;=0.25,$E73="Peak",DT73="HH"),"EQH","")))</f>
        <v/>
      </c>
      <c r="EQ73" s="2" t="str">
        <f aca="false">IF(EF73="","",IF(AND(ABS(EF73)&lt;=0.25,$E73="Bottom",DU73="LL"),"EQL",IF(AND(ABS(EF73)&lt;=0.25,$E73="Peak",DU73="HH"),"EQH","")))</f>
        <v/>
      </c>
      <c r="ER73" s="2" t="str">
        <f aca="false">IF(OR(EG73="EQL",EG73="EQH"),G73,"")</f>
        <v/>
      </c>
      <c r="ES73" s="2" t="str">
        <f aca="false">IF(OR(EH73="EQL",EH73="EQH"),H73,"")</f>
        <v/>
      </c>
      <c r="ET73" s="2" t="str">
        <f aca="false">IF(OR(EI73="EQL",EI73="EQH"),I73,"")</f>
        <v/>
      </c>
      <c r="EU73" s="2" t="str">
        <f aca="false">IF(OR(EJ73="EQL",EJ73="EQH"),J73,"")</f>
        <v/>
      </c>
      <c r="EV73" s="2" t="str">
        <f aca="false">IF(OR(EK73="EQL",EK73="EQH"),K73,"")</f>
        <v/>
      </c>
      <c r="EW73" s="2" t="str">
        <f aca="false">IF(OR(EL73="EQL",EL73="EQH"),L73,"")</f>
        <v/>
      </c>
      <c r="EX73" s="2" t="str">
        <f aca="false">IF(OR(EM73="EQL",EM73="EQH"),M73,"")</f>
        <v/>
      </c>
      <c r="EY73" s="2" t="str">
        <f aca="false">IF(OR(EN73="EQL",EN73="EQH"),N73,"")</f>
        <v/>
      </c>
      <c r="EZ73" s="2" t="str">
        <f aca="false">IF(OR(EO73="EQL",EO73="EQH"),O73,"")</f>
        <v/>
      </c>
      <c r="FA73" s="2" t="str">
        <f aca="false">IF(OR(EP73="EQL",EP73="EQH"),P73,"")</f>
        <v/>
      </c>
      <c r="FB73" s="2" t="str">
        <f aca="false">IF(OR(EQ73="EQL",EQ73="EQH"),Q73,"")</f>
        <v/>
      </c>
      <c r="FC73" s="2" t="str">
        <f aca="false">IF(AND(EG73="EQL",OR(AQ73=4,AQ73=5)),"IEQL",IF(AND(EG73="EQH",OR(AQ73=1,AQ73=2)),"IEQH",""))</f>
        <v/>
      </c>
      <c r="FD73" s="2" t="str">
        <f aca="false">IF(AND(EH73="EQL",OR(AR73=4,AR73=5)),"IEQL",IF(AND(EH73="EQH",OR(AR73=1,AR73=2)),"IEQH",""))</f>
        <v/>
      </c>
      <c r="FE73" s="2" t="str">
        <f aca="false">IF(AND(EI73="EQL",OR(AS73=4,AS73=5)),"IEQL",IF(AND(EI73="EQH",OR(AS73=1,AS73=2)),"IEQH",""))</f>
        <v/>
      </c>
      <c r="FF73" s="2" t="str">
        <f aca="false">IF(AND(EJ73="EQL",OR(AT73=4,AT73=5)),"IEQL",IF(AND(EJ73="EQH",OR(AT73=1,AT73=2)),"IEQH",""))</f>
        <v/>
      </c>
      <c r="FG73" s="2" t="str">
        <f aca="false">IF(AND(EK73="EQL",OR(AU73=4,AU73=5)),"IEQL",IF(AND(EK73="EQH",OR(AU73=1,AU73=2)),"IEQH",""))</f>
        <v/>
      </c>
      <c r="FH73" s="2" t="str">
        <f aca="false">IF(AND(EL73="EQL",OR(AV73=4,AV73=5)),"IEQL",IF(AND(EL73="EQH",OR(AV73=1,AV73=2)),"IEQH",""))</f>
        <v/>
      </c>
      <c r="FI73" s="2" t="str">
        <f aca="false">IF(AND(EM73="EQL",OR(AW73=4,AW73=5)),"IEQL",IF(AND(EM73="EQH",OR(AW73=1,AW73=2)),"IEQH",""))</f>
        <v/>
      </c>
      <c r="FJ73" s="2" t="str">
        <f aca="false">IF(AND(EN73="EQL",OR(AX73=4,AX73=5)),"IEQL",IF(AND(EN73="EQH",OR(AX73=1,AX73=2)),"IEQH",""))</f>
        <v/>
      </c>
      <c r="FK73" s="2" t="str">
        <f aca="false">IF(AND(EO73="EQL",OR(AY73=4,AY73=5)),"IEQL",IF(AND(EO73="EQH",OR(AY73=1,AY73=2)),"IEQH",""))</f>
        <v/>
      </c>
      <c r="FL73" s="2" t="str">
        <f aca="false">IF(AND(EP73="EQL",OR(AZ73=4,AZ73=5)),"IEQL",IF(AND(EP73="EQH",OR(AZ73=1,AZ73=2)),"IEQH",""))</f>
        <v/>
      </c>
      <c r="FM73" s="2" t="str">
        <f aca="false">IF(AND(EQ73="EQL",OR(BA73=4,BA73=5)),"IEQL",IF(AND(EQ73="EQH",OR(BA73=1,BA73=2)),"IEQH",""))</f>
        <v/>
      </c>
    </row>
    <row r="74" customFormat="false" ht="14.25" hidden="false" customHeight="false" outlineLevel="0" collapsed="false">
      <c r="A74" s="1" t="n">
        <v>1777940102</v>
      </c>
      <c r="B74" s="1" t="s">
        <v>169</v>
      </c>
      <c r="C74" s="1" t="s">
        <v>170</v>
      </c>
      <c r="D74" s="1" t="n">
        <v>4517.12</v>
      </c>
      <c r="E74" s="1" t="s">
        <v>171</v>
      </c>
      <c r="F74" s="1" t="n">
        <v>4513.56</v>
      </c>
      <c r="G74" s="2" t="n">
        <f aca="false">F72</f>
        <v>4500.86</v>
      </c>
      <c r="H74" s="2" t="n">
        <f aca="false">F70</f>
        <v>4526.4</v>
      </c>
      <c r="I74" s="2" t="n">
        <f aca="false">F68</f>
        <v>4592.93</v>
      </c>
      <c r="J74" s="2" t="n">
        <f aca="false">F66</f>
        <v>4607.09</v>
      </c>
      <c r="K74" s="2" t="n">
        <f aca="false">F64</f>
        <v>4560.44</v>
      </c>
      <c r="L74" s="2" t="n">
        <f aca="false">F62</f>
        <v>4614.27</v>
      </c>
      <c r="M74" s="2" t="n">
        <f aca="false">F60</f>
        <v>4605.56</v>
      </c>
      <c r="N74" s="2" t="n">
        <f aca="false">F58</f>
        <v>4540.82</v>
      </c>
      <c r="O74" s="2" t="n">
        <f aca="false">F56</f>
        <v>4518.41</v>
      </c>
      <c r="P74" s="2" t="n">
        <f aca="false">F54</f>
        <v>4510.28</v>
      </c>
      <c r="Q74" s="2" t="n">
        <f aca="false">F52</f>
        <v>4575.84</v>
      </c>
      <c r="R74" s="1" t="n">
        <v>-15.01</v>
      </c>
      <c r="S74" s="2" t="n">
        <f aca="false">R72</f>
        <v>-82.3</v>
      </c>
      <c r="T74" s="2" t="n">
        <f aca="false">R70</f>
        <v>-92.19</v>
      </c>
      <c r="U74" s="2" t="n">
        <f aca="false">R68</f>
        <v>-39.18</v>
      </c>
      <c r="V74" s="2" t="n">
        <f aca="false">R66</f>
        <v>-53.23</v>
      </c>
      <c r="W74" s="2" t="n">
        <f aca="false">R64</f>
        <v>-75.39</v>
      </c>
      <c r="X74" s="2" t="n">
        <f aca="false">R62</f>
        <v>-19.87</v>
      </c>
      <c r="Y74" s="2" t="n">
        <f aca="false">R60</f>
        <v>-41.54</v>
      </c>
      <c r="Z74" s="2" t="n">
        <f aca="false">R58</f>
        <v>-41.5</v>
      </c>
      <c r="AA74" s="2" t="n">
        <f aca="false">R56</f>
        <v>-46.34</v>
      </c>
      <c r="AB74" s="2" t="n">
        <f aca="false">R54</f>
        <v>-97.49</v>
      </c>
      <c r="AC74" s="2" t="n">
        <f aca="false">R52</f>
        <v>-34.31</v>
      </c>
      <c r="AD74" s="1" t="n">
        <v>-0.33</v>
      </c>
      <c r="AE74" s="2" t="n">
        <f aca="false">AD72</f>
        <v>-1.8</v>
      </c>
      <c r="AF74" s="2" t="n">
        <f aca="false">AD70</f>
        <v>-2</v>
      </c>
      <c r="AG74" s="2" t="n">
        <f aca="false">AD68</f>
        <v>-0.85</v>
      </c>
      <c r="AH74" s="2" t="n">
        <f aca="false">AD66</f>
        <v>-1.14</v>
      </c>
      <c r="AI74" s="2" t="n">
        <f aca="false">AD64</f>
        <v>-1.63</v>
      </c>
      <c r="AJ74" s="2" t="n">
        <f aca="false">AD62</f>
        <v>-0.43</v>
      </c>
      <c r="AK74" s="2" t="n">
        <f aca="false">AD60</f>
        <v>-0.89</v>
      </c>
      <c r="AL74" s="2" t="n">
        <f aca="false">AD58</f>
        <v>-0.91</v>
      </c>
      <c r="AM74" s="2" t="n">
        <f aca="false">AD56</f>
        <v>-1.02</v>
      </c>
      <c r="AN74" s="2" t="n">
        <f aca="false">AD54</f>
        <v>-2.12</v>
      </c>
      <c r="AO74" s="2" t="n">
        <f aca="false">AD52</f>
        <v>-0.74</v>
      </c>
      <c r="AP74" s="1" t="n">
        <v>3</v>
      </c>
      <c r="AQ74" s="2" t="n">
        <f aca="false">AP72</f>
        <v>3</v>
      </c>
      <c r="AR74" s="2" t="n">
        <f aca="false">AP70</f>
        <v>4</v>
      </c>
      <c r="AS74" s="2" t="n">
        <f aca="false">AP68</f>
        <v>3</v>
      </c>
      <c r="AT74" s="2" t="n">
        <f aca="false">AP66</f>
        <v>3</v>
      </c>
      <c r="AU74" s="2" t="n">
        <f aca="false">AP64</f>
        <v>3</v>
      </c>
      <c r="AV74" s="2" t="n">
        <f aca="false">AP62</f>
        <v>3</v>
      </c>
      <c r="AW74" s="2" t="n">
        <f aca="false">AP60</f>
        <v>3</v>
      </c>
      <c r="AX74" s="2" t="n">
        <f aca="false">AP58</f>
        <v>3</v>
      </c>
      <c r="AY74" s="2" t="n">
        <f aca="false">AP56</f>
        <v>3</v>
      </c>
      <c r="AZ74" s="2" t="n">
        <f aca="false">AP54</f>
        <v>4</v>
      </c>
      <c r="BA74" s="2" t="n">
        <f aca="false">AP52</f>
        <v>3</v>
      </c>
      <c r="BB74" s="1" t="n">
        <v>1</v>
      </c>
      <c r="BC74" s="2" t="n">
        <f aca="false">BB72</f>
        <v>6</v>
      </c>
      <c r="BD74" s="2" t="n">
        <f aca="false">BB70</f>
        <v>33</v>
      </c>
      <c r="BE74" s="2" t="n">
        <f aca="false">BB68</f>
        <v>14</v>
      </c>
      <c r="BF74" s="2" t="n">
        <f aca="false">BB66</f>
        <v>23</v>
      </c>
      <c r="BG74" s="2" t="n">
        <f aca="false">BB64</f>
        <v>30</v>
      </c>
      <c r="BH74" s="2" t="n">
        <f aca="false">BB62</f>
        <v>7</v>
      </c>
      <c r="BI74" s="2" t="n">
        <f aca="false">BB60</f>
        <v>25</v>
      </c>
      <c r="BJ74" s="2" t="n">
        <f aca="false">BB58</f>
        <v>11</v>
      </c>
      <c r="BK74" s="2" t="n">
        <f aca="false">BB56</f>
        <v>11</v>
      </c>
      <c r="BL74" s="2" t="n">
        <f aca="false">BB54</f>
        <v>35</v>
      </c>
      <c r="BM74" s="2" t="n">
        <f aca="false">BB52</f>
        <v>4</v>
      </c>
      <c r="BN74" s="1" t="n">
        <v>3</v>
      </c>
      <c r="BO74" s="2" t="n">
        <f aca="false">BN72</f>
        <v>3</v>
      </c>
      <c r="BP74" s="2" t="n">
        <f aca="false">BN70</f>
        <v>3</v>
      </c>
      <c r="BQ74" s="2" t="n">
        <f aca="false">BN68</f>
        <v>3</v>
      </c>
      <c r="BR74" s="2" t="n">
        <f aca="false">BN66</f>
        <v>3</v>
      </c>
      <c r="BS74" s="2" t="n">
        <f aca="false">BN64</f>
        <v>3</v>
      </c>
      <c r="BT74" s="2" t="n">
        <f aca="false">BN62</f>
        <v>3</v>
      </c>
      <c r="BU74" s="2" t="n">
        <f aca="false">BN60</f>
        <v>3</v>
      </c>
      <c r="BV74" s="2" t="n">
        <f aca="false">BN58</f>
        <v>3</v>
      </c>
      <c r="BW74" s="2" t="n">
        <f aca="false">BN56</f>
        <v>3</v>
      </c>
      <c r="BX74" s="2" t="n">
        <f aca="false">BN54</f>
        <v>3</v>
      </c>
      <c r="BY74" s="2" t="n">
        <f aca="false">BN52</f>
        <v>3</v>
      </c>
      <c r="BZ74" s="1" t="n">
        <v>-15.01</v>
      </c>
      <c r="CA74" s="2" t="n">
        <f aca="false">BZ72</f>
        <v>-13.71667</v>
      </c>
      <c r="CB74" s="2" t="n">
        <f aca="false">BZ70</f>
        <v>-2.79364</v>
      </c>
      <c r="CC74" s="2" t="n">
        <f aca="false">BZ68</f>
        <v>-2.79857</v>
      </c>
      <c r="CD74" s="2" t="n">
        <f aca="false">BZ66</f>
        <v>-2.31435</v>
      </c>
      <c r="CE74" s="2" t="n">
        <f aca="false">BZ64</f>
        <v>-2.513</v>
      </c>
      <c r="CF74" s="2" t="n">
        <f aca="false">BZ62</f>
        <v>-2.83857</v>
      </c>
      <c r="CG74" s="2" t="n">
        <f aca="false">BZ60</f>
        <v>-1.6616</v>
      </c>
      <c r="CH74" s="2" t="n">
        <f aca="false">BZ58</f>
        <v>-3.77273</v>
      </c>
      <c r="CI74" s="2" t="n">
        <f aca="false">BZ56</f>
        <v>-4.21273</v>
      </c>
      <c r="CJ74" s="2" t="n">
        <f aca="false">BZ54</f>
        <v>-2.78543</v>
      </c>
      <c r="CK74" s="2" t="n">
        <f aca="false">BZ52</f>
        <v>-8.5775</v>
      </c>
      <c r="CL74" s="1" t="n">
        <v>5</v>
      </c>
      <c r="CM74" s="2" t="n">
        <f aca="false">CL72</f>
        <v>5</v>
      </c>
      <c r="CN74" s="2" t="n">
        <f aca="false">CL70</f>
        <v>3</v>
      </c>
      <c r="CO74" s="2" t="n">
        <f aca="false">CL68</f>
        <v>3</v>
      </c>
      <c r="CP74" s="2" t="n">
        <f aca="false">CL66</f>
        <v>3</v>
      </c>
      <c r="CQ74" s="2" t="n">
        <f aca="false">CL64</f>
        <v>3</v>
      </c>
      <c r="CR74" s="2" t="n">
        <f aca="false">CL62</f>
        <v>3</v>
      </c>
      <c r="CS74" s="2" t="n">
        <f aca="false">CL60</f>
        <v>3</v>
      </c>
      <c r="CT74" s="2" t="n">
        <f aca="false">CL58</f>
        <v>3</v>
      </c>
      <c r="CU74" s="2" t="n">
        <f aca="false">CL56</f>
        <v>3</v>
      </c>
      <c r="CV74" s="2" t="n">
        <f aca="false">CL54</f>
        <v>3</v>
      </c>
      <c r="CW74" s="2" t="n">
        <f aca="false">CL52</f>
        <v>3</v>
      </c>
      <c r="CX74" s="1" t="n">
        <v>-86.1885</v>
      </c>
      <c r="CY74" s="2" t="n">
        <f aca="false">CX72</f>
        <v>-85.8303</v>
      </c>
      <c r="CZ74" s="2" t="n">
        <f aca="false">CX70</f>
        <v>-70.3048</v>
      </c>
      <c r="DA74" s="2" t="n">
        <f aca="false">CX68</f>
        <v>-70.3369</v>
      </c>
      <c r="DB74" s="2" t="n">
        <f aca="false">CX66</f>
        <v>-66.6314</v>
      </c>
      <c r="DC74" s="2" t="n">
        <f aca="false">CX64</f>
        <v>-68.3009</v>
      </c>
      <c r="DD74" s="2" t="n">
        <f aca="false">CX62</f>
        <v>-70.5932</v>
      </c>
      <c r="DE74" s="2" t="n">
        <f aca="false">CX60</f>
        <v>-58.9592</v>
      </c>
      <c r="DF74" s="2" t="n">
        <f aca="false">CX58</f>
        <v>-75.1545</v>
      </c>
      <c r="DG74" s="2" t="n">
        <f aca="false">CX56</f>
        <v>-76.6465</v>
      </c>
      <c r="DH74" s="2" t="n">
        <f aca="false">CX54</f>
        <v>-70.2513</v>
      </c>
      <c r="DI74" s="2" t="n">
        <f aca="false">CX52</f>
        <v>-83.3502</v>
      </c>
      <c r="DJ74" s="1" t="s">
        <v>175</v>
      </c>
      <c r="DK74" s="2" t="str">
        <f aca="false">DJ72</f>
        <v>LL</v>
      </c>
      <c r="DL74" s="2" t="str">
        <f aca="false">DJ70</f>
        <v>LL</v>
      </c>
      <c r="DM74" s="2" t="str">
        <f aca="false">DJ68</f>
        <v>LL</v>
      </c>
      <c r="DN74" s="2" t="str">
        <f aca="false">DJ66</f>
        <v>HL</v>
      </c>
      <c r="DO74" s="2" t="str">
        <f aca="false">DJ64</f>
        <v>LL</v>
      </c>
      <c r="DP74" s="2" t="str">
        <f aca="false">DJ62</f>
        <v>HL</v>
      </c>
      <c r="DQ74" s="2" t="str">
        <f aca="false">DJ60</f>
        <v>HL</v>
      </c>
      <c r="DR74" s="2" t="str">
        <f aca="false">DJ58</f>
        <v>HL</v>
      </c>
      <c r="DS74" s="2" t="str">
        <f aca="false">DJ56</f>
        <v>HL</v>
      </c>
      <c r="DT74" s="2" t="str">
        <f aca="false">DJ54</f>
        <v>LL</v>
      </c>
      <c r="DU74" s="2" t="str">
        <f aca="false">DJ52</f>
        <v>LL</v>
      </c>
      <c r="DV74" s="2" t="n">
        <f aca="false">IFERROR((G74-$F74)/$F74*100,"")</f>
        <v>-0.281374347521706</v>
      </c>
      <c r="DW74" s="2" t="n">
        <f aca="false">IFERROR((H74-$F74)/$F74*100,"")</f>
        <v>0.284476111982542</v>
      </c>
      <c r="DX74" s="2" t="n">
        <f aca="false">IFERROR((I74-$F74)/$F74*100,"")</f>
        <v>1.75847889470839</v>
      </c>
      <c r="DY74" s="2" t="n">
        <f aca="false">IFERROR((J74-$F74)/$F74*100,"")</f>
        <v>2.07220021446485</v>
      </c>
      <c r="DZ74" s="2" t="n">
        <f aca="false">IFERROR((K74-$F74)/$F74*100,"")</f>
        <v>1.03864798518241</v>
      </c>
      <c r="EA74" s="2" t="n">
        <f aca="false">IFERROR((L74-$F74)/$F74*100,"")</f>
        <v>2.23127642038657</v>
      </c>
      <c r="EB74" s="2" t="n">
        <f aca="false">IFERROR((M74-$F74)/$F74*100,"")</f>
        <v>2.03830235999965</v>
      </c>
      <c r="EC74" s="2" t="n">
        <f aca="false">IFERROR((N74-$F74)/$F74*100,"")</f>
        <v>0.603957851452054</v>
      </c>
      <c r="ED74" s="2" t="n">
        <f aca="false">IFERROR((O74-$F74)/$F74*100,"")</f>
        <v>0.107453983108665</v>
      </c>
      <c r="EE74" s="2" t="n">
        <f aca="false">IFERROR((P74-$F74)/$F74*100,"")</f>
        <v>-0.0726699102260888</v>
      </c>
      <c r="EF74" s="2" t="n">
        <f aca="false">IFERROR((Q74-$F74)/$F74*100,"")</f>
        <v>1.37984207587802</v>
      </c>
      <c r="EG74" s="2" t="str">
        <f aca="false">IF(DV74="","",IF(AND(ABS(DV74)&lt;=0.25,$E74="Bottom",DK74="LL"),"EQL",IF(AND(ABS(DV74)&lt;=0.25,$E74="Peak",DK74="HH"),"EQH","")))</f>
        <v/>
      </c>
      <c r="EH74" s="2" t="str">
        <f aca="false">IF(DW74="","",IF(AND(ABS(DW74)&lt;=0.25,$E74="Bottom",DL74="LL"),"EQL",IF(AND(ABS(DW74)&lt;=0.25,$E74="Peak",DL74="HH"),"EQH","")))</f>
        <v/>
      </c>
      <c r="EI74" s="2" t="str">
        <f aca="false">IF(DX74="","",IF(AND(ABS(DX74)&lt;=0.25,$E74="Bottom",DM74="LL"),"EQL",IF(AND(ABS(DX74)&lt;=0.25,$E74="Peak",DM74="HH"),"EQH","")))</f>
        <v/>
      </c>
      <c r="EJ74" s="2" t="str">
        <f aca="false">IF(DY74="","",IF(AND(ABS(DY74)&lt;=0.25,$E74="Bottom",DN74="LL"),"EQL",IF(AND(ABS(DY74)&lt;=0.25,$E74="Peak",DN74="HH"),"EQH","")))</f>
        <v/>
      </c>
      <c r="EK74" s="2" t="str">
        <f aca="false">IF(DZ74="","",IF(AND(ABS(DZ74)&lt;=0.25,$E74="Bottom",DO74="LL"),"EQL",IF(AND(ABS(DZ74)&lt;=0.25,$E74="Peak",DO74="HH"),"EQH","")))</f>
        <v/>
      </c>
      <c r="EL74" s="2" t="str">
        <f aca="false">IF(EA74="","",IF(AND(ABS(EA74)&lt;=0.25,$E74="Bottom",DP74="LL"),"EQL",IF(AND(ABS(EA74)&lt;=0.25,$E74="Peak",DP74="HH"),"EQH","")))</f>
        <v/>
      </c>
      <c r="EM74" s="2" t="str">
        <f aca="false">IF(EB74="","",IF(AND(ABS(EB74)&lt;=0.25,$E74="Bottom",DQ74="LL"),"EQL",IF(AND(ABS(EB74)&lt;=0.25,$E74="Peak",DQ74="HH"),"EQH","")))</f>
        <v/>
      </c>
      <c r="EN74" s="2" t="str">
        <f aca="false">IF(EC74="","",IF(AND(ABS(EC74)&lt;=0.25,$E74="Bottom",DR74="LL"),"EQL",IF(AND(ABS(EC74)&lt;=0.25,$E74="Peak",DR74="HH"),"EQH","")))</f>
        <v/>
      </c>
      <c r="EO74" s="2" t="str">
        <f aca="false">IF(ED74="","",IF(AND(ABS(ED74)&lt;=0.25,$E74="Bottom",DS74="LL"),"EQL",IF(AND(ABS(ED74)&lt;=0.25,$E74="Peak",DS74="HH"),"EQH","")))</f>
        <v/>
      </c>
      <c r="EP74" s="2" t="str">
        <f aca="false">IF(EE74="","",IF(AND(ABS(EE74)&lt;=0.25,$E74="Bottom",DT74="LL"),"EQL",IF(AND(ABS(EE74)&lt;=0.25,$E74="Peak",DT74="HH"),"EQH","")))</f>
        <v>EQL</v>
      </c>
      <c r="EQ74" s="2" t="str">
        <f aca="false">IF(EF74="","",IF(AND(ABS(EF74)&lt;=0.25,$E74="Bottom",DU74="LL"),"EQL",IF(AND(ABS(EF74)&lt;=0.25,$E74="Peak",DU74="HH"),"EQH","")))</f>
        <v/>
      </c>
      <c r="ER74" s="2" t="str">
        <f aca="false">IF(OR(EG74="EQL",EG74="EQH"),G74,"")</f>
        <v/>
      </c>
      <c r="ES74" s="2" t="str">
        <f aca="false">IF(OR(EH74="EQL",EH74="EQH"),H74,"")</f>
        <v/>
      </c>
      <c r="ET74" s="2" t="str">
        <f aca="false">IF(OR(EI74="EQL",EI74="EQH"),I74,"")</f>
        <v/>
      </c>
      <c r="EU74" s="2" t="str">
        <f aca="false">IF(OR(EJ74="EQL",EJ74="EQH"),J74,"")</f>
        <v/>
      </c>
      <c r="EV74" s="2" t="str">
        <f aca="false">IF(OR(EK74="EQL",EK74="EQH"),K74,"")</f>
        <v/>
      </c>
      <c r="EW74" s="2" t="str">
        <f aca="false">IF(OR(EL74="EQL",EL74="EQH"),L74,"")</f>
        <v/>
      </c>
      <c r="EX74" s="2" t="str">
        <f aca="false">IF(OR(EM74="EQL",EM74="EQH"),M74,"")</f>
        <v/>
      </c>
      <c r="EY74" s="2" t="str">
        <f aca="false">IF(OR(EN74="EQL",EN74="EQH"),N74,"")</f>
        <v/>
      </c>
      <c r="EZ74" s="2" t="str">
        <f aca="false">IF(OR(EO74="EQL",EO74="EQH"),O74,"")</f>
        <v/>
      </c>
      <c r="FA74" s="2" t="n">
        <f aca="false">IF(OR(EP74="EQL",EP74="EQH"),P74,"")</f>
        <v>4510.28</v>
      </c>
      <c r="FB74" s="2" t="str">
        <f aca="false">IF(OR(EQ74="EQL",EQ74="EQH"),Q74,"")</f>
        <v/>
      </c>
      <c r="FC74" s="2" t="str">
        <f aca="false">IF(AND(EG74="EQL",OR(AQ74=4,AQ74=5)),"IEQL",IF(AND(EG74="EQH",OR(AQ74=1,AQ74=2)),"IEQH",""))</f>
        <v/>
      </c>
      <c r="FD74" s="2" t="str">
        <f aca="false">IF(AND(EH74="EQL",OR(AR74=4,AR74=5)),"IEQL",IF(AND(EH74="EQH",OR(AR74=1,AR74=2)),"IEQH",""))</f>
        <v/>
      </c>
      <c r="FE74" s="2" t="str">
        <f aca="false">IF(AND(EI74="EQL",OR(AS74=4,AS74=5)),"IEQL",IF(AND(EI74="EQH",OR(AS74=1,AS74=2)),"IEQH",""))</f>
        <v/>
      </c>
      <c r="FF74" s="2" t="str">
        <f aca="false">IF(AND(EJ74="EQL",OR(AT74=4,AT74=5)),"IEQL",IF(AND(EJ74="EQH",OR(AT74=1,AT74=2)),"IEQH",""))</f>
        <v/>
      </c>
      <c r="FG74" s="2" t="str">
        <f aca="false">IF(AND(EK74="EQL",OR(AU74=4,AU74=5)),"IEQL",IF(AND(EK74="EQH",OR(AU74=1,AU74=2)),"IEQH",""))</f>
        <v/>
      </c>
      <c r="FH74" s="2" t="str">
        <f aca="false">IF(AND(EL74="EQL",OR(AV74=4,AV74=5)),"IEQL",IF(AND(EL74="EQH",OR(AV74=1,AV74=2)),"IEQH",""))</f>
        <v/>
      </c>
      <c r="FI74" s="2" t="str">
        <f aca="false">IF(AND(EM74="EQL",OR(AW74=4,AW74=5)),"IEQL",IF(AND(EM74="EQH",OR(AW74=1,AW74=2)),"IEQH",""))</f>
        <v/>
      </c>
      <c r="FJ74" s="2" t="str">
        <f aca="false">IF(AND(EN74="EQL",OR(AX74=4,AX74=5)),"IEQL",IF(AND(EN74="EQH",OR(AX74=1,AX74=2)),"IEQH",""))</f>
        <v/>
      </c>
      <c r="FK74" s="2" t="str">
        <f aca="false">IF(AND(EO74="EQL",OR(AY74=4,AY74=5)),"IEQL",IF(AND(EO74="EQH",OR(AY74=1,AY74=2)),"IEQH",""))</f>
        <v/>
      </c>
      <c r="FL74" s="2" t="str">
        <f aca="false">IF(AND(EP74="EQL",OR(AZ74=4,AZ74=5)),"IEQL",IF(AND(EP74="EQH",OR(AZ74=1,AZ74=2)),"IEQH",""))</f>
        <v>IEQL</v>
      </c>
      <c r="FM74" s="2" t="str">
        <f aca="false">IF(AND(EQ74="EQL",OR(BA74=4,BA74=5)),"IEQL",IF(AND(EQ74="EQH",OR(BA74=1,BA74=2)),"IEQH",""))</f>
        <v/>
      </c>
    </row>
    <row r="75" customFormat="false" ht="14.25" hidden="false" customHeight="false" outlineLevel="0" collapsed="false">
      <c r="A75" s="1" t="n">
        <v>1777949102</v>
      </c>
      <c r="B75" s="1" t="s">
        <v>169</v>
      </c>
      <c r="C75" s="1" t="s">
        <v>170</v>
      </c>
      <c r="D75" s="1" t="n">
        <v>4539.17</v>
      </c>
      <c r="E75" s="1" t="s">
        <v>173</v>
      </c>
      <c r="F75" s="1" t="n">
        <v>4546.78</v>
      </c>
      <c r="G75" s="2" t="n">
        <f aca="false">F73</f>
        <v>4528.57</v>
      </c>
      <c r="H75" s="2" t="n">
        <f aca="false">F71</f>
        <v>4583.16</v>
      </c>
      <c r="I75" s="2" t="n">
        <f aca="false">F69</f>
        <v>4618.59</v>
      </c>
      <c r="J75" s="2" t="n">
        <f aca="false">F67</f>
        <v>4632.11</v>
      </c>
      <c r="K75" s="2" t="n">
        <f aca="false">F65</f>
        <v>4660.32</v>
      </c>
      <c r="L75" s="2" t="n">
        <f aca="false">F63</f>
        <v>4635.83</v>
      </c>
      <c r="M75" s="2" t="n">
        <f aca="false">F61</f>
        <v>4634.14</v>
      </c>
      <c r="N75" s="2" t="n">
        <f aca="false">F59</f>
        <v>4647.1</v>
      </c>
      <c r="O75" s="2" t="n">
        <f aca="false">F57</f>
        <v>4582.32</v>
      </c>
      <c r="P75" s="2" t="n">
        <f aca="false">F55</f>
        <v>4564.75</v>
      </c>
      <c r="Q75" s="2" t="n">
        <f aca="false">F53</f>
        <v>4607.77</v>
      </c>
      <c r="R75" s="1" t="n">
        <v>33.22</v>
      </c>
      <c r="S75" s="2" t="n">
        <f aca="false">R73</f>
        <v>27.71</v>
      </c>
      <c r="T75" s="2" t="n">
        <f aca="false">R71</f>
        <v>56.76</v>
      </c>
      <c r="U75" s="2" t="n">
        <f aca="false">R69</f>
        <v>25.66</v>
      </c>
      <c r="V75" s="2" t="n">
        <f aca="false">R67</f>
        <v>25.02</v>
      </c>
      <c r="W75" s="2" t="n">
        <f aca="false">R65</f>
        <v>99.88</v>
      </c>
      <c r="X75" s="2" t="n">
        <f aca="false">R63</f>
        <v>21.56</v>
      </c>
      <c r="Y75" s="2" t="n">
        <f aca="false">R61</f>
        <v>28.58</v>
      </c>
      <c r="Z75" s="2" t="n">
        <f aca="false">R59</f>
        <v>106.28</v>
      </c>
      <c r="AA75" s="2" t="n">
        <f aca="false">R57</f>
        <v>63.91</v>
      </c>
      <c r="AB75" s="2" t="n">
        <f aca="false">R55</f>
        <v>54.47</v>
      </c>
      <c r="AC75" s="2" t="n">
        <f aca="false">R53</f>
        <v>31.93</v>
      </c>
      <c r="AD75" s="1" t="n">
        <v>0.74</v>
      </c>
      <c r="AE75" s="2" t="n">
        <f aca="false">AD73</f>
        <v>0.62</v>
      </c>
      <c r="AF75" s="2" t="n">
        <f aca="false">AD71</f>
        <v>1.25</v>
      </c>
      <c r="AG75" s="2" t="n">
        <f aca="false">AD69</f>
        <v>0.56</v>
      </c>
      <c r="AH75" s="2" t="n">
        <f aca="false">AD67</f>
        <v>0.54</v>
      </c>
      <c r="AI75" s="2" t="n">
        <f aca="false">AD65</f>
        <v>2.19</v>
      </c>
      <c r="AJ75" s="2" t="n">
        <f aca="false">AD63</f>
        <v>0.47</v>
      </c>
      <c r="AK75" s="2" t="n">
        <f aca="false">AD61</f>
        <v>0.62</v>
      </c>
      <c r="AL75" s="2" t="n">
        <f aca="false">AD59</f>
        <v>2.34</v>
      </c>
      <c r="AM75" s="2" t="n">
        <f aca="false">AD57</f>
        <v>1.41</v>
      </c>
      <c r="AN75" s="2" t="n">
        <f aca="false">AD55</f>
        <v>1.21</v>
      </c>
      <c r="AO75" s="2" t="n">
        <f aca="false">AD53</f>
        <v>0.7</v>
      </c>
      <c r="AP75" s="1" t="n">
        <v>0</v>
      </c>
      <c r="AQ75" s="2" t="n">
        <f aca="false">AP73</f>
        <v>0</v>
      </c>
      <c r="AR75" s="2" t="n">
        <f aca="false">AP71</f>
        <v>0</v>
      </c>
      <c r="AS75" s="2" t="n">
        <f aca="false">AP69</f>
        <v>0</v>
      </c>
      <c r="AT75" s="2" t="n">
        <f aca="false">AP67</f>
        <v>0</v>
      </c>
      <c r="AU75" s="2" t="n">
        <f aca="false">AP65</f>
        <v>1</v>
      </c>
      <c r="AV75" s="2" t="n">
        <f aca="false">AP63</f>
        <v>0</v>
      </c>
      <c r="AW75" s="2" t="n">
        <f aca="false">AP61</f>
        <v>0</v>
      </c>
      <c r="AX75" s="2" t="n">
        <f aca="false">AP59</f>
        <v>1</v>
      </c>
      <c r="AY75" s="2" t="n">
        <f aca="false">AP57</f>
        <v>0</v>
      </c>
      <c r="AZ75" s="2" t="n">
        <f aca="false">AP55</f>
        <v>0</v>
      </c>
      <c r="BA75" s="2" t="n">
        <f aca="false">AP53</f>
        <v>0</v>
      </c>
      <c r="BB75" s="1" t="n">
        <v>10</v>
      </c>
      <c r="BC75" s="2" t="n">
        <f aca="false">BB73</f>
        <v>28</v>
      </c>
      <c r="BD75" s="2" t="n">
        <f aca="false">BB71</f>
        <v>17</v>
      </c>
      <c r="BE75" s="2" t="n">
        <f aca="false">BB69</f>
        <v>2</v>
      </c>
      <c r="BF75" s="2" t="n">
        <f aca="false">BB67</f>
        <v>4</v>
      </c>
      <c r="BG75" s="2" t="n">
        <f aca="false">BB65</f>
        <v>18</v>
      </c>
      <c r="BH75" s="2" t="n">
        <f aca="false">BB63</f>
        <v>4</v>
      </c>
      <c r="BI75" s="2" t="n">
        <f aca="false">BB61</f>
        <v>23</v>
      </c>
      <c r="BJ75" s="2" t="n">
        <f aca="false">BB59</f>
        <v>24</v>
      </c>
      <c r="BK75" s="2" t="n">
        <f aca="false">BB57</f>
        <v>24</v>
      </c>
      <c r="BL75" s="2" t="n">
        <f aca="false">BB55</f>
        <v>9</v>
      </c>
      <c r="BM75" s="2" t="n">
        <f aca="false">BB53</f>
        <v>16</v>
      </c>
      <c r="BN75" s="1" t="n">
        <v>0</v>
      </c>
      <c r="BO75" s="2" t="n">
        <f aca="false">BN73</f>
        <v>0</v>
      </c>
      <c r="BP75" s="2" t="n">
        <f aca="false">BN71</f>
        <v>0</v>
      </c>
      <c r="BQ75" s="2" t="n">
        <f aca="false">BN69</f>
        <v>0</v>
      </c>
      <c r="BR75" s="2" t="n">
        <f aca="false">BN67</f>
        <v>0</v>
      </c>
      <c r="BS75" s="2" t="n">
        <f aca="false">BN65</f>
        <v>0</v>
      </c>
      <c r="BT75" s="2" t="n">
        <f aca="false">BN63</f>
        <v>0</v>
      </c>
      <c r="BU75" s="2" t="n">
        <f aca="false">BN61</f>
        <v>0</v>
      </c>
      <c r="BV75" s="2" t="n">
        <f aca="false">BN59</f>
        <v>0</v>
      </c>
      <c r="BW75" s="2" t="n">
        <f aca="false">BN57</f>
        <v>0</v>
      </c>
      <c r="BX75" s="2" t="n">
        <f aca="false">BN55</f>
        <v>0</v>
      </c>
      <c r="BY75" s="2" t="n">
        <f aca="false">BN53</f>
        <v>0</v>
      </c>
      <c r="BZ75" s="1" t="n">
        <v>3.322</v>
      </c>
      <c r="CA75" s="2" t="n">
        <f aca="false">BZ73</f>
        <v>0.98964</v>
      </c>
      <c r="CB75" s="2" t="n">
        <f aca="false">BZ71</f>
        <v>3.33882</v>
      </c>
      <c r="CC75" s="2" t="n">
        <f aca="false">BZ69</f>
        <v>12.83</v>
      </c>
      <c r="CD75" s="2" t="n">
        <f aca="false">BZ67</f>
        <v>6.255</v>
      </c>
      <c r="CE75" s="2" t="n">
        <f aca="false">BZ65</f>
        <v>5.54889</v>
      </c>
      <c r="CF75" s="2" t="n">
        <f aca="false">BZ63</f>
        <v>5.39</v>
      </c>
      <c r="CG75" s="2" t="n">
        <f aca="false">BZ61</f>
        <v>1.24261</v>
      </c>
      <c r="CH75" s="2" t="n">
        <f aca="false">BZ59</f>
        <v>4.42833</v>
      </c>
      <c r="CI75" s="2" t="n">
        <f aca="false">BZ57</f>
        <v>2.66292</v>
      </c>
      <c r="CJ75" s="2" t="n">
        <f aca="false">BZ55</f>
        <v>6.05222</v>
      </c>
      <c r="CK75" s="2" t="n">
        <f aca="false">BZ53</f>
        <v>1.99563</v>
      </c>
      <c r="CL75" s="1" t="n">
        <v>0</v>
      </c>
      <c r="CM75" s="2" t="n">
        <f aca="false">CL73</f>
        <v>0</v>
      </c>
      <c r="CN75" s="2" t="n">
        <f aca="false">CL71</f>
        <v>0</v>
      </c>
      <c r="CO75" s="2" t="n">
        <f aca="false">CL69</f>
        <v>0</v>
      </c>
      <c r="CP75" s="2" t="n">
        <f aca="false">CL67</f>
        <v>0</v>
      </c>
      <c r="CQ75" s="2" t="n">
        <f aca="false">CL65</f>
        <v>0</v>
      </c>
      <c r="CR75" s="2" t="n">
        <f aca="false">CL63</f>
        <v>0</v>
      </c>
      <c r="CS75" s="2" t="n">
        <f aca="false">CL61</f>
        <v>0</v>
      </c>
      <c r="CT75" s="2" t="n">
        <f aca="false">CL59</f>
        <v>0</v>
      </c>
      <c r="CU75" s="2" t="n">
        <f aca="false">CL57</f>
        <v>0</v>
      </c>
      <c r="CV75" s="2" t="n">
        <f aca="false">CL55</f>
        <v>0</v>
      </c>
      <c r="CW75" s="2" t="n">
        <f aca="false">CL53</f>
        <v>0</v>
      </c>
      <c r="CX75" s="1" t="n">
        <v>73.247</v>
      </c>
      <c r="CY75" s="2" t="n">
        <f aca="false">CX73</f>
        <v>44.7017</v>
      </c>
      <c r="CZ75" s="2" t="n">
        <f aca="false">CX71</f>
        <v>73.3267</v>
      </c>
      <c r="DA75" s="2" t="n">
        <f aca="false">CX69</f>
        <v>85.5432</v>
      </c>
      <c r="DB75" s="2" t="n">
        <f aca="false">CX67</f>
        <v>80.9169</v>
      </c>
      <c r="DC75" s="2" t="n">
        <f aca="false">CX65</f>
        <v>79.784</v>
      </c>
      <c r="DD75" s="2" t="n">
        <f aca="false">CX63</f>
        <v>79.4895</v>
      </c>
      <c r="DE75" s="2" t="n">
        <f aca="false">CX61</f>
        <v>51.1743</v>
      </c>
      <c r="DF75" s="2" t="n">
        <f aca="false">CX59</f>
        <v>77.275</v>
      </c>
      <c r="DG75" s="2" t="n">
        <f aca="false">CX57</f>
        <v>69.4174</v>
      </c>
      <c r="DH75" s="2" t="n">
        <f aca="false">CX55</f>
        <v>80.6179</v>
      </c>
      <c r="DI75" s="2" t="n">
        <f aca="false">CX53</f>
        <v>63.3847</v>
      </c>
      <c r="DJ75" s="1" t="s">
        <v>176</v>
      </c>
      <c r="DK75" s="2" t="str">
        <f aca="false">DJ73</f>
        <v>LH</v>
      </c>
      <c r="DL75" s="2" t="str">
        <f aca="false">DJ71</f>
        <v>LH</v>
      </c>
      <c r="DM75" s="2" t="str">
        <f aca="false">DJ69</f>
        <v>LH</v>
      </c>
      <c r="DN75" s="2" t="str">
        <f aca="false">DJ67</f>
        <v>LH</v>
      </c>
      <c r="DO75" s="2" t="str">
        <f aca="false">DJ65</f>
        <v>HH</v>
      </c>
      <c r="DP75" s="2" t="str">
        <f aca="false">DJ63</f>
        <v>HH</v>
      </c>
      <c r="DQ75" s="2" t="str">
        <f aca="false">DJ61</f>
        <v>LH</v>
      </c>
      <c r="DR75" s="2" t="str">
        <f aca="false">DJ59</f>
        <v>HH</v>
      </c>
      <c r="DS75" s="2" t="str">
        <f aca="false">DJ57</f>
        <v>HH</v>
      </c>
      <c r="DT75" s="2" t="str">
        <f aca="false">DJ55</f>
        <v>LH</v>
      </c>
      <c r="DU75" s="2" t="str">
        <f aca="false">DJ53</f>
        <v>LH</v>
      </c>
      <c r="DV75" s="2" t="n">
        <f aca="false">IFERROR((G75-$F75)/$F75*100,"")</f>
        <v>-0.400503213263013</v>
      </c>
      <c r="DW75" s="2" t="n">
        <f aca="false">IFERROR((H75-$F75)/$F75*100,"")</f>
        <v>0.800126683059222</v>
      </c>
      <c r="DX75" s="2" t="n">
        <f aca="false">IFERROR((I75-$F75)/$F75*100,"")</f>
        <v>1.57935945878183</v>
      </c>
      <c r="DY75" s="2" t="n">
        <f aca="false">IFERROR((J75-$F75)/$F75*100,"")</f>
        <v>1.87671275056193</v>
      </c>
      <c r="DZ75" s="2" t="n">
        <f aca="false">IFERROR((K75-$F75)/$F75*100,"")</f>
        <v>2.49715183052622</v>
      </c>
      <c r="EA75" s="2" t="n">
        <f aca="false">IFERROR((L75-$F75)/$F75*100,"")</f>
        <v>1.95852889297481</v>
      </c>
      <c r="EB75" s="2" t="n">
        <f aca="false">IFERROR((M75-$F75)/$F75*100,"")</f>
        <v>1.92135973150231</v>
      </c>
      <c r="EC75" s="2" t="n">
        <f aca="false">IFERROR((N75-$F75)/$F75*100,"")</f>
        <v>2.20639661474715</v>
      </c>
      <c r="ED75" s="2" t="n">
        <f aca="false">IFERROR((O75-$F75)/$F75*100,"")</f>
        <v>0.781652070256312</v>
      </c>
      <c r="EE75" s="2" t="n">
        <f aca="false">IFERROR((P75-$F75)/$F75*100,"")</f>
        <v>0.395224752462188</v>
      </c>
      <c r="EF75" s="2" t="n">
        <f aca="false">IFERROR((Q75-$F75)/$F75*100,"")</f>
        <v>1.34138885101106</v>
      </c>
      <c r="EG75" s="2" t="str">
        <f aca="false">IF(DV75="","",IF(AND(ABS(DV75)&lt;=0.25,$E75="Bottom",DK75="LL"),"EQL",IF(AND(ABS(DV75)&lt;=0.25,$E75="Peak",DK75="HH"),"EQH","")))</f>
        <v/>
      </c>
      <c r="EH75" s="2" t="str">
        <f aca="false">IF(DW75="","",IF(AND(ABS(DW75)&lt;=0.25,$E75="Bottom",DL75="LL"),"EQL",IF(AND(ABS(DW75)&lt;=0.25,$E75="Peak",DL75="HH"),"EQH","")))</f>
        <v/>
      </c>
      <c r="EI75" s="2" t="str">
        <f aca="false">IF(DX75="","",IF(AND(ABS(DX75)&lt;=0.25,$E75="Bottom",DM75="LL"),"EQL",IF(AND(ABS(DX75)&lt;=0.25,$E75="Peak",DM75="HH"),"EQH","")))</f>
        <v/>
      </c>
      <c r="EJ75" s="2" t="str">
        <f aca="false">IF(DY75="","",IF(AND(ABS(DY75)&lt;=0.25,$E75="Bottom",DN75="LL"),"EQL",IF(AND(ABS(DY75)&lt;=0.25,$E75="Peak",DN75="HH"),"EQH","")))</f>
        <v/>
      </c>
      <c r="EK75" s="2" t="str">
        <f aca="false">IF(DZ75="","",IF(AND(ABS(DZ75)&lt;=0.25,$E75="Bottom",DO75="LL"),"EQL",IF(AND(ABS(DZ75)&lt;=0.25,$E75="Peak",DO75="HH"),"EQH","")))</f>
        <v/>
      </c>
      <c r="EL75" s="2" t="str">
        <f aca="false">IF(EA75="","",IF(AND(ABS(EA75)&lt;=0.25,$E75="Bottom",DP75="LL"),"EQL",IF(AND(ABS(EA75)&lt;=0.25,$E75="Peak",DP75="HH"),"EQH","")))</f>
        <v/>
      </c>
      <c r="EM75" s="2" t="str">
        <f aca="false">IF(EB75="","",IF(AND(ABS(EB75)&lt;=0.25,$E75="Bottom",DQ75="LL"),"EQL",IF(AND(ABS(EB75)&lt;=0.25,$E75="Peak",DQ75="HH"),"EQH","")))</f>
        <v/>
      </c>
      <c r="EN75" s="2" t="str">
        <f aca="false">IF(EC75="","",IF(AND(ABS(EC75)&lt;=0.25,$E75="Bottom",DR75="LL"),"EQL",IF(AND(ABS(EC75)&lt;=0.25,$E75="Peak",DR75="HH"),"EQH","")))</f>
        <v/>
      </c>
      <c r="EO75" s="2" t="str">
        <f aca="false">IF(ED75="","",IF(AND(ABS(ED75)&lt;=0.25,$E75="Bottom",DS75="LL"),"EQL",IF(AND(ABS(ED75)&lt;=0.25,$E75="Peak",DS75="HH"),"EQH","")))</f>
        <v/>
      </c>
      <c r="EP75" s="2" t="str">
        <f aca="false">IF(EE75="","",IF(AND(ABS(EE75)&lt;=0.25,$E75="Bottom",DT75="LL"),"EQL",IF(AND(ABS(EE75)&lt;=0.25,$E75="Peak",DT75="HH"),"EQH","")))</f>
        <v/>
      </c>
      <c r="EQ75" s="2" t="str">
        <f aca="false">IF(EF75="","",IF(AND(ABS(EF75)&lt;=0.25,$E75="Bottom",DU75="LL"),"EQL",IF(AND(ABS(EF75)&lt;=0.25,$E75="Peak",DU75="HH"),"EQH","")))</f>
        <v/>
      </c>
      <c r="ER75" s="2" t="str">
        <f aca="false">IF(OR(EG75="EQL",EG75="EQH"),G75,"")</f>
        <v/>
      </c>
      <c r="ES75" s="2" t="str">
        <f aca="false">IF(OR(EH75="EQL",EH75="EQH"),H75,"")</f>
        <v/>
      </c>
      <c r="ET75" s="2" t="str">
        <f aca="false">IF(OR(EI75="EQL",EI75="EQH"),I75,"")</f>
        <v/>
      </c>
      <c r="EU75" s="2" t="str">
        <f aca="false">IF(OR(EJ75="EQL",EJ75="EQH"),J75,"")</f>
        <v/>
      </c>
      <c r="EV75" s="2" t="str">
        <f aca="false">IF(OR(EK75="EQL",EK75="EQH"),K75,"")</f>
        <v/>
      </c>
      <c r="EW75" s="2" t="str">
        <f aca="false">IF(OR(EL75="EQL",EL75="EQH"),L75,"")</f>
        <v/>
      </c>
      <c r="EX75" s="2" t="str">
        <f aca="false">IF(OR(EM75="EQL",EM75="EQH"),M75,"")</f>
        <v/>
      </c>
      <c r="EY75" s="2" t="str">
        <f aca="false">IF(OR(EN75="EQL",EN75="EQH"),N75,"")</f>
        <v/>
      </c>
      <c r="EZ75" s="2" t="str">
        <f aca="false">IF(OR(EO75="EQL",EO75="EQH"),O75,"")</f>
        <v/>
      </c>
      <c r="FA75" s="2" t="str">
        <f aca="false">IF(OR(EP75="EQL",EP75="EQH"),P75,"")</f>
        <v/>
      </c>
      <c r="FB75" s="2" t="str">
        <f aca="false">IF(OR(EQ75="EQL",EQ75="EQH"),Q75,"")</f>
        <v/>
      </c>
      <c r="FC75" s="2" t="str">
        <f aca="false">IF(AND(EG75="EQL",OR(AQ75=4,AQ75=5)),"IEQL",IF(AND(EG75="EQH",OR(AQ75=1,AQ75=2)),"IEQH",""))</f>
        <v/>
      </c>
      <c r="FD75" s="2" t="str">
        <f aca="false">IF(AND(EH75="EQL",OR(AR75=4,AR75=5)),"IEQL",IF(AND(EH75="EQH",OR(AR75=1,AR75=2)),"IEQH",""))</f>
        <v/>
      </c>
      <c r="FE75" s="2" t="str">
        <f aca="false">IF(AND(EI75="EQL",OR(AS75=4,AS75=5)),"IEQL",IF(AND(EI75="EQH",OR(AS75=1,AS75=2)),"IEQH",""))</f>
        <v/>
      </c>
      <c r="FF75" s="2" t="str">
        <f aca="false">IF(AND(EJ75="EQL",OR(AT75=4,AT75=5)),"IEQL",IF(AND(EJ75="EQH",OR(AT75=1,AT75=2)),"IEQH",""))</f>
        <v/>
      </c>
      <c r="FG75" s="2" t="str">
        <f aca="false">IF(AND(EK75="EQL",OR(AU75=4,AU75=5)),"IEQL",IF(AND(EK75="EQH",OR(AU75=1,AU75=2)),"IEQH",""))</f>
        <v/>
      </c>
      <c r="FH75" s="2" t="str">
        <f aca="false">IF(AND(EL75="EQL",OR(AV75=4,AV75=5)),"IEQL",IF(AND(EL75="EQH",OR(AV75=1,AV75=2)),"IEQH",""))</f>
        <v/>
      </c>
      <c r="FI75" s="2" t="str">
        <f aca="false">IF(AND(EM75="EQL",OR(AW75=4,AW75=5)),"IEQL",IF(AND(EM75="EQH",OR(AW75=1,AW75=2)),"IEQH",""))</f>
        <v/>
      </c>
      <c r="FJ75" s="2" t="str">
        <f aca="false">IF(AND(EN75="EQL",OR(AX75=4,AX75=5)),"IEQL",IF(AND(EN75="EQH",OR(AX75=1,AX75=2)),"IEQH",""))</f>
        <v/>
      </c>
      <c r="FK75" s="2" t="str">
        <f aca="false">IF(AND(EO75="EQL",OR(AY75=4,AY75=5)),"IEQL",IF(AND(EO75="EQH",OR(AY75=1,AY75=2)),"IEQH",""))</f>
        <v/>
      </c>
      <c r="FL75" s="2" t="str">
        <f aca="false">IF(AND(EP75="EQL",OR(AZ75=4,AZ75=5)),"IEQL",IF(AND(EP75="EQH",OR(AZ75=1,AZ75=2)),"IEQH",""))</f>
        <v/>
      </c>
      <c r="FM75" s="2" t="str">
        <f aca="false">IF(AND(EQ75="EQL",OR(BA75=4,BA75=5)),"IEQL",IF(AND(EQ75="EQH",OR(BA75=1,BA75=2)),"IEQH",""))</f>
        <v/>
      </c>
    </row>
    <row r="76" customFormat="false" ht="14.25" hidden="false" customHeight="false" outlineLevel="0" collapsed="false">
      <c r="A76" s="1" t="n">
        <v>1777955402</v>
      </c>
      <c r="B76" s="1" t="s">
        <v>169</v>
      </c>
      <c r="C76" s="1" t="s">
        <v>170</v>
      </c>
      <c r="D76" s="1" t="n">
        <v>4531.71</v>
      </c>
      <c r="E76" s="1" t="s">
        <v>171</v>
      </c>
      <c r="F76" s="1" t="n">
        <v>4527.89</v>
      </c>
      <c r="G76" s="2" t="n">
        <f aca="false">F74</f>
        <v>4513.56</v>
      </c>
      <c r="H76" s="2" t="n">
        <f aca="false">F72</f>
        <v>4500.86</v>
      </c>
      <c r="I76" s="2" t="n">
        <f aca="false">F70</f>
        <v>4526.4</v>
      </c>
      <c r="J76" s="2" t="n">
        <f aca="false">F68</f>
        <v>4592.93</v>
      </c>
      <c r="K76" s="2" t="n">
        <f aca="false">F66</f>
        <v>4607.09</v>
      </c>
      <c r="L76" s="2" t="n">
        <f aca="false">F64</f>
        <v>4560.44</v>
      </c>
      <c r="M76" s="2" t="n">
        <f aca="false">F62</f>
        <v>4614.27</v>
      </c>
      <c r="N76" s="2" t="n">
        <f aca="false">F60</f>
        <v>4605.56</v>
      </c>
      <c r="O76" s="2" t="n">
        <f aca="false">F58</f>
        <v>4540.82</v>
      </c>
      <c r="P76" s="2" t="n">
        <f aca="false">F56</f>
        <v>4518.41</v>
      </c>
      <c r="Q76" s="2" t="n">
        <f aca="false">F54</f>
        <v>4510.28</v>
      </c>
      <c r="R76" s="1" t="n">
        <v>-18.89</v>
      </c>
      <c r="S76" s="2" t="n">
        <f aca="false">R74</f>
        <v>-15.01</v>
      </c>
      <c r="T76" s="2" t="n">
        <f aca="false">R72</f>
        <v>-82.3</v>
      </c>
      <c r="U76" s="2" t="n">
        <f aca="false">R70</f>
        <v>-92.19</v>
      </c>
      <c r="V76" s="2" t="n">
        <f aca="false">R68</f>
        <v>-39.18</v>
      </c>
      <c r="W76" s="2" t="n">
        <f aca="false">R66</f>
        <v>-53.23</v>
      </c>
      <c r="X76" s="2" t="n">
        <f aca="false">R64</f>
        <v>-75.39</v>
      </c>
      <c r="Y76" s="2" t="n">
        <f aca="false">R62</f>
        <v>-19.87</v>
      </c>
      <c r="Z76" s="2" t="n">
        <f aca="false">R60</f>
        <v>-41.54</v>
      </c>
      <c r="AA76" s="2" t="n">
        <f aca="false">R58</f>
        <v>-41.5</v>
      </c>
      <c r="AB76" s="2" t="n">
        <f aca="false">R56</f>
        <v>-46.34</v>
      </c>
      <c r="AC76" s="2" t="n">
        <f aca="false">R54</f>
        <v>-97.49</v>
      </c>
      <c r="AD76" s="1" t="n">
        <v>-0.42</v>
      </c>
      <c r="AE76" s="2" t="n">
        <f aca="false">AD74</f>
        <v>-0.33</v>
      </c>
      <c r="AF76" s="2" t="n">
        <f aca="false">AD72</f>
        <v>-1.8</v>
      </c>
      <c r="AG76" s="2" t="n">
        <f aca="false">AD70</f>
        <v>-2</v>
      </c>
      <c r="AH76" s="2" t="n">
        <f aca="false">AD68</f>
        <v>-0.85</v>
      </c>
      <c r="AI76" s="2" t="n">
        <f aca="false">AD66</f>
        <v>-1.14</v>
      </c>
      <c r="AJ76" s="2" t="n">
        <f aca="false">AD64</f>
        <v>-1.63</v>
      </c>
      <c r="AK76" s="2" t="n">
        <f aca="false">AD62</f>
        <v>-0.43</v>
      </c>
      <c r="AL76" s="2" t="n">
        <f aca="false">AD60</f>
        <v>-0.89</v>
      </c>
      <c r="AM76" s="2" t="n">
        <f aca="false">AD58</f>
        <v>-0.91</v>
      </c>
      <c r="AN76" s="2" t="n">
        <f aca="false">AD56</f>
        <v>-1.02</v>
      </c>
      <c r="AO76" s="2" t="n">
        <f aca="false">AD54</f>
        <v>-2.12</v>
      </c>
      <c r="AP76" s="1" t="n">
        <v>3</v>
      </c>
      <c r="AQ76" s="2" t="n">
        <f aca="false">AP74</f>
        <v>3</v>
      </c>
      <c r="AR76" s="2" t="n">
        <f aca="false">AP72</f>
        <v>3</v>
      </c>
      <c r="AS76" s="2" t="n">
        <f aca="false">AP70</f>
        <v>4</v>
      </c>
      <c r="AT76" s="2" t="n">
        <f aca="false">AP68</f>
        <v>3</v>
      </c>
      <c r="AU76" s="2" t="n">
        <f aca="false">AP66</f>
        <v>3</v>
      </c>
      <c r="AV76" s="2" t="n">
        <f aca="false">AP64</f>
        <v>3</v>
      </c>
      <c r="AW76" s="2" t="n">
        <f aca="false">AP62</f>
        <v>3</v>
      </c>
      <c r="AX76" s="2" t="n">
        <f aca="false">AP60</f>
        <v>3</v>
      </c>
      <c r="AY76" s="2" t="n">
        <f aca="false">AP58</f>
        <v>3</v>
      </c>
      <c r="AZ76" s="2" t="n">
        <f aca="false">AP56</f>
        <v>3</v>
      </c>
      <c r="BA76" s="2" t="n">
        <f aca="false">AP54</f>
        <v>4</v>
      </c>
      <c r="BB76" s="1" t="n">
        <v>7</v>
      </c>
      <c r="BC76" s="2" t="n">
        <f aca="false">BB74</f>
        <v>1</v>
      </c>
      <c r="BD76" s="2" t="n">
        <f aca="false">BB72</f>
        <v>6</v>
      </c>
      <c r="BE76" s="2" t="n">
        <f aca="false">BB70</f>
        <v>33</v>
      </c>
      <c r="BF76" s="2" t="n">
        <f aca="false">BB68</f>
        <v>14</v>
      </c>
      <c r="BG76" s="2" t="n">
        <f aca="false">BB66</f>
        <v>23</v>
      </c>
      <c r="BH76" s="2" t="n">
        <f aca="false">BB64</f>
        <v>30</v>
      </c>
      <c r="BI76" s="2" t="n">
        <f aca="false">BB62</f>
        <v>7</v>
      </c>
      <c r="BJ76" s="2" t="n">
        <f aca="false">BB60</f>
        <v>25</v>
      </c>
      <c r="BK76" s="2" t="n">
        <f aca="false">BB58</f>
        <v>11</v>
      </c>
      <c r="BL76" s="2" t="n">
        <f aca="false">BB56</f>
        <v>11</v>
      </c>
      <c r="BM76" s="2" t="n">
        <f aca="false">BB54</f>
        <v>35</v>
      </c>
      <c r="BN76" s="1" t="n">
        <v>3</v>
      </c>
      <c r="BO76" s="2" t="n">
        <f aca="false">BN74</f>
        <v>3</v>
      </c>
      <c r="BP76" s="2" t="n">
        <f aca="false">BN72</f>
        <v>3</v>
      </c>
      <c r="BQ76" s="2" t="n">
        <f aca="false">BN70</f>
        <v>3</v>
      </c>
      <c r="BR76" s="2" t="n">
        <f aca="false">BN68</f>
        <v>3</v>
      </c>
      <c r="BS76" s="2" t="n">
        <f aca="false">BN66</f>
        <v>3</v>
      </c>
      <c r="BT76" s="2" t="n">
        <f aca="false">BN64</f>
        <v>3</v>
      </c>
      <c r="BU76" s="2" t="n">
        <f aca="false">BN62</f>
        <v>3</v>
      </c>
      <c r="BV76" s="2" t="n">
        <f aca="false">BN60</f>
        <v>3</v>
      </c>
      <c r="BW76" s="2" t="n">
        <f aca="false">BN58</f>
        <v>3</v>
      </c>
      <c r="BX76" s="2" t="n">
        <f aca="false">BN56</f>
        <v>3</v>
      </c>
      <c r="BY76" s="2" t="n">
        <f aca="false">BN54</f>
        <v>3</v>
      </c>
      <c r="BZ76" s="1" t="n">
        <v>-2.69857</v>
      </c>
      <c r="CA76" s="2" t="n">
        <f aca="false">BZ74</f>
        <v>-15.01</v>
      </c>
      <c r="CB76" s="2" t="n">
        <f aca="false">BZ72</f>
        <v>-13.71667</v>
      </c>
      <c r="CC76" s="2" t="n">
        <f aca="false">BZ70</f>
        <v>-2.79364</v>
      </c>
      <c r="CD76" s="2" t="n">
        <f aca="false">BZ68</f>
        <v>-2.79857</v>
      </c>
      <c r="CE76" s="2" t="n">
        <f aca="false">BZ66</f>
        <v>-2.31435</v>
      </c>
      <c r="CF76" s="2" t="n">
        <f aca="false">BZ64</f>
        <v>-2.513</v>
      </c>
      <c r="CG76" s="2" t="n">
        <f aca="false">BZ62</f>
        <v>-2.83857</v>
      </c>
      <c r="CH76" s="2" t="n">
        <f aca="false">BZ60</f>
        <v>-1.6616</v>
      </c>
      <c r="CI76" s="2" t="n">
        <f aca="false">BZ58</f>
        <v>-3.77273</v>
      </c>
      <c r="CJ76" s="2" t="n">
        <f aca="false">BZ56</f>
        <v>-4.21273</v>
      </c>
      <c r="CK76" s="2" t="n">
        <f aca="false">BZ54</f>
        <v>-2.78543</v>
      </c>
      <c r="CL76" s="1" t="n">
        <v>3</v>
      </c>
      <c r="CM76" s="2" t="n">
        <f aca="false">CL74</f>
        <v>5</v>
      </c>
      <c r="CN76" s="2" t="n">
        <f aca="false">CL72</f>
        <v>5</v>
      </c>
      <c r="CO76" s="2" t="n">
        <f aca="false">CL70</f>
        <v>3</v>
      </c>
      <c r="CP76" s="2" t="n">
        <f aca="false">CL68</f>
        <v>3</v>
      </c>
      <c r="CQ76" s="2" t="n">
        <f aca="false">CL66</f>
        <v>3</v>
      </c>
      <c r="CR76" s="2" t="n">
        <f aca="false">CL64</f>
        <v>3</v>
      </c>
      <c r="CS76" s="2" t="n">
        <f aca="false">CL62</f>
        <v>3</v>
      </c>
      <c r="CT76" s="2" t="n">
        <f aca="false">CL60</f>
        <v>3</v>
      </c>
      <c r="CU76" s="2" t="n">
        <f aca="false">CL58</f>
        <v>3</v>
      </c>
      <c r="CV76" s="2" t="n">
        <f aca="false">CL56</f>
        <v>3</v>
      </c>
      <c r="CW76" s="2" t="n">
        <f aca="false">CL54</f>
        <v>3</v>
      </c>
      <c r="CX76" s="1" t="n">
        <v>-69.667</v>
      </c>
      <c r="CY76" s="2" t="n">
        <f aca="false">CX74</f>
        <v>-86.1885</v>
      </c>
      <c r="CZ76" s="2" t="n">
        <f aca="false">CX72</f>
        <v>-85.8303</v>
      </c>
      <c r="DA76" s="2" t="n">
        <f aca="false">CX70</f>
        <v>-70.3048</v>
      </c>
      <c r="DB76" s="2" t="n">
        <f aca="false">CX68</f>
        <v>-70.3369</v>
      </c>
      <c r="DC76" s="2" t="n">
        <f aca="false">CX66</f>
        <v>-66.6314</v>
      </c>
      <c r="DD76" s="2" t="n">
        <f aca="false">CX64</f>
        <v>-68.3009</v>
      </c>
      <c r="DE76" s="2" t="n">
        <f aca="false">CX62</f>
        <v>-70.5932</v>
      </c>
      <c r="DF76" s="2" t="n">
        <f aca="false">CX60</f>
        <v>-58.9592</v>
      </c>
      <c r="DG76" s="2" t="n">
        <f aca="false">CX58</f>
        <v>-75.1545</v>
      </c>
      <c r="DH76" s="2" t="n">
        <f aca="false">CX56</f>
        <v>-76.6465</v>
      </c>
      <c r="DI76" s="2" t="n">
        <f aca="false">CX54</f>
        <v>-70.2513</v>
      </c>
      <c r="DJ76" s="1" t="s">
        <v>175</v>
      </c>
      <c r="DK76" s="2" t="str">
        <f aca="false">DJ74</f>
        <v>HL</v>
      </c>
      <c r="DL76" s="2" t="str">
        <f aca="false">DJ72</f>
        <v>LL</v>
      </c>
      <c r="DM76" s="2" t="str">
        <f aca="false">DJ70</f>
        <v>LL</v>
      </c>
      <c r="DN76" s="2" t="str">
        <f aca="false">DJ68</f>
        <v>LL</v>
      </c>
      <c r="DO76" s="2" t="str">
        <f aca="false">DJ66</f>
        <v>HL</v>
      </c>
      <c r="DP76" s="2" t="str">
        <f aca="false">DJ64</f>
        <v>LL</v>
      </c>
      <c r="DQ76" s="2" t="str">
        <f aca="false">DJ62</f>
        <v>HL</v>
      </c>
      <c r="DR76" s="2" t="str">
        <f aca="false">DJ60</f>
        <v>HL</v>
      </c>
      <c r="DS76" s="2" t="str">
        <f aca="false">DJ58</f>
        <v>HL</v>
      </c>
      <c r="DT76" s="2" t="str">
        <f aca="false">DJ56</f>
        <v>HL</v>
      </c>
      <c r="DU76" s="2" t="str">
        <f aca="false">DJ54</f>
        <v>LL</v>
      </c>
      <c r="DV76" s="2" t="n">
        <f aca="false">IFERROR((G76-$F76)/$F76*100,"")</f>
        <v>-0.316482953428637</v>
      </c>
      <c r="DW76" s="2" t="n">
        <f aca="false">IFERROR((H76-$F76)/$F76*100,"")</f>
        <v>-0.596966799105116</v>
      </c>
      <c r="DX76" s="2" t="n">
        <f aca="false">IFERROR((I76-$F76)/$F76*100,"")</f>
        <v>-0.0329071598470964</v>
      </c>
      <c r="DY76" s="2" t="n">
        <f aca="false">IFERROR((J76-$F76)/$F76*100,"")</f>
        <v>1.43643065533836</v>
      </c>
      <c r="DZ76" s="2" t="n">
        <f aca="false">IFERROR((K76-$F76)/$F76*100,"")</f>
        <v>1.74915910059652</v>
      </c>
      <c r="EA76" s="2" t="n">
        <f aca="false">IFERROR((L76-$F76)/$F76*100,"")</f>
        <v>0.718877887934541</v>
      </c>
      <c r="EB76" s="2" t="n">
        <f aca="false">IFERROR((M76-$F76)/$F76*100,"")</f>
        <v>1.90773185744354</v>
      </c>
      <c r="EC76" s="2" t="n">
        <f aca="false">IFERROR((N76-$F76)/$F76*100,"")</f>
        <v>1.71536852706228</v>
      </c>
      <c r="ED76" s="2" t="n">
        <f aca="false">IFERROR((O76-$F76)/$F76*100,"")</f>
        <v>0.285563474377677</v>
      </c>
      <c r="EE76" s="2" t="n">
        <f aca="false">IFERROR((P76-$F76)/$F76*100,"")</f>
        <v>-0.209369043859291</v>
      </c>
      <c r="EF76" s="2" t="n">
        <f aca="false">IFERROR((Q76-$F76)/$F76*100,"")</f>
        <v>-0.388922875776589</v>
      </c>
      <c r="EG76" s="2" t="str">
        <f aca="false">IF(DV76="","",IF(AND(ABS(DV76)&lt;=0.25,$E76="Bottom",DK76="LL"),"EQL",IF(AND(ABS(DV76)&lt;=0.25,$E76="Peak",DK76="HH"),"EQH","")))</f>
        <v/>
      </c>
      <c r="EH76" s="2" t="str">
        <f aca="false">IF(DW76="","",IF(AND(ABS(DW76)&lt;=0.25,$E76="Bottom",DL76="LL"),"EQL",IF(AND(ABS(DW76)&lt;=0.25,$E76="Peak",DL76="HH"),"EQH","")))</f>
        <v/>
      </c>
      <c r="EI76" s="2" t="str">
        <f aca="false">IF(DX76="","",IF(AND(ABS(DX76)&lt;=0.25,$E76="Bottom",DM76="LL"),"EQL",IF(AND(ABS(DX76)&lt;=0.25,$E76="Peak",DM76="HH"),"EQH","")))</f>
        <v>EQL</v>
      </c>
      <c r="EJ76" s="2" t="str">
        <f aca="false">IF(DY76="","",IF(AND(ABS(DY76)&lt;=0.25,$E76="Bottom",DN76="LL"),"EQL",IF(AND(ABS(DY76)&lt;=0.25,$E76="Peak",DN76="HH"),"EQH","")))</f>
        <v/>
      </c>
      <c r="EK76" s="2" t="str">
        <f aca="false">IF(DZ76="","",IF(AND(ABS(DZ76)&lt;=0.25,$E76="Bottom",DO76="LL"),"EQL",IF(AND(ABS(DZ76)&lt;=0.25,$E76="Peak",DO76="HH"),"EQH","")))</f>
        <v/>
      </c>
      <c r="EL76" s="2" t="str">
        <f aca="false">IF(EA76="","",IF(AND(ABS(EA76)&lt;=0.25,$E76="Bottom",DP76="LL"),"EQL",IF(AND(ABS(EA76)&lt;=0.25,$E76="Peak",DP76="HH"),"EQH","")))</f>
        <v/>
      </c>
      <c r="EM76" s="2" t="str">
        <f aca="false">IF(EB76="","",IF(AND(ABS(EB76)&lt;=0.25,$E76="Bottom",DQ76="LL"),"EQL",IF(AND(ABS(EB76)&lt;=0.25,$E76="Peak",DQ76="HH"),"EQH","")))</f>
        <v/>
      </c>
      <c r="EN76" s="2" t="str">
        <f aca="false">IF(EC76="","",IF(AND(ABS(EC76)&lt;=0.25,$E76="Bottom",DR76="LL"),"EQL",IF(AND(ABS(EC76)&lt;=0.25,$E76="Peak",DR76="HH"),"EQH","")))</f>
        <v/>
      </c>
      <c r="EO76" s="2" t="str">
        <f aca="false">IF(ED76="","",IF(AND(ABS(ED76)&lt;=0.25,$E76="Bottom",DS76="LL"),"EQL",IF(AND(ABS(ED76)&lt;=0.25,$E76="Peak",DS76="HH"),"EQH","")))</f>
        <v/>
      </c>
      <c r="EP76" s="2" t="str">
        <f aca="false">IF(EE76="","",IF(AND(ABS(EE76)&lt;=0.25,$E76="Bottom",DT76="LL"),"EQL",IF(AND(ABS(EE76)&lt;=0.25,$E76="Peak",DT76="HH"),"EQH","")))</f>
        <v/>
      </c>
      <c r="EQ76" s="2" t="str">
        <f aca="false">IF(EF76="","",IF(AND(ABS(EF76)&lt;=0.25,$E76="Bottom",DU76="LL"),"EQL",IF(AND(ABS(EF76)&lt;=0.25,$E76="Peak",DU76="HH"),"EQH","")))</f>
        <v/>
      </c>
      <c r="ER76" s="2" t="str">
        <f aca="false">IF(OR(EG76="EQL",EG76="EQH"),G76,"")</f>
        <v/>
      </c>
      <c r="ES76" s="2" t="str">
        <f aca="false">IF(OR(EH76="EQL",EH76="EQH"),H76,"")</f>
        <v/>
      </c>
      <c r="ET76" s="2" t="n">
        <f aca="false">IF(OR(EI76="EQL",EI76="EQH"),I76,"")</f>
        <v>4526.4</v>
      </c>
      <c r="EU76" s="2" t="str">
        <f aca="false">IF(OR(EJ76="EQL",EJ76="EQH"),J76,"")</f>
        <v/>
      </c>
      <c r="EV76" s="2" t="str">
        <f aca="false">IF(OR(EK76="EQL",EK76="EQH"),K76,"")</f>
        <v/>
      </c>
      <c r="EW76" s="2" t="str">
        <f aca="false">IF(OR(EL76="EQL",EL76="EQH"),L76,"")</f>
        <v/>
      </c>
      <c r="EX76" s="2" t="str">
        <f aca="false">IF(OR(EM76="EQL",EM76="EQH"),M76,"")</f>
        <v/>
      </c>
      <c r="EY76" s="2" t="str">
        <f aca="false">IF(OR(EN76="EQL",EN76="EQH"),N76,"")</f>
        <v/>
      </c>
      <c r="EZ76" s="2" t="str">
        <f aca="false">IF(OR(EO76="EQL",EO76="EQH"),O76,"")</f>
        <v/>
      </c>
      <c r="FA76" s="2" t="str">
        <f aca="false">IF(OR(EP76="EQL",EP76="EQH"),P76,"")</f>
        <v/>
      </c>
      <c r="FB76" s="2" t="str">
        <f aca="false">IF(OR(EQ76="EQL",EQ76="EQH"),Q76,"")</f>
        <v/>
      </c>
      <c r="FC76" s="2" t="str">
        <f aca="false">IF(AND(EG76="EQL",OR(AQ76=4,AQ76=5)),"IEQL",IF(AND(EG76="EQH",OR(AQ76=1,AQ76=2)),"IEQH",""))</f>
        <v/>
      </c>
      <c r="FD76" s="2" t="str">
        <f aca="false">IF(AND(EH76="EQL",OR(AR76=4,AR76=5)),"IEQL",IF(AND(EH76="EQH",OR(AR76=1,AR76=2)),"IEQH",""))</f>
        <v/>
      </c>
      <c r="FE76" s="2" t="str">
        <f aca="false">IF(AND(EI76="EQL",OR(AS76=4,AS76=5)),"IEQL",IF(AND(EI76="EQH",OR(AS76=1,AS76=2)),"IEQH",""))</f>
        <v>IEQL</v>
      </c>
      <c r="FF76" s="2" t="str">
        <f aca="false">IF(AND(EJ76="EQL",OR(AT76=4,AT76=5)),"IEQL",IF(AND(EJ76="EQH",OR(AT76=1,AT76=2)),"IEQH",""))</f>
        <v/>
      </c>
      <c r="FG76" s="2" t="str">
        <f aca="false">IF(AND(EK76="EQL",OR(AU76=4,AU76=5)),"IEQL",IF(AND(EK76="EQH",OR(AU76=1,AU76=2)),"IEQH",""))</f>
        <v/>
      </c>
      <c r="FH76" s="2" t="str">
        <f aca="false">IF(AND(EL76="EQL",OR(AV76=4,AV76=5)),"IEQL",IF(AND(EL76="EQH",OR(AV76=1,AV76=2)),"IEQH",""))</f>
        <v/>
      </c>
      <c r="FI76" s="2" t="str">
        <f aca="false">IF(AND(EM76="EQL",OR(AW76=4,AW76=5)),"IEQL",IF(AND(EM76="EQH",OR(AW76=1,AW76=2)),"IEQH",""))</f>
        <v/>
      </c>
      <c r="FJ76" s="2" t="str">
        <f aca="false">IF(AND(EN76="EQL",OR(AX76=4,AX76=5)),"IEQL",IF(AND(EN76="EQH",OR(AX76=1,AX76=2)),"IEQH",""))</f>
        <v/>
      </c>
      <c r="FK76" s="2" t="str">
        <f aca="false">IF(AND(EO76="EQL",OR(AY76=4,AY76=5)),"IEQL",IF(AND(EO76="EQH",OR(AY76=1,AY76=2)),"IEQH",""))</f>
        <v/>
      </c>
      <c r="FL76" s="2" t="str">
        <f aca="false">IF(AND(EP76="EQL",OR(AZ76=4,AZ76=5)),"IEQL",IF(AND(EP76="EQH",OR(AZ76=1,AZ76=2)),"IEQH",""))</f>
        <v/>
      </c>
      <c r="FM76" s="2" t="str">
        <f aca="false">IF(AND(EQ76="EQL",OR(BA76=4,BA76=5)),"IEQL",IF(AND(EQ76="EQH",OR(BA76=1,BA76=2)),"IEQH",""))</f>
        <v/>
      </c>
    </row>
    <row r="77" customFormat="false" ht="14.25" hidden="false" customHeight="false" outlineLevel="0" collapsed="false">
      <c r="A77" s="1" t="n">
        <v>1777971602</v>
      </c>
      <c r="B77" s="1" t="s">
        <v>169</v>
      </c>
      <c r="C77" s="1" t="s">
        <v>170</v>
      </c>
      <c r="D77" s="1" t="n">
        <v>4557.61</v>
      </c>
      <c r="E77" s="1" t="s">
        <v>173</v>
      </c>
      <c r="F77" s="1" t="n">
        <v>4560.53</v>
      </c>
      <c r="G77" s="2" t="n">
        <f aca="false">F75</f>
        <v>4546.78</v>
      </c>
      <c r="H77" s="2" t="n">
        <f aca="false">F73</f>
        <v>4528.57</v>
      </c>
      <c r="I77" s="2" t="n">
        <f aca="false">F71</f>
        <v>4583.16</v>
      </c>
      <c r="J77" s="2" t="n">
        <f aca="false">F69</f>
        <v>4618.59</v>
      </c>
      <c r="K77" s="2" t="n">
        <f aca="false">F67</f>
        <v>4632.11</v>
      </c>
      <c r="L77" s="2" t="n">
        <f aca="false">F65</f>
        <v>4660.32</v>
      </c>
      <c r="M77" s="2" t="n">
        <f aca="false">F63</f>
        <v>4635.83</v>
      </c>
      <c r="N77" s="2" t="n">
        <f aca="false">F61</f>
        <v>4634.14</v>
      </c>
      <c r="O77" s="2" t="n">
        <f aca="false">F59</f>
        <v>4647.1</v>
      </c>
      <c r="P77" s="2" t="n">
        <f aca="false">F57</f>
        <v>4582.32</v>
      </c>
      <c r="Q77" s="2" t="n">
        <f aca="false">F55</f>
        <v>4564.75</v>
      </c>
      <c r="R77" s="1" t="n">
        <v>32.64</v>
      </c>
      <c r="S77" s="2" t="n">
        <f aca="false">R75</f>
        <v>33.22</v>
      </c>
      <c r="T77" s="2" t="n">
        <f aca="false">R73</f>
        <v>27.71</v>
      </c>
      <c r="U77" s="2" t="n">
        <f aca="false">R71</f>
        <v>56.76</v>
      </c>
      <c r="V77" s="2" t="n">
        <f aca="false">R69</f>
        <v>25.66</v>
      </c>
      <c r="W77" s="2" t="n">
        <f aca="false">R67</f>
        <v>25.02</v>
      </c>
      <c r="X77" s="2" t="n">
        <f aca="false">R65</f>
        <v>99.88</v>
      </c>
      <c r="Y77" s="2" t="n">
        <f aca="false">R63</f>
        <v>21.56</v>
      </c>
      <c r="Z77" s="2" t="n">
        <f aca="false">R61</f>
        <v>28.58</v>
      </c>
      <c r="AA77" s="2" t="n">
        <f aca="false">R59</f>
        <v>106.28</v>
      </c>
      <c r="AB77" s="2" t="n">
        <f aca="false">R57</f>
        <v>63.91</v>
      </c>
      <c r="AC77" s="2" t="n">
        <f aca="false">R55</f>
        <v>54.47</v>
      </c>
      <c r="AD77" s="1" t="n">
        <v>0.72</v>
      </c>
      <c r="AE77" s="2" t="n">
        <f aca="false">AD75</f>
        <v>0.74</v>
      </c>
      <c r="AF77" s="2" t="n">
        <f aca="false">AD73</f>
        <v>0.62</v>
      </c>
      <c r="AG77" s="2" t="n">
        <f aca="false">AD71</f>
        <v>1.25</v>
      </c>
      <c r="AH77" s="2" t="n">
        <f aca="false">AD69</f>
        <v>0.56</v>
      </c>
      <c r="AI77" s="2" t="n">
        <f aca="false">AD67</f>
        <v>0.54</v>
      </c>
      <c r="AJ77" s="2" t="n">
        <f aca="false">AD65</f>
        <v>2.19</v>
      </c>
      <c r="AK77" s="2" t="n">
        <f aca="false">AD63</f>
        <v>0.47</v>
      </c>
      <c r="AL77" s="2" t="n">
        <f aca="false">AD61</f>
        <v>0.62</v>
      </c>
      <c r="AM77" s="2" t="n">
        <f aca="false">AD59</f>
        <v>2.34</v>
      </c>
      <c r="AN77" s="2" t="n">
        <f aca="false">AD57</f>
        <v>1.41</v>
      </c>
      <c r="AO77" s="2" t="n">
        <f aca="false">AD55</f>
        <v>1.21</v>
      </c>
      <c r="AP77" s="1" t="n">
        <v>0</v>
      </c>
      <c r="AQ77" s="2" t="n">
        <f aca="false">AP75</f>
        <v>0</v>
      </c>
      <c r="AR77" s="2" t="n">
        <f aca="false">AP73</f>
        <v>0</v>
      </c>
      <c r="AS77" s="2" t="n">
        <f aca="false">AP71</f>
        <v>0</v>
      </c>
      <c r="AT77" s="2" t="n">
        <f aca="false">AP69</f>
        <v>0</v>
      </c>
      <c r="AU77" s="2" t="n">
        <f aca="false">AP67</f>
        <v>0</v>
      </c>
      <c r="AV77" s="2" t="n">
        <f aca="false">AP65</f>
        <v>1</v>
      </c>
      <c r="AW77" s="2" t="n">
        <f aca="false">AP63</f>
        <v>0</v>
      </c>
      <c r="AX77" s="2" t="n">
        <f aca="false">AP61</f>
        <v>0</v>
      </c>
      <c r="AY77" s="2" t="n">
        <f aca="false">AP59</f>
        <v>1</v>
      </c>
      <c r="AZ77" s="2" t="n">
        <f aca="false">AP57</f>
        <v>0</v>
      </c>
      <c r="BA77" s="2" t="n">
        <f aca="false">AP55</f>
        <v>0</v>
      </c>
      <c r="BB77" s="1" t="n">
        <v>18</v>
      </c>
      <c r="BC77" s="2" t="n">
        <f aca="false">BB75</f>
        <v>10</v>
      </c>
      <c r="BD77" s="2" t="n">
        <f aca="false">BB73</f>
        <v>28</v>
      </c>
      <c r="BE77" s="2" t="n">
        <f aca="false">BB71</f>
        <v>17</v>
      </c>
      <c r="BF77" s="2" t="n">
        <f aca="false">BB69</f>
        <v>2</v>
      </c>
      <c r="BG77" s="2" t="n">
        <f aca="false">BB67</f>
        <v>4</v>
      </c>
      <c r="BH77" s="2" t="n">
        <f aca="false">BB65</f>
        <v>18</v>
      </c>
      <c r="BI77" s="2" t="n">
        <f aca="false">BB63</f>
        <v>4</v>
      </c>
      <c r="BJ77" s="2" t="n">
        <f aca="false">BB61</f>
        <v>23</v>
      </c>
      <c r="BK77" s="2" t="n">
        <f aca="false">BB59</f>
        <v>24</v>
      </c>
      <c r="BL77" s="2" t="n">
        <f aca="false">BB57</f>
        <v>24</v>
      </c>
      <c r="BM77" s="2" t="n">
        <f aca="false">BB55</f>
        <v>9</v>
      </c>
      <c r="BN77" s="1" t="n">
        <v>0</v>
      </c>
      <c r="BO77" s="2" t="n">
        <f aca="false">BN75</f>
        <v>0</v>
      </c>
      <c r="BP77" s="2" t="n">
        <f aca="false">BN73</f>
        <v>0</v>
      </c>
      <c r="BQ77" s="2" t="n">
        <f aca="false">BN71</f>
        <v>0</v>
      </c>
      <c r="BR77" s="2" t="n">
        <f aca="false">BN69</f>
        <v>0</v>
      </c>
      <c r="BS77" s="2" t="n">
        <f aca="false">BN67</f>
        <v>0</v>
      </c>
      <c r="BT77" s="2" t="n">
        <f aca="false">BN65</f>
        <v>0</v>
      </c>
      <c r="BU77" s="2" t="n">
        <f aca="false">BN63</f>
        <v>0</v>
      </c>
      <c r="BV77" s="2" t="n">
        <f aca="false">BN61</f>
        <v>0</v>
      </c>
      <c r="BW77" s="2" t="n">
        <f aca="false">BN59</f>
        <v>0</v>
      </c>
      <c r="BX77" s="2" t="n">
        <f aca="false">BN57</f>
        <v>0</v>
      </c>
      <c r="BY77" s="2" t="n">
        <f aca="false">BN55</f>
        <v>0</v>
      </c>
      <c r="BZ77" s="1" t="n">
        <v>1.81333</v>
      </c>
      <c r="CA77" s="2" t="n">
        <f aca="false">BZ75</f>
        <v>3.322</v>
      </c>
      <c r="CB77" s="2" t="n">
        <f aca="false">BZ73</f>
        <v>0.98964</v>
      </c>
      <c r="CC77" s="2" t="n">
        <f aca="false">BZ71</f>
        <v>3.33882</v>
      </c>
      <c r="CD77" s="2" t="n">
        <f aca="false">BZ69</f>
        <v>12.83</v>
      </c>
      <c r="CE77" s="2" t="n">
        <f aca="false">BZ67</f>
        <v>6.255</v>
      </c>
      <c r="CF77" s="2" t="n">
        <f aca="false">BZ65</f>
        <v>5.54889</v>
      </c>
      <c r="CG77" s="2" t="n">
        <f aca="false">BZ63</f>
        <v>5.39</v>
      </c>
      <c r="CH77" s="2" t="n">
        <f aca="false">BZ61</f>
        <v>1.24261</v>
      </c>
      <c r="CI77" s="2" t="n">
        <f aca="false">BZ59</f>
        <v>4.42833</v>
      </c>
      <c r="CJ77" s="2" t="n">
        <f aca="false">BZ57</f>
        <v>2.66292</v>
      </c>
      <c r="CK77" s="2" t="n">
        <f aca="false">BZ55</f>
        <v>6.05222</v>
      </c>
      <c r="CL77" s="1" t="n">
        <v>0</v>
      </c>
      <c r="CM77" s="2" t="n">
        <f aca="false">CL75</f>
        <v>0</v>
      </c>
      <c r="CN77" s="2" t="n">
        <f aca="false">CL73</f>
        <v>0</v>
      </c>
      <c r="CO77" s="2" t="n">
        <f aca="false">CL71</f>
        <v>0</v>
      </c>
      <c r="CP77" s="2" t="n">
        <f aca="false">CL69</f>
        <v>0</v>
      </c>
      <c r="CQ77" s="2" t="n">
        <f aca="false">CL67</f>
        <v>0</v>
      </c>
      <c r="CR77" s="2" t="n">
        <f aca="false">CL65</f>
        <v>0</v>
      </c>
      <c r="CS77" s="2" t="n">
        <f aca="false">CL63</f>
        <v>0</v>
      </c>
      <c r="CT77" s="2" t="n">
        <f aca="false">CL61</f>
        <v>0</v>
      </c>
      <c r="CU77" s="2" t="n">
        <f aca="false">CL59</f>
        <v>0</v>
      </c>
      <c r="CV77" s="2" t="n">
        <f aca="false">CL57</f>
        <v>0</v>
      </c>
      <c r="CW77" s="2" t="n">
        <f aca="false">CL55</f>
        <v>0</v>
      </c>
      <c r="CX77" s="1" t="n">
        <v>61.1246</v>
      </c>
      <c r="CY77" s="2" t="n">
        <f aca="false">CX75</f>
        <v>73.247</v>
      </c>
      <c r="CZ77" s="2" t="n">
        <f aca="false">CX73</f>
        <v>44.7017</v>
      </c>
      <c r="DA77" s="2" t="n">
        <f aca="false">CX71</f>
        <v>73.3267</v>
      </c>
      <c r="DB77" s="2" t="n">
        <f aca="false">CX69</f>
        <v>85.5432</v>
      </c>
      <c r="DC77" s="2" t="n">
        <f aca="false">CX67</f>
        <v>80.9169</v>
      </c>
      <c r="DD77" s="2" t="n">
        <f aca="false">CX65</f>
        <v>79.784</v>
      </c>
      <c r="DE77" s="2" t="n">
        <f aca="false">CX63</f>
        <v>79.4895</v>
      </c>
      <c r="DF77" s="2" t="n">
        <f aca="false">CX61</f>
        <v>51.1743</v>
      </c>
      <c r="DG77" s="2" t="n">
        <f aca="false">CX59</f>
        <v>77.275</v>
      </c>
      <c r="DH77" s="2" t="n">
        <f aca="false">CX57</f>
        <v>69.4174</v>
      </c>
      <c r="DI77" s="2" t="n">
        <f aca="false">CX55</f>
        <v>80.6179</v>
      </c>
      <c r="DJ77" s="1" t="s">
        <v>176</v>
      </c>
      <c r="DK77" s="2" t="str">
        <f aca="false">DJ75</f>
        <v>HH</v>
      </c>
      <c r="DL77" s="2" t="str">
        <f aca="false">DJ73</f>
        <v>LH</v>
      </c>
      <c r="DM77" s="2" t="str">
        <f aca="false">DJ71</f>
        <v>LH</v>
      </c>
      <c r="DN77" s="2" t="str">
        <f aca="false">DJ69</f>
        <v>LH</v>
      </c>
      <c r="DO77" s="2" t="str">
        <f aca="false">DJ67</f>
        <v>LH</v>
      </c>
      <c r="DP77" s="2" t="str">
        <f aca="false">DJ65</f>
        <v>HH</v>
      </c>
      <c r="DQ77" s="2" t="str">
        <f aca="false">DJ63</f>
        <v>HH</v>
      </c>
      <c r="DR77" s="2" t="str">
        <f aca="false">DJ61</f>
        <v>LH</v>
      </c>
      <c r="DS77" s="2" t="str">
        <f aca="false">DJ59</f>
        <v>HH</v>
      </c>
      <c r="DT77" s="2" t="str">
        <f aca="false">DJ57</f>
        <v>HH</v>
      </c>
      <c r="DU77" s="2" t="str">
        <f aca="false">DJ55</f>
        <v>LH</v>
      </c>
      <c r="DV77" s="2" t="n">
        <f aca="false">IFERROR((G77-$F77)/$F77*100,"")</f>
        <v>-0.301500044950916</v>
      </c>
      <c r="DW77" s="2" t="n">
        <f aca="false">IFERROR((H77-$F77)/$F77*100,"")</f>
        <v>-0.700795740845911</v>
      </c>
      <c r="DX77" s="2" t="n">
        <f aca="false">IFERROR((I77-$F77)/$F77*100,"")</f>
        <v>0.496214255799219</v>
      </c>
      <c r="DY77" s="2" t="n">
        <f aca="false">IFERROR((J77-$F77)/$F77*100,"")</f>
        <v>1.27309764435275</v>
      </c>
      <c r="DZ77" s="2" t="n">
        <f aca="false">IFERROR((K77-$F77)/$F77*100,"")</f>
        <v>1.56955441582448</v>
      </c>
      <c r="EA77" s="2" t="n">
        <f aca="false">IFERROR((L77-$F77)/$F77*100,"")</f>
        <v>2.18812287168377</v>
      </c>
      <c r="EB77" s="2" t="n">
        <f aca="false">IFERROR((M77-$F77)/$F77*100,"")</f>
        <v>1.6511238825312</v>
      </c>
      <c r="EC77" s="2" t="n">
        <f aca="false">IFERROR((N77-$F77)/$F77*100,"")</f>
        <v>1.61406678609724</v>
      </c>
      <c r="ED77" s="2" t="n">
        <f aca="false">IFERROR((O77-$F77)/$F77*100,"")</f>
        <v>1.89824428301098</v>
      </c>
      <c r="EE77" s="2" t="n">
        <f aca="false">IFERROR((P77-$F77)/$F77*100,"")</f>
        <v>0.477795343962214</v>
      </c>
      <c r="EF77" s="2" t="n">
        <f aca="false">IFERROR((Q77-$F77)/$F77*100,"")</f>
        <v>0.0925331047049412</v>
      </c>
      <c r="EG77" s="2" t="str">
        <f aca="false">IF(DV77="","",IF(AND(ABS(DV77)&lt;=0.25,$E77="Bottom",DK77="LL"),"EQL",IF(AND(ABS(DV77)&lt;=0.25,$E77="Peak",DK77="HH"),"EQH","")))</f>
        <v/>
      </c>
      <c r="EH77" s="2" t="str">
        <f aca="false">IF(DW77="","",IF(AND(ABS(DW77)&lt;=0.25,$E77="Bottom",DL77="LL"),"EQL",IF(AND(ABS(DW77)&lt;=0.25,$E77="Peak",DL77="HH"),"EQH","")))</f>
        <v/>
      </c>
      <c r="EI77" s="2" t="str">
        <f aca="false">IF(DX77="","",IF(AND(ABS(DX77)&lt;=0.25,$E77="Bottom",DM77="LL"),"EQL",IF(AND(ABS(DX77)&lt;=0.25,$E77="Peak",DM77="HH"),"EQH","")))</f>
        <v/>
      </c>
      <c r="EJ77" s="2" t="str">
        <f aca="false">IF(DY77="","",IF(AND(ABS(DY77)&lt;=0.25,$E77="Bottom",DN77="LL"),"EQL",IF(AND(ABS(DY77)&lt;=0.25,$E77="Peak",DN77="HH"),"EQH","")))</f>
        <v/>
      </c>
      <c r="EK77" s="2" t="str">
        <f aca="false">IF(DZ77="","",IF(AND(ABS(DZ77)&lt;=0.25,$E77="Bottom",DO77="LL"),"EQL",IF(AND(ABS(DZ77)&lt;=0.25,$E77="Peak",DO77="HH"),"EQH","")))</f>
        <v/>
      </c>
      <c r="EL77" s="2" t="str">
        <f aca="false">IF(EA77="","",IF(AND(ABS(EA77)&lt;=0.25,$E77="Bottom",DP77="LL"),"EQL",IF(AND(ABS(EA77)&lt;=0.25,$E77="Peak",DP77="HH"),"EQH","")))</f>
        <v/>
      </c>
      <c r="EM77" s="2" t="str">
        <f aca="false">IF(EB77="","",IF(AND(ABS(EB77)&lt;=0.25,$E77="Bottom",DQ77="LL"),"EQL",IF(AND(ABS(EB77)&lt;=0.25,$E77="Peak",DQ77="HH"),"EQH","")))</f>
        <v/>
      </c>
      <c r="EN77" s="2" t="str">
        <f aca="false">IF(EC77="","",IF(AND(ABS(EC77)&lt;=0.25,$E77="Bottom",DR77="LL"),"EQL",IF(AND(ABS(EC77)&lt;=0.25,$E77="Peak",DR77="HH"),"EQH","")))</f>
        <v/>
      </c>
      <c r="EO77" s="2" t="str">
        <f aca="false">IF(ED77="","",IF(AND(ABS(ED77)&lt;=0.25,$E77="Bottom",DS77="LL"),"EQL",IF(AND(ABS(ED77)&lt;=0.25,$E77="Peak",DS77="HH"),"EQH","")))</f>
        <v/>
      </c>
      <c r="EP77" s="2" t="str">
        <f aca="false">IF(EE77="","",IF(AND(ABS(EE77)&lt;=0.25,$E77="Bottom",DT77="LL"),"EQL",IF(AND(ABS(EE77)&lt;=0.25,$E77="Peak",DT77="HH"),"EQH","")))</f>
        <v/>
      </c>
      <c r="EQ77" s="2" t="str">
        <f aca="false">IF(EF77="","",IF(AND(ABS(EF77)&lt;=0.25,$E77="Bottom",DU77="LL"),"EQL",IF(AND(ABS(EF77)&lt;=0.25,$E77="Peak",DU77="HH"),"EQH","")))</f>
        <v/>
      </c>
      <c r="ER77" s="2" t="str">
        <f aca="false">IF(OR(EG77="EQL",EG77="EQH"),G77,"")</f>
        <v/>
      </c>
      <c r="ES77" s="2" t="str">
        <f aca="false">IF(OR(EH77="EQL",EH77="EQH"),H77,"")</f>
        <v/>
      </c>
      <c r="ET77" s="2" t="str">
        <f aca="false">IF(OR(EI77="EQL",EI77="EQH"),I77,"")</f>
        <v/>
      </c>
      <c r="EU77" s="2" t="str">
        <f aca="false">IF(OR(EJ77="EQL",EJ77="EQH"),J77,"")</f>
        <v/>
      </c>
      <c r="EV77" s="2" t="str">
        <f aca="false">IF(OR(EK77="EQL",EK77="EQH"),K77,"")</f>
        <v/>
      </c>
      <c r="EW77" s="2" t="str">
        <f aca="false">IF(OR(EL77="EQL",EL77="EQH"),L77,"")</f>
        <v/>
      </c>
      <c r="EX77" s="2" t="str">
        <f aca="false">IF(OR(EM77="EQL",EM77="EQH"),M77,"")</f>
        <v/>
      </c>
      <c r="EY77" s="2" t="str">
        <f aca="false">IF(OR(EN77="EQL",EN77="EQH"),N77,"")</f>
        <v/>
      </c>
      <c r="EZ77" s="2" t="str">
        <f aca="false">IF(OR(EO77="EQL",EO77="EQH"),O77,"")</f>
        <v/>
      </c>
      <c r="FA77" s="2" t="str">
        <f aca="false">IF(OR(EP77="EQL",EP77="EQH"),P77,"")</f>
        <v/>
      </c>
      <c r="FB77" s="2" t="str">
        <f aca="false">IF(OR(EQ77="EQL",EQ77="EQH"),Q77,"")</f>
        <v/>
      </c>
      <c r="FC77" s="2" t="str">
        <f aca="false">IF(AND(EG77="EQL",OR(AQ77=4,AQ77=5)),"IEQL",IF(AND(EG77="EQH",OR(AQ77=1,AQ77=2)),"IEQH",""))</f>
        <v/>
      </c>
      <c r="FD77" s="2" t="str">
        <f aca="false">IF(AND(EH77="EQL",OR(AR77=4,AR77=5)),"IEQL",IF(AND(EH77="EQH",OR(AR77=1,AR77=2)),"IEQH",""))</f>
        <v/>
      </c>
      <c r="FE77" s="2" t="str">
        <f aca="false">IF(AND(EI77="EQL",OR(AS77=4,AS77=5)),"IEQL",IF(AND(EI77="EQH",OR(AS77=1,AS77=2)),"IEQH",""))</f>
        <v/>
      </c>
      <c r="FF77" s="2" t="str">
        <f aca="false">IF(AND(EJ77="EQL",OR(AT77=4,AT77=5)),"IEQL",IF(AND(EJ77="EQH",OR(AT77=1,AT77=2)),"IEQH",""))</f>
        <v/>
      </c>
      <c r="FG77" s="2" t="str">
        <f aca="false">IF(AND(EK77="EQL",OR(AU77=4,AU77=5)),"IEQL",IF(AND(EK77="EQH",OR(AU77=1,AU77=2)),"IEQH",""))</f>
        <v/>
      </c>
      <c r="FH77" s="2" t="str">
        <f aca="false">IF(AND(EL77="EQL",OR(AV77=4,AV77=5)),"IEQL",IF(AND(EL77="EQH",OR(AV77=1,AV77=2)),"IEQH",""))</f>
        <v/>
      </c>
      <c r="FI77" s="2" t="str">
        <f aca="false">IF(AND(EM77="EQL",OR(AW77=4,AW77=5)),"IEQL",IF(AND(EM77="EQH",OR(AW77=1,AW77=2)),"IEQH",""))</f>
        <v/>
      </c>
      <c r="FJ77" s="2" t="str">
        <f aca="false">IF(AND(EN77="EQL",OR(AX77=4,AX77=5)),"IEQL",IF(AND(EN77="EQH",OR(AX77=1,AX77=2)),"IEQH",""))</f>
        <v/>
      </c>
      <c r="FK77" s="2" t="str">
        <f aca="false">IF(AND(EO77="EQL",OR(AY77=4,AY77=5)),"IEQL",IF(AND(EO77="EQH",OR(AY77=1,AY77=2)),"IEQH",""))</f>
        <v/>
      </c>
      <c r="FL77" s="2" t="str">
        <f aca="false">IF(AND(EP77="EQL",OR(AZ77=4,AZ77=5)),"IEQL",IF(AND(EP77="EQH",OR(AZ77=1,AZ77=2)),"IEQH",""))</f>
        <v/>
      </c>
      <c r="FM77" s="2" t="str">
        <f aca="false">IF(AND(EQ77="EQL",OR(BA77=4,BA77=5)),"IEQL",IF(AND(EQ77="EQH",OR(BA77=1,BA77=2)),"IEQH",""))</f>
        <v/>
      </c>
    </row>
    <row r="78" customFormat="false" ht="14.25" hidden="false" customHeight="false" outlineLevel="0" collapsed="false">
      <c r="A78" s="1" t="n">
        <v>1777978802</v>
      </c>
      <c r="B78" s="1" t="s">
        <v>169</v>
      </c>
      <c r="C78" s="1" t="s">
        <v>170</v>
      </c>
      <c r="D78" s="1" t="n">
        <v>4552.62</v>
      </c>
      <c r="E78" s="1" t="s">
        <v>171</v>
      </c>
      <c r="F78" s="1" t="n">
        <v>4540</v>
      </c>
      <c r="G78" s="2" t="n">
        <f aca="false">F76</f>
        <v>4527.89</v>
      </c>
      <c r="H78" s="2" t="n">
        <f aca="false">F74</f>
        <v>4513.56</v>
      </c>
      <c r="I78" s="2" t="n">
        <f aca="false">F72</f>
        <v>4500.86</v>
      </c>
      <c r="J78" s="2" t="n">
        <f aca="false">F70</f>
        <v>4526.4</v>
      </c>
      <c r="K78" s="2" t="n">
        <f aca="false">F68</f>
        <v>4592.93</v>
      </c>
      <c r="L78" s="2" t="n">
        <f aca="false">F66</f>
        <v>4607.09</v>
      </c>
      <c r="M78" s="2" t="n">
        <f aca="false">F64</f>
        <v>4560.44</v>
      </c>
      <c r="N78" s="2" t="n">
        <f aca="false">F62</f>
        <v>4614.27</v>
      </c>
      <c r="O78" s="2" t="n">
        <f aca="false">F60</f>
        <v>4605.56</v>
      </c>
      <c r="P78" s="2" t="n">
        <f aca="false">F58</f>
        <v>4540.82</v>
      </c>
      <c r="Q78" s="2" t="n">
        <f aca="false">F56</f>
        <v>4518.41</v>
      </c>
      <c r="R78" s="1" t="n">
        <v>-20.53</v>
      </c>
      <c r="S78" s="2" t="n">
        <f aca="false">R76</f>
        <v>-18.89</v>
      </c>
      <c r="T78" s="2" t="n">
        <f aca="false">R74</f>
        <v>-15.01</v>
      </c>
      <c r="U78" s="2" t="n">
        <f aca="false">R72</f>
        <v>-82.3</v>
      </c>
      <c r="V78" s="2" t="n">
        <f aca="false">R70</f>
        <v>-92.19</v>
      </c>
      <c r="W78" s="2" t="n">
        <f aca="false">R68</f>
        <v>-39.18</v>
      </c>
      <c r="X78" s="2" t="n">
        <f aca="false">R66</f>
        <v>-53.23</v>
      </c>
      <c r="Y78" s="2" t="n">
        <f aca="false">R64</f>
        <v>-75.39</v>
      </c>
      <c r="Z78" s="2" t="n">
        <f aca="false">R62</f>
        <v>-19.87</v>
      </c>
      <c r="AA78" s="2" t="n">
        <f aca="false">R60</f>
        <v>-41.54</v>
      </c>
      <c r="AB78" s="2" t="n">
        <f aca="false">R58</f>
        <v>-41.5</v>
      </c>
      <c r="AC78" s="2" t="n">
        <f aca="false">R56</f>
        <v>-46.34</v>
      </c>
      <c r="AD78" s="1" t="n">
        <v>-0.45</v>
      </c>
      <c r="AE78" s="2" t="n">
        <f aca="false">AD76</f>
        <v>-0.42</v>
      </c>
      <c r="AF78" s="2" t="n">
        <f aca="false">AD74</f>
        <v>-0.33</v>
      </c>
      <c r="AG78" s="2" t="n">
        <f aca="false">AD72</f>
        <v>-1.8</v>
      </c>
      <c r="AH78" s="2" t="n">
        <f aca="false">AD70</f>
        <v>-2</v>
      </c>
      <c r="AI78" s="2" t="n">
        <f aca="false">AD68</f>
        <v>-0.85</v>
      </c>
      <c r="AJ78" s="2" t="n">
        <f aca="false">AD66</f>
        <v>-1.14</v>
      </c>
      <c r="AK78" s="2" t="n">
        <f aca="false">AD64</f>
        <v>-1.63</v>
      </c>
      <c r="AL78" s="2" t="n">
        <f aca="false">AD62</f>
        <v>-0.43</v>
      </c>
      <c r="AM78" s="2" t="n">
        <f aca="false">AD60</f>
        <v>-0.89</v>
      </c>
      <c r="AN78" s="2" t="n">
        <f aca="false">AD58</f>
        <v>-0.91</v>
      </c>
      <c r="AO78" s="2" t="n">
        <f aca="false">AD56</f>
        <v>-1.02</v>
      </c>
      <c r="AP78" s="1" t="n">
        <v>3</v>
      </c>
      <c r="AQ78" s="2" t="n">
        <f aca="false">AP76</f>
        <v>3</v>
      </c>
      <c r="AR78" s="2" t="n">
        <f aca="false">AP74</f>
        <v>3</v>
      </c>
      <c r="AS78" s="2" t="n">
        <f aca="false">AP72</f>
        <v>3</v>
      </c>
      <c r="AT78" s="2" t="n">
        <f aca="false">AP70</f>
        <v>4</v>
      </c>
      <c r="AU78" s="2" t="n">
        <f aca="false">AP68</f>
        <v>3</v>
      </c>
      <c r="AV78" s="2" t="n">
        <f aca="false">AP66</f>
        <v>3</v>
      </c>
      <c r="AW78" s="2" t="n">
        <f aca="false">AP64</f>
        <v>3</v>
      </c>
      <c r="AX78" s="2" t="n">
        <f aca="false">AP62</f>
        <v>3</v>
      </c>
      <c r="AY78" s="2" t="n">
        <f aca="false">AP60</f>
        <v>3</v>
      </c>
      <c r="AZ78" s="2" t="n">
        <f aca="false">AP58</f>
        <v>3</v>
      </c>
      <c r="BA78" s="2" t="n">
        <f aca="false">AP56</f>
        <v>3</v>
      </c>
      <c r="BB78" s="1" t="n">
        <v>8</v>
      </c>
      <c r="BC78" s="2" t="n">
        <f aca="false">BB76</f>
        <v>7</v>
      </c>
      <c r="BD78" s="2" t="n">
        <f aca="false">BB74</f>
        <v>1</v>
      </c>
      <c r="BE78" s="2" t="n">
        <f aca="false">BB72</f>
        <v>6</v>
      </c>
      <c r="BF78" s="2" t="n">
        <f aca="false">BB70</f>
        <v>33</v>
      </c>
      <c r="BG78" s="2" t="n">
        <f aca="false">BB68</f>
        <v>14</v>
      </c>
      <c r="BH78" s="2" t="n">
        <f aca="false">BB66</f>
        <v>23</v>
      </c>
      <c r="BI78" s="2" t="n">
        <f aca="false">BB64</f>
        <v>30</v>
      </c>
      <c r="BJ78" s="2" t="n">
        <f aca="false">BB62</f>
        <v>7</v>
      </c>
      <c r="BK78" s="2" t="n">
        <f aca="false">BB60</f>
        <v>25</v>
      </c>
      <c r="BL78" s="2" t="n">
        <f aca="false">BB58</f>
        <v>11</v>
      </c>
      <c r="BM78" s="2" t="n">
        <f aca="false">BB56</f>
        <v>11</v>
      </c>
      <c r="BN78" s="1" t="n">
        <v>3</v>
      </c>
      <c r="BO78" s="2" t="n">
        <f aca="false">BN76</f>
        <v>3</v>
      </c>
      <c r="BP78" s="2" t="n">
        <f aca="false">BN74</f>
        <v>3</v>
      </c>
      <c r="BQ78" s="2" t="n">
        <f aca="false">BN72</f>
        <v>3</v>
      </c>
      <c r="BR78" s="2" t="n">
        <f aca="false">BN70</f>
        <v>3</v>
      </c>
      <c r="BS78" s="2" t="n">
        <f aca="false">BN68</f>
        <v>3</v>
      </c>
      <c r="BT78" s="2" t="n">
        <f aca="false">BN66</f>
        <v>3</v>
      </c>
      <c r="BU78" s="2" t="n">
        <f aca="false">BN64</f>
        <v>3</v>
      </c>
      <c r="BV78" s="2" t="n">
        <f aca="false">BN62</f>
        <v>3</v>
      </c>
      <c r="BW78" s="2" t="n">
        <f aca="false">BN60</f>
        <v>3</v>
      </c>
      <c r="BX78" s="2" t="n">
        <f aca="false">BN58</f>
        <v>3</v>
      </c>
      <c r="BY78" s="2" t="n">
        <f aca="false">BN56</f>
        <v>3</v>
      </c>
      <c r="BZ78" s="1" t="n">
        <v>-2.56625</v>
      </c>
      <c r="CA78" s="2" t="n">
        <f aca="false">BZ76</f>
        <v>-2.69857</v>
      </c>
      <c r="CB78" s="2" t="n">
        <f aca="false">BZ74</f>
        <v>-15.01</v>
      </c>
      <c r="CC78" s="2" t="n">
        <f aca="false">BZ72</f>
        <v>-13.71667</v>
      </c>
      <c r="CD78" s="2" t="n">
        <f aca="false">BZ70</f>
        <v>-2.79364</v>
      </c>
      <c r="CE78" s="2" t="n">
        <f aca="false">BZ68</f>
        <v>-2.79857</v>
      </c>
      <c r="CF78" s="2" t="n">
        <f aca="false">BZ66</f>
        <v>-2.31435</v>
      </c>
      <c r="CG78" s="2" t="n">
        <f aca="false">BZ64</f>
        <v>-2.513</v>
      </c>
      <c r="CH78" s="2" t="n">
        <f aca="false">BZ62</f>
        <v>-2.83857</v>
      </c>
      <c r="CI78" s="2" t="n">
        <f aca="false">BZ60</f>
        <v>-1.6616</v>
      </c>
      <c r="CJ78" s="2" t="n">
        <f aca="false">BZ58</f>
        <v>-3.77273</v>
      </c>
      <c r="CK78" s="2" t="n">
        <f aca="false">BZ56</f>
        <v>-4.21273</v>
      </c>
      <c r="CL78" s="1" t="n">
        <v>3</v>
      </c>
      <c r="CM78" s="2" t="n">
        <f aca="false">CL76</f>
        <v>3</v>
      </c>
      <c r="CN78" s="2" t="n">
        <f aca="false">CL74</f>
        <v>5</v>
      </c>
      <c r="CO78" s="2" t="n">
        <f aca="false">CL72</f>
        <v>5</v>
      </c>
      <c r="CP78" s="2" t="n">
        <f aca="false">CL70</f>
        <v>3</v>
      </c>
      <c r="CQ78" s="2" t="n">
        <f aca="false">CL68</f>
        <v>3</v>
      </c>
      <c r="CR78" s="2" t="n">
        <f aca="false">CL66</f>
        <v>3</v>
      </c>
      <c r="CS78" s="2" t="n">
        <f aca="false">CL64</f>
        <v>3</v>
      </c>
      <c r="CT78" s="2" t="n">
        <f aca="false">CL62</f>
        <v>3</v>
      </c>
      <c r="CU78" s="2" t="n">
        <f aca="false">CL60</f>
        <v>3</v>
      </c>
      <c r="CV78" s="2" t="n">
        <f aca="false">CL58</f>
        <v>3</v>
      </c>
      <c r="CW78" s="2" t="n">
        <f aca="false">CL56</f>
        <v>3</v>
      </c>
      <c r="CX78" s="1" t="n">
        <v>-68.7104</v>
      </c>
      <c r="CY78" s="2" t="n">
        <f aca="false">CX76</f>
        <v>-69.667</v>
      </c>
      <c r="CZ78" s="2" t="n">
        <f aca="false">CX74</f>
        <v>-86.1885</v>
      </c>
      <c r="DA78" s="2" t="n">
        <f aca="false">CX72</f>
        <v>-85.8303</v>
      </c>
      <c r="DB78" s="2" t="n">
        <f aca="false">CX70</f>
        <v>-70.3048</v>
      </c>
      <c r="DC78" s="2" t="n">
        <f aca="false">CX68</f>
        <v>-70.3369</v>
      </c>
      <c r="DD78" s="2" t="n">
        <f aca="false">CX66</f>
        <v>-66.6314</v>
      </c>
      <c r="DE78" s="2" t="n">
        <f aca="false">CX64</f>
        <v>-68.3009</v>
      </c>
      <c r="DF78" s="2" t="n">
        <f aca="false">CX62</f>
        <v>-70.5932</v>
      </c>
      <c r="DG78" s="2" t="n">
        <f aca="false">CX60</f>
        <v>-58.9592</v>
      </c>
      <c r="DH78" s="2" t="n">
        <f aca="false">CX58</f>
        <v>-75.1545</v>
      </c>
      <c r="DI78" s="2" t="n">
        <f aca="false">CX56</f>
        <v>-76.6465</v>
      </c>
      <c r="DJ78" s="1" t="s">
        <v>175</v>
      </c>
      <c r="DK78" s="2" t="str">
        <f aca="false">DJ76</f>
        <v>HL</v>
      </c>
      <c r="DL78" s="2" t="str">
        <f aca="false">DJ74</f>
        <v>HL</v>
      </c>
      <c r="DM78" s="2" t="str">
        <f aca="false">DJ72</f>
        <v>LL</v>
      </c>
      <c r="DN78" s="2" t="str">
        <f aca="false">DJ70</f>
        <v>LL</v>
      </c>
      <c r="DO78" s="2" t="str">
        <f aca="false">DJ68</f>
        <v>LL</v>
      </c>
      <c r="DP78" s="2" t="str">
        <f aca="false">DJ66</f>
        <v>HL</v>
      </c>
      <c r="DQ78" s="2" t="str">
        <f aca="false">DJ64</f>
        <v>LL</v>
      </c>
      <c r="DR78" s="2" t="str">
        <f aca="false">DJ62</f>
        <v>HL</v>
      </c>
      <c r="DS78" s="2" t="str">
        <f aca="false">DJ60</f>
        <v>HL</v>
      </c>
      <c r="DT78" s="2" t="str">
        <f aca="false">DJ58</f>
        <v>HL</v>
      </c>
      <c r="DU78" s="2" t="str">
        <f aca="false">DJ56</f>
        <v>HL</v>
      </c>
      <c r="DV78" s="2" t="n">
        <f aca="false">IFERROR((G78-$F78)/$F78*100,"")</f>
        <v>-0.26674008810572</v>
      </c>
      <c r="DW78" s="2" t="n">
        <f aca="false">IFERROR((H78-$F78)/$F78*100,"")</f>
        <v>-0.582378854625542</v>
      </c>
      <c r="DX78" s="2" t="n">
        <f aca="false">IFERROR((I78-$F78)/$F78*100,"")</f>
        <v>-0.862114537444941</v>
      </c>
      <c r="DY78" s="2" t="n">
        <f aca="false">IFERROR((J78-$F78)/$F78*100,"")</f>
        <v>-0.299559471365647</v>
      </c>
      <c r="DZ78" s="2" t="n">
        <f aca="false">IFERROR((K78-$F78)/$F78*100,"")</f>
        <v>1.16585903083701</v>
      </c>
      <c r="EA78" s="2" t="n">
        <f aca="false">IFERROR((L78-$F78)/$F78*100,"")</f>
        <v>1.47775330396476</v>
      </c>
      <c r="EB78" s="2" t="n">
        <f aca="false">IFERROR((M78-$F78)/$F78*100,"")</f>
        <v>0.450220264317172</v>
      </c>
      <c r="EC78" s="2" t="n">
        <f aca="false">IFERROR((N78-$F78)/$F78*100,"")</f>
        <v>1.63590308370045</v>
      </c>
      <c r="ED78" s="2" t="n">
        <f aca="false">IFERROR((O78-$F78)/$F78*100,"")</f>
        <v>1.44405286343613</v>
      </c>
      <c r="EE78" s="2" t="n">
        <f aca="false">IFERROR((P78-$F78)/$F78*100,"")</f>
        <v>0.0180616740088042</v>
      </c>
      <c r="EF78" s="2" t="n">
        <f aca="false">IFERROR((Q78-$F78)/$F78*100,"")</f>
        <v>-0.475550660792955</v>
      </c>
      <c r="EG78" s="2" t="str">
        <f aca="false">IF(DV78="","",IF(AND(ABS(DV78)&lt;=0.25,$E78="Bottom",DK78="LL"),"EQL",IF(AND(ABS(DV78)&lt;=0.25,$E78="Peak",DK78="HH"),"EQH","")))</f>
        <v/>
      </c>
      <c r="EH78" s="2" t="str">
        <f aca="false">IF(DW78="","",IF(AND(ABS(DW78)&lt;=0.25,$E78="Bottom",DL78="LL"),"EQL",IF(AND(ABS(DW78)&lt;=0.25,$E78="Peak",DL78="HH"),"EQH","")))</f>
        <v/>
      </c>
      <c r="EI78" s="2" t="str">
        <f aca="false">IF(DX78="","",IF(AND(ABS(DX78)&lt;=0.25,$E78="Bottom",DM78="LL"),"EQL",IF(AND(ABS(DX78)&lt;=0.25,$E78="Peak",DM78="HH"),"EQH","")))</f>
        <v/>
      </c>
      <c r="EJ78" s="2" t="str">
        <f aca="false">IF(DY78="","",IF(AND(ABS(DY78)&lt;=0.25,$E78="Bottom",DN78="LL"),"EQL",IF(AND(ABS(DY78)&lt;=0.25,$E78="Peak",DN78="HH"),"EQH","")))</f>
        <v/>
      </c>
      <c r="EK78" s="2" t="str">
        <f aca="false">IF(DZ78="","",IF(AND(ABS(DZ78)&lt;=0.25,$E78="Bottom",DO78="LL"),"EQL",IF(AND(ABS(DZ78)&lt;=0.25,$E78="Peak",DO78="HH"),"EQH","")))</f>
        <v/>
      </c>
      <c r="EL78" s="2" t="str">
        <f aca="false">IF(EA78="","",IF(AND(ABS(EA78)&lt;=0.25,$E78="Bottom",DP78="LL"),"EQL",IF(AND(ABS(EA78)&lt;=0.25,$E78="Peak",DP78="HH"),"EQH","")))</f>
        <v/>
      </c>
      <c r="EM78" s="2" t="str">
        <f aca="false">IF(EB78="","",IF(AND(ABS(EB78)&lt;=0.25,$E78="Bottom",DQ78="LL"),"EQL",IF(AND(ABS(EB78)&lt;=0.25,$E78="Peak",DQ78="HH"),"EQH","")))</f>
        <v/>
      </c>
      <c r="EN78" s="2" t="str">
        <f aca="false">IF(EC78="","",IF(AND(ABS(EC78)&lt;=0.25,$E78="Bottom",DR78="LL"),"EQL",IF(AND(ABS(EC78)&lt;=0.25,$E78="Peak",DR78="HH"),"EQH","")))</f>
        <v/>
      </c>
      <c r="EO78" s="2" t="str">
        <f aca="false">IF(ED78="","",IF(AND(ABS(ED78)&lt;=0.25,$E78="Bottom",DS78="LL"),"EQL",IF(AND(ABS(ED78)&lt;=0.25,$E78="Peak",DS78="HH"),"EQH","")))</f>
        <v/>
      </c>
      <c r="EP78" s="2" t="str">
        <f aca="false">IF(EE78="","",IF(AND(ABS(EE78)&lt;=0.25,$E78="Bottom",DT78="LL"),"EQL",IF(AND(ABS(EE78)&lt;=0.25,$E78="Peak",DT78="HH"),"EQH","")))</f>
        <v/>
      </c>
      <c r="EQ78" s="2" t="str">
        <f aca="false">IF(EF78="","",IF(AND(ABS(EF78)&lt;=0.25,$E78="Bottom",DU78="LL"),"EQL",IF(AND(ABS(EF78)&lt;=0.25,$E78="Peak",DU78="HH"),"EQH","")))</f>
        <v/>
      </c>
      <c r="ER78" s="2" t="str">
        <f aca="false">IF(OR(EG78="EQL",EG78="EQH"),G78,"")</f>
        <v/>
      </c>
      <c r="ES78" s="2" t="str">
        <f aca="false">IF(OR(EH78="EQL",EH78="EQH"),H78,"")</f>
        <v/>
      </c>
      <c r="ET78" s="2" t="str">
        <f aca="false">IF(OR(EI78="EQL",EI78="EQH"),I78,"")</f>
        <v/>
      </c>
      <c r="EU78" s="2" t="str">
        <f aca="false">IF(OR(EJ78="EQL",EJ78="EQH"),J78,"")</f>
        <v/>
      </c>
      <c r="EV78" s="2" t="str">
        <f aca="false">IF(OR(EK78="EQL",EK78="EQH"),K78,"")</f>
        <v/>
      </c>
      <c r="EW78" s="2" t="str">
        <f aca="false">IF(OR(EL78="EQL",EL78="EQH"),L78,"")</f>
        <v/>
      </c>
      <c r="EX78" s="2" t="str">
        <f aca="false">IF(OR(EM78="EQL",EM78="EQH"),M78,"")</f>
        <v/>
      </c>
      <c r="EY78" s="2" t="str">
        <f aca="false">IF(OR(EN78="EQL",EN78="EQH"),N78,"")</f>
        <v/>
      </c>
      <c r="EZ78" s="2" t="str">
        <f aca="false">IF(OR(EO78="EQL",EO78="EQH"),O78,"")</f>
        <v/>
      </c>
      <c r="FA78" s="2" t="str">
        <f aca="false">IF(OR(EP78="EQL",EP78="EQH"),P78,"")</f>
        <v/>
      </c>
      <c r="FB78" s="2" t="str">
        <f aca="false">IF(OR(EQ78="EQL",EQ78="EQH"),Q78,"")</f>
        <v/>
      </c>
      <c r="FC78" s="2" t="str">
        <f aca="false">IF(AND(EG78="EQL",OR(AQ78=4,AQ78=5)),"IEQL",IF(AND(EG78="EQH",OR(AQ78=1,AQ78=2)),"IEQH",""))</f>
        <v/>
      </c>
      <c r="FD78" s="2" t="str">
        <f aca="false">IF(AND(EH78="EQL",OR(AR78=4,AR78=5)),"IEQL",IF(AND(EH78="EQH",OR(AR78=1,AR78=2)),"IEQH",""))</f>
        <v/>
      </c>
      <c r="FE78" s="2" t="str">
        <f aca="false">IF(AND(EI78="EQL",OR(AS78=4,AS78=5)),"IEQL",IF(AND(EI78="EQH",OR(AS78=1,AS78=2)),"IEQH",""))</f>
        <v/>
      </c>
      <c r="FF78" s="2" t="str">
        <f aca="false">IF(AND(EJ78="EQL",OR(AT78=4,AT78=5)),"IEQL",IF(AND(EJ78="EQH",OR(AT78=1,AT78=2)),"IEQH",""))</f>
        <v/>
      </c>
      <c r="FG78" s="2" t="str">
        <f aca="false">IF(AND(EK78="EQL",OR(AU78=4,AU78=5)),"IEQL",IF(AND(EK78="EQH",OR(AU78=1,AU78=2)),"IEQH",""))</f>
        <v/>
      </c>
      <c r="FH78" s="2" t="str">
        <f aca="false">IF(AND(EL78="EQL",OR(AV78=4,AV78=5)),"IEQL",IF(AND(EL78="EQH",OR(AV78=1,AV78=2)),"IEQH",""))</f>
        <v/>
      </c>
      <c r="FI78" s="2" t="str">
        <f aca="false">IF(AND(EM78="EQL",OR(AW78=4,AW78=5)),"IEQL",IF(AND(EM78="EQH",OR(AW78=1,AW78=2)),"IEQH",""))</f>
        <v/>
      </c>
      <c r="FJ78" s="2" t="str">
        <f aca="false">IF(AND(EN78="EQL",OR(AX78=4,AX78=5)),"IEQL",IF(AND(EN78="EQH",OR(AX78=1,AX78=2)),"IEQH",""))</f>
        <v/>
      </c>
      <c r="FK78" s="2" t="str">
        <f aca="false">IF(AND(EO78="EQL",OR(AY78=4,AY78=5)),"IEQL",IF(AND(EO78="EQH",OR(AY78=1,AY78=2)),"IEQH",""))</f>
        <v/>
      </c>
      <c r="FL78" s="2" t="str">
        <f aca="false">IF(AND(EP78="EQL",OR(AZ78=4,AZ78=5)),"IEQL",IF(AND(EP78="EQH",OR(AZ78=1,AZ78=2)),"IEQH",""))</f>
        <v/>
      </c>
      <c r="FM78" s="2" t="str">
        <f aca="false">IF(AND(EQ78="EQL",OR(BA78=4,BA78=5)),"IEQL",IF(AND(EQ78="EQH",OR(BA78=1,BA78=2)),"IEQH",""))</f>
        <v/>
      </c>
    </row>
    <row r="79" customFormat="false" ht="14.25" hidden="false" customHeight="false" outlineLevel="0" collapsed="false">
      <c r="A79" s="1" t="n">
        <v>1777990502</v>
      </c>
      <c r="B79" s="1" t="s">
        <v>169</v>
      </c>
      <c r="C79" s="1" t="s">
        <v>170</v>
      </c>
      <c r="D79" s="1" t="n">
        <v>4584.37</v>
      </c>
      <c r="E79" s="1" t="s">
        <v>173</v>
      </c>
      <c r="F79" s="1" t="n">
        <v>4586.56</v>
      </c>
      <c r="G79" s="2" t="n">
        <f aca="false">F77</f>
        <v>4560.53</v>
      </c>
      <c r="H79" s="2" t="n">
        <f aca="false">F75</f>
        <v>4546.78</v>
      </c>
      <c r="I79" s="2" t="n">
        <f aca="false">F73</f>
        <v>4528.57</v>
      </c>
      <c r="J79" s="2" t="n">
        <f aca="false">F71</f>
        <v>4583.16</v>
      </c>
      <c r="K79" s="2" t="n">
        <f aca="false">F69</f>
        <v>4618.59</v>
      </c>
      <c r="L79" s="2" t="n">
        <f aca="false">F67</f>
        <v>4632.11</v>
      </c>
      <c r="M79" s="2" t="n">
        <f aca="false">F65</f>
        <v>4660.32</v>
      </c>
      <c r="N79" s="2" t="n">
        <f aca="false">F63</f>
        <v>4635.83</v>
      </c>
      <c r="O79" s="2" t="n">
        <f aca="false">F61</f>
        <v>4634.14</v>
      </c>
      <c r="P79" s="2" t="n">
        <f aca="false">F59</f>
        <v>4647.1</v>
      </c>
      <c r="Q79" s="2" t="n">
        <f aca="false">F57</f>
        <v>4582.32</v>
      </c>
      <c r="R79" s="1" t="n">
        <v>46.56</v>
      </c>
      <c r="S79" s="2" t="n">
        <f aca="false">R77</f>
        <v>32.64</v>
      </c>
      <c r="T79" s="2" t="n">
        <f aca="false">R75</f>
        <v>33.22</v>
      </c>
      <c r="U79" s="2" t="n">
        <f aca="false">R73</f>
        <v>27.71</v>
      </c>
      <c r="V79" s="2" t="n">
        <f aca="false">R71</f>
        <v>56.76</v>
      </c>
      <c r="W79" s="2" t="n">
        <f aca="false">R69</f>
        <v>25.66</v>
      </c>
      <c r="X79" s="2" t="n">
        <f aca="false">R67</f>
        <v>25.02</v>
      </c>
      <c r="Y79" s="2" t="n">
        <f aca="false">R65</f>
        <v>99.88</v>
      </c>
      <c r="Z79" s="2" t="n">
        <f aca="false">R63</f>
        <v>21.56</v>
      </c>
      <c r="AA79" s="2" t="n">
        <f aca="false">R61</f>
        <v>28.58</v>
      </c>
      <c r="AB79" s="2" t="n">
        <f aca="false">R59</f>
        <v>106.28</v>
      </c>
      <c r="AC79" s="2" t="n">
        <f aca="false">R57</f>
        <v>63.91</v>
      </c>
      <c r="AD79" s="1" t="n">
        <v>1.03</v>
      </c>
      <c r="AE79" s="2" t="n">
        <f aca="false">AD77</f>
        <v>0.72</v>
      </c>
      <c r="AF79" s="2" t="n">
        <f aca="false">AD75</f>
        <v>0.74</v>
      </c>
      <c r="AG79" s="2" t="n">
        <f aca="false">AD73</f>
        <v>0.62</v>
      </c>
      <c r="AH79" s="2" t="n">
        <f aca="false">AD71</f>
        <v>1.25</v>
      </c>
      <c r="AI79" s="2" t="n">
        <f aca="false">AD69</f>
        <v>0.56</v>
      </c>
      <c r="AJ79" s="2" t="n">
        <f aca="false">AD67</f>
        <v>0.54</v>
      </c>
      <c r="AK79" s="2" t="n">
        <f aca="false">AD65</f>
        <v>2.19</v>
      </c>
      <c r="AL79" s="2" t="n">
        <f aca="false">AD63</f>
        <v>0.47</v>
      </c>
      <c r="AM79" s="2" t="n">
        <f aca="false">AD61</f>
        <v>0.62</v>
      </c>
      <c r="AN79" s="2" t="n">
        <f aca="false">AD59</f>
        <v>2.34</v>
      </c>
      <c r="AO79" s="2" t="n">
        <f aca="false">AD57</f>
        <v>1.41</v>
      </c>
      <c r="AP79" s="1" t="n">
        <v>0</v>
      </c>
      <c r="AQ79" s="2" t="n">
        <f aca="false">AP77</f>
        <v>0</v>
      </c>
      <c r="AR79" s="2" t="n">
        <f aca="false">AP75</f>
        <v>0</v>
      </c>
      <c r="AS79" s="2" t="n">
        <f aca="false">AP73</f>
        <v>0</v>
      </c>
      <c r="AT79" s="2" t="n">
        <f aca="false">AP71</f>
        <v>0</v>
      </c>
      <c r="AU79" s="2" t="n">
        <f aca="false">AP69</f>
        <v>0</v>
      </c>
      <c r="AV79" s="2" t="n">
        <f aca="false">AP67</f>
        <v>0</v>
      </c>
      <c r="AW79" s="2" t="n">
        <f aca="false">AP65</f>
        <v>1</v>
      </c>
      <c r="AX79" s="2" t="n">
        <f aca="false">AP63</f>
        <v>0</v>
      </c>
      <c r="AY79" s="2" t="n">
        <f aca="false">AP61</f>
        <v>0</v>
      </c>
      <c r="AZ79" s="2" t="n">
        <f aca="false">AP59</f>
        <v>1</v>
      </c>
      <c r="BA79" s="2" t="n">
        <f aca="false">AP57</f>
        <v>0</v>
      </c>
      <c r="BB79" s="1" t="n">
        <v>13</v>
      </c>
      <c r="BC79" s="2" t="n">
        <f aca="false">BB77</f>
        <v>18</v>
      </c>
      <c r="BD79" s="2" t="n">
        <f aca="false">BB75</f>
        <v>10</v>
      </c>
      <c r="BE79" s="2" t="n">
        <f aca="false">BB73</f>
        <v>28</v>
      </c>
      <c r="BF79" s="2" t="n">
        <f aca="false">BB71</f>
        <v>17</v>
      </c>
      <c r="BG79" s="2" t="n">
        <f aca="false">BB69</f>
        <v>2</v>
      </c>
      <c r="BH79" s="2" t="n">
        <f aca="false">BB67</f>
        <v>4</v>
      </c>
      <c r="BI79" s="2" t="n">
        <f aca="false">BB65</f>
        <v>18</v>
      </c>
      <c r="BJ79" s="2" t="n">
        <f aca="false">BB63</f>
        <v>4</v>
      </c>
      <c r="BK79" s="2" t="n">
        <f aca="false">BB61</f>
        <v>23</v>
      </c>
      <c r="BL79" s="2" t="n">
        <f aca="false">BB59</f>
        <v>24</v>
      </c>
      <c r="BM79" s="2" t="n">
        <f aca="false">BB57</f>
        <v>24</v>
      </c>
      <c r="BN79" s="1" t="n">
        <v>0</v>
      </c>
      <c r="BO79" s="2" t="n">
        <f aca="false">BN77</f>
        <v>0</v>
      </c>
      <c r="BP79" s="2" t="n">
        <f aca="false">BN75</f>
        <v>0</v>
      </c>
      <c r="BQ79" s="2" t="n">
        <f aca="false">BN73</f>
        <v>0</v>
      </c>
      <c r="BR79" s="2" t="n">
        <f aca="false">BN71</f>
        <v>0</v>
      </c>
      <c r="BS79" s="2" t="n">
        <f aca="false">BN69</f>
        <v>0</v>
      </c>
      <c r="BT79" s="2" t="n">
        <f aca="false">BN67</f>
        <v>0</v>
      </c>
      <c r="BU79" s="2" t="n">
        <f aca="false">BN65</f>
        <v>0</v>
      </c>
      <c r="BV79" s="2" t="n">
        <f aca="false">BN63</f>
        <v>0</v>
      </c>
      <c r="BW79" s="2" t="n">
        <f aca="false">BN61</f>
        <v>0</v>
      </c>
      <c r="BX79" s="2" t="n">
        <f aca="false">BN59</f>
        <v>0</v>
      </c>
      <c r="BY79" s="2" t="n">
        <f aca="false">BN57</f>
        <v>0</v>
      </c>
      <c r="BZ79" s="1" t="n">
        <v>3.58154</v>
      </c>
      <c r="CA79" s="2" t="n">
        <f aca="false">BZ77</f>
        <v>1.81333</v>
      </c>
      <c r="CB79" s="2" t="n">
        <f aca="false">BZ75</f>
        <v>3.322</v>
      </c>
      <c r="CC79" s="2" t="n">
        <f aca="false">BZ73</f>
        <v>0.98964</v>
      </c>
      <c r="CD79" s="2" t="n">
        <f aca="false">BZ71</f>
        <v>3.33882</v>
      </c>
      <c r="CE79" s="2" t="n">
        <f aca="false">BZ69</f>
        <v>12.83</v>
      </c>
      <c r="CF79" s="2" t="n">
        <f aca="false">BZ67</f>
        <v>6.255</v>
      </c>
      <c r="CG79" s="2" t="n">
        <f aca="false">BZ65</f>
        <v>5.54889</v>
      </c>
      <c r="CH79" s="2" t="n">
        <f aca="false">BZ63</f>
        <v>5.39</v>
      </c>
      <c r="CI79" s="2" t="n">
        <f aca="false">BZ61</f>
        <v>1.24261</v>
      </c>
      <c r="CJ79" s="2" t="n">
        <f aca="false">BZ59</f>
        <v>4.42833</v>
      </c>
      <c r="CK79" s="2" t="n">
        <f aca="false">BZ57</f>
        <v>2.66292</v>
      </c>
      <c r="CL79" s="1" t="n">
        <v>0</v>
      </c>
      <c r="CM79" s="2" t="n">
        <f aca="false">CL77</f>
        <v>0</v>
      </c>
      <c r="CN79" s="2" t="n">
        <f aca="false">CL75</f>
        <v>0</v>
      </c>
      <c r="CO79" s="2" t="n">
        <f aca="false">CL73</f>
        <v>0</v>
      </c>
      <c r="CP79" s="2" t="n">
        <f aca="false">CL71</f>
        <v>0</v>
      </c>
      <c r="CQ79" s="2" t="n">
        <f aca="false">CL69</f>
        <v>0</v>
      </c>
      <c r="CR79" s="2" t="n">
        <f aca="false">CL67</f>
        <v>0</v>
      </c>
      <c r="CS79" s="2" t="n">
        <f aca="false">CL65</f>
        <v>0</v>
      </c>
      <c r="CT79" s="2" t="n">
        <f aca="false">CL63</f>
        <v>0</v>
      </c>
      <c r="CU79" s="2" t="n">
        <f aca="false">CL61</f>
        <v>0</v>
      </c>
      <c r="CV79" s="2" t="n">
        <f aca="false">CL59</f>
        <v>0</v>
      </c>
      <c r="CW79" s="2" t="n">
        <f aca="false">CL57</f>
        <v>0</v>
      </c>
      <c r="CX79" s="1" t="n">
        <v>74.3998</v>
      </c>
      <c r="CY79" s="2" t="n">
        <f aca="false">CX77</f>
        <v>61.1246</v>
      </c>
      <c r="CZ79" s="2" t="n">
        <f aca="false">CX75</f>
        <v>73.247</v>
      </c>
      <c r="DA79" s="2" t="n">
        <f aca="false">CX73</f>
        <v>44.7017</v>
      </c>
      <c r="DB79" s="2" t="n">
        <f aca="false">CX71</f>
        <v>73.3267</v>
      </c>
      <c r="DC79" s="2" t="n">
        <f aca="false">CX69</f>
        <v>85.5432</v>
      </c>
      <c r="DD79" s="2" t="n">
        <f aca="false">CX67</f>
        <v>80.9169</v>
      </c>
      <c r="DE79" s="2" t="n">
        <f aca="false">CX65</f>
        <v>79.784</v>
      </c>
      <c r="DF79" s="2" t="n">
        <f aca="false">CX63</f>
        <v>79.4895</v>
      </c>
      <c r="DG79" s="2" t="n">
        <f aca="false">CX61</f>
        <v>51.1743</v>
      </c>
      <c r="DH79" s="2" t="n">
        <f aca="false">CX59</f>
        <v>77.275</v>
      </c>
      <c r="DI79" s="2" t="n">
        <f aca="false">CX57</f>
        <v>69.4174</v>
      </c>
      <c r="DJ79" s="1" t="s">
        <v>176</v>
      </c>
      <c r="DK79" s="2" t="str">
        <f aca="false">DJ77</f>
        <v>HH</v>
      </c>
      <c r="DL79" s="2" t="str">
        <f aca="false">DJ75</f>
        <v>HH</v>
      </c>
      <c r="DM79" s="2" t="str">
        <f aca="false">DJ73</f>
        <v>LH</v>
      </c>
      <c r="DN79" s="2" t="str">
        <f aca="false">DJ71</f>
        <v>LH</v>
      </c>
      <c r="DO79" s="2" t="str">
        <f aca="false">DJ69</f>
        <v>LH</v>
      </c>
      <c r="DP79" s="2" t="str">
        <f aca="false">DJ67</f>
        <v>LH</v>
      </c>
      <c r="DQ79" s="2" t="str">
        <f aca="false">DJ65</f>
        <v>HH</v>
      </c>
      <c r="DR79" s="2" t="str">
        <f aca="false">DJ63</f>
        <v>HH</v>
      </c>
      <c r="DS79" s="2" t="str">
        <f aca="false">DJ61</f>
        <v>LH</v>
      </c>
      <c r="DT79" s="2" t="str">
        <f aca="false">DJ59</f>
        <v>HH</v>
      </c>
      <c r="DU79" s="2" t="str">
        <f aca="false">DJ57</f>
        <v>HH</v>
      </c>
      <c r="DV79" s="2" t="n">
        <f aca="false">IFERROR((G79-$F79)/$F79*100,"")</f>
        <v>-0.567527733203112</v>
      </c>
      <c r="DW79" s="2" t="n">
        <f aca="false">IFERROR((H79-$F79)/$F79*100,"")</f>
        <v>-0.867316681783311</v>
      </c>
      <c r="DX79" s="2" t="n">
        <f aca="false">IFERROR((I79-$F79)/$F79*100,"")</f>
        <v>-1.26434626386662</v>
      </c>
      <c r="DY79" s="2" t="n">
        <f aca="false">IFERROR((J79-$F79)/$F79*100,"")</f>
        <v>-0.0741296309216612</v>
      </c>
      <c r="DZ79" s="2" t="n">
        <f aca="false">IFERROR((K79-$F79)/$F79*100,"")</f>
        <v>0.698344728947179</v>
      </c>
      <c r="EA79" s="2" t="n">
        <f aca="false">IFERROR((L79-$F79)/$F79*100,"")</f>
        <v>0.993119026023845</v>
      </c>
      <c r="EB79" s="2" t="n">
        <f aca="false">IFERROR((M79-$F79)/$F79*100,"")</f>
        <v>1.6081769343473</v>
      </c>
      <c r="EC79" s="2" t="n">
        <f aca="false">IFERROR((N79-$F79)/$F79*100,"")</f>
        <v>1.07422556338518</v>
      </c>
      <c r="ED79" s="2" t="n">
        <f aca="false">IFERROR((O79-$F79)/$F79*100,"")</f>
        <v>1.03737877625061</v>
      </c>
      <c r="EE79" s="2" t="n">
        <f aca="false">IFERROR((P79-$F79)/$F79*100,"")</f>
        <v>1.31994348705784</v>
      </c>
      <c r="EF79" s="2" t="n">
        <f aca="false">IFERROR((Q79-$F79)/$F79*100,"")</f>
        <v>-0.0924440103258366</v>
      </c>
      <c r="EG79" s="2" t="str">
        <f aca="false">IF(DV79="","",IF(AND(ABS(DV79)&lt;=0.25,$E79="Bottom",DK79="LL"),"EQL",IF(AND(ABS(DV79)&lt;=0.25,$E79="Peak",DK79="HH"),"EQH","")))</f>
        <v/>
      </c>
      <c r="EH79" s="2" t="str">
        <f aca="false">IF(DW79="","",IF(AND(ABS(DW79)&lt;=0.25,$E79="Bottom",DL79="LL"),"EQL",IF(AND(ABS(DW79)&lt;=0.25,$E79="Peak",DL79="HH"),"EQH","")))</f>
        <v/>
      </c>
      <c r="EI79" s="2" t="str">
        <f aca="false">IF(DX79="","",IF(AND(ABS(DX79)&lt;=0.25,$E79="Bottom",DM79="LL"),"EQL",IF(AND(ABS(DX79)&lt;=0.25,$E79="Peak",DM79="HH"),"EQH","")))</f>
        <v/>
      </c>
      <c r="EJ79" s="2" t="str">
        <f aca="false">IF(DY79="","",IF(AND(ABS(DY79)&lt;=0.25,$E79="Bottom",DN79="LL"),"EQL",IF(AND(ABS(DY79)&lt;=0.25,$E79="Peak",DN79="HH"),"EQH","")))</f>
        <v/>
      </c>
      <c r="EK79" s="2" t="str">
        <f aca="false">IF(DZ79="","",IF(AND(ABS(DZ79)&lt;=0.25,$E79="Bottom",DO79="LL"),"EQL",IF(AND(ABS(DZ79)&lt;=0.25,$E79="Peak",DO79="HH"),"EQH","")))</f>
        <v/>
      </c>
      <c r="EL79" s="2" t="str">
        <f aca="false">IF(EA79="","",IF(AND(ABS(EA79)&lt;=0.25,$E79="Bottom",DP79="LL"),"EQL",IF(AND(ABS(EA79)&lt;=0.25,$E79="Peak",DP79="HH"),"EQH","")))</f>
        <v/>
      </c>
      <c r="EM79" s="2" t="str">
        <f aca="false">IF(EB79="","",IF(AND(ABS(EB79)&lt;=0.25,$E79="Bottom",DQ79="LL"),"EQL",IF(AND(ABS(EB79)&lt;=0.25,$E79="Peak",DQ79="HH"),"EQH","")))</f>
        <v/>
      </c>
      <c r="EN79" s="2" t="str">
        <f aca="false">IF(EC79="","",IF(AND(ABS(EC79)&lt;=0.25,$E79="Bottom",DR79="LL"),"EQL",IF(AND(ABS(EC79)&lt;=0.25,$E79="Peak",DR79="HH"),"EQH","")))</f>
        <v/>
      </c>
      <c r="EO79" s="2" t="str">
        <f aca="false">IF(ED79="","",IF(AND(ABS(ED79)&lt;=0.25,$E79="Bottom",DS79="LL"),"EQL",IF(AND(ABS(ED79)&lt;=0.25,$E79="Peak",DS79="HH"),"EQH","")))</f>
        <v/>
      </c>
      <c r="EP79" s="2" t="str">
        <f aca="false">IF(EE79="","",IF(AND(ABS(EE79)&lt;=0.25,$E79="Bottom",DT79="LL"),"EQL",IF(AND(ABS(EE79)&lt;=0.25,$E79="Peak",DT79="HH"),"EQH","")))</f>
        <v/>
      </c>
      <c r="EQ79" s="2" t="str">
        <f aca="false">IF(EF79="","",IF(AND(ABS(EF79)&lt;=0.25,$E79="Bottom",DU79="LL"),"EQL",IF(AND(ABS(EF79)&lt;=0.25,$E79="Peak",DU79="HH"),"EQH","")))</f>
        <v>EQH</v>
      </c>
      <c r="ER79" s="2" t="str">
        <f aca="false">IF(OR(EG79="EQL",EG79="EQH"),G79,"")</f>
        <v/>
      </c>
      <c r="ES79" s="2" t="str">
        <f aca="false">IF(OR(EH79="EQL",EH79="EQH"),H79,"")</f>
        <v/>
      </c>
      <c r="ET79" s="2" t="str">
        <f aca="false">IF(OR(EI79="EQL",EI79="EQH"),I79,"")</f>
        <v/>
      </c>
      <c r="EU79" s="2" t="str">
        <f aca="false">IF(OR(EJ79="EQL",EJ79="EQH"),J79,"")</f>
        <v/>
      </c>
      <c r="EV79" s="2" t="str">
        <f aca="false">IF(OR(EK79="EQL",EK79="EQH"),K79,"")</f>
        <v/>
      </c>
      <c r="EW79" s="2" t="str">
        <f aca="false">IF(OR(EL79="EQL",EL79="EQH"),L79,"")</f>
        <v/>
      </c>
      <c r="EX79" s="2" t="str">
        <f aca="false">IF(OR(EM79="EQL",EM79="EQH"),M79,"")</f>
        <v/>
      </c>
      <c r="EY79" s="2" t="str">
        <f aca="false">IF(OR(EN79="EQL",EN79="EQH"),N79,"")</f>
        <v/>
      </c>
      <c r="EZ79" s="2" t="str">
        <f aca="false">IF(OR(EO79="EQL",EO79="EQH"),O79,"")</f>
        <v/>
      </c>
      <c r="FA79" s="2" t="str">
        <f aca="false">IF(OR(EP79="EQL",EP79="EQH"),P79,"")</f>
        <v/>
      </c>
      <c r="FB79" s="2" t="n">
        <f aca="false">IF(OR(EQ79="EQL",EQ79="EQH"),Q79,"")</f>
        <v>4582.32</v>
      </c>
      <c r="FC79" s="2" t="str">
        <f aca="false">IF(AND(EG79="EQL",OR(AQ79=4,AQ79=5)),"IEQL",IF(AND(EG79="EQH",OR(AQ79=1,AQ79=2)),"IEQH",""))</f>
        <v/>
      </c>
      <c r="FD79" s="2" t="str">
        <f aca="false">IF(AND(EH79="EQL",OR(AR79=4,AR79=5)),"IEQL",IF(AND(EH79="EQH",OR(AR79=1,AR79=2)),"IEQH",""))</f>
        <v/>
      </c>
      <c r="FE79" s="2" t="str">
        <f aca="false">IF(AND(EI79="EQL",OR(AS79=4,AS79=5)),"IEQL",IF(AND(EI79="EQH",OR(AS79=1,AS79=2)),"IEQH",""))</f>
        <v/>
      </c>
      <c r="FF79" s="2" t="str">
        <f aca="false">IF(AND(EJ79="EQL",OR(AT79=4,AT79=5)),"IEQL",IF(AND(EJ79="EQH",OR(AT79=1,AT79=2)),"IEQH",""))</f>
        <v/>
      </c>
      <c r="FG79" s="2" t="str">
        <f aca="false">IF(AND(EK79="EQL",OR(AU79=4,AU79=5)),"IEQL",IF(AND(EK79="EQH",OR(AU79=1,AU79=2)),"IEQH",""))</f>
        <v/>
      </c>
      <c r="FH79" s="2" t="str">
        <f aca="false">IF(AND(EL79="EQL",OR(AV79=4,AV79=5)),"IEQL",IF(AND(EL79="EQH",OR(AV79=1,AV79=2)),"IEQH",""))</f>
        <v/>
      </c>
      <c r="FI79" s="2" t="str">
        <f aca="false">IF(AND(EM79="EQL",OR(AW79=4,AW79=5)),"IEQL",IF(AND(EM79="EQH",OR(AW79=1,AW79=2)),"IEQH",""))</f>
        <v/>
      </c>
      <c r="FJ79" s="2" t="str">
        <f aca="false">IF(AND(EN79="EQL",OR(AX79=4,AX79=5)),"IEQL",IF(AND(EN79="EQH",OR(AX79=1,AX79=2)),"IEQH",""))</f>
        <v/>
      </c>
      <c r="FK79" s="2" t="str">
        <f aca="false">IF(AND(EO79="EQL",OR(AY79=4,AY79=5)),"IEQL",IF(AND(EO79="EQH",OR(AY79=1,AY79=2)),"IEQH",""))</f>
        <v/>
      </c>
      <c r="FL79" s="2" t="str">
        <f aca="false">IF(AND(EP79="EQL",OR(AZ79=4,AZ79=5)),"IEQL",IF(AND(EP79="EQH",OR(AZ79=1,AZ79=2)),"IEQH",""))</f>
        <v/>
      </c>
      <c r="FM79" s="2" t="str">
        <f aca="false">IF(AND(EQ79="EQL",OR(BA79=4,BA79=5)),"IEQL",IF(AND(EQ79="EQH",OR(BA79=1,BA79=2)),"IEQH",""))</f>
        <v/>
      </c>
    </row>
    <row r="80" customFormat="false" ht="14.25" hidden="false" customHeight="false" outlineLevel="0" collapsed="false">
      <c r="A80" s="1" t="n">
        <v>1778020202</v>
      </c>
      <c r="B80" s="1" t="s">
        <v>169</v>
      </c>
      <c r="C80" s="1" t="s">
        <v>170</v>
      </c>
      <c r="D80" s="1" t="n">
        <v>4548.82</v>
      </c>
      <c r="E80" s="1" t="s">
        <v>171</v>
      </c>
      <c r="F80" s="1" t="n">
        <v>4546.31</v>
      </c>
      <c r="G80" s="2" t="n">
        <f aca="false">F78</f>
        <v>4540</v>
      </c>
      <c r="H80" s="2" t="n">
        <f aca="false">F76</f>
        <v>4527.89</v>
      </c>
      <c r="I80" s="2" t="n">
        <f aca="false">F74</f>
        <v>4513.56</v>
      </c>
      <c r="J80" s="2" t="n">
        <f aca="false">F72</f>
        <v>4500.86</v>
      </c>
      <c r="K80" s="2" t="n">
        <f aca="false">F70</f>
        <v>4526.4</v>
      </c>
      <c r="L80" s="2" t="n">
        <f aca="false">F68</f>
        <v>4592.93</v>
      </c>
      <c r="M80" s="2" t="n">
        <f aca="false">F66</f>
        <v>4607.09</v>
      </c>
      <c r="N80" s="2" t="n">
        <f aca="false">F64</f>
        <v>4560.44</v>
      </c>
      <c r="O80" s="2" t="n">
        <f aca="false">F62</f>
        <v>4614.27</v>
      </c>
      <c r="P80" s="2" t="n">
        <f aca="false">F60</f>
        <v>4605.56</v>
      </c>
      <c r="Q80" s="2" t="n">
        <f aca="false">F58</f>
        <v>4540.82</v>
      </c>
      <c r="R80" s="1" t="n">
        <v>-40.25</v>
      </c>
      <c r="S80" s="2" t="n">
        <f aca="false">R78</f>
        <v>-20.53</v>
      </c>
      <c r="T80" s="2" t="n">
        <f aca="false">R76</f>
        <v>-18.89</v>
      </c>
      <c r="U80" s="2" t="n">
        <f aca="false">R74</f>
        <v>-15.01</v>
      </c>
      <c r="V80" s="2" t="n">
        <f aca="false">R72</f>
        <v>-82.3</v>
      </c>
      <c r="W80" s="2" t="n">
        <f aca="false">R70</f>
        <v>-92.19</v>
      </c>
      <c r="X80" s="2" t="n">
        <f aca="false">R68</f>
        <v>-39.18</v>
      </c>
      <c r="Y80" s="2" t="n">
        <f aca="false">R66</f>
        <v>-53.23</v>
      </c>
      <c r="Z80" s="2" t="n">
        <f aca="false">R64</f>
        <v>-75.39</v>
      </c>
      <c r="AA80" s="2" t="n">
        <f aca="false">R62</f>
        <v>-19.87</v>
      </c>
      <c r="AB80" s="2" t="n">
        <f aca="false">R60</f>
        <v>-41.54</v>
      </c>
      <c r="AC80" s="2" t="n">
        <f aca="false">R58</f>
        <v>-41.5</v>
      </c>
      <c r="AD80" s="1" t="n">
        <v>-0.88</v>
      </c>
      <c r="AE80" s="2" t="n">
        <f aca="false">AD78</f>
        <v>-0.45</v>
      </c>
      <c r="AF80" s="2" t="n">
        <f aca="false">AD76</f>
        <v>-0.42</v>
      </c>
      <c r="AG80" s="2" t="n">
        <f aca="false">AD74</f>
        <v>-0.33</v>
      </c>
      <c r="AH80" s="2" t="n">
        <f aca="false">AD72</f>
        <v>-1.8</v>
      </c>
      <c r="AI80" s="2" t="n">
        <f aca="false">AD70</f>
        <v>-2</v>
      </c>
      <c r="AJ80" s="2" t="n">
        <f aca="false">AD68</f>
        <v>-0.85</v>
      </c>
      <c r="AK80" s="2" t="n">
        <f aca="false">AD66</f>
        <v>-1.14</v>
      </c>
      <c r="AL80" s="2" t="n">
        <f aca="false">AD64</f>
        <v>-1.63</v>
      </c>
      <c r="AM80" s="2" t="n">
        <f aca="false">AD62</f>
        <v>-0.43</v>
      </c>
      <c r="AN80" s="2" t="n">
        <f aca="false">AD60</f>
        <v>-0.89</v>
      </c>
      <c r="AO80" s="2" t="n">
        <f aca="false">AD58</f>
        <v>-0.91</v>
      </c>
      <c r="AP80" s="1" t="n">
        <v>3</v>
      </c>
      <c r="AQ80" s="2" t="n">
        <f aca="false">AP78</f>
        <v>3</v>
      </c>
      <c r="AR80" s="2" t="n">
        <f aca="false">AP76</f>
        <v>3</v>
      </c>
      <c r="AS80" s="2" t="n">
        <f aca="false">AP74</f>
        <v>3</v>
      </c>
      <c r="AT80" s="2" t="n">
        <f aca="false">AP72</f>
        <v>3</v>
      </c>
      <c r="AU80" s="2" t="n">
        <f aca="false">AP70</f>
        <v>4</v>
      </c>
      <c r="AV80" s="2" t="n">
        <f aca="false">AP68</f>
        <v>3</v>
      </c>
      <c r="AW80" s="2" t="n">
        <f aca="false">AP66</f>
        <v>3</v>
      </c>
      <c r="AX80" s="2" t="n">
        <f aca="false">AP64</f>
        <v>3</v>
      </c>
      <c r="AY80" s="2" t="n">
        <f aca="false">AP62</f>
        <v>3</v>
      </c>
      <c r="AZ80" s="2" t="n">
        <f aca="false">AP60</f>
        <v>3</v>
      </c>
      <c r="BA80" s="2" t="n">
        <f aca="false">AP58</f>
        <v>3</v>
      </c>
      <c r="BB80" s="1" t="n">
        <v>29</v>
      </c>
      <c r="BC80" s="2" t="n">
        <f aca="false">BB78</f>
        <v>8</v>
      </c>
      <c r="BD80" s="2" t="n">
        <f aca="false">BB76</f>
        <v>7</v>
      </c>
      <c r="BE80" s="2" t="n">
        <f aca="false">BB74</f>
        <v>1</v>
      </c>
      <c r="BF80" s="2" t="n">
        <f aca="false">BB72</f>
        <v>6</v>
      </c>
      <c r="BG80" s="2" t="n">
        <f aca="false">BB70</f>
        <v>33</v>
      </c>
      <c r="BH80" s="2" t="n">
        <f aca="false">BB68</f>
        <v>14</v>
      </c>
      <c r="BI80" s="2" t="n">
        <f aca="false">BB66</f>
        <v>23</v>
      </c>
      <c r="BJ80" s="2" t="n">
        <f aca="false">BB64</f>
        <v>30</v>
      </c>
      <c r="BK80" s="2" t="n">
        <f aca="false">BB62</f>
        <v>7</v>
      </c>
      <c r="BL80" s="2" t="n">
        <f aca="false">BB60</f>
        <v>25</v>
      </c>
      <c r="BM80" s="2" t="n">
        <f aca="false">BB58</f>
        <v>11</v>
      </c>
      <c r="BN80" s="1" t="n">
        <v>3</v>
      </c>
      <c r="BO80" s="2" t="n">
        <f aca="false">BN78</f>
        <v>3</v>
      </c>
      <c r="BP80" s="2" t="n">
        <f aca="false">BN76</f>
        <v>3</v>
      </c>
      <c r="BQ80" s="2" t="n">
        <f aca="false">BN74</f>
        <v>3</v>
      </c>
      <c r="BR80" s="2" t="n">
        <f aca="false">BN72</f>
        <v>3</v>
      </c>
      <c r="BS80" s="2" t="n">
        <f aca="false">BN70</f>
        <v>3</v>
      </c>
      <c r="BT80" s="2" t="n">
        <f aca="false">BN68</f>
        <v>3</v>
      </c>
      <c r="BU80" s="2" t="n">
        <f aca="false">BN66</f>
        <v>3</v>
      </c>
      <c r="BV80" s="2" t="n">
        <f aca="false">BN64</f>
        <v>3</v>
      </c>
      <c r="BW80" s="2" t="n">
        <f aca="false">BN62</f>
        <v>3</v>
      </c>
      <c r="BX80" s="2" t="n">
        <f aca="false">BN60</f>
        <v>3</v>
      </c>
      <c r="BY80" s="2" t="n">
        <f aca="false">BN58</f>
        <v>3</v>
      </c>
      <c r="BZ80" s="1" t="n">
        <v>-1.38793</v>
      </c>
      <c r="CA80" s="2" t="n">
        <f aca="false">BZ78</f>
        <v>-2.56625</v>
      </c>
      <c r="CB80" s="2" t="n">
        <f aca="false">BZ76</f>
        <v>-2.69857</v>
      </c>
      <c r="CC80" s="2" t="n">
        <f aca="false">BZ74</f>
        <v>-15.01</v>
      </c>
      <c r="CD80" s="2" t="n">
        <f aca="false">BZ72</f>
        <v>-13.71667</v>
      </c>
      <c r="CE80" s="2" t="n">
        <f aca="false">BZ70</f>
        <v>-2.79364</v>
      </c>
      <c r="CF80" s="2" t="n">
        <f aca="false">BZ68</f>
        <v>-2.79857</v>
      </c>
      <c r="CG80" s="2" t="n">
        <f aca="false">BZ66</f>
        <v>-2.31435</v>
      </c>
      <c r="CH80" s="2" t="n">
        <f aca="false">BZ64</f>
        <v>-2.513</v>
      </c>
      <c r="CI80" s="2" t="n">
        <f aca="false">BZ62</f>
        <v>-2.83857</v>
      </c>
      <c r="CJ80" s="2" t="n">
        <f aca="false">BZ60</f>
        <v>-1.6616</v>
      </c>
      <c r="CK80" s="2" t="n">
        <f aca="false">BZ58</f>
        <v>-3.77273</v>
      </c>
      <c r="CL80" s="1" t="n">
        <v>3</v>
      </c>
      <c r="CM80" s="2" t="n">
        <f aca="false">CL78</f>
        <v>3</v>
      </c>
      <c r="CN80" s="2" t="n">
        <f aca="false">CL76</f>
        <v>3</v>
      </c>
      <c r="CO80" s="2" t="n">
        <f aca="false">CL74</f>
        <v>5</v>
      </c>
      <c r="CP80" s="2" t="n">
        <f aca="false">CL72</f>
        <v>5</v>
      </c>
      <c r="CQ80" s="2" t="n">
        <f aca="false">CL70</f>
        <v>3</v>
      </c>
      <c r="CR80" s="2" t="n">
        <f aca="false">CL68</f>
        <v>3</v>
      </c>
      <c r="CS80" s="2" t="n">
        <f aca="false">CL66</f>
        <v>3</v>
      </c>
      <c r="CT80" s="2" t="n">
        <f aca="false">CL64</f>
        <v>3</v>
      </c>
      <c r="CU80" s="2" t="n">
        <f aca="false">CL62</f>
        <v>3</v>
      </c>
      <c r="CV80" s="2" t="n">
        <f aca="false">CL60</f>
        <v>3</v>
      </c>
      <c r="CW80" s="2" t="n">
        <f aca="false">CL58</f>
        <v>3</v>
      </c>
      <c r="CX80" s="1" t="n">
        <v>-54.2274</v>
      </c>
      <c r="CY80" s="2" t="n">
        <f aca="false">CX78</f>
        <v>-68.7104</v>
      </c>
      <c r="CZ80" s="2" t="n">
        <f aca="false">CX76</f>
        <v>-69.667</v>
      </c>
      <c r="DA80" s="2" t="n">
        <f aca="false">CX74</f>
        <v>-86.1885</v>
      </c>
      <c r="DB80" s="2" t="n">
        <f aca="false">CX72</f>
        <v>-85.8303</v>
      </c>
      <c r="DC80" s="2" t="n">
        <f aca="false">CX70</f>
        <v>-70.3048</v>
      </c>
      <c r="DD80" s="2" t="n">
        <f aca="false">CX68</f>
        <v>-70.3369</v>
      </c>
      <c r="DE80" s="2" t="n">
        <f aca="false">CX66</f>
        <v>-66.6314</v>
      </c>
      <c r="DF80" s="2" t="n">
        <f aca="false">CX64</f>
        <v>-68.3009</v>
      </c>
      <c r="DG80" s="2" t="n">
        <f aca="false">CX62</f>
        <v>-70.5932</v>
      </c>
      <c r="DH80" s="2" t="n">
        <f aca="false">CX60</f>
        <v>-58.9592</v>
      </c>
      <c r="DI80" s="2" t="n">
        <f aca="false">CX58</f>
        <v>-75.1545</v>
      </c>
      <c r="DJ80" s="1" t="s">
        <v>175</v>
      </c>
      <c r="DK80" s="2" t="str">
        <f aca="false">DJ78</f>
        <v>HL</v>
      </c>
      <c r="DL80" s="2" t="str">
        <f aca="false">DJ76</f>
        <v>HL</v>
      </c>
      <c r="DM80" s="2" t="str">
        <f aca="false">DJ74</f>
        <v>HL</v>
      </c>
      <c r="DN80" s="2" t="str">
        <f aca="false">DJ72</f>
        <v>LL</v>
      </c>
      <c r="DO80" s="2" t="str">
        <f aca="false">DJ70</f>
        <v>LL</v>
      </c>
      <c r="DP80" s="2" t="str">
        <f aca="false">DJ68</f>
        <v>LL</v>
      </c>
      <c r="DQ80" s="2" t="str">
        <f aca="false">DJ66</f>
        <v>HL</v>
      </c>
      <c r="DR80" s="2" t="str">
        <f aca="false">DJ64</f>
        <v>LL</v>
      </c>
      <c r="DS80" s="2" t="str">
        <f aca="false">DJ62</f>
        <v>HL</v>
      </c>
      <c r="DT80" s="2" t="str">
        <f aca="false">DJ60</f>
        <v>HL</v>
      </c>
      <c r="DU80" s="2" t="str">
        <f aca="false">DJ58</f>
        <v>HL</v>
      </c>
      <c r="DV80" s="2" t="n">
        <f aca="false">IFERROR((G80-$F80)/$F80*100,"")</f>
        <v>-0.138793878991983</v>
      </c>
      <c r="DW80" s="2" t="n">
        <f aca="false">IFERROR((H80-$F80)/$F80*100,"")</f>
        <v>-0.405163748182594</v>
      </c>
      <c r="DX80" s="2" t="n">
        <f aca="false">IFERROR((I80-$F80)/$F80*100,"")</f>
        <v>-0.720364427414761</v>
      </c>
      <c r="DY80" s="2" t="n">
        <f aca="false">IFERROR((J80-$F80)/$F80*100,"")</f>
        <v>-0.99971185422905</v>
      </c>
      <c r="DZ80" s="2" t="n">
        <f aca="false">IFERROR((K80-$F80)/$F80*100,"")</f>
        <v>-0.437937580147433</v>
      </c>
      <c r="EA80" s="2" t="n">
        <f aca="false">IFERROR((L80-$F80)/$F80*100,"")</f>
        <v>1.02544701087255</v>
      </c>
      <c r="EB80" s="2" t="n">
        <f aca="false">IFERROR((M80-$F80)/$F80*100,"")</f>
        <v>1.33690839384027</v>
      </c>
      <c r="EC80" s="2" t="n">
        <f aca="false">IFERROR((N80-$F80)/$F80*100,"")</f>
        <v>0.310801507156336</v>
      </c>
      <c r="ED80" s="2" t="n">
        <f aca="false">IFERROR((O80-$F80)/$F80*100,"")</f>
        <v>1.49483867136205</v>
      </c>
      <c r="EE80" s="2" t="n">
        <f aca="false">IFERROR((P80-$F80)/$F80*100,"")</f>
        <v>1.30325472746029</v>
      </c>
      <c r="EF80" s="2" t="n">
        <f aca="false">IFERROR((Q80-$F80)/$F80*100,"")</f>
        <v>-0.120757273481146</v>
      </c>
      <c r="EG80" s="2" t="str">
        <f aca="false">IF(DV80="","",IF(AND(ABS(DV80)&lt;=0.25,$E80="Bottom",DK80="LL"),"EQL",IF(AND(ABS(DV80)&lt;=0.25,$E80="Peak",DK80="HH"),"EQH","")))</f>
        <v/>
      </c>
      <c r="EH80" s="2" t="str">
        <f aca="false">IF(DW80="","",IF(AND(ABS(DW80)&lt;=0.25,$E80="Bottom",DL80="LL"),"EQL",IF(AND(ABS(DW80)&lt;=0.25,$E80="Peak",DL80="HH"),"EQH","")))</f>
        <v/>
      </c>
      <c r="EI80" s="2" t="str">
        <f aca="false">IF(DX80="","",IF(AND(ABS(DX80)&lt;=0.25,$E80="Bottom",DM80="LL"),"EQL",IF(AND(ABS(DX80)&lt;=0.25,$E80="Peak",DM80="HH"),"EQH","")))</f>
        <v/>
      </c>
      <c r="EJ80" s="2" t="str">
        <f aca="false">IF(DY80="","",IF(AND(ABS(DY80)&lt;=0.25,$E80="Bottom",DN80="LL"),"EQL",IF(AND(ABS(DY80)&lt;=0.25,$E80="Peak",DN80="HH"),"EQH","")))</f>
        <v/>
      </c>
      <c r="EK80" s="2" t="str">
        <f aca="false">IF(DZ80="","",IF(AND(ABS(DZ80)&lt;=0.25,$E80="Bottom",DO80="LL"),"EQL",IF(AND(ABS(DZ80)&lt;=0.25,$E80="Peak",DO80="HH"),"EQH","")))</f>
        <v/>
      </c>
      <c r="EL80" s="2" t="str">
        <f aca="false">IF(EA80="","",IF(AND(ABS(EA80)&lt;=0.25,$E80="Bottom",DP80="LL"),"EQL",IF(AND(ABS(EA80)&lt;=0.25,$E80="Peak",DP80="HH"),"EQH","")))</f>
        <v/>
      </c>
      <c r="EM80" s="2" t="str">
        <f aca="false">IF(EB80="","",IF(AND(ABS(EB80)&lt;=0.25,$E80="Bottom",DQ80="LL"),"EQL",IF(AND(ABS(EB80)&lt;=0.25,$E80="Peak",DQ80="HH"),"EQH","")))</f>
        <v/>
      </c>
      <c r="EN80" s="2" t="str">
        <f aca="false">IF(EC80="","",IF(AND(ABS(EC80)&lt;=0.25,$E80="Bottom",DR80="LL"),"EQL",IF(AND(ABS(EC80)&lt;=0.25,$E80="Peak",DR80="HH"),"EQH","")))</f>
        <v/>
      </c>
      <c r="EO80" s="2" t="str">
        <f aca="false">IF(ED80="","",IF(AND(ABS(ED80)&lt;=0.25,$E80="Bottom",DS80="LL"),"EQL",IF(AND(ABS(ED80)&lt;=0.25,$E80="Peak",DS80="HH"),"EQH","")))</f>
        <v/>
      </c>
      <c r="EP80" s="2" t="str">
        <f aca="false">IF(EE80="","",IF(AND(ABS(EE80)&lt;=0.25,$E80="Bottom",DT80="LL"),"EQL",IF(AND(ABS(EE80)&lt;=0.25,$E80="Peak",DT80="HH"),"EQH","")))</f>
        <v/>
      </c>
      <c r="EQ80" s="2" t="str">
        <f aca="false">IF(EF80="","",IF(AND(ABS(EF80)&lt;=0.25,$E80="Bottom",DU80="LL"),"EQL",IF(AND(ABS(EF80)&lt;=0.25,$E80="Peak",DU80="HH"),"EQH","")))</f>
        <v/>
      </c>
      <c r="ER80" s="2" t="str">
        <f aca="false">IF(OR(EG80="EQL",EG80="EQH"),G80,"")</f>
        <v/>
      </c>
      <c r="ES80" s="2" t="str">
        <f aca="false">IF(OR(EH80="EQL",EH80="EQH"),H80,"")</f>
        <v/>
      </c>
      <c r="ET80" s="2" t="str">
        <f aca="false">IF(OR(EI80="EQL",EI80="EQH"),I80,"")</f>
        <v/>
      </c>
      <c r="EU80" s="2" t="str">
        <f aca="false">IF(OR(EJ80="EQL",EJ80="EQH"),J80,"")</f>
        <v/>
      </c>
      <c r="EV80" s="2" t="str">
        <f aca="false">IF(OR(EK80="EQL",EK80="EQH"),K80,"")</f>
        <v/>
      </c>
      <c r="EW80" s="2" t="str">
        <f aca="false">IF(OR(EL80="EQL",EL80="EQH"),L80,"")</f>
        <v/>
      </c>
      <c r="EX80" s="2" t="str">
        <f aca="false">IF(OR(EM80="EQL",EM80="EQH"),M80,"")</f>
        <v/>
      </c>
      <c r="EY80" s="2" t="str">
        <f aca="false">IF(OR(EN80="EQL",EN80="EQH"),N80,"")</f>
        <v/>
      </c>
      <c r="EZ80" s="2" t="str">
        <f aca="false">IF(OR(EO80="EQL",EO80="EQH"),O80,"")</f>
        <v/>
      </c>
      <c r="FA80" s="2" t="str">
        <f aca="false">IF(OR(EP80="EQL",EP80="EQH"),P80,"")</f>
        <v/>
      </c>
      <c r="FB80" s="2" t="str">
        <f aca="false">IF(OR(EQ80="EQL",EQ80="EQH"),Q80,"")</f>
        <v/>
      </c>
      <c r="FC80" s="2" t="str">
        <f aca="false">IF(AND(EG80="EQL",OR(AQ80=4,AQ80=5)),"IEQL",IF(AND(EG80="EQH",OR(AQ80=1,AQ80=2)),"IEQH",""))</f>
        <v/>
      </c>
      <c r="FD80" s="2" t="str">
        <f aca="false">IF(AND(EH80="EQL",OR(AR80=4,AR80=5)),"IEQL",IF(AND(EH80="EQH",OR(AR80=1,AR80=2)),"IEQH",""))</f>
        <v/>
      </c>
      <c r="FE80" s="2" t="str">
        <f aca="false">IF(AND(EI80="EQL",OR(AS80=4,AS80=5)),"IEQL",IF(AND(EI80="EQH",OR(AS80=1,AS80=2)),"IEQH",""))</f>
        <v/>
      </c>
      <c r="FF80" s="2" t="str">
        <f aca="false">IF(AND(EJ80="EQL",OR(AT80=4,AT80=5)),"IEQL",IF(AND(EJ80="EQH",OR(AT80=1,AT80=2)),"IEQH",""))</f>
        <v/>
      </c>
      <c r="FG80" s="2" t="str">
        <f aca="false">IF(AND(EK80="EQL",OR(AU80=4,AU80=5)),"IEQL",IF(AND(EK80="EQH",OR(AU80=1,AU80=2)),"IEQH",""))</f>
        <v/>
      </c>
      <c r="FH80" s="2" t="str">
        <f aca="false">IF(AND(EL80="EQL",OR(AV80=4,AV80=5)),"IEQL",IF(AND(EL80="EQH",OR(AV80=1,AV80=2)),"IEQH",""))</f>
        <v/>
      </c>
      <c r="FI80" s="2" t="str">
        <f aca="false">IF(AND(EM80="EQL",OR(AW80=4,AW80=5)),"IEQL",IF(AND(EM80="EQH",OR(AW80=1,AW80=2)),"IEQH",""))</f>
        <v/>
      </c>
      <c r="FJ80" s="2" t="str">
        <f aca="false">IF(AND(EN80="EQL",OR(AX80=4,AX80=5)),"IEQL",IF(AND(EN80="EQH",OR(AX80=1,AX80=2)),"IEQH",""))</f>
        <v/>
      </c>
      <c r="FK80" s="2" t="str">
        <f aca="false">IF(AND(EO80="EQL",OR(AY80=4,AY80=5)),"IEQL",IF(AND(EO80="EQH",OR(AY80=1,AY80=2)),"IEQH",""))</f>
        <v/>
      </c>
      <c r="FL80" s="2" t="str">
        <f aca="false">IF(AND(EP80="EQL",OR(AZ80=4,AZ80=5)),"IEQL",IF(AND(EP80="EQH",OR(AZ80=1,AZ80=2)),"IEQH",""))</f>
        <v/>
      </c>
      <c r="FM80" s="2" t="str">
        <f aca="false">IF(AND(EQ80="EQL",OR(BA80=4,BA80=5)),"IEQL",IF(AND(EQ80="EQH",OR(BA80=1,BA80=2)),"IEQH",""))</f>
        <v/>
      </c>
    </row>
    <row r="81" customFormat="false" ht="14.25" hidden="false" customHeight="false" outlineLevel="0" collapsed="false">
      <c r="A81" s="1" t="n">
        <v>1778064302</v>
      </c>
      <c r="B81" s="1" t="s">
        <v>169</v>
      </c>
      <c r="C81" s="1" t="s">
        <v>170</v>
      </c>
      <c r="D81" s="1" t="n">
        <v>4718.25</v>
      </c>
      <c r="E81" s="1" t="s">
        <v>173</v>
      </c>
      <c r="F81" s="1" t="n">
        <v>4722.76</v>
      </c>
      <c r="G81" s="2" t="n">
        <f aca="false">F79</f>
        <v>4586.56</v>
      </c>
      <c r="H81" s="2" t="n">
        <f aca="false">F77</f>
        <v>4560.53</v>
      </c>
      <c r="I81" s="2" t="n">
        <f aca="false">F75</f>
        <v>4546.78</v>
      </c>
      <c r="J81" s="2" t="n">
        <f aca="false">F73</f>
        <v>4528.57</v>
      </c>
      <c r="K81" s="2" t="n">
        <f aca="false">F71</f>
        <v>4583.16</v>
      </c>
      <c r="L81" s="2" t="n">
        <f aca="false">F69</f>
        <v>4618.59</v>
      </c>
      <c r="M81" s="2" t="n">
        <f aca="false">F67</f>
        <v>4632.11</v>
      </c>
      <c r="N81" s="2" t="n">
        <f aca="false">F65</f>
        <v>4660.32</v>
      </c>
      <c r="O81" s="2" t="n">
        <f aca="false">F63</f>
        <v>4635.83</v>
      </c>
      <c r="P81" s="2" t="n">
        <f aca="false">F61</f>
        <v>4634.14</v>
      </c>
      <c r="Q81" s="2" t="n">
        <f aca="false">F59</f>
        <v>4647.1</v>
      </c>
      <c r="R81" s="1" t="n">
        <v>176.45</v>
      </c>
      <c r="S81" s="2" t="n">
        <f aca="false">R79</f>
        <v>46.56</v>
      </c>
      <c r="T81" s="2" t="n">
        <f aca="false">R77</f>
        <v>32.64</v>
      </c>
      <c r="U81" s="2" t="n">
        <f aca="false">R75</f>
        <v>33.22</v>
      </c>
      <c r="V81" s="2" t="n">
        <f aca="false">R73</f>
        <v>27.71</v>
      </c>
      <c r="W81" s="2" t="n">
        <f aca="false">R71</f>
        <v>56.76</v>
      </c>
      <c r="X81" s="2" t="n">
        <f aca="false">R69</f>
        <v>25.66</v>
      </c>
      <c r="Y81" s="2" t="n">
        <f aca="false">R67</f>
        <v>25.02</v>
      </c>
      <c r="Z81" s="2" t="n">
        <f aca="false">R65</f>
        <v>99.88</v>
      </c>
      <c r="AA81" s="2" t="n">
        <f aca="false">R63</f>
        <v>21.56</v>
      </c>
      <c r="AB81" s="2" t="n">
        <f aca="false">R61</f>
        <v>28.58</v>
      </c>
      <c r="AC81" s="2" t="n">
        <f aca="false">R59</f>
        <v>106.28</v>
      </c>
      <c r="AD81" s="1" t="n">
        <v>3.88</v>
      </c>
      <c r="AE81" s="2" t="n">
        <f aca="false">AD79</f>
        <v>1.03</v>
      </c>
      <c r="AF81" s="2" t="n">
        <f aca="false">AD77</f>
        <v>0.72</v>
      </c>
      <c r="AG81" s="2" t="n">
        <f aca="false">AD75</f>
        <v>0.74</v>
      </c>
      <c r="AH81" s="2" t="n">
        <f aca="false">AD73</f>
        <v>0.62</v>
      </c>
      <c r="AI81" s="2" t="n">
        <f aca="false">AD71</f>
        <v>1.25</v>
      </c>
      <c r="AJ81" s="2" t="n">
        <f aca="false">AD69</f>
        <v>0.56</v>
      </c>
      <c r="AK81" s="2" t="n">
        <f aca="false">AD67</f>
        <v>0.54</v>
      </c>
      <c r="AL81" s="2" t="n">
        <f aca="false">AD65</f>
        <v>2.19</v>
      </c>
      <c r="AM81" s="2" t="n">
        <f aca="false">AD63</f>
        <v>0.47</v>
      </c>
      <c r="AN81" s="2" t="n">
        <f aca="false">AD61</f>
        <v>0.62</v>
      </c>
      <c r="AO81" s="2" t="n">
        <f aca="false">AD59</f>
        <v>2.34</v>
      </c>
      <c r="AP81" s="1" t="n">
        <v>2</v>
      </c>
      <c r="AQ81" s="2" t="n">
        <f aca="false">AP79</f>
        <v>0</v>
      </c>
      <c r="AR81" s="2" t="n">
        <f aca="false">AP77</f>
        <v>0</v>
      </c>
      <c r="AS81" s="2" t="n">
        <f aca="false">AP75</f>
        <v>0</v>
      </c>
      <c r="AT81" s="2" t="n">
        <f aca="false">AP73</f>
        <v>0</v>
      </c>
      <c r="AU81" s="2" t="n">
        <f aca="false">AP71</f>
        <v>0</v>
      </c>
      <c r="AV81" s="2" t="n">
        <f aca="false">AP69</f>
        <v>0</v>
      </c>
      <c r="AW81" s="2" t="n">
        <f aca="false">AP67</f>
        <v>0</v>
      </c>
      <c r="AX81" s="2" t="n">
        <f aca="false">AP65</f>
        <v>1</v>
      </c>
      <c r="AY81" s="2" t="n">
        <f aca="false">AP63</f>
        <v>0</v>
      </c>
      <c r="AZ81" s="2" t="n">
        <f aca="false">AP61</f>
        <v>0</v>
      </c>
      <c r="BA81" s="2" t="n">
        <f aca="false">AP59</f>
        <v>1</v>
      </c>
      <c r="BB81" s="1" t="n">
        <v>49</v>
      </c>
      <c r="BC81" s="2" t="n">
        <f aca="false">BB79</f>
        <v>13</v>
      </c>
      <c r="BD81" s="2" t="n">
        <f aca="false">BB77</f>
        <v>18</v>
      </c>
      <c r="BE81" s="2" t="n">
        <f aca="false">BB75</f>
        <v>10</v>
      </c>
      <c r="BF81" s="2" t="n">
        <f aca="false">BB73</f>
        <v>28</v>
      </c>
      <c r="BG81" s="2" t="n">
        <f aca="false">BB71</f>
        <v>17</v>
      </c>
      <c r="BH81" s="2" t="n">
        <f aca="false">BB69</f>
        <v>2</v>
      </c>
      <c r="BI81" s="2" t="n">
        <f aca="false">BB67</f>
        <v>4</v>
      </c>
      <c r="BJ81" s="2" t="n">
        <f aca="false">BB65</f>
        <v>18</v>
      </c>
      <c r="BK81" s="2" t="n">
        <f aca="false">BB63</f>
        <v>4</v>
      </c>
      <c r="BL81" s="2" t="n">
        <f aca="false">BB61</f>
        <v>23</v>
      </c>
      <c r="BM81" s="2" t="n">
        <f aca="false">BB59</f>
        <v>24</v>
      </c>
      <c r="BN81" s="1" t="n">
        <v>2</v>
      </c>
      <c r="BO81" s="2" t="n">
        <f aca="false">BN79</f>
        <v>0</v>
      </c>
      <c r="BP81" s="2" t="n">
        <f aca="false">BN77</f>
        <v>0</v>
      </c>
      <c r="BQ81" s="2" t="n">
        <f aca="false">BN75</f>
        <v>0</v>
      </c>
      <c r="BR81" s="2" t="n">
        <f aca="false">BN73</f>
        <v>0</v>
      </c>
      <c r="BS81" s="2" t="n">
        <f aca="false">BN71</f>
        <v>0</v>
      </c>
      <c r="BT81" s="2" t="n">
        <f aca="false">BN69</f>
        <v>0</v>
      </c>
      <c r="BU81" s="2" t="n">
        <f aca="false">BN67</f>
        <v>0</v>
      </c>
      <c r="BV81" s="2" t="n">
        <f aca="false">BN65</f>
        <v>0</v>
      </c>
      <c r="BW81" s="2" t="n">
        <f aca="false">BN63</f>
        <v>0</v>
      </c>
      <c r="BX81" s="2" t="n">
        <f aca="false">BN61</f>
        <v>0</v>
      </c>
      <c r="BY81" s="2" t="n">
        <f aca="false">BN59</f>
        <v>0</v>
      </c>
      <c r="BZ81" s="1" t="n">
        <v>3.60102</v>
      </c>
      <c r="CA81" s="2" t="n">
        <f aca="false">BZ79</f>
        <v>3.58154</v>
      </c>
      <c r="CB81" s="2" t="n">
        <f aca="false">BZ77</f>
        <v>1.81333</v>
      </c>
      <c r="CC81" s="2" t="n">
        <f aca="false">BZ75</f>
        <v>3.322</v>
      </c>
      <c r="CD81" s="2" t="n">
        <f aca="false">BZ73</f>
        <v>0.98964</v>
      </c>
      <c r="CE81" s="2" t="n">
        <f aca="false">BZ71</f>
        <v>3.33882</v>
      </c>
      <c r="CF81" s="2" t="n">
        <f aca="false">BZ69</f>
        <v>12.83</v>
      </c>
      <c r="CG81" s="2" t="n">
        <f aca="false">BZ67</f>
        <v>6.255</v>
      </c>
      <c r="CH81" s="2" t="n">
        <f aca="false">BZ65</f>
        <v>5.54889</v>
      </c>
      <c r="CI81" s="2" t="n">
        <f aca="false">BZ63</f>
        <v>5.39</v>
      </c>
      <c r="CJ81" s="2" t="n">
        <f aca="false">BZ61</f>
        <v>1.24261</v>
      </c>
      <c r="CK81" s="2" t="n">
        <f aca="false">BZ59</f>
        <v>4.42833</v>
      </c>
      <c r="CL81" s="1" t="n">
        <v>0</v>
      </c>
      <c r="CM81" s="2" t="n">
        <f aca="false">CL79</f>
        <v>0</v>
      </c>
      <c r="CN81" s="2" t="n">
        <f aca="false">CL77</f>
        <v>0</v>
      </c>
      <c r="CO81" s="2" t="n">
        <f aca="false">CL75</f>
        <v>0</v>
      </c>
      <c r="CP81" s="2" t="n">
        <f aca="false">CL73</f>
        <v>0</v>
      </c>
      <c r="CQ81" s="2" t="n">
        <f aca="false">CL71</f>
        <v>0</v>
      </c>
      <c r="CR81" s="2" t="n">
        <f aca="false">CL69</f>
        <v>0</v>
      </c>
      <c r="CS81" s="2" t="n">
        <f aca="false">CL67</f>
        <v>0</v>
      </c>
      <c r="CT81" s="2" t="n">
        <f aca="false">CL65</f>
        <v>0</v>
      </c>
      <c r="CU81" s="2" t="n">
        <f aca="false">CL63</f>
        <v>0</v>
      </c>
      <c r="CV81" s="2" t="n">
        <f aca="false">CL61</f>
        <v>0</v>
      </c>
      <c r="CW81" s="2" t="n">
        <f aca="false">CL59</f>
        <v>0</v>
      </c>
      <c r="CX81" s="1" t="n">
        <v>74.4801</v>
      </c>
      <c r="CY81" s="2" t="n">
        <f aca="false">CX79</f>
        <v>74.3998</v>
      </c>
      <c r="CZ81" s="2" t="n">
        <f aca="false">CX77</f>
        <v>61.1246</v>
      </c>
      <c r="DA81" s="2" t="n">
        <f aca="false">CX75</f>
        <v>73.247</v>
      </c>
      <c r="DB81" s="2" t="n">
        <f aca="false">CX73</f>
        <v>44.7017</v>
      </c>
      <c r="DC81" s="2" t="n">
        <f aca="false">CX71</f>
        <v>73.3267</v>
      </c>
      <c r="DD81" s="2" t="n">
        <f aca="false">CX69</f>
        <v>85.5432</v>
      </c>
      <c r="DE81" s="2" t="n">
        <f aca="false">CX67</f>
        <v>80.9169</v>
      </c>
      <c r="DF81" s="2" t="n">
        <f aca="false">CX65</f>
        <v>79.784</v>
      </c>
      <c r="DG81" s="2" t="n">
        <f aca="false">CX63</f>
        <v>79.4895</v>
      </c>
      <c r="DH81" s="2" t="n">
        <f aca="false">CX61</f>
        <v>51.1743</v>
      </c>
      <c r="DI81" s="2" t="n">
        <f aca="false">CX59</f>
        <v>77.275</v>
      </c>
      <c r="DJ81" s="1" t="s">
        <v>176</v>
      </c>
      <c r="DK81" s="2" t="str">
        <f aca="false">DJ79</f>
        <v>HH</v>
      </c>
      <c r="DL81" s="2" t="str">
        <f aca="false">DJ77</f>
        <v>HH</v>
      </c>
      <c r="DM81" s="2" t="str">
        <f aca="false">DJ75</f>
        <v>HH</v>
      </c>
      <c r="DN81" s="2" t="str">
        <f aca="false">DJ73</f>
        <v>LH</v>
      </c>
      <c r="DO81" s="2" t="str">
        <f aca="false">DJ71</f>
        <v>LH</v>
      </c>
      <c r="DP81" s="2" t="str">
        <f aca="false">DJ69</f>
        <v>LH</v>
      </c>
      <c r="DQ81" s="2" t="str">
        <f aca="false">DJ67</f>
        <v>LH</v>
      </c>
      <c r="DR81" s="2" t="str">
        <f aca="false">DJ65</f>
        <v>HH</v>
      </c>
      <c r="DS81" s="2" t="str">
        <f aca="false">DJ63</f>
        <v>HH</v>
      </c>
      <c r="DT81" s="2" t="str">
        <f aca="false">DJ61</f>
        <v>LH</v>
      </c>
      <c r="DU81" s="2" t="str">
        <f aca="false">DJ59</f>
        <v>HH</v>
      </c>
      <c r="DV81" s="2" t="n">
        <f aca="false">IFERROR((G81-$F81)/$F81*100,"")</f>
        <v>-2.88390686801785</v>
      </c>
      <c r="DW81" s="2" t="n">
        <f aca="false">IFERROR((H81-$F81)/$F81*100,"")</f>
        <v>-3.43506762994521</v>
      </c>
      <c r="DX81" s="2" t="n">
        <f aca="false">IFERROR((I81-$F81)/$F81*100,"")</f>
        <v>-3.72621094444775</v>
      </c>
      <c r="DY81" s="2" t="n">
        <f aca="false">IFERROR((J81-$F81)/$F81*100,"")</f>
        <v>-4.11179056314529</v>
      </c>
      <c r="DZ81" s="2" t="n">
        <f aca="false">IFERROR((K81-$F81)/$F81*100,"")</f>
        <v>-2.95589866942213</v>
      </c>
      <c r="EA81" s="2" t="n">
        <f aca="false">IFERROR((L81-$F81)/$F81*100,"")</f>
        <v>-2.20570175067122</v>
      </c>
      <c r="EB81" s="2" t="n">
        <f aca="false">IFERROR((M81-$F81)/$F81*100,"")</f>
        <v>-1.9194284697931</v>
      </c>
      <c r="EC81" s="2" t="n">
        <f aca="false">IFERROR((N81-$F81)/$F81*100,"")</f>
        <v>-1.32210825873008</v>
      </c>
      <c r="ED81" s="2" t="n">
        <f aca="false">IFERROR((O81-$F81)/$F81*100,"")</f>
        <v>-1.84066096943313</v>
      </c>
      <c r="EE81" s="2" t="n">
        <f aca="false">IFERROR((P81-$F81)/$F81*100,"")</f>
        <v>-1.87644512954289</v>
      </c>
      <c r="EF81" s="2" t="n">
        <f aca="false">IFERROR((Q81-$F81)/$F81*100,"")</f>
        <v>-1.60202932183723</v>
      </c>
      <c r="EG81" s="2" t="str">
        <f aca="false">IF(DV81="","",IF(AND(ABS(DV81)&lt;=0.25,$E81="Bottom",DK81="LL"),"EQL",IF(AND(ABS(DV81)&lt;=0.25,$E81="Peak",DK81="HH"),"EQH","")))</f>
        <v/>
      </c>
      <c r="EH81" s="2" t="str">
        <f aca="false">IF(DW81="","",IF(AND(ABS(DW81)&lt;=0.25,$E81="Bottom",DL81="LL"),"EQL",IF(AND(ABS(DW81)&lt;=0.25,$E81="Peak",DL81="HH"),"EQH","")))</f>
        <v/>
      </c>
      <c r="EI81" s="2" t="str">
        <f aca="false">IF(DX81="","",IF(AND(ABS(DX81)&lt;=0.25,$E81="Bottom",DM81="LL"),"EQL",IF(AND(ABS(DX81)&lt;=0.25,$E81="Peak",DM81="HH"),"EQH","")))</f>
        <v/>
      </c>
      <c r="EJ81" s="2" t="str">
        <f aca="false">IF(DY81="","",IF(AND(ABS(DY81)&lt;=0.25,$E81="Bottom",DN81="LL"),"EQL",IF(AND(ABS(DY81)&lt;=0.25,$E81="Peak",DN81="HH"),"EQH","")))</f>
        <v/>
      </c>
      <c r="EK81" s="2" t="str">
        <f aca="false">IF(DZ81="","",IF(AND(ABS(DZ81)&lt;=0.25,$E81="Bottom",DO81="LL"),"EQL",IF(AND(ABS(DZ81)&lt;=0.25,$E81="Peak",DO81="HH"),"EQH","")))</f>
        <v/>
      </c>
      <c r="EL81" s="2" t="str">
        <f aca="false">IF(EA81="","",IF(AND(ABS(EA81)&lt;=0.25,$E81="Bottom",DP81="LL"),"EQL",IF(AND(ABS(EA81)&lt;=0.25,$E81="Peak",DP81="HH"),"EQH","")))</f>
        <v/>
      </c>
      <c r="EM81" s="2" t="str">
        <f aca="false">IF(EB81="","",IF(AND(ABS(EB81)&lt;=0.25,$E81="Bottom",DQ81="LL"),"EQL",IF(AND(ABS(EB81)&lt;=0.25,$E81="Peak",DQ81="HH"),"EQH","")))</f>
        <v/>
      </c>
      <c r="EN81" s="2" t="str">
        <f aca="false">IF(EC81="","",IF(AND(ABS(EC81)&lt;=0.25,$E81="Bottom",DR81="LL"),"EQL",IF(AND(ABS(EC81)&lt;=0.25,$E81="Peak",DR81="HH"),"EQH","")))</f>
        <v/>
      </c>
      <c r="EO81" s="2" t="str">
        <f aca="false">IF(ED81="","",IF(AND(ABS(ED81)&lt;=0.25,$E81="Bottom",DS81="LL"),"EQL",IF(AND(ABS(ED81)&lt;=0.25,$E81="Peak",DS81="HH"),"EQH","")))</f>
        <v/>
      </c>
      <c r="EP81" s="2" t="str">
        <f aca="false">IF(EE81="","",IF(AND(ABS(EE81)&lt;=0.25,$E81="Bottom",DT81="LL"),"EQL",IF(AND(ABS(EE81)&lt;=0.25,$E81="Peak",DT81="HH"),"EQH","")))</f>
        <v/>
      </c>
      <c r="EQ81" s="2" t="str">
        <f aca="false">IF(EF81="","",IF(AND(ABS(EF81)&lt;=0.25,$E81="Bottom",DU81="LL"),"EQL",IF(AND(ABS(EF81)&lt;=0.25,$E81="Peak",DU81="HH"),"EQH","")))</f>
        <v/>
      </c>
      <c r="ER81" s="2" t="str">
        <f aca="false">IF(OR(EG81="EQL",EG81="EQH"),G81,"")</f>
        <v/>
      </c>
      <c r="ES81" s="2" t="str">
        <f aca="false">IF(OR(EH81="EQL",EH81="EQH"),H81,"")</f>
        <v/>
      </c>
      <c r="ET81" s="2" t="str">
        <f aca="false">IF(OR(EI81="EQL",EI81="EQH"),I81,"")</f>
        <v/>
      </c>
      <c r="EU81" s="2" t="str">
        <f aca="false">IF(OR(EJ81="EQL",EJ81="EQH"),J81,"")</f>
        <v/>
      </c>
      <c r="EV81" s="2" t="str">
        <f aca="false">IF(OR(EK81="EQL",EK81="EQH"),K81,"")</f>
        <v/>
      </c>
      <c r="EW81" s="2" t="str">
        <f aca="false">IF(OR(EL81="EQL",EL81="EQH"),L81,"")</f>
        <v/>
      </c>
      <c r="EX81" s="2" t="str">
        <f aca="false">IF(OR(EM81="EQL",EM81="EQH"),M81,"")</f>
        <v/>
      </c>
      <c r="EY81" s="2" t="str">
        <f aca="false">IF(OR(EN81="EQL",EN81="EQH"),N81,"")</f>
        <v/>
      </c>
      <c r="EZ81" s="2" t="str">
        <f aca="false">IF(OR(EO81="EQL",EO81="EQH"),O81,"")</f>
        <v/>
      </c>
      <c r="FA81" s="2" t="str">
        <f aca="false">IF(OR(EP81="EQL",EP81="EQH"),P81,"")</f>
        <v/>
      </c>
      <c r="FB81" s="2" t="str">
        <f aca="false">IF(OR(EQ81="EQL",EQ81="EQH"),Q81,"")</f>
        <v/>
      </c>
      <c r="FC81" s="2" t="str">
        <f aca="false">IF(AND(EG81="EQL",OR(AQ81=4,AQ81=5)),"IEQL",IF(AND(EG81="EQH",OR(AQ81=1,AQ81=2)),"IEQH",""))</f>
        <v/>
      </c>
      <c r="FD81" s="2" t="str">
        <f aca="false">IF(AND(EH81="EQL",OR(AR81=4,AR81=5)),"IEQL",IF(AND(EH81="EQH",OR(AR81=1,AR81=2)),"IEQH",""))</f>
        <v/>
      </c>
      <c r="FE81" s="2" t="str">
        <f aca="false">IF(AND(EI81="EQL",OR(AS81=4,AS81=5)),"IEQL",IF(AND(EI81="EQH",OR(AS81=1,AS81=2)),"IEQH",""))</f>
        <v/>
      </c>
      <c r="FF81" s="2" t="str">
        <f aca="false">IF(AND(EJ81="EQL",OR(AT81=4,AT81=5)),"IEQL",IF(AND(EJ81="EQH",OR(AT81=1,AT81=2)),"IEQH",""))</f>
        <v/>
      </c>
      <c r="FG81" s="2" t="str">
        <f aca="false">IF(AND(EK81="EQL",OR(AU81=4,AU81=5)),"IEQL",IF(AND(EK81="EQH",OR(AU81=1,AU81=2)),"IEQH",""))</f>
        <v/>
      </c>
      <c r="FH81" s="2" t="str">
        <f aca="false">IF(AND(EL81="EQL",OR(AV81=4,AV81=5)),"IEQL",IF(AND(EL81="EQH",OR(AV81=1,AV81=2)),"IEQH",""))</f>
        <v/>
      </c>
      <c r="FI81" s="2" t="str">
        <f aca="false">IF(AND(EM81="EQL",OR(AW81=4,AW81=5)),"IEQL",IF(AND(EM81="EQH",OR(AW81=1,AW81=2)),"IEQH",""))</f>
        <v/>
      </c>
      <c r="FJ81" s="2" t="str">
        <f aca="false">IF(AND(EN81="EQL",OR(AX81=4,AX81=5)),"IEQL",IF(AND(EN81="EQH",OR(AX81=1,AX81=2)),"IEQH",""))</f>
        <v/>
      </c>
      <c r="FK81" s="2" t="str">
        <f aca="false">IF(AND(EO81="EQL",OR(AY81=4,AY81=5)),"IEQL",IF(AND(EO81="EQH",OR(AY81=1,AY81=2)),"IEQH",""))</f>
        <v/>
      </c>
      <c r="FL81" s="2" t="str">
        <f aca="false">IF(AND(EP81="EQL",OR(AZ81=4,AZ81=5)),"IEQL",IF(AND(EP81="EQH",OR(AZ81=1,AZ81=2)),"IEQH",""))</f>
        <v/>
      </c>
      <c r="FM81" s="2" t="str">
        <f aca="false">IF(AND(EQ81="EQL",OR(BA81=4,BA81=5)),"IEQL",IF(AND(EQ81="EQH",OR(BA81=1,BA81=2)),"IEQH",""))</f>
        <v/>
      </c>
    </row>
    <row r="82" customFormat="false" ht="14.25" hidden="false" customHeight="false" outlineLevel="0" collapsed="false">
      <c r="A82" s="1" t="n">
        <v>1778069702</v>
      </c>
      <c r="B82" s="1" t="s">
        <v>169</v>
      </c>
      <c r="C82" s="1" t="s">
        <v>170</v>
      </c>
      <c r="D82" s="1" t="n">
        <v>4683.36</v>
      </c>
      <c r="E82" s="1" t="s">
        <v>171</v>
      </c>
      <c r="F82" s="1" t="n">
        <v>4660.71</v>
      </c>
      <c r="G82" s="2" t="n">
        <f aca="false">F80</f>
        <v>4546.31</v>
      </c>
      <c r="H82" s="2" t="n">
        <f aca="false">F78</f>
        <v>4540</v>
      </c>
      <c r="I82" s="2" t="n">
        <f aca="false">F76</f>
        <v>4527.89</v>
      </c>
      <c r="J82" s="2" t="n">
        <f aca="false">F74</f>
        <v>4513.56</v>
      </c>
      <c r="K82" s="2" t="n">
        <f aca="false">F72</f>
        <v>4500.86</v>
      </c>
      <c r="L82" s="2" t="n">
        <f aca="false">F70</f>
        <v>4526.4</v>
      </c>
      <c r="M82" s="2" t="n">
        <f aca="false">F68</f>
        <v>4592.93</v>
      </c>
      <c r="N82" s="2" t="n">
        <f aca="false">F66</f>
        <v>4607.09</v>
      </c>
      <c r="O82" s="2" t="n">
        <f aca="false">F64</f>
        <v>4560.44</v>
      </c>
      <c r="P82" s="2" t="n">
        <f aca="false">F62</f>
        <v>4614.27</v>
      </c>
      <c r="Q82" s="2" t="n">
        <f aca="false">F60</f>
        <v>4605.56</v>
      </c>
      <c r="R82" s="1" t="n">
        <v>-62.05</v>
      </c>
      <c r="S82" s="2" t="n">
        <f aca="false">R80</f>
        <v>-40.25</v>
      </c>
      <c r="T82" s="2" t="n">
        <f aca="false">R78</f>
        <v>-20.53</v>
      </c>
      <c r="U82" s="2" t="n">
        <f aca="false">R76</f>
        <v>-18.89</v>
      </c>
      <c r="V82" s="2" t="n">
        <f aca="false">R74</f>
        <v>-15.01</v>
      </c>
      <c r="W82" s="2" t="n">
        <f aca="false">R72</f>
        <v>-82.3</v>
      </c>
      <c r="X82" s="2" t="n">
        <f aca="false">R70</f>
        <v>-92.19</v>
      </c>
      <c r="Y82" s="2" t="n">
        <f aca="false">R68</f>
        <v>-39.18</v>
      </c>
      <c r="Z82" s="2" t="n">
        <f aca="false">R66</f>
        <v>-53.23</v>
      </c>
      <c r="AA82" s="2" t="n">
        <f aca="false">R64</f>
        <v>-75.39</v>
      </c>
      <c r="AB82" s="2" t="n">
        <f aca="false">R62</f>
        <v>-19.87</v>
      </c>
      <c r="AC82" s="2" t="n">
        <f aca="false">R60</f>
        <v>-41.54</v>
      </c>
      <c r="AD82" s="1" t="n">
        <v>-1.31</v>
      </c>
      <c r="AE82" s="2" t="n">
        <f aca="false">AD80</f>
        <v>-0.88</v>
      </c>
      <c r="AF82" s="2" t="n">
        <f aca="false">AD78</f>
        <v>-0.45</v>
      </c>
      <c r="AG82" s="2" t="n">
        <f aca="false">AD76</f>
        <v>-0.42</v>
      </c>
      <c r="AH82" s="2" t="n">
        <f aca="false">AD74</f>
        <v>-0.33</v>
      </c>
      <c r="AI82" s="2" t="n">
        <f aca="false">AD72</f>
        <v>-1.8</v>
      </c>
      <c r="AJ82" s="2" t="n">
        <f aca="false">AD70</f>
        <v>-2</v>
      </c>
      <c r="AK82" s="2" t="n">
        <f aca="false">AD68</f>
        <v>-0.85</v>
      </c>
      <c r="AL82" s="2" t="n">
        <f aca="false">AD66</f>
        <v>-1.14</v>
      </c>
      <c r="AM82" s="2" t="n">
        <f aca="false">AD64</f>
        <v>-1.63</v>
      </c>
      <c r="AN82" s="2" t="n">
        <f aca="false">AD62</f>
        <v>-0.43</v>
      </c>
      <c r="AO82" s="2" t="n">
        <f aca="false">AD60</f>
        <v>-0.89</v>
      </c>
      <c r="AP82" s="1" t="n">
        <v>3</v>
      </c>
      <c r="AQ82" s="2" t="n">
        <f aca="false">AP80</f>
        <v>3</v>
      </c>
      <c r="AR82" s="2" t="n">
        <f aca="false">AP78</f>
        <v>3</v>
      </c>
      <c r="AS82" s="2" t="n">
        <f aca="false">AP76</f>
        <v>3</v>
      </c>
      <c r="AT82" s="2" t="n">
        <f aca="false">AP74</f>
        <v>3</v>
      </c>
      <c r="AU82" s="2" t="n">
        <f aca="false">AP72</f>
        <v>3</v>
      </c>
      <c r="AV82" s="2" t="n">
        <f aca="false">AP70</f>
        <v>4</v>
      </c>
      <c r="AW82" s="2" t="n">
        <f aca="false">AP68</f>
        <v>3</v>
      </c>
      <c r="AX82" s="2" t="n">
        <f aca="false">AP66</f>
        <v>3</v>
      </c>
      <c r="AY82" s="2" t="n">
        <f aca="false">AP64</f>
        <v>3</v>
      </c>
      <c r="AZ82" s="2" t="n">
        <f aca="false">AP62</f>
        <v>3</v>
      </c>
      <c r="BA82" s="2" t="n">
        <f aca="false">AP60</f>
        <v>3</v>
      </c>
      <c r="BB82" s="1" t="n">
        <v>6</v>
      </c>
      <c r="BC82" s="2" t="n">
        <f aca="false">BB80</f>
        <v>29</v>
      </c>
      <c r="BD82" s="2" t="n">
        <f aca="false">BB78</f>
        <v>8</v>
      </c>
      <c r="BE82" s="2" t="n">
        <f aca="false">BB76</f>
        <v>7</v>
      </c>
      <c r="BF82" s="2" t="n">
        <f aca="false">BB74</f>
        <v>1</v>
      </c>
      <c r="BG82" s="2" t="n">
        <f aca="false">BB72</f>
        <v>6</v>
      </c>
      <c r="BH82" s="2" t="n">
        <f aca="false">BB70</f>
        <v>33</v>
      </c>
      <c r="BI82" s="2" t="n">
        <f aca="false">BB68</f>
        <v>14</v>
      </c>
      <c r="BJ82" s="2" t="n">
        <f aca="false">BB66</f>
        <v>23</v>
      </c>
      <c r="BK82" s="2" t="n">
        <f aca="false">BB64</f>
        <v>30</v>
      </c>
      <c r="BL82" s="2" t="n">
        <f aca="false">BB62</f>
        <v>7</v>
      </c>
      <c r="BM82" s="2" t="n">
        <f aca="false">BB60</f>
        <v>25</v>
      </c>
      <c r="BN82" s="1" t="n">
        <v>3</v>
      </c>
      <c r="BO82" s="2" t="n">
        <f aca="false">BN80</f>
        <v>3</v>
      </c>
      <c r="BP82" s="2" t="n">
        <f aca="false">BN78</f>
        <v>3</v>
      </c>
      <c r="BQ82" s="2" t="n">
        <f aca="false">BN76</f>
        <v>3</v>
      </c>
      <c r="BR82" s="2" t="n">
        <f aca="false">BN74</f>
        <v>3</v>
      </c>
      <c r="BS82" s="2" t="n">
        <f aca="false">BN72</f>
        <v>3</v>
      </c>
      <c r="BT82" s="2" t="n">
        <f aca="false">BN70</f>
        <v>3</v>
      </c>
      <c r="BU82" s="2" t="n">
        <f aca="false">BN68</f>
        <v>3</v>
      </c>
      <c r="BV82" s="2" t="n">
        <f aca="false">BN66</f>
        <v>3</v>
      </c>
      <c r="BW82" s="2" t="n">
        <f aca="false">BN64</f>
        <v>3</v>
      </c>
      <c r="BX82" s="2" t="n">
        <f aca="false">BN62</f>
        <v>3</v>
      </c>
      <c r="BY82" s="2" t="n">
        <f aca="false">BN60</f>
        <v>3</v>
      </c>
      <c r="BZ82" s="1" t="n">
        <v>-10.34167</v>
      </c>
      <c r="CA82" s="2" t="n">
        <f aca="false">BZ80</f>
        <v>-1.38793</v>
      </c>
      <c r="CB82" s="2" t="n">
        <f aca="false">BZ78</f>
        <v>-2.56625</v>
      </c>
      <c r="CC82" s="2" t="n">
        <f aca="false">BZ76</f>
        <v>-2.69857</v>
      </c>
      <c r="CD82" s="2" t="n">
        <f aca="false">BZ74</f>
        <v>-15.01</v>
      </c>
      <c r="CE82" s="2" t="n">
        <f aca="false">BZ72</f>
        <v>-13.71667</v>
      </c>
      <c r="CF82" s="2" t="n">
        <f aca="false">BZ70</f>
        <v>-2.79364</v>
      </c>
      <c r="CG82" s="2" t="n">
        <f aca="false">BZ68</f>
        <v>-2.79857</v>
      </c>
      <c r="CH82" s="2" t="n">
        <f aca="false">BZ66</f>
        <v>-2.31435</v>
      </c>
      <c r="CI82" s="2" t="n">
        <f aca="false">BZ64</f>
        <v>-2.513</v>
      </c>
      <c r="CJ82" s="2" t="n">
        <f aca="false">BZ62</f>
        <v>-2.83857</v>
      </c>
      <c r="CK82" s="2" t="n">
        <f aca="false">BZ60</f>
        <v>-1.6616</v>
      </c>
      <c r="CL82" s="1" t="n">
        <v>5</v>
      </c>
      <c r="CM82" s="2" t="n">
        <f aca="false">CL80</f>
        <v>3</v>
      </c>
      <c r="CN82" s="2" t="n">
        <f aca="false">CL78</f>
        <v>3</v>
      </c>
      <c r="CO82" s="2" t="n">
        <f aca="false">CL76</f>
        <v>3</v>
      </c>
      <c r="CP82" s="2" t="n">
        <f aca="false">CL74</f>
        <v>5</v>
      </c>
      <c r="CQ82" s="2" t="n">
        <f aca="false">CL72</f>
        <v>5</v>
      </c>
      <c r="CR82" s="2" t="n">
        <f aca="false">CL70</f>
        <v>3</v>
      </c>
      <c r="CS82" s="2" t="n">
        <f aca="false">CL68</f>
        <v>3</v>
      </c>
      <c r="CT82" s="2" t="n">
        <f aca="false">CL66</f>
        <v>3</v>
      </c>
      <c r="CU82" s="2" t="n">
        <f aca="false">CL64</f>
        <v>3</v>
      </c>
      <c r="CV82" s="2" t="n">
        <f aca="false">CL62</f>
        <v>3</v>
      </c>
      <c r="CW82" s="2" t="n">
        <f aca="false">CL60</f>
        <v>3</v>
      </c>
      <c r="CX82" s="1" t="n">
        <v>-84.4769</v>
      </c>
      <c r="CY82" s="2" t="n">
        <f aca="false">CX80</f>
        <v>-54.2274</v>
      </c>
      <c r="CZ82" s="2" t="n">
        <f aca="false">CX78</f>
        <v>-68.7104</v>
      </c>
      <c r="DA82" s="2" t="n">
        <f aca="false">CX76</f>
        <v>-69.667</v>
      </c>
      <c r="DB82" s="2" t="n">
        <f aca="false">CX74</f>
        <v>-86.1885</v>
      </c>
      <c r="DC82" s="2" t="n">
        <f aca="false">CX72</f>
        <v>-85.8303</v>
      </c>
      <c r="DD82" s="2" t="n">
        <f aca="false">CX70</f>
        <v>-70.3048</v>
      </c>
      <c r="DE82" s="2" t="n">
        <f aca="false">CX68</f>
        <v>-70.3369</v>
      </c>
      <c r="DF82" s="2" t="n">
        <f aca="false">CX66</f>
        <v>-66.6314</v>
      </c>
      <c r="DG82" s="2" t="n">
        <f aca="false">CX64</f>
        <v>-68.3009</v>
      </c>
      <c r="DH82" s="2" t="n">
        <f aca="false">CX62</f>
        <v>-70.5932</v>
      </c>
      <c r="DI82" s="2" t="n">
        <f aca="false">CX60</f>
        <v>-58.9592</v>
      </c>
      <c r="DJ82" s="1" t="s">
        <v>175</v>
      </c>
      <c r="DK82" s="2" t="str">
        <f aca="false">DJ80</f>
        <v>HL</v>
      </c>
      <c r="DL82" s="2" t="str">
        <f aca="false">DJ78</f>
        <v>HL</v>
      </c>
      <c r="DM82" s="2" t="str">
        <f aca="false">DJ76</f>
        <v>HL</v>
      </c>
      <c r="DN82" s="2" t="str">
        <f aca="false">DJ74</f>
        <v>HL</v>
      </c>
      <c r="DO82" s="2" t="str">
        <f aca="false">DJ72</f>
        <v>LL</v>
      </c>
      <c r="DP82" s="2" t="str">
        <f aca="false">DJ70</f>
        <v>LL</v>
      </c>
      <c r="DQ82" s="2" t="str">
        <f aca="false">DJ68</f>
        <v>LL</v>
      </c>
      <c r="DR82" s="2" t="str">
        <f aca="false">DJ66</f>
        <v>HL</v>
      </c>
      <c r="DS82" s="2" t="str">
        <f aca="false">DJ64</f>
        <v>LL</v>
      </c>
      <c r="DT82" s="2" t="str">
        <f aca="false">DJ62</f>
        <v>HL</v>
      </c>
      <c r="DU82" s="2" t="str">
        <f aca="false">DJ60</f>
        <v>HL</v>
      </c>
      <c r="DV82" s="2" t="n">
        <f aca="false">IFERROR((G82-$F82)/$F82*100,"")</f>
        <v>-2.45456164404135</v>
      </c>
      <c r="DW82" s="2" t="n">
        <f aca="false">IFERROR((H82-$F82)/$F82*100,"")</f>
        <v>-2.58994874171532</v>
      </c>
      <c r="DX82" s="2" t="n">
        <f aca="false">IFERROR((I82-$F82)/$F82*100,"")</f>
        <v>-2.84978039826549</v>
      </c>
      <c r="DY82" s="2" t="n">
        <f aca="false">IFERROR((J82-$F82)/$F82*100,"")</f>
        <v>-3.15724428252347</v>
      </c>
      <c r="DZ82" s="2" t="n">
        <f aca="false">IFERROR((K82-$F82)/$F82*100,"")</f>
        <v>-3.42973495454556</v>
      </c>
      <c r="EA82" s="2" t="n">
        <f aca="false">IFERROR((L82-$F82)/$F82*100,"")</f>
        <v>-2.88174977632164</v>
      </c>
      <c r="EB82" s="2" t="n">
        <f aca="false">IFERROR((M82-$F82)/$F82*100,"")</f>
        <v>-1.45428486217765</v>
      </c>
      <c r="EC82" s="2" t="n">
        <f aca="false">IFERROR((N82-$F82)/$F82*100,"")</f>
        <v>-1.15046849085225</v>
      </c>
      <c r="ED82" s="2" t="n">
        <f aca="false">IFERROR((O82-$F82)/$F82*100,"")</f>
        <v>-2.15138895146878</v>
      </c>
      <c r="EE82" s="2" t="n">
        <f aca="false">IFERROR((P82-$F82)/$F82*100,"")</f>
        <v>-0.996414709346851</v>
      </c>
      <c r="EF82" s="2" t="n">
        <f aca="false">IFERROR((Q82-$F82)/$F82*100,"")</f>
        <v>-1.18329610724545</v>
      </c>
      <c r="EG82" s="2" t="str">
        <f aca="false">IF(DV82="","",IF(AND(ABS(DV82)&lt;=0.25,$E82="Bottom",DK82="LL"),"EQL",IF(AND(ABS(DV82)&lt;=0.25,$E82="Peak",DK82="HH"),"EQH","")))</f>
        <v/>
      </c>
      <c r="EH82" s="2" t="str">
        <f aca="false">IF(DW82="","",IF(AND(ABS(DW82)&lt;=0.25,$E82="Bottom",DL82="LL"),"EQL",IF(AND(ABS(DW82)&lt;=0.25,$E82="Peak",DL82="HH"),"EQH","")))</f>
        <v/>
      </c>
      <c r="EI82" s="2" t="str">
        <f aca="false">IF(DX82="","",IF(AND(ABS(DX82)&lt;=0.25,$E82="Bottom",DM82="LL"),"EQL",IF(AND(ABS(DX82)&lt;=0.25,$E82="Peak",DM82="HH"),"EQH","")))</f>
        <v/>
      </c>
      <c r="EJ82" s="2" t="str">
        <f aca="false">IF(DY82="","",IF(AND(ABS(DY82)&lt;=0.25,$E82="Bottom",DN82="LL"),"EQL",IF(AND(ABS(DY82)&lt;=0.25,$E82="Peak",DN82="HH"),"EQH","")))</f>
        <v/>
      </c>
      <c r="EK82" s="2" t="str">
        <f aca="false">IF(DZ82="","",IF(AND(ABS(DZ82)&lt;=0.25,$E82="Bottom",DO82="LL"),"EQL",IF(AND(ABS(DZ82)&lt;=0.25,$E82="Peak",DO82="HH"),"EQH","")))</f>
        <v/>
      </c>
      <c r="EL82" s="2" t="str">
        <f aca="false">IF(EA82="","",IF(AND(ABS(EA82)&lt;=0.25,$E82="Bottom",DP82="LL"),"EQL",IF(AND(ABS(EA82)&lt;=0.25,$E82="Peak",DP82="HH"),"EQH","")))</f>
        <v/>
      </c>
      <c r="EM82" s="2" t="str">
        <f aca="false">IF(EB82="","",IF(AND(ABS(EB82)&lt;=0.25,$E82="Bottom",DQ82="LL"),"EQL",IF(AND(ABS(EB82)&lt;=0.25,$E82="Peak",DQ82="HH"),"EQH","")))</f>
        <v/>
      </c>
      <c r="EN82" s="2" t="str">
        <f aca="false">IF(EC82="","",IF(AND(ABS(EC82)&lt;=0.25,$E82="Bottom",DR82="LL"),"EQL",IF(AND(ABS(EC82)&lt;=0.25,$E82="Peak",DR82="HH"),"EQH","")))</f>
        <v/>
      </c>
      <c r="EO82" s="2" t="str">
        <f aca="false">IF(ED82="","",IF(AND(ABS(ED82)&lt;=0.25,$E82="Bottom",DS82="LL"),"EQL",IF(AND(ABS(ED82)&lt;=0.25,$E82="Peak",DS82="HH"),"EQH","")))</f>
        <v/>
      </c>
      <c r="EP82" s="2" t="str">
        <f aca="false">IF(EE82="","",IF(AND(ABS(EE82)&lt;=0.25,$E82="Bottom",DT82="LL"),"EQL",IF(AND(ABS(EE82)&lt;=0.25,$E82="Peak",DT82="HH"),"EQH","")))</f>
        <v/>
      </c>
      <c r="EQ82" s="2" t="str">
        <f aca="false">IF(EF82="","",IF(AND(ABS(EF82)&lt;=0.25,$E82="Bottom",DU82="LL"),"EQL",IF(AND(ABS(EF82)&lt;=0.25,$E82="Peak",DU82="HH"),"EQH","")))</f>
        <v/>
      </c>
      <c r="ER82" s="2" t="str">
        <f aca="false">IF(OR(EG82="EQL",EG82="EQH"),G82,"")</f>
        <v/>
      </c>
      <c r="ES82" s="2" t="str">
        <f aca="false">IF(OR(EH82="EQL",EH82="EQH"),H82,"")</f>
        <v/>
      </c>
      <c r="ET82" s="2" t="str">
        <f aca="false">IF(OR(EI82="EQL",EI82="EQH"),I82,"")</f>
        <v/>
      </c>
      <c r="EU82" s="2" t="str">
        <f aca="false">IF(OR(EJ82="EQL",EJ82="EQH"),J82,"")</f>
        <v/>
      </c>
      <c r="EV82" s="2" t="str">
        <f aca="false">IF(OR(EK82="EQL",EK82="EQH"),K82,"")</f>
        <v/>
      </c>
      <c r="EW82" s="2" t="str">
        <f aca="false">IF(OR(EL82="EQL",EL82="EQH"),L82,"")</f>
        <v/>
      </c>
      <c r="EX82" s="2" t="str">
        <f aca="false">IF(OR(EM82="EQL",EM82="EQH"),M82,"")</f>
        <v/>
      </c>
      <c r="EY82" s="2" t="str">
        <f aca="false">IF(OR(EN82="EQL",EN82="EQH"),N82,"")</f>
        <v/>
      </c>
      <c r="EZ82" s="2" t="str">
        <f aca="false">IF(OR(EO82="EQL",EO82="EQH"),O82,"")</f>
        <v/>
      </c>
      <c r="FA82" s="2" t="str">
        <f aca="false">IF(OR(EP82="EQL",EP82="EQH"),P82,"")</f>
        <v/>
      </c>
      <c r="FB82" s="2" t="str">
        <f aca="false">IF(OR(EQ82="EQL",EQ82="EQH"),Q82,"")</f>
        <v/>
      </c>
      <c r="FC82" s="2" t="str">
        <f aca="false">IF(AND(EG82="EQL",OR(AQ82=4,AQ82=5)),"IEQL",IF(AND(EG82="EQH",OR(AQ82=1,AQ82=2)),"IEQH",""))</f>
        <v/>
      </c>
      <c r="FD82" s="2" t="str">
        <f aca="false">IF(AND(EH82="EQL",OR(AR82=4,AR82=5)),"IEQL",IF(AND(EH82="EQH",OR(AR82=1,AR82=2)),"IEQH",""))</f>
        <v/>
      </c>
      <c r="FE82" s="2" t="str">
        <f aca="false">IF(AND(EI82="EQL",OR(AS82=4,AS82=5)),"IEQL",IF(AND(EI82="EQH",OR(AS82=1,AS82=2)),"IEQH",""))</f>
        <v/>
      </c>
      <c r="FF82" s="2" t="str">
        <f aca="false">IF(AND(EJ82="EQL",OR(AT82=4,AT82=5)),"IEQL",IF(AND(EJ82="EQH",OR(AT82=1,AT82=2)),"IEQH",""))</f>
        <v/>
      </c>
      <c r="FG82" s="2" t="str">
        <f aca="false">IF(AND(EK82="EQL",OR(AU82=4,AU82=5)),"IEQL",IF(AND(EK82="EQH",OR(AU82=1,AU82=2)),"IEQH",""))</f>
        <v/>
      </c>
      <c r="FH82" s="2" t="str">
        <f aca="false">IF(AND(EL82="EQL",OR(AV82=4,AV82=5)),"IEQL",IF(AND(EL82="EQH",OR(AV82=1,AV82=2)),"IEQH",""))</f>
        <v/>
      </c>
      <c r="FI82" s="2" t="str">
        <f aca="false">IF(AND(EM82="EQL",OR(AW82=4,AW82=5)),"IEQL",IF(AND(EM82="EQH",OR(AW82=1,AW82=2)),"IEQH",""))</f>
        <v/>
      </c>
      <c r="FJ82" s="2" t="str">
        <f aca="false">IF(AND(EN82="EQL",OR(AX82=4,AX82=5)),"IEQL",IF(AND(EN82="EQH",OR(AX82=1,AX82=2)),"IEQH",""))</f>
        <v/>
      </c>
      <c r="FK82" s="2" t="str">
        <f aca="false">IF(AND(EO82="EQL",OR(AY82=4,AY82=5)),"IEQL",IF(AND(EO82="EQH",OR(AY82=1,AY82=2)),"IEQH",""))</f>
        <v/>
      </c>
      <c r="FL82" s="2" t="str">
        <f aca="false">IF(AND(EP82="EQL",OR(AZ82=4,AZ82=5)),"IEQL",IF(AND(EP82="EQH",OR(AZ82=1,AZ82=2)),"IEQH",""))</f>
        <v/>
      </c>
      <c r="FM82" s="2" t="str">
        <f aca="false">IF(AND(EQ82="EQL",OR(BA82=4,BA82=5)),"IEQL",IF(AND(EQ82="EQH",OR(BA82=1,BA82=2)),"IEQH",""))</f>
        <v/>
      </c>
    </row>
    <row r="83" customFormat="false" ht="14.25" hidden="false" customHeight="false" outlineLevel="0" collapsed="false">
      <c r="A83" s="1" t="n">
        <v>1778076902</v>
      </c>
      <c r="B83" s="1" t="s">
        <v>169</v>
      </c>
      <c r="C83" s="1" t="s">
        <v>170</v>
      </c>
      <c r="D83" s="1" t="n">
        <v>4705.66</v>
      </c>
      <c r="E83" s="1" t="s">
        <v>173</v>
      </c>
      <c r="F83" s="1" t="n">
        <v>4717.43</v>
      </c>
      <c r="G83" s="2" t="n">
        <f aca="false">F81</f>
        <v>4722.76</v>
      </c>
      <c r="H83" s="2" t="n">
        <f aca="false">F79</f>
        <v>4586.56</v>
      </c>
      <c r="I83" s="2" t="n">
        <f aca="false">F77</f>
        <v>4560.53</v>
      </c>
      <c r="J83" s="2" t="n">
        <f aca="false">F75</f>
        <v>4546.78</v>
      </c>
      <c r="K83" s="2" t="n">
        <f aca="false">F73</f>
        <v>4528.57</v>
      </c>
      <c r="L83" s="2" t="n">
        <f aca="false">F71</f>
        <v>4583.16</v>
      </c>
      <c r="M83" s="2" t="n">
        <f aca="false">F69</f>
        <v>4618.59</v>
      </c>
      <c r="N83" s="2" t="n">
        <f aca="false">F67</f>
        <v>4632.11</v>
      </c>
      <c r="O83" s="2" t="n">
        <f aca="false">F65</f>
        <v>4660.32</v>
      </c>
      <c r="P83" s="2" t="n">
        <f aca="false">F63</f>
        <v>4635.83</v>
      </c>
      <c r="Q83" s="2" t="n">
        <f aca="false">F61</f>
        <v>4634.14</v>
      </c>
      <c r="R83" s="1" t="n">
        <v>56.72</v>
      </c>
      <c r="S83" s="2" t="n">
        <f aca="false">R81</f>
        <v>176.45</v>
      </c>
      <c r="T83" s="2" t="n">
        <f aca="false">R79</f>
        <v>46.56</v>
      </c>
      <c r="U83" s="2" t="n">
        <f aca="false">R77</f>
        <v>32.64</v>
      </c>
      <c r="V83" s="2" t="n">
        <f aca="false">R75</f>
        <v>33.22</v>
      </c>
      <c r="W83" s="2" t="n">
        <f aca="false">R73</f>
        <v>27.71</v>
      </c>
      <c r="X83" s="2" t="n">
        <f aca="false">R71</f>
        <v>56.76</v>
      </c>
      <c r="Y83" s="2" t="n">
        <f aca="false">R69</f>
        <v>25.66</v>
      </c>
      <c r="Z83" s="2" t="n">
        <f aca="false">R67</f>
        <v>25.02</v>
      </c>
      <c r="AA83" s="2" t="n">
        <f aca="false">R65</f>
        <v>99.88</v>
      </c>
      <c r="AB83" s="2" t="n">
        <f aca="false">R63</f>
        <v>21.56</v>
      </c>
      <c r="AC83" s="2" t="n">
        <f aca="false">R61</f>
        <v>28.58</v>
      </c>
      <c r="AD83" s="1" t="n">
        <v>1.22</v>
      </c>
      <c r="AE83" s="2" t="n">
        <f aca="false">AD81</f>
        <v>3.88</v>
      </c>
      <c r="AF83" s="2" t="n">
        <f aca="false">AD79</f>
        <v>1.03</v>
      </c>
      <c r="AG83" s="2" t="n">
        <f aca="false">AD77</f>
        <v>0.72</v>
      </c>
      <c r="AH83" s="2" t="n">
        <f aca="false">AD75</f>
        <v>0.74</v>
      </c>
      <c r="AI83" s="2" t="n">
        <f aca="false">AD73</f>
        <v>0.62</v>
      </c>
      <c r="AJ83" s="2" t="n">
        <f aca="false">AD71</f>
        <v>1.25</v>
      </c>
      <c r="AK83" s="2" t="n">
        <f aca="false">AD69</f>
        <v>0.56</v>
      </c>
      <c r="AL83" s="2" t="n">
        <f aca="false">AD67</f>
        <v>0.54</v>
      </c>
      <c r="AM83" s="2" t="n">
        <f aca="false">AD65</f>
        <v>2.19</v>
      </c>
      <c r="AN83" s="2" t="n">
        <f aca="false">AD63</f>
        <v>0.47</v>
      </c>
      <c r="AO83" s="2" t="n">
        <f aca="false">AD61</f>
        <v>0.62</v>
      </c>
      <c r="AP83" s="1" t="n">
        <v>0</v>
      </c>
      <c r="AQ83" s="2" t="n">
        <f aca="false">AP81</f>
        <v>2</v>
      </c>
      <c r="AR83" s="2" t="n">
        <f aca="false">AP79</f>
        <v>0</v>
      </c>
      <c r="AS83" s="2" t="n">
        <f aca="false">AP77</f>
        <v>0</v>
      </c>
      <c r="AT83" s="2" t="n">
        <f aca="false">AP75</f>
        <v>0</v>
      </c>
      <c r="AU83" s="2" t="n">
        <f aca="false">AP73</f>
        <v>0</v>
      </c>
      <c r="AV83" s="2" t="n">
        <f aca="false">AP71</f>
        <v>0</v>
      </c>
      <c r="AW83" s="2" t="n">
        <f aca="false">AP69</f>
        <v>0</v>
      </c>
      <c r="AX83" s="2" t="n">
        <f aca="false">AP67</f>
        <v>0</v>
      </c>
      <c r="AY83" s="2" t="n">
        <f aca="false">AP65</f>
        <v>1</v>
      </c>
      <c r="AZ83" s="2" t="n">
        <f aca="false">AP63</f>
        <v>0</v>
      </c>
      <c r="BA83" s="2" t="n">
        <f aca="false">AP61</f>
        <v>0</v>
      </c>
      <c r="BB83" s="1" t="n">
        <v>8</v>
      </c>
      <c r="BC83" s="2" t="n">
        <f aca="false">BB81</f>
        <v>49</v>
      </c>
      <c r="BD83" s="2" t="n">
        <f aca="false">BB79</f>
        <v>13</v>
      </c>
      <c r="BE83" s="2" t="n">
        <f aca="false">BB77</f>
        <v>18</v>
      </c>
      <c r="BF83" s="2" t="n">
        <f aca="false">BB75</f>
        <v>10</v>
      </c>
      <c r="BG83" s="2" t="n">
        <f aca="false">BB73</f>
        <v>28</v>
      </c>
      <c r="BH83" s="2" t="n">
        <f aca="false">BB71</f>
        <v>17</v>
      </c>
      <c r="BI83" s="2" t="n">
        <f aca="false">BB69</f>
        <v>2</v>
      </c>
      <c r="BJ83" s="2" t="n">
        <f aca="false">BB67</f>
        <v>4</v>
      </c>
      <c r="BK83" s="2" t="n">
        <f aca="false">BB65</f>
        <v>18</v>
      </c>
      <c r="BL83" s="2" t="n">
        <f aca="false">BB63</f>
        <v>4</v>
      </c>
      <c r="BM83" s="2" t="n">
        <f aca="false">BB61</f>
        <v>23</v>
      </c>
      <c r="BN83" s="1" t="n">
        <v>0</v>
      </c>
      <c r="BO83" s="2" t="n">
        <f aca="false">BN81</f>
        <v>2</v>
      </c>
      <c r="BP83" s="2" t="n">
        <f aca="false">BN79</f>
        <v>0</v>
      </c>
      <c r="BQ83" s="2" t="n">
        <f aca="false">BN77</f>
        <v>0</v>
      </c>
      <c r="BR83" s="2" t="n">
        <f aca="false">BN75</f>
        <v>0</v>
      </c>
      <c r="BS83" s="2" t="n">
        <f aca="false">BN73</f>
        <v>0</v>
      </c>
      <c r="BT83" s="2" t="n">
        <f aca="false">BN71</f>
        <v>0</v>
      </c>
      <c r="BU83" s="2" t="n">
        <f aca="false">BN69</f>
        <v>0</v>
      </c>
      <c r="BV83" s="2" t="n">
        <f aca="false">BN67</f>
        <v>0</v>
      </c>
      <c r="BW83" s="2" t="n">
        <f aca="false">BN65</f>
        <v>0</v>
      </c>
      <c r="BX83" s="2" t="n">
        <f aca="false">BN63</f>
        <v>0</v>
      </c>
      <c r="BY83" s="2" t="n">
        <f aca="false">BN61</f>
        <v>0</v>
      </c>
      <c r="BZ83" s="1" t="n">
        <v>7.09</v>
      </c>
      <c r="CA83" s="2" t="n">
        <f aca="false">BZ81</f>
        <v>3.60102</v>
      </c>
      <c r="CB83" s="2" t="n">
        <f aca="false">BZ79</f>
        <v>3.58154</v>
      </c>
      <c r="CC83" s="2" t="n">
        <f aca="false">BZ77</f>
        <v>1.81333</v>
      </c>
      <c r="CD83" s="2" t="n">
        <f aca="false">BZ75</f>
        <v>3.322</v>
      </c>
      <c r="CE83" s="2" t="n">
        <f aca="false">BZ73</f>
        <v>0.98964</v>
      </c>
      <c r="CF83" s="2" t="n">
        <f aca="false">BZ71</f>
        <v>3.33882</v>
      </c>
      <c r="CG83" s="2" t="n">
        <f aca="false">BZ69</f>
        <v>12.83</v>
      </c>
      <c r="CH83" s="2" t="n">
        <f aca="false">BZ67</f>
        <v>6.255</v>
      </c>
      <c r="CI83" s="2" t="n">
        <f aca="false">BZ65</f>
        <v>5.54889</v>
      </c>
      <c r="CJ83" s="2" t="n">
        <f aca="false">BZ63</f>
        <v>5.39</v>
      </c>
      <c r="CK83" s="2" t="n">
        <f aca="false">BZ61</f>
        <v>1.24261</v>
      </c>
      <c r="CL83" s="1" t="n">
        <v>0</v>
      </c>
      <c r="CM83" s="2" t="n">
        <f aca="false">CL81</f>
        <v>0</v>
      </c>
      <c r="CN83" s="2" t="n">
        <f aca="false">CL79</f>
        <v>0</v>
      </c>
      <c r="CO83" s="2" t="n">
        <f aca="false">CL77</f>
        <v>0</v>
      </c>
      <c r="CP83" s="2" t="n">
        <f aca="false">CL75</f>
        <v>0</v>
      </c>
      <c r="CQ83" s="2" t="n">
        <f aca="false">CL73</f>
        <v>0</v>
      </c>
      <c r="CR83" s="2" t="n">
        <f aca="false">CL71</f>
        <v>0</v>
      </c>
      <c r="CS83" s="2" t="n">
        <f aca="false">CL69</f>
        <v>0</v>
      </c>
      <c r="CT83" s="2" t="n">
        <f aca="false">CL67</f>
        <v>0</v>
      </c>
      <c r="CU83" s="2" t="n">
        <f aca="false">CL65</f>
        <v>0</v>
      </c>
      <c r="CV83" s="2" t="n">
        <f aca="false">CL63</f>
        <v>0</v>
      </c>
      <c r="CW83" s="2" t="n">
        <f aca="false">CL61</f>
        <v>0</v>
      </c>
      <c r="CX83" s="1" t="n">
        <v>81.9717</v>
      </c>
      <c r="CY83" s="2" t="n">
        <f aca="false">CX81</f>
        <v>74.4801</v>
      </c>
      <c r="CZ83" s="2" t="n">
        <f aca="false">CX79</f>
        <v>74.3998</v>
      </c>
      <c r="DA83" s="2" t="n">
        <f aca="false">CX77</f>
        <v>61.1246</v>
      </c>
      <c r="DB83" s="2" t="n">
        <f aca="false">CX75</f>
        <v>73.247</v>
      </c>
      <c r="DC83" s="2" t="n">
        <f aca="false">CX73</f>
        <v>44.7017</v>
      </c>
      <c r="DD83" s="2" t="n">
        <f aca="false">CX71</f>
        <v>73.3267</v>
      </c>
      <c r="DE83" s="2" t="n">
        <f aca="false">CX69</f>
        <v>85.5432</v>
      </c>
      <c r="DF83" s="2" t="n">
        <f aca="false">CX67</f>
        <v>80.9169</v>
      </c>
      <c r="DG83" s="2" t="n">
        <f aca="false">CX65</f>
        <v>79.784</v>
      </c>
      <c r="DH83" s="2" t="n">
        <f aca="false">CX63</f>
        <v>79.4895</v>
      </c>
      <c r="DI83" s="2" t="n">
        <f aca="false">CX61</f>
        <v>51.1743</v>
      </c>
      <c r="DJ83" s="1" t="s">
        <v>174</v>
      </c>
      <c r="DK83" s="2" t="str">
        <f aca="false">DJ81</f>
        <v>HH</v>
      </c>
      <c r="DL83" s="2" t="str">
        <f aca="false">DJ79</f>
        <v>HH</v>
      </c>
      <c r="DM83" s="2" t="str">
        <f aca="false">DJ77</f>
        <v>HH</v>
      </c>
      <c r="DN83" s="2" t="str">
        <f aca="false">DJ75</f>
        <v>HH</v>
      </c>
      <c r="DO83" s="2" t="str">
        <f aca="false">DJ73</f>
        <v>LH</v>
      </c>
      <c r="DP83" s="2" t="str">
        <f aca="false">DJ71</f>
        <v>LH</v>
      </c>
      <c r="DQ83" s="2" t="str">
        <f aca="false">DJ69</f>
        <v>LH</v>
      </c>
      <c r="DR83" s="2" t="str">
        <f aca="false">DJ67</f>
        <v>LH</v>
      </c>
      <c r="DS83" s="2" t="str">
        <f aca="false">DJ65</f>
        <v>HH</v>
      </c>
      <c r="DT83" s="2" t="str">
        <f aca="false">DJ63</f>
        <v>HH</v>
      </c>
      <c r="DU83" s="2" t="str">
        <f aca="false">DJ61</f>
        <v>LH</v>
      </c>
      <c r="DV83" s="2" t="n">
        <f aca="false">IFERROR((G83-$F83)/$F83*100,"")</f>
        <v>0.112985248323768</v>
      </c>
      <c r="DW83" s="2" t="n">
        <f aca="false">IFERROR((H83-$F83)/$F83*100,"")</f>
        <v>-2.77418000903034</v>
      </c>
      <c r="DX83" s="2" t="n">
        <f aca="false">IFERROR((I83-$F83)/$F83*100,"")</f>
        <v>-3.32596350131323</v>
      </c>
      <c r="DY83" s="2" t="n">
        <f aca="false">IFERROR((J83-$F83)/$F83*100,"")</f>
        <v>-3.61743576481263</v>
      </c>
      <c r="DZ83" s="2" t="n">
        <f aca="false">IFERROR((K83-$F83)/$F83*100,"")</f>
        <v>-4.00345103159985</v>
      </c>
      <c r="EA83" s="2" t="n">
        <f aca="false">IFERROR((L83-$F83)/$F83*100,"")</f>
        <v>-2.8462531505502</v>
      </c>
      <c r="EB83" s="2" t="n">
        <f aca="false">IFERROR((M83-$F83)/$F83*100,"")</f>
        <v>-2.09520861994773</v>
      </c>
      <c r="EC83" s="2" t="n">
        <f aca="false">IFERROR((N83-$F83)/$F83*100,"")</f>
        <v>-1.80861189249232</v>
      </c>
      <c r="ED83" s="2" t="n">
        <f aca="false">IFERROR((O83-$F83)/$F83*100,"")</f>
        <v>-1.21061679770554</v>
      </c>
      <c r="EE83" s="2" t="n">
        <f aca="false">IFERROR((P83-$F83)/$F83*100,"")</f>
        <v>-1.72975539647648</v>
      </c>
      <c r="EF83" s="2" t="n">
        <f aca="false">IFERROR((Q83-$F83)/$F83*100,"")</f>
        <v>-1.7655799874084</v>
      </c>
      <c r="EG83" s="2" t="str">
        <f aca="false">IF(DV83="","",IF(AND(ABS(DV83)&lt;=0.25,$E83="Bottom",DK83="LL"),"EQL",IF(AND(ABS(DV83)&lt;=0.25,$E83="Peak",DK83="HH"),"EQH","")))</f>
        <v>EQH</v>
      </c>
      <c r="EH83" s="2" t="str">
        <f aca="false">IF(DW83="","",IF(AND(ABS(DW83)&lt;=0.25,$E83="Bottom",DL83="LL"),"EQL",IF(AND(ABS(DW83)&lt;=0.25,$E83="Peak",DL83="HH"),"EQH","")))</f>
        <v/>
      </c>
      <c r="EI83" s="2" t="str">
        <f aca="false">IF(DX83="","",IF(AND(ABS(DX83)&lt;=0.25,$E83="Bottom",DM83="LL"),"EQL",IF(AND(ABS(DX83)&lt;=0.25,$E83="Peak",DM83="HH"),"EQH","")))</f>
        <v/>
      </c>
      <c r="EJ83" s="2" t="str">
        <f aca="false">IF(DY83="","",IF(AND(ABS(DY83)&lt;=0.25,$E83="Bottom",DN83="LL"),"EQL",IF(AND(ABS(DY83)&lt;=0.25,$E83="Peak",DN83="HH"),"EQH","")))</f>
        <v/>
      </c>
      <c r="EK83" s="2" t="str">
        <f aca="false">IF(DZ83="","",IF(AND(ABS(DZ83)&lt;=0.25,$E83="Bottom",DO83="LL"),"EQL",IF(AND(ABS(DZ83)&lt;=0.25,$E83="Peak",DO83="HH"),"EQH","")))</f>
        <v/>
      </c>
      <c r="EL83" s="2" t="str">
        <f aca="false">IF(EA83="","",IF(AND(ABS(EA83)&lt;=0.25,$E83="Bottom",DP83="LL"),"EQL",IF(AND(ABS(EA83)&lt;=0.25,$E83="Peak",DP83="HH"),"EQH","")))</f>
        <v/>
      </c>
      <c r="EM83" s="2" t="str">
        <f aca="false">IF(EB83="","",IF(AND(ABS(EB83)&lt;=0.25,$E83="Bottom",DQ83="LL"),"EQL",IF(AND(ABS(EB83)&lt;=0.25,$E83="Peak",DQ83="HH"),"EQH","")))</f>
        <v/>
      </c>
      <c r="EN83" s="2" t="str">
        <f aca="false">IF(EC83="","",IF(AND(ABS(EC83)&lt;=0.25,$E83="Bottom",DR83="LL"),"EQL",IF(AND(ABS(EC83)&lt;=0.25,$E83="Peak",DR83="HH"),"EQH","")))</f>
        <v/>
      </c>
      <c r="EO83" s="2" t="str">
        <f aca="false">IF(ED83="","",IF(AND(ABS(ED83)&lt;=0.25,$E83="Bottom",DS83="LL"),"EQL",IF(AND(ABS(ED83)&lt;=0.25,$E83="Peak",DS83="HH"),"EQH","")))</f>
        <v/>
      </c>
      <c r="EP83" s="2" t="str">
        <f aca="false">IF(EE83="","",IF(AND(ABS(EE83)&lt;=0.25,$E83="Bottom",DT83="LL"),"EQL",IF(AND(ABS(EE83)&lt;=0.25,$E83="Peak",DT83="HH"),"EQH","")))</f>
        <v/>
      </c>
      <c r="EQ83" s="2" t="str">
        <f aca="false">IF(EF83="","",IF(AND(ABS(EF83)&lt;=0.25,$E83="Bottom",DU83="LL"),"EQL",IF(AND(ABS(EF83)&lt;=0.25,$E83="Peak",DU83="HH"),"EQH","")))</f>
        <v/>
      </c>
      <c r="ER83" s="2" t="n">
        <f aca="false">IF(OR(EG83="EQL",EG83="EQH"),G83,"")</f>
        <v>4722.76</v>
      </c>
      <c r="ES83" s="2" t="str">
        <f aca="false">IF(OR(EH83="EQL",EH83="EQH"),H83,"")</f>
        <v/>
      </c>
      <c r="ET83" s="2" t="str">
        <f aca="false">IF(OR(EI83="EQL",EI83="EQH"),I83,"")</f>
        <v/>
      </c>
      <c r="EU83" s="2" t="str">
        <f aca="false">IF(OR(EJ83="EQL",EJ83="EQH"),J83,"")</f>
        <v/>
      </c>
      <c r="EV83" s="2" t="str">
        <f aca="false">IF(OR(EK83="EQL",EK83="EQH"),K83,"")</f>
        <v/>
      </c>
      <c r="EW83" s="2" t="str">
        <f aca="false">IF(OR(EL83="EQL",EL83="EQH"),L83,"")</f>
        <v/>
      </c>
      <c r="EX83" s="2" t="str">
        <f aca="false">IF(OR(EM83="EQL",EM83="EQH"),M83,"")</f>
        <v/>
      </c>
      <c r="EY83" s="2" t="str">
        <f aca="false">IF(OR(EN83="EQL",EN83="EQH"),N83,"")</f>
        <v/>
      </c>
      <c r="EZ83" s="2" t="str">
        <f aca="false">IF(OR(EO83="EQL",EO83="EQH"),O83,"")</f>
        <v/>
      </c>
      <c r="FA83" s="2" t="str">
        <f aca="false">IF(OR(EP83="EQL",EP83="EQH"),P83,"")</f>
        <v/>
      </c>
      <c r="FB83" s="2" t="str">
        <f aca="false">IF(OR(EQ83="EQL",EQ83="EQH"),Q83,"")</f>
        <v/>
      </c>
      <c r="FC83" s="2" t="str">
        <f aca="false">IF(AND(EG83="EQL",OR(AQ83=4,AQ83=5)),"IEQL",IF(AND(EG83="EQH",OR(AQ83=1,AQ83=2)),"IEQH",""))</f>
        <v>IEQH</v>
      </c>
      <c r="FD83" s="2" t="str">
        <f aca="false">IF(AND(EH83="EQL",OR(AR83=4,AR83=5)),"IEQL",IF(AND(EH83="EQH",OR(AR83=1,AR83=2)),"IEQH",""))</f>
        <v/>
      </c>
      <c r="FE83" s="2" t="str">
        <f aca="false">IF(AND(EI83="EQL",OR(AS83=4,AS83=5)),"IEQL",IF(AND(EI83="EQH",OR(AS83=1,AS83=2)),"IEQH",""))</f>
        <v/>
      </c>
      <c r="FF83" s="2" t="str">
        <f aca="false">IF(AND(EJ83="EQL",OR(AT83=4,AT83=5)),"IEQL",IF(AND(EJ83="EQH",OR(AT83=1,AT83=2)),"IEQH",""))</f>
        <v/>
      </c>
      <c r="FG83" s="2" t="str">
        <f aca="false">IF(AND(EK83="EQL",OR(AU83=4,AU83=5)),"IEQL",IF(AND(EK83="EQH",OR(AU83=1,AU83=2)),"IEQH",""))</f>
        <v/>
      </c>
      <c r="FH83" s="2" t="str">
        <f aca="false">IF(AND(EL83="EQL",OR(AV83=4,AV83=5)),"IEQL",IF(AND(EL83="EQH",OR(AV83=1,AV83=2)),"IEQH",""))</f>
        <v/>
      </c>
      <c r="FI83" s="2" t="str">
        <f aca="false">IF(AND(EM83="EQL",OR(AW83=4,AW83=5)),"IEQL",IF(AND(EM83="EQH",OR(AW83=1,AW83=2)),"IEQH",""))</f>
        <v/>
      </c>
      <c r="FJ83" s="2" t="str">
        <f aca="false">IF(AND(EN83="EQL",OR(AX83=4,AX83=5)),"IEQL",IF(AND(EN83="EQH",OR(AX83=1,AX83=2)),"IEQH",""))</f>
        <v/>
      </c>
      <c r="FK83" s="2" t="str">
        <f aca="false">IF(AND(EO83="EQL",OR(AY83=4,AY83=5)),"IEQL",IF(AND(EO83="EQH",OR(AY83=1,AY83=2)),"IEQH",""))</f>
        <v/>
      </c>
      <c r="FL83" s="2" t="str">
        <f aca="false">IF(AND(EP83="EQL",OR(AZ83=4,AZ83=5)),"IEQL",IF(AND(EP83="EQH",OR(AZ83=1,AZ83=2)),"IEQH",""))</f>
        <v/>
      </c>
      <c r="FM83" s="2" t="str">
        <f aca="false">IF(AND(EQ83="EQL",OR(BA83=4,BA83=5)),"IEQL",IF(AND(EQ83="EQH",OR(BA83=1,BA83=2)),"IEQH",""))</f>
        <v/>
      </c>
    </row>
    <row r="84" customFormat="false" ht="14.25" hidden="false" customHeight="false" outlineLevel="0" collapsed="false">
      <c r="A84" s="1" t="n">
        <v>1778088602</v>
      </c>
      <c r="B84" s="1" t="s">
        <v>169</v>
      </c>
      <c r="C84" s="1" t="s">
        <v>170</v>
      </c>
      <c r="D84" s="1" t="n">
        <v>4680.64</v>
      </c>
      <c r="E84" s="1" t="s">
        <v>171</v>
      </c>
      <c r="F84" s="1" t="n">
        <v>4678.99</v>
      </c>
      <c r="G84" s="2" t="n">
        <f aca="false">F82</f>
        <v>4660.71</v>
      </c>
      <c r="H84" s="2" t="n">
        <f aca="false">F80</f>
        <v>4546.31</v>
      </c>
      <c r="I84" s="2" t="n">
        <f aca="false">F78</f>
        <v>4540</v>
      </c>
      <c r="J84" s="2" t="n">
        <f aca="false">F76</f>
        <v>4527.89</v>
      </c>
      <c r="K84" s="2" t="n">
        <f aca="false">F74</f>
        <v>4513.56</v>
      </c>
      <c r="L84" s="2" t="n">
        <f aca="false">F72</f>
        <v>4500.86</v>
      </c>
      <c r="M84" s="2" t="n">
        <f aca="false">F70</f>
        <v>4526.4</v>
      </c>
      <c r="N84" s="2" t="n">
        <f aca="false">F68</f>
        <v>4592.93</v>
      </c>
      <c r="O84" s="2" t="n">
        <f aca="false">F66</f>
        <v>4607.09</v>
      </c>
      <c r="P84" s="2" t="n">
        <f aca="false">F64</f>
        <v>4560.44</v>
      </c>
      <c r="Q84" s="2" t="n">
        <f aca="false">F62</f>
        <v>4614.27</v>
      </c>
      <c r="R84" s="1" t="n">
        <v>-38.44</v>
      </c>
      <c r="S84" s="2" t="n">
        <f aca="false">R82</f>
        <v>-62.05</v>
      </c>
      <c r="T84" s="2" t="n">
        <f aca="false">R80</f>
        <v>-40.25</v>
      </c>
      <c r="U84" s="2" t="n">
        <f aca="false">R78</f>
        <v>-20.53</v>
      </c>
      <c r="V84" s="2" t="n">
        <f aca="false">R76</f>
        <v>-18.89</v>
      </c>
      <c r="W84" s="2" t="n">
        <f aca="false">R74</f>
        <v>-15.01</v>
      </c>
      <c r="X84" s="2" t="n">
        <f aca="false">R72</f>
        <v>-82.3</v>
      </c>
      <c r="Y84" s="2" t="n">
        <f aca="false">R70</f>
        <v>-92.19</v>
      </c>
      <c r="Z84" s="2" t="n">
        <f aca="false">R68</f>
        <v>-39.18</v>
      </c>
      <c r="AA84" s="2" t="n">
        <f aca="false">R66</f>
        <v>-53.23</v>
      </c>
      <c r="AB84" s="2" t="n">
        <f aca="false">R64</f>
        <v>-75.39</v>
      </c>
      <c r="AC84" s="2" t="n">
        <f aca="false">R62</f>
        <v>-19.87</v>
      </c>
      <c r="AD84" s="1" t="n">
        <v>-0.81</v>
      </c>
      <c r="AE84" s="2" t="n">
        <f aca="false">AD82</f>
        <v>-1.31</v>
      </c>
      <c r="AF84" s="2" t="n">
        <f aca="false">AD80</f>
        <v>-0.88</v>
      </c>
      <c r="AG84" s="2" t="n">
        <f aca="false">AD78</f>
        <v>-0.45</v>
      </c>
      <c r="AH84" s="2" t="n">
        <f aca="false">AD76</f>
        <v>-0.42</v>
      </c>
      <c r="AI84" s="2" t="n">
        <f aca="false">AD74</f>
        <v>-0.33</v>
      </c>
      <c r="AJ84" s="2" t="n">
        <f aca="false">AD72</f>
        <v>-1.8</v>
      </c>
      <c r="AK84" s="2" t="n">
        <f aca="false">AD70</f>
        <v>-2</v>
      </c>
      <c r="AL84" s="2" t="n">
        <f aca="false">AD68</f>
        <v>-0.85</v>
      </c>
      <c r="AM84" s="2" t="n">
        <f aca="false">AD66</f>
        <v>-1.14</v>
      </c>
      <c r="AN84" s="2" t="n">
        <f aca="false">AD64</f>
        <v>-1.63</v>
      </c>
      <c r="AO84" s="2" t="n">
        <f aca="false">AD62</f>
        <v>-0.43</v>
      </c>
      <c r="AP84" s="1" t="n">
        <v>3</v>
      </c>
      <c r="AQ84" s="2" t="n">
        <f aca="false">AP82</f>
        <v>3</v>
      </c>
      <c r="AR84" s="2" t="n">
        <f aca="false">AP80</f>
        <v>3</v>
      </c>
      <c r="AS84" s="2" t="n">
        <f aca="false">AP78</f>
        <v>3</v>
      </c>
      <c r="AT84" s="2" t="n">
        <f aca="false">AP76</f>
        <v>3</v>
      </c>
      <c r="AU84" s="2" t="n">
        <f aca="false">AP74</f>
        <v>3</v>
      </c>
      <c r="AV84" s="2" t="n">
        <f aca="false">AP72</f>
        <v>3</v>
      </c>
      <c r="AW84" s="2" t="n">
        <f aca="false">AP70</f>
        <v>4</v>
      </c>
      <c r="AX84" s="2" t="n">
        <f aca="false">AP68</f>
        <v>3</v>
      </c>
      <c r="AY84" s="2" t="n">
        <f aca="false">AP66</f>
        <v>3</v>
      </c>
      <c r="AZ84" s="2" t="n">
        <f aca="false">AP64</f>
        <v>3</v>
      </c>
      <c r="BA84" s="2" t="n">
        <f aca="false">AP62</f>
        <v>3</v>
      </c>
      <c r="BB84" s="1" t="n">
        <v>13</v>
      </c>
      <c r="BC84" s="2" t="n">
        <f aca="false">BB82</f>
        <v>6</v>
      </c>
      <c r="BD84" s="2" t="n">
        <f aca="false">BB80</f>
        <v>29</v>
      </c>
      <c r="BE84" s="2" t="n">
        <f aca="false">BB78</f>
        <v>8</v>
      </c>
      <c r="BF84" s="2" t="n">
        <f aca="false">BB76</f>
        <v>7</v>
      </c>
      <c r="BG84" s="2" t="n">
        <f aca="false">BB74</f>
        <v>1</v>
      </c>
      <c r="BH84" s="2" t="n">
        <f aca="false">BB72</f>
        <v>6</v>
      </c>
      <c r="BI84" s="2" t="n">
        <f aca="false">BB70</f>
        <v>33</v>
      </c>
      <c r="BJ84" s="2" t="n">
        <f aca="false">BB68</f>
        <v>14</v>
      </c>
      <c r="BK84" s="2" t="n">
        <f aca="false">BB66</f>
        <v>23</v>
      </c>
      <c r="BL84" s="2" t="n">
        <f aca="false">BB64</f>
        <v>30</v>
      </c>
      <c r="BM84" s="2" t="n">
        <f aca="false">BB62</f>
        <v>7</v>
      </c>
      <c r="BN84" s="1" t="n">
        <v>3</v>
      </c>
      <c r="BO84" s="2" t="n">
        <f aca="false">BN82</f>
        <v>3</v>
      </c>
      <c r="BP84" s="2" t="n">
        <f aca="false">BN80</f>
        <v>3</v>
      </c>
      <c r="BQ84" s="2" t="n">
        <f aca="false">BN78</f>
        <v>3</v>
      </c>
      <c r="BR84" s="2" t="n">
        <f aca="false">BN76</f>
        <v>3</v>
      </c>
      <c r="BS84" s="2" t="n">
        <f aca="false">BN74</f>
        <v>3</v>
      </c>
      <c r="BT84" s="2" t="n">
        <f aca="false">BN72</f>
        <v>3</v>
      </c>
      <c r="BU84" s="2" t="n">
        <f aca="false">BN70</f>
        <v>3</v>
      </c>
      <c r="BV84" s="2" t="n">
        <f aca="false">BN68</f>
        <v>3</v>
      </c>
      <c r="BW84" s="2" t="n">
        <f aca="false">BN66</f>
        <v>3</v>
      </c>
      <c r="BX84" s="2" t="n">
        <f aca="false">BN64</f>
        <v>3</v>
      </c>
      <c r="BY84" s="2" t="n">
        <f aca="false">BN62</f>
        <v>3</v>
      </c>
      <c r="BZ84" s="1" t="n">
        <v>-2.95692</v>
      </c>
      <c r="CA84" s="2" t="n">
        <f aca="false">BZ82</f>
        <v>-10.34167</v>
      </c>
      <c r="CB84" s="2" t="n">
        <f aca="false">BZ80</f>
        <v>-1.38793</v>
      </c>
      <c r="CC84" s="2" t="n">
        <f aca="false">BZ78</f>
        <v>-2.56625</v>
      </c>
      <c r="CD84" s="2" t="n">
        <f aca="false">BZ76</f>
        <v>-2.69857</v>
      </c>
      <c r="CE84" s="2" t="n">
        <f aca="false">BZ74</f>
        <v>-15.01</v>
      </c>
      <c r="CF84" s="2" t="n">
        <f aca="false">BZ72</f>
        <v>-13.71667</v>
      </c>
      <c r="CG84" s="2" t="n">
        <f aca="false">BZ70</f>
        <v>-2.79364</v>
      </c>
      <c r="CH84" s="2" t="n">
        <f aca="false">BZ68</f>
        <v>-2.79857</v>
      </c>
      <c r="CI84" s="2" t="n">
        <f aca="false">BZ66</f>
        <v>-2.31435</v>
      </c>
      <c r="CJ84" s="2" t="n">
        <f aca="false">BZ64</f>
        <v>-2.513</v>
      </c>
      <c r="CK84" s="2" t="n">
        <f aca="false">BZ62</f>
        <v>-2.83857</v>
      </c>
      <c r="CL84" s="1" t="n">
        <v>3</v>
      </c>
      <c r="CM84" s="2" t="n">
        <f aca="false">CL82</f>
        <v>5</v>
      </c>
      <c r="CN84" s="2" t="n">
        <f aca="false">CL80</f>
        <v>3</v>
      </c>
      <c r="CO84" s="2" t="n">
        <f aca="false">CL78</f>
        <v>3</v>
      </c>
      <c r="CP84" s="2" t="n">
        <f aca="false">CL76</f>
        <v>3</v>
      </c>
      <c r="CQ84" s="2" t="n">
        <f aca="false">CL74</f>
        <v>5</v>
      </c>
      <c r="CR84" s="2" t="n">
        <f aca="false">CL72</f>
        <v>5</v>
      </c>
      <c r="CS84" s="2" t="n">
        <f aca="false">CL70</f>
        <v>3</v>
      </c>
      <c r="CT84" s="2" t="n">
        <f aca="false">CL68</f>
        <v>3</v>
      </c>
      <c r="CU84" s="2" t="n">
        <f aca="false">CL66</f>
        <v>3</v>
      </c>
      <c r="CV84" s="2" t="n">
        <f aca="false">CL64</f>
        <v>3</v>
      </c>
      <c r="CW84" s="2" t="n">
        <f aca="false">CL62</f>
        <v>3</v>
      </c>
      <c r="CX84" s="1" t="n">
        <v>-71.315</v>
      </c>
      <c r="CY84" s="2" t="n">
        <f aca="false">CX82</f>
        <v>-84.4769</v>
      </c>
      <c r="CZ84" s="2" t="n">
        <f aca="false">CX80</f>
        <v>-54.2274</v>
      </c>
      <c r="DA84" s="2" t="n">
        <f aca="false">CX78</f>
        <v>-68.7104</v>
      </c>
      <c r="DB84" s="2" t="n">
        <f aca="false">CX76</f>
        <v>-69.667</v>
      </c>
      <c r="DC84" s="2" t="n">
        <f aca="false">CX74</f>
        <v>-86.1885</v>
      </c>
      <c r="DD84" s="2" t="n">
        <f aca="false">CX72</f>
        <v>-85.8303</v>
      </c>
      <c r="DE84" s="2" t="n">
        <f aca="false">CX70</f>
        <v>-70.3048</v>
      </c>
      <c r="DF84" s="2" t="n">
        <f aca="false">CX68</f>
        <v>-70.3369</v>
      </c>
      <c r="DG84" s="2" t="n">
        <f aca="false">CX66</f>
        <v>-66.6314</v>
      </c>
      <c r="DH84" s="2" t="n">
        <f aca="false">CX64</f>
        <v>-68.3009</v>
      </c>
      <c r="DI84" s="2" t="n">
        <f aca="false">CX62</f>
        <v>-70.5932</v>
      </c>
      <c r="DJ84" s="1" t="s">
        <v>175</v>
      </c>
      <c r="DK84" s="2" t="str">
        <f aca="false">DJ82</f>
        <v>HL</v>
      </c>
      <c r="DL84" s="2" t="str">
        <f aca="false">DJ80</f>
        <v>HL</v>
      </c>
      <c r="DM84" s="2" t="str">
        <f aca="false">DJ78</f>
        <v>HL</v>
      </c>
      <c r="DN84" s="2" t="str">
        <f aca="false">DJ76</f>
        <v>HL</v>
      </c>
      <c r="DO84" s="2" t="str">
        <f aca="false">DJ74</f>
        <v>HL</v>
      </c>
      <c r="DP84" s="2" t="str">
        <f aca="false">DJ72</f>
        <v>LL</v>
      </c>
      <c r="DQ84" s="2" t="str">
        <f aca="false">DJ70</f>
        <v>LL</v>
      </c>
      <c r="DR84" s="2" t="str">
        <f aca="false">DJ68</f>
        <v>LL</v>
      </c>
      <c r="DS84" s="2" t="str">
        <f aca="false">DJ66</f>
        <v>HL</v>
      </c>
      <c r="DT84" s="2" t="str">
        <f aca="false">DJ64</f>
        <v>LL</v>
      </c>
      <c r="DU84" s="2" t="str">
        <f aca="false">DJ62</f>
        <v>HL</v>
      </c>
      <c r="DV84" s="2" t="n">
        <f aca="false">IFERROR((G84-$F84)/$F84*100,"")</f>
        <v>-0.390682604579188</v>
      </c>
      <c r="DW84" s="2" t="n">
        <f aca="false">IFERROR((H84-$F84)/$F84*100,"")</f>
        <v>-2.8356547032586</v>
      </c>
      <c r="DX84" s="2" t="n">
        <f aca="false">IFERROR((I84-$F84)/$F84*100,"")</f>
        <v>-2.97051286709311</v>
      </c>
      <c r="DY84" s="2" t="n">
        <f aca="false">IFERROR((J84-$F84)/$F84*100,"")</f>
        <v>-3.22932940655995</v>
      </c>
      <c r="DZ84" s="2" t="n">
        <f aca="false">IFERROR((K84-$F84)/$F84*100,"")</f>
        <v>-3.53559208290677</v>
      </c>
      <c r="EA84" s="2" t="n">
        <f aca="false">IFERROR((L84-$F84)/$F84*100,"")</f>
        <v>-3.80701818127417</v>
      </c>
      <c r="EB84" s="2" t="n">
        <f aca="false">IFERROR((M84-$F84)/$F84*100,"")</f>
        <v>-3.26117388581724</v>
      </c>
      <c r="EC84" s="2" t="n">
        <f aca="false">IFERROR((N84-$F84)/$F84*100,"")</f>
        <v>-1.83928582877928</v>
      </c>
      <c r="ED84" s="2" t="n">
        <f aca="false">IFERROR((O84-$F84)/$F84*100,"")</f>
        <v>-1.53665641516651</v>
      </c>
      <c r="EE84" s="2" t="n">
        <f aca="false">IFERROR((P84-$F84)/$F84*100,"")</f>
        <v>-2.53366645365774</v>
      </c>
      <c r="EF84" s="2" t="n">
        <f aca="false">IFERROR((Q84-$F84)/$F84*100,"")</f>
        <v>-1.38320449498715</v>
      </c>
      <c r="EG84" s="2" t="str">
        <f aca="false">IF(DV84="","",IF(AND(ABS(DV84)&lt;=0.25,$E84="Bottom",DK84="LL"),"EQL",IF(AND(ABS(DV84)&lt;=0.25,$E84="Peak",DK84="HH"),"EQH","")))</f>
        <v/>
      </c>
      <c r="EH84" s="2" t="str">
        <f aca="false">IF(DW84="","",IF(AND(ABS(DW84)&lt;=0.25,$E84="Bottom",DL84="LL"),"EQL",IF(AND(ABS(DW84)&lt;=0.25,$E84="Peak",DL84="HH"),"EQH","")))</f>
        <v/>
      </c>
      <c r="EI84" s="2" t="str">
        <f aca="false">IF(DX84="","",IF(AND(ABS(DX84)&lt;=0.25,$E84="Bottom",DM84="LL"),"EQL",IF(AND(ABS(DX84)&lt;=0.25,$E84="Peak",DM84="HH"),"EQH","")))</f>
        <v/>
      </c>
      <c r="EJ84" s="2" t="str">
        <f aca="false">IF(DY84="","",IF(AND(ABS(DY84)&lt;=0.25,$E84="Bottom",DN84="LL"),"EQL",IF(AND(ABS(DY84)&lt;=0.25,$E84="Peak",DN84="HH"),"EQH","")))</f>
        <v/>
      </c>
      <c r="EK84" s="2" t="str">
        <f aca="false">IF(DZ84="","",IF(AND(ABS(DZ84)&lt;=0.25,$E84="Bottom",DO84="LL"),"EQL",IF(AND(ABS(DZ84)&lt;=0.25,$E84="Peak",DO84="HH"),"EQH","")))</f>
        <v/>
      </c>
      <c r="EL84" s="2" t="str">
        <f aca="false">IF(EA84="","",IF(AND(ABS(EA84)&lt;=0.25,$E84="Bottom",DP84="LL"),"EQL",IF(AND(ABS(EA84)&lt;=0.25,$E84="Peak",DP84="HH"),"EQH","")))</f>
        <v/>
      </c>
      <c r="EM84" s="2" t="str">
        <f aca="false">IF(EB84="","",IF(AND(ABS(EB84)&lt;=0.25,$E84="Bottom",DQ84="LL"),"EQL",IF(AND(ABS(EB84)&lt;=0.25,$E84="Peak",DQ84="HH"),"EQH","")))</f>
        <v/>
      </c>
      <c r="EN84" s="2" t="str">
        <f aca="false">IF(EC84="","",IF(AND(ABS(EC84)&lt;=0.25,$E84="Bottom",DR84="LL"),"EQL",IF(AND(ABS(EC84)&lt;=0.25,$E84="Peak",DR84="HH"),"EQH","")))</f>
        <v/>
      </c>
      <c r="EO84" s="2" t="str">
        <f aca="false">IF(ED84="","",IF(AND(ABS(ED84)&lt;=0.25,$E84="Bottom",DS84="LL"),"EQL",IF(AND(ABS(ED84)&lt;=0.25,$E84="Peak",DS84="HH"),"EQH","")))</f>
        <v/>
      </c>
      <c r="EP84" s="2" t="str">
        <f aca="false">IF(EE84="","",IF(AND(ABS(EE84)&lt;=0.25,$E84="Bottom",DT84="LL"),"EQL",IF(AND(ABS(EE84)&lt;=0.25,$E84="Peak",DT84="HH"),"EQH","")))</f>
        <v/>
      </c>
      <c r="EQ84" s="2" t="str">
        <f aca="false">IF(EF84="","",IF(AND(ABS(EF84)&lt;=0.25,$E84="Bottom",DU84="LL"),"EQL",IF(AND(ABS(EF84)&lt;=0.25,$E84="Peak",DU84="HH"),"EQH","")))</f>
        <v/>
      </c>
      <c r="ER84" s="2" t="str">
        <f aca="false">IF(OR(EG84="EQL",EG84="EQH"),G84,"")</f>
        <v/>
      </c>
      <c r="ES84" s="2" t="str">
        <f aca="false">IF(OR(EH84="EQL",EH84="EQH"),H84,"")</f>
        <v/>
      </c>
      <c r="ET84" s="2" t="str">
        <f aca="false">IF(OR(EI84="EQL",EI84="EQH"),I84,"")</f>
        <v/>
      </c>
      <c r="EU84" s="2" t="str">
        <f aca="false">IF(OR(EJ84="EQL",EJ84="EQH"),J84,"")</f>
        <v/>
      </c>
      <c r="EV84" s="2" t="str">
        <f aca="false">IF(OR(EK84="EQL",EK84="EQH"),K84,"")</f>
        <v/>
      </c>
      <c r="EW84" s="2" t="str">
        <f aca="false">IF(OR(EL84="EQL",EL84="EQH"),L84,"")</f>
        <v/>
      </c>
      <c r="EX84" s="2" t="str">
        <f aca="false">IF(OR(EM84="EQL",EM84="EQH"),M84,"")</f>
        <v/>
      </c>
      <c r="EY84" s="2" t="str">
        <f aca="false">IF(OR(EN84="EQL",EN84="EQH"),N84,"")</f>
        <v/>
      </c>
      <c r="EZ84" s="2" t="str">
        <f aca="false">IF(OR(EO84="EQL",EO84="EQH"),O84,"")</f>
        <v/>
      </c>
      <c r="FA84" s="2" t="str">
        <f aca="false">IF(OR(EP84="EQL",EP84="EQH"),P84,"")</f>
        <v/>
      </c>
      <c r="FB84" s="2" t="str">
        <f aca="false">IF(OR(EQ84="EQL",EQ84="EQH"),Q84,"")</f>
        <v/>
      </c>
      <c r="FC84" s="2" t="str">
        <f aca="false">IF(AND(EG84="EQL",OR(AQ84=4,AQ84=5)),"IEQL",IF(AND(EG84="EQH",OR(AQ84=1,AQ84=2)),"IEQH",""))</f>
        <v/>
      </c>
      <c r="FD84" s="2" t="str">
        <f aca="false">IF(AND(EH84="EQL",OR(AR84=4,AR84=5)),"IEQL",IF(AND(EH84="EQH",OR(AR84=1,AR84=2)),"IEQH",""))</f>
        <v/>
      </c>
      <c r="FE84" s="2" t="str">
        <f aca="false">IF(AND(EI84="EQL",OR(AS84=4,AS84=5)),"IEQL",IF(AND(EI84="EQH",OR(AS84=1,AS84=2)),"IEQH",""))</f>
        <v/>
      </c>
      <c r="FF84" s="2" t="str">
        <f aca="false">IF(AND(EJ84="EQL",OR(AT84=4,AT84=5)),"IEQL",IF(AND(EJ84="EQH",OR(AT84=1,AT84=2)),"IEQH",""))</f>
        <v/>
      </c>
      <c r="FG84" s="2" t="str">
        <f aca="false">IF(AND(EK84="EQL",OR(AU84=4,AU84=5)),"IEQL",IF(AND(EK84="EQH",OR(AU84=1,AU84=2)),"IEQH",""))</f>
        <v/>
      </c>
      <c r="FH84" s="2" t="str">
        <f aca="false">IF(AND(EL84="EQL",OR(AV84=4,AV84=5)),"IEQL",IF(AND(EL84="EQH",OR(AV84=1,AV84=2)),"IEQH",""))</f>
        <v/>
      </c>
      <c r="FI84" s="2" t="str">
        <f aca="false">IF(AND(EM84="EQL",OR(AW84=4,AW84=5)),"IEQL",IF(AND(EM84="EQH",OR(AW84=1,AW84=2)),"IEQH",""))</f>
        <v/>
      </c>
      <c r="FJ84" s="2" t="str">
        <f aca="false">IF(AND(EN84="EQL",OR(AX84=4,AX84=5)),"IEQL",IF(AND(EN84="EQH",OR(AX84=1,AX84=2)),"IEQH",""))</f>
        <v/>
      </c>
      <c r="FK84" s="2" t="str">
        <f aca="false">IF(AND(EO84="EQL",OR(AY84=4,AY84=5)),"IEQL",IF(AND(EO84="EQH",OR(AY84=1,AY84=2)),"IEQH",""))</f>
        <v/>
      </c>
      <c r="FL84" s="2" t="str">
        <f aca="false">IF(AND(EP84="EQL",OR(AZ84=4,AZ84=5)),"IEQL",IF(AND(EP84="EQH",OR(AZ84=1,AZ84=2)),"IEQH",""))</f>
        <v/>
      </c>
      <c r="FM84" s="2" t="str">
        <f aca="false">IF(AND(EQ84="EQL",OR(BA84=4,BA84=5)),"IEQL",IF(AND(EQ84="EQH",OR(BA84=1,BA84=2)),"IEQH",""))</f>
        <v/>
      </c>
    </row>
    <row r="85" customFormat="false" ht="14.25" hidden="false" customHeight="false" outlineLevel="0" collapsed="false">
      <c r="A85" s="1" t="n">
        <v>1778112902</v>
      </c>
      <c r="B85" s="1" t="s">
        <v>169</v>
      </c>
      <c r="C85" s="1" t="s">
        <v>170</v>
      </c>
      <c r="D85" s="1" t="n">
        <v>4692.51</v>
      </c>
      <c r="E85" s="1" t="s">
        <v>173</v>
      </c>
      <c r="F85" s="1" t="n">
        <v>4701.18</v>
      </c>
      <c r="G85" s="2" t="n">
        <f aca="false">F83</f>
        <v>4717.43</v>
      </c>
      <c r="H85" s="2" t="n">
        <f aca="false">F81</f>
        <v>4722.76</v>
      </c>
      <c r="I85" s="2" t="n">
        <f aca="false">F79</f>
        <v>4586.56</v>
      </c>
      <c r="J85" s="2" t="n">
        <f aca="false">F77</f>
        <v>4560.53</v>
      </c>
      <c r="K85" s="2" t="n">
        <f aca="false">F75</f>
        <v>4546.78</v>
      </c>
      <c r="L85" s="2" t="n">
        <f aca="false">F73</f>
        <v>4528.57</v>
      </c>
      <c r="M85" s="2" t="n">
        <f aca="false">F71</f>
        <v>4583.16</v>
      </c>
      <c r="N85" s="2" t="n">
        <f aca="false">F69</f>
        <v>4618.59</v>
      </c>
      <c r="O85" s="2" t="n">
        <f aca="false">F67</f>
        <v>4632.11</v>
      </c>
      <c r="P85" s="2" t="n">
        <f aca="false">F65</f>
        <v>4660.32</v>
      </c>
      <c r="Q85" s="2" t="n">
        <f aca="false">F63</f>
        <v>4635.83</v>
      </c>
      <c r="R85" s="1" t="n">
        <v>22.19</v>
      </c>
      <c r="S85" s="2" t="n">
        <f aca="false">R83</f>
        <v>56.72</v>
      </c>
      <c r="T85" s="2" t="n">
        <f aca="false">R81</f>
        <v>176.45</v>
      </c>
      <c r="U85" s="2" t="n">
        <f aca="false">R79</f>
        <v>46.56</v>
      </c>
      <c r="V85" s="2" t="n">
        <f aca="false">R77</f>
        <v>32.64</v>
      </c>
      <c r="W85" s="2" t="n">
        <f aca="false">R75</f>
        <v>33.22</v>
      </c>
      <c r="X85" s="2" t="n">
        <f aca="false">R73</f>
        <v>27.71</v>
      </c>
      <c r="Y85" s="2" t="n">
        <f aca="false">R71</f>
        <v>56.76</v>
      </c>
      <c r="Z85" s="2" t="n">
        <f aca="false">R69</f>
        <v>25.66</v>
      </c>
      <c r="AA85" s="2" t="n">
        <f aca="false">R67</f>
        <v>25.02</v>
      </c>
      <c r="AB85" s="2" t="n">
        <f aca="false">R65</f>
        <v>99.88</v>
      </c>
      <c r="AC85" s="2" t="n">
        <f aca="false">R63</f>
        <v>21.56</v>
      </c>
      <c r="AD85" s="1" t="n">
        <v>0.47</v>
      </c>
      <c r="AE85" s="2" t="n">
        <f aca="false">AD83</f>
        <v>1.22</v>
      </c>
      <c r="AF85" s="2" t="n">
        <f aca="false">AD81</f>
        <v>3.88</v>
      </c>
      <c r="AG85" s="2" t="n">
        <f aca="false">AD79</f>
        <v>1.03</v>
      </c>
      <c r="AH85" s="2" t="n">
        <f aca="false">AD77</f>
        <v>0.72</v>
      </c>
      <c r="AI85" s="2" t="n">
        <f aca="false">AD75</f>
        <v>0.74</v>
      </c>
      <c r="AJ85" s="2" t="n">
        <f aca="false">AD73</f>
        <v>0.62</v>
      </c>
      <c r="AK85" s="2" t="n">
        <f aca="false">AD71</f>
        <v>1.25</v>
      </c>
      <c r="AL85" s="2" t="n">
        <f aca="false">AD69</f>
        <v>0.56</v>
      </c>
      <c r="AM85" s="2" t="n">
        <f aca="false">AD67</f>
        <v>0.54</v>
      </c>
      <c r="AN85" s="2" t="n">
        <f aca="false">AD65</f>
        <v>2.19</v>
      </c>
      <c r="AO85" s="2" t="n">
        <f aca="false">AD63</f>
        <v>0.47</v>
      </c>
      <c r="AP85" s="1" t="n">
        <v>0</v>
      </c>
      <c r="AQ85" s="2" t="n">
        <f aca="false">AP83</f>
        <v>0</v>
      </c>
      <c r="AR85" s="2" t="n">
        <f aca="false">AP81</f>
        <v>2</v>
      </c>
      <c r="AS85" s="2" t="n">
        <f aca="false">AP79</f>
        <v>0</v>
      </c>
      <c r="AT85" s="2" t="n">
        <f aca="false">AP77</f>
        <v>0</v>
      </c>
      <c r="AU85" s="2" t="n">
        <f aca="false">AP75</f>
        <v>0</v>
      </c>
      <c r="AV85" s="2" t="n">
        <f aca="false">AP73</f>
        <v>0</v>
      </c>
      <c r="AW85" s="2" t="n">
        <f aca="false">AP71</f>
        <v>0</v>
      </c>
      <c r="AX85" s="2" t="n">
        <f aca="false">AP69</f>
        <v>0</v>
      </c>
      <c r="AY85" s="2" t="n">
        <f aca="false">AP67</f>
        <v>0</v>
      </c>
      <c r="AZ85" s="2" t="n">
        <f aca="false">AP65</f>
        <v>1</v>
      </c>
      <c r="BA85" s="2" t="n">
        <f aca="false">AP63</f>
        <v>0</v>
      </c>
      <c r="BB85" s="1" t="n">
        <v>23</v>
      </c>
      <c r="BC85" s="2" t="n">
        <f aca="false">BB83</f>
        <v>8</v>
      </c>
      <c r="BD85" s="2" t="n">
        <f aca="false">BB81</f>
        <v>49</v>
      </c>
      <c r="BE85" s="2" t="n">
        <f aca="false">BB79</f>
        <v>13</v>
      </c>
      <c r="BF85" s="2" t="n">
        <f aca="false">BB77</f>
        <v>18</v>
      </c>
      <c r="BG85" s="2" t="n">
        <f aca="false">BB75</f>
        <v>10</v>
      </c>
      <c r="BH85" s="2" t="n">
        <f aca="false">BB73</f>
        <v>28</v>
      </c>
      <c r="BI85" s="2" t="n">
        <f aca="false">BB71</f>
        <v>17</v>
      </c>
      <c r="BJ85" s="2" t="n">
        <f aca="false">BB69</f>
        <v>2</v>
      </c>
      <c r="BK85" s="2" t="n">
        <f aca="false">BB67</f>
        <v>4</v>
      </c>
      <c r="BL85" s="2" t="n">
        <f aca="false">BB65</f>
        <v>18</v>
      </c>
      <c r="BM85" s="2" t="n">
        <f aca="false">BB63</f>
        <v>4</v>
      </c>
      <c r="BN85" s="1" t="n">
        <v>0</v>
      </c>
      <c r="BO85" s="2" t="n">
        <f aca="false">BN83</f>
        <v>0</v>
      </c>
      <c r="BP85" s="2" t="n">
        <f aca="false">BN81</f>
        <v>2</v>
      </c>
      <c r="BQ85" s="2" t="n">
        <f aca="false">BN79</f>
        <v>0</v>
      </c>
      <c r="BR85" s="2" t="n">
        <f aca="false">BN77</f>
        <v>0</v>
      </c>
      <c r="BS85" s="2" t="n">
        <f aca="false">BN75</f>
        <v>0</v>
      </c>
      <c r="BT85" s="2" t="n">
        <f aca="false">BN73</f>
        <v>0</v>
      </c>
      <c r="BU85" s="2" t="n">
        <f aca="false">BN71</f>
        <v>0</v>
      </c>
      <c r="BV85" s="2" t="n">
        <f aca="false">BN69</f>
        <v>0</v>
      </c>
      <c r="BW85" s="2" t="n">
        <f aca="false">BN67</f>
        <v>0</v>
      </c>
      <c r="BX85" s="2" t="n">
        <f aca="false">BN65</f>
        <v>0</v>
      </c>
      <c r="BY85" s="2" t="n">
        <f aca="false">BN63</f>
        <v>0</v>
      </c>
      <c r="BZ85" s="1" t="n">
        <v>0.96478</v>
      </c>
      <c r="CA85" s="2" t="n">
        <f aca="false">BZ83</f>
        <v>7.09</v>
      </c>
      <c r="CB85" s="2" t="n">
        <f aca="false">BZ81</f>
        <v>3.60102</v>
      </c>
      <c r="CC85" s="2" t="n">
        <f aca="false">BZ79</f>
        <v>3.58154</v>
      </c>
      <c r="CD85" s="2" t="n">
        <f aca="false">BZ77</f>
        <v>1.81333</v>
      </c>
      <c r="CE85" s="2" t="n">
        <f aca="false">BZ75</f>
        <v>3.322</v>
      </c>
      <c r="CF85" s="2" t="n">
        <f aca="false">BZ73</f>
        <v>0.98964</v>
      </c>
      <c r="CG85" s="2" t="n">
        <f aca="false">BZ71</f>
        <v>3.33882</v>
      </c>
      <c r="CH85" s="2" t="n">
        <f aca="false">BZ69</f>
        <v>12.83</v>
      </c>
      <c r="CI85" s="2" t="n">
        <f aca="false">BZ67</f>
        <v>6.255</v>
      </c>
      <c r="CJ85" s="2" t="n">
        <f aca="false">BZ65</f>
        <v>5.54889</v>
      </c>
      <c r="CK85" s="2" t="n">
        <f aca="false">BZ63</f>
        <v>5.39</v>
      </c>
      <c r="CL85" s="1" t="n">
        <v>0</v>
      </c>
      <c r="CM85" s="2" t="n">
        <f aca="false">CL83</f>
        <v>0</v>
      </c>
      <c r="CN85" s="2" t="n">
        <f aca="false">CL81</f>
        <v>0</v>
      </c>
      <c r="CO85" s="2" t="n">
        <f aca="false">CL79</f>
        <v>0</v>
      </c>
      <c r="CP85" s="2" t="n">
        <f aca="false">CL77</f>
        <v>0</v>
      </c>
      <c r="CQ85" s="2" t="n">
        <f aca="false">CL75</f>
        <v>0</v>
      </c>
      <c r="CR85" s="2" t="n">
        <f aca="false">CL73</f>
        <v>0</v>
      </c>
      <c r="CS85" s="2" t="n">
        <f aca="false">CL71</f>
        <v>0</v>
      </c>
      <c r="CT85" s="2" t="n">
        <f aca="false">CL69</f>
        <v>0</v>
      </c>
      <c r="CU85" s="2" t="n">
        <f aca="false">CL67</f>
        <v>0</v>
      </c>
      <c r="CV85" s="2" t="n">
        <f aca="false">CL65</f>
        <v>0</v>
      </c>
      <c r="CW85" s="2" t="n">
        <f aca="false">CL63</f>
        <v>0</v>
      </c>
      <c r="CX85" s="1" t="n">
        <v>43.9731</v>
      </c>
      <c r="CY85" s="2" t="n">
        <f aca="false">CX83</f>
        <v>81.9717</v>
      </c>
      <c r="CZ85" s="2" t="n">
        <f aca="false">CX81</f>
        <v>74.4801</v>
      </c>
      <c r="DA85" s="2" t="n">
        <f aca="false">CX79</f>
        <v>74.3998</v>
      </c>
      <c r="DB85" s="2" t="n">
        <f aca="false">CX77</f>
        <v>61.1246</v>
      </c>
      <c r="DC85" s="2" t="n">
        <f aca="false">CX75</f>
        <v>73.247</v>
      </c>
      <c r="DD85" s="2" t="n">
        <f aca="false">CX73</f>
        <v>44.7017</v>
      </c>
      <c r="DE85" s="2" t="n">
        <f aca="false">CX71</f>
        <v>73.3267</v>
      </c>
      <c r="DF85" s="2" t="n">
        <f aca="false">CX69</f>
        <v>85.5432</v>
      </c>
      <c r="DG85" s="2" t="n">
        <f aca="false">CX67</f>
        <v>80.9169</v>
      </c>
      <c r="DH85" s="2" t="n">
        <f aca="false">CX65</f>
        <v>79.784</v>
      </c>
      <c r="DI85" s="2" t="n">
        <f aca="false">CX63</f>
        <v>79.4895</v>
      </c>
      <c r="DJ85" s="1" t="s">
        <v>174</v>
      </c>
      <c r="DK85" s="2" t="str">
        <f aca="false">DJ83</f>
        <v>LH</v>
      </c>
      <c r="DL85" s="2" t="str">
        <f aca="false">DJ81</f>
        <v>HH</v>
      </c>
      <c r="DM85" s="2" t="str">
        <f aca="false">DJ79</f>
        <v>HH</v>
      </c>
      <c r="DN85" s="2" t="str">
        <f aca="false">DJ77</f>
        <v>HH</v>
      </c>
      <c r="DO85" s="2" t="str">
        <f aca="false">DJ75</f>
        <v>HH</v>
      </c>
      <c r="DP85" s="2" t="str">
        <f aca="false">DJ73</f>
        <v>LH</v>
      </c>
      <c r="DQ85" s="2" t="str">
        <f aca="false">DJ71</f>
        <v>LH</v>
      </c>
      <c r="DR85" s="2" t="str">
        <f aca="false">DJ69</f>
        <v>LH</v>
      </c>
      <c r="DS85" s="2" t="str">
        <f aca="false">DJ67</f>
        <v>LH</v>
      </c>
      <c r="DT85" s="2" t="str">
        <f aca="false">DJ65</f>
        <v>HH</v>
      </c>
      <c r="DU85" s="2" t="str">
        <f aca="false">DJ63</f>
        <v>HH</v>
      </c>
      <c r="DV85" s="2" t="n">
        <f aca="false">IFERROR((G85-$F85)/$F85*100,"")</f>
        <v>0.345657898655231</v>
      </c>
      <c r="DW85" s="2" t="n">
        <f aca="false">IFERROR((H85-$F85)/$F85*100,"")</f>
        <v>0.459033689414145</v>
      </c>
      <c r="DX85" s="2" t="n">
        <f aca="false">IFERROR((I85-$F85)/$F85*100,"")</f>
        <v>-2.43811128269924</v>
      </c>
      <c r="DY85" s="2" t="n">
        <f aca="false">IFERROR((J85-$F85)/$F85*100,"")</f>
        <v>-2.99180205820667</v>
      </c>
      <c r="DZ85" s="2" t="n">
        <f aca="false">IFERROR((K85-$F85)/$F85*100,"")</f>
        <v>-3.28428181860726</v>
      </c>
      <c r="EA85" s="2" t="n">
        <f aca="false">IFERROR((L85-$F85)/$F85*100,"")</f>
        <v>-3.67163137765413</v>
      </c>
      <c r="EB85" s="2" t="n">
        <f aca="false">IFERROR((M85-$F85)/$F85*100,"")</f>
        <v>-2.51043355072557</v>
      </c>
      <c r="EC85" s="2" t="n">
        <f aca="false">IFERROR((N85-$F85)/$F85*100,"")</f>
        <v>-1.75679297538065</v>
      </c>
      <c r="ED85" s="2" t="n">
        <f aca="false">IFERROR((O85-$F85)/$F85*100,"")</f>
        <v>-1.46920560369951</v>
      </c>
      <c r="EE85" s="2" t="n">
        <f aca="false">IFERROR((P85-$F85)/$F85*100,"")</f>
        <v>-0.869143491634028</v>
      </c>
      <c r="EF85" s="2" t="n">
        <f aca="false">IFERROR((Q85-$F85)/$F85*100,"")</f>
        <v>-1.39007653397658</v>
      </c>
      <c r="EG85" s="2" t="str">
        <f aca="false">IF(DV85="","",IF(AND(ABS(DV85)&lt;=0.25,$E85="Bottom",DK85="LL"),"EQL",IF(AND(ABS(DV85)&lt;=0.25,$E85="Peak",DK85="HH"),"EQH","")))</f>
        <v/>
      </c>
      <c r="EH85" s="2" t="str">
        <f aca="false">IF(DW85="","",IF(AND(ABS(DW85)&lt;=0.25,$E85="Bottom",DL85="LL"),"EQL",IF(AND(ABS(DW85)&lt;=0.25,$E85="Peak",DL85="HH"),"EQH","")))</f>
        <v/>
      </c>
      <c r="EI85" s="2" t="str">
        <f aca="false">IF(DX85="","",IF(AND(ABS(DX85)&lt;=0.25,$E85="Bottom",DM85="LL"),"EQL",IF(AND(ABS(DX85)&lt;=0.25,$E85="Peak",DM85="HH"),"EQH","")))</f>
        <v/>
      </c>
      <c r="EJ85" s="2" t="str">
        <f aca="false">IF(DY85="","",IF(AND(ABS(DY85)&lt;=0.25,$E85="Bottom",DN85="LL"),"EQL",IF(AND(ABS(DY85)&lt;=0.25,$E85="Peak",DN85="HH"),"EQH","")))</f>
        <v/>
      </c>
      <c r="EK85" s="2" t="str">
        <f aca="false">IF(DZ85="","",IF(AND(ABS(DZ85)&lt;=0.25,$E85="Bottom",DO85="LL"),"EQL",IF(AND(ABS(DZ85)&lt;=0.25,$E85="Peak",DO85="HH"),"EQH","")))</f>
        <v/>
      </c>
      <c r="EL85" s="2" t="str">
        <f aca="false">IF(EA85="","",IF(AND(ABS(EA85)&lt;=0.25,$E85="Bottom",DP85="LL"),"EQL",IF(AND(ABS(EA85)&lt;=0.25,$E85="Peak",DP85="HH"),"EQH","")))</f>
        <v/>
      </c>
      <c r="EM85" s="2" t="str">
        <f aca="false">IF(EB85="","",IF(AND(ABS(EB85)&lt;=0.25,$E85="Bottom",DQ85="LL"),"EQL",IF(AND(ABS(EB85)&lt;=0.25,$E85="Peak",DQ85="HH"),"EQH","")))</f>
        <v/>
      </c>
      <c r="EN85" s="2" t="str">
        <f aca="false">IF(EC85="","",IF(AND(ABS(EC85)&lt;=0.25,$E85="Bottom",DR85="LL"),"EQL",IF(AND(ABS(EC85)&lt;=0.25,$E85="Peak",DR85="HH"),"EQH","")))</f>
        <v/>
      </c>
      <c r="EO85" s="2" t="str">
        <f aca="false">IF(ED85="","",IF(AND(ABS(ED85)&lt;=0.25,$E85="Bottom",DS85="LL"),"EQL",IF(AND(ABS(ED85)&lt;=0.25,$E85="Peak",DS85="HH"),"EQH","")))</f>
        <v/>
      </c>
      <c r="EP85" s="2" t="str">
        <f aca="false">IF(EE85="","",IF(AND(ABS(EE85)&lt;=0.25,$E85="Bottom",DT85="LL"),"EQL",IF(AND(ABS(EE85)&lt;=0.25,$E85="Peak",DT85="HH"),"EQH","")))</f>
        <v/>
      </c>
      <c r="EQ85" s="2" t="str">
        <f aca="false">IF(EF85="","",IF(AND(ABS(EF85)&lt;=0.25,$E85="Bottom",DU85="LL"),"EQL",IF(AND(ABS(EF85)&lt;=0.25,$E85="Peak",DU85="HH"),"EQH","")))</f>
        <v/>
      </c>
      <c r="ER85" s="2" t="str">
        <f aca="false">IF(OR(EG85="EQL",EG85="EQH"),G85,"")</f>
        <v/>
      </c>
      <c r="ES85" s="2" t="str">
        <f aca="false">IF(OR(EH85="EQL",EH85="EQH"),H85,"")</f>
        <v/>
      </c>
      <c r="ET85" s="2" t="str">
        <f aca="false">IF(OR(EI85="EQL",EI85="EQH"),I85,"")</f>
        <v/>
      </c>
      <c r="EU85" s="2" t="str">
        <f aca="false">IF(OR(EJ85="EQL",EJ85="EQH"),J85,"")</f>
        <v/>
      </c>
      <c r="EV85" s="2" t="str">
        <f aca="false">IF(OR(EK85="EQL",EK85="EQH"),K85,"")</f>
        <v/>
      </c>
      <c r="EW85" s="2" t="str">
        <f aca="false">IF(OR(EL85="EQL",EL85="EQH"),L85,"")</f>
        <v/>
      </c>
      <c r="EX85" s="2" t="str">
        <f aca="false">IF(OR(EM85="EQL",EM85="EQH"),M85,"")</f>
        <v/>
      </c>
      <c r="EY85" s="2" t="str">
        <f aca="false">IF(OR(EN85="EQL",EN85="EQH"),N85,"")</f>
        <v/>
      </c>
      <c r="EZ85" s="2" t="str">
        <f aca="false">IF(OR(EO85="EQL",EO85="EQH"),O85,"")</f>
        <v/>
      </c>
      <c r="FA85" s="2" t="str">
        <f aca="false">IF(OR(EP85="EQL",EP85="EQH"),P85,"")</f>
        <v/>
      </c>
      <c r="FB85" s="2" t="str">
        <f aca="false">IF(OR(EQ85="EQL",EQ85="EQH"),Q85,"")</f>
        <v/>
      </c>
      <c r="FC85" s="2" t="str">
        <f aca="false">IF(AND(EG85="EQL",OR(AQ85=4,AQ85=5)),"IEQL",IF(AND(EG85="EQH",OR(AQ85=1,AQ85=2)),"IEQH",""))</f>
        <v/>
      </c>
      <c r="FD85" s="2" t="str">
        <f aca="false">IF(AND(EH85="EQL",OR(AR85=4,AR85=5)),"IEQL",IF(AND(EH85="EQH",OR(AR85=1,AR85=2)),"IEQH",""))</f>
        <v/>
      </c>
      <c r="FE85" s="2" t="str">
        <f aca="false">IF(AND(EI85="EQL",OR(AS85=4,AS85=5)),"IEQL",IF(AND(EI85="EQH",OR(AS85=1,AS85=2)),"IEQH",""))</f>
        <v/>
      </c>
      <c r="FF85" s="2" t="str">
        <f aca="false">IF(AND(EJ85="EQL",OR(AT85=4,AT85=5)),"IEQL",IF(AND(EJ85="EQH",OR(AT85=1,AT85=2)),"IEQH",""))</f>
        <v/>
      </c>
      <c r="FG85" s="2" t="str">
        <f aca="false">IF(AND(EK85="EQL",OR(AU85=4,AU85=5)),"IEQL",IF(AND(EK85="EQH",OR(AU85=1,AU85=2)),"IEQH",""))</f>
        <v/>
      </c>
      <c r="FH85" s="2" t="str">
        <f aca="false">IF(AND(EL85="EQL",OR(AV85=4,AV85=5)),"IEQL",IF(AND(EL85="EQH",OR(AV85=1,AV85=2)),"IEQH",""))</f>
        <v/>
      </c>
      <c r="FI85" s="2" t="str">
        <f aca="false">IF(AND(EM85="EQL",OR(AW85=4,AW85=5)),"IEQL",IF(AND(EM85="EQH",OR(AW85=1,AW85=2)),"IEQH",""))</f>
        <v/>
      </c>
      <c r="FJ85" s="2" t="str">
        <f aca="false">IF(AND(EN85="EQL",OR(AX85=4,AX85=5)),"IEQL",IF(AND(EN85="EQH",OR(AX85=1,AX85=2)),"IEQH",""))</f>
        <v/>
      </c>
      <c r="FK85" s="2" t="str">
        <f aca="false">IF(AND(EO85="EQL",OR(AY85=4,AY85=5)),"IEQL",IF(AND(EO85="EQH",OR(AY85=1,AY85=2)),"IEQH",""))</f>
        <v/>
      </c>
      <c r="FL85" s="2" t="str">
        <f aca="false">IF(AND(EP85="EQL",OR(AZ85=4,AZ85=5)),"IEQL",IF(AND(EP85="EQH",OR(AZ85=1,AZ85=2)),"IEQH",""))</f>
        <v/>
      </c>
      <c r="FM85" s="2" t="str">
        <f aca="false">IF(AND(EQ85="EQL",OR(BA85=4,BA85=5)),"IEQL",IF(AND(EQ85="EQH",OR(BA85=1,BA85=2)),"IEQH",""))</f>
        <v/>
      </c>
    </row>
    <row r="86" customFormat="false" ht="14.25" hidden="false" customHeight="false" outlineLevel="0" collapsed="false">
      <c r="A86" s="1" t="n">
        <v>1778114702</v>
      </c>
      <c r="B86" s="1" t="s">
        <v>169</v>
      </c>
      <c r="C86" s="1" t="s">
        <v>170</v>
      </c>
      <c r="D86" s="1" t="n">
        <v>4688.57</v>
      </c>
      <c r="E86" s="1" t="s">
        <v>171</v>
      </c>
      <c r="F86" s="1" t="n">
        <v>4685.59</v>
      </c>
      <c r="G86" s="2" t="n">
        <f aca="false">F84</f>
        <v>4678.99</v>
      </c>
      <c r="H86" s="2" t="n">
        <f aca="false">F82</f>
        <v>4660.71</v>
      </c>
      <c r="I86" s="2" t="n">
        <f aca="false">F80</f>
        <v>4546.31</v>
      </c>
      <c r="J86" s="2" t="n">
        <f aca="false">F78</f>
        <v>4540</v>
      </c>
      <c r="K86" s="2" t="n">
        <f aca="false">F76</f>
        <v>4527.89</v>
      </c>
      <c r="L86" s="2" t="n">
        <f aca="false">F74</f>
        <v>4513.56</v>
      </c>
      <c r="M86" s="2" t="n">
        <f aca="false">F72</f>
        <v>4500.86</v>
      </c>
      <c r="N86" s="2" t="n">
        <f aca="false">F70</f>
        <v>4526.4</v>
      </c>
      <c r="O86" s="2" t="n">
        <f aca="false">F68</f>
        <v>4592.93</v>
      </c>
      <c r="P86" s="2" t="n">
        <f aca="false">F66</f>
        <v>4607.09</v>
      </c>
      <c r="Q86" s="2" t="n">
        <f aca="false">F64</f>
        <v>4560.44</v>
      </c>
      <c r="R86" s="1" t="n">
        <v>-15.59</v>
      </c>
      <c r="S86" s="2" t="n">
        <f aca="false">R84</f>
        <v>-38.44</v>
      </c>
      <c r="T86" s="2" t="n">
        <f aca="false">R82</f>
        <v>-62.05</v>
      </c>
      <c r="U86" s="2" t="n">
        <f aca="false">R80</f>
        <v>-40.25</v>
      </c>
      <c r="V86" s="2" t="n">
        <f aca="false">R78</f>
        <v>-20.53</v>
      </c>
      <c r="W86" s="2" t="n">
        <f aca="false">R76</f>
        <v>-18.89</v>
      </c>
      <c r="X86" s="2" t="n">
        <f aca="false">R74</f>
        <v>-15.01</v>
      </c>
      <c r="Y86" s="2" t="n">
        <f aca="false">R72</f>
        <v>-82.3</v>
      </c>
      <c r="Z86" s="2" t="n">
        <f aca="false">R70</f>
        <v>-92.19</v>
      </c>
      <c r="AA86" s="2" t="n">
        <f aca="false">R68</f>
        <v>-39.18</v>
      </c>
      <c r="AB86" s="2" t="n">
        <f aca="false">R66</f>
        <v>-53.23</v>
      </c>
      <c r="AC86" s="2" t="n">
        <f aca="false">R64</f>
        <v>-75.39</v>
      </c>
      <c r="AD86" s="1" t="n">
        <v>-0.33</v>
      </c>
      <c r="AE86" s="2" t="n">
        <f aca="false">AD84</f>
        <v>-0.81</v>
      </c>
      <c r="AF86" s="2" t="n">
        <f aca="false">AD82</f>
        <v>-1.31</v>
      </c>
      <c r="AG86" s="2" t="n">
        <f aca="false">AD80</f>
        <v>-0.88</v>
      </c>
      <c r="AH86" s="2" t="n">
        <f aca="false">AD78</f>
        <v>-0.45</v>
      </c>
      <c r="AI86" s="2" t="n">
        <f aca="false">AD76</f>
        <v>-0.42</v>
      </c>
      <c r="AJ86" s="2" t="n">
        <f aca="false">AD74</f>
        <v>-0.33</v>
      </c>
      <c r="AK86" s="2" t="n">
        <f aca="false">AD72</f>
        <v>-1.8</v>
      </c>
      <c r="AL86" s="2" t="n">
        <f aca="false">AD70</f>
        <v>-2</v>
      </c>
      <c r="AM86" s="2" t="n">
        <f aca="false">AD68</f>
        <v>-0.85</v>
      </c>
      <c r="AN86" s="2" t="n">
        <f aca="false">AD66</f>
        <v>-1.14</v>
      </c>
      <c r="AO86" s="2" t="n">
        <f aca="false">AD64</f>
        <v>-1.63</v>
      </c>
      <c r="AP86" s="1" t="n">
        <v>3</v>
      </c>
      <c r="AQ86" s="2" t="n">
        <f aca="false">AP84</f>
        <v>3</v>
      </c>
      <c r="AR86" s="2" t="n">
        <f aca="false">AP82</f>
        <v>3</v>
      </c>
      <c r="AS86" s="2" t="n">
        <f aca="false">AP80</f>
        <v>3</v>
      </c>
      <c r="AT86" s="2" t="n">
        <f aca="false">AP78</f>
        <v>3</v>
      </c>
      <c r="AU86" s="2" t="n">
        <f aca="false">AP76</f>
        <v>3</v>
      </c>
      <c r="AV86" s="2" t="n">
        <f aca="false">AP74</f>
        <v>3</v>
      </c>
      <c r="AW86" s="2" t="n">
        <f aca="false">AP72</f>
        <v>3</v>
      </c>
      <c r="AX86" s="2" t="n">
        <f aca="false">AP70</f>
        <v>4</v>
      </c>
      <c r="AY86" s="2" t="n">
        <f aca="false">AP68</f>
        <v>3</v>
      </c>
      <c r="AZ86" s="2" t="n">
        <f aca="false">AP66</f>
        <v>3</v>
      </c>
      <c r="BA86" s="2" t="n">
        <f aca="false">AP64</f>
        <v>3</v>
      </c>
      <c r="BB86" s="1" t="n">
        <v>2</v>
      </c>
      <c r="BC86" s="2" t="n">
        <f aca="false">BB84</f>
        <v>13</v>
      </c>
      <c r="BD86" s="2" t="n">
        <f aca="false">BB82</f>
        <v>6</v>
      </c>
      <c r="BE86" s="2" t="n">
        <f aca="false">BB80</f>
        <v>29</v>
      </c>
      <c r="BF86" s="2" t="n">
        <f aca="false">BB78</f>
        <v>8</v>
      </c>
      <c r="BG86" s="2" t="n">
        <f aca="false">BB76</f>
        <v>7</v>
      </c>
      <c r="BH86" s="2" t="n">
        <f aca="false">BB74</f>
        <v>1</v>
      </c>
      <c r="BI86" s="2" t="n">
        <f aca="false">BB72</f>
        <v>6</v>
      </c>
      <c r="BJ86" s="2" t="n">
        <f aca="false">BB70</f>
        <v>33</v>
      </c>
      <c r="BK86" s="2" t="n">
        <f aca="false">BB68</f>
        <v>14</v>
      </c>
      <c r="BL86" s="2" t="n">
        <f aca="false">BB66</f>
        <v>23</v>
      </c>
      <c r="BM86" s="2" t="n">
        <f aca="false">BB64</f>
        <v>30</v>
      </c>
      <c r="BN86" s="1" t="n">
        <v>3</v>
      </c>
      <c r="BO86" s="2" t="n">
        <f aca="false">BN84</f>
        <v>3</v>
      </c>
      <c r="BP86" s="2" t="n">
        <f aca="false">BN82</f>
        <v>3</v>
      </c>
      <c r="BQ86" s="2" t="n">
        <f aca="false">BN80</f>
        <v>3</v>
      </c>
      <c r="BR86" s="2" t="n">
        <f aca="false">BN78</f>
        <v>3</v>
      </c>
      <c r="BS86" s="2" t="n">
        <f aca="false">BN76</f>
        <v>3</v>
      </c>
      <c r="BT86" s="2" t="n">
        <f aca="false">BN74</f>
        <v>3</v>
      </c>
      <c r="BU86" s="2" t="n">
        <f aca="false">BN72</f>
        <v>3</v>
      </c>
      <c r="BV86" s="2" t="n">
        <f aca="false">BN70</f>
        <v>3</v>
      </c>
      <c r="BW86" s="2" t="n">
        <f aca="false">BN68</f>
        <v>3</v>
      </c>
      <c r="BX86" s="2" t="n">
        <f aca="false">BN66</f>
        <v>3</v>
      </c>
      <c r="BY86" s="2" t="n">
        <f aca="false">BN64</f>
        <v>3</v>
      </c>
      <c r="BZ86" s="1" t="n">
        <v>-7.795</v>
      </c>
      <c r="CA86" s="2" t="n">
        <f aca="false">BZ84</f>
        <v>-2.95692</v>
      </c>
      <c r="CB86" s="2" t="n">
        <f aca="false">BZ82</f>
        <v>-10.34167</v>
      </c>
      <c r="CC86" s="2" t="n">
        <f aca="false">BZ80</f>
        <v>-1.38793</v>
      </c>
      <c r="CD86" s="2" t="n">
        <f aca="false">BZ78</f>
        <v>-2.56625</v>
      </c>
      <c r="CE86" s="2" t="n">
        <f aca="false">BZ76</f>
        <v>-2.69857</v>
      </c>
      <c r="CF86" s="2" t="n">
        <f aca="false">BZ74</f>
        <v>-15.01</v>
      </c>
      <c r="CG86" s="2" t="n">
        <f aca="false">BZ72</f>
        <v>-13.71667</v>
      </c>
      <c r="CH86" s="2" t="n">
        <f aca="false">BZ70</f>
        <v>-2.79364</v>
      </c>
      <c r="CI86" s="2" t="n">
        <f aca="false">BZ68</f>
        <v>-2.79857</v>
      </c>
      <c r="CJ86" s="2" t="n">
        <f aca="false">BZ66</f>
        <v>-2.31435</v>
      </c>
      <c r="CK86" s="2" t="n">
        <f aca="false">BZ64</f>
        <v>-2.513</v>
      </c>
      <c r="CL86" s="1" t="n">
        <v>3</v>
      </c>
      <c r="CM86" s="2" t="n">
        <f aca="false">CL84</f>
        <v>3</v>
      </c>
      <c r="CN86" s="2" t="n">
        <f aca="false">CL82</f>
        <v>5</v>
      </c>
      <c r="CO86" s="2" t="n">
        <f aca="false">CL80</f>
        <v>3</v>
      </c>
      <c r="CP86" s="2" t="n">
        <f aca="false">CL78</f>
        <v>3</v>
      </c>
      <c r="CQ86" s="2" t="n">
        <f aca="false">CL76</f>
        <v>3</v>
      </c>
      <c r="CR86" s="2" t="n">
        <f aca="false">CL74</f>
        <v>5</v>
      </c>
      <c r="CS86" s="2" t="n">
        <f aca="false">CL72</f>
        <v>5</v>
      </c>
      <c r="CT86" s="2" t="n">
        <f aca="false">CL70</f>
        <v>3</v>
      </c>
      <c r="CU86" s="2" t="n">
        <f aca="false">CL68</f>
        <v>3</v>
      </c>
      <c r="CV86" s="2" t="n">
        <f aca="false">CL66</f>
        <v>3</v>
      </c>
      <c r="CW86" s="2" t="n">
        <f aca="false">CL64</f>
        <v>3</v>
      </c>
      <c r="CX86" s="1" t="n">
        <v>-82.6896</v>
      </c>
      <c r="CY86" s="2" t="n">
        <f aca="false">CX84</f>
        <v>-71.315</v>
      </c>
      <c r="CZ86" s="2" t="n">
        <f aca="false">CX82</f>
        <v>-84.4769</v>
      </c>
      <c r="DA86" s="2" t="n">
        <f aca="false">CX80</f>
        <v>-54.2274</v>
      </c>
      <c r="DB86" s="2" t="n">
        <f aca="false">CX78</f>
        <v>-68.7104</v>
      </c>
      <c r="DC86" s="2" t="n">
        <f aca="false">CX76</f>
        <v>-69.667</v>
      </c>
      <c r="DD86" s="2" t="n">
        <f aca="false">CX74</f>
        <v>-86.1885</v>
      </c>
      <c r="DE86" s="2" t="n">
        <f aca="false">CX72</f>
        <v>-85.8303</v>
      </c>
      <c r="DF86" s="2" t="n">
        <f aca="false">CX70</f>
        <v>-70.3048</v>
      </c>
      <c r="DG86" s="2" t="n">
        <f aca="false">CX68</f>
        <v>-70.3369</v>
      </c>
      <c r="DH86" s="2" t="n">
        <f aca="false">CX66</f>
        <v>-66.6314</v>
      </c>
      <c r="DI86" s="2" t="n">
        <f aca="false">CX64</f>
        <v>-68.3009</v>
      </c>
      <c r="DJ86" s="1" t="s">
        <v>175</v>
      </c>
      <c r="DK86" s="2" t="str">
        <f aca="false">DJ84</f>
        <v>HL</v>
      </c>
      <c r="DL86" s="2" t="str">
        <f aca="false">DJ82</f>
        <v>HL</v>
      </c>
      <c r="DM86" s="2" t="str">
        <f aca="false">DJ80</f>
        <v>HL</v>
      </c>
      <c r="DN86" s="2" t="str">
        <f aca="false">DJ78</f>
        <v>HL</v>
      </c>
      <c r="DO86" s="2" t="str">
        <f aca="false">DJ76</f>
        <v>HL</v>
      </c>
      <c r="DP86" s="2" t="str">
        <f aca="false">DJ74</f>
        <v>HL</v>
      </c>
      <c r="DQ86" s="2" t="str">
        <f aca="false">DJ72</f>
        <v>LL</v>
      </c>
      <c r="DR86" s="2" t="str">
        <f aca="false">DJ70</f>
        <v>LL</v>
      </c>
      <c r="DS86" s="2" t="str">
        <f aca="false">DJ68</f>
        <v>LL</v>
      </c>
      <c r="DT86" s="2" t="str">
        <f aca="false">DJ66</f>
        <v>HL</v>
      </c>
      <c r="DU86" s="2" t="str">
        <f aca="false">DJ64</f>
        <v>LL</v>
      </c>
      <c r="DV86" s="2" t="n">
        <f aca="false">IFERROR((G86-$F86)/$F86*100,"")</f>
        <v>-0.140857394693099</v>
      </c>
      <c r="DW86" s="2" t="n">
        <f aca="false">IFERROR((H86-$F86)/$F86*100,"")</f>
        <v>-0.530989693933957</v>
      </c>
      <c r="DX86" s="2" t="n">
        <f aca="false">IFERROR((I86-$F86)/$F86*100,"")</f>
        <v>-2.97251786861419</v>
      </c>
      <c r="DY86" s="2" t="n">
        <f aca="false">IFERROR((J86-$F86)/$F86*100,"")</f>
        <v>-3.1071860747526</v>
      </c>
      <c r="DZ86" s="2" t="n">
        <f aca="false">IFERROR((K86-$F86)/$F86*100,"")</f>
        <v>-3.36563805198491</v>
      </c>
      <c r="EA86" s="2" t="n">
        <f aca="false">IFERROR((L86-$F86)/$F86*100,"")</f>
        <v>-3.67146933470491</v>
      </c>
      <c r="EB86" s="2" t="n">
        <f aca="false">IFERROR((M86-$F86)/$F86*100,"")</f>
        <v>-3.94251310934163</v>
      </c>
      <c r="EC86" s="2" t="n">
        <f aca="false">IFERROR((N86-$F86)/$F86*100,"")</f>
        <v>-3.39743767593837</v>
      </c>
      <c r="ED86" s="2" t="n">
        <f aca="false">IFERROR((O86-$F86)/$F86*100,"")</f>
        <v>-1.977552453373</v>
      </c>
      <c r="EE86" s="2" t="n">
        <f aca="false">IFERROR((P86-$F86)/$F86*100,"")</f>
        <v>-1.67534931566782</v>
      </c>
      <c r="EF86" s="2" t="n">
        <f aca="false">IFERROR((Q86-$F86)/$F86*100,"")</f>
        <v>-2.670954991794</v>
      </c>
      <c r="EG86" s="2" t="str">
        <f aca="false">IF(DV86="","",IF(AND(ABS(DV86)&lt;=0.25,$E86="Bottom",DK86="LL"),"EQL",IF(AND(ABS(DV86)&lt;=0.25,$E86="Peak",DK86="HH"),"EQH","")))</f>
        <v/>
      </c>
      <c r="EH86" s="2" t="str">
        <f aca="false">IF(DW86="","",IF(AND(ABS(DW86)&lt;=0.25,$E86="Bottom",DL86="LL"),"EQL",IF(AND(ABS(DW86)&lt;=0.25,$E86="Peak",DL86="HH"),"EQH","")))</f>
        <v/>
      </c>
      <c r="EI86" s="2" t="str">
        <f aca="false">IF(DX86="","",IF(AND(ABS(DX86)&lt;=0.25,$E86="Bottom",DM86="LL"),"EQL",IF(AND(ABS(DX86)&lt;=0.25,$E86="Peak",DM86="HH"),"EQH","")))</f>
        <v/>
      </c>
      <c r="EJ86" s="2" t="str">
        <f aca="false">IF(DY86="","",IF(AND(ABS(DY86)&lt;=0.25,$E86="Bottom",DN86="LL"),"EQL",IF(AND(ABS(DY86)&lt;=0.25,$E86="Peak",DN86="HH"),"EQH","")))</f>
        <v/>
      </c>
      <c r="EK86" s="2" t="str">
        <f aca="false">IF(DZ86="","",IF(AND(ABS(DZ86)&lt;=0.25,$E86="Bottom",DO86="LL"),"EQL",IF(AND(ABS(DZ86)&lt;=0.25,$E86="Peak",DO86="HH"),"EQH","")))</f>
        <v/>
      </c>
      <c r="EL86" s="2" t="str">
        <f aca="false">IF(EA86="","",IF(AND(ABS(EA86)&lt;=0.25,$E86="Bottom",DP86="LL"),"EQL",IF(AND(ABS(EA86)&lt;=0.25,$E86="Peak",DP86="HH"),"EQH","")))</f>
        <v/>
      </c>
      <c r="EM86" s="2" t="str">
        <f aca="false">IF(EB86="","",IF(AND(ABS(EB86)&lt;=0.25,$E86="Bottom",DQ86="LL"),"EQL",IF(AND(ABS(EB86)&lt;=0.25,$E86="Peak",DQ86="HH"),"EQH","")))</f>
        <v/>
      </c>
      <c r="EN86" s="2" t="str">
        <f aca="false">IF(EC86="","",IF(AND(ABS(EC86)&lt;=0.25,$E86="Bottom",DR86="LL"),"EQL",IF(AND(ABS(EC86)&lt;=0.25,$E86="Peak",DR86="HH"),"EQH","")))</f>
        <v/>
      </c>
      <c r="EO86" s="2" t="str">
        <f aca="false">IF(ED86="","",IF(AND(ABS(ED86)&lt;=0.25,$E86="Bottom",DS86="LL"),"EQL",IF(AND(ABS(ED86)&lt;=0.25,$E86="Peak",DS86="HH"),"EQH","")))</f>
        <v/>
      </c>
      <c r="EP86" s="2" t="str">
        <f aca="false">IF(EE86="","",IF(AND(ABS(EE86)&lt;=0.25,$E86="Bottom",DT86="LL"),"EQL",IF(AND(ABS(EE86)&lt;=0.25,$E86="Peak",DT86="HH"),"EQH","")))</f>
        <v/>
      </c>
      <c r="EQ86" s="2" t="str">
        <f aca="false">IF(EF86="","",IF(AND(ABS(EF86)&lt;=0.25,$E86="Bottom",DU86="LL"),"EQL",IF(AND(ABS(EF86)&lt;=0.25,$E86="Peak",DU86="HH"),"EQH","")))</f>
        <v/>
      </c>
      <c r="ER86" s="2" t="str">
        <f aca="false">IF(OR(EG86="EQL",EG86="EQH"),G86,"")</f>
        <v/>
      </c>
      <c r="ES86" s="2" t="str">
        <f aca="false">IF(OR(EH86="EQL",EH86="EQH"),H86,"")</f>
        <v/>
      </c>
      <c r="ET86" s="2" t="str">
        <f aca="false">IF(OR(EI86="EQL",EI86="EQH"),I86,"")</f>
        <v/>
      </c>
      <c r="EU86" s="2" t="str">
        <f aca="false">IF(OR(EJ86="EQL",EJ86="EQH"),J86,"")</f>
        <v/>
      </c>
      <c r="EV86" s="2" t="str">
        <f aca="false">IF(OR(EK86="EQL",EK86="EQH"),K86,"")</f>
        <v/>
      </c>
      <c r="EW86" s="2" t="str">
        <f aca="false">IF(OR(EL86="EQL",EL86="EQH"),L86,"")</f>
        <v/>
      </c>
      <c r="EX86" s="2" t="str">
        <f aca="false">IF(OR(EM86="EQL",EM86="EQH"),M86,"")</f>
        <v/>
      </c>
      <c r="EY86" s="2" t="str">
        <f aca="false">IF(OR(EN86="EQL",EN86="EQH"),N86,"")</f>
        <v/>
      </c>
      <c r="EZ86" s="2" t="str">
        <f aca="false">IF(OR(EO86="EQL",EO86="EQH"),O86,"")</f>
        <v/>
      </c>
      <c r="FA86" s="2" t="str">
        <f aca="false">IF(OR(EP86="EQL",EP86="EQH"),P86,"")</f>
        <v/>
      </c>
      <c r="FB86" s="2" t="str">
        <f aca="false">IF(OR(EQ86="EQL",EQ86="EQH"),Q86,"")</f>
        <v/>
      </c>
      <c r="FC86" s="2" t="str">
        <f aca="false">IF(AND(EG86="EQL",OR(AQ86=4,AQ86=5)),"IEQL",IF(AND(EG86="EQH",OR(AQ86=1,AQ86=2)),"IEQH",""))</f>
        <v/>
      </c>
      <c r="FD86" s="2" t="str">
        <f aca="false">IF(AND(EH86="EQL",OR(AR86=4,AR86=5)),"IEQL",IF(AND(EH86="EQH",OR(AR86=1,AR86=2)),"IEQH",""))</f>
        <v/>
      </c>
      <c r="FE86" s="2" t="str">
        <f aca="false">IF(AND(EI86="EQL",OR(AS86=4,AS86=5)),"IEQL",IF(AND(EI86="EQH",OR(AS86=1,AS86=2)),"IEQH",""))</f>
        <v/>
      </c>
      <c r="FF86" s="2" t="str">
        <f aca="false">IF(AND(EJ86="EQL",OR(AT86=4,AT86=5)),"IEQL",IF(AND(EJ86="EQH",OR(AT86=1,AT86=2)),"IEQH",""))</f>
        <v/>
      </c>
      <c r="FG86" s="2" t="str">
        <f aca="false">IF(AND(EK86="EQL",OR(AU86=4,AU86=5)),"IEQL",IF(AND(EK86="EQH",OR(AU86=1,AU86=2)),"IEQH",""))</f>
        <v/>
      </c>
      <c r="FH86" s="2" t="str">
        <f aca="false">IF(AND(EL86="EQL",OR(AV86=4,AV86=5)),"IEQL",IF(AND(EL86="EQH",OR(AV86=1,AV86=2)),"IEQH",""))</f>
        <v/>
      </c>
      <c r="FI86" s="2" t="str">
        <f aca="false">IF(AND(EM86="EQL",OR(AW86=4,AW86=5)),"IEQL",IF(AND(EM86="EQH",OR(AW86=1,AW86=2)),"IEQH",""))</f>
        <v/>
      </c>
      <c r="FJ86" s="2" t="str">
        <f aca="false">IF(AND(EN86="EQL",OR(AX86=4,AX86=5)),"IEQL",IF(AND(EN86="EQH",OR(AX86=1,AX86=2)),"IEQH",""))</f>
        <v/>
      </c>
      <c r="FK86" s="2" t="str">
        <f aca="false">IF(AND(EO86="EQL",OR(AY86=4,AY86=5)),"IEQL",IF(AND(EO86="EQH",OR(AY86=1,AY86=2)),"IEQH",""))</f>
        <v/>
      </c>
      <c r="FL86" s="2" t="str">
        <f aca="false">IF(AND(EP86="EQL",OR(AZ86=4,AZ86=5)),"IEQL",IF(AND(EP86="EQH",OR(AZ86=1,AZ86=2)),"IEQH",""))</f>
        <v/>
      </c>
      <c r="FM86" s="2" t="str">
        <f aca="false">IF(AND(EQ86="EQL",OR(BA86=4,BA86=5)),"IEQL",IF(AND(EQ86="EQH",OR(BA86=1,BA86=2)),"IEQH",""))</f>
        <v/>
      </c>
    </row>
    <row r="87" customFormat="false" ht="14.25" hidden="false" customHeight="false" outlineLevel="0" collapsed="false">
      <c r="A87" s="1" t="n">
        <v>1778118302</v>
      </c>
      <c r="B87" s="1" t="s">
        <v>169</v>
      </c>
      <c r="C87" s="1" t="s">
        <v>170</v>
      </c>
      <c r="D87" s="1" t="n">
        <v>4714.86</v>
      </c>
      <c r="E87" s="1" t="s">
        <v>173</v>
      </c>
      <c r="F87" s="1" t="n">
        <v>4721.44</v>
      </c>
      <c r="G87" s="2" t="n">
        <f aca="false">F85</f>
        <v>4701.18</v>
      </c>
      <c r="H87" s="2" t="n">
        <f aca="false">F83</f>
        <v>4717.43</v>
      </c>
      <c r="I87" s="2" t="n">
        <f aca="false">F81</f>
        <v>4722.76</v>
      </c>
      <c r="J87" s="2" t="n">
        <f aca="false">F79</f>
        <v>4586.56</v>
      </c>
      <c r="K87" s="2" t="n">
        <f aca="false">F77</f>
        <v>4560.53</v>
      </c>
      <c r="L87" s="2" t="n">
        <f aca="false">F75</f>
        <v>4546.78</v>
      </c>
      <c r="M87" s="2" t="n">
        <f aca="false">F73</f>
        <v>4528.57</v>
      </c>
      <c r="N87" s="2" t="n">
        <f aca="false">F71</f>
        <v>4583.16</v>
      </c>
      <c r="O87" s="2" t="n">
        <f aca="false">F69</f>
        <v>4618.59</v>
      </c>
      <c r="P87" s="2" t="n">
        <f aca="false">F67</f>
        <v>4632.11</v>
      </c>
      <c r="Q87" s="2" t="n">
        <f aca="false">F65</f>
        <v>4660.32</v>
      </c>
      <c r="R87" s="1" t="n">
        <v>35.85</v>
      </c>
      <c r="S87" s="2" t="n">
        <f aca="false">R85</f>
        <v>22.19</v>
      </c>
      <c r="T87" s="2" t="n">
        <f aca="false">R83</f>
        <v>56.72</v>
      </c>
      <c r="U87" s="2" t="n">
        <f aca="false">R81</f>
        <v>176.45</v>
      </c>
      <c r="V87" s="2" t="n">
        <f aca="false">R79</f>
        <v>46.56</v>
      </c>
      <c r="W87" s="2" t="n">
        <f aca="false">R77</f>
        <v>32.64</v>
      </c>
      <c r="X87" s="2" t="n">
        <f aca="false">R75</f>
        <v>33.22</v>
      </c>
      <c r="Y87" s="2" t="n">
        <f aca="false">R73</f>
        <v>27.71</v>
      </c>
      <c r="Z87" s="2" t="n">
        <f aca="false">R71</f>
        <v>56.76</v>
      </c>
      <c r="AA87" s="2" t="n">
        <f aca="false">R69</f>
        <v>25.66</v>
      </c>
      <c r="AB87" s="2" t="n">
        <f aca="false">R67</f>
        <v>25.02</v>
      </c>
      <c r="AC87" s="2" t="n">
        <f aca="false">R65</f>
        <v>99.88</v>
      </c>
      <c r="AD87" s="1" t="n">
        <v>0.77</v>
      </c>
      <c r="AE87" s="2" t="n">
        <f aca="false">AD85</f>
        <v>0.47</v>
      </c>
      <c r="AF87" s="2" t="n">
        <f aca="false">AD83</f>
        <v>1.22</v>
      </c>
      <c r="AG87" s="2" t="n">
        <f aca="false">AD81</f>
        <v>3.88</v>
      </c>
      <c r="AH87" s="2" t="n">
        <f aca="false">AD79</f>
        <v>1.03</v>
      </c>
      <c r="AI87" s="2" t="n">
        <f aca="false">AD77</f>
        <v>0.72</v>
      </c>
      <c r="AJ87" s="2" t="n">
        <f aca="false">AD75</f>
        <v>0.74</v>
      </c>
      <c r="AK87" s="2" t="n">
        <f aca="false">AD73</f>
        <v>0.62</v>
      </c>
      <c r="AL87" s="2" t="n">
        <f aca="false">AD71</f>
        <v>1.25</v>
      </c>
      <c r="AM87" s="2" t="n">
        <f aca="false">AD69</f>
        <v>0.56</v>
      </c>
      <c r="AN87" s="2" t="n">
        <f aca="false">AD67</f>
        <v>0.54</v>
      </c>
      <c r="AO87" s="2" t="n">
        <f aca="false">AD65</f>
        <v>2.19</v>
      </c>
      <c r="AP87" s="1" t="n">
        <v>0</v>
      </c>
      <c r="AQ87" s="2" t="n">
        <f aca="false">AP85</f>
        <v>0</v>
      </c>
      <c r="AR87" s="2" t="n">
        <f aca="false">AP83</f>
        <v>0</v>
      </c>
      <c r="AS87" s="2" t="n">
        <f aca="false">AP81</f>
        <v>2</v>
      </c>
      <c r="AT87" s="2" t="n">
        <f aca="false">AP79</f>
        <v>0</v>
      </c>
      <c r="AU87" s="2" t="n">
        <f aca="false">AP77</f>
        <v>0</v>
      </c>
      <c r="AV87" s="2" t="n">
        <f aca="false">AP75</f>
        <v>0</v>
      </c>
      <c r="AW87" s="2" t="n">
        <f aca="false">AP73</f>
        <v>0</v>
      </c>
      <c r="AX87" s="2" t="n">
        <f aca="false">AP71</f>
        <v>0</v>
      </c>
      <c r="AY87" s="2" t="n">
        <f aca="false">AP69</f>
        <v>0</v>
      </c>
      <c r="AZ87" s="2" t="n">
        <f aca="false">AP67</f>
        <v>0</v>
      </c>
      <c r="BA87" s="2" t="n">
        <f aca="false">AP65</f>
        <v>1</v>
      </c>
      <c r="BB87" s="1" t="n">
        <v>4</v>
      </c>
      <c r="BC87" s="2" t="n">
        <f aca="false">BB85</f>
        <v>23</v>
      </c>
      <c r="BD87" s="2" t="n">
        <f aca="false">BB83</f>
        <v>8</v>
      </c>
      <c r="BE87" s="2" t="n">
        <f aca="false">BB81</f>
        <v>49</v>
      </c>
      <c r="BF87" s="2" t="n">
        <f aca="false">BB79</f>
        <v>13</v>
      </c>
      <c r="BG87" s="2" t="n">
        <f aca="false">BB77</f>
        <v>18</v>
      </c>
      <c r="BH87" s="2" t="n">
        <f aca="false">BB75</f>
        <v>10</v>
      </c>
      <c r="BI87" s="2" t="n">
        <f aca="false">BB73</f>
        <v>28</v>
      </c>
      <c r="BJ87" s="2" t="n">
        <f aca="false">BB71</f>
        <v>17</v>
      </c>
      <c r="BK87" s="2" t="n">
        <f aca="false">BB69</f>
        <v>2</v>
      </c>
      <c r="BL87" s="2" t="n">
        <f aca="false">BB67</f>
        <v>4</v>
      </c>
      <c r="BM87" s="2" t="n">
        <f aca="false">BB65</f>
        <v>18</v>
      </c>
      <c r="BN87" s="1" t="n">
        <v>0</v>
      </c>
      <c r="BO87" s="2" t="n">
        <f aca="false">BN85</f>
        <v>0</v>
      </c>
      <c r="BP87" s="2" t="n">
        <f aca="false">BN83</f>
        <v>0</v>
      </c>
      <c r="BQ87" s="2" t="n">
        <f aca="false">BN81</f>
        <v>2</v>
      </c>
      <c r="BR87" s="2" t="n">
        <f aca="false">BN79</f>
        <v>0</v>
      </c>
      <c r="BS87" s="2" t="n">
        <f aca="false">BN77</f>
        <v>0</v>
      </c>
      <c r="BT87" s="2" t="n">
        <f aca="false">BN75</f>
        <v>0</v>
      </c>
      <c r="BU87" s="2" t="n">
        <f aca="false">BN73</f>
        <v>0</v>
      </c>
      <c r="BV87" s="2" t="n">
        <f aca="false">BN71</f>
        <v>0</v>
      </c>
      <c r="BW87" s="2" t="n">
        <f aca="false">BN69</f>
        <v>0</v>
      </c>
      <c r="BX87" s="2" t="n">
        <f aca="false">BN67</f>
        <v>0</v>
      </c>
      <c r="BY87" s="2" t="n">
        <f aca="false">BN65</f>
        <v>0</v>
      </c>
      <c r="BZ87" s="1" t="n">
        <v>8.9625</v>
      </c>
      <c r="CA87" s="2" t="n">
        <f aca="false">BZ85</f>
        <v>0.96478</v>
      </c>
      <c r="CB87" s="2" t="n">
        <f aca="false">BZ83</f>
        <v>7.09</v>
      </c>
      <c r="CC87" s="2" t="n">
        <f aca="false">BZ81</f>
        <v>3.60102</v>
      </c>
      <c r="CD87" s="2" t="n">
        <f aca="false">BZ79</f>
        <v>3.58154</v>
      </c>
      <c r="CE87" s="2" t="n">
        <f aca="false">BZ77</f>
        <v>1.81333</v>
      </c>
      <c r="CF87" s="2" t="n">
        <f aca="false">BZ75</f>
        <v>3.322</v>
      </c>
      <c r="CG87" s="2" t="n">
        <f aca="false">BZ73</f>
        <v>0.98964</v>
      </c>
      <c r="CH87" s="2" t="n">
        <f aca="false">BZ71</f>
        <v>3.33882</v>
      </c>
      <c r="CI87" s="2" t="n">
        <f aca="false">BZ69</f>
        <v>12.83</v>
      </c>
      <c r="CJ87" s="2" t="n">
        <f aca="false">BZ67</f>
        <v>6.255</v>
      </c>
      <c r="CK87" s="2" t="n">
        <f aca="false">BZ65</f>
        <v>5.54889</v>
      </c>
      <c r="CL87" s="1" t="n">
        <v>0</v>
      </c>
      <c r="CM87" s="2" t="n">
        <f aca="false">CL85</f>
        <v>0</v>
      </c>
      <c r="CN87" s="2" t="n">
        <f aca="false">CL83</f>
        <v>0</v>
      </c>
      <c r="CO87" s="2" t="n">
        <f aca="false">CL81</f>
        <v>0</v>
      </c>
      <c r="CP87" s="2" t="n">
        <f aca="false">CL79</f>
        <v>0</v>
      </c>
      <c r="CQ87" s="2" t="n">
        <f aca="false">CL77</f>
        <v>0</v>
      </c>
      <c r="CR87" s="2" t="n">
        <f aca="false">CL75</f>
        <v>0</v>
      </c>
      <c r="CS87" s="2" t="n">
        <f aca="false">CL73</f>
        <v>0</v>
      </c>
      <c r="CT87" s="2" t="n">
        <f aca="false">CL71</f>
        <v>0</v>
      </c>
      <c r="CU87" s="2" t="n">
        <f aca="false">CL69</f>
        <v>0</v>
      </c>
      <c r="CV87" s="2" t="n">
        <f aca="false">CL67</f>
        <v>0</v>
      </c>
      <c r="CW87" s="2" t="n">
        <f aca="false">CL65</f>
        <v>0</v>
      </c>
      <c r="CX87" s="1" t="n">
        <v>83.6335</v>
      </c>
      <c r="CY87" s="2" t="n">
        <f aca="false">CX85</f>
        <v>43.9731</v>
      </c>
      <c r="CZ87" s="2" t="n">
        <f aca="false">CX83</f>
        <v>81.9717</v>
      </c>
      <c r="DA87" s="2" t="n">
        <f aca="false">CX81</f>
        <v>74.4801</v>
      </c>
      <c r="DB87" s="2" t="n">
        <f aca="false">CX79</f>
        <v>74.3998</v>
      </c>
      <c r="DC87" s="2" t="n">
        <f aca="false">CX77</f>
        <v>61.1246</v>
      </c>
      <c r="DD87" s="2" t="n">
        <f aca="false">CX75</f>
        <v>73.247</v>
      </c>
      <c r="DE87" s="2" t="n">
        <f aca="false">CX73</f>
        <v>44.7017</v>
      </c>
      <c r="DF87" s="2" t="n">
        <f aca="false">CX71</f>
        <v>73.3267</v>
      </c>
      <c r="DG87" s="2" t="n">
        <f aca="false">CX69</f>
        <v>85.5432</v>
      </c>
      <c r="DH87" s="2" t="n">
        <f aca="false">CX67</f>
        <v>80.9169</v>
      </c>
      <c r="DI87" s="2" t="n">
        <f aca="false">CX65</f>
        <v>79.784</v>
      </c>
      <c r="DJ87" s="1" t="s">
        <v>176</v>
      </c>
      <c r="DK87" s="2" t="str">
        <f aca="false">DJ85</f>
        <v>LH</v>
      </c>
      <c r="DL87" s="2" t="str">
        <f aca="false">DJ83</f>
        <v>LH</v>
      </c>
      <c r="DM87" s="2" t="str">
        <f aca="false">DJ81</f>
        <v>HH</v>
      </c>
      <c r="DN87" s="2" t="str">
        <f aca="false">DJ79</f>
        <v>HH</v>
      </c>
      <c r="DO87" s="2" t="str">
        <f aca="false">DJ77</f>
        <v>HH</v>
      </c>
      <c r="DP87" s="2" t="str">
        <f aca="false">DJ75</f>
        <v>HH</v>
      </c>
      <c r="DQ87" s="2" t="str">
        <f aca="false">DJ73</f>
        <v>LH</v>
      </c>
      <c r="DR87" s="2" t="str">
        <f aca="false">DJ71</f>
        <v>LH</v>
      </c>
      <c r="DS87" s="2" t="str">
        <f aca="false">DJ69</f>
        <v>LH</v>
      </c>
      <c r="DT87" s="2" t="str">
        <f aca="false">DJ67</f>
        <v>LH</v>
      </c>
      <c r="DU87" s="2" t="str">
        <f aca="false">DJ65</f>
        <v>HH</v>
      </c>
      <c r="DV87" s="2" t="n">
        <f aca="false">IFERROR((G87-$F87)/$F87*100,"")</f>
        <v>-0.429106374326462</v>
      </c>
      <c r="DW87" s="2" t="n">
        <f aca="false">IFERROR((H87-$F87)/$F87*100,"")</f>
        <v>-0.0849317157477234</v>
      </c>
      <c r="DX87" s="2" t="n">
        <f aca="false">IFERROR((I87-$F87)/$F87*100,"")</f>
        <v>0.0279575722661014</v>
      </c>
      <c r="DY87" s="2" t="n">
        <f aca="false">IFERROR((J87-$F87)/$F87*100,"")</f>
        <v>-2.85675556609846</v>
      </c>
      <c r="DZ87" s="2" t="n">
        <f aca="false">IFERROR((K87-$F87)/$F87*100,"")</f>
        <v>-3.40807041919414</v>
      </c>
      <c r="EA87" s="2" t="n">
        <f aca="false">IFERROR((L87-$F87)/$F87*100,"")</f>
        <v>-3.69929513029923</v>
      </c>
      <c r="EB87" s="2" t="n">
        <f aca="false">IFERROR((M87-$F87)/$F87*100,"")</f>
        <v>-4.08498254769731</v>
      </c>
      <c r="EC87" s="2" t="n">
        <f aca="false">IFERROR((N87-$F87)/$F87*100,"")</f>
        <v>-2.92876749466264</v>
      </c>
      <c r="ED87" s="2" t="n">
        <f aca="false">IFERROR((O87-$F87)/$F87*100,"")</f>
        <v>-2.17836083906604</v>
      </c>
      <c r="EE87" s="2" t="n">
        <f aca="false">IFERROR((P87-$F87)/$F87*100,"")</f>
        <v>-1.89200752312854</v>
      </c>
      <c r="EF87" s="2" t="n">
        <f aca="false">IFERROR((Q87-$F87)/$F87*100,"")</f>
        <v>-1.29452031583584</v>
      </c>
      <c r="EG87" s="2" t="str">
        <f aca="false">IF(DV87="","",IF(AND(ABS(DV87)&lt;=0.25,$E87="Bottom",DK87="LL"),"EQL",IF(AND(ABS(DV87)&lt;=0.25,$E87="Peak",DK87="HH"),"EQH","")))</f>
        <v/>
      </c>
      <c r="EH87" s="2" t="str">
        <f aca="false">IF(DW87="","",IF(AND(ABS(DW87)&lt;=0.25,$E87="Bottom",DL87="LL"),"EQL",IF(AND(ABS(DW87)&lt;=0.25,$E87="Peak",DL87="HH"),"EQH","")))</f>
        <v/>
      </c>
      <c r="EI87" s="2" t="str">
        <f aca="false">IF(DX87="","",IF(AND(ABS(DX87)&lt;=0.25,$E87="Bottom",DM87="LL"),"EQL",IF(AND(ABS(DX87)&lt;=0.25,$E87="Peak",DM87="HH"),"EQH","")))</f>
        <v>EQH</v>
      </c>
      <c r="EJ87" s="2" t="str">
        <f aca="false">IF(DY87="","",IF(AND(ABS(DY87)&lt;=0.25,$E87="Bottom",DN87="LL"),"EQL",IF(AND(ABS(DY87)&lt;=0.25,$E87="Peak",DN87="HH"),"EQH","")))</f>
        <v/>
      </c>
      <c r="EK87" s="2" t="str">
        <f aca="false">IF(DZ87="","",IF(AND(ABS(DZ87)&lt;=0.25,$E87="Bottom",DO87="LL"),"EQL",IF(AND(ABS(DZ87)&lt;=0.25,$E87="Peak",DO87="HH"),"EQH","")))</f>
        <v/>
      </c>
      <c r="EL87" s="2" t="str">
        <f aca="false">IF(EA87="","",IF(AND(ABS(EA87)&lt;=0.25,$E87="Bottom",DP87="LL"),"EQL",IF(AND(ABS(EA87)&lt;=0.25,$E87="Peak",DP87="HH"),"EQH","")))</f>
        <v/>
      </c>
      <c r="EM87" s="2" t="str">
        <f aca="false">IF(EB87="","",IF(AND(ABS(EB87)&lt;=0.25,$E87="Bottom",DQ87="LL"),"EQL",IF(AND(ABS(EB87)&lt;=0.25,$E87="Peak",DQ87="HH"),"EQH","")))</f>
        <v/>
      </c>
      <c r="EN87" s="2" t="str">
        <f aca="false">IF(EC87="","",IF(AND(ABS(EC87)&lt;=0.25,$E87="Bottom",DR87="LL"),"EQL",IF(AND(ABS(EC87)&lt;=0.25,$E87="Peak",DR87="HH"),"EQH","")))</f>
        <v/>
      </c>
      <c r="EO87" s="2" t="str">
        <f aca="false">IF(ED87="","",IF(AND(ABS(ED87)&lt;=0.25,$E87="Bottom",DS87="LL"),"EQL",IF(AND(ABS(ED87)&lt;=0.25,$E87="Peak",DS87="HH"),"EQH","")))</f>
        <v/>
      </c>
      <c r="EP87" s="2" t="str">
        <f aca="false">IF(EE87="","",IF(AND(ABS(EE87)&lt;=0.25,$E87="Bottom",DT87="LL"),"EQL",IF(AND(ABS(EE87)&lt;=0.25,$E87="Peak",DT87="HH"),"EQH","")))</f>
        <v/>
      </c>
      <c r="EQ87" s="2" t="str">
        <f aca="false">IF(EF87="","",IF(AND(ABS(EF87)&lt;=0.25,$E87="Bottom",DU87="LL"),"EQL",IF(AND(ABS(EF87)&lt;=0.25,$E87="Peak",DU87="HH"),"EQH","")))</f>
        <v/>
      </c>
      <c r="ER87" s="2" t="str">
        <f aca="false">IF(OR(EG87="EQL",EG87="EQH"),G87,"")</f>
        <v/>
      </c>
      <c r="ES87" s="2" t="str">
        <f aca="false">IF(OR(EH87="EQL",EH87="EQH"),H87,"")</f>
        <v/>
      </c>
      <c r="ET87" s="2" t="n">
        <f aca="false">IF(OR(EI87="EQL",EI87="EQH"),I87,"")</f>
        <v>4722.76</v>
      </c>
      <c r="EU87" s="2" t="str">
        <f aca="false">IF(OR(EJ87="EQL",EJ87="EQH"),J87,"")</f>
        <v/>
      </c>
      <c r="EV87" s="2" t="str">
        <f aca="false">IF(OR(EK87="EQL",EK87="EQH"),K87,"")</f>
        <v/>
      </c>
      <c r="EW87" s="2" t="str">
        <f aca="false">IF(OR(EL87="EQL",EL87="EQH"),L87,"")</f>
        <v/>
      </c>
      <c r="EX87" s="2" t="str">
        <f aca="false">IF(OR(EM87="EQL",EM87="EQH"),M87,"")</f>
        <v/>
      </c>
      <c r="EY87" s="2" t="str">
        <f aca="false">IF(OR(EN87="EQL",EN87="EQH"),N87,"")</f>
        <v/>
      </c>
      <c r="EZ87" s="2" t="str">
        <f aca="false">IF(OR(EO87="EQL",EO87="EQH"),O87,"")</f>
        <v/>
      </c>
      <c r="FA87" s="2" t="str">
        <f aca="false">IF(OR(EP87="EQL",EP87="EQH"),P87,"")</f>
        <v/>
      </c>
      <c r="FB87" s="2" t="str">
        <f aca="false">IF(OR(EQ87="EQL",EQ87="EQH"),Q87,"")</f>
        <v/>
      </c>
      <c r="FC87" s="2" t="str">
        <f aca="false">IF(AND(EG87="EQL",OR(AQ87=4,AQ87=5)),"IEQL",IF(AND(EG87="EQH",OR(AQ87=1,AQ87=2)),"IEQH",""))</f>
        <v/>
      </c>
      <c r="FD87" s="2" t="str">
        <f aca="false">IF(AND(EH87="EQL",OR(AR87=4,AR87=5)),"IEQL",IF(AND(EH87="EQH",OR(AR87=1,AR87=2)),"IEQH",""))</f>
        <v/>
      </c>
      <c r="FE87" s="2" t="str">
        <f aca="false">IF(AND(EI87="EQL",OR(AS87=4,AS87=5)),"IEQL",IF(AND(EI87="EQH",OR(AS87=1,AS87=2)),"IEQH",""))</f>
        <v>IEQH</v>
      </c>
      <c r="FF87" s="2" t="str">
        <f aca="false">IF(AND(EJ87="EQL",OR(AT87=4,AT87=5)),"IEQL",IF(AND(EJ87="EQH",OR(AT87=1,AT87=2)),"IEQH",""))</f>
        <v/>
      </c>
      <c r="FG87" s="2" t="str">
        <f aca="false">IF(AND(EK87="EQL",OR(AU87=4,AU87=5)),"IEQL",IF(AND(EK87="EQH",OR(AU87=1,AU87=2)),"IEQH",""))</f>
        <v/>
      </c>
      <c r="FH87" s="2" t="str">
        <f aca="false">IF(AND(EL87="EQL",OR(AV87=4,AV87=5)),"IEQL",IF(AND(EL87="EQH",OR(AV87=1,AV87=2)),"IEQH",""))</f>
        <v/>
      </c>
      <c r="FI87" s="2" t="str">
        <f aca="false">IF(AND(EM87="EQL",OR(AW87=4,AW87=5)),"IEQL",IF(AND(EM87="EQH",OR(AW87=1,AW87=2)),"IEQH",""))</f>
        <v/>
      </c>
      <c r="FJ87" s="2" t="str">
        <f aca="false">IF(AND(EN87="EQL",OR(AX87=4,AX87=5)),"IEQL",IF(AND(EN87="EQH",OR(AX87=1,AX87=2)),"IEQH",""))</f>
        <v/>
      </c>
      <c r="FK87" s="2" t="str">
        <f aca="false">IF(AND(EO87="EQL",OR(AY87=4,AY87=5)),"IEQL",IF(AND(EO87="EQH",OR(AY87=1,AY87=2)),"IEQH",""))</f>
        <v/>
      </c>
      <c r="FL87" s="2" t="str">
        <f aca="false">IF(AND(EP87="EQL",OR(AZ87=4,AZ87=5)),"IEQL",IF(AND(EP87="EQH",OR(AZ87=1,AZ87=2)),"IEQH",""))</f>
        <v/>
      </c>
      <c r="FM87" s="2" t="str">
        <f aca="false">IF(AND(EQ87="EQL",OR(BA87=4,BA87=5)),"IEQL",IF(AND(EQ87="EQH",OR(BA87=1,BA87=2)),"IEQH",""))</f>
        <v/>
      </c>
    </row>
    <row r="88" customFormat="false" ht="14.25" hidden="false" customHeight="false" outlineLevel="0" collapsed="false">
      <c r="A88" s="1" t="n">
        <v>1778128202</v>
      </c>
      <c r="B88" s="1" t="s">
        <v>169</v>
      </c>
      <c r="C88" s="1" t="s">
        <v>170</v>
      </c>
      <c r="D88" s="1" t="n">
        <v>4698.15</v>
      </c>
      <c r="E88" s="1" t="s">
        <v>171</v>
      </c>
      <c r="F88" s="1" t="n">
        <v>4692.46</v>
      </c>
      <c r="G88" s="2" t="n">
        <f aca="false">F86</f>
        <v>4685.59</v>
      </c>
      <c r="H88" s="2" t="n">
        <f aca="false">F84</f>
        <v>4678.99</v>
      </c>
      <c r="I88" s="2" t="n">
        <f aca="false">F82</f>
        <v>4660.71</v>
      </c>
      <c r="J88" s="2" t="n">
        <f aca="false">F80</f>
        <v>4546.31</v>
      </c>
      <c r="K88" s="2" t="n">
        <f aca="false">F78</f>
        <v>4540</v>
      </c>
      <c r="L88" s="2" t="n">
        <f aca="false">F76</f>
        <v>4527.89</v>
      </c>
      <c r="M88" s="2" t="n">
        <f aca="false">F74</f>
        <v>4513.56</v>
      </c>
      <c r="N88" s="2" t="n">
        <f aca="false">F72</f>
        <v>4500.86</v>
      </c>
      <c r="O88" s="2" t="n">
        <f aca="false">F70</f>
        <v>4526.4</v>
      </c>
      <c r="P88" s="2" t="n">
        <f aca="false">F68</f>
        <v>4592.93</v>
      </c>
      <c r="Q88" s="2" t="n">
        <f aca="false">F66</f>
        <v>4607.09</v>
      </c>
      <c r="R88" s="1" t="n">
        <v>-28.98</v>
      </c>
      <c r="S88" s="2" t="n">
        <f aca="false">R86</f>
        <v>-15.59</v>
      </c>
      <c r="T88" s="2" t="n">
        <f aca="false">R84</f>
        <v>-38.44</v>
      </c>
      <c r="U88" s="2" t="n">
        <f aca="false">R82</f>
        <v>-62.05</v>
      </c>
      <c r="V88" s="2" t="n">
        <f aca="false">R80</f>
        <v>-40.25</v>
      </c>
      <c r="W88" s="2" t="n">
        <f aca="false">R78</f>
        <v>-20.53</v>
      </c>
      <c r="X88" s="2" t="n">
        <f aca="false">R76</f>
        <v>-18.89</v>
      </c>
      <c r="Y88" s="2" t="n">
        <f aca="false">R74</f>
        <v>-15.01</v>
      </c>
      <c r="Z88" s="2" t="n">
        <f aca="false">R72</f>
        <v>-82.3</v>
      </c>
      <c r="AA88" s="2" t="n">
        <f aca="false">R70</f>
        <v>-92.19</v>
      </c>
      <c r="AB88" s="2" t="n">
        <f aca="false">R68</f>
        <v>-39.18</v>
      </c>
      <c r="AC88" s="2" t="n">
        <f aca="false">R66</f>
        <v>-53.23</v>
      </c>
      <c r="AD88" s="1" t="n">
        <v>-0.61</v>
      </c>
      <c r="AE88" s="2" t="n">
        <f aca="false">AD86</f>
        <v>-0.33</v>
      </c>
      <c r="AF88" s="2" t="n">
        <f aca="false">AD84</f>
        <v>-0.81</v>
      </c>
      <c r="AG88" s="2" t="n">
        <f aca="false">AD82</f>
        <v>-1.31</v>
      </c>
      <c r="AH88" s="2" t="n">
        <f aca="false">AD80</f>
        <v>-0.88</v>
      </c>
      <c r="AI88" s="2" t="n">
        <f aca="false">AD78</f>
        <v>-0.45</v>
      </c>
      <c r="AJ88" s="2" t="n">
        <f aca="false">AD76</f>
        <v>-0.42</v>
      </c>
      <c r="AK88" s="2" t="n">
        <f aca="false">AD74</f>
        <v>-0.33</v>
      </c>
      <c r="AL88" s="2" t="n">
        <f aca="false">AD72</f>
        <v>-1.8</v>
      </c>
      <c r="AM88" s="2" t="n">
        <f aca="false">AD70</f>
        <v>-2</v>
      </c>
      <c r="AN88" s="2" t="n">
        <f aca="false">AD68</f>
        <v>-0.85</v>
      </c>
      <c r="AO88" s="2" t="n">
        <f aca="false">AD66</f>
        <v>-1.14</v>
      </c>
      <c r="AP88" s="1" t="n">
        <v>3</v>
      </c>
      <c r="AQ88" s="2" t="n">
        <f aca="false">AP86</f>
        <v>3</v>
      </c>
      <c r="AR88" s="2" t="n">
        <f aca="false">AP84</f>
        <v>3</v>
      </c>
      <c r="AS88" s="2" t="n">
        <f aca="false">AP82</f>
        <v>3</v>
      </c>
      <c r="AT88" s="2" t="n">
        <f aca="false">AP80</f>
        <v>3</v>
      </c>
      <c r="AU88" s="2" t="n">
        <f aca="false">AP78</f>
        <v>3</v>
      </c>
      <c r="AV88" s="2" t="n">
        <f aca="false">AP76</f>
        <v>3</v>
      </c>
      <c r="AW88" s="2" t="n">
        <f aca="false">AP74</f>
        <v>3</v>
      </c>
      <c r="AX88" s="2" t="n">
        <f aca="false">AP72</f>
        <v>3</v>
      </c>
      <c r="AY88" s="2" t="n">
        <f aca="false">AP70</f>
        <v>4</v>
      </c>
      <c r="AZ88" s="2" t="n">
        <f aca="false">AP68</f>
        <v>3</v>
      </c>
      <c r="BA88" s="2" t="n">
        <f aca="false">AP66</f>
        <v>3</v>
      </c>
      <c r="BB88" s="1" t="n">
        <v>11</v>
      </c>
      <c r="BC88" s="2" t="n">
        <f aca="false">BB86</f>
        <v>2</v>
      </c>
      <c r="BD88" s="2" t="n">
        <f aca="false">BB84</f>
        <v>13</v>
      </c>
      <c r="BE88" s="2" t="n">
        <f aca="false">BB82</f>
        <v>6</v>
      </c>
      <c r="BF88" s="2" t="n">
        <f aca="false">BB80</f>
        <v>29</v>
      </c>
      <c r="BG88" s="2" t="n">
        <f aca="false">BB78</f>
        <v>8</v>
      </c>
      <c r="BH88" s="2" t="n">
        <f aca="false">BB76</f>
        <v>7</v>
      </c>
      <c r="BI88" s="2" t="n">
        <f aca="false">BB74</f>
        <v>1</v>
      </c>
      <c r="BJ88" s="2" t="n">
        <f aca="false">BB72</f>
        <v>6</v>
      </c>
      <c r="BK88" s="2" t="n">
        <f aca="false">BB70</f>
        <v>33</v>
      </c>
      <c r="BL88" s="2" t="n">
        <f aca="false">BB68</f>
        <v>14</v>
      </c>
      <c r="BM88" s="2" t="n">
        <f aca="false">BB66</f>
        <v>23</v>
      </c>
      <c r="BN88" s="1" t="n">
        <v>3</v>
      </c>
      <c r="BO88" s="2" t="n">
        <f aca="false">BN86</f>
        <v>3</v>
      </c>
      <c r="BP88" s="2" t="n">
        <f aca="false">BN84</f>
        <v>3</v>
      </c>
      <c r="BQ88" s="2" t="n">
        <f aca="false">BN82</f>
        <v>3</v>
      </c>
      <c r="BR88" s="2" t="n">
        <f aca="false">BN80</f>
        <v>3</v>
      </c>
      <c r="BS88" s="2" t="n">
        <f aca="false">BN78</f>
        <v>3</v>
      </c>
      <c r="BT88" s="2" t="n">
        <f aca="false">BN76</f>
        <v>3</v>
      </c>
      <c r="BU88" s="2" t="n">
        <f aca="false">BN74</f>
        <v>3</v>
      </c>
      <c r="BV88" s="2" t="n">
        <f aca="false">BN72</f>
        <v>3</v>
      </c>
      <c r="BW88" s="2" t="n">
        <f aca="false">BN70</f>
        <v>3</v>
      </c>
      <c r="BX88" s="2" t="n">
        <f aca="false">BN68</f>
        <v>3</v>
      </c>
      <c r="BY88" s="2" t="n">
        <f aca="false">BN66</f>
        <v>3</v>
      </c>
      <c r="BZ88" s="1" t="n">
        <v>-2.63455</v>
      </c>
      <c r="CA88" s="2" t="n">
        <f aca="false">BZ86</f>
        <v>-7.795</v>
      </c>
      <c r="CB88" s="2" t="n">
        <f aca="false">BZ84</f>
        <v>-2.95692</v>
      </c>
      <c r="CC88" s="2" t="n">
        <f aca="false">BZ82</f>
        <v>-10.34167</v>
      </c>
      <c r="CD88" s="2" t="n">
        <f aca="false">BZ80</f>
        <v>-1.38793</v>
      </c>
      <c r="CE88" s="2" t="n">
        <f aca="false">BZ78</f>
        <v>-2.56625</v>
      </c>
      <c r="CF88" s="2" t="n">
        <f aca="false">BZ76</f>
        <v>-2.69857</v>
      </c>
      <c r="CG88" s="2" t="n">
        <f aca="false">BZ74</f>
        <v>-15.01</v>
      </c>
      <c r="CH88" s="2" t="n">
        <f aca="false">BZ72</f>
        <v>-13.71667</v>
      </c>
      <c r="CI88" s="2" t="n">
        <f aca="false">BZ70</f>
        <v>-2.79364</v>
      </c>
      <c r="CJ88" s="2" t="n">
        <f aca="false">BZ68</f>
        <v>-2.79857</v>
      </c>
      <c r="CK88" s="2" t="n">
        <f aca="false">BZ66</f>
        <v>-2.31435</v>
      </c>
      <c r="CL88" s="1" t="n">
        <v>3</v>
      </c>
      <c r="CM88" s="2" t="n">
        <f aca="false">CL86</f>
        <v>3</v>
      </c>
      <c r="CN88" s="2" t="n">
        <f aca="false">CL84</f>
        <v>3</v>
      </c>
      <c r="CO88" s="2" t="n">
        <f aca="false">CL82</f>
        <v>5</v>
      </c>
      <c r="CP88" s="2" t="n">
        <f aca="false">CL80</f>
        <v>3</v>
      </c>
      <c r="CQ88" s="2" t="n">
        <f aca="false">CL78</f>
        <v>3</v>
      </c>
      <c r="CR88" s="2" t="n">
        <f aca="false">CL76</f>
        <v>3</v>
      </c>
      <c r="CS88" s="2" t="n">
        <f aca="false">CL74</f>
        <v>5</v>
      </c>
      <c r="CT88" s="2" t="n">
        <f aca="false">CL72</f>
        <v>5</v>
      </c>
      <c r="CU88" s="2" t="n">
        <f aca="false">CL70</f>
        <v>3</v>
      </c>
      <c r="CV88" s="2" t="n">
        <f aca="false">CL68</f>
        <v>3</v>
      </c>
      <c r="CW88" s="2" t="n">
        <f aca="false">CL66</f>
        <v>3</v>
      </c>
      <c r="CX88" s="1" t="n">
        <v>-69.2146</v>
      </c>
      <c r="CY88" s="2" t="n">
        <f aca="false">CX86</f>
        <v>-82.6896</v>
      </c>
      <c r="CZ88" s="2" t="n">
        <f aca="false">CX84</f>
        <v>-71.315</v>
      </c>
      <c r="DA88" s="2" t="n">
        <f aca="false">CX82</f>
        <v>-84.4769</v>
      </c>
      <c r="DB88" s="2" t="n">
        <f aca="false">CX80</f>
        <v>-54.2274</v>
      </c>
      <c r="DC88" s="2" t="n">
        <f aca="false">CX78</f>
        <v>-68.7104</v>
      </c>
      <c r="DD88" s="2" t="n">
        <f aca="false">CX76</f>
        <v>-69.667</v>
      </c>
      <c r="DE88" s="2" t="n">
        <f aca="false">CX74</f>
        <v>-86.1885</v>
      </c>
      <c r="DF88" s="2" t="n">
        <f aca="false">CX72</f>
        <v>-85.8303</v>
      </c>
      <c r="DG88" s="2" t="n">
        <f aca="false">CX70</f>
        <v>-70.3048</v>
      </c>
      <c r="DH88" s="2" t="n">
        <f aca="false">CX68</f>
        <v>-70.3369</v>
      </c>
      <c r="DI88" s="2" t="n">
        <f aca="false">CX66</f>
        <v>-66.6314</v>
      </c>
      <c r="DJ88" s="1" t="s">
        <v>175</v>
      </c>
      <c r="DK88" s="2" t="str">
        <f aca="false">DJ86</f>
        <v>HL</v>
      </c>
      <c r="DL88" s="2" t="str">
        <f aca="false">DJ84</f>
        <v>HL</v>
      </c>
      <c r="DM88" s="2" t="str">
        <f aca="false">DJ82</f>
        <v>HL</v>
      </c>
      <c r="DN88" s="2" t="str">
        <f aca="false">DJ80</f>
        <v>HL</v>
      </c>
      <c r="DO88" s="2" t="str">
        <f aca="false">DJ78</f>
        <v>HL</v>
      </c>
      <c r="DP88" s="2" t="str">
        <f aca="false">DJ76</f>
        <v>HL</v>
      </c>
      <c r="DQ88" s="2" t="str">
        <f aca="false">DJ74</f>
        <v>HL</v>
      </c>
      <c r="DR88" s="2" t="str">
        <f aca="false">DJ72</f>
        <v>LL</v>
      </c>
      <c r="DS88" s="2" t="str">
        <f aca="false">DJ70</f>
        <v>LL</v>
      </c>
      <c r="DT88" s="2" t="str">
        <f aca="false">DJ68</f>
        <v>LL</v>
      </c>
      <c r="DU88" s="2" t="str">
        <f aca="false">DJ66</f>
        <v>HL</v>
      </c>
      <c r="DV88" s="2" t="n">
        <f aca="false">IFERROR((G88-$F88)/$F88*100,"")</f>
        <v>-0.146405083900553</v>
      </c>
      <c r="DW88" s="2" t="n">
        <f aca="false">IFERROR((H88-$F88)/$F88*100,"")</f>
        <v>-0.287056256206771</v>
      </c>
      <c r="DX88" s="2" t="n">
        <f aca="false">IFERROR((I88-$F88)/$F88*100,"")</f>
        <v>-0.676617381927603</v>
      </c>
      <c r="DY88" s="2" t="n">
        <f aca="false">IFERROR((J88-$F88)/$F88*100,"")</f>
        <v>-3.11457103523524</v>
      </c>
      <c r="DZ88" s="2" t="n">
        <f aca="false">IFERROR((K88-$F88)/$F88*100,"")</f>
        <v>-3.24904208027346</v>
      </c>
      <c r="EA88" s="2" t="n">
        <f aca="false">IFERROR((L88-$F88)/$F88*100,"")</f>
        <v>-3.50711567067167</v>
      </c>
      <c r="EB88" s="2" t="n">
        <f aca="false">IFERROR((M88-$F88)/$F88*100,"")</f>
        <v>-3.8124992008456</v>
      </c>
      <c r="EC88" s="2" t="n">
        <f aca="false">IFERROR((N88-$F88)/$F88*100,"")</f>
        <v>-4.08314615361666</v>
      </c>
      <c r="ED88" s="2" t="n">
        <f aca="false">IFERROR((O88-$F88)/$F88*100,"")</f>
        <v>-3.53886873835899</v>
      </c>
      <c r="EE88" s="2" t="n">
        <f aca="false">IFERROR((P88-$F88)/$F88*100,"")</f>
        <v>-2.12106229994501</v>
      </c>
      <c r="EF88" s="2" t="n">
        <f aca="false">IFERROR((Q88-$F88)/$F88*100,"")</f>
        <v>-1.81930160299715</v>
      </c>
      <c r="EG88" s="2" t="str">
        <f aca="false">IF(DV88="","",IF(AND(ABS(DV88)&lt;=0.25,$E88="Bottom",DK88="LL"),"EQL",IF(AND(ABS(DV88)&lt;=0.25,$E88="Peak",DK88="HH"),"EQH","")))</f>
        <v/>
      </c>
      <c r="EH88" s="2" t="str">
        <f aca="false">IF(DW88="","",IF(AND(ABS(DW88)&lt;=0.25,$E88="Bottom",DL88="LL"),"EQL",IF(AND(ABS(DW88)&lt;=0.25,$E88="Peak",DL88="HH"),"EQH","")))</f>
        <v/>
      </c>
      <c r="EI88" s="2" t="str">
        <f aca="false">IF(DX88="","",IF(AND(ABS(DX88)&lt;=0.25,$E88="Bottom",DM88="LL"),"EQL",IF(AND(ABS(DX88)&lt;=0.25,$E88="Peak",DM88="HH"),"EQH","")))</f>
        <v/>
      </c>
      <c r="EJ88" s="2" t="str">
        <f aca="false">IF(DY88="","",IF(AND(ABS(DY88)&lt;=0.25,$E88="Bottom",DN88="LL"),"EQL",IF(AND(ABS(DY88)&lt;=0.25,$E88="Peak",DN88="HH"),"EQH","")))</f>
        <v/>
      </c>
      <c r="EK88" s="2" t="str">
        <f aca="false">IF(DZ88="","",IF(AND(ABS(DZ88)&lt;=0.25,$E88="Bottom",DO88="LL"),"EQL",IF(AND(ABS(DZ88)&lt;=0.25,$E88="Peak",DO88="HH"),"EQH","")))</f>
        <v/>
      </c>
      <c r="EL88" s="2" t="str">
        <f aca="false">IF(EA88="","",IF(AND(ABS(EA88)&lt;=0.25,$E88="Bottom",DP88="LL"),"EQL",IF(AND(ABS(EA88)&lt;=0.25,$E88="Peak",DP88="HH"),"EQH","")))</f>
        <v/>
      </c>
      <c r="EM88" s="2" t="str">
        <f aca="false">IF(EB88="","",IF(AND(ABS(EB88)&lt;=0.25,$E88="Bottom",DQ88="LL"),"EQL",IF(AND(ABS(EB88)&lt;=0.25,$E88="Peak",DQ88="HH"),"EQH","")))</f>
        <v/>
      </c>
      <c r="EN88" s="2" t="str">
        <f aca="false">IF(EC88="","",IF(AND(ABS(EC88)&lt;=0.25,$E88="Bottom",DR88="LL"),"EQL",IF(AND(ABS(EC88)&lt;=0.25,$E88="Peak",DR88="HH"),"EQH","")))</f>
        <v/>
      </c>
      <c r="EO88" s="2" t="str">
        <f aca="false">IF(ED88="","",IF(AND(ABS(ED88)&lt;=0.25,$E88="Bottom",DS88="LL"),"EQL",IF(AND(ABS(ED88)&lt;=0.25,$E88="Peak",DS88="HH"),"EQH","")))</f>
        <v/>
      </c>
      <c r="EP88" s="2" t="str">
        <f aca="false">IF(EE88="","",IF(AND(ABS(EE88)&lt;=0.25,$E88="Bottom",DT88="LL"),"EQL",IF(AND(ABS(EE88)&lt;=0.25,$E88="Peak",DT88="HH"),"EQH","")))</f>
        <v/>
      </c>
      <c r="EQ88" s="2" t="str">
        <f aca="false">IF(EF88="","",IF(AND(ABS(EF88)&lt;=0.25,$E88="Bottom",DU88="LL"),"EQL",IF(AND(ABS(EF88)&lt;=0.25,$E88="Peak",DU88="HH"),"EQH","")))</f>
        <v/>
      </c>
      <c r="ER88" s="2" t="str">
        <f aca="false">IF(OR(EG88="EQL",EG88="EQH"),G88,"")</f>
        <v/>
      </c>
      <c r="ES88" s="2" t="str">
        <f aca="false">IF(OR(EH88="EQL",EH88="EQH"),H88,"")</f>
        <v/>
      </c>
      <c r="ET88" s="2" t="str">
        <f aca="false">IF(OR(EI88="EQL",EI88="EQH"),I88,"")</f>
        <v/>
      </c>
      <c r="EU88" s="2" t="str">
        <f aca="false">IF(OR(EJ88="EQL",EJ88="EQH"),J88,"")</f>
        <v/>
      </c>
      <c r="EV88" s="2" t="str">
        <f aca="false">IF(OR(EK88="EQL",EK88="EQH"),K88,"")</f>
        <v/>
      </c>
      <c r="EW88" s="2" t="str">
        <f aca="false">IF(OR(EL88="EQL",EL88="EQH"),L88,"")</f>
        <v/>
      </c>
      <c r="EX88" s="2" t="str">
        <f aca="false">IF(OR(EM88="EQL",EM88="EQH"),M88,"")</f>
        <v/>
      </c>
      <c r="EY88" s="2" t="str">
        <f aca="false">IF(OR(EN88="EQL",EN88="EQH"),N88,"")</f>
        <v/>
      </c>
      <c r="EZ88" s="2" t="str">
        <f aca="false">IF(OR(EO88="EQL",EO88="EQH"),O88,"")</f>
        <v/>
      </c>
      <c r="FA88" s="2" t="str">
        <f aca="false">IF(OR(EP88="EQL",EP88="EQH"),P88,"")</f>
        <v/>
      </c>
      <c r="FB88" s="2" t="str">
        <f aca="false">IF(OR(EQ88="EQL",EQ88="EQH"),Q88,"")</f>
        <v/>
      </c>
      <c r="FC88" s="2" t="str">
        <f aca="false">IF(AND(EG88="EQL",OR(AQ88=4,AQ88=5)),"IEQL",IF(AND(EG88="EQH",OR(AQ88=1,AQ88=2)),"IEQH",""))</f>
        <v/>
      </c>
      <c r="FD88" s="2" t="str">
        <f aca="false">IF(AND(EH88="EQL",OR(AR88=4,AR88=5)),"IEQL",IF(AND(EH88="EQH",OR(AR88=1,AR88=2)),"IEQH",""))</f>
        <v/>
      </c>
      <c r="FE88" s="2" t="str">
        <f aca="false">IF(AND(EI88="EQL",OR(AS88=4,AS88=5)),"IEQL",IF(AND(EI88="EQH",OR(AS88=1,AS88=2)),"IEQH",""))</f>
        <v/>
      </c>
      <c r="FF88" s="2" t="str">
        <f aca="false">IF(AND(EJ88="EQL",OR(AT88=4,AT88=5)),"IEQL",IF(AND(EJ88="EQH",OR(AT88=1,AT88=2)),"IEQH",""))</f>
        <v/>
      </c>
      <c r="FG88" s="2" t="str">
        <f aca="false">IF(AND(EK88="EQL",OR(AU88=4,AU88=5)),"IEQL",IF(AND(EK88="EQH",OR(AU88=1,AU88=2)),"IEQH",""))</f>
        <v/>
      </c>
      <c r="FH88" s="2" t="str">
        <f aca="false">IF(AND(EL88="EQL",OR(AV88=4,AV88=5)),"IEQL",IF(AND(EL88="EQH",OR(AV88=1,AV88=2)),"IEQH",""))</f>
        <v/>
      </c>
      <c r="FI88" s="2" t="str">
        <f aca="false">IF(AND(EM88="EQL",OR(AW88=4,AW88=5)),"IEQL",IF(AND(EM88="EQH",OR(AW88=1,AW88=2)),"IEQH",""))</f>
        <v/>
      </c>
      <c r="FJ88" s="2" t="str">
        <f aca="false">IF(AND(EN88="EQL",OR(AX88=4,AX88=5)),"IEQL",IF(AND(EN88="EQH",OR(AX88=1,AX88=2)),"IEQH",""))</f>
        <v/>
      </c>
      <c r="FK88" s="2" t="str">
        <f aca="false">IF(AND(EO88="EQL",OR(AY88=4,AY88=5)),"IEQL",IF(AND(EO88="EQH",OR(AY88=1,AY88=2)),"IEQH",""))</f>
        <v/>
      </c>
      <c r="FL88" s="2" t="str">
        <f aca="false">IF(AND(EP88="EQL",OR(AZ88=4,AZ88=5)),"IEQL",IF(AND(EP88="EQH",OR(AZ88=1,AZ88=2)),"IEQH",""))</f>
        <v/>
      </c>
      <c r="FM88" s="2" t="str">
        <f aca="false">IF(AND(EQ88="EQL",OR(BA88=4,BA88=5)),"IEQL",IF(AND(EQ88="EQH",OR(BA88=1,BA88=2)),"IEQH",""))</f>
        <v/>
      </c>
    </row>
    <row r="89" customFormat="false" ht="14.25" hidden="false" customHeight="false" outlineLevel="0" collapsed="false">
      <c r="A89" s="1" t="n">
        <v>1778166002</v>
      </c>
      <c r="B89" s="1" t="s">
        <v>169</v>
      </c>
      <c r="C89" s="1" t="s">
        <v>170</v>
      </c>
      <c r="D89" s="1" t="n">
        <v>4754.77</v>
      </c>
      <c r="E89" s="1" t="s">
        <v>173</v>
      </c>
      <c r="F89" s="1" t="n">
        <v>4764.7</v>
      </c>
      <c r="G89" s="2" t="n">
        <f aca="false">F87</f>
        <v>4721.44</v>
      </c>
      <c r="H89" s="2" t="n">
        <f aca="false">F85</f>
        <v>4701.18</v>
      </c>
      <c r="I89" s="2" t="n">
        <f aca="false">F83</f>
        <v>4717.43</v>
      </c>
      <c r="J89" s="2" t="n">
        <f aca="false">F81</f>
        <v>4722.76</v>
      </c>
      <c r="K89" s="2" t="n">
        <f aca="false">F79</f>
        <v>4586.56</v>
      </c>
      <c r="L89" s="2" t="n">
        <f aca="false">F77</f>
        <v>4560.53</v>
      </c>
      <c r="M89" s="2" t="n">
        <f aca="false">F75</f>
        <v>4546.78</v>
      </c>
      <c r="N89" s="2" t="n">
        <f aca="false">F73</f>
        <v>4528.57</v>
      </c>
      <c r="O89" s="2" t="n">
        <f aca="false">F71</f>
        <v>4583.16</v>
      </c>
      <c r="P89" s="2" t="n">
        <f aca="false">F69</f>
        <v>4618.59</v>
      </c>
      <c r="Q89" s="2" t="n">
        <f aca="false">F67</f>
        <v>4632.11</v>
      </c>
      <c r="R89" s="1" t="n">
        <v>72.24</v>
      </c>
      <c r="S89" s="2" t="n">
        <f aca="false">R87</f>
        <v>35.85</v>
      </c>
      <c r="T89" s="2" t="n">
        <f aca="false">R85</f>
        <v>22.19</v>
      </c>
      <c r="U89" s="2" t="n">
        <f aca="false">R83</f>
        <v>56.72</v>
      </c>
      <c r="V89" s="2" t="n">
        <f aca="false">R81</f>
        <v>176.45</v>
      </c>
      <c r="W89" s="2" t="n">
        <f aca="false">R79</f>
        <v>46.56</v>
      </c>
      <c r="X89" s="2" t="n">
        <f aca="false">R77</f>
        <v>32.64</v>
      </c>
      <c r="Y89" s="2" t="n">
        <f aca="false">R75</f>
        <v>33.22</v>
      </c>
      <c r="Z89" s="2" t="n">
        <f aca="false">R73</f>
        <v>27.71</v>
      </c>
      <c r="AA89" s="2" t="n">
        <f aca="false">R71</f>
        <v>56.76</v>
      </c>
      <c r="AB89" s="2" t="n">
        <f aca="false">R69</f>
        <v>25.66</v>
      </c>
      <c r="AC89" s="2" t="n">
        <f aca="false">R67</f>
        <v>25.02</v>
      </c>
      <c r="AD89" s="1" t="n">
        <v>1.54</v>
      </c>
      <c r="AE89" s="2" t="n">
        <f aca="false">AD87</f>
        <v>0.77</v>
      </c>
      <c r="AF89" s="2" t="n">
        <f aca="false">AD85</f>
        <v>0.47</v>
      </c>
      <c r="AG89" s="2" t="n">
        <f aca="false">AD83</f>
        <v>1.22</v>
      </c>
      <c r="AH89" s="2" t="n">
        <f aca="false">AD81</f>
        <v>3.88</v>
      </c>
      <c r="AI89" s="2" t="n">
        <f aca="false">AD79</f>
        <v>1.03</v>
      </c>
      <c r="AJ89" s="2" t="n">
        <f aca="false">AD77</f>
        <v>0.72</v>
      </c>
      <c r="AK89" s="2" t="n">
        <f aca="false">AD75</f>
        <v>0.74</v>
      </c>
      <c r="AL89" s="2" t="n">
        <f aca="false">AD73</f>
        <v>0.62</v>
      </c>
      <c r="AM89" s="2" t="n">
        <f aca="false">AD71</f>
        <v>1.25</v>
      </c>
      <c r="AN89" s="2" t="n">
        <f aca="false">AD69</f>
        <v>0.56</v>
      </c>
      <c r="AO89" s="2" t="n">
        <f aca="false">AD67</f>
        <v>0.54</v>
      </c>
      <c r="AP89" s="1" t="n">
        <v>0</v>
      </c>
      <c r="AQ89" s="2" t="n">
        <f aca="false">AP87</f>
        <v>0</v>
      </c>
      <c r="AR89" s="2" t="n">
        <f aca="false">AP85</f>
        <v>0</v>
      </c>
      <c r="AS89" s="2" t="n">
        <f aca="false">AP83</f>
        <v>0</v>
      </c>
      <c r="AT89" s="2" t="n">
        <f aca="false">AP81</f>
        <v>2</v>
      </c>
      <c r="AU89" s="2" t="n">
        <f aca="false">AP79</f>
        <v>0</v>
      </c>
      <c r="AV89" s="2" t="n">
        <f aca="false">AP77</f>
        <v>0</v>
      </c>
      <c r="AW89" s="2" t="n">
        <f aca="false">AP75</f>
        <v>0</v>
      </c>
      <c r="AX89" s="2" t="n">
        <f aca="false">AP73</f>
        <v>0</v>
      </c>
      <c r="AY89" s="2" t="n">
        <f aca="false">AP71</f>
        <v>0</v>
      </c>
      <c r="AZ89" s="2" t="n">
        <f aca="false">AP69</f>
        <v>0</v>
      </c>
      <c r="BA89" s="2" t="n">
        <f aca="false">AP67</f>
        <v>0</v>
      </c>
      <c r="BB89" s="1" t="n">
        <v>42</v>
      </c>
      <c r="BC89" s="2" t="n">
        <f aca="false">BB87</f>
        <v>4</v>
      </c>
      <c r="BD89" s="2" t="n">
        <f aca="false">BB85</f>
        <v>23</v>
      </c>
      <c r="BE89" s="2" t="n">
        <f aca="false">BB83</f>
        <v>8</v>
      </c>
      <c r="BF89" s="2" t="n">
        <f aca="false">BB81</f>
        <v>49</v>
      </c>
      <c r="BG89" s="2" t="n">
        <f aca="false">BB79</f>
        <v>13</v>
      </c>
      <c r="BH89" s="2" t="n">
        <f aca="false">BB77</f>
        <v>18</v>
      </c>
      <c r="BI89" s="2" t="n">
        <f aca="false">BB75</f>
        <v>10</v>
      </c>
      <c r="BJ89" s="2" t="n">
        <f aca="false">BB73</f>
        <v>28</v>
      </c>
      <c r="BK89" s="2" t="n">
        <f aca="false">BB71</f>
        <v>17</v>
      </c>
      <c r="BL89" s="2" t="n">
        <f aca="false">BB69</f>
        <v>2</v>
      </c>
      <c r="BM89" s="2" t="n">
        <f aca="false">BB67</f>
        <v>4</v>
      </c>
      <c r="BN89" s="1" t="n">
        <v>2</v>
      </c>
      <c r="BO89" s="2" t="n">
        <f aca="false">BN87</f>
        <v>0</v>
      </c>
      <c r="BP89" s="2" t="n">
        <f aca="false">BN85</f>
        <v>0</v>
      </c>
      <c r="BQ89" s="2" t="n">
        <f aca="false">BN83</f>
        <v>0</v>
      </c>
      <c r="BR89" s="2" t="n">
        <f aca="false">BN81</f>
        <v>2</v>
      </c>
      <c r="BS89" s="2" t="n">
        <f aca="false">BN79</f>
        <v>0</v>
      </c>
      <c r="BT89" s="2" t="n">
        <f aca="false">BN77</f>
        <v>0</v>
      </c>
      <c r="BU89" s="2" t="n">
        <f aca="false">BN75</f>
        <v>0</v>
      </c>
      <c r="BV89" s="2" t="n">
        <f aca="false">BN73</f>
        <v>0</v>
      </c>
      <c r="BW89" s="2" t="n">
        <f aca="false">BN71</f>
        <v>0</v>
      </c>
      <c r="BX89" s="2" t="n">
        <f aca="false">BN69</f>
        <v>0</v>
      </c>
      <c r="BY89" s="2" t="n">
        <f aca="false">BN67</f>
        <v>0</v>
      </c>
      <c r="BZ89" s="1" t="n">
        <v>1.72</v>
      </c>
      <c r="CA89" s="2" t="n">
        <f aca="false">BZ87</f>
        <v>8.9625</v>
      </c>
      <c r="CB89" s="2" t="n">
        <f aca="false">BZ85</f>
        <v>0.96478</v>
      </c>
      <c r="CC89" s="2" t="n">
        <f aca="false">BZ83</f>
        <v>7.09</v>
      </c>
      <c r="CD89" s="2" t="n">
        <f aca="false">BZ81</f>
        <v>3.60102</v>
      </c>
      <c r="CE89" s="2" t="n">
        <f aca="false">BZ79</f>
        <v>3.58154</v>
      </c>
      <c r="CF89" s="2" t="n">
        <f aca="false">BZ77</f>
        <v>1.81333</v>
      </c>
      <c r="CG89" s="2" t="n">
        <f aca="false">BZ75</f>
        <v>3.322</v>
      </c>
      <c r="CH89" s="2" t="n">
        <f aca="false">BZ73</f>
        <v>0.98964</v>
      </c>
      <c r="CI89" s="2" t="n">
        <f aca="false">BZ71</f>
        <v>3.33882</v>
      </c>
      <c r="CJ89" s="2" t="n">
        <f aca="false">BZ69</f>
        <v>12.83</v>
      </c>
      <c r="CK89" s="2" t="n">
        <f aca="false">BZ67</f>
        <v>6.255</v>
      </c>
      <c r="CL89" s="1" t="n">
        <v>0</v>
      </c>
      <c r="CM89" s="2" t="n">
        <f aca="false">CL87</f>
        <v>0</v>
      </c>
      <c r="CN89" s="2" t="n">
        <f aca="false">CL85</f>
        <v>0</v>
      </c>
      <c r="CO89" s="2" t="n">
        <f aca="false">CL83</f>
        <v>0</v>
      </c>
      <c r="CP89" s="2" t="n">
        <f aca="false">CL81</f>
        <v>0</v>
      </c>
      <c r="CQ89" s="2" t="n">
        <f aca="false">CL79</f>
        <v>0</v>
      </c>
      <c r="CR89" s="2" t="n">
        <f aca="false">CL77</f>
        <v>0</v>
      </c>
      <c r="CS89" s="2" t="n">
        <f aca="false">CL75</f>
        <v>0</v>
      </c>
      <c r="CT89" s="2" t="n">
        <f aca="false">CL73</f>
        <v>0</v>
      </c>
      <c r="CU89" s="2" t="n">
        <f aca="false">CL71</f>
        <v>0</v>
      </c>
      <c r="CV89" s="2" t="n">
        <f aca="false">CL69</f>
        <v>0</v>
      </c>
      <c r="CW89" s="2" t="n">
        <f aca="false">CL67</f>
        <v>0</v>
      </c>
      <c r="CX89" s="1" t="n">
        <v>59.8265</v>
      </c>
      <c r="CY89" s="2" t="n">
        <f aca="false">CX87</f>
        <v>83.6335</v>
      </c>
      <c r="CZ89" s="2" t="n">
        <f aca="false">CX85</f>
        <v>43.9731</v>
      </c>
      <c r="DA89" s="2" t="n">
        <f aca="false">CX83</f>
        <v>81.9717</v>
      </c>
      <c r="DB89" s="2" t="n">
        <f aca="false">CX81</f>
        <v>74.4801</v>
      </c>
      <c r="DC89" s="2" t="n">
        <f aca="false">CX79</f>
        <v>74.3998</v>
      </c>
      <c r="DD89" s="2" t="n">
        <f aca="false">CX77</f>
        <v>61.1246</v>
      </c>
      <c r="DE89" s="2" t="n">
        <f aca="false">CX75</f>
        <v>73.247</v>
      </c>
      <c r="DF89" s="2" t="n">
        <f aca="false">CX73</f>
        <v>44.7017</v>
      </c>
      <c r="DG89" s="2" t="n">
        <f aca="false">CX71</f>
        <v>73.3267</v>
      </c>
      <c r="DH89" s="2" t="n">
        <f aca="false">CX69</f>
        <v>85.5432</v>
      </c>
      <c r="DI89" s="2" t="n">
        <f aca="false">CX67</f>
        <v>80.9169</v>
      </c>
      <c r="DJ89" s="1" t="s">
        <v>176</v>
      </c>
      <c r="DK89" s="2" t="str">
        <f aca="false">DJ87</f>
        <v>HH</v>
      </c>
      <c r="DL89" s="2" t="str">
        <f aca="false">DJ85</f>
        <v>LH</v>
      </c>
      <c r="DM89" s="2" t="str">
        <f aca="false">DJ83</f>
        <v>LH</v>
      </c>
      <c r="DN89" s="2" t="str">
        <f aca="false">DJ81</f>
        <v>HH</v>
      </c>
      <c r="DO89" s="2" t="str">
        <f aca="false">DJ79</f>
        <v>HH</v>
      </c>
      <c r="DP89" s="2" t="str">
        <f aca="false">DJ77</f>
        <v>HH</v>
      </c>
      <c r="DQ89" s="2" t="str">
        <f aca="false">DJ75</f>
        <v>HH</v>
      </c>
      <c r="DR89" s="2" t="str">
        <f aca="false">DJ73</f>
        <v>LH</v>
      </c>
      <c r="DS89" s="2" t="str">
        <f aca="false">DJ71</f>
        <v>LH</v>
      </c>
      <c r="DT89" s="2" t="str">
        <f aca="false">DJ69</f>
        <v>LH</v>
      </c>
      <c r="DU89" s="2" t="str">
        <f aca="false">DJ67</f>
        <v>LH</v>
      </c>
      <c r="DV89" s="2" t="n">
        <f aca="false">IFERROR((G89-$F89)/$F89*100,"")</f>
        <v>-0.907927046823519</v>
      </c>
      <c r="DW89" s="2" t="n">
        <f aca="false">IFERROR((H89-$F89)/$F89*100,"")</f>
        <v>-1.33313744831783</v>
      </c>
      <c r="DX89" s="2" t="n">
        <f aca="false">IFERROR((I89-$F89)/$F89*100,"")</f>
        <v>-0.992087644552638</v>
      </c>
      <c r="DY89" s="2" t="n">
        <f aca="false">IFERROR((J89-$F89)/$F89*100,"")</f>
        <v>-0.880223308917657</v>
      </c>
      <c r="DZ89" s="2" t="n">
        <f aca="false">IFERROR((K89-$F89)/$F89*100,"")</f>
        <v>-3.73874535647574</v>
      </c>
      <c r="EA89" s="2" t="n">
        <f aca="false">IFERROR((L89-$F89)/$F89*100,"")</f>
        <v>-4.28505467290701</v>
      </c>
      <c r="EB89" s="2" t="n">
        <f aca="false">IFERROR((M89-$F89)/$F89*100,"")</f>
        <v>-4.57363527609294</v>
      </c>
      <c r="EC89" s="2" t="n">
        <f aca="false">IFERROR((N89-$F89)/$F89*100,"")</f>
        <v>-4.95582093311227</v>
      </c>
      <c r="ED89" s="2" t="n">
        <f aca="false">IFERROR((O89-$F89)/$F89*100,"")</f>
        <v>-3.81010346926354</v>
      </c>
      <c r="EE89" s="2" t="n">
        <f aca="false">IFERROR((P89-$F89)/$F89*100,"")</f>
        <v>-3.06650995865426</v>
      </c>
      <c r="EF89" s="2" t="n">
        <f aca="false">IFERROR((Q89-$F89)/$F89*100,"")</f>
        <v>-2.78275652192164</v>
      </c>
      <c r="EG89" s="2" t="str">
        <f aca="false">IF(DV89="","",IF(AND(ABS(DV89)&lt;=0.25,$E89="Bottom",DK89="LL"),"EQL",IF(AND(ABS(DV89)&lt;=0.25,$E89="Peak",DK89="HH"),"EQH","")))</f>
        <v/>
      </c>
      <c r="EH89" s="2" t="str">
        <f aca="false">IF(DW89="","",IF(AND(ABS(DW89)&lt;=0.25,$E89="Bottom",DL89="LL"),"EQL",IF(AND(ABS(DW89)&lt;=0.25,$E89="Peak",DL89="HH"),"EQH","")))</f>
        <v/>
      </c>
      <c r="EI89" s="2" t="str">
        <f aca="false">IF(DX89="","",IF(AND(ABS(DX89)&lt;=0.25,$E89="Bottom",DM89="LL"),"EQL",IF(AND(ABS(DX89)&lt;=0.25,$E89="Peak",DM89="HH"),"EQH","")))</f>
        <v/>
      </c>
      <c r="EJ89" s="2" t="str">
        <f aca="false">IF(DY89="","",IF(AND(ABS(DY89)&lt;=0.25,$E89="Bottom",DN89="LL"),"EQL",IF(AND(ABS(DY89)&lt;=0.25,$E89="Peak",DN89="HH"),"EQH","")))</f>
        <v/>
      </c>
      <c r="EK89" s="2" t="str">
        <f aca="false">IF(DZ89="","",IF(AND(ABS(DZ89)&lt;=0.25,$E89="Bottom",DO89="LL"),"EQL",IF(AND(ABS(DZ89)&lt;=0.25,$E89="Peak",DO89="HH"),"EQH","")))</f>
        <v/>
      </c>
      <c r="EL89" s="2" t="str">
        <f aca="false">IF(EA89="","",IF(AND(ABS(EA89)&lt;=0.25,$E89="Bottom",DP89="LL"),"EQL",IF(AND(ABS(EA89)&lt;=0.25,$E89="Peak",DP89="HH"),"EQH","")))</f>
        <v/>
      </c>
      <c r="EM89" s="2" t="str">
        <f aca="false">IF(EB89="","",IF(AND(ABS(EB89)&lt;=0.25,$E89="Bottom",DQ89="LL"),"EQL",IF(AND(ABS(EB89)&lt;=0.25,$E89="Peak",DQ89="HH"),"EQH","")))</f>
        <v/>
      </c>
      <c r="EN89" s="2" t="str">
        <f aca="false">IF(EC89="","",IF(AND(ABS(EC89)&lt;=0.25,$E89="Bottom",DR89="LL"),"EQL",IF(AND(ABS(EC89)&lt;=0.25,$E89="Peak",DR89="HH"),"EQH","")))</f>
        <v/>
      </c>
      <c r="EO89" s="2" t="str">
        <f aca="false">IF(ED89="","",IF(AND(ABS(ED89)&lt;=0.25,$E89="Bottom",DS89="LL"),"EQL",IF(AND(ABS(ED89)&lt;=0.25,$E89="Peak",DS89="HH"),"EQH","")))</f>
        <v/>
      </c>
      <c r="EP89" s="2" t="str">
        <f aca="false">IF(EE89="","",IF(AND(ABS(EE89)&lt;=0.25,$E89="Bottom",DT89="LL"),"EQL",IF(AND(ABS(EE89)&lt;=0.25,$E89="Peak",DT89="HH"),"EQH","")))</f>
        <v/>
      </c>
      <c r="EQ89" s="2" t="str">
        <f aca="false">IF(EF89="","",IF(AND(ABS(EF89)&lt;=0.25,$E89="Bottom",DU89="LL"),"EQL",IF(AND(ABS(EF89)&lt;=0.25,$E89="Peak",DU89="HH"),"EQH","")))</f>
        <v/>
      </c>
      <c r="ER89" s="2" t="str">
        <f aca="false">IF(OR(EG89="EQL",EG89="EQH"),G89,"")</f>
        <v/>
      </c>
      <c r="ES89" s="2" t="str">
        <f aca="false">IF(OR(EH89="EQL",EH89="EQH"),H89,"")</f>
        <v/>
      </c>
      <c r="ET89" s="2" t="str">
        <f aca="false">IF(OR(EI89="EQL",EI89="EQH"),I89,"")</f>
        <v/>
      </c>
      <c r="EU89" s="2" t="str">
        <f aca="false">IF(OR(EJ89="EQL",EJ89="EQH"),J89,"")</f>
        <v/>
      </c>
      <c r="EV89" s="2" t="str">
        <f aca="false">IF(OR(EK89="EQL",EK89="EQH"),K89,"")</f>
        <v/>
      </c>
      <c r="EW89" s="2" t="str">
        <f aca="false">IF(OR(EL89="EQL",EL89="EQH"),L89,"")</f>
        <v/>
      </c>
      <c r="EX89" s="2" t="str">
        <f aca="false">IF(OR(EM89="EQL",EM89="EQH"),M89,"")</f>
        <v/>
      </c>
      <c r="EY89" s="2" t="str">
        <f aca="false">IF(OR(EN89="EQL",EN89="EQH"),N89,"")</f>
        <v/>
      </c>
      <c r="EZ89" s="2" t="str">
        <f aca="false">IF(OR(EO89="EQL",EO89="EQH"),O89,"")</f>
        <v/>
      </c>
      <c r="FA89" s="2" t="str">
        <f aca="false">IF(OR(EP89="EQL",EP89="EQH"),P89,"")</f>
        <v/>
      </c>
      <c r="FB89" s="2" t="str">
        <f aca="false">IF(OR(EQ89="EQL",EQ89="EQH"),Q89,"")</f>
        <v/>
      </c>
      <c r="FC89" s="2" t="str">
        <f aca="false">IF(AND(EG89="EQL",OR(AQ89=4,AQ89=5)),"IEQL",IF(AND(EG89="EQH",OR(AQ89=1,AQ89=2)),"IEQH",""))</f>
        <v/>
      </c>
      <c r="FD89" s="2" t="str">
        <f aca="false">IF(AND(EH89="EQL",OR(AR89=4,AR89=5)),"IEQL",IF(AND(EH89="EQH",OR(AR89=1,AR89=2)),"IEQH",""))</f>
        <v/>
      </c>
      <c r="FE89" s="2" t="str">
        <f aca="false">IF(AND(EI89="EQL",OR(AS89=4,AS89=5)),"IEQL",IF(AND(EI89="EQH",OR(AS89=1,AS89=2)),"IEQH",""))</f>
        <v/>
      </c>
      <c r="FF89" s="2" t="str">
        <f aca="false">IF(AND(EJ89="EQL",OR(AT89=4,AT89=5)),"IEQL",IF(AND(EJ89="EQH",OR(AT89=1,AT89=2)),"IEQH",""))</f>
        <v/>
      </c>
      <c r="FG89" s="2" t="str">
        <f aca="false">IF(AND(EK89="EQL",OR(AU89=4,AU89=5)),"IEQL",IF(AND(EK89="EQH",OR(AU89=1,AU89=2)),"IEQH",""))</f>
        <v/>
      </c>
      <c r="FH89" s="2" t="str">
        <f aca="false">IF(AND(EL89="EQL",OR(AV89=4,AV89=5)),"IEQL",IF(AND(EL89="EQH",OR(AV89=1,AV89=2)),"IEQH",""))</f>
        <v/>
      </c>
      <c r="FI89" s="2" t="str">
        <f aca="false">IF(AND(EM89="EQL",OR(AW89=4,AW89=5)),"IEQL",IF(AND(EM89="EQH",OR(AW89=1,AW89=2)),"IEQH",""))</f>
        <v/>
      </c>
      <c r="FJ89" s="2" t="str">
        <f aca="false">IF(AND(EN89="EQL",OR(AX89=4,AX89=5)),"IEQL",IF(AND(EN89="EQH",OR(AX89=1,AX89=2)),"IEQH",""))</f>
        <v/>
      </c>
      <c r="FK89" s="2" t="str">
        <f aca="false">IF(AND(EO89="EQL",OR(AY89=4,AY89=5)),"IEQL",IF(AND(EO89="EQH",OR(AY89=1,AY89=2)),"IEQH",""))</f>
        <v/>
      </c>
      <c r="FL89" s="2" t="str">
        <f aca="false">IF(AND(EP89="EQL",OR(AZ89=4,AZ89=5)),"IEQL",IF(AND(EP89="EQH",OR(AZ89=1,AZ89=2)),"IEQH",""))</f>
        <v/>
      </c>
      <c r="FM89" s="2" t="str">
        <f aca="false">IF(AND(EQ89="EQL",OR(BA89=4,BA89=5)),"IEQL",IF(AND(EQ89="EQH",OR(BA89=1,BA89=2)),"IEQH",""))</f>
        <v/>
      </c>
    </row>
    <row r="90" customFormat="false" ht="14.25" hidden="false" customHeight="false" outlineLevel="0" collapsed="false">
      <c r="A90" s="1" t="n">
        <v>1778191202</v>
      </c>
      <c r="B90" s="1" t="s">
        <v>169</v>
      </c>
      <c r="C90" s="1" t="s">
        <v>170</v>
      </c>
      <c r="D90" s="1" t="n">
        <v>4691.37</v>
      </c>
      <c r="E90" s="1" t="s">
        <v>171</v>
      </c>
      <c r="F90" s="1" t="n">
        <v>4678.1</v>
      </c>
      <c r="G90" s="2" t="n">
        <f aca="false">F88</f>
        <v>4692.46</v>
      </c>
      <c r="H90" s="2" t="n">
        <f aca="false">F86</f>
        <v>4685.59</v>
      </c>
      <c r="I90" s="2" t="n">
        <f aca="false">F84</f>
        <v>4678.99</v>
      </c>
      <c r="J90" s="2" t="n">
        <f aca="false">F82</f>
        <v>4660.71</v>
      </c>
      <c r="K90" s="2" t="n">
        <f aca="false">F80</f>
        <v>4546.31</v>
      </c>
      <c r="L90" s="2" t="n">
        <f aca="false">F78</f>
        <v>4540</v>
      </c>
      <c r="M90" s="2" t="n">
        <f aca="false">F76</f>
        <v>4527.89</v>
      </c>
      <c r="N90" s="2" t="n">
        <f aca="false">F74</f>
        <v>4513.56</v>
      </c>
      <c r="O90" s="2" t="n">
        <f aca="false">F72</f>
        <v>4500.86</v>
      </c>
      <c r="P90" s="2" t="n">
        <f aca="false">F70</f>
        <v>4526.4</v>
      </c>
      <c r="Q90" s="2" t="n">
        <f aca="false">F68</f>
        <v>4592.93</v>
      </c>
      <c r="R90" s="1" t="n">
        <v>-86.6</v>
      </c>
      <c r="S90" s="2" t="n">
        <f aca="false">R88</f>
        <v>-28.98</v>
      </c>
      <c r="T90" s="2" t="n">
        <f aca="false">R86</f>
        <v>-15.59</v>
      </c>
      <c r="U90" s="2" t="n">
        <f aca="false">R84</f>
        <v>-38.44</v>
      </c>
      <c r="V90" s="2" t="n">
        <f aca="false">R82</f>
        <v>-62.05</v>
      </c>
      <c r="W90" s="2" t="n">
        <f aca="false">R80</f>
        <v>-40.25</v>
      </c>
      <c r="X90" s="2" t="n">
        <f aca="false">R78</f>
        <v>-20.53</v>
      </c>
      <c r="Y90" s="2" t="n">
        <f aca="false">R76</f>
        <v>-18.89</v>
      </c>
      <c r="Z90" s="2" t="n">
        <f aca="false">R74</f>
        <v>-15.01</v>
      </c>
      <c r="AA90" s="2" t="n">
        <f aca="false">R72</f>
        <v>-82.3</v>
      </c>
      <c r="AB90" s="2" t="n">
        <f aca="false">R70</f>
        <v>-92.19</v>
      </c>
      <c r="AC90" s="2" t="n">
        <f aca="false">R68</f>
        <v>-39.18</v>
      </c>
      <c r="AD90" s="1" t="n">
        <v>-1.82</v>
      </c>
      <c r="AE90" s="2" t="n">
        <f aca="false">AD88</f>
        <v>-0.61</v>
      </c>
      <c r="AF90" s="2" t="n">
        <f aca="false">AD86</f>
        <v>-0.33</v>
      </c>
      <c r="AG90" s="2" t="n">
        <f aca="false">AD84</f>
        <v>-0.81</v>
      </c>
      <c r="AH90" s="2" t="n">
        <f aca="false">AD82</f>
        <v>-1.31</v>
      </c>
      <c r="AI90" s="2" t="n">
        <f aca="false">AD80</f>
        <v>-0.88</v>
      </c>
      <c r="AJ90" s="2" t="n">
        <f aca="false">AD78</f>
        <v>-0.45</v>
      </c>
      <c r="AK90" s="2" t="n">
        <f aca="false">AD76</f>
        <v>-0.42</v>
      </c>
      <c r="AL90" s="2" t="n">
        <f aca="false">AD74</f>
        <v>-0.33</v>
      </c>
      <c r="AM90" s="2" t="n">
        <f aca="false">AD72</f>
        <v>-1.8</v>
      </c>
      <c r="AN90" s="2" t="n">
        <f aca="false">AD70</f>
        <v>-2</v>
      </c>
      <c r="AO90" s="2" t="n">
        <f aca="false">AD68</f>
        <v>-0.85</v>
      </c>
      <c r="AP90" s="1" t="n">
        <v>3</v>
      </c>
      <c r="AQ90" s="2" t="n">
        <f aca="false">AP88</f>
        <v>3</v>
      </c>
      <c r="AR90" s="2" t="n">
        <f aca="false">AP86</f>
        <v>3</v>
      </c>
      <c r="AS90" s="2" t="n">
        <f aca="false">AP84</f>
        <v>3</v>
      </c>
      <c r="AT90" s="2" t="n">
        <f aca="false">AP82</f>
        <v>3</v>
      </c>
      <c r="AU90" s="2" t="n">
        <f aca="false">AP80</f>
        <v>3</v>
      </c>
      <c r="AV90" s="2" t="n">
        <f aca="false">AP78</f>
        <v>3</v>
      </c>
      <c r="AW90" s="2" t="n">
        <f aca="false">AP76</f>
        <v>3</v>
      </c>
      <c r="AX90" s="2" t="n">
        <f aca="false">AP74</f>
        <v>3</v>
      </c>
      <c r="AY90" s="2" t="n">
        <f aca="false">AP72</f>
        <v>3</v>
      </c>
      <c r="AZ90" s="2" t="n">
        <f aca="false">AP70</f>
        <v>4</v>
      </c>
      <c r="BA90" s="2" t="n">
        <f aca="false">AP68</f>
        <v>3</v>
      </c>
      <c r="BB90" s="1" t="n">
        <v>24</v>
      </c>
      <c r="BC90" s="2" t="n">
        <f aca="false">BB88</f>
        <v>11</v>
      </c>
      <c r="BD90" s="2" t="n">
        <f aca="false">BB86</f>
        <v>2</v>
      </c>
      <c r="BE90" s="2" t="n">
        <f aca="false">BB84</f>
        <v>13</v>
      </c>
      <c r="BF90" s="2" t="n">
        <f aca="false">BB82</f>
        <v>6</v>
      </c>
      <c r="BG90" s="2" t="n">
        <f aca="false">BB80</f>
        <v>29</v>
      </c>
      <c r="BH90" s="2" t="n">
        <f aca="false">BB78</f>
        <v>8</v>
      </c>
      <c r="BI90" s="2" t="n">
        <f aca="false">BB76</f>
        <v>7</v>
      </c>
      <c r="BJ90" s="2" t="n">
        <f aca="false">BB74</f>
        <v>1</v>
      </c>
      <c r="BK90" s="2" t="n">
        <f aca="false">BB72</f>
        <v>6</v>
      </c>
      <c r="BL90" s="2" t="n">
        <f aca="false">BB70</f>
        <v>33</v>
      </c>
      <c r="BM90" s="2" t="n">
        <f aca="false">BB68</f>
        <v>14</v>
      </c>
      <c r="BN90" s="1" t="n">
        <v>3</v>
      </c>
      <c r="BO90" s="2" t="n">
        <f aca="false">BN88</f>
        <v>3</v>
      </c>
      <c r="BP90" s="2" t="n">
        <f aca="false">BN86</f>
        <v>3</v>
      </c>
      <c r="BQ90" s="2" t="n">
        <f aca="false">BN84</f>
        <v>3</v>
      </c>
      <c r="BR90" s="2" t="n">
        <f aca="false">BN82</f>
        <v>3</v>
      </c>
      <c r="BS90" s="2" t="n">
        <f aca="false">BN80</f>
        <v>3</v>
      </c>
      <c r="BT90" s="2" t="n">
        <f aca="false">BN78</f>
        <v>3</v>
      </c>
      <c r="BU90" s="2" t="n">
        <f aca="false">BN76</f>
        <v>3</v>
      </c>
      <c r="BV90" s="2" t="n">
        <f aca="false">BN74</f>
        <v>3</v>
      </c>
      <c r="BW90" s="2" t="n">
        <f aca="false">BN72</f>
        <v>3</v>
      </c>
      <c r="BX90" s="2" t="n">
        <f aca="false">BN70</f>
        <v>3</v>
      </c>
      <c r="BY90" s="2" t="n">
        <f aca="false">BN68</f>
        <v>3</v>
      </c>
      <c r="BZ90" s="1" t="n">
        <v>-3.60833</v>
      </c>
      <c r="CA90" s="2" t="n">
        <f aca="false">BZ88</f>
        <v>-2.63455</v>
      </c>
      <c r="CB90" s="2" t="n">
        <f aca="false">BZ86</f>
        <v>-7.795</v>
      </c>
      <c r="CC90" s="2" t="n">
        <f aca="false">BZ84</f>
        <v>-2.95692</v>
      </c>
      <c r="CD90" s="2" t="n">
        <f aca="false">BZ82</f>
        <v>-10.34167</v>
      </c>
      <c r="CE90" s="2" t="n">
        <f aca="false">BZ80</f>
        <v>-1.38793</v>
      </c>
      <c r="CF90" s="2" t="n">
        <f aca="false">BZ78</f>
        <v>-2.56625</v>
      </c>
      <c r="CG90" s="2" t="n">
        <f aca="false">BZ76</f>
        <v>-2.69857</v>
      </c>
      <c r="CH90" s="2" t="n">
        <f aca="false">BZ74</f>
        <v>-15.01</v>
      </c>
      <c r="CI90" s="2" t="n">
        <f aca="false">BZ72</f>
        <v>-13.71667</v>
      </c>
      <c r="CJ90" s="2" t="n">
        <f aca="false">BZ70</f>
        <v>-2.79364</v>
      </c>
      <c r="CK90" s="2" t="n">
        <f aca="false">BZ68</f>
        <v>-2.79857</v>
      </c>
      <c r="CL90" s="1" t="n">
        <v>3</v>
      </c>
      <c r="CM90" s="2" t="n">
        <f aca="false">CL88</f>
        <v>3</v>
      </c>
      <c r="CN90" s="2" t="n">
        <f aca="false">CL86</f>
        <v>3</v>
      </c>
      <c r="CO90" s="2" t="n">
        <f aca="false">CL84</f>
        <v>3</v>
      </c>
      <c r="CP90" s="2" t="n">
        <f aca="false">CL82</f>
        <v>5</v>
      </c>
      <c r="CQ90" s="2" t="n">
        <f aca="false">CL80</f>
        <v>3</v>
      </c>
      <c r="CR90" s="2" t="n">
        <f aca="false">CL78</f>
        <v>3</v>
      </c>
      <c r="CS90" s="2" t="n">
        <f aca="false">CL76</f>
        <v>3</v>
      </c>
      <c r="CT90" s="2" t="n">
        <f aca="false">CL74</f>
        <v>5</v>
      </c>
      <c r="CU90" s="2" t="n">
        <f aca="false">CL72</f>
        <v>5</v>
      </c>
      <c r="CV90" s="2" t="n">
        <f aca="false">CL70</f>
        <v>3</v>
      </c>
      <c r="CW90" s="2" t="n">
        <f aca="false">CL68</f>
        <v>3</v>
      </c>
      <c r="CX90" s="1" t="n">
        <v>-74.51</v>
      </c>
      <c r="CY90" s="2" t="n">
        <f aca="false">CX88</f>
        <v>-69.2146</v>
      </c>
      <c r="CZ90" s="2" t="n">
        <f aca="false">CX86</f>
        <v>-82.6896</v>
      </c>
      <c r="DA90" s="2" t="n">
        <f aca="false">CX84</f>
        <v>-71.315</v>
      </c>
      <c r="DB90" s="2" t="n">
        <f aca="false">CX82</f>
        <v>-84.4769</v>
      </c>
      <c r="DC90" s="2" t="n">
        <f aca="false">CX80</f>
        <v>-54.2274</v>
      </c>
      <c r="DD90" s="2" t="n">
        <f aca="false">CX78</f>
        <v>-68.7104</v>
      </c>
      <c r="DE90" s="2" t="n">
        <f aca="false">CX76</f>
        <v>-69.667</v>
      </c>
      <c r="DF90" s="2" t="n">
        <f aca="false">CX74</f>
        <v>-86.1885</v>
      </c>
      <c r="DG90" s="2" t="n">
        <f aca="false">CX72</f>
        <v>-85.8303</v>
      </c>
      <c r="DH90" s="2" t="n">
        <f aca="false">CX70</f>
        <v>-70.3048</v>
      </c>
      <c r="DI90" s="2" t="n">
        <f aca="false">CX68</f>
        <v>-70.3369</v>
      </c>
      <c r="DJ90" s="1" t="s">
        <v>172</v>
      </c>
      <c r="DK90" s="2" t="str">
        <f aca="false">DJ88</f>
        <v>HL</v>
      </c>
      <c r="DL90" s="2" t="str">
        <f aca="false">DJ86</f>
        <v>HL</v>
      </c>
      <c r="DM90" s="2" t="str">
        <f aca="false">DJ84</f>
        <v>HL</v>
      </c>
      <c r="DN90" s="2" t="str">
        <f aca="false">DJ82</f>
        <v>HL</v>
      </c>
      <c r="DO90" s="2" t="str">
        <f aca="false">DJ80</f>
        <v>HL</v>
      </c>
      <c r="DP90" s="2" t="str">
        <f aca="false">DJ78</f>
        <v>HL</v>
      </c>
      <c r="DQ90" s="2" t="str">
        <f aca="false">DJ76</f>
        <v>HL</v>
      </c>
      <c r="DR90" s="2" t="str">
        <f aca="false">DJ74</f>
        <v>HL</v>
      </c>
      <c r="DS90" s="2" t="str">
        <f aca="false">DJ72</f>
        <v>LL</v>
      </c>
      <c r="DT90" s="2" t="str">
        <f aca="false">DJ70</f>
        <v>LL</v>
      </c>
      <c r="DU90" s="2" t="str">
        <f aca="false">DJ68</f>
        <v>LL</v>
      </c>
      <c r="DV90" s="2" t="n">
        <f aca="false">IFERROR((G90-$F90)/$F90*100,"")</f>
        <v>0.306962228255054</v>
      </c>
      <c r="DW90" s="2" t="n">
        <f aca="false">IFERROR((H90-$F90)/$F90*100,"")</f>
        <v>0.160107736046681</v>
      </c>
      <c r="DX90" s="2" t="n">
        <f aca="false">IFERROR((I90-$F90)/$F90*100,"")</f>
        <v>0.0190248177678848</v>
      </c>
      <c r="DY90" s="2" t="n">
        <f aca="false">IFERROR((J90-$F90)/$F90*100,"")</f>
        <v>-0.371732113464875</v>
      </c>
      <c r="DZ90" s="2" t="n">
        <f aca="false">IFERROR((K90-$F90)/$F90*100,"")</f>
        <v>-2.81716936363053</v>
      </c>
      <c r="EA90" s="2" t="n">
        <f aca="false">IFERROR((L90-$F90)/$F90*100,"")</f>
        <v>-2.95205318398496</v>
      </c>
      <c r="EB90" s="2" t="n">
        <f aca="false">IFERROR((M90-$F90)/$F90*100,"")</f>
        <v>-3.21091896282679</v>
      </c>
      <c r="EC90" s="2" t="n">
        <f aca="false">IFERROR((N90-$F90)/$F90*100,"")</f>
        <v>-3.51723990508967</v>
      </c>
      <c r="ED90" s="2" t="n">
        <f aca="false">IFERROR((O90-$F90)/$F90*100,"")</f>
        <v>-3.78871764177766</v>
      </c>
      <c r="EE90" s="2" t="n">
        <f aca="false">IFERROR((P90-$F90)/$F90*100,"")</f>
        <v>-3.24276950043823</v>
      </c>
      <c r="EF90" s="2" t="n">
        <f aca="false">IFERROR((Q90-$F90)/$F90*100,"")</f>
        <v>-1.82061093178855</v>
      </c>
      <c r="EG90" s="2" t="str">
        <f aca="false">IF(DV90="","",IF(AND(ABS(DV90)&lt;=0.25,$E90="Bottom",DK90="LL"),"EQL",IF(AND(ABS(DV90)&lt;=0.25,$E90="Peak",DK90="HH"),"EQH","")))</f>
        <v/>
      </c>
      <c r="EH90" s="2" t="str">
        <f aca="false">IF(DW90="","",IF(AND(ABS(DW90)&lt;=0.25,$E90="Bottom",DL90="LL"),"EQL",IF(AND(ABS(DW90)&lt;=0.25,$E90="Peak",DL90="HH"),"EQH","")))</f>
        <v/>
      </c>
      <c r="EI90" s="2" t="str">
        <f aca="false">IF(DX90="","",IF(AND(ABS(DX90)&lt;=0.25,$E90="Bottom",DM90="LL"),"EQL",IF(AND(ABS(DX90)&lt;=0.25,$E90="Peak",DM90="HH"),"EQH","")))</f>
        <v/>
      </c>
      <c r="EJ90" s="2" t="str">
        <f aca="false">IF(DY90="","",IF(AND(ABS(DY90)&lt;=0.25,$E90="Bottom",DN90="LL"),"EQL",IF(AND(ABS(DY90)&lt;=0.25,$E90="Peak",DN90="HH"),"EQH","")))</f>
        <v/>
      </c>
      <c r="EK90" s="2" t="str">
        <f aca="false">IF(DZ90="","",IF(AND(ABS(DZ90)&lt;=0.25,$E90="Bottom",DO90="LL"),"EQL",IF(AND(ABS(DZ90)&lt;=0.25,$E90="Peak",DO90="HH"),"EQH","")))</f>
        <v/>
      </c>
      <c r="EL90" s="2" t="str">
        <f aca="false">IF(EA90="","",IF(AND(ABS(EA90)&lt;=0.25,$E90="Bottom",DP90="LL"),"EQL",IF(AND(ABS(EA90)&lt;=0.25,$E90="Peak",DP90="HH"),"EQH","")))</f>
        <v/>
      </c>
      <c r="EM90" s="2" t="str">
        <f aca="false">IF(EB90="","",IF(AND(ABS(EB90)&lt;=0.25,$E90="Bottom",DQ90="LL"),"EQL",IF(AND(ABS(EB90)&lt;=0.25,$E90="Peak",DQ90="HH"),"EQH","")))</f>
        <v/>
      </c>
      <c r="EN90" s="2" t="str">
        <f aca="false">IF(EC90="","",IF(AND(ABS(EC90)&lt;=0.25,$E90="Bottom",DR90="LL"),"EQL",IF(AND(ABS(EC90)&lt;=0.25,$E90="Peak",DR90="HH"),"EQH","")))</f>
        <v/>
      </c>
      <c r="EO90" s="2" t="str">
        <f aca="false">IF(ED90="","",IF(AND(ABS(ED90)&lt;=0.25,$E90="Bottom",DS90="LL"),"EQL",IF(AND(ABS(ED90)&lt;=0.25,$E90="Peak",DS90="HH"),"EQH","")))</f>
        <v/>
      </c>
      <c r="EP90" s="2" t="str">
        <f aca="false">IF(EE90="","",IF(AND(ABS(EE90)&lt;=0.25,$E90="Bottom",DT90="LL"),"EQL",IF(AND(ABS(EE90)&lt;=0.25,$E90="Peak",DT90="HH"),"EQH","")))</f>
        <v/>
      </c>
      <c r="EQ90" s="2" t="str">
        <f aca="false">IF(EF90="","",IF(AND(ABS(EF90)&lt;=0.25,$E90="Bottom",DU90="LL"),"EQL",IF(AND(ABS(EF90)&lt;=0.25,$E90="Peak",DU90="HH"),"EQH","")))</f>
        <v/>
      </c>
      <c r="ER90" s="2" t="str">
        <f aca="false">IF(OR(EG90="EQL",EG90="EQH"),G90,"")</f>
        <v/>
      </c>
      <c r="ES90" s="2" t="str">
        <f aca="false">IF(OR(EH90="EQL",EH90="EQH"),H90,"")</f>
        <v/>
      </c>
      <c r="ET90" s="2" t="str">
        <f aca="false">IF(OR(EI90="EQL",EI90="EQH"),I90,"")</f>
        <v/>
      </c>
      <c r="EU90" s="2" t="str">
        <f aca="false">IF(OR(EJ90="EQL",EJ90="EQH"),J90,"")</f>
        <v/>
      </c>
      <c r="EV90" s="2" t="str">
        <f aca="false">IF(OR(EK90="EQL",EK90="EQH"),K90,"")</f>
        <v/>
      </c>
      <c r="EW90" s="2" t="str">
        <f aca="false">IF(OR(EL90="EQL",EL90="EQH"),L90,"")</f>
        <v/>
      </c>
      <c r="EX90" s="2" t="str">
        <f aca="false">IF(OR(EM90="EQL",EM90="EQH"),M90,"")</f>
        <v/>
      </c>
      <c r="EY90" s="2" t="str">
        <f aca="false">IF(OR(EN90="EQL",EN90="EQH"),N90,"")</f>
        <v/>
      </c>
      <c r="EZ90" s="2" t="str">
        <f aca="false">IF(OR(EO90="EQL",EO90="EQH"),O90,"")</f>
        <v/>
      </c>
      <c r="FA90" s="2" t="str">
        <f aca="false">IF(OR(EP90="EQL",EP90="EQH"),P90,"")</f>
        <v/>
      </c>
      <c r="FB90" s="2" t="str">
        <f aca="false">IF(OR(EQ90="EQL",EQ90="EQH"),Q90,"")</f>
        <v/>
      </c>
      <c r="FC90" s="2" t="str">
        <f aca="false">IF(AND(EG90="EQL",OR(AQ90=4,AQ90=5)),"IEQL",IF(AND(EG90="EQH",OR(AQ90=1,AQ90=2)),"IEQH",""))</f>
        <v/>
      </c>
      <c r="FD90" s="2" t="str">
        <f aca="false">IF(AND(EH90="EQL",OR(AR90=4,AR90=5)),"IEQL",IF(AND(EH90="EQH",OR(AR90=1,AR90=2)),"IEQH",""))</f>
        <v/>
      </c>
      <c r="FE90" s="2" t="str">
        <f aca="false">IF(AND(EI90="EQL",OR(AS90=4,AS90=5)),"IEQL",IF(AND(EI90="EQH",OR(AS90=1,AS90=2)),"IEQH",""))</f>
        <v/>
      </c>
      <c r="FF90" s="2" t="str">
        <f aca="false">IF(AND(EJ90="EQL",OR(AT90=4,AT90=5)),"IEQL",IF(AND(EJ90="EQH",OR(AT90=1,AT90=2)),"IEQH",""))</f>
        <v/>
      </c>
      <c r="FG90" s="2" t="str">
        <f aca="false">IF(AND(EK90="EQL",OR(AU90=4,AU90=5)),"IEQL",IF(AND(EK90="EQH",OR(AU90=1,AU90=2)),"IEQH",""))</f>
        <v/>
      </c>
      <c r="FH90" s="2" t="str">
        <f aca="false">IF(AND(EL90="EQL",OR(AV90=4,AV90=5)),"IEQL",IF(AND(EL90="EQH",OR(AV90=1,AV90=2)),"IEQH",""))</f>
        <v/>
      </c>
      <c r="FI90" s="2" t="str">
        <f aca="false">IF(AND(EM90="EQL",OR(AW90=4,AW90=5)),"IEQL",IF(AND(EM90="EQH",OR(AW90=1,AW90=2)),"IEQH",""))</f>
        <v/>
      </c>
      <c r="FJ90" s="2" t="str">
        <f aca="false">IF(AND(EN90="EQL",OR(AX90=4,AX90=5)),"IEQL",IF(AND(EN90="EQH",OR(AX90=1,AX90=2)),"IEQH",""))</f>
        <v/>
      </c>
      <c r="FK90" s="2" t="str">
        <f aca="false">IF(AND(EO90="EQL",OR(AY90=4,AY90=5)),"IEQL",IF(AND(EO90="EQH",OR(AY90=1,AY90=2)),"IEQH",""))</f>
        <v/>
      </c>
      <c r="FL90" s="2" t="str">
        <f aca="false">IF(AND(EP90="EQL",OR(AZ90=4,AZ90=5)),"IEQL",IF(AND(EP90="EQH",OR(AZ90=1,AZ90=2)),"IEQH",""))</f>
        <v/>
      </c>
      <c r="FM90" s="2" t="str">
        <f aca="false">IF(AND(EQ90="EQL",OR(BA90=4,BA90=5)),"IEQL",IF(AND(EQ90="EQH",OR(BA90=1,BA90=2)),"IEQH",""))</f>
        <v/>
      </c>
    </row>
    <row r="91" customFormat="false" ht="14.25" hidden="false" customHeight="false" outlineLevel="0" collapsed="false">
      <c r="A91" s="1" t="n">
        <v>1778220902</v>
      </c>
      <c r="B91" s="1" t="s">
        <v>169</v>
      </c>
      <c r="C91" s="1" t="s">
        <v>170</v>
      </c>
      <c r="D91" s="1" t="n">
        <v>4733.47</v>
      </c>
      <c r="E91" s="1" t="s">
        <v>173</v>
      </c>
      <c r="F91" s="1" t="n">
        <v>4734.65</v>
      </c>
      <c r="G91" s="2" t="n">
        <f aca="false">F89</f>
        <v>4764.7</v>
      </c>
      <c r="H91" s="2" t="n">
        <f aca="false">F87</f>
        <v>4721.44</v>
      </c>
      <c r="I91" s="2" t="n">
        <f aca="false">F85</f>
        <v>4701.18</v>
      </c>
      <c r="J91" s="2" t="n">
        <f aca="false">F83</f>
        <v>4717.43</v>
      </c>
      <c r="K91" s="2" t="n">
        <f aca="false">F81</f>
        <v>4722.76</v>
      </c>
      <c r="L91" s="2" t="n">
        <f aca="false">F79</f>
        <v>4586.56</v>
      </c>
      <c r="M91" s="2" t="n">
        <f aca="false">F77</f>
        <v>4560.53</v>
      </c>
      <c r="N91" s="2" t="n">
        <f aca="false">F75</f>
        <v>4546.78</v>
      </c>
      <c r="O91" s="2" t="n">
        <f aca="false">F73</f>
        <v>4528.57</v>
      </c>
      <c r="P91" s="2" t="n">
        <f aca="false">F71</f>
        <v>4583.16</v>
      </c>
      <c r="Q91" s="2" t="n">
        <f aca="false">F69</f>
        <v>4618.59</v>
      </c>
      <c r="R91" s="1" t="n">
        <v>56.55</v>
      </c>
      <c r="S91" s="2" t="n">
        <f aca="false">R89</f>
        <v>72.24</v>
      </c>
      <c r="T91" s="2" t="n">
        <f aca="false">R87</f>
        <v>35.85</v>
      </c>
      <c r="U91" s="2" t="n">
        <f aca="false">R85</f>
        <v>22.19</v>
      </c>
      <c r="V91" s="2" t="n">
        <f aca="false">R83</f>
        <v>56.72</v>
      </c>
      <c r="W91" s="2" t="n">
        <f aca="false">R81</f>
        <v>176.45</v>
      </c>
      <c r="X91" s="2" t="n">
        <f aca="false">R79</f>
        <v>46.56</v>
      </c>
      <c r="Y91" s="2" t="n">
        <f aca="false">R77</f>
        <v>32.64</v>
      </c>
      <c r="Z91" s="2" t="n">
        <f aca="false">R75</f>
        <v>33.22</v>
      </c>
      <c r="AA91" s="2" t="n">
        <f aca="false">R73</f>
        <v>27.71</v>
      </c>
      <c r="AB91" s="2" t="n">
        <f aca="false">R71</f>
        <v>56.76</v>
      </c>
      <c r="AC91" s="2" t="n">
        <f aca="false">R69</f>
        <v>25.66</v>
      </c>
      <c r="AD91" s="1" t="n">
        <v>1.21</v>
      </c>
      <c r="AE91" s="2" t="n">
        <f aca="false">AD89</f>
        <v>1.54</v>
      </c>
      <c r="AF91" s="2" t="n">
        <f aca="false">AD87</f>
        <v>0.77</v>
      </c>
      <c r="AG91" s="2" t="n">
        <f aca="false">AD85</f>
        <v>0.47</v>
      </c>
      <c r="AH91" s="2" t="n">
        <f aca="false">AD83</f>
        <v>1.22</v>
      </c>
      <c r="AI91" s="2" t="n">
        <f aca="false">AD81</f>
        <v>3.88</v>
      </c>
      <c r="AJ91" s="2" t="n">
        <f aca="false">AD79</f>
        <v>1.03</v>
      </c>
      <c r="AK91" s="2" t="n">
        <f aca="false">AD77</f>
        <v>0.72</v>
      </c>
      <c r="AL91" s="2" t="n">
        <f aca="false">AD75</f>
        <v>0.74</v>
      </c>
      <c r="AM91" s="2" t="n">
        <f aca="false">AD73</f>
        <v>0.62</v>
      </c>
      <c r="AN91" s="2" t="n">
        <f aca="false">AD71</f>
        <v>1.25</v>
      </c>
      <c r="AO91" s="2" t="n">
        <f aca="false">AD69</f>
        <v>0.56</v>
      </c>
      <c r="AP91" s="1" t="n">
        <v>0</v>
      </c>
      <c r="AQ91" s="2" t="n">
        <f aca="false">AP89</f>
        <v>0</v>
      </c>
      <c r="AR91" s="2" t="n">
        <f aca="false">AP87</f>
        <v>0</v>
      </c>
      <c r="AS91" s="2" t="n">
        <f aca="false">AP85</f>
        <v>0</v>
      </c>
      <c r="AT91" s="2" t="n">
        <f aca="false">AP83</f>
        <v>0</v>
      </c>
      <c r="AU91" s="2" t="n">
        <f aca="false">AP81</f>
        <v>2</v>
      </c>
      <c r="AV91" s="2" t="n">
        <f aca="false">AP79</f>
        <v>0</v>
      </c>
      <c r="AW91" s="2" t="n">
        <f aca="false">AP77</f>
        <v>0</v>
      </c>
      <c r="AX91" s="2" t="n">
        <f aca="false">AP75</f>
        <v>0</v>
      </c>
      <c r="AY91" s="2" t="n">
        <f aca="false">AP73</f>
        <v>0</v>
      </c>
      <c r="AZ91" s="2" t="n">
        <f aca="false">AP71</f>
        <v>0</v>
      </c>
      <c r="BA91" s="2" t="n">
        <f aca="false">AP69</f>
        <v>0</v>
      </c>
      <c r="BB91" s="1" t="n">
        <v>33</v>
      </c>
      <c r="BC91" s="2" t="n">
        <f aca="false">BB89</f>
        <v>42</v>
      </c>
      <c r="BD91" s="2" t="n">
        <f aca="false">BB87</f>
        <v>4</v>
      </c>
      <c r="BE91" s="2" t="n">
        <f aca="false">BB85</f>
        <v>23</v>
      </c>
      <c r="BF91" s="2" t="n">
        <f aca="false">BB83</f>
        <v>8</v>
      </c>
      <c r="BG91" s="2" t="n">
        <f aca="false">BB81</f>
        <v>49</v>
      </c>
      <c r="BH91" s="2" t="n">
        <f aca="false">BB79</f>
        <v>13</v>
      </c>
      <c r="BI91" s="2" t="n">
        <f aca="false">BB77</f>
        <v>18</v>
      </c>
      <c r="BJ91" s="2" t="n">
        <f aca="false">BB75</f>
        <v>10</v>
      </c>
      <c r="BK91" s="2" t="n">
        <f aca="false">BB73</f>
        <v>28</v>
      </c>
      <c r="BL91" s="2" t="n">
        <f aca="false">BB71</f>
        <v>17</v>
      </c>
      <c r="BM91" s="2" t="n">
        <f aca="false">BB69</f>
        <v>2</v>
      </c>
      <c r="BN91" s="1" t="n">
        <v>0</v>
      </c>
      <c r="BO91" s="2" t="n">
        <f aca="false">BN89</f>
        <v>2</v>
      </c>
      <c r="BP91" s="2" t="n">
        <f aca="false">BN87</f>
        <v>0</v>
      </c>
      <c r="BQ91" s="2" t="n">
        <f aca="false">BN85</f>
        <v>0</v>
      </c>
      <c r="BR91" s="2" t="n">
        <f aca="false">BN83</f>
        <v>0</v>
      </c>
      <c r="BS91" s="2" t="n">
        <f aca="false">BN81</f>
        <v>2</v>
      </c>
      <c r="BT91" s="2" t="n">
        <f aca="false">BN79</f>
        <v>0</v>
      </c>
      <c r="BU91" s="2" t="n">
        <f aca="false">BN77</f>
        <v>0</v>
      </c>
      <c r="BV91" s="2" t="n">
        <f aca="false">BN75</f>
        <v>0</v>
      </c>
      <c r="BW91" s="2" t="n">
        <f aca="false">BN73</f>
        <v>0</v>
      </c>
      <c r="BX91" s="2" t="n">
        <f aca="false">BN71</f>
        <v>0</v>
      </c>
      <c r="BY91" s="2" t="n">
        <f aca="false">BN69</f>
        <v>0</v>
      </c>
      <c r="BZ91" s="1" t="n">
        <v>1.71364</v>
      </c>
      <c r="CA91" s="2" t="n">
        <f aca="false">BZ89</f>
        <v>1.72</v>
      </c>
      <c r="CB91" s="2" t="n">
        <f aca="false">BZ87</f>
        <v>8.9625</v>
      </c>
      <c r="CC91" s="2" t="n">
        <f aca="false">BZ85</f>
        <v>0.96478</v>
      </c>
      <c r="CD91" s="2" t="n">
        <f aca="false">BZ83</f>
        <v>7.09</v>
      </c>
      <c r="CE91" s="2" t="n">
        <f aca="false">BZ81</f>
        <v>3.60102</v>
      </c>
      <c r="CF91" s="2" t="n">
        <f aca="false">BZ79</f>
        <v>3.58154</v>
      </c>
      <c r="CG91" s="2" t="n">
        <f aca="false">BZ77</f>
        <v>1.81333</v>
      </c>
      <c r="CH91" s="2" t="n">
        <f aca="false">BZ75</f>
        <v>3.322</v>
      </c>
      <c r="CI91" s="2" t="n">
        <f aca="false">BZ73</f>
        <v>0.98964</v>
      </c>
      <c r="CJ91" s="2" t="n">
        <f aca="false">BZ71</f>
        <v>3.33882</v>
      </c>
      <c r="CK91" s="2" t="n">
        <f aca="false">BZ69</f>
        <v>12.83</v>
      </c>
      <c r="CL91" s="1" t="n">
        <v>0</v>
      </c>
      <c r="CM91" s="2" t="n">
        <f aca="false">CL89</f>
        <v>0</v>
      </c>
      <c r="CN91" s="2" t="n">
        <f aca="false">CL87</f>
        <v>0</v>
      </c>
      <c r="CO91" s="2" t="n">
        <f aca="false">CL85</f>
        <v>0</v>
      </c>
      <c r="CP91" s="2" t="n">
        <f aca="false">CL83</f>
        <v>0</v>
      </c>
      <c r="CQ91" s="2" t="n">
        <f aca="false">CL81</f>
        <v>0</v>
      </c>
      <c r="CR91" s="2" t="n">
        <f aca="false">CL79</f>
        <v>0</v>
      </c>
      <c r="CS91" s="2" t="n">
        <f aca="false">CL77</f>
        <v>0</v>
      </c>
      <c r="CT91" s="2" t="n">
        <f aca="false">CL75</f>
        <v>0</v>
      </c>
      <c r="CU91" s="2" t="n">
        <f aca="false">CL73</f>
        <v>0</v>
      </c>
      <c r="CV91" s="2" t="n">
        <f aca="false">CL71</f>
        <v>0</v>
      </c>
      <c r="CW91" s="2" t="n">
        <f aca="false">CL69</f>
        <v>0</v>
      </c>
      <c r="CX91" s="1" t="n">
        <v>59.7341</v>
      </c>
      <c r="CY91" s="2" t="n">
        <f aca="false">CX89</f>
        <v>59.8265</v>
      </c>
      <c r="CZ91" s="2" t="n">
        <f aca="false">CX87</f>
        <v>83.6335</v>
      </c>
      <c r="DA91" s="2" t="n">
        <f aca="false">CX85</f>
        <v>43.9731</v>
      </c>
      <c r="DB91" s="2" t="n">
        <f aca="false">CX83</f>
        <v>81.9717</v>
      </c>
      <c r="DC91" s="2" t="n">
        <f aca="false">CX81</f>
        <v>74.4801</v>
      </c>
      <c r="DD91" s="2" t="n">
        <f aca="false">CX79</f>
        <v>74.3998</v>
      </c>
      <c r="DE91" s="2" t="n">
        <f aca="false">CX77</f>
        <v>61.1246</v>
      </c>
      <c r="DF91" s="2" t="n">
        <f aca="false">CX75</f>
        <v>73.247</v>
      </c>
      <c r="DG91" s="2" t="n">
        <f aca="false">CX73</f>
        <v>44.7017</v>
      </c>
      <c r="DH91" s="2" t="n">
        <f aca="false">CX71</f>
        <v>73.3267</v>
      </c>
      <c r="DI91" s="2" t="n">
        <f aca="false">CX69</f>
        <v>85.5432</v>
      </c>
      <c r="DJ91" s="1" t="s">
        <v>174</v>
      </c>
      <c r="DK91" s="2" t="str">
        <f aca="false">DJ89</f>
        <v>HH</v>
      </c>
      <c r="DL91" s="2" t="str">
        <f aca="false">DJ87</f>
        <v>HH</v>
      </c>
      <c r="DM91" s="2" t="str">
        <f aca="false">DJ85</f>
        <v>LH</v>
      </c>
      <c r="DN91" s="2" t="str">
        <f aca="false">DJ83</f>
        <v>LH</v>
      </c>
      <c r="DO91" s="2" t="str">
        <f aca="false">DJ81</f>
        <v>HH</v>
      </c>
      <c r="DP91" s="2" t="str">
        <f aca="false">DJ79</f>
        <v>HH</v>
      </c>
      <c r="DQ91" s="2" t="str">
        <f aca="false">DJ77</f>
        <v>HH</v>
      </c>
      <c r="DR91" s="2" t="str">
        <f aca="false">DJ75</f>
        <v>HH</v>
      </c>
      <c r="DS91" s="2" t="str">
        <f aca="false">DJ73</f>
        <v>LH</v>
      </c>
      <c r="DT91" s="2" t="str">
        <f aca="false">DJ71</f>
        <v>LH</v>
      </c>
      <c r="DU91" s="2" t="str">
        <f aca="false">DJ69</f>
        <v>LH</v>
      </c>
      <c r="DV91" s="2" t="n">
        <f aca="false">IFERROR((G91-$F91)/$F91*100,"")</f>
        <v>0.634682605894843</v>
      </c>
      <c r="DW91" s="2" t="n">
        <f aca="false">IFERROR((H91-$F91)/$F91*100,"")</f>
        <v>-0.27900689596908</v>
      </c>
      <c r="DX91" s="2" t="n">
        <f aca="false">IFERROR((I91-$F91)/$F91*100,"")</f>
        <v>-0.706916033920128</v>
      </c>
      <c r="DY91" s="2" t="n">
        <f aca="false">IFERROR((J91-$F91)/$F91*100,"")</f>
        <v>-0.363701646373002</v>
      </c>
      <c r="DZ91" s="2" t="n">
        <f aca="false">IFERROR((K91-$F91)/$F91*100,"")</f>
        <v>-0.251127327257546</v>
      </c>
      <c r="EA91" s="2" t="n">
        <f aca="false">IFERROR((L91-$F91)/$F91*100,"")</f>
        <v>-3.12779191703715</v>
      </c>
      <c r="EB91" s="2" t="n">
        <f aca="false">IFERROR((M91-$F91)/$F91*100,"")</f>
        <v>-3.67756856367419</v>
      </c>
      <c r="EC91" s="2" t="n">
        <f aca="false">IFERROR((N91-$F91)/$F91*100,"")</f>
        <v>-3.96798073775252</v>
      </c>
      <c r="ED91" s="2" t="n">
        <f aca="false">IFERROR((O91-$F91)/$F91*100,"")</f>
        <v>-4.35259206065918</v>
      </c>
      <c r="EE91" s="2" t="n">
        <f aca="false">IFERROR((P91-$F91)/$F91*100,"")</f>
        <v>-3.19960292735471</v>
      </c>
      <c r="EF91" s="2" t="n">
        <f aca="false">IFERROR((Q91-$F91)/$F91*100,"")</f>
        <v>-2.45128995807503</v>
      </c>
      <c r="EG91" s="2" t="str">
        <f aca="false">IF(DV91="","",IF(AND(ABS(DV91)&lt;=0.25,$E91="Bottom",DK91="LL"),"EQL",IF(AND(ABS(DV91)&lt;=0.25,$E91="Peak",DK91="HH"),"EQH","")))</f>
        <v/>
      </c>
      <c r="EH91" s="2" t="str">
        <f aca="false">IF(DW91="","",IF(AND(ABS(DW91)&lt;=0.25,$E91="Bottom",DL91="LL"),"EQL",IF(AND(ABS(DW91)&lt;=0.25,$E91="Peak",DL91="HH"),"EQH","")))</f>
        <v/>
      </c>
      <c r="EI91" s="2" t="str">
        <f aca="false">IF(DX91="","",IF(AND(ABS(DX91)&lt;=0.25,$E91="Bottom",DM91="LL"),"EQL",IF(AND(ABS(DX91)&lt;=0.25,$E91="Peak",DM91="HH"),"EQH","")))</f>
        <v/>
      </c>
      <c r="EJ91" s="2" t="str">
        <f aca="false">IF(DY91="","",IF(AND(ABS(DY91)&lt;=0.25,$E91="Bottom",DN91="LL"),"EQL",IF(AND(ABS(DY91)&lt;=0.25,$E91="Peak",DN91="HH"),"EQH","")))</f>
        <v/>
      </c>
      <c r="EK91" s="2" t="str">
        <f aca="false">IF(DZ91="","",IF(AND(ABS(DZ91)&lt;=0.25,$E91="Bottom",DO91="LL"),"EQL",IF(AND(ABS(DZ91)&lt;=0.25,$E91="Peak",DO91="HH"),"EQH","")))</f>
        <v/>
      </c>
      <c r="EL91" s="2" t="str">
        <f aca="false">IF(EA91="","",IF(AND(ABS(EA91)&lt;=0.25,$E91="Bottom",DP91="LL"),"EQL",IF(AND(ABS(EA91)&lt;=0.25,$E91="Peak",DP91="HH"),"EQH","")))</f>
        <v/>
      </c>
      <c r="EM91" s="2" t="str">
        <f aca="false">IF(EB91="","",IF(AND(ABS(EB91)&lt;=0.25,$E91="Bottom",DQ91="LL"),"EQL",IF(AND(ABS(EB91)&lt;=0.25,$E91="Peak",DQ91="HH"),"EQH","")))</f>
        <v/>
      </c>
      <c r="EN91" s="2" t="str">
        <f aca="false">IF(EC91="","",IF(AND(ABS(EC91)&lt;=0.25,$E91="Bottom",DR91="LL"),"EQL",IF(AND(ABS(EC91)&lt;=0.25,$E91="Peak",DR91="HH"),"EQH","")))</f>
        <v/>
      </c>
      <c r="EO91" s="2" t="str">
        <f aca="false">IF(ED91="","",IF(AND(ABS(ED91)&lt;=0.25,$E91="Bottom",DS91="LL"),"EQL",IF(AND(ABS(ED91)&lt;=0.25,$E91="Peak",DS91="HH"),"EQH","")))</f>
        <v/>
      </c>
      <c r="EP91" s="2" t="str">
        <f aca="false">IF(EE91="","",IF(AND(ABS(EE91)&lt;=0.25,$E91="Bottom",DT91="LL"),"EQL",IF(AND(ABS(EE91)&lt;=0.25,$E91="Peak",DT91="HH"),"EQH","")))</f>
        <v/>
      </c>
      <c r="EQ91" s="2" t="str">
        <f aca="false">IF(EF91="","",IF(AND(ABS(EF91)&lt;=0.25,$E91="Bottom",DU91="LL"),"EQL",IF(AND(ABS(EF91)&lt;=0.25,$E91="Peak",DU91="HH"),"EQH","")))</f>
        <v/>
      </c>
      <c r="ER91" s="2" t="str">
        <f aca="false">IF(OR(EG91="EQL",EG91="EQH"),G91,"")</f>
        <v/>
      </c>
      <c r="ES91" s="2" t="str">
        <f aca="false">IF(OR(EH91="EQL",EH91="EQH"),H91,"")</f>
        <v/>
      </c>
      <c r="ET91" s="2" t="str">
        <f aca="false">IF(OR(EI91="EQL",EI91="EQH"),I91,"")</f>
        <v/>
      </c>
      <c r="EU91" s="2" t="str">
        <f aca="false">IF(OR(EJ91="EQL",EJ91="EQH"),J91,"")</f>
        <v/>
      </c>
      <c r="EV91" s="2" t="str">
        <f aca="false">IF(OR(EK91="EQL",EK91="EQH"),K91,"")</f>
        <v/>
      </c>
      <c r="EW91" s="2" t="str">
        <f aca="false">IF(OR(EL91="EQL",EL91="EQH"),L91,"")</f>
        <v/>
      </c>
      <c r="EX91" s="2" t="str">
        <f aca="false">IF(OR(EM91="EQL",EM91="EQH"),M91,"")</f>
        <v/>
      </c>
      <c r="EY91" s="2" t="str">
        <f aca="false">IF(OR(EN91="EQL",EN91="EQH"),N91,"")</f>
        <v/>
      </c>
      <c r="EZ91" s="2" t="str">
        <f aca="false">IF(OR(EO91="EQL",EO91="EQH"),O91,"")</f>
        <v/>
      </c>
      <c r="FA91" s="2" t="str">
        <f aca="false">IF(OR(EP91="EQL",EP91="EQH"),P91,"")</f>
        <v/>
      </c>
      <c r="FB91" s="2" t="str">
        <f aca="false">IF(OR(EQ91="EQL",EQ91="EQH"),Q91,"")</f>
        <v/>
      </c>
      <c r="FC91" s="2" t="str">
        <f aca="false">IF(AND(EG91="EQL",OR(AQ91=4,AQ91=5)),"IEQL",IF(AND(EG91="EQH",OR(AQ91=1,AQ91=2)),"IEQH",""))</f>
        <v/>
      </c>
      <c r="FD91" s="2" t="str">
        <f aca="false">IF(AND(EH91="EQL",OR(AR91=4,AR91=5)),"IEQL",IF(AND(EH91="EQH",OR(AR91=1,AR91=2)),"IEQH",""))</f>
        <v/>
      </c>
      <c r="FE91" s="2" t="str">
        <f aca="false">IF(AND(EI91="EQL",OR(AS91=4,AS91=5)),"IEQL",IF(AND(EI91="EQH",OR(AS91=1,AS91=2)),"IEQH",""))</f>
        <v/>
      </c>
      <c r="FF91" s="2" t="str">
        <f aca="false">IF(AND(EJ91="EQL",OR(AT91=4,AT91=5)),"IEQL",IF(AND(EJ91="EQH",OR(AT91=1,AT91=2)),"IEQH",""))</f>
        <v/>
      </c>
      <c r="FG91" s="2" t="str">
        <f aca="false">IF(AND(EK91="EQL",OR(AU91=4,AU91=5)),"IEQL",IF(AND(EK91="EQH",OR(AU91=1,AU91=2)),"IEQH",""))</f>
        <v/>
      </c>
      <c r="FH91" s="2" t="str">
        <f aca="false">IF(AND(EL91="EQL",OR(AV91=4,AV91=5)),"IEQL",IF(AND(EL91="EQH",OR(AV91=1,AV91=2)),"IEQH",""))</f>
        <v/>
      </c>
      <c r="FI91" s="2" t="str">
        <f aca="false">IF(AND(EM91="EQL",OR(AW91=4,AW91=5)),"IEQL",IF(AND(EM91="EQH",OR(AW91=1,AW91=2)),"IEQH",""))</f>
        <v/>
      </c>
      <c r="FJ91" s="2" t="str">
        <f aca="false">IF(AND(EN91="EQL",OR(AX91=4,AX91=5)),"IEQL",IF(AND(EN91="EQH",OR(AX91=1,AX91=2)),"IEQH",""))</f>
        <v/>
      </c>
      <c r="FK91" s="2" t="str">
        <f aca="false">IF(AND(EO91="EQL",OR(AY91=4,AY91=5)),"IEQL",IF(AND(EO91="EQH",OR(AY91=1,AY91=2)),"IEQH",""))</f>
        <v/>
      </c>
      <c r="FL91" s="2" t="str">
        <f aca="false">IF(AND(EP91="EQL",OR(AZ91=4,AZ91=5)),"IEQL",IF(AND(EP91="EQH",OR(AZ91=1,AZ91=2)),"IEQH",""))</f>
        <v/>
      </c>
      <c r="FM91" s="2" t="str">
        <f aca="false">IF(AND(EQ91="EQL",OR(BA91=4,BA91=5)),"IEQL",IF(AND(EQ91="EQH",OR(BA91=1,BA91=2)),"IEQH",""))</f>
        <v/>
      </c>
    </row>
    <row r="92" customFormat="false" ht="14.25" hidden="false" customHeight="false" outlineLevel="0" collapsed="false">
      <c r="A92" s="1" t="n">
        <v>1778224502</v>
      </c>
      <c r="B92" s="1" t="s">
        <v>169</v>
      </c>
      <c r="C92" s="1" t="s">
        <v>170</v>
      </c>
      <c r="D92" s="1" t="n">
        <v>4706.67</v>
      </c>
      <c r="E92" s="1" t="s">
        <v>171</v>
      </c>
      <c r="F92" s="1" t="n">
        <v>4696.83</v>
      </c>
      <c r="G92" s="2" t="n">
        <f aca="false">F90</f>
        <v>4678.1</v>
      </c>
      <c r="H92" s="2" t="n">
        <f aca="false">F88</f>
        <v>4692.46</v>
      </c>
      <c r="I92" s="2" t="n">
        <f aca="false">F86</f>
        <v>4685.59</v>
      </c>
      <c r="J92" s="2" t="n">
        <f aca="false">F84</f>
        <v>4678.99</v>
      </c>
      <c r="K92" s="2" t="n">
        <f aca="false">F82</f>
        <v>4660.71</v>
      </c>
      <c r="L92" s="2" t="n">
        <f aca="false">F80</f>
        <v>4546.31</v>
      </c>
      <c r="M92" s="2" t="n">
        <f aca="false">F78</f>
        <v>4540</v>
      </c>
      <c r="N92" s="2" t="n">
        <f aca="false">F76</f>
        <v>4527.89</v>
      </c>
      <c r="O92" s="2" t="n">
        <f aca="false">F74</f>
        <v>4513.56</v>
      </c>
      <c r="P92" s="2" t="n">
        <f aca="false">F72</f>
        <v>4500.86</v>
      </c>
      <c r="Q92" s="2" t="n">
        <f aca="false">F70</f>
        <v>4526.4</v>
      </c>
      <c r="R92" s="1" t="n">
        <v>-37.82</v>
      </c>
      <c r="S92" s="2" t="n">
        <f aca="false">R90</f>
        <v>-86.6</v>
      </c>
      <c r="T92" s="2" t="n">
        <f aca="false">R88</f>
        <v>-28.98</v>
      </c>
      <c r="U92" s="2" t="n">
        <f aca="false">R86</f>
        <v>-15.59</v>
      </c>
      <c r="V92" s="2" t="n">
        <f aca="false">R84</f>
        <v>-38.44</v>
      </c>
      <c r="W92" s="2" t="n">
        <f aca="false">R82</f>
        <v>-62.05</v>
      </c>
      <c r="X92" s="2" t="n">
        <f aca="false">R80</f>
        <v>-40.25</v>
      </c>
      <c r="Y92" s="2" t="n">
        <f aca="false">R78</f>
        <v>-20.53</v>
      </c>
      <c r="Z92" s="2" t="n">
        <f aca="false">R76</f>
        <v>-18.89</v>
      </c>
      <c r="AA92" s="2" t="n">
        <f aca="false">R74</f>
        <v>-15.01</v>
      </c>
      <c r="AB92" s="2" t="n">
        <f aca="false">R72</f>
        <v>-82.3</v>
      </c>
      <c r="AC92" s="2" t="n">
        <f aca="false">R70</f>
        <v>-92.19</v>
      </c>
      <c r="AD92" s="1" t="n">
        <v>-0.8</v>
      </c>
      <c r="AE92" s="2" t="n">
        <f aca="false">AD90</f>
        <v>-1.82</v>
      </c>
      <c r="AF92" s="2" t="n">
        <f aca="false">AD88</f>
        <v>-0.61</v>
      </c>
      <c r="AG92" s="2" t="n">
        <f aca="false">AD86</f>
        <v>-0.33</v>
      </c>
      <c r="AH92" s="2" t="n">
        <f aca="false">AD84</f>
        <v>-0.81</v>
      </c>
      <c r="AI92" s="2" t="n">
        <f aca="false">AD82</f>
        <v>-1.31</v>
      </c>
      <c r="AJ92" s="2" t="n">
        <f aca="false">AD80</f>
        <v>-0.88</v>
      </c>
      <c r="AK92" s="2" t="n">
        <f aca="false">AD78</f>
        <v>-0.45</v>
      </c>
      <c r="AL92" s="2" t="n">
        <f aca="false">AD76</f>
        <v>-0.42</v>
      </c>
      <c r="AM92" s="2" t="n">
        <f aca="false">AD74</f>
        <v>-0.33</v>
      </c>
      <c r="AN92" s="2" t="n">
        <f aca="false">AD72</f>
        <v>-1.8</v>
      </c>
      <c r="AO92" s="2" t="n">
        <f aca="false">AD70</f>
        <v>-2</v>
      </c>
      <c r="AP92" s="1" t="n">
        <v>3</v>
      </c>
      <c r="AQ92" s="2" t="n">
        <f aca="false">AP90</f>
        <v>3</v>
      </c>
      <c r="AR92" s="2" t="n">
        <f aca="false">AP88</f>
        <v>3</v>
      </c>
      <c r="AS92" s="2" t="n">
        <f aca="false">AP86</f>
        <v>3</v>
      </c>
      <c r="AT92" s="2" t="n">
        <f aca="false">AP84</f>
        <v>3</v>
      </c>
      <c r="AU92" s="2" t="n">
        <f aca="false">AP82</f>
        <v>3</v>
      </c>
      <c r="AV92" s="2" t="n">
        <f aca="false">AP80</f>
        <v>3</v>
      </c>
      <c r="AW92" s="2" t="n">
        <f aca="false">AP78</f>
        <v>3</v>
      </c>
      <c r="AX92" s="2" t="n">
        <f aca="false">AP76</f>
        <v>3</v>
      </c>
      <c r="AY92" s="2" t="n">
        <f aca="false">AP74</f>
        <v>3</v>
      </c>
      <c r="AZ92" s="2" t="n">
        <f aca="false">AP72</f>
        <v>3</v>
      </c>
      <c r="BA92" s="2" t="n">
        <f aca="false">AP70</f>
        <v>4</v>
      </c>
      <c r="BB92" s="1" t="n">
        <v>4</v>
      </c>
      <c r="BC92" s="2" t="n">
        <f aca="false">BB90</f>
        <v>24</v>
      </c>
      <c r="BD92" s="2" t="n">
        <f aca="false">BB88</f>
        <v>11</v>
      </c>
      <c r="BE92" s="2" t="n">
        <f aca="false">BB86</f>
        <v>2</v>
      </c>
      <c r="BF92" s="2" t="n">
        <f aca="false">BB84</f>
        <v>13</v>
      </c>
      <c r="BG92" s="2" t="n">
        <f aca="false">BB82</f>
        <v>6</v>
      </c>
      <c r="BH92" s="2" t="n">
        <f aca="false">BB80</f>
        <v>29</v>
      </c>
      <c r="BI92" s="2" t="n">
        <f aca="false">BB78</f>
        <v>8</v>
      </c>
      <c r="BJ92" s="2" t="n">
        <f aca="false">BB76</f>
        <v>7</v>
      </c>
      <c r="BK92" s="2" t="n">
        <f aca="false">BB74</f>
        <v>1</v>
      </c>
      <c r="BL92" s="2" t="n">
        <f aca="false">BB72</f>
        <v>6</v>
      </c>
      <c r="BM92" s="2" t="n">
        <f aca="false">BB70</f>
        <v>33</v>
      </c>
      <c r="BN92" s="1" t="n">
        <v>3</v>
      </c>
      <c r="BO92" s="2" t="n">
        <f aca="false">BN90</f>
        <v>3</v>
      </c>
      <c r="BP92" s="2" t="n">
        <f aca="false">BN88</f>
        <v>3</v>
      </c>
      <c r="BQ92" s="2" t="n">
        <f aca="false">BN86</f>
        <v>3</v>
      </c>
      <c r="BR92" s="2" t="n">
        <f aca="false">BN84</f>
        <v>3</v>
      </c>
      <c r="BS92" s="2" t="n">
        <f aca="false">BN82</f>
        <v>3</v>
      </c>
      <c r="BT92" s="2" t="n">
        <f aca="false">BN80</f>
        <v>3</v>
      </c>
      <c r="BU92" s="2" t="n">
        <f aca="false">BN78</f>
        <v>3</v>
      </c>
      <c r="BV92" s="2" t="n">
        <f aca="false">BN76</f>
        <v>3</v>
      </c>
      <c r="BW92" s="2" t="n">
        <f aca="false">BN74</f>
        <v>3</v>
      </c>
      <c r="BX92" s="2" t="n">
        <f aca="false">BN72</f>
        <v>3</v>
      </c>
      <c r="BY92" s="2" t="n">
        <f aca="false">BN70</f>
        <v>3</v>
      </c>
      <c r="BZ92" s="1" t="n">
        <v>-9.455</v>
      </c>
      <c r="CA92" s="2" t="n">
        <f aca="false">BZ90</f>
        <v>-3.60833</v>
      </c>
      <c r="CB92" s="2" t="n">
        <f aca="false">BZ88</f>
        <v>-2.63455</v>
      </c>
      <c r="CC92" s="2" t="n">
        <f aca="false">BZ86</f>
        <v>-7.795</v>
      </c>
      <c r="CD92" s="2" t="n">
        <f aca="false">BZ84</f>
        <v>-2.95692</v>
      </c>
      <c r="CE92" s="2" t="n">
        <f aca="false">BZ82</f>
        <v>-10.34167</v>
      </c>
      <c r="CF92" s="2" t="n">
        <f aca="false">BZ80</f>
        <v>-1.38793</v>
      </c>
      <c r="CG92" s="2" t="n">
        <f aca="false">BZ78</f>
        <v>-2.56625</v>
      </c>
      <c r="CH92" s="2" t="n">
        <f aca="false">BZ76</f>
        <v>-2.69857</v>
      </c>
      <c r="CI92" s="2" t="n">
        <f aca="false">BZ74</f>
        <v>-15.01</v>
      </c>
      <c r="CJ92" s="2" t="n">
        <f aca="false">BZ72</f>
        <v>-13.71667</v>
      </c>
      <c r="CK92" s="2" t="n">
        <f aca="false">BZ70</f>
        <v>-2.79364</v>
      </c>
      <c r="CL92" s="1" t="n">
        <v>4</v>
      </c>
      <c r="CM92" s="2" t="n">
        <f aca="false">CL90</f>
        <v>3</v>
      </c>
      <c r="CN92" s="2" t="n">
        <f aca="false">CL88</f>
        <v>3</v>
      </c>
      <c r="CO92" s="2" t="n">
        <f aca="false">CL86</f>
        <v>3</v>
      </c>
      <c r="CP92" s="2" t="n">
        <f aca="false">CL84</f>
        <v>3</v>
      </c>
      <c r="CQ92" s="2" t="n">
        <f aca="false">CL82</f>
        <v>5</v>
      </c>
      <c r="CR92" s="2" t="n">
        <f aca="false">CL80</f>
        <v>3</v>
      </c>
      <c r="CS92" s="2" t="n">
        <f aca="false">CL78</f>
        <v>3</v>
      </c>
      <c r="CT92" s="2" t="n">
        <f aca="false">CL76</f>
        <v>3</v>
      </c>
      <c r="CU92" s="2" t="n">
        <f aca="false">CL74</f>
        <v>5</v>
      </c>
      <c r="CV92" s="2" t="n">
        <f aca="false">CL72</f>
        <v>5</v>
      </c>
      <c r="CW92" s="2" t="n">
        <f aca="false">CL70</f>
        <v>3</v>
      </c>
      <c r="CX92" s="1" t="n">
        <v>-83.9626</v>
      </c>
      <c r="CY92" s="2" t="n">
        <f aca="false">CX90</f>
        <v>-74.51</v>
      </c>
      <c r="CZ92" s="2" t="n">
        <f aca="false">CX88</f>
        <v>-69.2146</v>
      </c>
      <c r="DA92" s="2" t="n">
        <f aca="false">CX86</f>
        <v>-82.6896</v>
      </c>
      <c r="DB92" s="2" t="n">
        <f aca="false">CX84</f>
        <v>-71.315</v>
      </c>
      <c r="DC92" s="2" t="n">
        <f aca="false">CX82</f>
        <v>-84.4769</v>
      </c>
      <c r="DD92" s="2" t="n">
        <f aca="false">CX80</f>
        <v>-54.2274</v>
      </c>
      <c r="DE92" s="2" t="n">
        <f aca="false">CX78</f>
        <v>-68.7104</v>
      </c>
      <c r="DF92" s="2" t="n">
        <f aca="false">CX76</f>
        <v>-69.667</v>
      </c>
      <c r="DG92" s="2" t="n">
        <f aca="false">CX74</f>
        <v>-86.1885</v>
      </c>
      <c r="DH92" s="2" t="n">
        <f aca="false">CX72</f>
        <v>-85.8303</v>
      </c>
      <c r="DI92" s="2" t="n">
        <f aca="false">CX70</f>
        <v>-70.3048</v>
      </c>
      <c r="DJ92" s="1" t="s">
        <v>175</v>
      </c>
      <c r="DK92" s="2" t="str">
        <f aca="false">DJ90</f>
        <v>LL</v>
      </c>
      <c r="DL92" s="2" t="str">
        <f aca="false">DJ88</f>
        <v>HL</v>
      </c>
      <c r="DM92" s="2" t="str">
        <f aca="false">DJ86</f>
        <v>HL</v>
      </c>
      <c r="DN92" s="2" t="str">
        <f aca="false">DJ84</f>
        <v>HL</v>
      </c>
      <c r="DO92" s="2" t="str">
        <f aca="false">DJ82</f>
        <v>HL</v>
      </c>
      <c r="DP92" s="2" t="str">
        <f aca="false">DJ80</f>
        <v>HL</v>
      </c>
      <c r="DQ92" s="2" t="str">
        <f aca="false">DJ78</f>
        <v>HL</v>
      </c>
      <c r="DR92" s="2" t="str">
        <f aca="false">DJ76</f>
        <v>HL</v>
      </c>
      <c r="DS92" s="2" t="str">
        <f aca="false">DJ74</f>
        <v>HL</v>
      </c>
      <c r="DT92" s="2" t="str">
        <f aca="false">DJ72</f>
        <v>LL</v>
      </c>
      <c r="DU92" s="2" t="str">
        <f aca="false">DJ70</f>
        <v>LL</v>
      </c>
      <c r="DV92" s="2" t="n">
        <f aca="false">IFERROR((G92-$F92)/$F92*100,"")</f>
        <v>-0.398779602412682</v>
      </c>
      <c r="DW92" s="2" t="n">
        <f aca="false">IFERROR((H92-$F92)/$F92*100,"")</f>
        <v>-0.0930414769110207</v>
      </c>
      <c r="DX92" s="2" t="n">
        <f aca="false">IFERROR((I92-$F92)/$F92*100,"")</f>
        <v>-0.23931034335924</v>
      </c>
      <c r="DY92" s="2" t="n">
        <f aca="false">IFERROR((J92-$F92)/$F92*100,"")</f>
        <v>-0.379830651737452</v>
      </c>
      <c r="DZ92" s="2" t="n">
        <f aca="false">IFERROR((K92-$F92)/$F92*100,"")</f>
        <v>-0.769029324033442</v>
      </c>
      <c r="EA92" s="2" t="n">
        <f aca="false">IFERROR((L92-$F92)/$F92*100,"")</f>
        <v>-3.20471466925564</v>
      </c>
      <c r="EB92" s="2" t="n">
        <f aca="false">IFERROR((M92-$F92)/$F92*100,"")</f>
        <v>-3.33906060044753</v>
      </c>
      <c r="EC92" s="2" t="n">
        <f aca="false">IFERROR((N92-$F92)/$F92*100,"")</f>
        <v>-3.59689407536572</v>
      </c>
      <c r="ED92" s="2" t="n">
        <f aca="false">IFERROR((O92-$F92)/$F92*100,"")</f>
        <v>-3.90199347219294</v>
      </c>
      <c r="EE92" s="2" t="n">
        <f aca="false">IFERROR((P92-$F92)/$F92*100,"")</f>
        <v>-4.17238861104192</v>
      </c>
      <c r="EF92" s="2" t="n">
        <f aca="false">IFERROR((Q92-$F92)/$F92*100,"")</f>
        <v>-3.6286175995299</v>
      </c>
      <c r="EG92" s="2" t="str">
        <f aca="false">IF(DV92="","",IF(AND(ABS(DV92)&lt;=0.25,$E92="Bottom",DK92="LL"),"EQL",IF(AND(ABS(DV92)&lt;=0.25,$E92="Peak",DK92="HH"),"EQH","")))</f>
        <v/>
      </c>
      <c r="EH92" s="2" t="str">
        <f aca="false">IF(DW92="","",IF(AND(ABS(DW92)&lt;=0.25,$E92="Bottom",DL92="LL"),"EQL",IF(AND(ABS(DW92)&lt;=0.25,$E92="Peak",DL92="HH"),"EQH","")))</f>
        <v/>
      </c>
      <c r="EI92" s="2" t="str">
        <f aca="false">IF(DX92="","",IF(AND(ABS(DX92)&lt;=0.25,$E92="Bottom",DM92="LL"),"EQL",IF(AND(ABS(DX92)&lt;=0.25,$E92="Peak",DM92="HH"),"EQH","")))</f>
        <v/>
      </c>
      <c r="EJ92" s="2" t="str">
        <f aca="false">IF(DY92="","",IF(AND(ABS(DY92)&lt;=0.25,$E92="Bottom",DN92="LL"),"EQL",IF(AND(ABS(DY92)&lt;=0.25,$E92="Peak",DN92="HH"),"EQH","")))</f>
        <v/>
      </c>
      <c r="EK92" s="2" t="str">
        <f aca="false">IF(DZ92="","",IF(AND(ABS(DZ92)&lt;=0.25,$E92="Bottom",DO92="LL"),"EQL",IF(AND(ABS(DZ92)&lt;=0.25,$E92="Peak",DO92="HH"),"EQH","")))</f>
        <v/>
      </c>
      <c r="EL92" s="2" t="str">
        <f aca="false">IF(EA92="","",IF(AND(ABS(EA92)&lt;=0.25,$E92="Bottom",DP92="LL"),"EQL",IF(AND(ABS(EA92)&lt;=0.25,$E92="Peak",DP92="HH"),"EQH","")))</f>
        <v/>
      </c>
      <c r="EM92" s="2" t="str">
        <f aca="false">IF(EB92="","",IF(AND(ABS(EB92)&lt;=0.25,$E92="Bottom",DQ92="LL"),"EQL",IF(AND(ABS(EB92)&lt;=0.25,$E92="Peak",DQ92="HH"),"EQH","")))</f>
        <v/>
      </c>
      <c r="EN92" s="2" t="str">
        <f aca="false">IF(EC92="","",IF(AND(ABS(EC92)&lt;=0.25,$E92="Bottom",DR92="LL"),"EQL",IF(AND(ABS(EC92)&lt;=0.25,$E92="Peak",DR92="HH"),"EQH","")))</f>
        <v/>
      </c>
      <c r="EO92" s="2" t="str">
        <f aca="false">IF(ED92="","",IF(AND(ABS(ED92)&lt;=0.25,$E92="Bottom",DS92="LL"),"EQL",IF(AND(ABS(ED92)&lt;=0.25,$E92="Peak",DS92="HH"),"EQH","")))</f>
        <v/>
      </c>
      <c r="EP92" s="2" t="str">
        <f aca="false">IF(EE92="","",IF(AND(ABS(EE92)&lt;=0.25,$E92="Bottom",DT92="LL"),"EQL",IF(AND(ABS(EE92)&lt;=0.25,$E92="Peak",DT92="HH"),"EQH","")))</f>
        <v/>
      </c>
      <c r="EQ92" s="2" t="str">
        <f aca="false">IF(EF92="","",IF(AND(ABS(EF92)&lt;=0.25,$E92="Bottom",DU92="LL"),"EQL",IF(AND(ABS(EF92)&lt;=0.25,$E92="Peak",DU92="HH"),"EQH","")))</f>
        <v/>
      </c>
      <c r="ER92" s="2" t="str">
        <f aca="false">IF(OR(EG92="EQL",EG92="EQH"),G92,"")</f>
        <v/>
      </c>
      <c r="ES92" s="2" t="str">
        <f aca="false">IF(OR(EH92="EQL",EH92="EQH"),H92,"")</f>
        <v/>
      </c>
      <c r="ET92" s="2" t="str">
        <f aca="false">IF(OR(EI92="EQL",EI92="EQH"),I92,"")</f>
        <v/>
      </c>
      <c r="EU92" s="2" t="str">
        <f aca="false">IF(OR(EJ92="EQL",EJ92="EQH"),J92,"")</f>
        <v/>
      </c>
      <c r="EV92" s="2" t="str">
        <f aca="false">IF(OR(EK92="EQL",EK92="EQH"),K92,"")</f>
        <v/>
      </c>
      <c r="EW92" s="2" t="str">
        <f aca="false">IF(OR(EL92="EQL",EL92="EQH"),L92,"")</f>
        <v/>
      </c>
      <c r="EX92" s="2" t="str">
        <f aca="false">IF(OR(EM92="EQL",EM92="EQH"),M92,"")</f>
        <v/>
      </c>
      <c r="EY92" s="2" t="str">
        <f aca="false">IF(OR(EN92="EQL",EN92="EQH"),N92,"")</f>
        <v/>
      </c>
      <c r="EZ92" s="2" t="str">
        <f aca="false">IF(OR(EO92="EQL",EO92="EQH"),O92,"")</f>
        <v/>
      </c>
      <c r="FA92" s="2" t="str">
        <f aca="false">IF(OR(EP92="EQL",EP92="EQH"),P92,"")</f>
        <v/>
      </c>
      <c r="FB92" s="2" t="str">
        <f aca="false">IF(OR(EQ92="EQL",EQ92="EQH"),Q92,"")</f>
        <v/>
      </c>
      <c r="FC92" s="2" t="str">
        <f aca="false">IF(AND(EG92="EQL",OR(AQ92=4,AQ92=5)),"IEQL",IF(AND(EG92="EQH",OR(AQ92=1,AQ92=2)),"IEQH",""))</f>
        <v/>
      </c>
      <c r="FD92" s="2" t="str">
        <f aca="false">IF(AND(EH92="EQL",OR(AR92=4,AR92=5)),"IEQL",IF(AND(EH92="EQH",OR(AR92=1,AR92=2)),"IEQH",""))</f>
        <v/>
      </c>
      <c r="FE92" s="2" t="str">
        <f aca="false">IF(AND(EI92="EQL",OR(AS92=4,AS92=5)),"IEQL",IF(AND(EI92="EQH",OR(AS92=1,AS92=2)),"IEQH",""))</f>
        <v/>
      </c>
      <c r="FF92" s="2" t="str">
        <f aca="false">IF(AND(EJ92="EQL",OR(AT92=4,AT92=5)),"IEQL",IF(AND(EJ92="EQH",OR(AT92=1,AT92=2)),"IEQH",""))</f>
        <v/>
      </c>
      <c r="FG92" s="2" t="str">
        <f aca="false">IF(AND(EK92="EQL",OR(AU92=4,AU92=5)),"IEQL",IF(AND(EK92="EQH",OR(AU92=1,AU92=2)),"IEQH",""))</f>
        <v/>
      </c>
      <c r="FH92" s="2" t="str">
        <f aca="false">IF(AND(EL92="EQL",OR(AV92=4,AV92=5)),"IEQL",IF(AND(EL92="EQH",OR(AV92=1,AV92=2)),"IEQH",""))</f>
        <v/>
      </c>
      <c r="FI92" s="2" t="str">
        <f aca="false">IF(AND(EM92="EQL",OR(AW92=4,AW92=5)),"IEQL",IF(AND(EM92="EQH",OR(AW92=1,AW92=2)),"IEQH",""))</f>
        <v/>
      </c>
      <c r="FJ92" s="2" t="str">
        <f aca="false">IF(AND(EN92="EQL",OR(AX92=4,AX92=5)),"IEQL",IF(AND(EN92="EQH",OR(AX92=1,AX92=2)),"IEQH",""))</f>
        <v/>
      </c>
      <c r="FK92" s="2" t="str">
        <f aca="false">IF(AND(EO92="EQL",OR(AY92=4,AY92=5)),"IEQL",IF(AND(EO92="EQH",OR(AY92=1,AY92=2)),"IEQH",""))</f>
        <v/>
      </c>
      <c r="FL92" s="2" t="str">
        <f aca="false">IF(AND(EP92="EQL",OR(AZ92=4,AZ92=5)),"IEQL",IF(AND(EP92="EQH",OR(AZ92=1,AZ92=2)),"IEQH",""))</f>
        <v/>
      </c>
      <c r="FM92" s="2" t="str">
        <f aca="false">IF(AND(EQ92="EQL",OR(BA92=4,BA92=5)),"IEQL",IF(AND(EQ92="EQH",OR(BA92=1,BA92=2)),"IEQH",""))</f>
        <v/>
      </c>
    </row>
    <row r="93" customFormat="false" ht="14.25" hidden="false" customHeight="false" outlineLevel="0" collapsed="false">
      <c r="A93" s="1" t="n">
        <v>1778236202</v>
      </c>
      <c r="B93" s="1" t="s">
        <v>169</v>
      </c>
      <c r="C93" s="1" t="s">
        <v>170</v>
      </c>
      <c r="D93" s="1" t="n">
        <v>4724.48</v>
      </c>
      <c r="E93" s="1" t="s">
        <v>173</v>
      </c>
      <c r="F93" s="1" t="n">
        <v>4727.88</v>
      </c>
      <c r="G93" s="2" t="n">
        <f aca="false">F91</f>
        <v>4734.65</v>
      </c>
      <c r="H93" s="2" t="n">
        <f aca="false">F89</f>
        <v>4764.7</v>
      </c>
      <c r="I93" s="2" t="n">
        <f aca="false">F87</f>
        <v>4721.44</v>
      </c>
      <c r="J93" s="2" t="n">
        <f aca="false">F85</f>
        <v>4701.18</v>
      </c>
      <c r="K93" s="2" t="n">
        <f aca="false">F83</f>
        <v>4717.43</v>
      </c>
      <c r="L93" s="2" t="n">
        <f aca="false">F81</f>
        <v>4722.76</v>
      </c>
      <c r="M93" s="2" t="n">
        <f aca="false">F79</f>
        <v>4586.56</v>
      </c>
      <c r="N93" s="2" t="n">
        <f aca="false">F77</f>
        <v>4560.53</v>
      </c>
      <c r="O93" s="2" t="n">
        <f aca="false">F75</f>
        <v>4546.78</v>
      </c>
      <c r="P93" s="2" t="n">
        <f aca="false">F73</f>
        <v>4528.57</v>
      </c>
      <c r="Q93" s="2" t="n">
        <f aca="false">F71</f>
        <v>4583.16</v>
      </c>
      <c r="R93" s="1" t="n">
        <v>31.05</v>
      </c>
      <c r="S93" s="2" t="n">
        <f aca="false">R91</f>
        <v>56.55</v>
      </c>
      <c r="T93" s="2" t="n">
        <f aca="false">R89</f>
        <v>72.24</v>
      </c>
      <c r="U93" s="2" t="n">
        <f aca="false">R87</f>
        <v>35.85</v>
      </c>
      <c r="V93" s="2" t="n">
        <f aca="false">R85</f>
        <v>22.19</v>
      </c>
      <c r="W93" s="2" t="n">
        <f aca="false">R83</f>
        <v>56.72</v>
      </c>
      <c r="X93" s="2" t="n">
        <f aca="false">R81</f>
        <v>176.45</v>
      </c>
      <c r="Y93" s="2" t="n">
        <f aca="false">R79</f>
        <v>46.56</v>
      </c>
      <c r="Z93" s="2" t="n">
        <f aca="false">R77</f>
        <v>32.64</v>
      </c>
      <c r="AA93" s="2" t="n">
        <f aca="false">R75</f>
        <v>33.22</v>
      </c>
      <c r="AB93" s="2" t="n">
        <f aca="false">R73</f>
        <v>27.71</v>
      </c>
      <c r="AC93" s="2" t="n">
        <f aca="false">R71</f>
        <v>56.76</v>
      </c>
      <c r="AD93" s="1" t="n">
        <v>0.66</v>
      </c>
      <c r="AE93" s="2" t="n">
        <f aca="false">AD91</f>
        <v>1.21</v>
      </c>
      <c r="AF93" s="2" t="n">
        <f aca="false">AD89</f>
        <v>1.54</v>
      </c>
      <c r="AG93" s="2" t="n">
        <f aca="false">AD87</f>
        <v>0.77</v>
      </c>
      <c r="AH93" s="2" t="n">
        <f aca="false">AD85</f>
        <v>0.47</v>
      </c>
      <c r="AI93" s="2" t="n">
        <f aca="false">AD83</f>
        <v>1.22</v>
      </c>
      <c r="AJ93" s="2" t="n">
        <f aca="false">AD81</f>
        <v>3.88</v>
      </c>
      <c r="AK93" s="2" t="n">
        <f aca="false">AD79</f>
        <v>1.03</v>
      </c>
      <c r="AL93" s="2" t="n">
        <f aca="false">AD77</f>
        <v>0.72</v>
      </c>
      <c r="AM93" s="2" t="n">
        <f aca="false">AD75</f>
        <v>0.74</v>
      </c>
      <c r="AN93" s="2" t="n">
        <f aca="false">AD73</f>
        <v>0.62</v>
      </c>
      <c r="AO93" s="2" t="n">
        <f aca="false">AD71</f>
        <v>1.25</v>
      </c>
      <c r="AP93" s="1" t="n">
        <v>0</v>
      </c>
      <c r="AQ93" s="2" t="n">
        <f aca="false">AP91</f>
        <v>0</v>
      </c>
      <c r="AR93" s="2" t="n">
        <f aca="false">AP89</f>
        <v>0</v>
      </c>
      <c r="AS93" s="2" t="n">
        <f aca="false">AP87</f>
        <v>0</v>
      </c>
      <c r="AT93" s="2" t="n">
        <f aca="false">AP85</f>
        <v>0</v>
      </c>
      <c r="AU93" s="2" t="n">
        <f aca="false">AP83</f>
        <v>0</v>
      </c>
      <c r="AV93" s="2" t="n">
        <f aca="false">AP81</f>
        <v>2</v>
      </c>
      <c r="AW93" s="2" t="n">
        <f aca="false">AP79</f>
        <v>0</v>
      </c>
      <c r="AX93" s="2" t="n">
        <f aca="false">AP77</f>
        <v>0</v>
      </c>
      <c r="AY93" s="2" t="n">
        <f aca="false">AP75</f>
        <v>0</v>
      </c>
      <c r="AZ93" s="2" t="n">
        <f aca="false">AP73</f>
        <v>0</v>
      </c>
      <c r="BA93" s="2" t="n">
        <f aca="false">AP71</f>
        <v>0</v>
      </c>
      <c r="BB93" s="1" t="n">
        <v>13</v>
      </c>
      <c r="BC93" s="2" t="n">
        <f aca="false">BB91</f>
        <v>33</v>
      </c>
      <c r="BD93" s="2" t="n">
        <f aca="false">BB89</f>
        <v>42</v>
      </c>
      <c r="BE93" s="2" t="n">
        <f aca="false">BB87</f>
        <v>4</v>
      </c>
      <c r="BF93" s="2" t="n">
        <f aca="false">BB85</f>
        <v>23</v>
      </c>
      <c r="BG93" s="2" t="n">
        <f aca="false">BB83</f>
        <v>8</v>
      </c>
      <c r="BH93" s="2" t="n">
        <f aca="false">BB81</f>
        <v>49</v>
      </c>
      <c r="BI93" s="2" t="n">
        <f aca="false">BB79</f>
        <v>13</v>
      </c>
      <c r="BJ93" s="2" t="n">
        <f aca="false">BB77</f>
        <v>18</v>
      </c>
      <c r="BK93" s="2" t="n">
        <f aca="false">BB75</f>
        <v>10</v>
      </c>
      <c r="BL93" s="2" t="n">
        <f aca="false">BB73</f>
        <v>28</v>
      </c>
      <c r="BM93" s="2" t="n">
        <f aca="false">BB71</f>
        <v>17</v>
      </c>
      <c r="BN93" s="1" t="n">
        <v>0</v>
      </c>
      <c r="BO93" s="2" t="n">
        <f aca="false">BN91</f>
        <v>0</v>
      </c>
      <c r="BP93" s="2" t="n">
        <f aca="false">BN89</f>
        <v>2</v>
      </c>
      <c r="BQ93" s="2" t="n">
        <f aca="false">BN87</f>
        <v>0</v>
      </c>
      <c r="BR93" s="2" t="n">
        <f aca="false">BN85</f>
        <v>0</v>
      </c>
      <c r="BS93" s="2" t="n">
        <f aca="false">BN83</f>
        <v>0</v>
      </c>
      <c r="BT93" s="2" t="n">
        <f aca="false">BN81</f>
        <v>2</v>
      </c>
      <c r="BU93" s="2" t="n">
        <f aca="false">BN79</f>
        <v>0</v>
      </c>
      <c r="BV93" s="2" t="n">
        <f aca="false">BN77</f>
        <v>0</v>
      </c>
      <c r="BW93" s="2" t="n">
        <f aca="false">BN75</f>
        <v>0</v>
      </c>
      <c r="BX93" s="2" t="n">
        <f aca="false">BN73</f>
        <v>0</v>
      </c>
      <c r="BY93" s="2" t="n">
        <f aca="false">BN71</f>
        <v>0</v>
      </c>
      <c r="BZ93" s="1" t="n">
        <v>2.38846</v>
      </c>
      <c r="CA93" s="2" t="n">
        <f aca="false">BZ91</f>
        <v>1.71364</v>
      </c>
      <c r="CB93" s="2" t="n">
        <f aca="false">BZ89</f>
        <v>1.72</v>
      </c>
      <c r="CC93" s="2" t="n">
        <f aca="false">BZ87</f>
        <v>8.9625</v>
      </c>
      <c r="CD93" s="2" t="n">
        <f aca="false">BZ85</f>
        <v>0.96478</v>
      </c>
      <c r="CE93" s="2" t="n">
        <f aca="false">BZ83</f>
        <v>7.09</v>
      </c>
      <c r="CF93" s="2" t="n">
        <f aca="false">BZ81</f>
        <v>3.60102</v>
      </c>
      <c r="CG93" s="2" t="n">
        <f aca="false">BZ79</f>
        <v>3.58154</v>
      </c>
      <c r="CH93" s="2" t="n">
        <f aca="false">BZ77</f>
        <v>1.81333</v>
      </c>
      <c r="CI93" s="2" t="n">
        <f aca="false">BZ75</f>
        <v>3.322</v>
      </c>
      <c r="CJ93" s="2" t="n">
        <f aca="false">BZ73</f>
        <v>0.98964</v>
      </c>
      <c r="CK93" s="2" t="n">
        <f aca="false">BZ71</f>
        <v>3.33882</v>
      </c>
      <c r="CL93" s="1" t="n">
        <v>0</v>
      </c>
      <c r="CM93" s="2" t="n">
        <f aca="false">CL91</f>
        <v>0</v>
      </c>
      <c r="CN93" s="2" t="n">
        <f aca="false">CL89</f>
        <v>0</v>
      </c>
      <c r="CO93" s="2" t="n">
        <f aca="false">CL87</f>
        <v>0</v>
      </c>
      <c r="CP93" s="2" t="n">
        <f aca="false">CL85</f>
        <v>0</v>
      </c>
      <c r="CQ93" s="2" t="n">
        <f aca="false">CL83</f>
        <v>0</v>
      </c>
      <c r="CR93" s="2" t="n">
        <f aca="false">CL81</f>
        <v>0</v>
      </c>
      <c r="CS93" s="2" t="n">
        <f aca="false">CL79</f>
        <v>0</v>
      </c>
      <c r="CT93" s="2" t="n">
        <f aca="false">CL77</f>
        <v>0</v>
      </c>
      <c r="CU93" s="2" t="n">
        <f aca="false">CL75</f>
        <v>0</v>
      </c>
      <c r="CV93" s="2" t="n">
        <f aca="false">CL73</f>
        <v>0</v>
      </c>
      <c r="CW93" s="2" t="n">
        <f aca="false">CL71</f>
        <v>0</v>
      </c>
      <c r="CX93" s="1" t="n">
        <v>67.2819</v>
      </c>
      <c r="CY93" s="2" t="n">
        <f aca="false">CX91</f>
        <v>59.7341</v>
      </c>
      <c r="CZ93" s="2" t="n">
        <f aca="false">CX89</f>
        <v>59.8265</v>
      </c>
      <c r="DA93" s="2" t="n">
        <f aca="false">CX87</f>
        <v>83.6335</v>
      </c>
      <c r="DB93" s="2" t="n">
        <f aca="false">CX85</f>
        <v>43.9731</v>
      </c>
      <c r="DC93" s="2" t="n">
        <f aca="false">CX83</f>
        <v>81.9717</v>
      </c>
      <c r="DD93" s="2" t="n">
        <f aca="false">CX81</f>
        <v>74.4801</v>
      </c>
      <c r="DE93" s="2" t="n">
        <f aca="false">CX79</f>
        <v>74.3998</v>
      </c>
      <c r="DF93" s="2" t="n">
        <f aca="false">CX77</f>
        <v>61.1246</v>
      </c>
      <c r="DG93" s="2" t="n">
        <f aca="false">CX75</f>
        <v>73.247</v>
      </c>
      <c r="DH93" s="2" t="n">
        <f aca="false">CX73</f>
        <v>44.7017</v>
      </c>
      <c r="DI93" s="2" t="n">
        <f aca="false">CX71</f>
        <v>73.3267</v>
      </c>
      <c r="DJ93" s="1" t="s">
        <v>174</v>
      </c>
      <c r="DK93" s="2" t="str">
        <f aca="false">DJ91</f>
        <v>LH</v>
      </c>
      <c r="DL93" s="2" t="str">
        <f aca="false">DJ89</f>
        <v>HH</v>
      </c>
      <c r="DM93" s="2" t="str">
        <f aca="false">DJ87</f>
        <v>HH</v>
      </c>
      <c r="DN93" s="2" t="str">
        <f aca="false">DJ85</f>
        <v>LH</v>
      </c>
      <c r="DO93" s="2" t="str">
        <f aca="false">DJ83</f>
        <v>LH</v>
      </c>
      <c r="DP93" s="2" t="str">
        <f aca="false">DJ81</f>
        <v>HH</v>
      </c>
      <c r="DQ93" s="2" t="str">
        <f aca="false">DJ79</f>
        <v>HH</v>
      </c>
      <c r="DR93" s="2" t="str">
        <f aca="false">DJ77</f>
        <v>HH</v>
      </c>
      <c r="DS93" s="2" t="str">
        <f aca="false">DJ75</f>
        <v>HH</v>
      </c>
      <c r="DT93" s="2" t="str">
        <f aca="false">DJ73</f>
        <v>LH</v>
      </c>
      <c r="DU93" s="2" t="str">
        <f aca="false">DJ71</f>
        <v>LH</v>
      </c>
      <c r="DV93" s="2" t="n">
        <f aca="false">IFERROR((G93-$F93)/$F93*100,"")</f>
        <v>0.143193143649998</v>
      </c>
      <c r="DW93" s="2" t="n">
        <f aca="false">IFERROR((H93-$F93)/$F93*100,"")</f>
        <v>0.778784571520422</v>
      </c>
      <c r="DX93" s="2" t="n">
        <f aca="false">IFERROR((I93-$F93)/$F93*100,"")</f>
        <v>-0.13621327106442</v>
      </c>
      <c r="DY93" s="2" t="n">
        <f aca="false">IFERROR((J93-$F93)/$F93*100,"")</f>
        <v>-0.564735145562066</v>
      </c>
      <c r="DZ93" s="2" t="n">
        <f aca="false">IFERROR((K93-$F93)/$F93*100,"")</f>
        <v>-0.221029298543952</v>
      </c>
      <c r="EA93" s="2" t="n">
        <f aca="false">IFERROR((L93-$F93)/$F93*100,"")</f>
        <v>-0.108293780722013</v>
      </c>
      <c r="EB93" s="2" t="n">
        <f aca="false">IFERROR((M93-$F93)/$F93*100,"")</f>
        <v>-2.98907755695998</v>
      </c>
      <c r="EC93" s="2" t="n">
        <f aca="false">IFERROR((N93-$F93)/$F93*100,"")</f>
        <v>-3.5396414460604</v>
      </c>
      <c r="ED93" s="2" t="n">
        <f aca="false">IFERROR((O93-$F93)/$F93*100,"")</f>
        <v>-3.83046947046034</v>
      </c>
      <c r="EE93" s="2" t="n">
        <f aca="false">IFERROR((P93-$F93)/$F93*100,"")</f>
        <v>-4.2156315304111</v>
      </c>
      <c r="EF93" s="2" t="n">
        <f aca="false">IFERROR((Q93-$F93)/$F93*100,"")</f>
        <v>-3.06099139572071</v>
      </c>
      <c r="EG93" s="2" t="str">
        <f aca="false">IF(DV93="","",IF(AND(ABS(DV93)&lt;=0.25,$E93="Bottom",DK93="LL"),"EQL",IF(AND(ABS(DV93)&lt;=0.25,$E93="Peak",DK93="HH"),"EQH","")))</f>
        <v/>
      </c>
      <c r="EH93" s="2" t="str">
        <f aca="false">IF(DW93="","",IF(AND(ABS(DW93)&lt;=0.25,$E93="Bottom",DL93="LL"),"EQL",IF(AND(ABS(DW93)&lt;=0.25,$E93="Peak",DL93="HH"),"EQH","")))</f>
        <v/>
      </c>
      <c r="EI93" s="2" t="str">
        <f aca="false">IF(DX93="","",IF(AND(ABS(DX93)&lt;=0.25,$E93="Bottom",DM93="LL"),"EQL",IF(AND(ABS(DX93)&lt;=0.25,$E93="Peak",DM93="HH"),"EQH","")))</f>
        <v>EQH</v>
      </c>
      <c r="EJ93" s="2" t="str">
        <f aca="false">IF(DY93="","",IF(AND(ABS(DY93)&lt;=0.25,$E93="Bottom",DN93="LL"),"EQL",IF(AND(ABS(DY93)&lt;=0.25,$E93="Peak",DN93="HH"),"EQH","")))</f>
        <v/>
      </c>
      <c r="EK93" s="2" t="str">
        <f aca="false">IF(DZ93="","",IF(AND(ABS(DZ93)&lt;=0.25,$E93="Bottom",DO93="LL"),"EQL",IF(AND(ABS(DZ93)&lt;=0.25,$E93="Peak",DO93="HH"),"EQH","")))</f>
        <v/>
      </c>
      <c r="EL93" s="2" t="str">
        <f aca="false">IF(EA93="","",IF(AND(ABS(EA93)&lt;=0.25,$E93="Bottom",DP93="LL"),"EQL",IF(AND(ABS(EA93)&lt;=0.25,$E93="Peak",DP93="HH"),"EQH","")))</f>
        <v>EQH</v>
      </c>
      <c r="EM93" s="2" t="str">
        <f aca="false">IF(EB93="","",IF(AND(ABS(EB93)&lt;=0.25,$E93="Bottom",DQ93="LL"),"EQL",IF(AND(ABS(EB93)&lt;=0.25,$E93="Peak",DQ93="HH"),"EQH","")))</f>
        <v/>
      </c>
      <c r="EN93" s="2" t="str">
        <f aca="false">IF(EC93="","",IF(AND(ABS(EC93)&lt;=0.25,$E93="Bottom",DR93="LL"),"EQL",IF(AND(ABS(EC93)&lt;=0.25,$E93="Peak",DR93="HH"),"EQH","")))</f>
        <v/>
      </c>
      <c r="EO93" s="2" t="str">
        <f aca="false">IF(ED93="","",IF(AND(ABS(ED93)&lt;=0.25,$E93="Bottom",DS93="LL"),"EQL",IF(AND(ABS(ED93)&lt;=0.25,$E93="Peak",DS93="HH"),"EQH","")))</f>
        <v/>
      </c>
      <c r="EP93" s="2" t="str">
        <f aca="false">IF(EE93="","",IF(AND(ABS(EE93)&lt;=0.25,$E93="Bottom",DT93="LL"),"EQL",IF(AND(ABS(EE93)&lt;=0.25,$E93="Peak",DT93="HH"),"EQH","")))</f>
        <v/>
      </c>
      <c r="EQ93" s="2" t="str">
        <f aca="false">IF(EF93="","",IF(AND(ABS(EF93)&lt;=0.25,$E93="Bottom",DU93="LL"),"EQL",IF(AND(ABS(EF93)&lt;=0.25,$E93="Peak",DU93="HH"),"EQH","")))</f>
        <v/>
      </c>
      <c r="ER93" s="2" t="str">
        <f aca="false">IF(OR(EG93="EQL",EG93="EQH"),G93,"")</f>
        <v/>
      </c>
      <c r="ES93" s="2" t="str">
        <f aca="false">IF(OR(EH93="EQL",EH93="EQH"),H93,"")</f>
        <v/>
      </c>
      <c r="ET93" s="2" t="n">
        <f aca="false">IF(OR(EI93="EQL",EI93="EQH"),I93,"")</f>
        <v>4721.44</v>
      </c>
      <c r="EU93" s="2" t="str">
        <f aca="false">IF(OR(EJ93="EQL",EJ93="EQH"),J93,"")</f>
        <v/>
      </c>
      <c r="EV93" s="2" t="str">
        <f aca="false">IF(OR(EK93="EQL",EK93="EQH"),K93,"")</f>
        <v/>
      </c>
      <c r="EW93" s="2" t="n">
        <f aca="false">IF(OR(EL93="EQL",EL93="EQH"),L93,"")</f>
        <v>4722.76</v>
      </c>
      <c r="EX93" s="2" t="str">
        <f aca="false">IF(OR(EM93="EQL",EM93="EQH"),M93,"")</f>
        <v/>
      </c>
      <c r="EY93" s="2" t="str">
        <f aca="false">IF(OR(EN93="EQL",EN93="EQH"),N93,"")</f>
        <v/>
      </c>
      <c r="EZ93" s="2" t="str">
        <f aca="false">IF(OR(EO93="EQL",EO93="EQH"),O93,"")</f>
        <v/>
      </c>
      <c r="FA93" s="2" t="str">
        <f aca="false">IF(OR(EP93="EQL",EP93="EQH"),P93,"")</f>
        <v/>
      </c>
      <c r="FB93" s="2" t="str">
        <f aca="false">IF(OR(EQ93="EQL",EQ93="EQH"),Q93,"")</f>
        <v/>
      </c>
      <c r="FC93" s="2" t="str">
        <f aca="false">IF(AND(EG93="EQL",OR(AQ93=4,AQ93=5)),"IEQL",IF(AND(EG93="EQH",OR(AQ93=1,AQ93=2)),"IEQH",""))</f>
        <v/>
      </c>
      <c r="FD93" s="2" t="str">
        <f aca="false">IF(AND(EH93="EQL",OR(AR93=4,AR93=5)),"IEQL",IF(AND(EH93="EQH",OR(AR93=1,AR93=2)),"IEQH",""))</f>
        <v/>
      </c>
      <c r="FE93" s="2" t="str">
        <f aca="false">IF(AND(EI93="EQL",OR(AS93=4,AS93=5)),"IEQL",IF(AND(EI93="EQH",OR(AS93=1,AS93=2)),"IEQH",""))</f>
        <v/>
      </c>
      <c r="FF93" s="2" t="str">
        <f aca="false">IF(AND(EJ93="EQL",OR(AT93=4,AT93=5)),"IEQL",IF(AND(EJ93="EQH",OR(AT93=1,AT93=2)),"IEQH",""))</f>
        <v/>
      </c>
      <c r="FG93" s="2" t="str">
        <f aca="false">IF(AND(EK93="EQL",OR(AU93=4,AU93=5)),"IEQL",IF(AND(EK93="EQH",OR(AU93=1,AU93=2)),"IEQH",""))</f>
        <v/>
      </c>
      <c r="FH93" s="2" t="str">
        <f aca="false">IF(AND(EL93="EQL",OR(AV93=4,AV93=5)),"IEQL",IF(AND(EL93="EQH",OR(AV93=1,AV93=2)),"IEQH",""))</f>
        <v>IEQH</v>
      </c>
      <c r="FI93" s="2" t="str">
        <f aca="false">IF(AND(EM93="EQL",OR(AW93=4,AW93=5)),"IEQL",IF(AND(EM93="EQH",OR(AW93=1,AW93=2)),"IEQH",""))</f>
        <v/>
      </c>
      <c r="FJ93" s="2" t="str">
        <f aca="false">IF(AND(EN93="EQL",OR(AX93=4,AX93=5)),"IEQL",IF(AND(EN93="EQH",OR(AX93=1,AX93=2)),"IEQH",""))</f>
        <v/>
      </c>
      <c r="FK93" s="2" t="str">
        <f aca="false">IF(AND(EO93="EQL",OR(AY93=4,AY93=5)),"IEQL",IF(AND(EO93="EQH",OR(AY93=1,AY93=2)),"IEQH",""))</f>
        <v/>
      </c>
      <c r="FL93" s="2" t="str">
        <f aca="false">IF(AND(EP93="EQL",OR(AZ93=4,AZ93=5)),"IEQL",IF(AND(EP93="EQH",OR(AZ93=1,AZ93=2)),"IEQH",""))</f>
        <v/>
      </c>
      <c r="FM93" s="2" t="str">
        <f aca="false">IF(AND(EQ93="EQL",OR(BA93=4,BA93=5)),"IEQL",IF(AND(EQ93="EQH",OR(BA93=1,BA93=2)),"IEQH",""))</f>
        <v/>
      </c>
    </row>
    <row r="94" customFormat="false" ht="14.25" hidden="false" customHeight="false" outlineLevel="0" collapsed="false">
      <c r="A94" s="1" t="n">
        <v>1778242502</v>
      </c>
      <c r="B94" s="1" t="s">
        <v>169</v>
      </c>
      <c r="C94" s="1" t="s">
        <v>170</v>
      </c>
      <c r="D94" s="1" t="n">
        <v>4710.4</v>
      </c>
      <c r="E94" s="1" t="s">
        <v>171</v>
      </c>
      <c r="F94" s="1" t="n">
        <v>4703</v>
      </c>
      <c r="G94" s="2" t="n">
        <f aca="false">F92</f>
        <v>4696.83</v>
      </c>
      <c r="H94" s="2" t="n">
        <f aca="false">F90</f>
        <v>4678.1</v>
      </c>
      <c r="I94" s="2" t="n">
        <f aca="false">F88</f>
        <v>4692.46</v>
      </c>
      <c r="J94" s="2" t="n">
        <f aca="false">F86</f>
        <v>4685.59</v>
      </c>
      <c r="K94" s="2" t="n">
        <f aca="false">F84</f>
        <v>4678.99</v>
      </c>
      <c r="L94" s="2" t="n">
        <f aca="false">F82</f>
        <v>4660.71</v>
      </c>
      <c r="M94" s="2" t="n">
        <f aca="false">F80</f>
        <v>4546.31</v>
      </c>
      <c r="N94" s="2" t="n">
        <f aca="false">F78</f>
        <v>4540</v>
      </c>
      <c r="O94" s="2" t="n">
        <f aca="false">F76</f>
        <v>4527.89</v>
      </c>
      <c r="P94" s="2" t="n">
        <f aca="false">F74</f>
        <v>4513.56</v>
      </c>
      <c r="Q94" s="2" t="n">
        <f aca="false">F72</f>
        <v>4500.86</v>
      </c>
      <c r="R94" s="1" t="n">
        <v>-24.88</v>
      </c>
      <c r="S94" s="2" t="n">
        <f aca="false">R92</f>
        <v>-37.82</v>
      </c>
      <c r="T94" s="2" t="n">
        <f aca="false">R90</f>
        <v>-86.6</v>
      </c>
      <c r="U94" s="2" t="n">
        <f aca="false">R88</f>
        <v>-28.98</v>
      </c>
      <c r="V94" s="2" t="n">
        <f aca="false">R86</f>
        <v>-15.59</v>
      </c>
      <c r="W94" s="2" t="n">
        <f aca="false">R84</f>
        <v>-38.44</v>
      </c>
      <c r="X94" s="2" t="n">
        <f aca="false">R82</f>
        <v>-62.05</v>
      </c>
      <c r="Y94" s="2" t="n">
        <f aca="false">R80</f>
        <v>-40.25</v>
      </c>
      <c r="Z94" s="2" t="n">
        <f aca="false">R78</f>
        <v>-20.53</v>
      </c>
      <c r="AA94" s="2" t="n">
        <f aca="false">R76</f>
        <v>-18.89</v>
      </c>
      <c r="AB94" s="2" t="n">
        <f aca="false">R74</f>
        <v>-15.01</v>
      </c>
      <c r="AC94" s="2" t="n">
        <f aca="false">R72</f>
        <v>-82.3</v>
      </c>
      <c r="AD94" s="1" t="n">
        <v>-0.53</v>
      </c>
      <c r="AE94" s="2" t="n">
        <f aca="false">AD92</f>
        <v>-0.8</v>
      </c>
      <c r="AF94" s="2" t="n">
        <f aca="false">AD90</f>
        <v>-1.82</v>
      </c>
      <c r="AG94" s="2" t="n">
        <f aca="false">AD88</f>
        <v>-0.61</v>
      </c>
      <c r="AH94" s="2" t="n">
        <f aca="false">AD86</f>
        <v>-0.33</v>
      </c>
      <c r="AI94" s="2" t="n">
        <f aca="false">AD84</f>
        <v>-0.81</v>
      </c>
      <c r="AJ94" s="2" t="n">
        <f aca="false">AD82</f>
        <v>-1.31</v>
      </c>
      <c r="AK94" s="2" t="n">
        <f aca="false">AD80</f>
        <v>-0.88</v>
      </c>
      <c r="AL94" s="2" t="n">
        <f aca="false">AD78</f>
        <v>-0.45</v>
      </c>
      <c r="AM94" s="2" t="n">
        <f aca="false">AD76</f>
        <v>-0.42</v>
      </c>
      <c r="AN94" s="2" t="n">
        <f aca="false">AD74</f>
        <v>-0.33</v>
      </c>
      <c r="AO94" s="2" t="n">
        <f aca="false">AD72</f>
        <v>-1.8</v>
      </c>
      <c r="AP94" s="1" t="n">
        <v>3</v>
      </c>
      <c r="AQ94" s="2" t="n">
        <f aca="false">AP92</f>
        <v>3</v>
      </c>
      <c r="AR94" s="2" t="n">
        <f aca="false">AP90</f>
        <v>3</v>
      </c>
      <c r="AS94" s="2" t="n">
        <f aca="false">AP88</f>
        <v>3</v>
      </c>
      <c r="AT94" s="2" t="n">
        <f aca="false">AP86</f>
        <v>3</v>
      </c>
      <c r="AU94" s="2" t="n">
        <f aca="false">AP84</f>
        <v>3</v>
      </c>
      <c r="AV94" s="2" t="n">
        <f aca="false">AP82</f>
        <v>3</v>
      </c>
      <c r="AW94" s="2" t="n">
        <f aca="false">AP80</f>
        <v>3</v>
      </c>
      <c r="AX94" s="2" t="n">
        <f aca="false">AP78</f>
        <v>3</v>
      </c>
      <c r="AY94" s="2" t="n">
        <f aca="false">AP76</f>
        <v>3</v>
      </c>
      <c r="AZ94" s="2" t="n">
        <f aca="false">AP74</f>
        <v>3</v>
      </c>
      <c r="BA94" s="2" t="n">
        <f aca="false">AP72</f>
        <v>3</v>
      </c>
      <c r="BB94" s="1" t="n">
        <v>7</v>
      </c>
      <c r="BC94" s="2" t="n">
        <f aca="false">BB92</f>
        <v>4</v>
      </c>
      <c r="BD94" s="2" t="n">
        <f aca="false">BB90</f>
        <v>24</v>
      </c>
      <c r="BE94" s="2" t="n">
        <f aca="false">BB88</f>
        <v>11</v>
      </c>
      <c r="BF94" s="2" t="n">
        <f aca="false">BB86</f>
        <v>2</v>
      </c>
      <c r="BG94" s="2" t="n">
        <f aca="false">BB84</f>
        <v>13</v>
      </c>
      <c r="BH94" s="2" t="n">
        <f aca="false">BB82</f>
        <v>6</v>
      </c>
      <c r="BI94" s="2" t="n">
        <f aca="false">BB80</f>
        <v>29</v>
      </c>
      <c r="BJ94" s="2" t="n">
        <f aca="false">BB78</f>
        <v>8</v>
      </c>
      <c r="BK94" s="2" t="n">
        <f aca="false">BB76</f>
        <v>7</v>
      </c>
      <c r="BL94" s="2" t="n">
        <f aca="false">BB74</f>
        <v>1</v>
      </c>
      <c r="BM94" s="2" t="n">
        <f aca="false">BB72</f>
        <v>6</v>
      </c>
      <c r="BN94" s="1" t="n">
        <v>3</v>
      </c>
      <c r="BO94" s="2" t="n">
        <f aca="false">BN92</f>
        <v>3</v>
      </c>
      <c r="BP94" s="2" t="n">
        <f aca="false">BN90</f>
        <v>3</v>
      </c>
      <c r="BQ94" s="2" t="n">
        <f aca="false">BN88</f>
        <v>3</v>
      </c>
      <c r="BR94" s="2" t="n">
        <f aca="false">BN86</f>
        <v>3</v>
      </c>
      <c r="BS94" s="2" t="n">
        <f aca="false">BN84</f>
        <v>3</v>
      </c>
      <c r="BT94" s="2" t="n">
        <f aca="false">BN82</f>
        <v>3</v>
      </c>
      <c r="BU94" s="2" t="n">
        <f aca="false">BN80</f>
        <v>3</v>
      </c>
      <c r="BV94" s="2" t="n">
        <f aca="false">BN78</f>
        <v>3</v>
      </c>
      <c r="BW94" s="2" t="n">
        <f aca="false">BN76</f>
        <v>3</v>
      </c>
      <c r="BX94" s="2" t="n">
        <f aca="false">BN74</f>
        <v>3</v>
      </c>
      <c r="BY94" s="2" t="n">
        <f aca="false">BN72</f>
        <v>3</v>
      </c>
      <c r="BZ94" s="1" t="n">
        <v>-3.55429</v>
      </c>
      <c r="CA94" s="2" t="n">
        <f aca="false">BZ92</f>
        <v>-9.455</v>
      </c>
      <c r="CB94" s="2" t="n">
        <f aca="false">BZ90</f>
        <v>-3.60833</v>
      </c>
      <c r="CC94" s="2" t="n">
        <f aca="false">BZ88</f>
        <v>-2.63455</v>
      </c>
      <c r="CD94" s="2" t="n">
        <f aca="false">BZ86</f>
        <v>-7.795</v>
      </c>
      <c r="CE94" s="2" t="n">
        <f aca="false">BZ84</f>
        <v>-2.95692</v>
      </c>
      <c r="CF94" s="2" t="n">
        <f aca="false">BZ82</f>
        <v>-10.34167</v>
      </c>
      <c r="CG94" s="2" t="n">
        <f aca="false">BZ80</f>
        <v>-1.38793</v>
      </c>
      <c r="CH94" s="2" t="n">
        <f aca="false">BZ78</f>
        <v>-2.56625</v>
      </c>
      <c r="CI94" s="2" t="n">
        <f aca="false">BZ76</f>
        <v>-2.69857</v>
      </c>
      <c r="CJ94" s="2" t="n">
        <f aca="false">BZ74</f>
        <v>-15.01</v>
      </c>
      <c r="CK94" s="2" t="n">
        <f aca="false">BZ72</f>
        <v>-13.71667</v>
      </c>
      <c r="CL94" s="1" t="n">
        <v>3</v>
      </c>
      <c r="CM94" s="2" t="n">
        <f aca="false">CL92</f>
        <v>4</v>
      </c>
      <c r="CN94" s="2" t="n">
        <f aca="false">CL90</f>
        <v>3</v>
      </c>
      <c r="CO94" s="2" t="n">
        <f aca="false">CL88</f>
        <v>3</v>
      </c>
      <c r="CP94" s="2" t="n">
        <f aca="false">CL86</f>
        <v>3</v>
      </c>
      <c r="CQ94" s="2" t="n">
        <f aca="false">CL84</f>
        <v>3</v>
      </c>
      <c r="CR94" s="2" t="n">
        <f aca="false">CL82</f>
        <v>5</v>
      </c>
      <c r="CS94" s="2" t="n">
        <f aca="false">CL80</f>
        <v>3</v>
      </c>
      <c r="CT94" s="2" t="n">
        <f aca="false">CL78</f>
        <v>3</v>
      </c>
      <c r="CU94" s="2" t="n">
        <f aca="false">CL76</f>
        <v>3</v>
      </c>
      <c r="CV94" s="2" t="n">
        <f aca="false">CL74</f>
        <v>5</v>
      </c>
      <c r="CW94" s="2" t="n">
        <f aca="false">CL72</f>
        <v>5</v>
      </c>
      <c r="CX94" s="1" t="n">
        <v>-74.286</v>
      </c>
      <c r="CY94" s="2" t="n">
        <f aca="false">CX92</f>
        <v>-83.9626</v>
      </c>
      <c r="CZ94" s="2" t="n">
        <f aca="false">CX90</f>
        <v>-74.51</v>
      </c>
      <c r="DA94" s="2" t="n">
        <f aca="false">CX88</f>
        <v>-69.2146</v>
      </c>
      <c r="DB94" s="2" t="n">
        <f aca="false">CX86</f>
        <v>-82.6896</v>
      </c>
      <c r="DC94" s="2" t="n">
        <f aca="false">CX84</f>
        <v>-71.315</v>
      </c>
      <c r="DD94" s="2" t="n">
        <f aca="false">CX82</f>
        <v>-84.4769</v>
      </c>
      <c r="DE94" s="2" t="n">
        <f aca="false">CX80</f>
        <v>-54.2274</v>
      </c>
      <c r="DF94" s="2" t="n">
        <f aca="false">CX78</f>
        <v>-68.7104</v>
      </c>
      <c r="DG94" s="2" t="n">
        <f aca="false">CX76</f>
        <v>-69.667</v>
      </c>
      <c r="DH94" s="2" t="n">
        <f aca="false">CX74</f>
        <v>-86.1885</v>
      </c>
      <c r="DI94" s="2" t="n">
        <f aca="false">CX72</f>
        <v>-85.8303</v>
      </c>
      <c r="DJ94" s="1" t="s">
        <v>175</v>
      </c>
      <c r="DK94" s="2" t="str">
        <f aca="false">DJ92</f>
        <v>HL</v>
      </c>
      <c r="DL94" s="2" t="str">
        <f aca="false">DJ90</f>
        <v>LL</v>
      </c>
      <c r="DM94" s="2" t="str">
        <f aca="false">DJ88</f>
        <v>HL</v>
      </c>
      <c r="DN94" s="2" t="str">
        <f aca="false">DJ86</f>
        <v>HL</v>
      </c>
      <c r="DO94" s="2" t="str">
        <f aca="false">DJ84</f>
        <v>HL</v>
      </c>
      <c r="DP94" s="2" t="str">
        <f aca="false">DJ82</f>
        <v>HL</v>
      </c>
      <c r="DQ94" s="2" t="str">
        <f aca="false">DJ80</f>
        <v>HL</v>
      </c>
      <c r="DR94" s="2" t="str">
        <f aca="false">DJ78</f>
        <v>HL</v>
      </c>
      <c r="DS94" s="2" t="str">
        <f aca="false">DJ76</f>
        <v>HL</v>
      </c>
      <c r="DT94" s="2" t="str">
        <f aca="false">DJ74</f>
        <v>HL</v>
      </c>
      <c r="DU94" s="2" t="str">
        <f aca="false">DJ72</f>
        <v>LL</v>
      </c>
      <c r="DV94" s="2" t="n">
        <f aca="false">IFERROR((G94-$F94)/$F94*100,"")</f>
        <v>-0.131192855624071</v>
      </c>
      <c r="DW94" s="2" t="n">
        <f aca="false">IFERROR((H94-$F94)/$F94*100,"")</f>
        <v>-0.529449287688702</v>
      </c>
      <c r="DX94" s="2" t="n">
        <f aca="false">IFERROR((I94-$F94)/$F94*100,"")</f>
        <v>-0.224112268764618</v>
      </c>
      <c r="DY94" s="2" t="n">
        <f aca="false">IFERROR((J94-$F94)/$F94*100,"")</f>
        <v>-0.370189240910054</v>
      </c>
      <c r="DZ94" s="2" t="n">
        <f aca="false">IFERROR((K94-$F94)/$F94*100,"")</f>
        <v>-0.510525196682973</v>
      </c>
      <c r="EA94" s="2" t="n">
        <f aca="false">IFERROR((L94-$F94)/$F94*100,"")</f>
        <v>-0.899213268126727</v>
      </c>
      <c r="EB94" s="2" t="n">
        <f aca="false">IFERROR((M94-$F94)/$F94*100,"")</f>
        <v>-3.33170316819051</v>
      </c>
      <c r="EC94" s="2" t="n">
        <f aca="false">IFERROR((N94-$F94)/$F94*100,"")</f>
        <v>-3.46587284711886</v>
      </c>
      <c r="ED94" s="2" t="n">
        <f aca="false">IFERROR((O94-$F94)/$F94*100,"")</f>
        <v>-3.72336806293854</v>
      </c>
      <c r="EE94" s="2" t="n">
        <f aca="false">IFERROR((P94-$F94)/$F94*100,"")</f>
        <v>-4.02806719115457</v>
      </c>
      <c r="EF94" s="2" t="n">
        <f aca="false">IFERROR((Q94-$F94)/$F94*100,"")</f>
        <v>-4.29810759089943</v>
      </c>
      <c r="EG94" s="2" t="str">
        <f aca="false">IF(DV94="","",IF(AND(ABS(DV94)&lt;=0.25,$E94="Bottom",DK94="LL"),"EQL",IF(AND(ABS(DV94)&lt;=0.25,$E94="Peak",DK94="HH"),"EQH","")))</f>
        <v/>
      </c>
      <c r="EH94" s="2" t="str">
        <f aca="false">IF(DW94="","",IF(AND(ABS(DW94)&lt;=0.25,$E94="Bottom",DL94="LL"),"EQL",IF(AND(ABS(DW94)&lt;=0.25,$E94="Peak",DL94="HH"),"EQH","")))</f>
        <v/>
      </c>
      <c r="EI94" s="2" t="str">
        <f aca="false">IF(DX94="","",IF(AND(ABS(DX94)&lt;=0.25,$E94="Bottom",DM94="LL"),"EQL",IF(AND(ABS(DX94)&lt;=0.25,$E94="Peak",DM94="HH"),"EQH","")))</f>
        <v/>
      </c>
      <c r="EJ94" s="2" t="str">
        <f aca="false">IF(DY94="","",IF(AND(ABS(DY94)&lt;=0.25,$E94="Bottom",DN94="LL"),"EQL",IF(AND(ABS(DY94)&lt;=0.25,$E94="Peak",DN94="HH"),"EQH","")))</f>
        <v/>
      </c>
      <c r="EK94" s="2" t="str">
        <f aca="false">IF(DZ94="","",IF(AND(ABS(DZ94)&lt;=0.25,$E94="Bottom",DO94="LL"),"EQL",IF(AND(ABS(DZ94)&lt;=0.25,$E94="Peak",DO94="HH"),"EQH","")))</f>
        <v/>
      </c>
      <c r="EL94" s="2" t="str">
        <f aca="false">IF(EA94="","",IF(AND(ABS(EA94)&lt;=0.25,$E94="Bottom",DP94="LL"),"EQL",IF(AND(ABS(EA94)&lt;=0.25,$E94="Peak",DP94="HH"),"EQH","")))</f>
        <v/>
      </c>
      <c r="EM94" s="2" t="str">
        <f aca="false">IF(EB94="","",IF(AND(ABS(EB94)&lt;=0.25,$E94="Bottom",DQ94="LL"),"EQL",IF(AND(ABS(EB94)&lt;=0.25,$E94="Peak",DQ94="HH"),"EQH","")))</f>
        <v/>
      </c>
      <c r="EN94" s="2" t="str">
        <f aca="false">IF(EC94="","",IF(AND(ABS(EC94)&lt;=0.25,$E94="Bottom",DR94="LL"),"EQL",IF(AND(ABS(EC94)&lt;=0.25,$E94="Peak",DR94="HH"),"EQH","")))</f>
        <v/>
      </c>
      <c r="EO94" s="2" t="str">
        <f aca="false">IF(ED94="","",IF(AND(ABS(ED94)&lt;=0.25,$E94="Bottom",DS94="LL"),"EQL",IF(AND(ABS(ED94)&lt;=0.25,$E94="Peak",DS94="HH"),"EQH","")))</f>
        <v/>
      </c>
      <c r="EP94" s="2" t="str">
        <f aca="false">IF(EE94="","",IF(AND(ABS(EE94)&lt;=0.25,$E94="Bottom",DT94="LL"),"EQL",IF(AND(ABS(EE94)&lt;=0.25,$E94="Peak",DT94="HH"),"EQH","")))</f>
        <v/>
      </c>
      <c r="EQ94" s="2" t="str">
        <f aca="false">IF(EF94="","",IF(AND(ABS(EF94)&lt;=0.25,$E94="Bottom",DU94="LL"),"EQL",IF(AND(ABS(EF94)&lt;=0.25,$E94="Peak",DU94="HH"),"EQH","")))</f>
        <v/>
      </c>
      <c r="ER94" s="2" t="str">
        <f aca="false">IF(OR(EG94="EQL",EG94="EQH"),G94,"")</f>
        <v/>
      </c>
      <c r="ES94" s="2" t="str">
        <f aca="false">IF(OR(EH94="EQL",EH94="EQH"),H94,"")</f>
        <v/>
      </c>
      <c r="ET94" s="2" t="str">
        <f aca="false">IF(OR(EI94="EQL",EI94="EQH"),I94,"")</f>
        <v/>
      </c>
      <c r="EU94" s="2" t="str">
        <f aca="false">IF(OR(EJ94="EQL",EJ94="EQH"),J94,"")</f>
        <v/>
      </c>
      <c r="EV94" s="2" t="str">
        <f aca="false">IF(OR(EK94="EQL",EK94="EQH"),K94,"")</f>
        <v/>
      </c>
      <c r="EW94" s="2" t="str">
        <f aca="false">IF(OR(EL94="EQL",EL94="EQH"),L94,"")</f>
        <v/>
      </c>
      <c r="EX94" s="2" t="str">
        <f aca="false">IF(OR(EM94="EQL",EM94="EQH"),M94,"")</f>
        <v/>
      </c>
      <c r="EY94" s="2" t="str">
        <f aca="false">IF(OR(EN94="EQL",EN94="EQH"),N94,"")</f>
        <v/>
      </c>
      <c r="EZ94" s="2" t="str">
        <f aca="false">IF(OR(EO94="EQL",EO94="EQH"),O94,"")</f>
        <v/>
      </c>
      <c r="FA94" s="2" t="str">
        <f aca="false">IF(OR(EP94="EQL",EP94="EQH"),P94,"")</f>
        <v/>
      </c>
      <c r="FB94" s="2" t="str">
        <f aca="false">IF(OR(EQ94="EQL",EQ94="EQH"),Q94,"")</f>
        <v/>
      </c>
      <c r="FC94" s="2" t="str">
        <f aca="false">IF(AND(EG94="EQL",OR(AQ94=4,AQ94=5)),"IEQL",IF(AND(EG94="EQH",OR(AQ94=1,AQ94=2)),"IEQH",""))</f>
        <v/>
      </c>
      <c r="FD94" s="2" t="str">
        <f aca="false">IF(AND(EH94="EQL",OR(AR94=4,AR94=5)),"IEQL",IF(AND(EH94="EQH",OR(AR94=1,AR94=2)),"IEQH",""))</f>
        <v/>
      </c>
      <c r="FE94" s="2" t="str">
        <f aca="false">IF(AND(EI94="EQL",OR(AS94=4,AS94=5)),"IEQL",IF(AND(EI94="EQH",OR(AS94=1,AS94=2)),"IEQH",""))</f>
        <v/>
      </c>
      <c r="FF94" s="2" t="str">
        <f aca="false">IF(AND(EJ94="EQL",OR(AT94=4,AT94=5)),"IEQL",IF(AND(EJ94="EQH",OR(AT94=1,AT94=2)),"IEQH",""))</f>
        <v/>
      </c>
      <c r="FG94" s="2" t="str">
        <f aca="false">IF(AND(EK94="EQL",OR(AU94=4,AU94=5)),"IEQL",IF(AND(EK94="EQH",OR(AU94=1,AU94=2)),"IEQH",""))</f>
        <v/>
      </c>
      <c r="FH94" s="2" t="str">
        <f aca="false">IF(AND(EL94="EQL",OR(AV94=4,AV94=5)),"IEQL",IF(AND(EL94="EQH",OR(AV94=1,AV94=2)),"IEQH",""))</f>
        <v/>
      </c>
      <c r="FI94" s="2" t="str">
        <f aca="false">IF(AND(EM94="EQL",OR(AW94=4,AW94=5)),"IEQL",IF(AND(EM94="EQH",OR(AW94=1,AW94=2)),"IEQH",""))</f>
        <v/>
      </c>
      <c r="FJ94" s="2" t="str">
        <f aca="false">IF(AND(EN94="EQL",OR(AX94=4,AX94=5)),"IEQL",IF(AND(EN94="EQH",OR(AX94=1,AX94=2)),"IEQH",""))</f>
        <v/>
      </c>
      <c r="FK94" s="2" t="str">
        <f aca="false">IF(AND(EO94="EQL",OR(AY94=4,AY94=5)),"IEQL",IF(AND(EO94="EQH",OR(AY94=1,AY94=2)),"IEQH",""))</f>
        <v/>
      </c>
      <c r="FL94" s="2" t="str">
        <f aca="false">IF(AND(EP94="EQL",OR(AZ94=4,AZ94=5)),"IEQL",IF(AND(EP94="EQH",OR(AZ94=1,AZ94=2)),"IEQH",""))</f>
        <v/>
      </c>
      <c r="FM94" s="2" t="str">
        <f aca="false">IF(AND(EQ94="EQL",OR(BA94=4,BA94=5)),"IEQL",IF(AND(EQ94="EQH",OR(BA94=1,BA94=2)),"IEQH",""))</f>
        <v/>
      </c>
    </row>
    <row r="95" customFormat="false" ht="14.25" hidden="false" customHeight="false" outlineLevel="0" collapsed="false">
      <c r="A95" s="1" t="n">
        <v>1778248802</v>
      </c>
      <c r="B95" s="1" t="s">
        <v>169</v>
      </c>
      <c r="C95" s="1" t="s">
        <v>170</v>
      </c>
      <c r="D95" s="1" t="n">
        <v>4731.78</v>
      </c>
      <c r="E95" s="1" t="s">
        <v>173</v>
      </c>
      <c r="F95" s="1" t="n">
        <v>4749.22</v>
      </c>
      <c r="G95" s="2" t="n">
        <f aca="false">F93</f>
        <v>4727.88</v>
      </c>
      <c r="H95" s="2" t="n">
        <f aca="false">F91</f>
        <v>4734.65</v>
      </c>
      <c r="I95" s="2" t="n">
        <f aca="false">F89</f>
        <v>4764.7</v>
      </c>
      <c r="J95" s="2" t="n">
        <f aca="false">F87</f>
        <v>4721.44</v>
      </c>
      <c r="K95" s="2" t="n">
        <f aca="false">F85</f>
        <v>4701.18</v>
      </c>
      <c r="L95" s="2" t="n">
        <f aca="false">F83</f>
        <v>4717.43</v>
      </c>
      <c r="M95" s="2" t="n">
        <f aca="false">F81</f>
        <v>4722.76</v>
      </c>
      <c r="N95" s="2" t="n">
        <f aca="false">F79</f>
        <v>4586.56</v>
      </c>
      <c r="O95" s="2" t="n">
        <f aca="false">F77</f>
        <v>4560.53</v>
      </c>
      <c r="P95" s="2" t="n">
        <f aca="false">F75</f>
        <v>4546.78</v>
      </c>
      <c r="Q95" s="2" t="n">
        <f aca="false">F73</f>
        <v>4528.57</v>
      </c>
      <c r="R95" s="1" t="n">
        <v>46.22</v>
      </c>
      <c r="S95" s="2" t="n">
        <f aca="false">R93</f>
        <v>31.05</v>
      </c>
      <c r="T95" s="2" t="n">
        <f aca="false">R91</f>
        <v>56.55</v>
      </c>
      <c r="U95" s="2" t="n">
        <f aca="false">R89</f>
        <v>72.24</v>
      </c>
      <c r="V95" s="2" t="n">
        <f aca="false">R87</f>
        <v>35.85</v>
      </c>
      <c r="W95" s="2" t="n">
        <f aca="false">R85</f>
        <v>22.19</v>
      </c>
      <c r="X95" s="2" t="n">
        <f aca="false">R83</f>
        <v>56.72</v>
      </c>
      <c r="Y95" s="2" t="n">
        <f aca="false">R81</f>
        <v>176.45</v>
      </c>
      <c r="Z95" s="2" t="n">
        <f aca="false">R79</f>
        <v>46.56</v>
      </c>
      <c r="AA95" s="2" t="n">
        <f aca="false">R77</f>
        <v>32.64</v>
      </c>
      <c r="AB95" s="2" t="n">
        <f aca="false">R75</f>
        <v>33.22</v>
      </c>
      <c r="AC95" s="2" t="n">
        <f aca="false">R73</f>
        <v>27.71</v>
      </c>
      <c r="AD95" s="1" t="n">
        <v>0.98</v>
      </c>
      <c r="AE95" s="2" t="n">
        <f aca="false">AD93</f>
        <v>0.66</v>
      </c>
      <c r="AF95" s="2" t="n">
        <f aca="false">AD91</f>
        <v>1.21</v>
      </c>
      <c r="AG95" s="2" t="n">
        <f aca="false">AD89</f>
        <v>1.54</v>
      </c>
      <c r="AH95" s="2" t="n">
        <f aca="false">AD87</f>
        <v>0.77</v>
      </c>
      <c r="AI95" s="2" t="n">
        <f aca="false">AD85</f>
        <v>0.47</v>
      </c>
      <c r="AJ95" s="2" t="n">
        <f aca="false">AD83</f>
        <v>1.22</v>
      </c>
      <c r="AK95" s="2" t="n">
        <f aca="false">AD81</f>
        <v>3.88</v>
      </c>
      <c r="AL95" s="2" t="n">
        <f aca="false">AD79</f>
        <v>1.03</v>
      </c>
      <c r="AM95" s="2" t="n">
        <f aca="false">AD77</f>
        <v>0.72</v>
      </c>
      <c r="AN95" s="2" t="n">
        <f aca="false">AD75</f>
        <v>0.74</v>
      </c>
      <c r="AO95" s="2" t="n">
        <f aca="false">AD73</f>
        <v>0.62</v>
      </c>
      <c r="AP95" s="1" t="n">
        <v>0</v>
      </c>
      <c r="AQ95" s="2" t="n">
        <f aca="false">AP93</f>
        <v>0</v>
      </c>
      <c r="AR95" s="2" t="n">
        <f aca="false">AP91</f>
        <v>0</v>
      </c>
      <c r="AS95" s="2" t="n">
        <f aca="false">AP89</f>
        <v>0</v>
      </c>
      <c r="AT95" s="2" t="n">
        <f aca="false">AP87</f>
        <v>0</v>
      </c>
      <c r="AU95" s="2" t="n">
        <f aca="false">AP85</f>
        <v>0</v>
      </c>
      <c r="AV95" s="2" t="n">
        <f aca="false">AP83</f>
        <v>0</v>
      </c>
      <c r="AW95" s="2" t="n">
        <f aca="false">AP81</f>
        <v>2</v>
      </c>
      <c r="AX95" s="2" t="n">
        <f aca="false">AP79</f>
        <v>0</v>
      </c>
      <c r="AY95" s="2" t="n">
        <f aca="false">AP77</f>
        <v>0</v>
      </c>
      <c r="AZ95" s="2" t="n">
        <f aca="false">AP75</f>
        <v>0</v>
      </c>
      <c r="BA95" s="2" t="n">
        <f aca="false">AP73</f>
        <v>0</v>
      </c>
      <c r="BB95" s="1" t="n">
        <v>7</v>
      </c>
      <c r="BC95" s="2" t="n">
        <f aca="false">BB93</f>
        <v>13</v>
      </c>
      <c r="BD95" s="2" t="n">
        <f aca="false">BB91</f>
        <v>33</v>
      </c>
      <c r="BE95" s="2" t="n">
        <f aca="false">BB89</f>
        <v>42</v>
      </c>
      <c r="BF95" s="2" t="n">
        <f aca="false">BB87</f>
        <v>4</v>
      </c>
      <c r="BG95" s="2" t="n">
        <f aca="false">BB85</f>
        <v>23</v>
      </c>
      <c r="BH95" s="2" t="n">
        <f aca="false">BB83</f>
        <v>8</v>
      </c>
      <c r="BI95" s="2" t="n">
        <f aca="false">BB81</f>
        <v>49</v>
      </c>
      <c r="BJ95" s="2" t="n">
        <f aca="false">BB79</f>
        <v>13</v>
      </c>
      <c r="BK95" s="2" t="n">
        <f aca="false">BB77</f>
        <v>18</v>
      </c>
      <c r="BL95" s="2" t="n">
        <f aca="false">BB75</f>
        <v>10</v>
      </c>
      <c r="BM95" s="2" t="n">
        <f aca="false">BB73</f>
        <v>28</v>
      </c>
      <c r="BN95" s="1" t="n">
        <v>0</v>
      </c>
      <c r="BO95" s="2" t="n">
        <f aca="false">BN93</f>
        <v>0</v>
      </c>
      <c r="BP95" s="2" t="n">
        <f aca="false">BN91</f>
        <v>0</v>
      </c>
      <c r="BQ95" s="2" t="n">
        <f aca="false">BN89</f>
        <v>2</v>
      </c>
      <c r="BR95" s="2" t="n">
        <f aca="false">BN87</f>
        <v>0</v>
      </c>
      <c r="BS95" s="2" t="n">
        <f aca="false">BN85</f>
        <v>0</v>
      </c>
      <c r="BT95" s="2" t="n">
        <f aca="false">BN83</f>
        <v>0</v>
      </c>
      <c r="BU95" s="2" t="n">
        <f aca="false">BN81</f>
        <v>2</v>
      </c>
      <c r="BV95" s="2" t="n">
        <f aca="false">BN79</f>
        <v>0</v>
      </c>
      <c r="BW95" s="2" t="n">
        <f aca="false">BN77</f>
        <v>0</v>
      </c>
      <c r="BX95" s="2" t="n">
        <f aca="false">BN75</f>
        <v>0</v>
      </c>
      <c r="BY95" s="2" t="n">
        <f aca="false">BN73</f>
        <v>0</v>
      </c>
      <c r="BZ95" s="1" t="n">
        <v>6.60286</v>
      </c>
      <c r="CA95" s="2" t="n">
        <f aca="false">BZ93</f>
        <v>2.38846</v>
      </c>
      <c r="CB95" s="2" t="n">
        <f aca="false">BZ91</f>
        <v>1.71364</v>
      </c>
      <c r="CC95" s="2" t="n">
        <f aca="false">BZ89</f>
        <v>1.72</v>
      </c>
      <c r="CD95" s="2" t="n">
        <f aca="false">BZ87</f>
        <v>8.9625</v>
      </c>
      <c r="CE95" s="2" t="n">
        <f aca="false">BZ85</f>
        <v>0.96478</v>
      </c>
      <c r="CF95" s="2" t="n">
        <f aca="false">BZ83</f>
        <v>7.09</v>
      </c>
      <c r="CG95" s="2" t="n">
        <f aca="false">BZ81</f>
        <v>3.60102</v>
      </c>
      <c r="CH95" s="2" t="n">
        <f aca="false">BZ79</f>
        <v>3.58154</v>
      </c>
      <c r="CI95" s="2" t="n">
        <f aca="false">BZ77</f>
        <v>1.81333</v>
      </c>
      <c r="CJ95" s="2" t="n">
        <f aca="false">BZ75</f>
        <v>3.322</v>
      </c>
      <c r="CK95" s="2" t="n">
        <f aca="false">BZ73</f>
        <v>0.98964</v>
      </c>
      <c r="CL95" s="1" t="n">
        <v>0</v>
      </c>
      <c r="CM95" s="2" t="n">
        <f aca="false">CL93</f>
        <v>0</v>
      </c>
      <c r="CN95" s="2" t="n">
        <f aca="false">CL91</f>
        <v>0</v>
      </c>
      <c r="CO95" s="2" t="n">
        <f aca="false">CL89</f>
        <v>0</v>
      </c>
      <c r="CP95" s="2" t="n">
        <f aca="false">CL87</f>
        <v>0</v>
      </c>
      <c r="CQ95" s="2" t="n">
        <f aca="false">CL85</f>
        <v>0</v>
      </c>
      <c r="CR95" s="2" t="n">
        <f aca="false">CL83</f>
        <v>0</v>
      </c>
      <c r="CS95" s="2" t="n">
        <f aca="false">CL81</f>
        <v>0</v>
      </c>
      <c r="CT95" s="2" t="n">
        <f aca="false">CL79</f>
        <v>0</v>
      </c>
      <c r="CU95" s="2" t="n">
        <f aca="false">CL77</f>
        <v>0</v>
      </c>
      <c r="CV95" s="2" t="n">
        <f aca="false">CL75</f>
        <v>0</v>
      </c>
      <c r="CW95" s="2" t="n">
        <f aca="false">CL73</f>
        <v>0</v>
      </c>
      <c r="CX95" s="1" t="n">
        <v>81.388</v>
      </c>
      <c r="CY95" s="2" t="n">
        <f aca="false">CX93</f>
        <v>67.2819</v>
      </c>
      <c r="CZ95" s="2" t="n">
        <f aca="false">CX91</f>
        <v>59.7341</v>
      </c>
      <c r="DA95" s="2" t="n">
        <f aca="false">CX89</f>
        <v>59.8265</v>
      </c>
      <c r="DB95" s="2" t="n">
        <f aca="false">CX87</f>
        <v>83.6335</v>
      </c>
      <c r="DC95" s="2" t="n">
        <f aca="false">CX85</f>
        <v>43.9731</v>
      </c>
      <c r="DD95" s="2" t="n">
        <f aca="false">CX83</f>
        <v>81.9717</v>
      </c>
      <c r="DE95" s="2" t="n">
        <f aca="false">CX81</f>
        <v>74.4801</v>
      </c>
      <c r="DF95" s="2" t="n">
        <f aca="false">CX79</f>
        <v>74.3998</v>
      </c>
      <c r="DG95" s="2" t="n">
        <f aca="false">CX77</f>
        <v>61.1246</v>
      </c>
      <c r="DH95" s="2" t="n">
        <f aca="false">CX75</f>
        <v>73.247</v>
      </c>
      <c r="DI95" s="2" t="n">
        <f aca="false">CX73</f>
        <v>44.7017</v>
      </c>
      <c r="DJ95" s="1" t="s">
        <v>176</v>
      </c>
      <c r="DK95" s="2" t="str">
        <f aca="false">DJ93</f>
        <v>LH</v>
      </c>
      <c r="DL95" s="2" t="str">
        <f aca="false">DJ91</f>
        <v>LH</v>
      </c>
      <c r="DM95" s="2" t="str">
        <f aca="false">DJ89</f>
        <v>HH</v>
      </c>
      <c r="DN95" s="2" t="str">
        <f aca="false">DJ87</f>
        <v>HH</v>
      </c>
      <c r="DO95" s="2" t="str">
        <f aca="false">DJ85</f>
        <v>LH</v>
      </c>
      <c r="DP95" s="2" t="str">
        <f aca="false">DJ83</f>
        <v>LH</v>
      </c>
      <c r="DQ95" s="2" t="str">
        <f aca="false">DJ81</f>
        <v>HH</v>
      </c>
      <c r="DR95" s="2" t="str">
        <f aca="false">DJ79</f>
        <v>HH</v>
      </c>
      <c r="DS95" s="2" t="str">
        <f aca="false">DJ77</f>
        <v>HH</v>
      </c>
      <c r="DT95" s="2" t="str">
        <f aca="false">DJ75</f>
        <v>HH</v>
      </c>
      <c r="DU95" s="2" t="str">
        <f aca="false">DJ73</f>
        <v>LH</v>
      </c>
      <c r="DV95" s="2" t="n">
        <f aca="false">IFERROR((G95-$F95)/$F95*100,"")</f>
        <v>-0.449336943750766</v>
      </c>
      <c r="DW95" s="2" t="n">
        <f aca="false">IFERROR((H95-$F95)/$F95*100,"")</f>
        <v>-0.306787219796106</v>
      </c>
      <c r="DX95" s="2" t="n">
        <f aca="false">IFERROR((I95-$F95)/$F95*100,"")</f>
        <v>0.325948260977583</v>
      </c>
      <c r="DY95" s="2" t="n">
        <f aca="false">IFERROR((J95-$F95)/$F95*100,"")</f>
        <v>-0.584938158266003</v>
      </c>
      <c r="DZ95" s="2" t="n">
        <f aca="false">IFERROR((K95-$F95)/$F95*100,"")</f>
        <v>-1.01153452566948</v>
      </c>
      <c r="EA95" s="2" t="n">
        <f aca="false">IFERROR((L95-$F95)/$F95*100,"")</f>
        <v>-0.669373075999848</v>
      </c>
      <c r="EB95" s="2" t="n">
        <f aca="false">IFERROR((M95-$F95)/$F95*100,"")</f>
        <v>-0.557144120508211</v>
      </c>
      <c r="EC95" s="2" t="n">
        <f aca="false">IFERROR((N95-$F95)/$F95*100,"")</f>
        <v>-3.42498347096997</v>
      </c>
      <c r="ED95" s="2" t="n">
        <f aca="false">IFERROR((O95-$F95)/$F95*100,"")</f>
        <v>-3.9730734731177</v>
      </c>
      <c r="EE95" s="2" t="n">
        <f aca="false">IFERROR((P95-$F95)/$F95*100,"")</f>
        <v>-4.26259469976124</v>
      </c>
      <c r="EF95" s="2" t="n">
        <f aca="false">IFERROR((Q95-$F95)/$F95*100,"")</f>
        <v>-4.64602608428333</v>
      </c>
      <c r="EG95" s="2" t="str">
        <f aca="false">IF(DV95="","",IF(AND(ABS(DV95)&lt;=0.25,$E95="Bottom",DK95="LL"),"EQL",IF(AND(ABS(DV95)&lt;=0.25,$E95="Peak",DK95="HH"),"EQH","")))</f>
        <v/>
      </c>
      <c r="EH95" s="2" t="str">
        <f aca="false">IF(DW95="","",IF(AND(ABS(DW95)&lt;=0.25,$E95="Bottom",DL95="LL"),"EQL",IF(AND(ABS(DW95)&lt;=0.25,$E95="Peak",DL95="HH"),"EQH","")))</f>
        <v/>
      </c>
      <c r="EI95" s="2" t="str">
        <f aca="false">IF(DX95="","",IF(AND(ABS(DX95)&lt;=0.25,$E95="Bottom",DM95="LL"),"EQL",IF(AND(ABS(DX95)&lt;=0.25,$E95="Peak",DM95="HH"),"EQH","")))</f>
        <v/>
      </c>
      <c r="EJ95" s="2" t="str">
        <f aca="false">IF(DY95="","",IF(AND(ABS(DY95)&lt;=0.25,$E95="Bottom",DN95="LL"),"EQL",IF(AND(ABS(DY95)&lt;=0.25,$E95="Peak",DN95="HH"),"EQH","")))</f>
        <v/>
      </c>
      <c r="EK95" s="2" t="str">
        <f aca="false">IF(DZ95="","",IF(AND(ABS(DZ95)&lt;=0.25,$E95="Bottom",DO95="LL"),"EQL",IF(AND(ABS(DZ95)&lt;=0.25,$E95="Peak",DO95="HH"),"EQH","")))</f>
        <v/>
      </c>
      <c r="EL95" s="2" t="str">
        <f aca="false">IF(EA95="","",IF(AND(ABS(EA95)&lt;=0.25,$E95="Bottom",DP95="LL"),"EQL",IF(AND(ABS(EA95)&lt;=0.25,$E95="Peak",DP95="HH"),"EQH","")))</f>
        <v/>
      </c>
      <c r="EM95" s="2" t="str">
        <f aca="false">IF(EB95="","",IF(AND(ABS(EB95)&lt;=0.25,$E95="Bottom",DQ95="LL"),"EQL",IF(AND(ABS(EB95)&lt;=0.25,$E95="Peak",DQ95="HH"),"EQH","")))</f>
        <v/>
      </c>
      <c r="EN95" s="2" t="str">
        <f aca="false">IF(EC95="","",IF(AND(ABS(EC95)&lt;=0.25,$E95="Bottom",DR95="LL"),"EQL",IF(AND(ABS(EC95)&lt;=0.25,$E95="Peak",DR95="HH"),"EQH","")))</f>
        <v/>
      </c>
      <c r="EO95" s="2" t="str">
        <f aca="false">IF(ED95="","",IF(AND(ABS(ED95)&lt;=0.25,$E95="Bottom",DS95="LL"),"EQL",IF(AND(ABS(ED95)&lt;=0.25,$E95="Peak",DS95="HH"),"EQH","")))</f>
        <v/>
      </c>
      <c r="EP95" s="2" t="str">
        <f aca="false">IF(EE95="","",IF(AND(ABS(EE95)&lt;=0.25,$E95="Bottom",DT95="LL"),"EQL",IF(AND(ABS(EE95)&lt;=0.25,$E95="Peak",DT95="HH"),"EQH","")))</f>
        <v/>
      </c>
      <c r="EQ95" s="2" t="str">
        <f aca="false">IF(EF95="","",IF(AND(ABS(EF95)&lt;=0.25,$E95="Bottom",DU95="LL"),"EQL",IF(AND(ABS(EF95)&lt;=0.25,$E95="Peak",DU95="HH"),"EQH","")))</f>
        <v/>
      </c>
      <c r="ER95" s="2" t="str">
        <f aca="false">IF(OR(EG95="EQL",EG95="EQH"),G95,"")</f>
        <v/>
      </c>
      <c r="ES95" s="2" t="str">
        <f aca="false">IF(OR(EH95="EQL",EH95="EQH"),H95,"")</f>
        <v/>
      </c>
      <c r="ET95" s="2" t="str">
        <f aca="false">IF(OR(EI95="EQL",EI95="EQH"),I95,"")</f>
        <v/>
      </c>
      <c r="EU95" s="2" t="str">
        <f aca="false">IF(OR(EJ95="EQL",EJ95="EQH"),J95,"")</f>
        <v/>
      </c>
      <c r="EV95" s="2" t="str">
        <f aca="false">IF(OR(EK95="EQL",EK95="EQH"),K95,"")</f>
        <v/>
      </c>
      <c r="EW95" s="2" t="str">
        <f aca="false">IF(OR(EL95="EQL",EL95="EQH"),L95,"")</f>
        <v/>
      </c>
      <c r="EX95" s="2" t="str">
        <f aca="false">IF(OR(EM95="EQL",EM95="EQH"),M95,"")</f>
        <v/>
      </c>
      <c r="EY95" s="2" t="str">
        <f aca="false">IF(OR(EN95="EQL",EN95="EQH"),N95,"")</f>
        <v/>
      </c>
      <c r="EZ95" s="2" t="str">
        <f aca="false">IF(OR(EO95="EQL",EO95="EQH"),O95,"")</f>
        <v/>
      </c>
      <c r="FA95" s="2" t="str">
        <f aca="false">IF(OR(EP95="EQL",EP95="EQH"),P95,"")</f>
        <v/>
      </c>
      <c r="FB95" s="2" t="str">
        <f aca="false">IF(OR(EQ95="EQL",EQ95="EQH"),Q95,"")</f>
        <v/>
      </c>
      <c r="FC95" s="2" t="str">
        <f aca="false">IF(AND(EG95="EQL",OR(AQ95=4,AQ95=5)),"IEQL",IF(AND(EG95="EQH",OR(AQ95=1,AQ95=2)),"IEQH",""))</f>
        <v/>
      </c>
      <c r="FD95" s="2" t="str">
        <f aca="false">IF(AND(EH95="EQL",OR(AR95=4,AR95=5)),"IEQL",IF(AND(EH95="EQH",OR(AR95=1,AR95=2)),"IEQH",""))</f>
        <v/>
      </c>
      <c r="FE95" s="2" t="str">
        <f aca="false">IF(AND(EI95="EQL",OR(AS95=4,AS95=5)),"IEQL",IF(AND(EI95="EQH",OR(AS95=1,AS95=2)),"IEQH",""))</f>
        <v/>
      </c>
      <c r="FF95" s="2" t="str">
        <f aca="false">IF(AND(EJ95="EQL",OR(AT95=4,AT95=5)),"IEQL",IF(AND(EJ95="EQH",OR(AT95=1,AT95=2)),"IEQH",""))</f>
        <v/>
      </c>
      <c r="FG95" s="2" t="str">
        <f aca="false">IF(AND(EK95="EQL",OR(AU95=4,AU95=5)),"IEQL",IF(AND(EK95="EQH",OR(AU95=1,AU95=2)),"IEQH",""))</f>
        <v/>
      </c>
      <c r="FH95" s="2" t="str">
        <f aca="false">IF(AND(EL95="EQL",OR(AV95=4,AV95=5)),"IEQL",IF(AND(EL95="EQH",OR(AV95=1,AV95=2)),"IEQH",""))</f>
        <v/>
      </c>
      <c r="FI95" s="2" t="str">
        <f aca="false">IF(AND(EM95="EQL",OR(AW95=4,AW95=5)),"IEQL",IF(AND(EM95="EQH",OR(AW95=1,AW95=2)),"IEQH",""))</f>
        <v/>
      </c>
      <c r="FJ95" s="2" t="str">
        <f aca="false">IF(AND(EN95="EQL",OR(AX95=4,AX95=5)),"IEQL",IF(AND(EN95="EQH",OR(AX95=1,AX95=2)),"IEQH",""))</f>
        <v/>
      </c>
      <c r="FK95" s="2" t="str">
        <f aca="false">IF(AND(EO95="EQL",OR(AY95=4,AY95=5)),"IEQL",IF(AND(EO95="EQH",OR(AY95=1,AY95=2)),"IEQH",""))</f>
        <v/>
      </c>
      <c r="FL95" s="2" t="str">
        <f aca="false">IF(AND(EP95="EQL",OR(AZ95=4,AZ95=5)),"IEQL",IF(AND(EP95="EQH",OR(AZ95=1,AZ95=2)),"IEQH",""))</f>
        <v/>
      </c>
      <c r="FM95" s="2" t="str">
        <f aca="false">IF(AND(EQ95="EQL",OR(BA95=4,BA95=5)),"IEQL",IF(AND(EQ95="EQH",OR(BA95=1,BA95=2)),"IEQH",""))</f>
        <v/>
      </c>
    </row>
    <row r="96" customFormat="false" ht="14.25" hidden="false" customHeight="false" outlineLevel="0" collapsed="false">
      <c r="A96" s="1" t="n">
        <v>1778255102</v>
      </c>
      <c r="B96" s="1" t="s">
        <v>169</v>
      </c>
      <c r="C96" s="1" t="s">
        <v>170</v>
      </c>
      <c r="D96" s="1" t="n">
        <v>4707.13</v>
      </c>
      <c r="E96" s="1" t="s">
        <v>171</v>
      </c>
      <c r="F96" s="1" t="n">
        <v>4702</v>
      </c>
      <c r="G96" s="2" t="n">
        <f aca="false">F94</f>
        <v>4703</v>
      </c>
      <c r="H96" s="2" t="n">
        <f aca="false">F92</f>
        <v>4696.83</v>
      </c>
      <c r="I96" s="2" t="n">
        <f aca="false">F90</f>
        <v>4678.1</v>
      </c>
      <c r="J96" s="2" t="n">
        <f aca="false">F88</f>
        <v>4692.46</v>
      </c>
      <c r="K96" s="2" t="n">
        <f aca="false">F86</f>
        <v>4685.59</v>
      </c>
      <c r="L96" s="2" t="n">
        <f aca="false">F84</f>
        <v>4678.99</v>
      </c>
      <c r="M96" s="2" t="n">
        <f aca="false">F82</f>
        <v>4660.71</v>
      </c>
      <c r="N96" s="2" t="n">
        <f aca="false">F80</f>
        <v>4546.31</v>
      </c>
      <c r="O96" s="2" t="n">
        <f aca="false">F78</f>
        <v>4540</v>
      </c>
      <c r="P96" s="2" t="n">
        <f aca="false">F76</f>
        <v>4527.89</v>
      </c>
      <c r="Q96" s="2" t="n">
        <f aca="false">F74</f>
        <v>4513.56</v>
      </c>
      <c r="R96" s="1" t="n">
        <v>-47.22</v>
      </c>
      <c r="S96" s="2" t="n">
        <f aca="false">R94</f>
        <v>-24.88</v>
      </c>
      <c r="T96" s="2" t="n">
        <f aca="false">R92</f>
        <v>-37.82</v>
      </c>
      <c r="U96" s="2" t="n">
        <f aca="false">R90</f>
        <v>-86.6</v>
      </c>
      <c r="V96" s="2" t="n">
        <f aca="false">R88</f>
        <v>-28.98</v>
      </c>
      <c r="W96" s="2" t="n">
        <f aca="false">R86</f>
        <v>-15.59</v>
      </c>
      <c r="X96" s="2" t="n">
        <f aca="false">R84</f>
        <v>-38.44</v>
      </c>
      <c r="Y96" s="2" t="n">
        <f aca="false">R82</f>
        <v>-62.05</v>
      </c>
      <c r="Z96" s="2" t="n">
        <f aca="false">R80</f>
        <v>-40.25</v>
      </c>
      <c r="AA96" s="2" t="n">
        <f aca="false">R78</f>
        <v>-20.53</v>
      </c>
      <c r="AB96" s="2" t="n">
        <f aca="false">R76</f>
        <v>-18.89</v>
      </c>
      <c r="AC96" s="2" t="n">
        <f aca="false">R74</f>
        <v>-15.01</v>
      </c>
      <c r="AD96" s="1" t="n">
        <v>-0.99</v>
      </c>
      <c r="AE96" s="2" t="n">
        <f aca="false">AD94</f>
        <v>-0.53</v>
      </c>
      <c r="AF96" s="2" t="n">
        <f aca="false">AD92</f>
        <v>-0.8</v>
      </c>
      <c r="AG96" s="2" t="n">
        <f aca="false">AD90</f>
        <v>-1.82</v>
      </c>
      <c r="AH96" s="2" t="n">
        <f aca="false">AD88</f>
        <v>-0.61</v>
      </c>
      <c r="AI96" s="2" t="n">
        <f aca="false">AD86</f>
        <v>-0.33</v>
      </c>
      <c r="AJ96" s="2" t="n">
        <f aca="false">AD84</f>
        <v>-0.81</v>
      </c>
      <c r="AK96" s="2" t="n">
        <f aca="false">AD82</f>
        <v>-1.31</v>
      </c>
      <c r="AL96" s="2" t="n">
        <f aca="false">AD80</f>
        <v>-0.88</v>
      </c>
      <c r="AM96" s="2" t="n">
        <f aca="false">AD78</f>
        <v>-0.45</v>
      </c>
      <c r="AN96" s="2" t="n">
        <f aca="false">AD76</f>
        <v>-0.42</v>
      </c>
      <c r="AO96" s="2" t="n">
        <f aca="false">AD74</f>
        <v>-0.33</v>
      </c>
      <c r="AP96" s="1" t="n">
        <v>3</v>
      </c>
      <c r="AQ96" s="2" t="n">
        <f aca="false">AP94</f>
        <v>3</v>
      </c>
      <c r="AR96" s="2" t="n">
        <f aca="false">AP92</f>
        <v>3</v>
      </c>
      <c r="AS96" s="2" t="n">
        <f aca="false">AP90</f>
        <v>3</v>
      </c>
      <c r="AT96" s="2" t="n">
        <f aca="false">AP88</f>
        <v>3</v>
      </c>
      <c r="AU96" s="2" t="n">
        <f aca="false">AP86</f>
        <v>3</v>
      </c>
      <c r="AV96" s="2" t="n">
        <f aca="false">AP84</f>
        <v>3</v>
      </c>
      <c r="AW96" s="2" t="n">
        <f aca="false">AP82</f>
        <v>3</v>
      </c>
      <c r="AX96" s="2" t="n">
        <f aca="false">AP80</f>
        <v>3</v>
      </c>
      <c r="AY96" s="2" t="n">
        <f aca="false">AP78</f>
        <v>3</v>
      </c>
      <c r="AZ96" s="2" t="n">
        <f aca="false">AP76</f>
        <v>3</v>
      </c>
      <c r="BA96" s="2" t="n">
        <f aca="false">AP74</f>
        <v>3</v>
      </c>
      <c r="BB96" s="1" t="n">
        <v>7</v>
      </c>
      <c r="BC96" s="2" t="n">
        <f aca="false">BB94</f>
        <v>7</v>
      </c>
      <c r="BD96" s="2" t="n">
        <f aca="false">BB92</f>
        <v>4</v>
      </c>
      <c r="BE96" s="2" t="n">
        <f aca="false">BB90</f>
        <v>24</v>
      </c>
      <c r="BF96" s="2" t="n">
        <f aca="false">BB88</f>
        <v>11</v>
      </c>
      <c r="BG96" s="2" t="n">
        <f aca="false">BB86</f>
        <v>2</v>
      </c>
      <c r="BH96" s="2" t="n">
        <f aca="false">BB84</f>
        <v>13</v>
      </c>
      <c r="BI96" s="2" t="n">
        <f aca="false">BB82</f>
        <v>6</v>
      </c>
      <c r="BJ96" s="2" t="n">
        <f aca="false">BB80</f>
        <v>29</v>
      </c>
      <c r="BK96" s="2" t="n">
        <f aca="false">BB78</f>
        <v>8</v>
      </c>
      <c r="BL96" s="2" t="n">
        <f aca="false">BB76</f>
        <v>7</v>
      </c>
      <c r="BM96" s="2" t="n">
        <f aca="false">BB74</f>
        <v>1</v>
      </c>
      <c r="BN96" s="1" t="n">
        <v>3</v>
      </c>
      <c r="BO96" s="2" t="n">
        <f aca="false">BN94</f>
        <v>3</v>
      </c>
      <c r="BP96" s="2" t="n">
        <f aca="false">BN92</f>
        <v>3</v>
      </c>
      <c r="BQ96" s="2" t="n">
        <f aca="false">BN90</f>
        <v>3</v>
      </c>
      <c r="BR96" s="2" t="n">
        <f aca="false">BN88</f>
        <v>3</v>
      </c>
      <c r="BS96" s="2" t="n">
        <f aca="false">BN86</f>
        <v>3</v>
      </c>
      <c r="BT96" s="2" t="n">
        <f aca="false">BN84</f>
        <v>3</v>
      </c>
      <c r="BU96" s="2" t="n">
        <f aca="false">BN82</f>
        <v>3</v>
      </c>
      <c r="BV96" s="2" t="n">
        <f aca="false">BN80</f>
        <v>3</v>
      </c>
      <c r="BW96" s="2" t="n">
        <f aca="false">BN78</f>
        <v>3</v>
      </c>
      <c r="BX96" s="2" t="n">
        <f aca="false">BN76</f>
        <v>3</v>
      </c>
      <c r="BY96" s="2" t="n">
        <f aca="false">BN74</f>
        <v>3</v>
      </c>
      <c r="BZ96" s="1" t="n">
        <v>-6.74571</v>
      </c>
      <c r="CA96" s="2" t="n">
        <f aca="false">BZ94</f>
        <v>-3.55429</v>
      </c>
      <c r="CB96" s="2" t="n">
        <f aca="false">BZ92</f>
        <v>-9.455</v>
      </c>
      <c r="CC96" s="2" t="n">
        <f aca="false">BZ90</f>
        <v>-3.60833</v>
      </c>
      <c r="CD96" s="2" t="n">
        <f aca="false">BZ88</f>
        <v>-2.63455</v>
      </c>
      <c r="CE96" s="2" t="n">
        <f aca="false">BZ86</f>
        <v>-7.795</v>
      </c>
      <c r="CF96" s="2" t="n">
        <f aca="false">BZ84</f>
        <v>-2.95692</v>
      </c>
      <c r="CG96" s="2" t="n">
        <f aca="false">BZ82</f>
        <v>-10.34167</v>
      </c>
      <c r="CH96" s="2" t="n">
        <f aca="false">BZ80</f>
        <v>-1.38793</v>
      </c>
      <c r="CI96" s="2" t="n">
        <f aca="false">BZ78</f>
        <v>-2.56625</v>
      </c>
      <c r="CJ96" s="2" t="n">
        <f aca="false">BZ76</f>
        <v>-2.69857</v>
      </c>
      <c r="CK96" s="2" t="n">
        <f aca="false">BZ74</f>
        <v>-15.01</v>
      </c>
      <c r="CL96" s="1" t="n">
        <v>3</v>
      </c>
      <c r="CM96" s="2" t="n">
        <f aca="false">CL94</f>
        <v>3</v>
      </c>
      <c r="CN96" s="2" t="n">
        <f aca="false">CL92</f>
        <v>4</v>
      </c>
      <c r="CO96" s="2" t="n">
        <f aca="false">CL90</f>
        <v>3</v>
      </c>
      <c r="CP96" s="2" t="n">
        <f aca="false">CL88</f>
        <v>3</v>
      </c>
      <c r="CQ96" s="2" t="n">
        <f aca="false">CL86</f>
        <v>3</v>
      </c>
      <c r="CR96" s="2" t="n">
        <f aca="false">CL84</f>
        <v>3</v>
      </c>
      <c r="CS96" s="2" t="n">
        <f aca="false">CL82</f>
        <v>5</v>
      </c>
      <c r="CT96" s="2" t="n">
        <f aca="false">CL80</f>
        <v>3</v>
      </c>
      <c r="CU96" s="2" t="n">
        <f aca="false">CL78</f>
        <v>3</v>
      </c>
      <c r="CV96" s="2" t="n">
        <f aca="false">CL76</f>
        <v>3</v>
      </c>
      <c r="CW96" s="2" t="n">
        <f aca="false">CL74</f>
        <v>5</v>
      </c>
      <c r="CX96" s="1" t="n">
        <v>-81.5678</v>
      </c>
      <c r="CY96" s="2" t="n">
        <f aca="false">CX94</f>
        <v>-74.286</v>
      </c>
      <c r="CZ96" s="2" t="n">
        <f aca="false">CX92</f>
        <v>-83.9626</v>
      </c>
      <c r="DA96" s="2" t="n">
        <f aca="false">CX90</f>
        <v>-74.51</v>
      </c>
      <c r="DB96" s="2" t="n">
        <f aca="false">CX88</f>
        <v>-69.2146</v>
      </c>
      <c r="DC96" s="2" t="n">
        <f aca="false">CX86</f>
        <v>-82.6896</v>
      </c>
      <c r="DD96" s="2" t="n">
        <f aca="false">CX84</f>
        <v>-71.315</v>
      </c>
      <c r="DE96" s="2" t="n">
        <f aca="false">CX82</f>
        <v>-84.4769</v>
      </c>
      <c r="DF96" s="2" t="n">
        <f aca="false">CX80</f>
        <v>-54.2274</v>
      </c>
      <c r="DG96" s="2" t="n">
        <f aca="false">CX78</f>
        <v>-68.7104</v>
      </c>
      <c r="DH96" s="2" t="n">
        <f aca="false">CX76</f>
        <v>-69.667</v>
      </c>
      <c r="DI96" s="2" t="n">
        <f aca="false">CX74</f>
        <v>-86.1885</v>
      </c>
      <c r="DJ96" s="1" t="s">
        <v>172</v>
      </c>
      <c r="DK96" s="2" t="str">
        <f aca="false">DJ94</f>
        <v>HL</v>
      </c>
      <c r="DL96" s="2" t="str">
        <f aca="false">DJ92</f>
        <v>HL</v>
      </c>
      <c r="DM96" s="2" t="str">
        <f aca="false">DJ90</f>
        <v>LL</v>
      </c>
      <c r="DN96" s="2" t="str">
        <f aca="false">DJ88</f>
        <v>HL</v>
      </c>
      <c r="DO96" s="2" t="str">
        <f aca="false">DJ86</f>
        <v>HL</v>
      </c>
      <c r="DP96" s="2" t="str">
        <f aca="false">DJ84</f>
        <v>HL</v>
      </c>
      <c r="DQ96" s="2" t="str">
        <f aca="false">DJ82</f>
        <v>HL</v>
      </c>
      <c r="DR96" s="2" t="str">
        <f aca="false">DJ80</f>
        <v>HL</v>
      </c>
      <c r="DS96" s="2" t="str">
        <f aca="false">DJ78</f>
        <v>HL</v>
      </c>
      <c r="DT96" s="2" t="str">
        <f aca="false">DJ76</f>
        <v>HL</v>
      </c>
      <c r="DU96" s="2" t="str">
        <f aca="false">DJ74</f>
        <v>HL</v>
      </c>
      <c r="DV96" s="2" t="n">
        <f aca="false">IFERROR((G96-$F96)/$F96*100,"")</f>
        <v>0.0212675457252233</v>
      </c>
      <c r="DW96" s="2" t="n">
        <f aca="false">IFERROR((H96-$F96)/$F96*100,"")</f>
        <v>-0.109953211399406</v>
      </c>
      <c r="DX96" s="2" t="n">
        <f aca="false">IFERROR((I96-$F96)/$F96*100,"")</f>
        <v>-0.508294342832829</v>
      </c>
      <c r="DY96" s="2" t="n">
        <f aca="false">IFERROR((J96-$F96)/$F96*100,"")</f>
        <v>-0.20289238621863</v>
      </c>
      <c r="DZ96" s="2" t="n">
        <f aca="false">IFERROR((K96-$F96)/$F96*100,"")</f>
        <v>-0.349000425350911</v>
      </c>
      <c r="EA96" s="2" t="n">
        <f aca="false">IFERROR((L96-$F96)/$F96*100,"")</f>
        <v>-0.489366227137393</v>
      </c>
      <c r="EB96" s="2" t="n">
        <f aca="false">IFERROR((M96-$F96)/$F96*100,"")</f>
        <v>-0.87813696299447</v>
      </c>
      <c r="EC96" s="2" t="n">
        <f aca="false">IFERROR((N96-$F96)/$F96*100,"")</f>
        <v>-3.31114419396001</v>
      </c>
      <c r="ED96" s="2" t="n">
        <f aca="false">IFERROR((O96-$F96)/$F96*100,"")</f>
        <v>-3.44534240748618</v>
      </c>
      <c r="EE96" s="2" t="n">
        <f aca="false">IFERROR((P96-$F96)/$F96*100,"")</f>
        <v>-3.70289238621862</v>
      </c>
      <c r="EF96" s="2" t="n">
        <f aca="false">IFERROR((Q96-$F96)/$F96*100,"")</f>
        <v>-4.00765631646107</v>
      </c>
      <c r="EG96" s="2" t="str">
        <f aca="false">IF(DV96="","",IF(AND(ABS(DV96)&lt;=0.25,$E96="Bottom",DK96="LL"),"EQL",IF(AND(ABS(DV96)&lt;=0.25,$E96="Peak",DK96="HH"),"EQH","")))</f>
        <v/>
      </c>
      <c r="EH96" s="2" t="str">
        <f aca="false">IF(DW96="","",IF(AND(ABS(DW96)&lt;=0.25,$E96="Bottom",DL96="LL"),"EQL",IF(AND(ABS(DW96)&lt;=0.25,$E96="Peak",DL96="HH"),"EQH","")))</f>
        <v/>
      </c>
      <c r="EI96" s="2" t="str">
        <f aca="false">IF(DX96="","",IF(AND(ABS(DX96)&lt;=0.25,$E96="Bottom",DM96="LL"),"EQL",IF(AND(ABS(DX96)&lt;=0.25,$E96="Peak",DM96="HH"),"EQH","")))</f>
        <v/>
      </c>
      <c r="EJ96" s="2" t="str">
        <f aca="false">IF(DY96="","",IF(AND(ABS(DY96)&lt;=0.25,$E96="Bottom",DN96="LL"),"EQL",IF(AND(ABS(DY96)&lt;=0.25,$E96="Peak",DN96="HH"),"EQH","")))</f>
        <v/>
      </c>
      <c r="EK96" s="2" t="str">
        <f aca="false">IF(DZ96="","",IF(AND(ABS(DZ96)&lt;=0.25,$E96="Bottom",DO96="LL"),"EQL",IF(AND(ABS(DZ96)&lt;=0.25,$E96="Peak",DO96="HH"),"EQH","")))</f>
        <v/>
      </c>
      <c r="EL96" s="2" t="str">
        <f aca="false">IF(EA96="","",IF(AND(ABS(EA96)&lt;=0.25,$E96="Bottom",DP96="LL"),"EQL",IF(AND(ABS(EA96)&lt;=0.25,$E96="Peak",DP96="HH"),"EQH","")))</f>
        <v/>
      </c>
      <c r="EM96" s="2" t="str">
        <f aca="false">IF(EB96="","",IF(AND(ABS(EB96)&lt;=0.25,$E96="Bottom",DQ96="LL"),"EQL",IF(AND(ABS(EB96)&lt;=0.25,$E96="Peak",DQ96="HH"),"EQH","")))</f>
        <v/>
      </c>
      <c r="EN96" s="2" t="str">
        <f aca="false">IF(EC96="","",IF(AND(ABS(EC96)&lt;=0.25,$E96="Bottom",DR96="LL"),"EQL",IF(AND(ABS(EC96)&lt;=0.25,$E96="Peak",DR96="HH"),"EQH","")))</f>
        <v/>
      </c>
      <c r="EO96" s="2" t="str">
        <f aca="false">IF(ED96="","",IF(AND(ABS(ED96)&lt;=0.25,$E96="Bottom",DS96="LL"),"EQL",IF(AND(ABS(ED96)&lt;=0.25,$E96="Peak",DS96="HH"),"EQH","")))</f>
        <v/>
      </c>
      <c r="EP96" s="2" t="str">
        <f aca="false">IF(EE96="","",IF(AND(ABS(EE96)&lt;=0.25,$E96="Bottom",DT96="LL"),"EQL",IF(AND(ABS(EE96)&lt;=0.25,$E96="Peak",DT96="HH"),"EQH","")))</f>
        <v/>
      </c>
      <c r="EQ96" s="2" t="str">
        <f aca="false">IF(EF96="","",IF(AND(ABS(EF96)&lt;=0.25,$E96="Bottom",DU96="LL"),"EQL",IF(AND(ABS(EF96)&lt;=0.25,$E96="Peak",DU96="HH"),"EQH","")))</f>
        <v/>
      </c>
      <c r="ER96" s="2" t="str">
        <f aca="false">IF(OR(EG96="EQL",EG96="EQH"),G96,"")</f>
        <v/>
      </c>
      <c r="ES96" s="2" t="str">
        <f aca="false">IF(OR(EH96="EQL",EH96="EQH"),H96,"")</f>
        <v/>
      </c>
      <c r="ET96" s="2" t="str">
        <f aca="false">IF(OR(EI96="EQL",EI96="EQH"),I96,"")</f>
        <v/>
      </c>
      <c r="EU96" s="2" t="str">
        <f aca="false">IF(OR(EJ96="EQL",EJ96="EQH"),J96,"")</f>
        <v/>
      </c>
      <c r="EV96" s="2" t="str">
        <f aca="false">IF(OR(EK96="EQL",EK96="EQH"),K96,"")</f>
        <v/>
      </c>
      <c r="EW96" s="2" t="str">
        <f aca="false">IF(OR(EL96="EQL",EL96="EQH"),L96,"")</f>
        <v/>
      </c>
      <c r="EX96" s="2" t="str">
        <f aca="false">IF(OR(EM96="EQL",EM96="EQH"),M96,"")</f>
        <v/>
      </c>
      <c r="EY96" s="2" t="str">
        <f aca="false">IF(OR(EN96="EQL",EN96="EQH"),N96,"")</f>
        <v/>
      </c>
      <c r="EZ96" s="2" t="str">
        <f aca="false">IF(OR(EO96="EQL",EO96="EQH"),O96,"")</f>
        <v/>
      </c>
      <c r="FA96" s="2" t="str">
        <f aca="false">IF(OR(EP96="EQL",EP96="EQH"),P96,"")</f>
        <v/>
      </c>
      <c r="FB96" s="2" t="str">
        <f aca="false">IF(OR(EQ96="EQL",EQ96="EQH"),Q96,"")</f>
        <v/>
      </c>
      <c r="FC96" s="2" t="str">
        <f aca="false">IF(AND(EG96="EQL",OR(AQ96=4,AQ96=5)),"IEQL",IF(AND(EG96="EQH",OR(AQ96=1,AQ96=2)),"IEQH",""))</f>
        <v/>
      </c>
      <c r="FD96" s="2" t="str">
        <f aca="false">IF(AND(EH96="EQL",OR(AR96=4,AR96=5)),"IEQL",IF(AND(EH96="EQH",OR(AR96=1,AR96=2)),"IEQH",""))</f>
        <v/>
      </c>
      <c r="FE96" s="2" t="str">
        <f aca="false">IF(AND(EI96="EQL",OR(AS96=4,AS96=5)),"IEQL",IF(AND(EI96="EQH",OR(AS96=1,AS96=2)),"IEQH",""))</f>
        <v/>
      </c>
      <c r="FF96" s="2" t="str">
        <f aca="false">IF(AND(EJ96="EQL",OR(AT96=4,AT96=5)),"IEQL",IF(AND(EJ96="EQH",OR(AT96=1,AT96=2)),"IEQH",""))</f>
        <v/>
      </c>
      <c r="FG96" s="2" t="str">
        <f aca="false">IF(AND(EK96="EQL",OR(AU96=4,AU96=5)),"IEQL",IF(AND(EK96="EQH",OR(AU96=1,AU96=2)),"IEQH",""))</f>
        <v/>
      </c>
      <c r="FH96" s="2" t="str">
        <f aca="false">IF(AND(EL96="EQL",OR(AV96=4,AV96=5)),"IEQL",IF(AND(EL96="EQH",OR(AV96=1,AV96=2)),"IEQH",""))</f>
        <v/>
      </c>
      <c r="FI96" s="2" t="str">
        <f aca="false">IF(AND(EM96="EQL",OR(AW96=4,AW96=5)),"IEQL",IF(AND(EM96="EQH",OR(AW96=1,AW96=2)),"IEQH",""))</f>
        <v/>
      </c>
      <c r="FJ96" s="2" t="str">
        <f aca="false">IF(AND(EN96="EQL",OR(AX96=4,AX96=5)),"IEQL",IF(AND(EN96="EQH",OR(AX96=1,AX96=2)),"IEQH",""))</f>
        <v/>
      </c>
      <c r="FK96" s="2" t="str">
        <f aca="false">IF(AND(EO96="EQL",OR(AY96=4,AY96=5)),"IEQL",IF(AND(EO96="EQH",OR(AY96=1,AY96=2)),"IEQH",""))</f>
        <v/>
      </c>
      <c r="FL96" s="2" t="str">
        <f aca="false">IF(AND(EP96="EQL",OR(AZ96=4,AZ96=5)),"IEQL",IF(AND(EP96="EQH",OR(AZ96=1,AZ96=2)),"IEQH",""))</f>
        <v/>
      </c>
      <c r="FM96" s="2" t="str">
        <f aca="false">IF(AND(EQ96="EQL",OR(BA96=4,BA96=5)),"IEQL",IF(AND(EQ96="EQH",OR(BA96=1,BA96=2)),"IEQH",""))</f>
        <v/>
      </c>
    </row>
    <row r="97" customFormat="false" ht="14.25" hidden="false" customHeight="false" outlineLevel="0" collapsed="false">
      <c r="A97" s="1" t="n">
        <v>1778264102</v>
      </c>
      <c r="B97" s="1" t="s">
        <v>169</v>
      </c>
      <c r="C97" s="1" t="s">
        <v>170</v>
      </c>
      <c r="D97" s="1" t="n">
        <v>4725.66</v>
      </c>
      <c r="E97" s="1" t="s">
        <v>173</v>
      </c>
      <c r="F97" s="1" t="n">
        <v>4728.95</v>
      </c>
      <c r="G97" s="2" t="n">
        <f aca="false">F95</f>
        <v>4749.22</v>
      </c>
      <c r="H97" s="2" t="n">
        <f aca="false">F93</f>
        <v>4727.88</v>
      </c>
      <c r="I97" s="2" t="n">
        <f aca="false">F91</f>
        <v>4734.65</v>
      </c>
      <c r="J97" s="2" t="n">
        <f aca="false">F89</f>
        <v>4764.7</v>
      </c>
      <c r="K97" s="2" t="n">
        <f aca="false">F87</f>
        <v>4721.44</v>
      </c>
      <c r="L97" s="2" t="n">
        <f aca="false">F85</f>
        <v>4701.18</v>
      </c>
      <c r="M97" s="2" t="n">
        <f aca="false">F83</f>
        <v>4717.43</v>
      </c>
      <c r="N97" s="2" t="n">
        <f aca="false">F81</f>
        <v>4722.76</v>
      </c>
      <c r="O97" s="2" t="n">
        <f aca="false">F79</f>
        <v>4586.56</v>
      </c>
      <c r="P97" s="2" t="n">
        <f aca="false">F77</f>
        <v>4560.53</v>
      </c>
      <c r="Q97" s="2" t="n">
        <f aca="false">F75</f>
        <v>4546.78</v>
      </c>
      <c r="R97" s="1" t="n">
        <v>26.95</v>
      </c>
      <c r="S97" s="2" t="n">
        <f aca="false">R95</f>
        <v>46.22</v>
      </c>
      <c r="T97" s="2" t="n">
        <f aca="false">R93</f>
        <v>31.05</v>
      </c>
      <c r="U97" s="2" t="n">
        <f aca="false">R91</f>
        <v>56.55</v>
      </c>
      <c r="V97" s="2" t="n">
        <f aca="false">R89</f>
        <v>72.24</v>
      </c>
      <c r="W97" s="2" t="n">
        <f aca="false">R87</f>
        <v>35.85</v>
      </c>
      <c r="X97" s="2" t="n">
        <f aca="false">R85</f>
        <v>22.19</v>
      </c>
      <c r="Y97" s="2" t="n">
        <f aca="false">R83</f>
        <v>56.72</v>
      </c>
      <c r="Z97" s="2" t="n">
        <f aca="false">R81</f>
        <v>176.45</v>
      </c>
      <c r="AA97" s="2" t="n">
        <f aca="false">R79</f>
        <v>46.56</v>
      </c>
      <c r="AB97" s="2" t="n">
        <f aca="false">R77</f>
        <v>32.64</v>
      </c>
      <c r="AC97" s="2" t="n">
        <f aca="false">R75</f>
        <v>33.22</v>
      </c>
      <c r="AD97" s="1" t="n">
        <v>0.57</v>
      </c>
      <c r="AE97" s="2" t="n">
        <f aca="false">AD95</f>
        <v>0.98</v>
      </c>
      <c r="AF97" s="2" t="n">
        <f aca="false">AD93</f>
        <v>0.66</v>
      </c>
      <c r="AG97" s="2" t="n">
        <f aca="false">AD91</f>
        <v>1.21</v>
      </c>
      <c r="AH97" s="2" t="n">
        <f aca="false">AD89</f>
        <v>1.54</v>
      </c>
      <c r="AI97" s="2" t="n">
        <f aca="false">AD87</f>
        <v>0.77</v>
      </c>
      <c r="AJ97" s="2" t="n">
        <f aca="false">AD85</f>
        <v>0.47</v>
      </c>
      <c r="AK97" s="2" t="n">
        <f aca="false">AD83</f>
        <v>1.22</v>
      </c>
      <c r="AL97" s="2" t="n">
        <f aca="false">AD81</f>
        <v>3.88</v>
      </c>
      <c r="AM97" s="2" t="n">
        <f aca="false">AD79</f>
        <v>1.03</v>
      </c>
      <c r="AN97" s="2" t="n">
        <f aca="false">AD77</f>
        <v>0.72</v>
      </c>
      <c r="AO97" s="2" t="n">
        <f aca="false">AD75</f>
        <v>0.74</v>
      </c>
      <c r="AP97" s="1" t="n">
        <v>0</v>
      </c>
      <c r="AQ97" s="2" t="n">
        <f aca="false">AP95</f>
        <v>0</v>
      </c>
      <c r="AR97" s="2" t="n">
        <f aca="false">AP93</f>
        <v>0</v>
      </c>
      <c r="AS97" s="2" t="n">
        <f aca="false">AP91</f>
        <v>0</v>
      </c>
      <c r="AT97" s="2" t="n">
        <f aca="false">AP89</f>
        <v>0</v>
      </c>
      <c r="AU97" s="2" t="n">
        <f aca="false">AP87</f>
        <v>0</v>
      </c>
      <c r="AV97" s="2" t="n">
        <f aca="false">AP85</f>
        <v>0</v>
      </c>
      <c r="AW97" s="2" t="n">
        <f aca="false">AP83</f>
        <v>0</v>
      </c>
      <c r="AX97" s="2" t="n">
        <f aca="false">AP81</f>
        <v>2</v>
      </c>
      <c r="AY97" s="2" t="n">
        <f aca="false">AP79</f>
        <v>0</v>
      </c>
      <c r="AZ97" s="2" t="n">
        <f aca="false">AP77</f>
        <v>0</v>
      </c>
      <c r="BA97" s="2" t="n">
        <f aca="false">AP75</f>
        <v>0</v>
      </c>
      <c r="BB97" s="1" t="n">
        <v>10</v>
      </c>
      <c r="BC97" s="2" t="n">
        <f aca="false">BB95</f>
        <v>7</v>
      </c>
      <c r="BD97" s="2" t="n">
        <f aca="false">BB93</f>
        <v>13</v>
      </c>
      <c r="BE97" s="2" t="n">
        <f aca="false">BB91</f>
        <v>33</v>
      </c>
      <c r="BF97" s="2" t="n">
        <f aca="false">BB89</f>
        <v>42</v>
      </c>
      <c r="BG97" s="2" t="n">
        <f aca="false">BB87</f>
        <v>4</v>
      </c>
      <c r="BH97" s="2" t="n">
        <f aca="false">BB85</f>
        <v>23</v>
      </c>
      <c r="BI97" s="2" t="n">
        <f aca="false">BB83</f>
        <v>8</v>
      </c>
      <c r="BJ97" s="2" t="n">
        <f aca="false">BB81</f>
        <v>49</v>
      </c>
      <c r="BK97" s="2" t="n">
        <f aca="false">BB79</f>
        <v>13</v>
      </c>
      <c r="BL97" s="2" t="n">
        <f aca="false">BB77</f>
        <v>18</v>
      </c>
      <c r="BM97" s="2" t="n">
        <f aca="false">BB75</f>
        <v>10</v>
      </c>
      <c r="BN97" s="1" t="n">
        <v>0</v>
      </c>
      <c r="BO97" s="2" t="n">
        <f aca="false">BN95</f>
        <v>0</v>
      </c>
      <c r="BP97" s="2" t="n">
        <f aca="false">BN93</f>
        <v>0</v>
      </c>
      <c r="BQ97" s="2" t="n">
        <f aca="false">BN91</f>
        <v>0</v>
      </c>
      <c r="BR97" s="2" t="n">
        <f aca="false">BN89</f>
        <v>2</v>
      </c>
      <c r="BS97" s="2" t="n">
        <f aca="false">BN87</f>
        <v>0</v>
      </c>
      <c r="BT97" s="2" t="n">
        <f aca="false">BN85</f>
        <v>0</v>
      </c>
      <c r="BU97" s="2" t="n">
        <f aca="false">BN83</f>
        <v>0</v>
      </c>
      <c r="BV97" s="2" t="n">
        <f aca="false">BN81</f>
        <v>2</v>
      </c>
      <c r="BW97" s="2" t="n">
        <f aca="false">BN79</f>
        <v>0</v>
      </c>
      <c r="BX97" s="2" t="n">
        <f aca="false">BN77</f>
        <v>0</v>
      </c>
      <c r="BY97" s="2" t="n">
        <f aca="false">BN75</f>
        <v>0</v>
      </c>
      <c r="BZ97" s="1" t="n">
        <v>2.695</v>
      </c>
      <c r="CA97" s="2" t="n">
        <f aca="false">BZ95</f>
        <v>6.60286</v>
      </c>
      <c r="CB97" s="2" t="n">
        <f aca="false">BZ93</f>
        <v>2.38846</v>
      </c>
      <c r="CC97" s="2" t="n">
        <f aca="false">BZ91</f>
        <v>1.71364</v>
      </c>
      <c r="CD97" s="2" t="n">
        <f aca="false">BZ89</f>
        <v>1.72</v>
      </c>
      <c r="CE97" s="2" t="n">
        <f aca="false">BZ87</f>
        <v>8.9625</v>
      </c>
      <c r="CF97" s="2" t="n">
        <f aca="false">BZ85</f>
        <v>0.96478</v>
      </c>
      <c r="CG97" s="2" t="n">
        <f aca="false">BZ83</f>
        <v>7.09</v>
      </c>
      <c r="CH97" s="2" t="n">
        <f aca="false">BZ81</f>
        <v>3.60102</v>
      </c>
      <c r="CI97" s="2" t="n">
        <f aca="false">BZ79</f>
        <v>3.58154</v>
      </c>
      <c r="CJ97" s="2" t="n">
        <f aca="false">BZ77</f>
        <v>1.81333</v>
      </c>
      <c r="CK97" s="2" t="n">
        <f aca="false">BZ75</f>
        <v>3.322</v>
      </c>
      <c r="CL97" s="1" t="n">
        <v>0</v>
      </c>
      <c r="CM97" s="2" t="n">
        <f aca="false">CL95</f>
        <v>0</v>
      </c>
      <c r="CN97" s="2" t="n">
        <f aca="false">CL93</f>
        <v>0</v>
      </c>
      <c r="CO97" s="2" t="n">
        <f aca="false">CL91</f>
        <v>0</v>
      </c>
      <c r="CP97" s="2" t="n">
        <f aca="false">CL89</f>
        <v>0</v>
      </c>
      <c r="CQ97" s="2" t="n">
        <f aca="false">CL87</f>
        <v>0</v>
      </c>
      <c r="CR97" s="2" t="n">
        <f aca="false">CL85</f>
        <v>0</v>
      </c>
      <c r="CS97" s="2" t="n">
        <f aca="false">CL83</f>
        <v>0</v>
      </c>
      <c r="CT97" s="2" t="n">
        <f aca="false">CL81</f>
        <v>0</v>
      </c>
      <c r="CU97" s="2" t="n">
        <f aca="false">CL79</f>
        <v>0</v>
      </c>
      <c r="CV97" s="2" t="n">
        <f aca="false">CL77</f>
        <v>0</v>
      </c>
      <c r="CW97" s="2" t="n">
        <f aca="false">CL75</f>
        <v>0</v>
      </c>
      <c r="CX97" s="1" t="n">
        <v>69.6422</v>
      </c>
      <c r="CY97" s="2" t="n">
        <f aca="false">CX95</f>
        <v>81.388</v>
      </c>
      <c r="CZ97" s="2" t="n">
        <f aca="false">CX93</f>
        <v>67.2819</v>
      </c>
      <c r="DA97" s="2" t="n">
        <f aca="false">CX91</f>
        <v>59.7341</v>
      </c>
      <c r="DB97" s="2" t="n">
        <f aca="false">CX89</f>
        <v>59.8265</v>
      </c>
      <c r="DC97" s="2" t="n">
        <f aca="false">CX87</f>
        <v>83.6335</v>
      </c>
      <c r="DD97" s="2" t="n">
        <f aca="false">CX85</f>
        <v>43.9731</v>
      </c>
      <c r="DE97" s="2" t="n">
        <f aca="false">CX83</f>
        <v>81.9717</v>
      </c>
      <c r="DF97" s="2" t="n">
        <f aca="false">CX81</f>
        <v>74.4801</v>
      </c>
      <c r="DG97" s="2" t="n">
        <f aca="false">CX79</f>
        <v>74.3998</v>
      </c>
      <c r="DH97" s="2" t="n">
        <f aca="false">CX77</f>
        <v>61.1246</v>
      </c>
      <c r="DI97" s="2" t="n">
        <f aca="false">CX75</f>
        <v>73.247</v>
      </c>
      <c r="DJ97" s="1" t="s">
        <v>174</v>
      </c>
      <c r="DK97" s="2" t="str">
        <f aca="false">DJ95</f>
        <v>HH</v>
      </c>
      <c r="DL97" s="2" t="str">
        <f aca="false">DJ93</f>
        <v>LH</v>
      </c>
      <c r="DM97" s="2" t="str">
        <f aca="false">DJ91</f>
        <v>LH</v>
      </c>
      <c r="DN97" s="2" t="str">
        <f aca="false">DJ89</f>
        <v>HH</v>
      </c>
      <c r="DO97" s="2" t="str">
        <f aca="false">DJ87</f>
        <v>HH</v>
      </c>
      <c r="DP97" s="2" t="str">
        <f aca="false">DJ85</f>
        <v>LH</v>
      </c>
      <c r="DQ97" s="2" t="str">
        <f aca="false">DJ83</f>
        <v>LH</v>
      </c>
      <c r="DR97" s="2" t="str">
        <f aca="false">DJ81</f>
        <v>HH</v>
      </c>
      <c r="DS97" s="2" t="str">
        <f aca="false">DJ79</f>
        <v>HH</v>
      </c>
      <c r="DT97" s="2" t="str">
        <f aca="false">DJ77</f>
        <v>HH</v>
      </c>
      <c r="DU97" s="2" t="str">
        <f aca="false">DJ75</f>
        <v>HH</v>
      </c>
      <c r="DV97" s="2" t="n">
        <f aca="false">IFERROR((G97-$F97)/$F97*100,"")</f>
        <v>0.428636378054334</v>
      </c>
      <c r="DW97" s="2" t="n">
        <f aca="false">IFERROR((H97-$F97)/$F97*100,"")</f>
        <v>-0.0226265872973854</v>
      </c>
      <c r="DX97" s="2" t="n">
        <f aca="false">IFERROR((I97-$F97)/$F97*100,"")</f>
        <v>0.120534156630961</v>
      </c>
      <c r="DY97" s="2" t="n">
        <f aca="false">IFERROR((J97-$F97)/$F97*100,"")</f>
        <v>0.755981771852103</v>
      </c>
      <c r="DZ97" s="2" t="n">
        <f aca="false">IFERROR((K97-$F97)/$F97*100,"")</f>
        <v>-0.158809037947118</v>
      </c>
      <c r="EA97" s="2" t="n">
        <f aca="false">IFERROR((L97-$F97)/$F97*100,"")</f>
        <v>-0.587233952568742</v>
      </c>
      <c r="EB97" s="2" t="n">
        <f aca="false">IFERROR((M97-$F97)/$F97*100,"")</f>
        <v>-0.24360587445415</v>
      </c>
      <c r="EC97" s="2" t="n">
        <f aca="false">IFERROR((N97-$F97)/$F97*100,"")</f>
        <v>-0.130895864832565</v>
      </c>
      <c r="ED97" s="2" t="n">
        <f aca="false">IFERROR((O97-$F97)/$F97*100,"")</f>
        <v>-3.01102781801456</v>
      </c>
      <c r="EE97" s="2" t="n">
        <f aca="false">IFERROR((P97-$F97)/$F97*100,"")</f>
        <v>-3.56146713329598</v>
      </c>
      <c r="EF97" s="2" t="n">
        <f aca="false">IFERROR((Q97-$F97)/$F97*100,"")</f>
        <v>-3.85222935323909</v>
      </c>
      <c r="EG97" s="2" t="str">
        <f aca="false">IF(DV97="","",IF(AND(ABS(DV97)&lt;=0.25,$E97="Bottom",DK97="LL"),"EQL",IF(AND(ABS(DV97)&lt;=0.25,$E97="Peak",DK97="HH"),"EQH","")))</f>
        <v/>
      </c>
      <c r="EH97" s="2" t="str">
        <f aca="false">IF(DW97="","",IF(AND(ABS(DW97)&lt;=0.25,$E97="Bottom",DL97="LL"),"EQL",IF(AND(ABS(DW97)&lt;=0.25,$E97="Peak",DL97="HH"),"EQH","")))</f>
        <v/>
      </c>
      <c r="EI97" s="2" t="str">
        <f aca="false">IF(DX97="","",IF(AND(ABS(DX97)&lt;=0.25,$E97="Bottom",DM97="LL"),"EQL",IF(AND(ABS(DX97)&lt;=0.25,$E97="Peak",DM97="HH"),"EQH","")))</f>
        <v/>
      </c>
      <c r="EJ97" s="2" t="str">
        <f aca="false">IF(DY97="","",IF(AND(ABS(DY97)&lt;=0.25,$E97="Bottom",DN97="LL"),"EQL",IF(AND(ABS(DY97)&lt;=0.25,$E97="Peak",DN97="HH"),"EQH","")))</f>
        <v/>
      </c>
      <c r="EK97" s="2" t="str">
        <f aca="false">IF(DZ97="","",IF(AND(ABS(DZ97)&lt;=0.25,$E97="Bottom",DO97="LL"),"EQL",IF(AND(ABS(DZ97)&lt;=0.25,$E97="Peak",DO97="HH"),"EQH","")))</f>
        <v>EQH</v>
      </c>
      <c r="EL97" s="2" t="str">
        <f aca="false">IF(EA97="","",IF(AND(ABS(EA97)&lt;=0.25,$E97="Bottom",DP97="LL"),"EQL",IF(AND(ABS(EA97)&lt;=0.25,$E97="Peak",DP97="HH"),"EQH","")))</f>
        <v/>
      </c>
      <c r="EM97" s="2" t="str">
        <f aca="false">IF(EB97="","",IF(AND(ABS(EB97)&lt;=0.25,$E97="Bottom",DQ97="LL"),"EQL",IF(AND(ABS(EB97)&lt;=0.25,$E97="Peak",DQ97="HH"),"EQH","")))</f>
        <v/>
      </c>
      <c r="EN97" s="2" t="str">
        <f aca="false">IF(EC97="","",IF(AND(ABS(EC97)&lt;=0.25,$E97="Bottom",DR97="LL"),"EQL",IF(AND(ABS(EC97)&lt;=0.25,$E97="Peak",DR97="HH"),"EQH","")))</f>
        <v>EQH</v>
      </c>
      <c r="EO97" s="2" t="str">
        <f aca="false">IF(ED97="","",IF(AND(ABS(ED97)&lt;=0.25,$E97="Bottom",DS97="LL"),"EQL",IF(AND(ABS(ED97)&lt;=0.25,$E97="Peak",DS97="HH"),"EQH","")))</f>
        <v/>
      </c>
      <c r="EP97" s="2" t="str">
        <f aca="false">IF(EE97="","",IF(AND(ABS(EE97)&lt;=0.25,$E97="Bottom",DT97="LL"),"EQL",IF(AND(ABS(EE97)&lt;=0.25,$E97="Peak",DT97="HH"),"EQH","")))</f>
        <v/>
      </c>
      <c r="EQ97" s="2" t="str">
        <f aca="false">IF(EF97="","",IF(AND(ABS(EF97)&lt;=0.25,$E97="Bottom",DU97="LL"),"EQL",IF(AND(ABS(EF97)&lt;=0.25,$E97="Peak",DU97="HH"),"EQH","")))</f>
        <v/>
      </c>
      <c r="ER97" s="2" t="str">
        <f aca="false">IF(OR(EG97="EQL",EG97="EQH"),G97,"")</f>
        <v/>
      </c>
      <c r="ES97" s="2" t="str">
        <f aca="false">IF(OR(EH97="EQL",EH97="EQH"),H97,"")</f>
        <v/>
      </c>
      <c r="ET97" s="2" t="str">
        <f aca="false">IF(OR(EI97="EQL",EI97="EQH"),I97,"")</f>
        <v/>
      </c>
      <c r="EU97" s="2" t="str">
        <f aca="false">IF(OR(EJ97="EQL",EJ97="EQH"),J97,"")</f>
        <v/>
      </c>
      <c r="EV97" s="2" t="n">
        <f aca="false">IF(OR(EK97="EQL",EK97="EQH"),K97,"")</f>
        <v>4721.44</v>
      </c>
      <c r="EW97" s="2" t="str">
        <f aca="false">IF(OR(EL97="EQL",EL97="EQH"),L97,"")</f>
        <v/>
      </c>
      <c r="EX97" s="2" t="str">
        <f aca="false">IF(OR(EM97="EQL",EM97="EQH"),M97,"")</f>
        <v/>
      </c>
      <c r="EY97" s="2" t="n">
        <f aca="false">IF(OR(EN97="EQL",EN97="EQH"),N97,"")</f>
        <v>4722.76</v>
      </c>
      <c r="EZ97" s="2" t="str">
        <f aca="false">IF(OR(EO97="EQL",EO97="EQH"),O97,"")</f>
        <v/>
      </c>
      <c r="FA97" s="2" t="str">
        <f aca="false">IF(OR(EP97="EQL",EP97="EQH"),P97,"")</f>
        <v/>
      </c>
      <c r="FB97" s="2" t="str">
        <f aca="false">IF(OR(EQ97="EQL",EQ97="EQH"),Q97,"")</f>
        <v/>
      </c>
      <c r="FC97" s="2" t="str">
        <f aca="false">IF(AND(EG97="EQL",OR(AQ97=4,AQ97=5)),"IEQL",IF(AND(EG97="EQH",OR(AQ97=1,AQ97=2)),"IEQH",""))</f>
        <v/>
      </c>
      <c r="FD97" s="2" t="str">
        <f aca="false">IF(AND(EH97="EQL",OR(AR97=4,AR97=5)),"IEQL",IF(AND(EH97="EQH",OR(AR97=1,AR97=2)),"IEQH",""))</f>
        <v/>
      </c>
      <c r="FE97" s="2" t="str">
        <f aca="false">IF(AND(EI97="EQL",OR(AS97=4,AS97=5)),"IEQL",IF(AND(EI97="EQH",OR(AS97=1,AS97=2)),"IEQH",""))</f>
        <v/>
      </c>
      <c r="FF97" s="2" t="str">
        <f aca="false">IF(AND(EJ97="EQL",OR(AT97=4,AT97=5)),"IEQL",IF(AND(EJ97="EQH",OR(AT97=1,AT97=2)),"IEQH",""))</f>
        <v/>
      </c>
      <c r="FG97" s="2" t="str">
        <f aca="false">IF(AND(EK97="EQL",OR(AU97=4,AU97=5)),"IEQL",IF(AND(EK97="EQH",OR(AU97=1,AU97=2)),"IEQH",""))</f>
        <v/>
      </c>
      <c r="FH97" s="2" t="str">
        <f aca="false">IF(AND(EL97="EQL",OR(AV97=4,AV97=5)),"IEQL",IF(AND(EL97="EQH",OR(AV97=1,AV97=2)),"IEQH",""))</f>
        <v/>
      </c>
      <c r="FI97" s="2" t="str">
        <f aca="false">IF(AND(EM97="EQL",OR(AW97=4,AW97=5)),"IEQL",IF(AND(EM97="EQH",OR(AW97=1,AW97=2)),"IEQH",""))</f>
        <v/>
      </c>
      <c r="FJ97" s="2" t="str">
        <f aca="false">IF(AND(EN97="EQL",OR(AX97=4,AX97=5)),"IEQL",IF(AND(EN97="EQH",OR(AX97=1,AX97=2)),"IEQH",""))</f>
        <v>IEQH</v>
      </c>
      <c r="FK97" s="2" t="str">
        <f aca="false">IF(AND(EO97="EQL",OR(AY97=4,AY97=5)),"IEQL",IF(AND(EO97="EQH",OR(AY97=1,AY97=2)),"IEQH",""))</f>
        <v/>
      </c>
      <c r="FL97" s="2" t="str">
        <f aca="false">IF(AND(EP97="EQL",OR(AZ97=4,AZ97=5)),"IEQL",IF(AND(EP97="EQH",OR(AZ97=1,AZ97=2)),"IEQH",""))</f>
        <v/>
      </c>
      <c r="FM97" s="2" t="str">
        <f aca="false">IF(AND(EQ97="EQL",OR(BA97=4,BA97=5)),"IEQL",IF(AND(EQ97="EQH",OR(BA97=1,BA97=2)),"IEQH",""))</f>
        <v/>
      </c>
    </row>
    <row r="98" customFormat="false" ht="14.25" hidden="false" customHeight="false" outlineLevel="0" collapsed="false">
      <c r="A98" s="1" t="n">
        <v>1778460302</v>
      </c>
      <c r="B98" s="1" t="s">
        <v>169</v>
      </c>
      <c r="C98" s="1" t="s">
        <v>170</v>
      </c>
      <c r="D98" s="1" t="n">
        <v>4683.57</v>
      </c>
      <c r="E98" s="1" t="s">
        <v>171</v>
      </c>
      <c r="F98" s="1" t="n">
        <v>4670.56</v>
      </c>
      <c r="G98" s="2" t="n">
        <f aca="false">F96</f>
        <v>4702</v>
      </c>
      <c r="H98" s="2" t="n">
        <f aca="false">F94</f>
        <v>4703</v>
      </c>
      <c r="I98" s="2" t="n">
        <f aca="false">F92</f>
        <v>4696.83</v>
      </c>
      <c r="J98" s="2" t="n">
        <f aca="false">F90</f>
        <v>4678.1</v>
      </c>
      <c r="K98" s="2" t="n">
        <f aca="false">F88</f>
        <v>4692.46</v>
      </c>
      <c r="L98" s="2" t="n">
        <f aca="false">F86</f>
        <v>4685.59</v>
      </c>
      <c r="M98" s="2" t="n">
        <f aca="false">F84</f>
        <v>4678.99</v>
      </c>
      <c r="N98" s="2" t="n">
        <f aca="false">F82</f>
        <v>4660.71</v>
      </c>
      <c r="O98" s="2" t="n">
        <f aca="false">F80</f>
        <v>4546.31</v>
      </c>
      <c r="P98" s="2" t="n">
        <f aca="false">F78</f>
        <v>4540</v>
      </c>
      <c r="Q98" s="2" t="n">
        <f aca="false">F76</f>
        <v>4527.89</v>
      </c>
      <c r="R98" s="1" t="n">
        <v>-58.39</v>
      </c>
      <c r="S98" s="2" t="n">
        <f aca="false">R96</f>
        <v>-47.22</v>
      </c>
      <c r="T98" s="2" t="n">
        <f aca="false">R94</f>
        <v>-24.88</v>
      </c>
      <c r="U98" s="2" t="n">
        <f aca="false">R92</f>
        <v>-37.82</v>
      </c>
      <c r="V98" s="2" t="n">
        <f aca="false">R90</f>
        <v>-86.6</v>
      </c>
      <c r="W98" s="2" t="n">
        <f aca="false">R88</f>
        <v>-28.98</v>
      </c>
      <c r="X98" s="2" t="n">
        <f aca="false">R86</f>
        <v>-15.59</v>
      </c>
      <c r="Y98" s="2" t="n">
        <f aca="false">R84</f>
        <v>-38.44</v>
      </c>
      <c r="Z98" s="2" t="n">
        <f aca="false">R82</f>
        <v>-62.05</v>
      </c>
      <c r="AA98" s="2" t="n">
        <f aca="false">R80</f>
        <v>-40.25</v>
      </c>
      <c r="AB98" s="2" t="n">
        <f aca="false">R78</f>
        <v>-20.53</v>
      </c>
      <c r="AC98" s="2" t="n">
        <f aca="false">R76</f>
        <v>-18.89</v>
      </c>
      <c r="AD98" s="1" t="n">
        <v>-1.23</v>
      </c>
      <c r="AE98" s="2" t="n">
        <f aca="false">AD96</f>
        <v>-0.99</v>
      </c>
      <c r="AF98" s="2" t="n">
        <f aca="false">AD94</f>
        <v>-0.53</v>
      </c>
      <c r="AG98" s="2" t="n">
        <f aca="false">AD92</f>
        <v>-0.8</v>
      </c>
      <c r="AH98" s="2" t="n">
        <f aca="false">AD90</f>
        <v>-1.82</v>
      </c>
      <c r="AI98" s="2" t="n">
        <f aca="false">AD88</f>
        <v>-0.61</v>
      </c>
      <c r="AJ98" s="2" t="n">
        <f aca="false">AD86</f>
        <v>-0.33</v>
      </c>
      <c r="AK98" s="2" t="n">
        <f aca="false">AD84</f>
        <v>-0.81</v>
      </c>
      <c r="AL98" s="2" t="n">
        <f aca="false">AD82</f>
        <v>-1.31</v>
      </c>
      <c r="AM98" s="2" t="n">
        <f aca="false">AD80</f>
        <v>-0.88</v>
      </c>
      <c r="AN98" s="2" t="n">
        <f aca="false">AD78</f>
        <v>-0.45</v>
      </c>
      <c r="AO98" s="2" t="n">
        <f aca="false">AD76</f>
        <v>-0.42</v>
      </c>
      <c r="AP98" s="1" t="n">
        <v>3</v>
      </c>
      <c r="AQ98" s="2" t="n">
        <f aca="false">AP96</f>
        <v>3</v>
      </c>
      <c r="AR98" s="2" t="n">
        <f aca="false">AP94</f>
        <v>3</v>
      </c>
      <c r="AS98" s="2" t="n">
        <f aca="false">AP92</f>
        <v>3</v>
      </c>
      <c r="AT98" s="2" t="n">
        <f aca="false">AP90</f>
        <v>3</v>
      </c>
      <c r="AU98" s="2" t="n">
        <f aca="false">AP88</f>
        <v>3</v>
      </c>
      <c r="AV98" s="2" t="n">
        <f aca="false">AP86</f>
        <v>3</v>
      </c>
      <c r="AW98" s="2" t="n">
        <f aca="false">AP84</f>
        <v>3</v>
      </c>
      <c r="AX98" s="2" t="n">
        <f aca="false">AP82</f>
        <v>3</v>
      </c>
      <c r="AY98" s="2" t="n">
        <f aca="false">AP80</f>
        <v>3</v>
      </c>
      <c r="AZ98" s="2" t="n">
        <f aca="false">AP78</f>
        <v>3</v>
      </c>
      <c r="BA98" s="2" t="n">
        <f aca="false">AP76</f>
        <v>3</v>
      </c>
      <c r="BB98" s="1" t="n">
        <v>22</v>
      </c>
      <c r="BC98" s="2" t="n">
        <f aca="false">BB96</f>
        <v>7</v>
      </c>
      <c r="BD98" s="2" t="n">
        <f aca="false">BB94</f>
        <v>7</v>
      </c>
      <c r="BE98" s="2" t="n">
        <f aca="false">BB92</f>
        <v>4</v>
      </c>
      <c r="BF98" s="2" t="n">
        <f aca="false">BB90</f>
        <v>24</v>
      </c>
      <c r="BG98" s="2" t="n">
        <f aca="false">BB88</f>
        <v>11</v>
      </c>
      <c r="BH98" s="2" t="n">
        <f aca="false">BB86</f>
        <v>2</v>
      </c>
      <c r="BI98" s="2" t="n">
        <f aca="false">BB84</f>
        <v>13</v>
      </c>
      <c r="BJ98" s="2" t="n">
        <f aca="false">BB82</f>
        <v>6</v>
      </c>
      <c r="BK98" s="2" t="n">
        <f aca="false">BB80</f>
        <v>29</v>
      </c>
      <c r="BL98" s="2" t="n">
        <f aca="false">BB78</f>
        <v>8</v>
      </c>
      <c r="BM98" s="2" t="n">
        <f aca="false">BB76</f>
        <v>7</v>
      </c>
      <c r="BN98" s="1" t="n">
        <v>3</v>
      </c>
      <c r="BO98" s="2" t="n">
        <f aca="false">BN96</f>
        <v>3</v>
      </c>
      <c r="BP98" s="2" t="n">
        <f aca="false">BN94</f>
        <v>3</v>
      </c>
      <c r="BQ98" s="2" t="n">
        <f aca="false">BN92</f>
        <v>3</v>
      </c>
      <c r="BR98" s="2" t="n">
        <f aca="false">BN90</f>
        <v>3</v>
      </c>
      <c r="BS98" s="2" t="n">
        <f aca="false">BN88</f>
        <v>3</v>
      </c>
      <c r="BT98" s="2" t="n">
        <f aca="false">BN86</f>
        <v>3</v>
      </c>
      <c r="BU98" s="2" t="n">
        <f aca="false">BN84</f>
        <v>3</v>
      </c>
      <c r="BV98" s="2" t="n">
        <f aca="false">BN82</f>
        <v>3</v>
      </c>
      <c r="BW98" s="2" t="n">
        <f aca="false">BN80</f>
        <v>3</v>
      </c>
      <c r="BX98" s="2" t="n">
        <f aca="false">BN78</f>
        <v>3</v>
      </c>
      <c r="BY98" s="2" t="n">
        <f aca="false">BN76</f>
        <v>3</v>
      </c>
      <c r="BZ98" s="1" t="n">
        <v>-2.65409</v>
      </c>
      <c r="CA98" s="2" t="n">
        <f aca="false">BZ96</f>
        <v>-6.74571</v>
      </c>
      <c r="CB98" s="2" t="n">
        <f aca="false">BZ94</f>
        <v>-3.55429</v>
      </c>
      <c r="CC98" s="2" t="n">
        <f aca="false">BZ92</f>
        <v>-9.455</v>
      </c>
      <c r="CD98" s="2" t="n">
        <f aca="false">BZ90</f>
        <v>-3.60833</v>
      </c>
      <c r="CE98" s="2" t="n">
        <f aca="false">BZ88</f>
        <v>-2.63455</v>
      </c>
      <c r="CF98" s="2" t="n">
        <f aca="false">BZ86</f>
        <v>-7.795</v>
      </c>
      <c r="CG98" s="2" t="n">
        <f aca="false">BZ84</f>
        <v>-2.95692</v>
      </c>
      <c r="CH98" s="2" t="n">
        <f aca="false">BZ82</f>
        <v>-10.34167</v>
      </c>
      <c r="CI98" s="2" t="n">
        <f aca="false">BZ80</f>
        <v>-1.38793</v>
      </c>
      <c r="CJ98" s="2" t="n">
        <f aca="false">BZ78</f>
        <v>-2.56625</v>
      </c>
      <c r="CK98" s="2" t="n">
        <f aca="false">BZ76</f>
        <v>-2.69857</v>
      </c>
      <c r="CL98" s="1" t="n">
        <v>3</v>
      </c>
      <c r="CM98" s="2" t="n">
        <f aca="false">CL96</f>
        <v>3</v>
      </c>
      <c r="CN98" s="2" t="n">
        <f aca="false">CL94</f>
        <v>3</v>
      </c>
      <c r="CO98" s="2" t="n">
        <f aca="false">CL92</f>
        <v>4</v>
      </c>
      <c r="CP98" s="2" t="n">
        <f aca="false">CL90</f>
        <v>3</v>
      </c>
      <c r="CQ98" s="2" t="n">
        <f aca="false">CL88</f>
        <v>3</v>
      </c>
      <c r="CR98" s="2" t="n">
        <f aca="false">CL86</f>
        <v>3</v>
      </c>
      <c r="CS98" s="2" t="n">
        <f aca="false">CL84</f>
        <v>3</v>
      </c>
      <c r="CT98" s="2" t="n">
        <f aca="false">CL82</f>
        <v>5</v>
      </c>
      <c r="CU98" s="2" t="n">
        <f aca="false">CL80</f>
        <v>3</v>
      </c>
      <c r="CV98" s="2" t="n">
        <f aca="false">CL78</f>
        <v>3</v>
      </c>
      <c r="CW98" s="2" t="n">
        <f aca="false">CL76</f>
        <v>3</v>
      </c>
      <c r="CX98" s="1" t="n">
        <v>-69.3548</v>
      </c>
      <c r="CY98" s="2" t="n">
        <f aca="false">CX96</f>
        <v>-81.5678</v>
      </c>
      <c r="CZ98" s="2" t="n">
        <f aca="false">CX94</f>
        <v>-74.286</v>
      </c>
      <c r="DA98" s="2" t="n">
        <f aca="false">CX92</f>
        <v>-83.9626</v>
      </c>
      <c r="DB98" s="2" t="n">
        <f aca="false">CX90</f>
        <v>-74.51</v>
      </c>
      <c r="DC98" s="2" t="n">
        <f aca="false">CX88</f>
        <v>-69.2146</v>
      </c>
      <c r="DD98" s="2" t="n">
        <f aca="false">CX86</f>
        <v>-82.6896</v>
      </c>
      <c r="DE98" s="2" t="n">
        <f aca="false">CX84</f>
        <v>-71.315</v>
      </c>
      <c r="DF98" s="2" t="n">
        <f aca="false">CX82</f>
        <v>-84.4769</v>
      </c>
      <c r="DG98" s="2" t="n">
        <f aca="false">CX80</f>
        <v>-54.2274</v>
      </c>
      <c r="DH98" s="2" t="n">
        <f aca="false">CX78</f>
        <v>-68.7104</v>
      </c>
      <c r="DI98" s="2" t="n">
        <f aca="false">CX76</f>
        <v>-69.667</v>
      </c>
      <c r="DJ98" s="1" t="s">
        <v>172</v>
      </c>
      <c r="DK98" s="2" t="str">
        <f aca="false">DJ96</f>
        <v>LL</v>
      </c>
      <c r="DL98" s="2" t="str">
        <f aca="false">DJ94</f>
        <v>HL</v>
      </c>
      <c r="DM98" s="2" t="str">
        <f aca="false">DJ92</f>
        <v>HL</v>
      </c>
      <c r="DN98" s="2" t="str">
        <f aca="false">DJ90</f>
        <v>LL</v>
      </c>
      <c r="DO98" s="2" t="str">
        <f aca="false">DJ88</f>
        <v>HL</v>
      </c>
      <c r="DP98" s="2" t="str">
        <f aca="false">DJ86</f>
        <v>HL</v>
      </c>
      <c r="DQ98" s="2" t="str">
        <f aca="false">DJ84</f>
        <v>HL</v>
      </c>
      <c r="DR98" s="2" t="str">
        <f aca="false">DJ82</f>
        <v>HL</v>
      </c>
      <c r="DS98" s="2" t="str">
        <f aca="false">DJ80</f>
        <v>HL</v>
      </c>
      <c r="DT98" s="2" t="str">
        <f aca="false">DJ78</f>
        <v>HL</v>
      </c>
      <c r="DU98" s="2" t="str">
        <f aca="false">DJ76</f>
        <v>HL</v>
      </c>
      <c r="DV98" s="2" t="n">
        <f aca="false">IFERROR((G98-$F98)/$F98*100,"")</f>
        <v>0.673152684046444</v>
      </c>
      <c r="DW98" s="2" t="n">
        <f aca="false">IFERROR((H98-$F98)/$F98*100,"")</f>
        <v>0.694563392826548</v>
      </c>
      <c r="DX98" s="2" t="n">
        <f aca="false">IFERROR((I98-$F98)/$F98*100,"")</f>
        <v>0.562459319653308</v>
      </c>
      <c r="DY98" s="2" t="n">
        <f aca="false">IFERROR((J98-$F98)/$F98*100,"")</f>
        <v>0.161436744201979</v>
      </c>
      <c r="DZ98" s="2" t="n">
        <f aca="false">IFERROR((K98-$F98)/$F98*100,"")</f>
        <v>0.468894522284258</v>
      </c>
      <c r="EA98" s="2" t="n">
        <f aca="false">IFERROR((L98-$F98)/$F98*100,"")</f>
        <v>0.32180295296495</v>
      </c>
      <c r="EB98" s="2" t="n">
        <f aca="false">IFERROR((M98-$F98)/$F98*100,"")</f>
        <v>0.180492275016259</v>
      </c>
      <c r="EC98" s="2" t="n">
        <f aca="false">IFERROR((N98-$F98)/$F98*100,"")</f>
        <v>-0.210895481484027</v>
      </c>
      <c r="ED98" s="2" t="n">
        <f aca="false">IFERROR((O98-$F98)/$F98*100,"")</f>
        <v>-2.66028056592785</v>
      </c>
      <c r="EE98" s="2" t="n">
        <f aca="false">IFERROR((P98-$F98)/$F98*100,"")</f>
        <v>-2.79538213833032</v>
      </c>
      <c r="EF98" s="2" t="n">
        <f aca="false">IFERROR((Q98-$F98)/$F98*100,"")</f>
        <v>-3.05466582165736</v>
      </c>
      <c r="EG98" s="2" t="str">
        <f aca="false">IF(DV98="","",IF(AND(ABS(DV98)&lt;=0.25,$E98="Bottom",DK98="LL"),"EQL",IF(AND(ABS(DV98)&lt;=0.25,$E98="Peak",DK98="HH"),"EQH","")))</f>
        <v/>
      </c>
      <c r="EH98" s="2" t="str">
        <f aca="false">IF(DW98="","",IF(AND(ABS(DW98)&lt;=0.25,$E98="Bottom",DL98="LL"),"EQL",IF(AND(ABS(DW98)&lt;=0.25,$E98="Peak",DL98="HH"),"EQH","")))</f>
        <v/>
      </c>
      <c r="EI98" s="2" t="str">
        <f aca="false">IF(DX98="","",IF(AND(ABS(DX98)&lt;=0.25,$E98="Bottom",DM98="LL"),"EQL",IF(AND(ABS(DX98)&lt;=0.25,$E98="Peak",DM98="HH"),"EQH","")))</f>
        <v/>
      </c>
      <c r="EJ98" s="2" t="str">
        <f aca="false">IF(DY98="","",IF(AND(ABS(DY98)&lt;=0.25,$E98="Bottom",DN98="LL"),"EQL",IF(AND(ABS(DY98)&lt;=0.25,$E98="Peak",DN98="HH"),"EQH","")))</f>
        <v>EQL</v>
      </c>
      <c r="EK98" s="2" t="str">
        <f aca="false">IF(DZ98="","",IF(AND(ABS(DZ98)&lt;=0.25,$E98="Bottom",DO98="LL"),"EQL",IF(AND(ABS(DZ98)&lt;=0.25,$E98="Peak",DO98="HH"),"EQH","")))</f>
        <v/>
      </c>
      <c r="EL98" s="2" t="str">
        <f aca="false">IF(EA98="","",IF(AND(ABS(EA98)&lt;=0.25,$E98="Bottom",DP98="LL"),"EQL",IF(AND(ABS(EA98)&lt;=0.25,$E98="Peak",DP98="HH"),"EQH","")))</f>
        <v/>
      </c>
      <c r="EM98" s="2" t="str">
        <f aca="false">IF(EB98="","",IF(AND(ABS(EB98)&lt;=0.25,$E98="Bottom",DQ98="LL"),"EQL",IF(AND(ABS(EB98)&lt;=0.25,$E98="Peak",DQ98="HH"),"EQH","")))</f>
        <v/>
      </c>
      <c r="EN98" s="2" t="str">
        <f aca="false">IF(EC98="","",IF(AND(ABS(EC98)&lt;=0.25,$E98="Bottom",DR98="LL"),"EQL",IF(AND(ABS(EC98)&lt;=0.25,$E98="Peak",DR98="HH"),"EQH","")))</f>
        <v/>
      </c>
      <c r="EO98" s="2" t="str">
        <f aca="false">IF(ED98="","",IF(AND(ABS(ED98)&lt;=0.25,$E98="Bottom",DS98="LL"),"EQL",IF(AND(ABS(ED98)&lt;=0.25,$E98="Peak",DS98="HH"),"EQH","")))</f>
        <v/>
      </c>
      <c r="EP98" s="2" t="str">
        <f aca="false">IF(EE98="","",IF(AND(ABS(EE98)&lt;=0.25,$E98="Bottom",DT98="LL"),"EQL",IF(AND(ABS(EE98)&lt;=0.25,$E98="Peak",DT98="HH"),"EQH","")))</f>
        <v/>
      </c>
      <c r="EQ98" s="2" t="str">
        <f aca="false">IF(EF98="","",IF(AND(ABS(EF98)&lt;=0.25,$E98="Bottom",DU98="LL"),"EQL",IF(AND(ABS(EF98)&lt;=0.25,$E98="Peak",DU98="HH"),"EQH","")))</f>
        <v/>
      </c>
      <c r="ER98" s="2" t="str">
        <f aca="false">IF(OR(EG98="EQL",EG98="EQH"),G98,"")</f>
        <v/>
      </c>
      <c r="ES98" s="2" t="str">
        <f aca="false">IF(OR(EH98="EQL",EH98="EQH"),H98,"")</f>
        <v/>
      </c>
      <c r="ET98" s="2" t="str">
        <f aca="false">IF(OR(EI98="EQL",EI98="EQH"),I98,"")</f>
        <v/>
      </c>
      <c r="EU98" s="2" t="n">
        <f aca="false">IF(OR(EJ98="EQL",EJ98="EQH"),J98,"")</f>
        <v>4678.1</v>
      </c>
      <c r="EV98" s="2" t="str">
        <f aca="false">IF(OR(EK98="EQL",EK98="EQH"),K98,"")</f>
        <v/>
      </c>
      <c r="EW98" s="2" t="str">
        <f aca="false">IF(OR(EL98="EQL",EL98="EQH"),L98,"")</f>
        <v/>
      </c>
      <c r="EX98" s="2" t="str">
        <f aca="false">IF(OR(EM98="EQL",EM98="EQH"),M98,"")</f>
        <v/>
      </c>
      <c r="EY98" s="2" t="str">
        <f aca="false">IF(OR(EN98="EQL",EN98="EQH"),N98,"")</f>
        <v/>
      </c>
      <c r="EZ98" s="2" t="str">
        <f aca="false">IF(OR(EO98="EQL",EO98="EQH"),O98,"")</f>
        <v/>
      </c>
      <c r="FA98" s="2" t="str">
        <f aca="false">IF(OR(EP98="EQL",EP98="EQH"),P98,"")</f>
        <v/>
      </c>
      <c r="FB98" s="2" t="str">
        <f aca="false">IF(OR(EQ98="EQL",EQ98="EQH"),Q98,"")</f>
        <v/>
      </c>
      <c r="FC98" s="2" t="str">
        <f aca="false">IF(AND(EG98="EQL",OR(AQ98=4,AQ98=5)),"IEQL",IF(AND(EG98="EQH",OR(AQ98=1,AQ98=2)),"IEQH",""))</f>
        <v/>
      </c>
      <c r="FD98" s="2" t="str">
        <f aca="false">IF(AND(EH98="EQL",OR(AR98=4,AR98=5)),"IEQL",IF(AND(EH98="EQH",OR(AR98=1,AR98=2)),"IEQH",""))</f>
        <v/>
      </c>
      <c r="FE98" s="2" t="str">
        <f aca="false">IF(AND(EI98="EQL",OR(AS98=4,AS98=5)),"IEQL",IF(AND(EI98="EQH",OR(AS98=1,AS98=2)),"IEQH",""))</f>
        <v/>
      </c>
      <c r="FF98" s="2" t="str">
        <f aca="false">IF(AND(EJ98="EQL",OR(AT98=4,AT98=5)),"IEQL",IF(AND(EJ98="EQH",OR(AT98=1,AT98=2)),"IEQH",""))</f>
        <v/>
      </c>
      <c r="FG98" s="2" t="str">
        <f aca="false">IF(AND(EK98="EQL",OR(AU98=4,AU98=5)),"IEQL",IF(AND(EK98="EQH",OR(AU98=1,AU98=2)),"IEQH",""))</f>
        <v/>
      </c>
      <c r="FH98" s="2" t="str">
        <f aca="false">IF(AND(EL98="EQL",OR(AV98=4,AV98=5)),"IEQL",IF(AND(EL98="EQH",OR(AV98=1,AV98=2)),"IEQH",""))</f>
        <v/>
      </c>
      <c r="FI98" s="2" t="str">
        <f aca="false">IF(AND(EM98="EQL",OR(AW98=4,AW98=5)),"IEQL",IF(AND(EM98="EQH",OR(AW98=1,AW98=2)),"IEQH",""))</f>
        <v/>
      </c>
      <c r="FJ98" s="2" t="str">
        <f aca="false">IF(AND(EN98="EQL",OR(AX98=4,AX98=5)),"IEQL",IF(AND(EN98="EQH",OR(AX98=1,AX98=2)),"IEQH",""))</f>
        <v/>
      </c>
      <c r="FK98" s="2" t="str">
        <f aca="false">IF(AND(EO98="EQL",OR(AY98=4,AY98=5)),"IEQL",IF(AND(EO98="EQH",OR(AY98=1,AY98=2)),"IEQH",""))</f>
        <v/>
      </c>
      <c r="FL98" s="2" t="str">
        <f aca="false">IF(AND(EP98="EQL",OR(AZ98=4,AZ98=5)),"IEQL",IF(AND(EP98="EQH",OR(AZ98=1,AZ98=2)),"IEQH",""))</f>
        <v/>
      </c>
      <c r="FM98" s="2" t="str">
        <f aca="false">IF(AND(EQ98="EQL",OR(BA98=4,BA98=5)),"IEQL",IF(AND(EQ98="EQH",OR(BA98=1,BA98=2)),"IEQH",""))</f>
        <v/>
      </c>
    </row>
    <row r="99" customFormat="false" ht="14.25" hidden="false" customHeight="false" outlineLevel="0" collapsed="false">
      <c r="A99" s="1" t="n">
        <v>1778462102</v>
      </c>
      <c r="B99" s="1" t="s">
        <v>169</v>
      </c>
      <c r="C99" s="1" t="s">
        <v>170</v>
      </c>
      <c r="D99" s="1" t="n">
        <v>4699.01</v>
      </c>
      <c r="E99" s="1" t="s">
        <v>173</v>
      </c>
      <c r="F99" s="1" t="n">
        <v>4705.4</v>
      </c>
      <c r="G99" s="2" t="n">
        <f aca="false">F97</f>
        <v>4728.95</v>
      </c>
      <c r="H99" s="2" t="n">
        <f aca="false">F95</f>
        <v>4749.22</v>
      </c>
      <c r="I99" s="2" t="n">
        <f aca="false">F93</f>
        <v>4727.88</v>
      </c>
      <c r="J99" s="2" t="n">
        <f aca="false">F91</f>
        <v>4734.65</v>
      </c>
      <c r="K99" s="2" t="n">
        <f aca="false">F89</f>
        <v>4764.7</v>
      </c>
      <c r="L99" s="2" t="n">
        <f aca="false">F87</f>
        <v>4721.44</v>
      </c>
      <c r="M99" s="2" t="n">
        <f aca="false">F85</f>
        <v>4701.18</v>
      </c>
      <c r="N99" s="2" t="n">
        <f aca="false">F83</f>
        <v>4717.43</v>
      </c>
      <c r="O99" s="2" t="n">
        <f aca="false">F81</f>
        <v>4722.76</v>
      </c>
      <c r="P99" s="2" t="n">
        <f aca="false">F79</f>
        <v>4586.56</v>
      </c>
      <c r="Q99" s="2" t="n">
        <f aca="false">F77</f>
        <v>4560.53</v>
      </c>
      <c r="R99" s="1" t="n">
        <v>34.84</v>
      </c>
      <c r="S99" s="2" t="n">
        <f aca="false">R97</f>
        <v>26.95</v>
      </c>
      <c r="T99" s="2" t="n">
        <f aca="false">R95</f>
        <v>46.22</v>
      </c>
      <c r="U99" s="2" t="n">
        <f aca="false">R93</f>
        <v>31.05</v>
      </c>
      <c r="V99" s="2" t="n">
        <f aca="false">R91</f>
        <v>56.55</v>
      </c>
      <c r="W99" s="2" t="n">
        <f aca="false">R89</f>
        <v>72.24</v>
      </c>
      <c r="X99" s="2" t="n">
        <f aca="false">R87</f>
        <v>35.85</v>
      </c>
      <c r="Y99" s="2" t="n">
        <f aca="false">R85</f>
        <v>22.19</v>
      </c>
      <c r="Z99" s="2" t="n">
        <f aca="false">R83</f>
        <v>56.72</v>
      </c>
      <c r="AA99" s="2" t="n">
        <f aca="false">R81</f>
        <v>176.45</v>
      </c>
      <c r="AB99" s="2" t="n">
        <f aca="false">R79</f>
        <v>46.56</v>
      </c>
      <c r="AC99" s="2" t="n">
        <f aca="false">R77</f>
        <v>32.64</v>
      </c>
      <c r="AD99" s="1" t="n">
        <v>0.75</v>
      </c>
      <c r="AE99" s="2" t="n">
        <f aca="false">AD97</f>
        <v>0.57</v>
      </c>
      <c r="AF99" s="2" t="n">
        <f aca="false">AD95</f>
        <v>0.98</v>
      </c>
      <c r="AG99" s="2" t="n">
        <f aca="false">AD93</f>
        <v>0.66</v>
      </c>
      <c r="AH99" s="2" t="n">
        <f aca="false">AD91</f>
        <v>1.21</v>
      </c>
      <c r="AI99" s="2" t="n">
        <f aca="false">AD89</f>
        <v>1.54</v>
      </c>
      <c r="AJ99" s="2" t="n">
        <f aca="false">AD87</f>
        <v>0.77</v>
      </c>
      <c r="AK99" s="2" t="n">
        <f aca="false">AD85</f>
        <v>0.47</v>
      </c>
      <c r="AL99" s="2" t="n">
        <f aca="false">AD83</f>
        <v>1.22</v>
      </c>
      <c r="AM99" s="2" t="n">
        <f aca="false">AD81</f>
        <v>3.88</v>
      </c>
      <c r="AN99" s="2" t="n">
        <f aca="false">AD79</f>
        <v>1.03</v>
      </c>
      <c r="AO99" s="2" t="n">
        <f aca="false">AD77</f>
        <v>0.72</v>
      </c>
      <c r="AP99" s="1" t="n">
        <v>0</v>
      </c>
      <c r="AQ99" s="2" t="n">
        <f aca="false">AP97</f>
        <v>0</v>
      </c>
      <c r="AR99" s="2" t="n">
        <f aca="false">AP95</f>
        <v>0</v>
      </c>
      <c r="AS99" s="2" t="n">
        <f aca="false">AP93</f>
        <v>0</v>
      </c>
      <c r="AT99" s="2" t="n">
        <f aca="false">AP91</f>
        <v>0</v>
      </c>
      <c r="AU99" s="2" t="n">
        <f aca="false">AP89</f>
        <v>0</v>
      </c>
      <c r="AV99" s="2" t="n">
        <f aca="false">AP87</f>
        <v>0</v>
      </c>
      <c r="AW99" s="2" t="n">
        <f aca="false">AP85</f>
        <v>0</v>
      </c>
      <c r="AX99" s="2" t="n">
        <f aca="false">AP83</f>
        <v>0</v>
      </c>
      <c r="AY99" s="2" t="n">
        <f aca="false">AP81</f>
        <v>2</v>
      </c>
      <c r="AZ99" s="2" t="n">
        <f aca="false">AP79</f>
        <v>0</v>
      </c>
      <c r="BA99" s="2" t="n">
        <f aca="false">AP77</f>
        <v>0</v>
      </c>
      <c r="BB99" s="1" t="n">
        <v>2</v>
      </c>
      <c r="BC99" s="2" t="n">
        <f aca="false">BB97</f>
        <v>10</v>
      </c>
      <c r="BD99" s="2" t="n">
        <f aca="false">BB95</f>
        <v>7</v>
      </c>
      <c r="BE99" s="2" t="n">
        <f aca="false">BB93</f>
        <v>13</v>
      </c>
      <c r="BF99" s="2" t="n">
        <f aca="false">BB91</f>
        <v>33</v>
      </c>
      <c r="BG99" s="2" t="n">
        <f aca="false">BB89</f>
        <v>42</v>
      </c>
      <c r="BH99" s="2" t="n">
        <f aca="false">BB87</f>
        <v>4</v>
      </c>
      <c r="BI99" s="2" t="n">
        <f aca="false">BB85</f>
        <v>23</v>
      </c>
      <c r="BJ99" s="2" t="n">
        <f aca="false">BB83</f>
        <v>8</v>
      </c>
      <c r="BK99" s="2" t="n">
        <f aca="false">BB81</f>
        <v>49</v>
      </c>
      <c r="BL99" s="2" t="n">
        <f aca="false">BB79</f>
        <v>13</v>
      </c>
      <c r="BM99" s="2" t="n">
        <f aca="false">BB77</f>
        <v>18</v>
      </c>
      <c r="BN99" s="1" t="n">
        <v>0</v>
      </c>
      <c r="BO99" s="2" t="n">
        <f aca="false">BN97</f>
        <v>0</v>
      </c>
      <c r="BP99" s="2" t="n">
        <f aca="false">BN95</f>
        <v>0</v>
      </c>
      <c r="BQ99" s="2" t="n">
        <f aca="false">BN93</f>
        <v>0</v>
      </c>
      <c r="BR99" s="2" t="n">
        <f aca="false">BN91</f>
        <v>0</v>
      </c>
      <c r="BS99" s="2" t="n">
        <f aca="false">BN89</f>
        <v>2</v>
      </c>
      <c r="BT99" s="2" t="n">
        <f aca="false">BN87</f>
        <v>0</v>
      </c>
      <c r="BU99" s="2" t="n">
        <f aca="false">BN85</f>
        <v>0</v>
      </c>
      <c r="BV99" s="2" t="n">
        <f aca="false">BN83</f>
        <v>0</v>
      </c>
      <c r="BW99" s="2" t="n">
        <f aca="false">BN81</f>
        <v>2</v>
      </c>
      <c r="BX99" s="2" t="n">
        <f aca="false">BN79</f>
        <v>0</v>
      </c>
      <c r="BY99" s="2" t="n">
        <f aca="false">BN77</f>
        <v>0</v>
      </c>
      <c r="BZ99" s="1" t="n">
        <v>17.42</v>
      </c>
      <c r="CA99" s="2" t="n">
        <f aca="false">BZ97</f>
        <v>2.695</v>
      </c>
      <c r="CB99" s="2" t="n">
        <f aca="false">BZ95</f>
        <v>6.60286</v>
      </c>
      <c r="CC99" s="2" t="n">
        <f aca="false">BZ93</f>
        <v>2.38846</v>
      </c>
      <c r="CD99" s="2" t="n">
        <f aca="false">BZ91</f>
        <v>1.71364</v>
      </c>
      <c r="CE99" s="2" t="n">
        <f aca="false">BZ89</f>
        <v>1.72</v>
      </c>
      <c r="CF99" s="2" t="n">
        <f aca="false">BZ87</f>
        <v>8.9625</v>
      </c>
      <c r="CG99" s="2" t="n">
        <f aca="false">BZ85</f>
        <v>0.96478</v>
      </c>
      <c r="CH99" s="2" t="n">
        <f aca="false">BZ83</f>
        <v>7.09</v>
      </c>
      <c r="CI99" s="2" t="n">
        <f aca="false">BZ81</f>
        <v>3.60102</v>
      </c>
      <c r="CJ99" s="2" t="n">
        <f aca="false">BZ79</f>
        <v>3.58154</v>
      </c>
      <c r="CK99" s="2" t="n">
        <f aca="false">BZ77</f>
        <v>1.81333</v>
      </c>
      <c r="CL99" s="1" t="n">
        <v>2</v>
      </c>
      <c r="CM99" s="2" t="n">
        <f aca="false">CL97</f>
        <v>0</v>
      </c>
      <c r="CN99" s="2" t="n">
        <f aca="false">CL95</f>
        <v>0</v>
      </c>
      <c r="CO99" s="2" t="n">
        <f aca="false">CL93</f>
        <v>0</v>
      </c>
      <c r="CP99" s="2" t="n">
        <f aca="false">CL91</f>
        <v>0</v>
      </c>
      <c r="CQ99" s="2" t="n">
        <f aca="false">CL89</f>
        <v>0</v>
      </c>
      <c r="CR99" s="2" t="n">
        <f aca="false">CL87</f>
        <v>0</v>
      </c>
      <c r="CS99" s="2" t="n">
        <f aca="false">CL85</f>
        <v>0</v>
      </c>
      <c r="CT99" s="2" t="n">
        <f aca="false">CL83</f>
        <v>0</v>
      </c>
      <c r="CU99" s="2" t="n">
        <f aca="false">CL81</f>
        <v>0</v>
      </c>
      <c r="CV99" s="2" t="n">
        <f aca="false">CL79</f>
        <v>0</v>
      </c>
      <c r="CW99" s="2" t="n">
        <f aca="false">CL77</f>
        <v>0</v>
      </c>
      <c r="CX99" s="1" t="n">
        <v>86.7145</v>
      </c>
      <c r="CY99" s="2" t="n">
        <f aca="false">CX97</f>
        <v>69.6422</v>
      </c>
      <c r="CZ99" s="2" t="n">
        <f aca="false">CX95</f>
        <v>81.388</v>
      </c>
      <c r="DA99" s="2" t="n">
        <f aca="false">CX93</f>
        <v>67.2819</v>
      </c>
      <c r="DB99" s="2" t="n">
        <f aca="false">CX91</f>
        <v>59.7341</v>
      </c>
      <c r="DC99" s="2" t="n">
        <f aca="false">CX89</f>
        <v>59.8265</v>
      </c>
      <c r="DD99" s="2" t="n">
        <f aca="false">CX87</f>
        <v>83.6335</v>
      </c>
      <c r="DE99" s="2" t="n">
        <f aca="false">CX85</f>
        <v>43.9731</v>
      </c>
      <c r="DF99" s="2" t="n">
        <f aca="false">CX83</f>
        <v>81.9717</v>
      </c>
      <c r="DG99" s="2" t="n">
        <f aca="false">CX81</f>
        <v>74.4801</v>
      </c>
      <c r="DH99" s="2" t="n">
        <f aca="false">CX79</f>
        <v>74.3998</v>
      </c>
      <c r="DI99" s="2" t="n">
        <f aca="false">CX77</f>
        <v>61.1246</v>
      </c>
      <c r="DJ99" s="1" t="s">
        <v>174</v>
      </c>
      <c r="DK99" s="2" t="str">
        <f aca="false">DJ97</f>
        <v>LH</v>
      </c>
      <c r="DL99" s="2" t="str">
        <f aca="false">DJ95</f>
        <v>HH</v>
      </c>
      <c r="DM99" s="2" t="str">
        <f aca="false">DJ93</f>
        <v>LH</v>
      </c>
      <c r="DN99" s="2" t="str">
        <f aca="false">DJ91</f>
        <v>LH</v>
      </c>
      <c r="DO99" s="2" t="str">
        <f aca="false">DJ89</f>
        <v>HH</v>
      </c>
      <c r="DP99" s="2" t="str">
        <f aca="false">DJ87</f>
        <v>HH</v>
      </c>
      <c r="DQ99" s="2" t="str">
        <f aca="false">DJ85</f>
        <v>LH</v>
      </c>
      <c r="DR99" s="2" t="str">
        <f aca="false">DJ83</f>
        <v>LH</v>
      </c>
      <c r="DS99" s="2" t="str">
        <f aca="false">DJ81</f>
        <v>HH</v>
      </c>
      <c r="DT99" s="2" t="str">
        <f aca="false">DJ79</f>
        <v>HH</v>
      </c>
      <c r="DU99" s="2" t="str">
        <f aca="false">DJ77</f>
        <v>HH</v>
      </c>
      <c r="DV99" s="2" t="n">
        <f aca="false">IFERROR((G99-$F99)/$F99*100,"")</f>
        <v>0.500488800102014</v>
      </c>
      <c r="DW99" s="2" t="n">
        <f aca="false">IFERROR((H99-$F99)/$F99*100,"")</f>
        <v>0.931270455221673</v>
      </c>
      <c r="DX99" s="2" t="n">
        <f aca="false">IFERROR((I99-$F99)/$F99*100,"")</f>
        <v>0.47774896926936</v>
      </c>
      <c r="DY99" s="2" t="n">
        <f aca="false">IFERROR((J99-$F99)/$F99*100,"")</f>
        <v>0.621626216687211</v>
      </c>
      <c r="DZ99" s="2" t="n">
        <f aca="false">IFERROR((K99-$F99)/$F99*100,"")</f>
        <v>1.26025417605305</v>
      </c>
      <c r="EA99" s="2" t="n">
        <f aca="false">IFERROR((L99-$F99)/$F99*100,"")</f>
        <v>0.340884940706422</v>
      </c>
      <c r="EB99" s="2" t="n">
        <f aca="false">IFERROR((M99-$F99)/$F99*100,"")</f>
        <v>-0.0896841926297306</v>
      </c>
      <c r="EC99" s="2" t="n">
        <f aca="false">IFERROR((N99-$F99)/$F99*100,"")</f>
        <v>0.255663705529831</v>
      </c>
      <c r="ED99" s="2" t="n">
        <f aca="false">IFERROR((O99-$F99)/$F99*100,"")</f>
        <v>0.368937816126165</v>
      </c>
      <c r="EE99" s="2" t="n">
        <f aca="false">IFERROR((P99-$F99)/$F99*100,"")</f>
        <v>-2.52560887490966</v>
      </c>
      <c r="EF99" s="2" t="n">
        <f aca="false">IFERROR((Q99-$F99)/$F99*100,"")</f>
        <v>-3.07880307731542</v>
      </c>
      <c r="EG99" s="2" t="str">
        <f aca="false">IF(DV99="","",IF(AND(ABS(DV99)&lt;=0.25,$E99="Bottom",DK99="LL"),"EQL",IF(AND(ABS(DV99)&lt;=0.25,$E99="Peak",DK99="HH"),"EQH","")))</f>
        <v/>
      </c>
      <c r="EH99" s="2" t="str">
        <f aca="false">IF(DW99="","",IF(AND(ABS(DW99)&lt;=0.25,$E99="Bottom",DL99="LL"),"EQL",IF(AND(ABS(DW99)&lt;=0.25,$E99="Peak",DL99="HH"),"EQH","")))</f>
        <v/>
      </c>
      <c r="EI99" s="2" t="str">
        <f aca="false">IF(DX99="","",IF(AND(ABS(DX99)&lt;=0.25,$E99="Bottom",DM99="LL"),"EQL",IF(AND(ABS(DX99)&lt;=0.25,$E99="Peak",DM99="HH"),"EQH","")))</f>
        <v/>
      </c>
      <c r="EJ99" s="2" t="str">
        <f aca="false">IF(DY99="","",IF(AND(ABS(DY99)&lt;=0.25,$E99="Bottom",DN99="LL"),"EQL",IF(AND(ABS(DY99)&lt;=0.25,$E99="Peak",DN99="HH"),"EQH","")))</f>
        <v/>
      </c>
      <c r="EK99" s="2" t="str">
        <f aca="false">IF(DZ99="","",IF(AND(ABS(DZ99)&lt;=0.25,$E99="Bottom",DO99="LL"),"EQL",IF(AND(ABS(DZ99)&lt;=0.25,$E99="Peak",DO99="HH"),"EQH","")))</f>
        <v/>
      </c>
      <c r="EL99" s="2" t="str">
        <f aca="false">IF(EA99="","",IF(AND(ABS(EA99)&lt;=0.25,$E99="Bottom",DP99="LL"),"EQL",IF(AND(ABS(EA99)&lt;=0.25,$E99="Peak",DP99="HH"),"EQH","")))</f>
        <v/>
      </c>
      <c r="EM99" s="2" t="str">
        <f aca="false">IF(EB99="","",IF(AND(ABS(EB99)&lt;=0.25,$E99="Bottom",DQ99="LL"),"EQL",IF(AND(ABS(EB99)&lt;=0.25,$E99="Peak",DQ99="HH"),"EQH","")))</f>
        <v/>
      </c>
      <c r="EN99" s="2" t="str">
        <f aca="false">IF(EC99="","",IF(AND(ABS(EC99)&lt;=0.25,$E99="Bottom",DR99="LL"),"EQL",IF(AND(ABS(EC99)&lt;=0.25,$E99="Peak",DR99="HH"),"EQH","")))</f>
        <v/>
      </c>
      <c r="EO99" s="2" t="str">
        <f aca="false">IF(ED99="","",IF(AND(ABS(ED99)&lt;=0.25,$E99="Bottom",DS99="LL"),"EQL",IF(AND(ABS(ED99)&lt;=0.25,$E99="Peak",DS99="HH"),"EQH","")))</f>
        <v/>
      </c>
      <c r="EP99" s="2" t="str">
        <f aca="false">IF(EE99="","",IF(AND(ABS(EE99)&lt;=0.25,$E99="Bottom",DT99="LL"),"EQL",IF(AND(ABS(EE99)&lt;=0.25,$E99="Peak",DT99="HH"),"EQH","")))</f>
        <v/>
      </c>
      <c r="EQ99" s="2" t="str">
        <f aca="false">IF(EF99="","",IF(AND(ABS(EF99)&lt;=0.25,$E99="Bottom",DU99="LL"),"EQL",IF(AND(ABS(EF99)&lt;=0.25,$E99="Peak",DU99="HH"),"EQH","")))</f>
        <v/>
      </c>
      <c r="ER99" s="2" t="str">
        <f aca="false">IF(OR(EG99="EQL",EG99="EQH"),G99,"")</f>
        <v/>
      </c>
      <c r="ES99" s="2" t="str">
        <f aca="false">IF(OR(EH99="EQL",EH99="EQH"),H99,"")</f>
        <v/>
      </c>
      <c r="ET99" s="2" t="str">
        <f aca="false">IF(OR(EI99="EQL",EI99="EQH"),I99,"")</f>
        <v/>
      </c>
      <c r="EU99" s="2" t="str">
        <f aca="false">IF(OR(EJ99="EQL",EJ99="EQH"),J99,"")</f>
        <v/>
      </c>
      <c r="EV99" s="2" t="str">
        <f aca="false">IF(OR(EK99="EQL",EK99="EQH"),K99,"")</f>
        <v/>
      </c>
      <c r="EW99" s="2" t="str">
        <f aca="false">IF(OR(EL99="EQL",EL99="EQH"),L99,"")</f>
        <v/>
      </c>
      <c r="EX99" s="2" t="str">
        <f aca="false">IF(OR(EM99="EQL",EM99="EQH"),M99,"")</f>
        <v/>
      </c>
      <c r="EY99" s="2" t="str">
        <f aca="false">IF(OR(EN99="EQL",EN99="EQH"),N99,"")</f>
        <v/>
      </c>
      <c r="EZ99" s="2" t="str">
        <f aca="false">IF(OR(EO99="EQL",EO99="EQH"),O99,"")</f>
        <v/>
      </c>
      <c r="FA99" s="2" t="str">
        <f aca="false">IF(OR(EP99="EQL",EP99="EQH"),P99,"")</f>
        <v/>
      </c>
      <c r="FB99" s="2" t="str">
        <f aca="false">IF(OR(EQ99="EQL",EQ99="EQH"),Q99,"")</f>
        <v/>
      </c>
      <c r="FC99" s="2" t="str">
        <f aca="false">IF(AND(EG99="EQL",OR(AQ99=4,AQ99=5)),"IEQL",IF(AND(EG99="EQH",OR(AQ99=1,AQ99=2)),"IEQH",""))</f>
        <v/>
      </c>
      <c r="FD99" s="2" t="str">
        <f aca="false">IF(AND(EH99="EQL",OR(AR99=4,AR99=5)),"IEQL",IF(AND(EH99="EQH",OR(AR99=1,AR99=2)),"IEQH",""))</f>
        <v/>
      </c>
      <c r="FE99" s="2" t="str">
        <f aca="false">IF(AND(EI99="EQL",OR(AS99=4,AS99=5)),"IEQL",IF(AND(EI99="EQH",OR(AS99=1,AS99=2)),"IEQH",""))</f>
        <v/>
      </c>
      <c r="FF99" s="2" t="str">
        <f aca="false">IF(AND(EJ99="EQL",OR(AT99=4,AT99=5)),"IEQL",IF(AND(EJ99="EQH",OR(AT99=1,AT99=2)),"IEQH",""))</f>
        <v/>
      </c>
      <c r="FG99" s="2" t="str">
        <f aca="false">IF(AND(EK99="EQL",OR(AU99=4,AU99=5)),"IEQL",IF(AND(EK99="EQH",OR(AU99=1,AU99=2)),"IEQH",""))</f>
        <v/>
      </c>
      <c r="FH99" s="2" t="str">
        <f aca="false">IF(AND(EL99="EQL",OR(AV99=4,AV99=5)),"IEQL",IF(AND(EL99="EQH",OR(AV99=1,AV99=2)),"IEQH",""))</f>
        <v/>
      </c>
      <c r="FI99" s="2" t="str">
        <f aca="false">IF(AND(EM99="EQL",OR(AW99=4,AW99=5)),"IEQL",IF(AND(EM99="EQH",OR(AW99=1,AW99=2)),"IEQH",""))</f>
        <v/>
      </c>
      <c r="FJ99" s="2" t="str">
        <f aca="false">IF(AND(EN99="EQL",OR(AX99=4,AX99=5)),"IEQL",IF(AND(EN99="EQH",OR(AX99=1,AX99=2)),"IEQH",""))</f>
        <v/>
      </c>
      <c r="FK99" s="2" t="str">
        <f aca="false">IF(AND(EO99="EQL",OR(AY99=4,AY99=5)),"IEQL",IF(AND(EO99="EQH",OR(AY99=1,AY99=2)),"IEQH",""))</f>
        <v/>
      </c>
      <c r="FL99" s="2" t="str">
        <f aca="false">IF(AND(EP99="EQL",OR(AZ99=4,AZ99=5)),"IEQL",IF(AND(EP99="EQH",OR(AZ99=1,AZ99=2)),"IEQH",""))</f>
        <v/>
      </c>
      <c r="FM99" s="2" t="str">
        <f aca="false">IF(AND(EQ99="EQL",OR(BA99=4,BA99=5)),"IEQL",IF(AND(EQ99="EQH",OR(BA99=1,BA99=2)),"IEQH",""))</f>
        <v/>
      </c>
    </row>
    <row r="100" customFormat="false" ht="14.25" hidden="false" customHeight="false" outlineLevel="0" collapsed="false">
      <c r="A100" s="1" t="n">
        <v>1778478302</v>
      </c>
      <c r="B100" s="1" t="s">
        <v>169</v>
      </c>
      <c r="C100" s="1" t="s">
        <v>170</v>
      </c>
      <c r="D100" s="1" t="n">
        <v>4652.3</v>
      </c>
      <c r="E100" s="1" t="s">
        <v>171</v>
      </c>
      <c r="F100" s="1" t="n">
        <v>4647.85</v>
      </c>
      <c r="G100" s="2" t="n">
        <f aca="false">F98</f>
        <v>4670.56</v>
      </c>
      <c r="H100" s="2" t="n">
        <f aca="false">F96</f>
        <v>4702</v>
      </c>
      <c r="I100" s="2" t="n">
        <f aca="false">F94</f>
        <v>4703</v>
      </c>
      <c r="J100" s="2" t="n">
        <f aca="false">F92</f>
        <v>4696.83</v>
      </c>
      <c r="K100" s="2" t="n">
        <f aca="false">F90</f>
        <v>4678.1</v>
      </c>
      <c r="L100" s="2" t="n">
        <f aca="false">F88</f>
        <v>4692.46</v>
      </c>
      <c r="M100" s="2" t="n">
        <f aca="false">F86</f>
        <v>4685.59</v>
      </c>
      <c r="N100" s="2" t="n">
        <f aca="false">F84</f>
        <v>4678.99</v>
      </c>
      <c r="O100" s="2" t="n">
        <f aca="false">F82</f>
        <v>4660.71</v>
      </c>
      <c r="P100" s="2" t="n">
        <f aca="false">F80</f>
        <v>4546.31</v>
      </c>
      <c r="Q100" s="2" t="n">
        <f aca="false">F78</f>
        <v>4540</v>
      </c>
      <c r="R100" s="1" t="n">
        <v>-57.55</v>
      </c>
      <c r="S100" s="2" t="n">
        <f aca="false">R98</f>
        <v>-58.39</v>
      </c>
      <c r="T100" s="2" t="n">
        <f aca="false">R96</f>
        <v>-47.22</v>
      </c>
      <c r="U100" s="2" t="n">
        <f aca="false">R94</f>
        <v>-24.88</v>
      </c>
      <c r="V100" s="2" t="n">
        <f aca="false">R92</f>
        <v>-37.82</v>
      </c>
      <c r="W100" s="2" t="n">
        <f aca="false">R90</f>
        <v>-86.6</v>
      </c>
      <c r="X100" s="2" t="n">
        <f aca="false">R88</f>
        <v>-28.98</v>
      </c>
      <c r="Y100" s="2" t="n">
        <f aca="false">R86</f>
        <v>-15.59</v>
      </c>
      <c r="Z100" s="2" t="n">
        <f aca="false">R84</f>
        <v>-38.44</v>
      </c>
      <c r="AA100" s="2" t="n">
        <f aca="false">R82</f>
        <v>-62.05</v>
      </c>
      <c r="AB100" s="2" t="n">
        <f aca="false">R80</f>
        <v>-40.25</v>
      </c>
      <c r="AC100" s="2" t="n">
        <f aca="false">R78</f>
        <v>-20.53</v>
      </c>
      <c r="AD100" s="1" t="n">
        <v>-1.22</v>
      </c>
      <c r="AE100" s="2" t="n">
        <f aca="false">AD98</f>
        <v>-1.23</v>
      </c>
      <c r="AF100" s="2" t="n">
        <f aca="false">AD96</f>
        <v>-0.99</v>
      </c>
      <c r="AG100" s="2" t="n">
        <f aca="false">AD94</f>
        <v>-0.53</v>
      </c>
      <c r="AH100" s="2" t="n">
        <f aca="false">AD92</f>
        <v>-0.8</v>
      </c>
      <c r="AI100" s="2" t="n">
        <f aca="false">AD90</f>
        <v>-1.82</v>
      </c>
      <c r="AJ100" s="2" t="n">
        <f aca="false">AD88</f>
        <v>-0.61</v>
      </c>
      <c r="AK100" s="2" t="n">
        <f aca="false">AD86</f>
        <v>-0.33</v>
      </c>
      <c r="AL100" s="2" t="n">
        <f aca="false">AD84</f>
        <v>-0.81</v>
      </c>
      <c r="AM100" s="2" t="n">
        <f aca="false">AD82</f>
        <v>-1.31</v>
      </c>
      <c r="AN100" s="2" t="n">
        <f aca="false">AD80</f>
        <v>-0.88</v>
      </c>
      <c r="AO100" s="2" t="n">
        <f aca="false">AD78</f>
        <v>-0.45</v>
      </c>
      <c r="AP100" s="1" t="n">
        <v>3</v>
      </c>
      <c r="AQ100" s="2" t="n">
        <f aca="false">AP98</f>
        <v>3</v>
      </c>
      <c r="AR100" s="2" t="n">
        <f aca="false">AP96</f>
        <v>3</v>
      </c>
      <c r="AS100" s="2" t="n">
        <f aca="false">AP94</f>
        <v>3</v>
      </c>
      <c r="AT100" s="2" t="n">
        <f aca="false">AP92</f>
        <v>3</v>
      </c>
      <c r="AU100" s="2" t="n">
        <f aca="false">AP90</f>
        <v>3</v>
      </c>
      <c r="AV100" s="2" t="n">
        <f aca="false">AP88</f>
        <v>3</v>
      </c>
      <c r="AW100" s="2" t="n">
        <f aca="false">AP86</f>
        <v>3</v>
      </c>
      <c r="AX100" s="2" t="n">
        <f aca="false">AP84</f>
        <v>3</v>
      </c>
      <c r="AY100" s="2" t="n">
        <f aca="false">AP82</f>
        <v>3</v>
      </c>
      <c r="AZ100" s="2" t="n">
        <f aca="false">AP80</f>
        <v>3</v>
      </c>
      <c r="BA100" s="2" t="n">
        <f aca="false">AP78</f>
        <v>3</v>
      </c>
      <c r="BB100" s="1" t="n">
        <v>18</v>
      </c>
      <c r="BC100" s="2" t="n">
        <f aca="false">BB98</f>
        <v>22</v>
      </c>
      <c r="BD100" s="2" t="n">
        <f aca="false">BB96</f>
        <v>7</v>
      </c>
      <c r="BE100" s="2" t="n">
        <f aca="false">BB94</f>
        <v>7</v>
      </c>
      <c r="BF100" s="2" t="n">
        <f aca="false">BB92</f>
        <v>4</v>
      </c>
      <c r="BG100" s="2" t="n">
        <f aca="false">BB90</f>
        <v>24</v>
      </c>
      <c r="BH100" s="2" t="n">
        <f aca="false">BB88</f>
        <v>11</v>
      </c>
      <c r="BI100" s="2" t="n">
        <f aca="false">BB86</f>
        <v>2</v>
      </c>
      <c r="BJ100" s="2" t="n">
        <f aca="false">BB84</f>
        <v>13</v>
      </c>
      <c r="BK100" s="2" t="n">
        <f aca="false">BB82</f>
        <v>6</v>
      </c>
      <c r="BL100" s="2" t="n">
        <f aca="false">BB80</f>
        <v>29</v>
      </c>
      <c r="BM100" s="2" t="n">
        <f aca="false">BB78</f>
        <v>8</v>
      </c>
      <c r="BN100" s="1" t="n">
        <v>3</v>
      </c>
      <c r="BO100" s="2" t="n">
        <f aca="false">BN98</f>
        <v>3</v>
      </c>
      <c r="BP100" s="2" t="n">
        <f aca="false">BN96</f>
        <v>3</v>
      </c>
      <c r="BQ100" s="2" t="n">
        <f aca="false">BN94</f>
        <v>3</v>
      </c>
      <c r="BR100" s="2" t="n">
        <f aca="false">BN92</f>
        <v>3</v>
      </c>
      <c r="BS100" s="2" t="n">
        <f aca="false">BN90</f>
        <v>3</v>
      </c>
      <c r="BT100" s="2" t="n">
        <f aca="false">BN88</f>
        <v>3</v>
      </c>
      <c r="BU100" s="2" t="n">
        <f aca="false">BN86</f>
        <v>3</v>
      </c>
      <c r="BV100" s="2" t="n">
        <f aca="false">BN84</f>
        <v>3</v>
      </c>
      <c r="BW100" s="2" t="n">
        <f aca="false">BN82</f>
        <v>3</v>
      </c>
      <c r="BX100" s="2" t="n">
        <f aca="false">BN80</f>
        <v>3</v>
      </c>
      <c r="BY100" s="2" t="n">
        <f aca="false">BN78</f>
        <v>3</v>
      </c>
      <c r="BZ100" s="1" t="n">
        <v>-3.19722</v>
      </c>
      <c r="CA100" s="2" t="n">
        <f aca="false">BZ98</f>
        <v>-2.65409</v>
      </c>
      <c r="CB100" s="2" t="n">
        <f aca="false">BZ96</f>
        <v>-6.74571</v>
      </c>
      <c r="CC100" s="2" t="n">
        <f aca="false">BZ94</f>
        <v>-3.55429</v>
      </c>
      <c r="CD100" s="2" t="n">
        <f aca="false">BZ92</f>
        <v>-9.455</v>
      </c>
      <c r="CE100" s="2" t="n">
        <f aca="false">BZ90</f>
        <v>-3.60833</v>
      </c>
      <c r="CF100" s="2" t="n">
        <f aca="false">BZ88</f>
        <v>-2.63455</v>
      </c>
      <c r="CG100" s="2" t="n">
        <f aca="false">BZ86</f>
        <v>-7.795</v>
      </c>
      <c r="CH100" s="2" t="n">
        <f aca="false">BZ84</f>
        <v>-2.95692</v>
      </c>
      <c r="CI100" s="2" t="n">
        <f aca="false">BZ82</f>
        <v>-10.34167</v>
      </c>
      <c r="CJ100" s="2" t="n">
        <f aca="false">BZ80</f>
        <v>-1.38793</v>
      </c>
      <c r="CK100" s="2" t="n">
        <f aca="false">BZ78</f>
        <v>-2.56625</v>
      </c>
      <c r="CL100" s="1" t="n">
        <v>3</v>
      </c>
      <c r="CM100" s="2" t="n">
        <f aca="false">CL98</f>
        <v>3</v>
      </c>
      <c r="CN100" s="2" t="n">
        <f aca="false">CL96</f>
        <v>3</v>
      </c>
      <c r="CO100" s="2" t="n">
        <f aca="false">CL94</f>
        <v>3</v>
      </c>
      <c r="CP100" s="2" t="n">
        <f aca="false">CL92</f>
        <v>4</v>
      </c>
      <c r="CQ100" s="2" t="n">
        <f aca="false">CL90</f>
        <v>3</v>
      </c>
      <c r="CR100" s="2" t="n">
        <f aca="false">CL88</f>
        <v>3</v>
      </c>
      <c r="CS100" s="2" t="n">
        <f aca="false">CL86</f>
        <v>3</v>
      </c>
      <c r="CT100" s="2" t="n">
        <f aca="false">CL84</f>
        <v>3</v>
      </c>
      <c r="CU100" s="2" t="n">
        <f aca="false">CL82</f>
        <v>5</v>
      </c>
      <c r="CV100" s="2" t="n">
        <f aca="false">CL80</f>
        <v>3</v>
      </c>
      <c r="CW100" s="2" t="n">
        <f aca="false">CL78</f>
        <v>3</v>
      </c>
      <c r="CX100" s="1" t="n">
        <v>-72.6318</v>
      </c>
      <c r="CY100" s="2" t="n">
        <f aca="false">CX98</f>
        <v>-69.3548</v>
      </c>
      <c r="CZ100" s="2" t="n">
        <f aca="false">CX96</f>
        <v>-81.5678</v>
      </c>
      <c r="DA100" s="2" t="n">
        <f aca="false">CX94</f>
        <v>-74.286</v>
      </c>
      <c r="DB100" s="2" t="n">
        <f aca="false">CX92</f>
        <v>-83.9626</v>
      </c>
      <c r="DC100" s="2" t="n">
        <f aca="false">CX90</f>
        <v>-74.51</v>
      </c>
      <c r="DD100" s="2" t="n">
        <f aca="false">CX88</f>
        <v>-69.2146</v>
      </c>
      <c r="DE100" s="2" t="n">
        <f aca="false">CX86</f>
        <v>-82.6896</v>
      </c>
      <c r="DF100" s="2" t="n">
        <f aca="false">CX84</f>
        <v>-71.315</v>
      </c>
      <c r="DG100" s="2" t="n">
        <f aca="false">CX82</f>
        <v>-84.4769</v>
      </c>
      <c r="DH100" s="2" t="n">
        <f aca="false">CX80</f>
        <v>-54.2274</v>
      </c>
      <c r="DI100" s="2" t="n">
        <f aca="false">CX78</f>
        <v>-68.7104</v>
      </c>
      <c r="DJ100" s="1" t="s">
        <v>172</v>
      </c>
      <c r="DK100" s="2" t="str">
        <f aca="false">DJ98</f>
        <v>LL</v>
      </c>
      <c r="DL100" s="2" t="str">
        <f aca="false">DJ96</f>
        <v>LL</v>
      </c>
      <c r="DM100" s="2" t="str">
        <f aca="false">DJ94</f>
        <v>HL</v>
      </c>
      <c r="DN100" s="2" t="str">
        <f aca="false">DJ92</f>
        <v>HL</v>
      </c>
      <c r="DO100" s="2" t="str">
        <f aca="false">DJ90</f>
        <v>LL</v>
      </c>
      <c r="DP100" s="2" t="str">
        <f aca="false">DJ88</f>
        <v>HL</v>
      </c>
      <c r="DQ100" s="2" t="str">
        <f aca="false">DJ86</f>
        <v>HL</v>
      </c>
      <c r="DR100" s="2" t="str">
        <f aca="false">DJ84</f>
        <v>HL</v>
      </c>
      <c r="DS100" s="2" t="str">
        <f aca="false">DJ82</f>
        <v>HL</v>
      </c>
      <c r="DT100" s="2" t="str">
        <f aca="false">DJ80</f>
        <v>HL</v>
      </c>
      <c r="DU100" s="2" t="str">
        <f aca="false">DJ78</f>
        <v>HL</v>
      </c>
      <c r="DV100" s="2" t="n">
        <f aca="false">IFERROR((G100-$F100)/$F100*100,"")</f>
        <v>0.488613014619664</v>
      </c>
      <c r="DW100" s="2" t="n">
        <f aca="false">IFERROR((H100-$F100)/$F100*100,"")</f>
        <v>1.16505481028862</v>
      </c>
      <c r="DX100" s="2" t="n">
        <f aca="false">IFERROR((I100-$F100)/$F100*100,"")</f>
        <v>1.18657013457835</v>
      </c>
      <c r="DY100" s="2" t="n">
        <f aca="false">IFERROR((J100-$F100)/$F100*100,"")</f>
        <v>1.05382058371074</v>
      </c>
      <c r="DZ100" s="2" t="n">
        <f aca="false">IFERROR((K100-$F100)/$F100*100,"")</f>
        <v>0.650838559764192</v>
      </c>
      <c r="EA100" s="2" t="n">
        <f aca="false">IFERROR((L100-$F100)/$F100*100,"")</f>
        <v>0.959798616564641</v>
      </c>
      <c r="EB100" s="2" t="n">
        <f aca="false">IFERROR((M100-$F100)/$F100*100,"")</f>
        <v>0.81198833869423</v>
      </c>
      <c r="EC100" s="2" t="n">
        <f aca="false">IFERROR((N100-$F100)/$F100*100,"")</f>
        <v>0.669987198382035</v>
      </c>
      <c r="ED100" s="2" t="n">
        <f aca="false">IFERROR((O100-$F100)/$F100*100,"")</f>
        <v>0.276687070365861</v>
      </c>
      <c r="EE100" s="2" t="n">
        <f aca="false">IFERROR((P100-$F100)/$F100*100,"")</f>
        <v>-2.18466602837871</v>
      </c>
      <c r="EF100" s="2" t="n">
        <f aca="false">IFERROR((Q100-$F100)/$F100*100,"")</f>
        <v>-2.32042772464689</v>
      </c>
      <c r="EG100" s="2" t="str">
        <f aca="false">IF(DV100="","",IF(AND(ABS(DV100)&lt;=0.25,$E100="Bottom",DK100="LL"),"EQL",IF(AND(ABS(DV100)&lt;=0.25,$E100="Peak",DK100="HH"),"EQH","")))</f>
        <v/>
      </c>
      <c r="EH100" s="2" t="str">
        <f aca="false">IF(DW100="","",IF(AND(ABS(DW100)&lt;=0.25,$E100="Bottom",DL100="LL"),"EQL",IF(AND(ABS(DW100)&lt;=0.25,$E100="Peak",DL100="HH"),"EQH","")))</f>
        <v/>
      </c>
      <c r="EI100" s="2" t="str">
        <f aca="false">IF(DX100="","",IF(AND(ABS(DX100)&lt;=0.25,$E100="Bottom",DM100="LL"),"EQL",IF(AND(ABS(DX100)&lt;=0.25,$E100="Peak",DM100="HH"),"EQH","")))</f>
        <v/>
      </c>
      <c r="EJ100" s="2" t="str">
        <f aca="false">IF(DY100="","",IF(AND(ABS(DY100)&lt;=0.25,$E100="Bottom",DN100="LL"),"EQL",IF(AND(ABS(DY100)&lt;=0.25,$E100="Peak",DN100="HH"),"EQH","")))</f>
        <v/>
      </c>
      <c r="EK100" s="2" t="str">
        <f aca="false">IF(DZ100="","",IF(AND(ABS(DZ100)&lt;=0.25,$E100="Bottom",DO100="LL"),"EQL",IF(AND(ABS(DZ100)&lt;=0.25,$E100="Peak",DO100="HH"),"EQH","")))</f>
        <v/>
      </c>
      <c r="EL100" s="2" t="str">
        <f aca="false">IF(EA100="","",IF(AND(ABS(EA100)&lt;=0.25,$E100="Bottom",DP100="LL"),"EQL",IF(AND(ABS(EA100)&lt;=0.25,$E100="Peak",DP100="HH"),"EQH","")))</f>
        <v/>
      </c>
      <c r="EM100" s="2" t="str">
        <f aca="false">IF(EB100="","",IF(AND(ABS(EB100)&lt;=0.25,$E100="Bottom",DQ100="LL"),"EQL",IF(AND(ABS(EB100)&lt;=0.25,$E100="Peak",DQ100="HH"),"EQH","")))</f>
        <v/>
      </c>
      <c r="EN100" s="2" t="str">
        <f aca="false">IF(EC100="","",IF(AND(ABS(EC100)&lt;=0.25,$E100="Bottom",DR100="LL"),"EQL",IF(AND(ABS(EC100)&lt;=0.25,$E100="Peak",DR100="HH"),"EQH","")))</f>
        <v/>
      </c>
      <c r="EO100" s="2" t="str">
        <f aca="false">IF(ED100="","",IF(AND(ABS(ED100)&lt;=0.25,$E100="Bottom",DS100="LL"),"EQL",IF(AND(ABS(ED100)&lt;=0.25,$E100="Peak",DS100="HH"),"EQH","")))</f>
        <v/>
      </c>
      <c r="EP100" s="2" t="str">
        <f aca="false">IF(EE100="","",IF(AND(ABS(EE100)&lt;=0.25,$E100="Bottom",DT100="LL"),"EQL",IF(AND(ABS(EE100)&lt;=0.25,$E100="Peak",DT100="HH"),"EQH","")))</f>
        <v/>
      </c>
      <c r="EQ100" s="2" t="str">
        <f aca="false">IF(EF100="","",IF(AND(ABS(EF100)&lt;=0.25,$E100="Bottom",DU100="LL"),"EQL",IF(AND(ABS(EF100)&lt;=0.25,$E100="Peak",DU100="HH"),"EQH","")))</f>
        <v/>
      </c>
      <c r="ER100" s="2" t="str">
        <f aca="false">IF(OR(EG100="EQL",EG100="EQH"),G100,"")</f>
        <v/>
      </c>
      <c r="ES100" s="2" t="str">
        <f aca="false">IF(OR(EH100="EQL",EH100="EQH"),H100,"")</f>
        <v/>
      </c>
      <c r="ET100" s="2" t="str">
        <f aca="false">IF(OR(EI100="EQL",EI100="EQH"),I100,"")</f>
        <v/>
      </c>
      <c r="EU100" s="2" t="str">
        <f aca="false">IF(OR(EJ100="EQL",EJ100="EQH"),J100,"")</f>
        <v/>
      </c>
      <c r="EV100" s="2" t="str">
        <f aca="false">IF(OR(EK100="EQL",EK100="EQH"),K100,"")</f>
        <v/>
      </c>
      <c r="EW100" s="2" t="str">
        <f aca="false">IF(OR(EL100="EQL",EL100="EQH"),L100,"")</f>
        <v/>
      </c>
      <c r="EX100" s="2" t="str">
        <f aca="false">IF(OR(EM100="EQL",EM100="EQH"),M100,"")</f>
        <v/>
      </c>
      <c r="EY100" s="2" t="str">
        <f aca="false">IF(OR(EN100="EQL",EN100="EQH"),N100,"")</f>
        <v/>
      </c>
      <c r="EZ100" s="2" t="str">
        <f aca="false">IF(OR(EO100="EQL",EO100="EQH"),O100,"")</f>
        <v/>
      </c>
      <c r="FA100" s="2" t="str">
        <f aca="false">IF(OR(EP100="EQL",EP100="EQH"),P100,"")</f>
        <v/>
      </c>
      <c r="FB100" s="2" t="str">
        <f aca="false">IF(OR(EQ100="EQL",EQ100="EQH"),Q100,"")</f>
        <v/>
      </c>
      <c r="FC100" s="2" t="str">
        <f aca="false">IF(AND(EG100="EQL",OR(AQ100=4,AQ100=5)),"IEQL",IF(AND(EG100="EQH",OR(AQ100=1,AQ100=2)),"IEQH",""))</f>
        <v/>
      </c>
      <c r="FD100" s="2" t="str">
        <f aca="false">IF(AND(EH100="EQL",OR(AR100=4,AR100=5)),"IEQL",IF(AND(EH100="EQH",OR(AR100=1,AR100=2)),"IEQH",""))</f>
        <v/>
      </c>
      <c r="FE100" s="2" t="str">
        <f aca="false">IF(AND(EI100="EQL",OR(AS100=4,AS100=5)),"IEQL",IF(AND(EI100="EQH",OR(AS100=1,AS100=2)),"IEQH",""))</f>
        <v/>
      </c>
      <c r="FF100" s="2" t="str">
        <f aca="false">IF(AND(EJ100="EQL",OR(AT100=4,AT100=5)),"IEQL",IF(AND(EJ100="EQH",OR(AT100=1,AT100=2)),"IEQH",""))</f>
        <v/>
      </c>
      <c r="FG100" s="2" t="str">
        <f aca="false">IF(AND(EK100="EQL",OR(AU100=4,AU100=5)),"IEQL",IF(AND(EK100="EQH",OR(AU100=1,AU100=2)),"IEQH",""))</f>
        <v/>
      </c>
      <c r="FH100" s="2" t="str">
        <f aca="false">IF(AND(EL100="EQL",OR(AV100=4,AV100=5)),"IEQL",IF(AND(EL100="EQH",OR(AV100=1,AV100=2)),"IEQH",""))</f>
        <v/>
      </c>
      <c r="FI100" s="2" t="str">
        <f aca="false">IF(AND(EM100="EQL",OR(AW100=4,AW100=5)),"IEQL",IF(AND(EM100="EQH",OR(AW100=1,AW100=2)),"IEQH",""))</f>
        <v/>
      </c>
      <c r="FJ100" s="2" t="str">
        <f aca="false">IF(AND(EN100="EQL",OR(AX100=4,AX100=5)),"IEQL",IF(AND(EN100="EQH",OR(AX100=1,AX100=2)),"IEQH",""))</f>
        <v/>
      </c>
      <c r="FK100" s="2" t="str">
        <f aca="false">IF(AND(EO100="EQL",OR(AY100=4,AY100=5)),"IEQL",IF(AND(EO100="EQH",OR(AY100=1,AY100=2)),"IEQH",""))</f>
        <v/>
      </c>
      <c r="FL100" s="2" t="str">
        <f aca="false">IF(AND(EP100="EQL",OR(AZ100=4,AZ100=5)),"IEQL",IF(AND(EP100="EQH",OR(AZ100=1,AZ100=2)),"IEQH",""))</f>
        <v/>
      </c>
      <c r="FM100" s="2" t="str">
        <f aca="false">IF(AND(EQ100="EQL",OR(BA100=4,BA100=5)),"IEQL",IF(AND(EQ100="EQH",OR(BA100=1,BA100=2)),"IEQH",""))</f>
        <v/>
      </c>
    </row>
    <row r="101" customFormat="false" ht="14.25" hidden="false" customHeight="false" outlineLevel="0" collapsed="false">
      <c r="A101" s="1" t="n">
        <v>1778507102</v>
      </c>
      <c r="B101" s="1" t="s">
        <v>169</v>
      </c>
      <c r="C101" s="1" t="s">
        <v>170</v>
      </c>
      <c r="D101" s="1" t="n">
        <v>4736</v>
      </c>
      <c r="E101" s="1" t="s">
        <v>173</v>
      </c>
      <c r="F101" s="1" t="n">
        <v>4748.44</v>
      </c>
      <c r="G101" s="2" t="n">
        <f aca="false">F99</f>
        <v>4705.4</v>
      </c>
      <c r="H101" s="2" t="n">
        <f aca="false">F97</f>
        <v>4728.95</v>
      </c>
      <c r="I101" s="2" t="n">
        <f aca="false">F95</f>
        <v>4749.22</v>
      </c>
      <c r="J101" s="2" t="n">
        <f aca="false">F93</f>
        <v>4727.88</v>
      </c>
      <c r="K101" s="2" t="n">
        <f aca="false">F91</f>
        <v>4734.65</v>
      </c>
      <c r="L101" s="2" t="n">
        <f aca="false">F89</f>
        <v>4764.7</v>
      </c>
      <c r="M101" s="2" t="n">
        <f aca="false">F87</f>
        <v>4721.44</v>
      </c>
      <c r="N101" s="2" t="n">
        <f aca="false">F85</f>
        <v>4701.18</v>
      </c>
      <c r="O101" s="2" t="n">
        <f aca="false">F83</f>
        <v>4717.43</v>
      </c>
      <c r="P101" s="2" t="n">
        <f aca="false">F81</f>
        <v>4722.76</v>
      </c>
      <c r="Q101" s="2" t="n">
        <f aca="false">F79</f>
        <v>4586.56</v>
      </c>
      <c r="R101" s="1" t="n">
        <v>100.59</v>
      </c>
      <c r="S101" s="2" t="n">
        <f aca="false">R99</f>
        <v>34.84</v>
      </c>
      <c r="T101" s="2" t="n">
        <f aca="false">R97</f>
        <v>26.95</v>
      </c>
      <c r="U101" s="2" t="n">
        <f aca="false">R95</f>
        <v>46.22</v>
      </c>
      <c r="V101" s="2" t="n">
        <f aca="false">R93</f>
        <v>31.05</v>
      </c>
      <c r="W101" s="2" t="n">
        <f aca="false">R91</f>
        <v>56.55</v>
      </c>
      <c r="X101" s="2" t="n">
        <f aca="false">R89</f>
        <v>72.24</v>
      </c>
      <c r="Y101" s="2" t="n">
        <f aca="false">R87</f>
        <v>35.85</v>
      </c>
      <c r="Z101" s="2" t="n">
        <f aca="false">R85</f>
        <v>22.19</v>
      </c>
      <c r="AA101" s="2" t="n">
        <f aca="false">R83</f>
        <v>56.72</v>
      </c>
      <c r="AB101" s="2" t="n">
        <f aca="false">R81</f>
        <v>176.45</v>
      </c>
      <c r="AC101" s="2" t="n">
        <f aca="false">R79</f>
        <v>46.56</v>
      </c>
      <c r="AD101" s="1" t="n">
        <v>2.16</v>
      </c>
      <c r="AE101" s="2" t="n">
        <f aca="false">AD99</f>
        <v>0.75</v>
      </c>
      <c r="AF101" s="2" t="n">
        <f aca="false">AD97</f>
        <v>0.57</v>
      </c>
      <c r="AG101" s="2" t="n">
        <f aca="false">AD95</f>
        <v>0.98</v>
      </c>
      <c r="AH101" s="2" t="n">
        <f aca="false">AD93</f>
        <v>0.66</v>
      </c>
      <c r="AI101" s="2" t="n">
        <f aca="false">AD91</f>
        <v>1.21</v>
      </c>
      <c r="AJ101" s="2" t="n">
        <f aca="false">AD89</f>
        <v>1.54</v>
      </c>
      <c r="AK101" s="2" t="n">
        <f aca="false">AD87</f>
        <v>0.77</v>
      </c>
      <c r="AL101" s="2" t="n">
        <f aca="false">AD85</f>
        <v>0.47</v>
      </c>
      <c r="AM101" s="2" t="n">
        <f aca="false">AD83</f>
        <v>1.22</v>
      </c>
      <c r="AN101" s="2" t="n">
        <f aca="false">AD81</f>
        <v>3.88</v>
      </c>
      <c r="AO101" s="2" t="n">
        <f aca="false">AD79</f>
        <v>1.03</v>
      </c>
      <c r="AP101" s="1" t="n">
        <v>1</v>
      </c>
      <c r="AQ101" s="2" t="n">
        <f aca="false">AP99</f>
        <v>0</v>
      </c>
      <c r="AR101" s="2" t="n">
        <f aca="false">AP97</f>
        <v>0</v>
      </c>
      <c r="AS101" s="2" t="n">
        <f aca="false">AP95</f>
        <v>0</v>
      </c>
      <c r="AT101" s="2" t="n">
        <f aca="false">AP93</f>
        <v>0</v>
      </c>
      <c r="AU101" s="2" t="n">
        <f aca="false">AP91</f>
        <v>0</v>
      </c>
      <c r="AV101" s="2" t="n">
        <f aca="false">AP89</f>
        <v>0</v>
      </c>
      <c r="AW101" s="2" t="n">
        <f aca="false">AP87</f>
        <v>0</v>
      </c>
      <c r="AX101" s="2" t="n">
        <f aca="false">AP85</f>
        <v>0</v>
      </c>
      <c r="AY101" s="2" t="n">
        <f aca="false">AP83</f>
        <v>0</v>
      </c>
      <c r="AZ101" s="2" t="n">
        <f aca="false">AP81</f>
        <v>2</v>
      </c>
      <c r="BA101" s="2" t="n">
        <f aca="false">AP79</f>
        <v>0</v>
      </c>
      <c r="BB101" s="1" t="n">
        <v>32</v>
      </c>
      <c r="BC101" s="2" t="n">
        <f aca="false">BB99</f>
        <v>2</v>
      </c>
      <c r="BD101" s="2" t="n">
        <f aca="false">BB97</f>
        <v>10</v>
      </c>
      <c r="BE101" s="2" t="n">
        <f aca="false">BB95</f>
        <v>7</v>
      </c>
      <c r="BF101" s="2" t="n">
        <f aca="false">BB93</f>
        <v>13</v>
      </c>
      <c r="BG101" s="2" t="n">
        <f aca="false">BB91</f>
        <v>33</v>
      </c>
      <c r="BH101" s="2" t="n">
        <f aca="false">BB89</f>
        <v>42</v>
      </c>
      <c r="BI101" s="2" t="n">
        <f aca="false">BB87</f>
        <v>4</v>
      </c>
      <c r="BJ101" s="2" t="n">
        <f aca="false">BB85</f>
        <v>23</v>
      </c>
      <c r="BK101" s="2" t="n">
        <f aca="false">BB83</f>
        <v>8</v>
      </c>
      <c r="BL101" s="2" t="n">
        <f aca="false">BB81</f>
        <v>49</v>
      </c>
      <c r="BM101" s="2" t="n">
        <f aca="false">BB79</f>
        <v>13</v>
      </c>
      <c r="BN101" s="1" t="n">
        <v>1</v>
      </c>
      <c r="BO101" s="2" t="n">
        <f aca="false">BN99</f>
        <v>0</v>
      </c>
      <c r="BP101" s="2" t="n">
        <f aca="false">BN97</f>
        <v>0</v>
      </c>
      <c r="BQ101" s="2" t="n">
        <f aca="false">BN95</f>
        <v>0</v>
      </c>
      <c r="BR101" s="2" t="n">
        <f aca="false">BN93</f>
        <v>0</v>
      </c>
      <c r="BS101" s="2" t="n">
        <f aca="false">BN91</f>
        <v>0</v>
      </c>
      <c r="BT101" s="2" t="n">
        <f aca="false">BN89</f>
        <v>2</v>
      </c>
      <c r="BU101" s="2" t="n">
        <f aca="false">BN87</f>
        <v>0</v>
      </c>
      <c r="BV101" s="2" t="n">
        <f aca="false">BN85</f>
        <v>0</v>
      </c>
      <c r="BW101" s="2" t="n">
        <f aca="false">BN83</f>
        <v>0</v>
      </c>
      <c r="BX101" s="2" t="n">
        <f aca="false">BN81</f>
        <v>2</v>
      </c>
      <c r="BY101" s="2" t="n">
        <f aca="false">BN79</f>
        <v>0</v>
      </c>
      <c r="BZ101" s="1" t="n">
        <v>3.14344</v>
      </c>
      <c r="CA101" s="2" t="n">
        <f aca="false">BZ99</f>
        <v>17.42</v>
      </c>
      <c r="CB101" s="2" t="n">
        <f aca="false">BZ97</f>
        <v>2.695</v>
      </c>
      <c r="CC101" s="2" t="n">
        <f aca="false">BZ95</f>
        <v>6.60286</v>
      </c>
      <c r="CD101" s="2" t="n">
        <f aca="false">BZ93</f>
        <v>2.38846</v>
      </c>
      <c r="CE101" s="2" t="n">
        <f aca="false">BZ91</f>
        <v>1.71364</v>
      </c>
      <c r="CF101" s="2" t="n">
        <f aca="false">BZ89</f>
        <v>1.72</v>
      </c>
      <c r="CG101" s="2" t="n">
        <f aca="false">BZ87</f>
        <v>8.9625</v>
      </c>
      <c r="CH101" s="2" t="n">
        <f aca="false">BZ85</f>
        <v>0.96478</v>
      </c>
      <c r="CI101" s="2" t="n">
        <f aca="false">BZ83</f>
        <v>7.09</v>
      </c>
      <c r="CJ101" s="2" t="n">
        <f aca="false">BZ81</f>
        <v>3.60102</v>
      </c>
      <c r="CK101" s="2" t="n">
        <f aca="false">BZ79</f>
        <v>3.58154</v>
      </c>
      <c r="CL101" s="1" t="n">
        <v>0</v>
      </c>
      <c r="CM101" s="2" t="n">
        <f aca="false">CL99</f>
        <v>2</v>
      </c>
      <c r="CN101" s="2" t="n">
        <f aca="false">CL97</f>
        <v>0</v>
      </c>
      <c r="CO101" s="2" t="n">
        <f aca="false">CL95</f>
        <v>0</v>
      </c>
      <c r="CP101" s="2" t="n">
        <f aca="false">CL93</f>
        <v>0</v>
      </c>
      <c r="CQ101" s="2" t="n">
        <f aca="false">CL91</f>
        <v>0</v>
      </c>
      <c r="CR101" s="2" t="n">
        <f aca="false">CL89</f>
        <v>0</v>
      </c>
      <c r="CS101" s="2" t="n">
        <f aca="false">CL87</f>
        <v>0</v>
      </c>
      <c r="CT101" s="2" t="n">
        <f aca="false">CL85</f>
        <v>0</v>
      </c>
      <c r="CU101" s="2" t="n">
        <f aca="false">CL83</f>
        <v>0</v>
      </c>
      <c r="CV101" s="2" t="n">
        <f aca="false">CL81</f>
        <v>0</v>
      </c>
      <c r="CW101" s="2" t="n">
        <f aca="false">CL79</f>
        <v>0</v>
      </c>
      <c r="CX101" s="1" t="n">
        <v>72.3529</v>
      </c>
      <c r="CY101" s="2" t="n">
        <f aca="false">CX99</f>
        <v>86.7145</v>
      </c>
      <c r="CZ101" s="2" t="n">
        <f aca="false">CX97</f>
        <v>69.6422</v>
      </c>
      <c r="DA101" s="2" t="n">
        <f aca="false">CX95</f>
        <v>81.388</v>
      </c>
      <c r="DB101" s="2" t="n">
        <f aca="false">CX93</f>
        <v>67.2819</v>
      </c>
      <c r="DC101" s="2" t="n">
        <f aca="false">CX91</f>
        <v>59.7341</v>
      </c>
      <c r="DD101" s="2" t="n">
        <f aca="false">CX89</f>
        <v>59.8265</v>
      </c>
      <c r="DE101" s="2" t="n">
        <f aca="false">CX87</f>
        <v>83.6335</v>
      </c>
      <c r="DF101" s="2" t="n">
        <f aca="false">CX85</f>
        <v>43.9731</v>
      </c>
      <c r="DG101" s="2" t="n">
        <f aca="false">CX83</f>
        <v>81.9717</v>
      </c>
      <c r="DH101" s="2" t="n">
        <f aca="false">CX81</f>
        <v>74.4801</v>
      </c>
      <c r="DI101" s="2" t="n">
        <f aca="false">CX79</f>
        <v>74.3998</v>
      </c>
      <c r="DJ101" s="1" t="s">
        <v>176</v>
      </c>
      <c r="DK101" s="2" t="str">
        <f aca="false">DJ99</f>
        <v>LH</v>
      </c>
      <c r="DL101" s="2" t="str">
        <f aca="false">DJ97</f>
        <v>LH</v>
      </c>
      <c r="DM101" s="2" t="str">
        <f aca="false">DJ95</f>
        <v>HH</v>
      </c>
      <c r="DN101" s="2" t="str">
        <f aca="false">DJ93</f>
        <v>LH</v>
      </c>
      <c r="DO101" s="2" t="str">
        <f aca="false">DJ91</f>
        <v>LH</v>
      </c>
      <c r="DP101" s="2" t="str">
        <f aca="false">DJ89</f>
        <v>HH</v>
      </c>
      <c r="DQ101" s="2" t="str">
        <f aca="false">DJ87</f>
        <v>HH</v>
      </c>
      <c r="DR101" s="2" t="str">
        <f aca="false">DJ85</f>
        <v>LH</v>
      </c>
      <c r="DS101" s="2" t="str">
        <f aca="false">DJ83</f>
        <v>LH</v>
      </c>
      <c r="DT101" s="2" t="str">
        <f aca="false">DJ81</f>
        <v>HH</v>
      </c>
      <c r="DU101" s="2" t="str">
        <f aca="false">DJ79</f>
        <v>HH</v>
      </c>
      <c r="DV101" s="2" t="n">
        <f aca="false">IFERROR((G101-$F101)/$F101*100,"")</f>
        <v>-0.906402944967189</v>
      </c>
      <c r="DW101" s="2" t="n">
        <f aca="false">IFERROR((H101-$F101)/$F101*100,"")</f>
        <v>-0.41045059008853</v>
      </c>
      <c r="DX101" s="2" t="n">
        <f aca="false">IFERROR((I101-$F101)/$F101*100,"")</f>
        <v>0.0164264474227463</v>
      </c>
      <c r="DY101" s="2" t="n">
        <f aca="false">IFERROR((J101-$F101)/$F101*100,"")</f>
        <v>-0.432984306424836</v>
      </c>
      <c r="DZ101" s="2" t="n">
        <f aca="false">IFERROR((K101-$F101)/$F101*100,"")</f>
        <v>-0.290411166614719</v>
      </c>
      <c r="EA101" s="2" t="n">
        <f aca="false">IFERROR((L101-$F101)/$F101*100,"")</f>
        <v>0.342428250120044</v>
      </c>
      <c r="EB101" s="2" t="n">
        <f aca="false">IFERROR((M101-$F101)/$F101*100,"")</f>
        <v>-0.56860779540228</v>
      </c>
      <c r="EC101" s="2" t="n">
        <f aca="false">IFERROR((N101-$F101)/$F101*100,"")</f>
        <v>-0.995274237433753</v>
      </c>
      <c r="ED101" s="2" t="n">
        <f aca="false">IFERROR((O101-$F101)/$F101*100,"")</f>
        <v>-0.653056582793492</v>
      </c>
      <c r="EE101" s="2" t="n">
        <f aca="false">IFERROR((P101-$F101)/$F101*100,"")</f>
        <v>-0.540809192071488</v>
      </c>
      <c r="EF101" s="2" t="n">
        <f aca="false">IFERROR((Q101-$F101)/$F101*100,"")</f>
        <v>-3.40911962665632</v>
      </c>
      <c r="EG101" s="2" t="str">
        <f aca="false">IF(DV101="","",IF(AND(ABS(DV101)&lt;=0.25,$E101="Bottom",DK101="LL"),"EQL",IF(AND(ABS(DV101)&lt;=0.25,$E101="Peak",DK101="HH"),"EQH","")))</f>
        <v/>
      </c>
      <c r="EH101" s="2" t="str">
        <f aca="false">IF(DW101="","",IF(AND(ABS(DW101)&lt;=0.25,$E101="Bottom",DL101="LL"),"EQL",IF(AND(ABS(DW101)&lt;=0.25,$E101="Peak",DL101="HH"),"EQH","")))</f>
        <v/>
      </c>
      <c r="EI101" s="2" t="str">
        <f aca="false">IF(DX101="","",IF(AND(ABS(DX101)&lt;=0.25,$E101="Bottom",DM101="LL"),"EQL",IF(AND(ABS(DX101)&lt;=0.25,$E101="Peak",DM101="HH"),"EQH","")))</f>
        <v>EQH</v>
      </c>
      <c r="EJ101" s="2" t="str">
        <f aca="false">IF(DY101="","",IF(AND(ABS(DY101)&lt;=0.25,$E101="Bottom",DN101="LL"),"EQL",IF(AND(ABS(DY101)&lt;=0.25,$E101="Peak",DN101="HH"),"EQH","")))</f>
        <v/>
      </c>
      <c r="EK101" s="2" t="str">
        <f aca="false">IF(DZ101="","",IF(AND(ABS(DZ101)&lt;=0.25,$E101="Bottom",DO101="LL"),"EQL",IF(AND(ABS(DZ101)&lt;=0.25,$E101="Peak",DO101="HH"),"EQH","")))</f>
        <v/>
      </c>
      <c r="EL101" s="2" t="str">
        <f aca="false">IF(EA101="","",IF(AND(ABS(EA101)&lt;=0.25,$E101="Bottom",DP101="LL"),"EQL",IF(AND(ABS(EA101)&lt;=0.25,$E101="Peak",DP101="HH"),"EQH","")))</f>
        <v/>
      </c>
      <c r="EM101" s="2" t="str">
        <f aca="false">IF(EB101="","",IF(AND(ABS(EB101)&lt;=0.25,$E101="Bottom",DQ101="LL"),"EQL",IF(AND(ABS(EB101)&lt;=0.25,$E101="Peak",DQ101="HH"),"EQH","")))</f>
        <v/>
      </c>
      <c r="EN101" s="2" t="str">
        <f aca="false">IF(EC101="","",IF(AND(ABS(EC101)&lt;=0.25,$E101="Bottom",DR101="LL"),"EQL",IF(AND(ABS(EC101)&lt;=0.25,$E101="Peak",DR101="HH"),"EQH","")))</f>
        <v/>
      </c>
      <c r="EO101" s="2" t="str">
        <f aca="false">IF(ED101="","",IF(AND(ABS(ED101)&lt;=0.25,$E101="Bottom",DS101="LL"),"EQL",IF(AND(ABS(ED101)&lt;=0.25,$E101="Peak",DS101="HH"),"EQH","")))</f>
        <v/>
      </c>
      <c r="EP101" s="2" t="str">
        <f aca="false">IF(EE101="","",IF(AND(ABS(EE101)&lt;=0.25,$E101="Bottom",DT101="LL"),"EQL",IF(AND(ABS(EE101)&lt;=0.25,$E101="Peak",DT101="HH"),"EQH","")))</f>
        <v/>
      </c>
      <c r="EQ101" s="2" t="str">
        <f aca="false">IF(EF101="","",IF(AND(ABS(EF101)&lt;=0.25,$E101="Bottom",DU101="LL"),"EQL",IF(AND(ABS(EF101)&lt;=0.25,$E101="Peak",DU101="HH"),"EQH","")))</f>
        <v/>
      </c>
      <c r="ER101" s="2" t="str">
        <f aca="false">IF(OR(EG101="EQL",EG101="EQH"),G101,"")</f>
        <v/>
      </c>
      <c r="ES101" s="2" t="str">
        <f aca="false">IF(OR(EH101="EQL",EH101="EQH"),H101,"")</f>
        <v/>
      </c>
      <c r="ET101" s="2" t="n">
        <f aca="false">IF(OR(EI101="EQL",EI101="EQH"),I101,"")</f>
        <v>4749.22</v>
      </c>
      <c r="EU101" s="2" t="str">
        <f aca="false">IF(OR(EJ101="EQL",EJ101="EQH"),J101,"")</f>
        <v/>
      </c>
      <c r="EV101" s="2" t="str">
        <f aca="false">IF(OR(EK101="EQL",EK101="EQH"),K101,"")</f>
        <v/>
      </c>
      <c r="EW101" s="2" t="str">
        <f aca="false">IF(OR(EL101="EQL",EL101="EQH"),L101,"")</f>
        <v/>
      </c>
      <c r="EX101" s="2" t="str">
        <f aca="false">IF(OR(EM101="EQL",EM101="EQH"),M101,"")</f>
        <v/>
      </c>
      <c r="EY101" s="2" t="str">
        <f aca="false">IF(OR(EN101="EQL",EN101="EQH"),N101,"")</f>
        <v/>
      </c>
      <c r="EZ101" s="2" t="str">
        <f aca="false">IF(OR(EO101="EQL",EO101="EQH"),O101,"")</f>
        <v/>
      </c>
      <c r="FA101" s="2" t="str">
        <f aca="false">IF(OR(EP101="EQL",EP101="EQH"),P101,"")</f>
        <v/>
      </c>
      <c r="FB101" s="2" t="str">
        <f aca="false">IF(OR(EQ101="EQL",EQ101="EQH"),Q101,"")</f>
        <v/>
      </c>
      <c r="FC101" s="2" t="str">
        <f aca="false">IF(AND(EG101="EQL",OR(AQ101=4,AQ101=5)),"IEQL",IF(AND(EG101="EQH",OR(AQ101=1,AQ101=2)),"IEQH",""))</f>
        <v/>
      </c>
      <c r="FD101" s="2" t="str">
        <f aca="false">IF(AND(EH101="EQL",OR(AR101=4,AR101=5)),"IEQL",IF(AND(EH101="EQH",OR(AR101=1,AR101=2)),"IEQH",""))</f>
        <v/>
      </c>
      <c r="FE101" s="2" t="str">
        <f aca="false">IF(AND(EI101="EQL",OR(AS101=4,AS101=5)),"IEQL",IF(AND(EI101="EQH",OR(AS101=1,AS101=2)),"IEQH",""))</f>
        <v/>
      </c>
      <c r="FF101" s="2" t="str">
        <f aca="false">IF(AND(EJ101="EQL",OR(AT101=4,AT101=5)),"IEQL",IF(AND(EJ101="EQH",OR(AT101=1,AT101=2)),"IEQH",""))</f>
        <v/>
      </c>
      <c r="FG101" s="2" t="str">
        <f aca="false">IF(AND(EK101="EQL",OR(AU101=4,AU101=5)),"IEQL",IF(AND(EK101="EQH",OR(AU101=1,AU101=2)),"IEQH",""))</f>
        <v/>
      </c>
      <c r="FH101" s="2" t="str">
        <f aca="false">IF(AND(EL101="EQL",OR(AV101=4,AV101=5)),"IEQL",IF(AND(EL101="EQH",OR(AV101=1,AV101=2)),"IEQH",""))</f>
        <v/>
      </c>
      <c r="FI101" s="2" t="str">
        <f aca="false">IF(AND(EM101="EQL",OR(AW101=4,AW101=5)),"IEQL",IF(AND(EM101="EQH",OR(AW101=1,AW101=2)),"IEQH",""))</f>
        <v/>
      </c>
      <c r="FJ101" s="2" t="str">
        <f aca="false">IF(AND(EN101="EQL",OR(AX101=4,AX101=5)),"IEQL",IF(AND(EN101="EQH",OR(AX101=1,AX101=2)),"IEQH",""))</f>
        <v/>
      </c>
      <c r="FK101" s="2" t="str">
        <f aca="false">IF(AND(EO101="EQL",OR(AY101=4,AY101=5)),"IEQL",IF(AND(EO101="EQH",OR(AY101=1,AY101=2)),"IEQH",""))</f>
        <v/>
      </c>
      <c r="FL101" s="2" t="str">
        <f aca="false">IF(AND(EP101="EQL",OR(AZ101=4,AZ101=5)),"IEQL",IF(AND(EP101="EQH",OR(AZ101=1,AZ101=2)),"IEQH",""))</f>
        <v/>
      </c>
      <c r="FM101" s="2" t="str">
        <f aca="false">IF(AND(EQ101="EQL",OR(BA101=4,BA101=5)),"IEQL",IF(AND(EQ101="EQH",OR(BA101=1,BA101=2)),"IEQH",""))</f>
        <v/>
      </c>
    </row>
    <row r="102" customFormat="false" ht="14.25" hidden="false" customHeight="false" outlineLevel="0" collapsed="false">
      <c r="A102" s="1" t="n">
        <v>1778517002</v>
      </c>
      <c r="B102" s="1" t="s">
        <v>169</v>
      </c>
      <c r="C102" s="1" t="s">
        <v>170</v>
      </c>
      <c r="D102" s="1" t="n">
        <v>4711.45</v>
      </c>
      <c r="E102" s="1" t="s">
        <v>171</v>
      </c>
      <c r="F102" s="1" t="n">
        <v>4707.97</v>
      </c>
      <c r="G102" s="2" t="n">
        <f aca="false">F100</f>
        <v>4647.85</v>
      </c>
      <c r="H102" s="2" t="n">
        <f aca="false">F98</f>
        <v>4670.56</v>
      </c>
      <c r="I102" s="2" t="n">
        <f aca="false">F96</f>
        <v>4702</v>
      </c>
      <c r="J102" s="2" t="n">
        <f aca="false">F94</f>
        <v>4703</v>
      </c>
      <c r="K102" s="2" t="n">
        <f aca="false">F92</f>
        <v>4696.83</v>
      </c>
      <c r="L102" s="2" t="n">
        <f aca="false">F90</f>
        <v>4678.1</v>
      </c>
      <c r="M102" s="2" t="n">
        <f aca="false">F88</f>
        <v>4692.46</v>
      </c>
      <c r="N102" s="2" t="n">
        <f aca="false">F86</f>
        <v>4685.59</v>
      </c>
      <c r="O102" s="2" t="n">
        <f aca="false">F84</f>
        <v>4678.99</v>
      </c>
      <c r="P102" s="2" t="n">
        <f aca="false">F82</f>
        <v>4660.71</v>
      </c>
      <c r="Q102" s="2" t="n">
        <f aca="false">F80</f>
        <v>4546.31</v>
      </c>
      <c r="R102" s="1" t="n">
        <v>-40.47</v>
      </c>
      <c r="S102" s="2" t="n">
        <f aca="false">R100</f>
        <v>-57.55</v>
      </c>
      <c r="T102" s="2" t="n">
        <f aca="false">R98</f>
        <v>-58.39</v>
      </c>
      <c r="U102" s="2" t="n">
        <f aca="false">R96</f>
        <v>-47.22</v>
      </c>
      <c r="V102" s="2" t="n">
        <f aca="false">R94</f>
        <v>-24.88</v>
      </c>
      <c r="W102" s="2" t="n">
        <f aca="false">R92</f>
        <v>-37.82</v>
      </c>
      <c r="X102" s="2" t="n">
        <f aca="false">R90</f>
        <v>-86.6</v>
      </c>
      <c r="Y102" s="2" t="n">
        <f aca="false">R88</f>
        <v>-28.98</v>
      </c>
      <c r="Z102" s="2" t="n">
        <f aca="false">R86</f>
        <v>-15.59</v>
      </c>
      <c r="AA102" s="2" t="n">
        <f aca="false">R84</f>
        <v>-38.44</v>
      </c>
      <c r="AB102" s="2" t="n">
        <f aca="false">R82</f>
        <v>-62.05</v>
      </c>
      <c r="AC102" s="2" t="n">
        <f aca="false">R80</f>
        <v>-40.25</v>
      </c>
      <c r="AD102" s="1" t="n">
        <v>-0.85</v>
      </c>
      <c r="AE102" s="2" t="n">
        <f aca="false">AD100</f>
        <v>-1.22</v>
      </c>
      <c r="AF102" s="2" t="n">
        <f aca="false">AD98</f>
        <v>-1.23</v>
      </c>
      <c r="AG102" s="2" t="n">
        <f aca="false">AD96</f>
        <v>-0.99</v>
      </c>
      <c r="AH102" s="2" t="n">
        <f aca="false">AD94</f>
        <v>-0.53</v>
      </c>
      <c r="AI102" s="2" t="n">
        <f aca="false">AD92</f>
        <v>-0.8</v>
      </c>
      <c r="AJ102" s="2" t="n">
        <f aca="false">AD90</f>
        <v>-1.82</v>
      </c>
      <c r="AK102" s="2" t="n">
        <f aca="false">AD88</f>
        <v>-0.61</v>
      </c>
      <c r="AL102" s="2" t="n">
        <f aca="false">AD86</f>
        <v>-0.33</v>
      </c>
      <c r="AM102" s="2" t="n">
        <f aca="false">AD84</f>
        <v>-0.81</v>
      </c>
      <c r="AN102" s="2" t="n">
        <f aca="false">AD82</f>
        <v>-1.31</v>
      </c>
      <c r="AO102" s="2" t="n">
        <f aca="false">AD80</f>
        <v>-0.88</v>
      </c>
      <c r="AP102" s="1" t="n">
        <v>3</v>
      </c>
      <c r="AQ102" s="2" t="n">
        <f aca="false">AP100</f>
        <v>3</v>
      </c>
      <c r="AR102" s="2" t="n">
        <f aca="false">AP98</f>
        <v>3</v>
      </c>
      <c r="AS102" s="2" t="n">
        <f aca="false">AP96</f>
        <v>3</v>
      </c>
      <c r="AT102" s="2" t="n">
        <f aca="false">AP94</f>
        <v>3</v>
      </c>
      <c r="AU102" s="2" t="n">
        <f aca="false">AP92</f>
        <v>3</v>
      </c>
      <c r="AV102" s="2" t="n">
        <f aca="false">AP90</f>
        <v>3</v>
      </c>
      <c r="AW102" s="2" t="n">
        <f aca="false">AP88</f>
        <v>3</v>
      </c>
      <c r="AX102" s="2" t="n">
        <f aca="false">AP86</f>
        <v>3</v>
      </c>
      <c r="AY102" s="2" t="n">
        <f aca="false">AP84</f>
        <v>3</v>
      </c>
      <c r="AZ102" s="2" t="n">
        <f aca="false">AP82</f>
        <v>3</v>
      </c>
      <c r="BA102" s="2" t="n">
        <f aca="false">AP80</f>
        <v>3</v>
      </c>
      <c r="BB102" s="1" t="n">
        <v>11</v>
      </c>
      <c r="BC102" s="2" t="n">
        <f aca="false">BB100</f>
        <v>18</v>
      </c>
      <c r="BD102" s="2" t="n">
        <f aca="false">BB98</f>
        <v>22</v>
      </c>
      <c r="BE102" s="2" t="n">
        <f aca="false">BB96</f>
        <v>7</v>
      </c>
      <c r="BF102" s="2" t="n">
        <f aca="false">BB94</f>
        <v>7</v>
      </c>
      <c r="BG102" s="2" t="n">
        <f aca="false">BB92</f>
        <v>4</v>
      </c>
      <c r="BH102" s="2" t="n">
        <f aca="false">BB90</f>
        <v>24</v>
      </c>
      <c r="BI102" s="2" t="n">
        <f aca="false">BB88</f>
        <v>11</v>
      </c>
      <c r="BJ102" s="2" t="n">
        <f aca="false">BB86</f>
        <v>2</v>
      </c>
      <c r="BK102" s="2" t="n">
        <f aca="false">BB84</f>
        <v>13</v>
      </c>
      <c r="BL102" s="2" t="n">
        <f aca="false">BB82</f>
        <v>6</v>
      </c>
      <c r="BM102" s="2" t="n">
        <f aca="false">BB80</f>
        <v>29</v>
      </c>
      <c r="BN102" s="1" t="n">
        <v>3</v>
      </c>
      <c r="BO102" s="2" t="n">
        <f aca="false">BN100</f>
        <v>3</v>
      </c>
      <c r="BP102" s="2" t="n">
        <f aca="false">BN98</f>
        <v>3</v>
      </c>
      <c r="BQ102" s="2" t="n">
        <f aca="false">BN96</f>
        <v>3</v>
      </c>
      <c r="BR102" s="2" t="n">
        <f aca="false">BN94</f>
        <v>3</v>
      </c>
      <c r="BS102" s="2" t="n">
        <f aca="false">BN92</f>
        <v>3</v>
      </c>
      <c r="BT102" s="2" t="n">
        <f aca="false">BN90</f>
        <v>3</v>
      </c>
      <c r="BU102" s="2" t="n">
        <f aca="false">BN88</f>
        <v>3</v>
      </c>
      <c r="BV102" s="2" t="n">
        <f aca="false">BN86</f>
        <v>3</v>
      </c>
      <c r="BW102" s="2" t="n">
        <f aca="false">BN84</f>
        <v>3</v>
      </c>
      <c r="BX102" s="2" t="n">
        <f aca="false">BN82</f>
        <v>3</v>
      </c>
      <c r="BY102" s="2" t="n">
        <f aca="false">BN80</f>
        <v>3</v>
      </c>
      <c r="BZ102" s="1" t="n">
        <v>-3.67909</v>
      </c>
      <c r="CA102" s="2" t="n">
        <f aca="false">BZ100</f>
        <v>-3.19722</v>
      </c>
      <c r="CB102" s="2" t="n">
        <f aca="false">BZ98</f>
        <v>-2.65409</v>
      </c>
      <c r="CC102" s="2" t="n">
        <f aca="false">BZ96</f>
        <v>-6.74571</v>
      </c>
      <c r="CD102" s="2" t="n">
        <f aca="false">BZ94</f>
        <v>-3.55429</v>
      </c>
      <c r="CE102" s="2" t="n">
        <f aca="false">BZ92</f>
        <v>-9.455</v>
      </c>
      <c r="CF102" s="2" t="n">
        <f aca="false">BZ90</f>
        <v>-3.60833</v>
      </c>
      <c r="CG102" s="2" t="n">
        <f aca="false">BZ88</f>
        <v>-2.63455</v>
      </c>
      <c r="CH102" s="2" t="n">
        <f aca="false">BZ86</f>
        <v>-7.795</v>
      </c>
      <c r="CI102" s="2" t="n">
        <f aca="false">BZ84</f>
        <v>-2.95692</v>
      </c>
      <c r="CJ102" s="2" t="n">
        <f aca="false">BZ82</f>
        <v>-10.34167</v>
      </c>
      <c r="CK102" s="2" t="n">
        <f aca="false">BZ80</f>
        <v>-1.38793</v>
      </c>
      <c r="CL102" s="1" t="n">
        <v>3</v>
      </c>
      <c r="CM102" s="2" t="n">
        <f aca="false">CL100</f>
        <v>3</v>
      </c>
      <c r="CN102" s="2" t="n">
        <f aca="false">CL98</f>
        <v>3</v>
      </c>
      <c r="CO102" s="2" t="n">
        <f aca="false">CL96</f>
        <v>3</v>
      </c>
      <c r="CP102" s="2" t="n">
        <f aca="false">CL94</f>
        <v>3</v>
      </c>
      <c r="CQ102" s="2" t="n">
        <f aca="false">CL92</f>
        <v>4</v>
      </c>
      <c r="CR102" s="2" t="n">
        <f aca="false">CL90</f>
        <v>3</v>
      </c>
      <c r="CS102" s="2" t="n">
        <f aca="false">CL88</f>
        <v>3</v>
      </c>
      <c r="CT102" s="2" t="n">
        <f aca="false">CL86</f>
        <v>3</v>
      </c>
      <c r="CU102" s="2" t="n">
        <f aca="false">CL84</f>
        <v>3</v>
      </c>
      <c r="CV102" s="2" t="n">
        <f aca="false">CL82</f>
        <v>5</v>
      </c>
      <c r="CW102" s="2" t="n">
        <f aca="false">CL80</f>
        <v>3</v>
      </c>
      <c r="CX102" s="1" t="n">
        <v>-74.794</v>
      </c>
      <c r="CY102" s="2" t="n">
        <f aca="false">CX100</f>
        <v>-72.6318</v>
      </c>
      <c r="CZ102" s="2" t="n">
        <f aca="false">CX98</f>
        <v>-69.3548</v>
      </c>
      <c r="DA102" s="2" t="n">
        <f aca="false">CX96</f>
        <v>-81.5678</v>
      </c>
      <c r="DB102" s="2" t="n">
        <f aca="false">CX94</f>
        <v>-74.286</v>
      </c>
      <c r="DC102" s="2" t="n">
        <f aca="false">CX92</f>
        <v>-83.9626</v>
      </c>
      <c r="DD102" s="2" t="n">
        <f aca="false">CX90</f>
        <v>-74.51</v>
      </c>
      <c r="DE102" s="2" t="n">
        <f aca="false">CX88</f>
        <v>-69.2146</v>
      </c>
      <c r="DF102" s="2" t="n">
        <f aca="false">CX86</f>
        <v>-82.6896</v>
      </c>
      <c r="DG102" s="2" t="n">
        <f aca="false">CX84</f>
        <v>-71.315</v>
      </c>
      <c r="DH102" s="2" t="n">
        <f aca="false">CX82</f>
        <v>-84.4769</v>
      </c>
      <c r="DI102" s="2" t="n">
        <f aca="false">CX80</f>
        <v>-54.2274</v>
      </c>
      <c r="DJ102" s="1" t="s">
        <v>175</v>
      </c>
      <c r="DK102" s="2" t="str">
        <f aca="false">DJ100</f>
        <v>LL</v>
      </c>
      <c r="DL102" s="2" t="str">
        <f aca="false">DJ98</f>
        <v>LL</v>
      </c>
      <c r="DM102" s="2" t="str">
        <f aca="false">DJ96</f>
        <v>LL</v>
      </c>
      <c r="DN102" s="2" t="str">
        <f aca="false">DJ94</f>
        <v>HL</v>
      </c>
      <c r="DO102" s="2" t="str">
        <f aca="false">DJ92</f>
        <v>HL</v>
      </c>
      <c r="DP102" s="2" t="str">
        <f aca="false">DJ90</f>
        <v>LL</v>
      </c>
      <c r="DQ102" s="2" t="str">
        <f aca="false">DJ88</f>
        <v>HL</v>
      </c>
      <c r="DR102" s="2" t="str">
        <f aca="false">DJ86</f>
        <v>HL</v>
      </c>
      <c r="DS102" s="2" t="str">
        <f aca="false">DJ84</f>
        <v>HL</v>
      </c>
      <c r="DT102" s="2" t="str">
        <f aca="false">DJ82</f>
        <v>HL</v>
      </c>
      <c r="DU102" s="2" t="str">
        <f aca="false">DJ80</f>
        <v>HL</v>
      </c>
      <c r="DV102" s="2" t="n">
        <f aca="false">IFERROR((G102-$F102)/$F102*100,"")</f>
        <v>-1.27698349819561</v>
      </c>
      <c r="DW102" s="2" t="n">
        <f aca="false">IFERROR((H102-$F102)/$F102*100,"")</f>
        <v>-0.794609991142676</v>
      </c>
      <c r="DX102" s="2" t="n">
        <f aca="false">IFERROR((I102-$F102)/$F102*100,"")</f>
        <v>-0.12680624557931</v>
      </c>
      <c r="DY102" s="2" t="n">
        <f aca="false">IFERROR((J102-$F102)/$F102*100,"")</f>
        <v>-0.105565668430348</v>
      </c>
      <c r="DZ102" s="2" t="n">
        <f aca="false">IFERROR((K102-$F102)/$F102*100,"")</f>
        <v>-0.236620029439447</v>
      </c>
      <c r="EA102" s="2" t="n">
        <f aca="false">IFERROR((L102-$F102)/$F102*100,"")</f>
        <v>-0.634456039439501</v>
      </c>
      <c r="EB102" s="2" t="n">
        <f aca="false">IFERROR((M102-$F102)/$F102*100,"")</f>
        <v>-0.32944135158041</v>
      </c>
      <c r="EC102" s="2" t="n">
        <f aca="false">IFERROR((N102-$F102)/$F102*100,"")</f>
        <v>-0.475364116593778</v>
      </c>
      <c r="ED102" s="2" t="n">
        <f aca="false">IFERROR((O102-$F102)/$F102*100,"")</f>
        <v>-0.615551925776937</v>
      </c>
      <c r="EE102" s="2" t="n">
        <f aca="false">IFERROR((P102-$F102)/$F102*100,"")</f>
        <v>-1.00382967605996</v>
      </c>
      <c r="EF102" s="2" t="n">
        <f aca="false">IFERROR((Q102-$F102)/$F102*100,"")</f>
        <v>-3.43375170190124</v>
      </c>
      <c r="EG102" s="2" t="str">
        <f aca="false">IF(DV102="","",IF(AND(ABS(DV102)&lt;=0.25,$E102="Bottom",DK102="LL"),"EQL",IF(AND(ABS(DV102)&lt;=0.25,$E102="Peak",DK102="HH"),"EQH","")))</f>
        <v/>
      </c>
      <c r="EH102" s="2" t="str">
        <f aca="false">IF(DW102="","",IF(AND(ABS(DW102)&lt;=0.25,$E102="Bottom",DL102="LL"),"EQL",IF(AND(ABS(DW102)&lt;=0.25,$E102="Peak",DL102="HH"),"EQH","")))</f>
        <v/>
      </c>
      <c r="EI102" s="2" t="str">
        <f aca="false">IF(DX102="","",IF(AND(ABS(DX102)&lt;=0.25,$E102="Bottom",DM102="LL"),"EQL",IF(AND(ABS(DX102)&lt;=0.25,$E102="Peak",DM102="HH"),"EQH","")))</f>
        <v>EQL</v>
      </c>
      <c r="EJ102" s="2" t="str">
        <f aca="false">IF(DY102="","",IF(AND(ABS(DY102)&lt;=0.25,$E102="Bottom",DN102="LL"),"EQL",IF(AND(ABS(DY102)&lt;=0.25,$E102="Peak",DN102="HH"),"EQH","")))</f>
        <v/>
      </c>
      <c r="EK102" s="2" t="str">
        <f aca="false">IF(DZ102="","",IF(AND(ABS(DZ102)&lt;=0.25,$E102="Bottom",DO102="LL"),"EQL",IF(AND(ABS(DZ102)&lt;=0.25,$E102="Peak",DO102="HH"),"EQH","")))</f>
        <v/>
      </c>
      <c r="EL102" s="2" t="str">
        <f aca="false">IF(EA102="","",IF(AND(ABS(EA102)&lt;=0.25,$E102="Bottom",DP102="LL"),"EQL",IF(AND(ABS(EA102)&lt;=0.25,$E102="Peak",DP102="HH"),"EQH","")))</f>
        <v/>
      </c>
      <c r="EM102" s="2" t="str">
        <f aca="false">IF(EB102="","",IF(AND(ABS(EB102)&lt;=0.25,$E102="Bottom",DQ102="LL"),"EQL",IF(AND(ABS(EB102)&lt;=0.25,$E102="Peak",DQ102="HH"),"EQH","")))</f>
        <v/>
      </c>
      <c r="EN102" s="2" t="str">
        <f aca="false">IF(EC102="","",IF(AND(ABS(EC102)&lt;=0.25,$E102="Bottom",DR102="LL"),"EQL",IF(AND(ABS(EC102)&lt;=0.25,$E102="Peak",DR102="HH"),"EQH","")))</f>
        <v/>
      </c>
      <c r="EO102" s="2" t="str">
        <f aca="false">IF(ED102="","",IF(AND(ABS(ED102)&lt;=0.25,$E102="Bottom",DS102="LL"),"EQL",IF(AND(ABS(ED102)&lt;=0.25,$E102="Peak",DS102="HH"),"EQH","")))</f>
        <v/>
      </c>
      <c r="EP102" s="2" t="str">
        <f aca="false">IF(EE102="","",IF(AND(ABS(EE102)&lt;=0.25,$E102="Bottom",DT102="LL"),"EQL",IF(AND(ABS(EE102)&lt;=0.25,$E102="Peak",DT102="HH"),"EQH","")))</f>
        <v/>
      </c>
      <c r="EQ102" s="2" t="str">
        <f aca="false">IF(EF102="","",IF(AND(ABS(EF102)&lt;=0.25,$E102="Bottom",DU102="LL"),"EQL",IF(AND(ABS(EF102)&lt;=0.25,$E102="Peak",DU102="HH"),"EQH","")))</f>
        <v/>
      </c>
      <c r="ER102" s="2" t="str">
        <f aca="false">IF(OR(EG102="EQL",EG102="EQH"),G102,"")</f>
        <v/>
      </c>
      <c r="ES102" s="2" t="str">
        <f aca="false">IF(OR(EH102="EQL",EH102="EQH"),H102,"")</f>
        <v/>
      </c>
      <c r="ET102" s="2" t="n">
        <f aca="false">IF(OR(EI102="EQL",EI102="EQH"),I102,"")</f>
        <v>4702</v>
      </c>
      <c r="EU102" s="2" t="str">
        <f aca="false">IF(OR(EJ102="EQL",EJ102="EQH"),J102,"")</f>
        <v/>
      </c>
      <c r="EV102" s="2" t="str">
        <f aca="false">IF(OR(EK102="EQL",EK102="EQH"),K102,"")</f>
        <v/>
      </c>
      <c r="EW102" s="2" t="str">
        <f aca="false">IF(OR(EL102="EQL",EL102="EQH"),L102,"")</f>
        <v/>
      </c>
      <c r="EX102" s="2" t="str">
        <f aca="false">IF(OR(EM102="EQL",EM102="EQH"),M102,"")</f>
        <v/>
      </c>
      <c r="EY102" s="2" t="str">
        <f aca="false">IF(OR(EN102="EQL",EN102="EQH"),N102,"")</f>
        <v/>
      </c>
      <c r="EZ102" s="2" t="str">
        <f aca="false">IF(OR(EO102="EQL",EO102="EQH"),O102,"")</f>
        <v/>
      </c>
      <c r="FA102" s="2" t="str">
        <f aca="false">IF(OR(EP102="EQL",EP102="EQH"),P102,"")</f>
        <v/>
      </c>
      <c r="FB102" s="2" t="str">
        <f aca="false">IF(OR(EQ102="EQL",EQ102="EQH"),Q102,"")</f>
        <v/>
      </c>
      <c r="FC102" s="2" t="str">
        <f aca="false">IF(AND(EG102="EQL",OR(AQ102=4,AQ102=5)),"IEQL",IF(AND(EG102="EQH",OR(AQ102=1,AQ102=2)),"IEQH",""))</f>
        <v/>
      </c>
      <c r="FD102" s="2" t="str">
        <f aca="false">IF(AND(EH102="EQL",OR(AR102=4,AR102=5)),"IEQL",IF(AND(EH102="EQH",OR(AR102=1,AR102=2)),"IEQH",""))</f>
        <v/>
      </c>
      <c r="FE102" s="2" t="str">
        <f aca="false">IF(AND(EI102="EQL",OR(AS102=4,AS102=5)),"IEQL",IF(AND(EI102="EQH",OR(AS102=1,AS102=2)),"IEQH",""))</f>
        <v/>
      </c>
      <c r="FF102" s="2" t="str">
        <f aca="false">IF(AND(EJ102="EQL",OR(AT102=4,AT102=5)),"IEQL",IF(AND(EJ102="EQH",OR(AT102=1,AT102=2)),"IEQH",""))</f>
        <v/>
      </c>
      <c r="FG102" s="2" t="str">
        <f aca="false">IF(AND(EK102="EQL",OR(AU102=4,AU102=5)),"IEQL",IF(AND(EK102="EQH",OR(AU102=1,AU102=2)),"IEQH",""))</f>
        <v/>
      </c>
      <c r="FH102" s="2" t="str">
        <f aca="false">IF(AND(EL102="EQL",OR(AV102=4,AV102=5)),"IEQL",IF(AND(EL102="EQH",OR(AV102=1,AV102=2)),"IEQH",""))</f>
        <v/>
      </c>
      <c r="FI102" s="2" t="str">
        <f aca="false">IF(AND(EM102="EQL",OR(AW102=4,AW102=5)),"IEQL",IF(AND(EM102="EQH",OR(AW102=1,AW102=2)),"IEQH",""))</f>
        <v/>
      </c>
      <c r="FJ102" s="2" t="str">
        <f aca="false">IF(AND(EN102="EQL",OR(AX102=4,AX102=5)),"IEQL",IF(AND(EN102="EQH",OR(AX102=1,AX102=2)),"IEQH",""))</f>
        <v/>
      </c>
      <c r="FK102" s="2" t="str">
        <f aca="false">IF(AND(EO102="EQL",OR(AY102=4,AY102=5)),"IEQL",IF(AND(EO102="EQH",OR(AY102=1,AY102=2)),"IEQH",""))</f>
        <v/>
      </c>
      <c r="FL102" s="2" t="str">
        <f aca="false">IF(AND(EP102="EQL",OR(AZ102=4,AZ102=5)),"IEQL",IF(AND(EP102="EQH",OR(AZ102=1,AZ102=2)),"IEQH",""))</f>
        <v/>
      </c>
      <c r="FM102" s="2" t="str">
        <f aca="false">IF(AND(EQ102="EQL",OR(BA102=4,BA102=5)),"IEQL",IF(AND(EQ102="EQH",OR(BA102=1,BA102=2)),"IEQH",""))</f>
        <v/>
      </c>
    </row>
    <row r="103" customFormat="false" ht="14.25" hidden="false" customHeight="false" outlineLevel="0" collapsed="false">
      <c r="A103" s="1" t="n">
        <v>1778544902</v>
      </c>
      <c r="B103" s="1" t="s">
        <v>169</v>
      </c>
      <c r="C103" s="1" t="s">
        <v>170</v>
      </c>
      <c r="D103" s="1" t="n">
        <v>4762.38</v>
      </c>
      <c r="E103" s="1" t="s">
        <v>173</v>
      </c>
      <c r="F103" s="1" t="n">
        <v>4773.58</v>
      </c>
      <c r="G103" s="2" t="n">
        <f aca="false">F101</f>
        <v>4748.44</v>
      </c>
      <c r="H103" s="2" t="n">
        <f aca="false">F99</f>
        <v>4705.4</v>
      </c>
      <c r="I103" s="2" t="n">
        <f aca="false">F97</f>
        <v>4728.95</v>
      </c>
      <c r="J103" s="2" t="n">
        <f aca="false">F95</f>
        <v>4749.22</v>
      </c>
      <c r="K103" s="2" t="n">
        <f aca="false">F93</f>
        <v>4727.88</v>
      </c>
      <c r="L103" s="2" t="n">
        <f aca="false">F91</f>
        <v>4734.65</v>
      </c>
      <c r="M103" s="2" t="n">
        <f aca="false">F89</f>
        <v>4764.7</v>
      </c>
      <c r="N103" s="2" t="n">
        <f aca="false">F87</f>
        <v>4721.44</v>
      </c>
      <c r="O103" s="2" t="n">
        <f aca="false">F85</f>
        <v>4701.18</v>
      </c>
      <c r="P103" s="2" t="n">
        <f aca="false">F83</f>
        <v>4717.43</v>
      </c>
      <c r="Q103" s="2" t="n">
        <f aca="false">F81</f>
        <v>4722.76</v>
      </c>
      <c r="R103" s="1" t="n">
        <v>65.61</v>
      </c>
      <c r="S103" s="2" t="n">
        <f aca="false">R101</f>
        <v>100.59</v>
      </c>
      <c r="T103" s="2" t="n">
        <f aca="false">R99</f>
        <v>34.84</v>
      </c>
      <c r="U103" s="2" t="n">
        <f aca="false">R97</f>
        <v>26.95</v>
      </c>
      <c r="V103" s="2" t="n">
        <f aca="false">R95</f>
        <v>46.22</v>
      </c>
      <c r="W103" s="2" t="n">
        <f aca="false">R93</f>
        <v>31.05</v>
      </c>
      <c r="X103" s="2" t="n">
        <f aca="false">R91</f>
        <v>56.55</v>
      </c>
      <c r="Y103" s="2" t="n">
        <f aca="false">R89</f>
        <v>72.24</v>
      </c>
      <c r="Z103" s="2" t="n">
        <f aca="false">R87</f>
        <v>35.85</v>
      </c>
      <c r="AA103" s="2" t="n">
        <f aca="false">R85</f>
        <v>22.19</v>
      </c>
      <c r="AB103" s="2" t="n">
        <f aca="false">R83</f>
        <v>56.72</v>
      </c>
      <c r="AC103" s="2" t="n">
        <f aca="false">R81</f>
        <v>176.45</v>
      </c>
      <c r="AD103" s="1" t="n">
        <v>1.39</v>
      </c>
      <c r="AE103" s="2" t="n">
        <f aca="false">AD101</f>
        <v>2.16</v>
      </c>
      <c r="AF103" s="2" t="n">
        <f aca="false">AD99</f>
        <v>0.75</v>
      </c>
      <c r="AG103" s="2" t="n">
        <f aca="false">AD97</f>
        <v>0.57</v>
      </c>
      <c r="AH103" s="2" t="n">
        <f aca="false">AD95</f>
        <v>0.98</v>
      </c>
      <c r="AI103" s="2" t="n">
        <f aca="false">AD93</f>
        <v>0.66</v>
      </c>
      <c r="AJ103" s="2" t="n">
        <f aca="false">AD91</f>
        <v>1.21</v>
      </c>
      <c r="AK103" s="2" t="n">
        <f aca="false">AD89</f>
        <v>1.54</v>
      </c>
      <c r="AL103" s="2" t="n">
        <f aca="false">AD87</f>
        <v>0.77</v>
      </c>
      <c r="AM103" s="2" t="n">
        <f aca="false">AD85</f>
        <v>0.47</v>
      </c>
      <c r="AN103" s="2" t="n">
        <f aca="false">AD83</f>
        <v>1.22</v>
      </c>
      <c r="AO103" s="2" t="n">
        <f aca="false">AD81</f>
        <v>3.88</v>
      </c>
      <c r="AP103" s="1" t="n">
        <v>0</v>
      </c>
      <c r="AQ103" s="2" t="n">
        <f aca="false">AP101</f>
        <v>1</v>
      </c>
      <c r="AR103" s="2" t="n">
        <f aca="false">AP99</f>
        <v>0</v>
      </c>
      <c r="AS103" s="2" t="n">
        <f aca="false">AP97</f>
        <v>0</v>
      </c>
      <c r="AT103" s="2" t="n">
        <f aca="false">AP95</f>
        <v>0</v>
      </c>
      <c r="AU103" s="2" t="n">
        <f aca="false">AP93</f>
        <v>0</v>
      </c>
      <c r="AV103" s="2" t="n">
        <f aca="false">AP91</f>
        <v>0</v>
      </c>
      <c r="AW103" s="2" t="n">
        <f aca="false">AP89</f>
        <v>0</v>
      </c>
      <c r="AX103" s="2" t="n">
        <f aca="false">AP87</f>
        <v>0</v>
      </c>
      <c r="AY103" s="2" t="n">
        <f aca="false">AP85</f>
        <v>0</v>
      </c>
      <c r="AZ103" s="2" t="n">
        <f aca="false">AP83</f>
        <v>0</v>
      </c>
      <c r="BA103" s="2" t="n">
        <f aca="false">AP81</f>
        <v>2</v>
      </c>
      <c r="BB103" s="1" t="n">
        <v>27</v>
      </c>
      <c r="BC103" s="2" t="n">
        <f aca="false">BB101</f>
        <v>32</v>
      </c>
      <c r="BD103" s="2" t="n">
        <f aca="false">BB99</f>
        <v>2</v>
      </c>
      <c r="BE103" s="2" t="n">
        <f aca="false">BB97</f>
        <v>10</v>
      </c>
      <c r="BF103" s="2" t="n">
        <f aca="false">BB95</f>
        <v>7</v>
      </c>
      <c r="BG103" s="2" t="n">
        <f aca="false">BB93</f>
        <v>13</v>
      </c>
      <c r="BH103" s="2" t="n">
        <f aca="false">BB91</f>
        <v>33</v>
      </c>
      <c r="BI103" s="2" t="n">
        <f aca="false">BB89</f>
        <v>42</v>
      </c>
      <c r="BJ103" s="2" t="n">
        <f aca="false">BB87</f>
        <v>4</v>
      </c>
      <c r="BK103" s="2" t="n">
        <f aca="false">BB85</f>
        <v>23</v>
      </c>
      <c r="BL103" s="2" t="n">
        <f aca="false">BB83</f>
        <v>8</v>
      </c>
      <c r="BM103" s="2" t="n">
        <f aca="false">BB81</f>
        <v>49</v>
      </c>
      <c r="BN103" s="1" t="n">
        <v>0</v>
      </c>
      <c r="BO103" s="2" t="n">
        <f aca="false">BN101</f>
        <v>1</v>
      </c>
      <c r="BP103" s="2" t="n">
        <f aca="false">BN99</f>
        <v>0</v>
      </c>
      <c r="BQ103" s="2" t="n">
        <f aca="false">BN97</f>
        <v>0</v>
      </c>
      <c r="BR103" s="2" t="n">
        <f aca="false">BN95</f>
        <v>0</v>
      </c>
      <c r="BS103" s="2" t="n">
        <f aca="false">BN93</f>
        <v>0</v>
      </c>
      <c r="BT103" s="2" t="n">
        <f aca="false">BN91</f>
        <v>0</v>
      </c>
      <c r="BU103" s="2" t="n">
        <f aca="false">BN89</f>
        <v>2</v>
      </c>
      <c r="BV103" s="2" t="n">
        <f aca="false">BN87</f>
        <v>0</v>
      </c>
      <c r="BW103" s="2" t="n">
        <f aca="false">BN85</f>
        <v>0</v>
      </c>
      <c r="BX103" s="2" t="n">
        <f aca="false">BN83</f>
        <v>0</v>
      </c>
      <c r="BY103" s="2" t="n">
        <f aca="false">BN81</f>
        <v>2</v>
      </c>
      <c r="BZ103" s="1" t="n">
        <v>2.43</v>
      </c>
      <c r="CA103" s="2" t="n">
        <f aca="false">BZ101</f>
        <v>3.14344</v>
      </c>
      <c r="CB103" s="2" t="n">
        <f aca="false">BZ99</f>
        <v>17.42</v>
      </c>
      <c r="CC103" s="2" t="n">
        <f aca="false">BZ97</f>
        <v>2.695</v>
      </c>
      <c r="CD103" s="2" t="n">
        <f aca="false">BZ95</f>
        <v>6.60286</v>
      </c>
      <c r="CE103" s="2" t="n">
        <f aca="false">BZ93</f>
        <v>2.38846</v>
      </c>
      <c r="CF103" s="2" t="n">
        <f aca="false">BZ91</f>
        <v>1.71364</v>
      </c>
      <c r="CG103" s="2" t="n">
        <f aca="false">BZ89</f>
        <v>1.72</v>
      </c>
      <c r="CH103" s="2" t="n">
        <f aca="false">BZ87</f>
        <v>8.9625</v>
      </c>
      <c r="CI103" s="2" t="n">
        <f aca="false">BZ85</f>
        <v>0.96478</v>
      </c>
      <c r="CJ103" s="2" t="n">
        <f aca="false">BZ83</f>
        <v>7.09</v>
      </c>
      <c r="CK103" s="2" t="n">
        <f aca="false">BZ81</f>
        <v>3.60102</v>
      </c>
      <c r="CL103" s="1" t="n">
        <v>0</v>
      </c>
      <c r="CM103" s="2" t="n">
        <f aca="false">CL101</f>
        <v>0</v>
      </c>
      <c r="CN103" s="2" t="n">
        <f aca="false">CL99</f>
        <v>2</v>
      </c>
      <c r="CO103" s="2" t="n">
        <f aca="false">CL97</f>
        <v>0</v>
      </c>
      <c r="CP103" s="2" t="n">
        <f aca="false">CL95</f>
        <v>0</v>
      </c>
      <c r="CQ103" s="2" t="n">
        <f aca="false">CL93</f>
        <v>0</v>
      </c>
      <c r="CR103" s="2" t="n">
        <f aca="false">CL91</f>
        <v>0</v>
      </c>
      <c r="CS103" s="2" t="n">
        <f aca="false">CL89</f>
        <v>0</v>
      </c>
      <c r="CT103" s="2" t="n">
        <f aca="false">CL87</f>
        <v>0</v>
      </c>
      <c r="CU103" s="2" t="n">
        <f aca="false">CL85</f>
        <v>0</v>
      </c>
      <c r="CV103" s="2" t="n">
        <f aca="false">CL83</f>
        <v>0</v>
      </c>
      <c r="CW103" s="2" t="n">
        <f aca="false">CL81</f>
        <v>0</v>
      </c>
      <c r="CX103" s="1" t="n">
        <v>67.6317</v>
      </c>
      <c r="CY103" s="2" t="n">
        <f aca="false">CX101</f>
        <v>72.3529</v>
      </c>
      <c r="CZ103" s="2" t="n">
        <f aca="false">CX99</f>
        <v>86.7145</v>
      </c>
      <c r="DA103" s="2" t="n">
        <f aca="false">CX97</f>
        <v>69.6422</v>
      </c>
      <c r="DB103" s="2" t="n">
        <f aca="false">CX95</f>
        <v>81.388</v>
      </c>
      <c r="DC103" s="2" t="n">
        <f aca="false">CX93</f>
        <v>67.2819</v>
      </c>
      <c r="DD103" s="2" t="n">
        <f aca="false">CX91</f>
        <v>59.7341</v>
      </c>
      <c r="DE103" s="2" t="n">
        <f aca="false">CX89</f>
        <v>59.8265</v>
      </c>
      <c r="DF103" s="2" t="n">
        <f aca="false">CX87</f>
        <v>83.6335</v>
      </c>
      <c r="DG103" s="2" t="n">
        <f aca="false">CX85</f>
        <v>43.9731</v>
      </c>
      <c r="DH103" s="2" t="n">
        <f aca="false">CX83</f>
        <v>81.9717</v>
      </c>
      <c r="DI103" s="2" t="n">
        <f aca="false">CX81</f>
        <v>74.4801</v>
      </c>
      <c r="DJ103" s="1" t="s">
        <v>176</v>
      </c>
      <c r="DK103" s="2" t="str">
        <f aca="false">DJ101</f>
        <v>HH</v>
      </c>
      <c r="DL103" s="2" t="str">
        <f aca="false">DJ99</f>
        <v>LH</v>
      </c>
      <c r="DM103" s="2" t="str">
        <f aca="false">DJ97</f>
        <v>LH</v>
      </c>
      <c r="DN103" s="2" t="str">
        <f aca="false">DJ95</f>
        <v>HH</v>
      </c>
      <c r="DO103" s="2" t="str">
        <f aca="false">DJ93</f>
        <v>LH</v>
      </c>
      <c r="DP103" s="2" t="str">
        <f aca="false">DJ91</f>
        <v>LH</v>
      </c>
      <c r="DQ103" s="2" t="str">
        <f aca="false">DJ89</f>
        <v>HH</v>
      </c>
      <c r="DR103" s="2" t="str">
        <f aca="false">DJ87</f>
        <v>HH</v>
      </c>
      <c r="DS103" s="2" t="str">
        <f aca="false">DJ85</f>
        <v>LH</v>
      </c>
      <c r="DT103" s="2" t="str">
        <f aca="false">DJ83</f>
        <v>LH</v>
      </c>
      <c r="DU103" s="2" t="str">
        <f aca="false">DJ81</f>
        <v>HH</v>
      </c>
      <c r="DV103" s="2" t="n">
        <f aca="false">IFERROR((G103-$F103)/$F103*100,"")</f>
        <v>-0.526648762563953</v>
      </c>
      <c r="DW103" s="2" t="n">
        <f aca="false">IFERROR((H103-$F103)/$F103*100,"")</f>
        <v>-1.42827814763763</v>
      </c>
      <c r="DX103" s="2" t="n">
        <f aca="false">IFERROR((I103-$F103)/$F103*100,"")</f>
        <v>-0.934937719698845</v>
      </c>
      <c r="DY103" s="2" t="n">
        <f aca="false">IFERROR((J103-$F103)/$F103*100,"")</f>
        <v>-0.510308824823291</v>
      </c>
      <c r="DZ103" s="2" t="n">
        <f aca="false">IFERROR((K103-$F103)/$F103*100,"")</f>
        <v>-0.957352762496906</v>
      </c>
      <c r="EA103" s="2" t="n">
        <f aca="false">IFERROR((L103-$F103)/$F103*100,"")</f>
        <v>-0.815530482363348</v>
      </c>
      <c r="EB103" s="2" t="n">
        <f aca="false">IFERROR((M103-$F103)/$F103*100,"")</f>
        <v>-0.186023906585835</v>
      </c>
      <c r="EC103" s="2" t="n">
        <f aca="false">IFERROR((N103-$F103)/$F103*100,"")</f>
        <v>-1.0922619920479</v>
      </c>
      <c r="ED103" s="2" t="n">
        <f aca="false">IFERROR((O103-$F103)/$F103*100,"")</f>
        <v>-1.51668140054214</v>
      </c>
      <c r="EE103" s="2" t="n">
        <f aca="false">IFERROR((P103-$F103)/$F103*100,"")</f>
        <v>-1.17626603094532</v>
      </c>
      <c r="EF103" s="2" t="n">
        <f aca="false">IFERROR((Q103-$F103)/$F103*100,"")</f>
        <v>-1.06460978971756</v>
      </c>
      <c r="EG103" s="2" t="str">
        <f aca="false">IF(DV103="","",IF(AND(ABS(DV103)&lt;=0.25,$E103="Bottom",DK103="LL"),"EQL",IF(AND(ABS(DV103)&lt;=0.25,$E103="Peak",DK103="HH"),"EQH","")))</f>
        <v/>
      </c>
      <c r="EH103" s="2" t="str">
        <f aca="false">IF(DW103="","",IF(AND(ABS(DW103)&lt;=0.25,$E103="Bottom",DL103="LL"),"EQL",IF(AND(ABS(DW103)&lt;=0.25,$E103="Peak",DL103="HH"),"EQH","")))</f>
        <v/>
      </c>
      <c r="EI103" s="2" t="str">
        <f aca="false">IF(DX103="","",IF(AND(ABS(DX103)&lt;=0.25,$E103="Bottom",DM103="LL"),"EQL",IF(AND(ABS(DX103)&lt;=0.25,$E103="Peak",DM103="HH"),"EQH","")))</f>
        <v/>
      </c>
      <c r="EJ103" s="2" t="str">
        <f aca="false">IF(DY103="","",IF(AND(ABS(DY103)&lt;=0.25,$E103="Bottom",DN103="LL"),"EQL",IF(AND(ABS(DY103)&lt;=0.25,$E103="Peak",DN103="HH"),"EQH","")))</f>
        <v/>
      </c>
      <c r="EK103" s="2" t="str">
        <f aca="false">IF(DZ103="","",IF(AND(ABS(DZ103)&lt;=0.25,$E103="Bottom",DO103="LL"),"EQL",IF(AND(ABS(DZ103)&lt;=0.25,$E103="Peak",DO103="HH"),"EQH","")))</f>
        <v/>
      </c>
      <c r="EL103" s="2" t="str">
        <f aca="false">IF(EA103="","",IF(AND(ABS(EA103)&lt;=0.25,$E103="Bottom",DP103="LL"),"EQL",IF(AND(ABS(EA103)&lt;=0.25,$E103="Peak",DP103="HH"),"EQH","")))</f>
        <v/>
      </c>
      <c r="EM103" s="2" t="str">
        <f aca="false">IF(EB103="","",IF(AND(ABS(EB103)&lt;=0.25,$E103="Bottom",DQ103="LL"),"EQL",IF(AND(ABS(EB103)&lt;=0.25,$E103="Peak",DQ103="HH"),"EQH","")))</f>
        <v>EQH</v>
      </c>
      <c r="EN103" s="2" t="str">
        <f aca="false">IF(EC103="","",IF(AND(ABS(EC103)&lt;=0.25,$E103="Bottom",DR103="LL"),"EQL",IF(AND(ABS(EC103)&lt;=0.25,$E103="Peak",DR103="HH"),"EQH","")))</f>
        <v/>
      </c>
      <c r="EO103" s="2" t="str">
        <f aca="false">IF(ED103="","",IF(AND(ABS(ED103)&lt;=0.25,$E103="Bottom",DS103="LL"),"EQL",IF(AND(ABS(ED103)&lt;=0.25,$E103="Peak",DS103="HH"),"EQH","")))</f>
        <v/>
      </c>
      <c r="EP103" s="2" t="str">
        <f aca="false">IF(EE103="","",IF(AND(ABS(EE103)&lt;=0.25,$E103="Bottom",DT103="LL"),"EQL",IF(AND(ABS(EE103)&lt;=0.25,$E103="Peak",DT103="HH"),"EQH","")))</f>
        <v/>
      </c>
      <c r="EQ103" s="2" t="str">
        <f aca="false">IF(EF103="","",IF(AND(ABS(EF103)&lt;=0.25,$E103="Bottom",DU103="LL"),"EQL",IF(AND(ABS(EF103)&lt;=0.25,$E103="Peak",DU103="HH"),"EQH","")))</f>
        <v/>
      </c>
      <c r="ER103" s="2" t="str">
        <f aca="false">IF(OR(EG103="EQL",EG103="EQH"),G103,"")</f>
        <v/>
      </c>
      <c r="ES103" s="2" t="str">
        <f aca="false">IF(OR(EH103="EQL",EH103="EQH"),H103,"")</f>
        <v/>
      </c>
      <c r="ET103" s="2" t="str">
        <f aca="false">IF(OR(EI103="EQL",EI103="EQH"),I103,"")</f>
        <v/>
      </c>
      <c r="EU103" s="2" t="str">
        <f aca="false">IF(OR(EJ103="EQL",EJ103="EQH"),J103,"")</f>
        <v/>
      </c>
      <c r="EV103" s="2" t="str">
        <f aca="false">IF(OR(EK103="EQL",EK103="EQH"),K103,"")</f>
        <v/>
      </c>
      <c r="EW103" s="2" t="str">
        <f aca="false">IF(OR(EL103="EQL",EL103="EQH"),L103,"")</f>
        <v/>
      </c>
      <c r="EX103" s="2" t="n">
        <f aca="false">IF(OR(EM103="EQL",EM103="EQH"),M103,"")</f>
        <v>4764.7</v>
      </c>
      <c r="EY103" s="2" t="str">
        <f aca="false">IF(OR(EN103="EQL",EN103="EQH"),N103,"")</f>
        <v/>
      </c>
      <c r="EZ103" s="2" t="str">
        <f aca="false">IF(OR(EO103="EQL",EO103="EQH"),O103,"")</f>
        <v/>
      </c>
      <c r="FA103" s="2" t="str">
        <f aca="false">IF(OR(EP103="EQL",EP103="EQH"),P103,"")</f>
        <v/>
      </c>
      <c r="FB103" s="2" t="str">
        <f aca="false">IF(OR(EQ103="EQL",EQ103="EQH"),Q103,"")</f>
        <v/>
      </c>
      <c r="FC103" s="2" t="str">
        <f aca="false">IF(AND(EG103="EQL",OR(AQ103=4,AQ103=5)),"IEQL",IF(AND(EG103="EQH",OR(AQ103=1,AQ103=2)),"IEQH",""))</f>
        <v/>
      </c>
      <c r="FD103" s="2" t="str">
        <f aca="false">IF(AND(EH103="EQL",OR(AR103=4,AR103=5)),"IEQL",IF(AND(EH103="EQH",OR(AR103=1,AR103=2)),"IEQH",""))</f>
        <v/>
      </c>
      <c r="FE103" s="2" t="str">
        <f aca="false">IF(AND(EI103="EQL",OR(AS103=4,AS103=5)),"IEQL",IF(AND(EI103="EQH",OR(AS103=1,AS103=2)),"IEQH",""))</f>
        <v/>
      </c>
      <c r="FF103" s="2" t="str">
        <f aca="false">IF(AND(EJ103="EQL",OR(AT103=4,AT103=5)),"IEQL",IF(AND(EJ103="EQH",OR(AT103=1,AT103=2)),"IEQH",""))</f>
        <v/>
      </c>
      <c r="FG103" s="2" t="str">
        <f aca="false">IF(AND(EK103="EQL",OR(AU103=4,AU103=5)),"IEQL",IF(AND(EK103="EQH",OR(AU103=1,AU103=2)),"IEQH",""))</f>
        <v/>
      </c>
      <c r="FH103" s="2" t="str">
        <f aca="false">IF(AND(EL103="EQL",OR(AV103=4,AV103=5)),"IEQL",IF(AND(EL103="EQH",OR(AV103=1,AV103=2)),"IEQH",""))</f>
        <v/>
      </c>
      <c r="FI103" s="2" t="str">
        <f aca="false">IF(AND(EM103="EQL",OR(AW103=4,AW103=5)),"IEQL",IF(AND(EM103="EQH",OR(AW103=1,AW103=2)),"IEQH",""))</f>
        <v/>
      </c>
      <c r="FJ103" s="2" t="str">
        <f aca="false">IF(AND(EN103="EQL",OR(AX103=4,AX103=5)),"IEQL",IF(AND(EN103="EQH",OR(AX103=1,AX103=2)),"IEQH",""))</f>
        <v/>
      </c>
      <c r="FK103" s="2" t="str">
        <f aca="false">IF(AND(EO103="EQL",OR(AY103=4,AY103=5)),"IEQL",IF(AND(EO103="EQH",OR(AY103=1,AY103=2)),"IEQH",""))</f>
        <v/>
      </c>
      <c r="FL103" s="2" t="str">
        <f aca="false">IF(AND(EP103="EQL",OR(AZ103=4,AZ103=5)),"IEQL",IF(AND(EP103="EQH",OR(AZ103=1,AZ103=2)),"IEQH",""))</f>
        <v/>
      </c>
      <c r="FM103" s="2" t="str">
        <f aca="false">IF(AND(EQ103="EQL",OR(BA103=4,BA103=5)),"IEQL",IF(AND(EQ103="EQH",OR(BA103=1,BA103=2)),"IEQH",""))</f>
        <v/>
      </c>
    </row>
    <row r="104" customFormat="false" ht="14.25" hidden="false" customHeight="false" outlineLevel="0" collapsed="false">
      <c r="A104" s="1" t="n">
        <v>1778569202</v>
      </c>
      <c r="B104" s="1" t="s">
        <v>169</v>
      </c>
      <c r="C104" s="1" t="s">
        <v>170</v>
      </c>
      <c r="D104" s="1" t="n">
        <v>4695.96</v>
      </c>
      <c r="E104" s="1" t="s">
        <v>171</v>
      </c>
      <c r="F104" s="1" t="n">
        <v>4687.49</v>
      </c>
      <c r="G104" s="2" t="n">
        <f aca="false">F102</f>
        <v>4707.97</v>
      </c>
      <c r="H104" s="2" t="n">
        <f aca="false">F100</f>
        <v>4647.85</v>
      </c>
      <c r="I104" s="2" t="n">
        <f aca="false">F98</f>
        <v>4670.56</v>
      </c>
      <c r="J104" s="2" t="n">
        <f aca="false">F96</f>
        <v>4702</v>
      </c>
      <c r="K104" s="2" t="n">
        <f aca="false">F94</f>
        <v>4703</v>
      </c>
      <c r="L104" s="2" t="n">
        <f aca="false">F92</f>
        <v>4696.83</v>
      </c>
      <c r="M104" s="2" t="n">
        <f aca="false">F90</f>
        <v>4678.1</v>
      </c>
      <c r="N104" s="2" t="n">
        <f aca="false">F88</f>
        <v>4692.46</v>
      </c>
      <c r="O104" s="2" t="n">
        <f aca="false">F86</f>
        <v>4685.59</v>
      </c>
      <c r="P104" s="2" t="n">
        <f aca="false">F84</f>
        <v>4678.99</v>
      </c>
      <c r="Q104" s="2" t="n">
        <f aca="false">F82</f>
        <v>4660.71</v>
      </c>
      <c r="R104" s="1" t="n">
        <v>-86.09</v>
      </c>
      <c r="S104" s="2" t="n">
        <f aca="false">R102</f>
        <v>-40.47</v>
      </c>
      <c r="T104" s="2" t="n">
        <f aca="false">R100</f>
        <v>-57.55</v>
      </c>
      <c r="U104" s="2" t="n">
        <f aca="false">R98</f>
        <v>-58.39</v>
      </c>
      <c r="V104" s="2" t="n">
        <f aca="false">R96</f>
        <v>-47.22</v>
      </c>
      <c r="W104" s="2" t="n">
        <f aca="false">R94</f>
        <v>-24.88</v>
      </c>
      <c r="X104" s="2" t="n">
        <f aca="false">R92</f>
        <v>-37.82</v>
      </c>
      <c r="Y104" s="2" t="n">
        <f aca="false">R90</f>
        <v>-86.6</v>
      </c>
      <c r="Z104" s="2" t="n">
        <f aca="false">R88</f>
        <v>-28.98</v>
      </c>
      <c r="AA104" s="2" t="n">
        <f aca="false">R86</f>
        <v>-15.59</v>
      </c>
      <c r="AB104" s="2" t="n">
        <f aca="false">R84</f>
        <v>-38.44</v>
      </c>
      <c r="AC104" s="2" t="n">
        <f aca="false">R82</f>
        <v>-62.05</v>
      </c>
      <c r="AD104" s="1" t="n">
        <v>-1.8</v>
      </c>
      <c r="AE104" s="2" t="n">
        <f aca="false">AD102</f>
        <v>-0.85</v>
      </c>
      <c r="AF104" s="2" t="n">
        <f aca="false">AD100</f>
        <v>-1.22</v>
      </c>
      <c r="AG104" s="2" t="n">
        <f aca="false">AD98</f>
        <v>-1.23</v>
      </c>
      <c r="AH104" s="2" t="n">
        <f aca="false">AD96</f>
        <v>-0.99</v>
      </c>
      <c r="AI104" s="2" t="n">
        <f aca="false">AD94</f>
        <v>-0.53</v>
      </c>
      <c r="AJ104" s="2" t="n">
        <f aca="false">AD92</f>
        <v>-0.8</v>
      </c>
      <c r="AK104" s="2" t="n">
        <f aca="false">AD90</f>
        <v>-1.82</v>
      </c>
      <c r="AL104" s="2" t="n">
        <f aca="false">AD88</f>
        <v>-0.61</v>
      </c>
      <c r="AM104" s="2" t="n">
        <f aca="false">AD86</f>
        <v>-0.33</v>
      </c>
      <c r="AN104" s="2" t="n">
        <f aca="false">AD84</f>
        <v>-0.81</v>
      </c>
      <c r="AO104" s="2" t="n">
        <f aca="false">AD82</f>
        <v>-1.31</v>
      </c>
      <c r="AP104" s="1" t="n">
        <v>3</v>
      </c>
      <c r="AQ104" s="2" t="n">
        <f aca="false">AP102</f>
        <v>3</v>
      </c>
      <c r="AR104" s="2" t="n">
        <f aca="false">AP100</f>
        <v>3</v>
      </c>
      <c r="AS104" s="2" t="n">
        <f aca="false">AP98</f>
        <v>3</v>
      </c>
      <c r="AT104" s="2" t="n">
        <f aca="false">AP96</f>
        <v>3</v>
      </c>
      <c r="AU104" s="2" t="n">
        <f aca="false">AP94</f>
        <v>3</v>
      </c>
      <c r="AV104" s="2" t="n">
        <f aca="false">AP92</f>
        <v>3</v>
      </c>
      <c r="AW104" s="2" t="n">
        <f aca="false">AP90</f>
        <v>3</v>
      </c>
      <c r="AX104" s="2" t="n">
        <f aca="false">AP88</f>
        <v>3</v>
      </c>
      <c r="AY104" s="2" t="n">
        <f aca="false">AP86</f>
        <v>3</v>
      </c>
      <c r="AZ104" s="2" t="n">
        <f aca="false">AP84</f>
        <v>3</v>
      </c>
      <c r="BA104" s="2" t="n">
        <f aca="false">AP82</f>
        <v>3</v>
      </c>
      <c r="BB104" s="1" t="n">
        <v>27</v>
      </c>
      <c r="BC104" s="2" t="n">
        <f aca="false">BB102</f>
        <v>11</v>
      </c>
      <c r="BD104" s="2" t="n">
        <f aca="false">BB100</f>
        <v>18</v>
      </c>
      <c r="BE104" s="2" t="n">
        <f aca="false">BB98</f>
        <v>22</v>
      </c>
      <c r="BF104" s="2" t="n">
        <f aca="false">BB96</f>
        <v>7</v>
      </c>
      <c r="BG104" s="2" t="n">
        <f aca="false">BB94</f>
        <v>7</v>
      </c>
      <c r="BH104" s="2" t="n">
        <f aca="false">BB92</f>
        <v>4</v>
      </c>
      <c r="BI104" s="2" t="n">
        <f aca="false">BB90</f>
        <v>24</v>
      </c>
      <c r="BJ104" s="2" t="n">
        <f aca="false">BB88</f>
        <v>11</v>
      </c>
      <c r="BK104" s="2" t="n">
        <f aca="false">BB86</f>
        <v>2</v>
      </c>
      <c r="BL104" s="2" t="n">
        <f aca="false">BB84</f>
        <v>13</v>
      </c>
      <c r="BM104" s="2" t="n">
        <f aca="false">BB82</f>
        <v>6</v>
      </c>
      <c r="BN104" s="1" t="n">
        <v>3</v>
      </c>
      <c r="BO104" s="2" t="n">
        <f aca="false">BN102</f>
        <v>3</v>
      </c>
      <c r="BP104" s="2" t="n">
        <f aca="false">BN100</f>
        <v>3</v>
      </c>
      <c r="BQ104" s="2" t="n">
        <f aca="false">BN98</f>
        <v>3</v>
      </c>
      <c r="BR104" s="2" t="n">
        <f aca="false">BN96</f>
        <v>3</v>
      </c>
      <c r="BS104" s="2" t="n">
        <f aca="false">BN94</f>
        <v>3</v>
      </c>
      <c r="BT104" s="2" t="n">
        <f aca="false">BN92</f>
        <v>3</v>
      </c>
      <c r="BU104" s="2" t="n">
        <f aca="false">BN90</f>
        <v>3</v>
      </c>
      <c r="BV104" s="2" t="n">
        <f aca="false">BN88</f>
        <v>3</v>
      </c>
      <c r="BW104" s="2" t="n">
        <f aca="false">BN86</f>
        <v>3</v>
      </c>
      <c r="BX104" s="2" t="n">
        <f aca="false">BN84</f>
        <v>3</v>
      </c>
      <c r="BY104" s="2" t="n">
        <f aca="false">BN82</f>
        <v>3</v>
      </c>
      <c r="BZ104" s="1" t="n">
        <v>-3.18852</v>
      </c>
      <c r="CA104" s="2" t="n">
        <f aca="false">BZ102</f>
        <v>-3.67909</v>
      </c>
      <c r="CB104" s="2" t="n">
        <f aca="false">BZ100</f>
        <v>-3.19722</v>
      </c>
      <c r="CC104" s="2" t="n">
        <f aca="false">BZ98</f>
        <v>-2.65409</v>
      </c>
      <c r="CD104" s="2" t="n">
        <f aca="false">BZ96</f>
        <v>-6.74571</v>
      </c>
      <c r="CE104" s="2" t="n">
        <f aca="false">BZ94</f>
        <v>-3.55429</v>
      </c>
      <c r="CF104" s="2" t="n">
        <f aca="false">BZ92</f>
        <v>-9.455</v>
      </c>
      <c r="CG104" s="2" t="n">
        <f aca="false">BZ90</f>
        <v>-3.60833</v>
      </c>
      <c r="CH104" s="2" t="n">
        <f aca="false">BZ88</f>
        <v>-2.63455</v>
      </c>
      <c r="CI104" s="2" t="n">
        <f aca="false">BZ86</f>
        <v>-7.795</v>
      </c>
      <c r="CJ104" s="2" t="n">
        <f aca="false">BZ84</f>
        <v>-2.95692</v>
      </c>
      <c r="CK104" s="2" t="n">
        <f aca="false">BZ82</f>
        <v>-10.34167</v>
      </c>
      <c r="CL104" s="1" t="n">
        <v>3</v>
      </c>
      <c r="CM104" s="2" t="n">
        <f aca="false">CL102</f>
        <v>3</v>
      </c>
      <c r="CN104" s="2" t="n">
        <f aca="false">CL100</f>
        <v>3</v>
      </c>
      <c r="CO104" s="2" t="n">
        <f aca="false">CL98</f>
        <v>3</v>
      </c>
      <c r="CP104" s="2" t="n">
        <f aca="false">CL96</f>
        <v>3</v>
      </c>
      <c r="CQ104" s="2" t="n">
        <f aca="false">CL94</f>
        <v>3</v>
      </c>
      <c r="CR104" s="2" t="n">
        <f aca="false">CL92</f>
        <v>4</v>
      </c>
      <c r="CS104" s="2" t="n">
        <f aca="false">CL90</f>
        <v>3</v>
      </c>
      <c r="CT104" s="2" t="n">
        <f aca="false">CL88</f>
        <v>3</v>
      </c>
      <c r="CU104" s="2" t="n">
        <f aca="false">CL86</f>
        <v>3</v>
      </c>
      <c r="CV104" s="2" t="n">
        <f aca="false">CL84</f>
        <v>3</v>
      </c>
      <c r="CW104" s="2" t="n">
        <f aca="false">CL82</f>
        <v>5</v>
      </c>
      <c r="CX104" s="1" t="n">
        <v>-72.5873</v>
      </c>
      <c r="CY104" s="2" t="n">
        <f aca="false">CX102</f>
        <v>-74.794</v>
      </c>
      <c r="CZ104" s="2" t="n">
        <f aca="false">CX100</f>
        <v>-72.6318</v>
      </c>
      <c r="DA104" s="2" t="n">
        <f aca="false">CX98</f>
        <v>-69.3548</v>
      </c>
      <c r="DB104" s="2" t="n">
        <f aca="false">CX96</f>
        <v>-81.5678</v>
      </c>
      <c r="DC104" s="2" t="n">
        <f aca="false">CX94</f>
        <v>-74.286</v>
      </c>
      <c r="DD104" s="2" t="n">
        <f aca="false">CX92</f>
        <v>-83.9626</v>
      </c>
      <c r="DE104" s="2" t="n">
        <f aca="false">CX90</f>
        <v>-74.51</v>
      </c>
      <c r="DF104" s="2" t="n">
        <f aca="false">CX88</f>
        <v>-69.2146</v>
      </c>
      <c r="DG104" s="2" t="n">
        <f aca="false">CX86</f>
        <v>-82.6896</v>
      </c>
      <c r="DH104" s="2" t="n">
        <f aca="false">CX84</f>
        <v>-71.315</v>
      </c>
      <c r="DI104" s="2" t="n">
        <f aca="false">CX82</f>
        <v>-84.4769</v>
      </c>
      <c r="DJ104" s="1" t="s">
        <v>172</v>
      </c>
      <c r="DK104" s="2" t="str">
        <f aca="false">DJ102</f>
        <v>HL</v>
      </c>
      <c r="DL104" s="2" t="str">
        <f aca="false">DJ100</f>
        <v>LL</v>
      </c>
      <c r="DM104" s="2" t="str">
        <f aca="false">DJ98</f>
        <v>LL</v>
      </c>
      <c r="DN104" s="2" t="str">
        <f aca="false">DJ96</f>
        <v>LL</v>
      </c>
      <c r="DO104" s="2" t="str">
        <f aca="false">DJ94</f>
        <v>HL</v>
      </c>
      <c r="DP104" s="2" t="str">
        <f aca="false">DJ92</f>
        <v>HL</v>
      </c>
      <c r="DQ104" s="2" t="str">
        <f aca="false">DJ90</f>
        <v>LL</v>
      </c>
      <c r="DR104" s="2" t="str">
        <f aca="false">DJ88</f>
        <v>HL</v>
      </c>
      <c r="DS104" s="2" t="str">
        <f aca="false">DJ86</f>
        <v>HL</v>
      </c>
      <c r="DT104" s="2" t="str">
        <f aca="false">DJ84</f>
        <v>HL</v>
      </c>
      <c r="DU104" s="2" t="str">
        <f aca="false">DJ82</f>
        <v>HL</v>
      </c>
      <c r="DV104" s="2" t="n">
        <f aca="false">IFERROR((G104-$F104)/$F104*100,"")</f>
        <v>0.436907598736221</v>
      </c>
      <c r="DW104" s="2" t="n">
        <f aca="false">IFERROR((H104-$F104)/$F104*100,"")</f>
        <v>-0.845655137397614</v>
      </c>
      <c r="DX104" s="2" t="n">
        <f aca="false">IFERROR((I104-$F104)/$F104*100,"")</f>
        <v>-0.361174103838075</v>
      </c>
      <c r="DY104" s="2" t="n">
        <f aca="false">IFERROR((J104-$F104)/$F104*100,"")</f>
        <v>0.309547327034302</v>
      </c>
      <c r="DZ104" s="2" t="n">
        <f aca="false">IFERROR((K104-$F104)/$F104*100,"")</f>
        <v>0.330880705878844</v>
      </c>
      <c r="EA104" s="2" t="n">
        <f aca="false">IFERROR((L104-$F104)/$F104*100,"")</f>
        <v>0.199253758408021</v>
      </c>
      <c r="EB104" s="2" t="n">
        <f aca="false">IFERROR((M104-$F104)/$F104*100,"")</f>
        <v>-0.200320427350233</v>
      </c>
      <c r="EC104" s="2" t="n">
        <f aca="false">IFERROR((N104-$F104)/$F104*100,"")</f>
        <v>0.106026892857377</v>
      </c>
      <c r="ED104" s="2" t="n">
        <f aca="false">IFERROR((O104-$F104)/$F104*100,"")</f>
        <v>-0.0405334198046212</v>
      </c>
      <c r="EE104" s="2" t="n">
        <f aca="false">IFERROR((P104-$F104)/$F104*100,"")</f>
        <v>-0.181333720178603</v>
      </c>
      <c r="EF104" s="2" t="n">
        <f aca="false">IFERROR((Q104-$F104)/$F104*100,"")</f>
        <v>-0.571307885456817</v>
      </c>
      <c r="EG104" s="2" t="str">
        <f aca="false">IF(DV104="","",IF(AND(ABS(DV104)&lt;=0.25,$E104="Bottom",DK104="LL"),"EQL",IF(AND(ABS(DV104)&lt;=0.25,$E104="Peak",DK104="HH"),"EQH","")))</f>
        <v/>
      </c>
      <c r="EH104" s="2" t="str">
        <f aca="false">IF(DW104="","",IF(AND(ABS(DW104)&lt;=0.25,$E104="Bottom",DL104="LL"),"EQL",IF(AND(ABS(DW104)&lt;=0.25,$E104="Peak",DL104="HH"),"EQH","")))</f>
        <v/>
      </c>
      <c r="EI104" s="2" t="str">
        <f aca="false">IF(DX104="","",IF(AND(ABS(DX104)&lt;=0.25,$E104="Bottom",DM104="LL"),"EQL",IF(AND(ABS(DX104)&lt;=0.25,$E104="Peak",DM104="HH"),"EQH","")))</f>
        <v/>
      </c>
      <c r="EJ104" s="2" t="str">
        <f aca="false">IF(DY104="","",IF(AND(ABS(DY104)&lt;=0.25,$E104="Bottom",DN104="LL"),"EQL",IF(AND(ABS(DY104)&lt;=0.25,$E104="Peak",DN104="HH"),"EQH","")))</f>
        <v/>
      </c>
      <c r="EK104" s="2" t="str">
        <f aca="false">IF(DZ104="","",IF(AND(ABS(DZ104)&lt;=0.25,$E104="Bottom",DO104="LL"),"EQL",IF(AND(ABS(DZ104)&lt;=0.25,$E104="Peak",DO104="HH"),"EQH","")))</f>
        <v/>
      </c>
      <c r="EL104" s="2" t="str">
        <f aca="false">IF(EA104="","",IF(AND(ABS(EA104)&lt;=0.25,$E104="Bottom",DP104="LL"),"EQL",IF(AND(ABS(EA104)&lt;=0.25,$E104="Peak",DP104="HH"),"EQH","")))</f>
        <v/>
      </c>
      <c r="EM104" s="2" t="str">
        <f aca="false">IF(EB104="","",IF(AND(ABS(EB104)&lt;=0.25,$E104="Bottom",DQ104="LL"),"EQL",IF(AND(ABS(EB104)&lt;=0.25,$E104="Peak",DQ104="HH"),"EQH","")))</f>
        <v>EQL</v>
      </c>
      <c r="EN104" s="2" t="str">
        <f aca="false">IF(EC104="","",IF(AND(ABS(EC104)&lt;=0.25,$E104="Bottom",DR104="LL"),"EQL",IF(AND(ABS(EC104)&lt;=0.25,$E104="Peak",DR104="HH"),"EQH","")))</f>
        <v/>
      </c>
      <c r="EO104" s="2" t="str">
        <f aca="false">IF(ED104="","",IF(AND(ABS(ED104)&lt;=0.25,$E104="Bottom",DS104="LL"),"EQL",IF(AND(ABS(ED104)&lt;=0.25,$E104="Peak",DS104="HH"),"EQH","")))</f>
        <v/>
      </c>
      <c r="EP104" s="2" t="str">
        <f aca="false">IF(EE104="","",IF(AND(ABS(EE104)&lt;=0.25,$E104="Bottom",DT104="LL"),"EQL",IF(AND(ABS(EE104)&lt;=0.25,$E104="Peak",DT104="HH"),"EQH","")))</f>
        <v/>
      </c>
      <c r="EQ104" s="2" t="str">
        <f aca="false">IF(EF104="","",IF(AND(ABS(EF104)&lt;=0.25,$E104="Bottom",DU104="LL"),"EQL",IF(AND(ABS(EF104)&lt;=0.25,$E104="Peak",DU104="HH"),"EQH","")))</f>
        <v/>
      </c>
      <c r="ER104" s="2" t="str">
        <f aca="false">IF(OR(EG104="EQL",EG104="EQH"),G104,"")</f>
        <v/>
      </c>
      <c r="ES104" s="2" t="str">
        <f aca="false">IF(OR(EH104="EQL",EH104="EQH"),H104,"")</f>
        <v/>
      </c>
      <c r="ET104" s="2" t="str">
        <f aca="false">IF(OR(EI104="EQL",EI104="EQH"),I104,"")</f>
        <v/>
      </c>
      <c r="EU104" s="2" t="str">
        <f aca="false">IF(OR(EJ104="EQL",EJ104="EQH"),J104,"")</f>
        <v/>
      </c>
      <c r="EV104" s="2" t="str">
        <f aca="false">IF(OR(EK104="EQL",EK104="EQH"),K104,"")</f>
        <v/>
      </c>
      <c r="EW104" s="2" t="str">
        <f aca="false">IF(OR(EL104="EQL",EL104="EQH"),L104,"")</f>
        <v/>
      </c>
      <c r="EX104" s="2" t="n">
        <f aca="false">IF(OR(EM104="EQL",EM104="EQH"),M104,"")</f>
        <v>4678.1</v>
      </c>
      <c r="EY104" s="2" t="str">
        <f aca="false">IF(OR(EN104="EQL",EN104="EQH"),N104,"")</f>
        <v/>
      </c>
      <c r="EZ104" s="2" t="str">
        <f aca="false">IF(OR(EO104="EQL",EO104="EQH"),O104,"")</f>
        <v/>
      </c>
      <c r="FA104" s="2" t="str">
        <f aca="false">IF(OR(EP104="EQL",EP104="EQH"),P104,"")</f>
        <v/>
      </c>
      <c r="FB104" s="2" t="str">
        <f aca="false">IF(OR(EQ104="EQL",EQ104="EQH"),Q104,"")</f>
        <v/>
      </c>
      <c r="FC104" s="2" t="str">
        <f aca="false">IF(AND(EG104="EQL",OR(AQ104=4,AQ104=5)),"IEQL",IF(AND(EG104="EQH",OR(AQ104=1,AQ104=2)),"IEQH",""))</f>
        <v/>
      </c>
      <c r="FD104" s="2" t="str">
        <f aca="false">IF(AND(EH104="EQL",OR(AR104=4,AR104=5)),"IEQL",IF(AND(EH104="EQH",OR(AR104=1,AR104=2)),"IEQH",""))</f>
        <v/>
      </c>
      <c r="FE104" s="2" t="str">
        <f aca="false">IF(AND(EI104="EQL",OR(AS104=4,AS104=5)),"IEQL",IF(AND(EI104="EQH",OR(AS104=1,AS104=2)),"IEQH",""))</f>
        <v/>
      </c>
      <c r="FF104" s="2" t="str">
        <f aca="false">IF(AND(EJ104="EQL",OR(AT104=4,AT104=5)),"IEQL",IF(AND(EJ104="EQH",OR(AT104=1,AT104=2)),"IEQH",""))</f>
        <v/>
      </c>
      <c r="FG104" s="2" t="str">
        <f aca="false">IF(AND(EK104="EQL",OR(AU104=4,AU104=5)),"IEQL",IF(AND(EK104="EQH",OR(AU104=1,AU104=2)),"IEQH",""))</f>
        <v/>
      </c>
      <c r="FH104" s="2" t="str">
        <f aca="false">IF(AND(EL104="EQL",OR(AV104=4,AV104=5)),"IEQL",IF(AND(EL104="EQH",OR(AV104=1,AV104=2)),"IEQH",""))</f>
        <v/>
      </c>
      <c r="FI104" s="2" t="str">
        <f aca="false">IF(AND(EM104="EQL",OR(AW104=4,AW104=5)),"IEQL",IF(AND(EM104="EQH",OR(AW104=1,AW104=2)),"IEQH",""))</f>
        <v/>
      </c>
      <c r="FJ104" s="2" t="str">
        <f aca="false">IF(AND(EN104="EQL",OR(AX104=4,AX104=5)),"IEQL",IF(AND(EN104="EQH",OR(AX104=1,AX104=2)),"IEQH",""))</f>
        <v/>
      </c>
      <c r="FK104" s="2" t="str">
        <f aca="false">IF(AND(EO104="EQL",OR(AY104=4,AY104=5)),"IEQL",IF(AND(EO104="EQH",OR(AY104=1,AY104=2)),"IEQH",""))</f>
        <v/>
      </c>
      <c r="FL104" s="2" t="str">
        <f aca="false">IF(AND(EP104="EQL",OR(AZ104=4,AZ104=5)),"IEQL",IF(AND(EP104="EQH",OR(AZ104=1,AZ104=2)),"IEQH",""))</f>
        <v/>
      </c>
      <c r="FM104" s="2" t="str">
        <f aca="false">IF(AND(EQ104="EQL",OR(BA104=4,BA104=5)),"IEQL",IF(AND(EQ104="EQH",OR(BA104=1,BA104=2)),"IEQH",""))</f>
        <v/>
      </c>
    </row>
    <row r="105" customFormat="false" ht="14.25" hidden="false" customHeight="false" outlineLevel="0" collapsed="false">
      <c r="A105" s="1" t="n">
        <v>1778580002</v>
      </c>
      <c r="B105" s="1" t="s">
        <v>169</v>
      </c>
      <c r="C105" s="1" t="s">
        <v>170</v>
      </c>
      <c r="D105" s="1" t="n">
        <v>4705.08</v>
      </c>
      <c r="E105" s="1" t="s">
        <v>173</v>
      </c>
      <c r="F105" s="1" t="n">
        <v>4708.47</v>
      </c>
      <c r="G105" s="2" t="n">
        <f aca="false">F103</f>
        <v>4773.58</v>
      </c>
      <c r="H105" s="2" t="n">
        <f aca="false">F101</f>
        <v>4748.44</v>
      </c>
      <c r="I105" s="2" t="n">
        <f aca="false">F99</f>
        <v>4705.4</v>
      </c>
      <c r="J105" s="2" t="n">
        <f aca="false">F97</f>
        <v>4728.95</v>
      </c>
      <c r="K105" s="2" t="n">
        <f aca="false">F95</f>
        <v>4749.22</v>
      </c>
      <c r="L105" s="2" t="n">
        <f aca="false">F93</f>
        <v>4727.88</v>
      </c>
      <c r="M105" s="2" t="n">
        <f aca="false">F91</f>
        <v>4734.65</v>
      </c>
      <c r="N105" s="2" t="n">
        <f aca="false">F89</f>
        <v>4764.7</v>
      </c>
      <c r="O105" s="2" t="n">
        <f aca="false">F87</f>
        <v>4721.44</v>
      </c>
      <c r="P105" s="2" t="n">
        <f aca="false">F85</f>
        <v>4701.18</v>
      </c>
      <c r="Q105" s="2" t="n">
        <f aca="false">F83</f>
        <v>4717.43</v>
      </c>
      <c r="R105" s="1" t="n">
        <v>20.98</v>
      </c>
      <c r="S105" s="2" t="n">
        <f aca="false">R103</f>
        <v>65.61</v>
      </c>
      <c r="T105" s="2" t="n">
        <f aca="false">R101</f>
        <v>100.59</v>
      </c>
      <c r="U105" s="2" t="n">
        <f aca="false">R99</f>
        <v>34.84</v>
      </c>
      <c r="V105" s="2" t="n">
        <f aca="false">R97</f>
        <v>26.95</v>
      </c>
      <c r="W105" s="2" t="n">
        <f aca="false">R95</f>
        <v>46.22</v>
      </c>
      <c r="X105" s="2" t="n">
        <f aca="false">R93</f>
        <v>31.05</v>
      </c>
      <c r="Y105" s="2" t="n">
        <f aca="false">R91</f>
        <v>56.55</v>
      </c>
      <c r="Z105" s="2" t="n">
        <f aca="false">R89</f>
        <v>72.24</v>
      </c>
      <c r="AA105" s="2" t="n">
        <f aca="false">R87</f>
        <v>35.85</v>
      </c>
      <c r="AB105" s="2" t="n">
        <f aca="false">R85</f>
        <v>22.19</v>
      </c>
      <c r="AC105" s="2" t="n">
        <f aca="false">R83</f>
        <v>56.72</v>
      </c>
      <c r="AD105" s="1" t="n">
        <v>0.45</v>
      </c>
      <c r="AE105" s="2" t="n">
        <f aca="false">AD103</f>
        <v>1.39</v>
      </c>
      <c r="AF105" s="2" t="n">
        <f aca="false">AD101</f>
        <v>2.16</v>
      </c>
      <c r="AG105" s="2" t="n">
        <f aca="false">AD99</f>
        <v>0.75</v>
      </c>
      <c r="AH105" s="2" t="n">
        <f aca="false">AD97</f>
        <v>0.57</v>
      </c>
      <c r="AI105" s="2" t="n">
        <f aca="false">AD95</f>
        <v>0.98</v>
      </c>
      <c r="AJ105" s="2" t="n">
        <f aca="false">AD93</f>
        <v>0.66</v>
      </c>
      <c r="AK105" s="2" t="n">
        <f aca="false">AD91</f>
        <v>1.21</v>
      </c>
      <c r="AL105" s="2" t="n">
        <f aca="false">AD89</f>
        <v>1.54</v>
      </c>
      <c r="AM105" s="2" t="n">
        <f aca="false">AD87</f>
        <v>0.77</v>
      </c>
      <c r="AN105" s="2" t="n">
        <f aca="false">AD85</f>
        <v>0.47</v>
      </c>
      <c r="AO105" s="2" t="n">
        <f aca="false">AD83</f>
        <v>1.22</v>
      </c>
      <c r="AP105" s="1" t="n">
        <v>0</v>
      </c>
      <c r="AQ105" s="2" t="n">
        <f aca="false">AP103</f>
        <v>0</v>
      </c>
      <c r="AR105" s="2" t="n">
        <f aca="false">AP101</f>
        <v>1</v>
      </c>
      <c r="AS105" s="2" t="n">
        <f aca="false">AP99</f>
        <v>0</v>
      </c>
      <c r="AT105" s="2" t="n">
        <f aca="false">AP97</f>
        <v>0</v>
      </c>
      <c r="AU105" s="2" t="n">
        <f aca="false">AP95</f>
        <v>0</v>
      </c>
      <c r="AV105" s="2" t="n">
        <f aca="false">AP93</f>
        <v>0</v>
      </c>
      <c r="AW105" s="2" t="n">
        <f aca="false">AP91</f>
        <v>0</v>
      </c>
      <c r="AX105" s="2" t="n">
        <f aca="false">AP89</f>
        <v>0</v>
      </c>
      <c r="AY105" s="2" t="n">
        <f aca="false">AP87</f>
        <v>0</v>
      </c>
      <c r="AZ105" s="2" t="n">
        <f aca="false">AP85</f>
        <v>0</v>
      </c>
      <c r="BA105" s="2" t="n">
        <f aca="false">AP83</f>
        <v>0</v>
      </c>
      <c r="BB105" s="1" t="n">
        <v>12</v>
      </c>
      <c r="BC105" s="2" t="n">
        <f aca="false">BB103</f>
        <v>27</v>
      </c>
      <c r="BD105" s="2" t="n">
        <f aca="false">BB101</f>
        <v>32</v>
      </c>
      <c r="BE105" s="2" t="n">
        <f aca="false">BB99</f>
        <v>2</v>
      </c>
      <c r="BF105" s="2" t="n">
        <f aca="false">BB97</f>
        <v>10</v>
      </c>
      <c r="BG105" s="2" t="n">
        <f aca="false">BB95</f>
        <v>7</v>
      </c>
      <c r="BH105" s="2" t="n">
        <f aca="false">BB93</f>
        <v>13</v>
      </c>
      <c r="BI105" s="2" t="n">
        <f aca="false">BB91</f>
        <v>33</v>
      </c>
      <c r="BJ105" s="2" t="n">
        <f aca="false">BB89</f>
        <v>42</v>
      </c>
      <c r="BK105" s="2" t="n">
        <f aca="false">BB87</f>
        <v>4</v>
      </c>
      <c r="BL105" s="2" t="n">
        <f aca="false">BB85</f>
        <v>23</v>
      </c>
      <c r="BM105" s="2" t="n">
        <f aca="false">BB83</f>
        <v>8</v>
      </c>
      <c r="BN105" s="1" t="n">
        <v>0</v>
      </c>
      <c r="BO105" s="2" t="n">
        <f aca="false">BN103</f>
        <v>0</v>
      </c>
      <c r="BP105" s="2" t="n">
        <f aca="false">BN101</f>
        <v>1</v>
      </c>
      <c r="BQ105" s="2" t="n">
        <f aca="false">BN99</f>
        <v>0</v>
      </c>
      <c r="BR105" s="2" t="n">
        <f aca="false">BN97</f>
        <v>0</v>
      </c>
      <c r="BS105" s="2" t="n">
        <f aca="false">BN95</f>
        <v>0</v>
      </c>
      <c r="BT105" s="2" t="n">
        <f aca="false">BN93</f>
        <v>0</v>
      </c>
      <c r="BU105" s="2" t="n">
        <f aca="false">BN91</f>
        <v>0</v>
      </c>
      <c r="BV105" s="2" t="n">
        <f aca="false">BN89</f>
        <v>2</v>
      </c>
      <c r="BW105" s="2" t="n">
        <f aca="false">BN87</f>
        <v>0</v>
      </c>
      <c r="BX105" s="2" t="n">
        <f aca="false">BN85</f>
        <v>0</v>
      </c>
      <c r="BY105" s="2" t="n">
        <f aca="false">BN83</f>
        <v>0</v>
      </c>
      <c r="BZ105" s="1" t="n">
        <v>1.74833</v>
      </c>
      <c r="CA105" s="2" t="n">
        <f aca="false">BZ103</f>
        <v>2.43</v>
      </c>
      <c r="CB105" s="2" t="n">
        <f aca="false">BZ101</f>
        <v>3.14344</v>
      </c>
      <c r="CC105" s="2" t="n">
        <f aca="false">BZ99</f>
        <v>17.42</v>
      </c>
      <c r="CD105" s="2" t="n">
        <f aca="false">BZ97</f>
        <v>2.695</v>
      </c>
      <c r="CE105" s="2" t="n">
        <f aca="false">BZ95</f>
        <v>6.60286</v>
      </c>
      <c r="CF105" s="2" t="n">
        <f aca="false">BZ93</f>
        <v>2.38846</v>
      </c>
      <c r="CG105" s="2" t="n">
        <f aca="false">BZ91</f>
        <v>1.71364</v>
      </c>
      <c r="CH105" s="2" t="n">
        <f aca="false">BZ89</f>
        <v>1.72</v>
      </c>
      <c r="CI105" s="2" t="n">
        <f aca="false">BZ87</f>
        <v>8.9625</v>
      </c>
      <c r="CJ105" s="2" t="n">
        <f aca="false">BZ85</f>
        <v>0.96478</v>
      </c>
      <c r="CK105" s="2" t="n">
        <f aca="false">BZ83</f>
        <v>7.09</v>
      </c>
      <c r="CL105" s="1" t="n">
        <v>0</v>
      </c>
      <c r="CM105" s="2" t="n">
        <f aca="false">CL103</f>
        <v>0</v>
      </c>
      <c r="CN105" s="2" t="n">
        <f aca="false">CL101</f>
        <v>0</v>
      </c>
      <c r="CO105" s="2" t="n">
        <f aca="false">CL99</f>
        <v>2</v>
      </c>
      <c r="CP105" s="2" t="n">
        <f aca="false">CL97</f>
        <v>0</v>
      </c>
      <c r="CQ105" s="2" t="n">
        <f aca="false">CL95</f>
        <v>0</v>
      </c>
      <c r="CR105" s="2" t="n">
        <f aca="false">CL93</f>
        <v>0</v>
      </c>
      <c r="CS105" s="2" t="n">
        <f aca="false">CL91</f>
        <v>0</v>
      </c>
      <c r="CT105" s="2" t="n">
        <f aca="false">CL89</f>
        <v>0</v>
      </c>
      <c r="CU105" s="2" t="n">
        <f aca="false">CL87</f>
        <v>0</v>
      </c>
      <c r="CV105" s="2" t="n">
        <f aca="false">CL85</f>
        <v>0</v>
      </c>
      <c r="CW105" s="2" t="n">
        <f aca="false">CL83</f>
        <v>0</v>
      </c>
      <c r="CX105" s="1" t="n">
        <v>60.2316</v>
      </c>
      <c r="CY105" s="2" t="n">
        <f aca="false">CX103</f>
        <v>67.6317</v>
      </c>
      <c r="CZ105" s="2" t="n">
        <f aca="false">CX101</f>
        <v>72.3529</v>
      </c>
      <c r="DA105" s="2" t="n">
        <f aca="false">CX99</f>
        <v>86.7145</v>
      </c>
      <c r="DB105" s="2" t="n">
        <f aca="false">CX97</f>
        <v>69.6422</v>
      </c>
      <c r="DC105" s="2" t="n">
        <f aca="false">CX95</f>
        <v>81.388</v>
      </c>
      <c r="DD105" s="2" t="n">
        <f aca="false">CX93</f>
        <v>67.2819</v>
      </c>
      <c r="DE105" s="2" t="n">
        <f aca="false">CX91</f>
        <v>59.7341</v>
      </c>
      <c r="DF105" s="2" t="n">
        <f aca="false">CX89</f>
        <v>59.8265</v>
      </c>
      <c r="DG105" s="2" t="n">
        <f aca="false">CX87</f>
        <v>83.6335</v>
      </c>
      <c r="DH105" s="2" t="n">
        <f aca="false">CX85</f>
        <v>43.9731</v>
      </c>
      <c r="DI105" s="2" t="n">
        <f aca="false">CX83</f>
        <v>81.9717</v>
      </c>
      <c r="DJ105" s="1" t="s">
        <v>174</v>
      </c>
      <c r="DK105" s="2" t="str">
        <f aca="false">DJ103</f>
        <v>HH</v>
      </c>
      <c r="DL105" s="2" t="str">
        <f aca="false">DJ101</f>
        <v>HH</v>
      </c>
      <c r="DM105" s="2" t="str">
        <f aca="false">DJ99</f>
        <v>LH</v>
      </c>
      <c r="DN105" s="2" t="str">
        <f aca="false">DJ97</f>
        <v>LH</v>
      </c>
      <c r="DO105" s="2" t="str">
        <f aca="false">DJ95</f>
        <v>HH</v>
      </c>
      <c r="DP105" s="2" t="str">
        <f aca="false">DJ93</f>
        <v>LH</v>
      </c>
      <c r="DQ105" s="2" t="str">
        <f aca="false">DJ91</f>
        <v>LH</v>
      </c>
      <c r="DR105" s="2" t="str">
        <f aca="false">DJ89</f>
        <v>HH</v>
      </c>
      <c r="DS105" s="2" t="str">
        <f aca="false">DJ87</f>
        <v>HH</v>
      </c>
      <c r="DT105" s="2" t="str">
        <f aca="false">DJ85</f>
        <v>LH</v>
      </c>
      <c r="DU105" s="2" t="str">
        <f aca="false">DJ83</f>
        <v>LH</v>
      </c>
      <c r="DV105" s="2" t="n">
        <f aca="false">IFERROR((G105-$F105)/$F105*100,"")</f>
        <v>1.38282711793852</v>
      </c>
      <c r="DW105" s="2" t="n">
        <f aca="false">IFERROR((H105-$F105)/$F105*100,"")</f>
        <v>0.848895713469542</v>
      </c>
      <c r="DX105" s="2" t="n">
        <f aca="false">IFERROR((I105-$F105)/$F105*100,"")</f>
        <v>-0.0652016472442347</v>
      </c>
      <c r="DY105" s="2" t="n">
        <f aca="false">IFERROR((J105-$F105)/$F105*100,"")</f>
        <v>0.43496082591584</v>
      </c>
      <c r="DZ105" s="2" t="n">
        <f aca="false">IFERROR((K105-$F105)/$F105*100,"")</f>
        <v>0.865461604300335</v>
      </c>
      <c r="EA105" s="2" t="n">
        <f aca="false">IFERROR((L105-$F105)/$F105*100,"")</f>
        <v>0.41223582182747</v>
      </c>
      <c r="EB105" s="2" t="n">
        <f aca="false">IFERROR((M105-$F105)/$F105*100,"")</f>
        <v>0.556019258909994</v>
      </c>
      <c r="EC105" s="2" t="n">
        <f aca="false">IFERROR((N105-$F105)/$F105*100,"")</f>
        <v>1.19423082232656</v>
      </c>
      <c r="ED105" s="2" t="n">
        <f aca="false">IFERROR((O105-$F105)/$F105*100,"")</f>
        <v>0.275461030865639</v>
      </c>
      <c r="EE105" s="2" t="n">
        <f aca="false">IFERROR((P105-$F105)/$F105*100,"")</f>
        <v>-0.154827364303053</v>
      </c>
      <c r="EF105" s="2" t="n">
        <f aca="false">IFERROR((Q105-$F105)/$F105*100,"")</f>
        <v>0.190295361338185</v>
      </c>
      <c r="EG105" s="2" t="str">
        <f aca="false">IF(DV105="","",IF(AND(ABS(DV105)&lt;=0.25,$E105="Bottom",DK105="LL"),"EQL",IF(AND(ABS(DV105)&lt;=0.25,$E105="Peak",DK105="HH"),"EQH","")))</f>
        <v/>
      </c>
      <c r="EH105" s="2" t="str">
        <f aca="false">IF(DW105="","",IF(AND(ABS(DW105)&lt;=0.25,$E105="Bottom",DL105="LL"),"EQL",IF(AND(ABS(DW105)&lt;=0.25,$E105="Peak",DL105="HH"),"EQH","")))</f>
        <v/>
      </c>
      <c r="EI105" s="2" t="str">
        <f aca="false">IF(DX105="","",IF(AND(ABS(DX105)&lt;=0.25,$E105="Bottom",DM105="LL"),"EQL",IF(AND(ABS(DX105)&lt;=0.25,$E105="Peak",DM105="HH"),"EQH","")))</f>
        <v/>
      </c>
      <c r="EJ105" s="2" t="str">
        <f aca="false">IF(DY105="","",IF(AND(ABS(DY105)&lt;=0.25,$E105="Bottom",DN105="LL"),"EQL",IF(AND(ABS(DY105)&lt;=0.25,$E105="Peak",DN105="HH"),"EQH","")))</f>
        <v/>
      </c>
      <c r="EK105" s="2" t="str">
        <f aca="false">IF(DZ105="","",IF(AND(ABS(DZ105)&lt;=0.25,$E105="Bottom",DO105="LL"),"EQL",IF(AND(ABS(DZ105)&lt;=0.25,$E105="Peak",DO105="HH"),"EQH","")))</f>
        <v/>
      </c>
      <c r="EL105" s="2" t="str">
        <f aca="false">IF(EA105="","",IF(AND(ABS(EA105)&lt;=0.25,$E105="Bottom",DP105="LL"),"EQL",IF(AND(ABS(EA105)&lt;=0.25,$E105="Peak",DP105="HH"),"EQH","")))</f>
        <v/>
      </c>
      <c r="EM105" s="2" t="str">
        <f aca="false">IF(EB105="","",IF(AND(ABS(EB105)&lt;=0.25,$E105="Bottom",DQ105="LL"),"EQL",IF(AND(ABS(EB105)&lt;=0.25,$E105="Peak",DQ105="HH"),"EQH","")))</f>
        <v/>
      </c>
      <c r="EN105" s="2" t="str">
        <f aca="false">IF(EC105="","",IF(AND(ABS(EC105)&lt;=0.25,$E105="Bottom",DR105="LL"),"EQL",IF(AND(ABS(EC105)&lt;=0.25,$E105="Peak",DR105="HH"),"EQH","")))</f>
        <v/>
      </c>
      <c r="EO105" s="2" t="str">
        <f aca="false">IF(ED105="","",IF(AND(ABS(ED105)&lt;=0.25,$E105="Bottom",DS105="LL"),"EQL",IF(AND(ABS(ED105)&lt;=0.25,$E105="Peak",DS105="HH"),"EQH","")))</f>
        <v/>
      </c>
      <c r="EP105" s="2" t="str">
        <f aca="false">IF(EE105="","",IF(AND(ABS(EE105)&lt;=0.25,$E105="Bottom",DT105="LL"),"EQL",IF(AND(ABS(EE105)&lt;=0.25,$E105="Peak",DT105="HH"),"EQH","")))</f>
        <v/>
      </c>
      <c r="EQ105" s="2" t="str">
        <f aca="false">IF(EF105="","",IF(AND(ABS(EF105)&lt;=0.25,$E105="Bottom",DU105="LL"),"EQL",IF(AND(ABS(EF105)&lt;=0.25,$E105="Peak",DU105="HH"),"EQH","")))</f>
        <v/>
      </c>
      <c r="ER105" s="2" t="str">
        <f aca="false">IF(OR(EG105="EQL",EG105="EQH"),G105,"")</f>
        <v/>
      </c>
      <c r="ES105" s="2" t="str">
        <f aca="false">IF(OR(EH105="EQL",EH105="EQH"),H105,"")</f>
        <v/>
      </c>
      <c r="ET105" s="2" t="str">
        <f aca="false">IF(OR(EI105="EQL",EI105="EQH"),I105,"")</f>
        <v/>
      </c>
      <c r="EU105" s="2" t="str">
        <f aca="false">IF(OR(EJ105="EQL",EJ105="EQH"),J105,"")</f>
        <v/>
      </c>
      <c r="EV105" s="2" t="str">
        <f aca="false">IF(OR(EK105="EQL",EK105="EQH"),K105,"")</f>
        <v/>
      </c>
      <c r="EW105" s="2" t="str">
        <f aca="false">IF(OR(EL105="EQL",EL105="EQH"),L105,"")</f>
        <v/>
      </c>
      <c r="EX105" s="2" t="str">
        <f aca="false">IF(OR(EM105="EQL",EM105="EQH"),M105,"")</f>
        <v/>
      </c>
      <c r="EY105" s="2" t="str">
        <f aca="false">IF(OR(EN105="EQL",EN105="EQH"),N105,"")</f>
        <v/>
      </c>
      <c r="EZ105" s="2" t="str">
        <f aca="false">IF(OR(EO105="EQL",EO105="EQH"),O105,"")</f>
        <v/>
      </c>
      <c r="FA105" s="2" t="str">
        <f aca="false">IF(OR(EP105="EQL",EP105="EQH"),P105,"")</f>
        <v/>
      </c>
      <c r="FB105" s="2" t="str">
        <f aca="false">IF(OR(EQ105="EQL",EQ105="EQH"),Q105,"")</f>
        <v/>
      </c>
      <c r="FC105" s="2" t="str">
        <f aca="false">IF(AND(EG105="EQL",OR(AQ105=4,AQ105=5)),"IEQL",IF(AND(EG105="EQH",OR(AQ105=1,AQ105=2)),"IEQH",""))</f>
        <v/>
      </c>
      <c r="FD105" s="2" t="str">
        <f aca="false">IF(AND(EH105="EQL",OR(AR105=4,AR105=5)),"IEQL",IF(AND(EH105="EQH",OR(AR105=1,AR105=2)),"IEQH",""))</f>
        <v/>
      </c>
      <c r="FE105" s="2" t="str">
        <f aca="false">IF(AND(EI105="EQL",OR(AS105=4,AS105=5)),"IEQL",IF(AND(EI105="EQH",OR(AS105=1,AS105=2)),"IEQH",""))</f>
        <v/>
      </c>
      <c r="FF105" s="2" t="str">
        <f aca="false">IF(AND(EJ105="EQL",OR(AT105=4,AT105=5)),"IEQL",IF(AND(EJ105="EQH",OR(AT105=1,AT105=2)),"IEQH",""))</f>
        <v/>
      </c>
      <c r="FG105" s="2" t="str">
        <f aca="false">IF(AND(EK105="EQL",OR(AU105=4,AU105=5)),"IEQL",IF(AND(EK105="EQH",OR(AU105=1,AU105=2)),"IEQH",""))</f>
        <v/>
      </c>
      <c r="FH105" s="2" t="str">
        <f aca="false">IF(AND(EL105="EQL",OR(AV105=4,AV105=5)),"IEQL",IF(AND(EL105="EQH",OR(AV105=1,AV105=2)),"IEQH",""))</f>
        <v/>
      </c>
      <c r="FI105" s="2" t="str">
        <f aca="false">IF(AND(EM105="EQL",OR(AW105=4,AW105=5)),"IEQL",IF(AND(EM105="EQH",OR(AW105=1,AW105=2)),"IEQH",""))</f>
        <v/>
      </c>
      <c r="FJ105" s="2" t="str">
        <f aca="false">IF(AND(EN105="EQL",OR(AX105=4,AX105=5)),"IEQL",IF(AND(EN105="EQH",OR(AX105=1,AX105=2)),"IEQH",""))</f>
        <v/>
      </c>
      <c r="FK105" s="2" t="str">
        <f aca="false">IF(AND(EO105="EQL",OR(AY105=4,AY105=5)),"IEQL",IF(AND(EO105="EQH",OR(AY105=1,AY105=2)),"IEQH",""))</f>
        <v/>
      </c>
      <c r="FL105" s="2" t="str">
        <f aca="false">IF(AND(EP105="EQL",OR(AZ105=4,AZ105=5)),"IEQL",IF(AND(EP105="EQH",OR(AZ105=1,AZ105=2)),"IEQH",""))</f>
        <v/>
      </c>
      <c r="FM105" s="2" t="str">
        <f aca="false">IF(AND(EQ105="EQL",OR(BA105=4,BA105=5)),"IEQL",IF(AND(EQ105="EQH",OR(BA105=1,BA105=2)),"IEQH",""))</f>
        <v/>
      </c>
    </row>
    <row r="106" customFormat="false" ht="14.25" hidden="false" customHeight="false" outlineLevel="0" collapsed="false">
      <c r="A106" s="1" t="n">
        <v>1778581802</v>
      </c>
      <c r="B106" s="1" t="s">
        <v>169</v>
      </c>
      <c r="C106" s="1" t="s">
        <v>170</v>
      </c>
      <c r="D106" s="1" t="n">
        <v>4690.76</v>
      </c>
      <c r="E106" s="1" t="s">
        <v>171</v>
      </c>
      <c r="F106" s="1" t="n">
        <v>4685.14</v>
      </c>
      <c r="G106" s="2" t="n">
        <f aca="false">F104</f>
        <v>4687.49</v>
      </c>
      <c r="H106" s="2" t="n">
        <f aca="false">F102</f>
        <v>4707.97</v>
      </c>
      <c r="I106" s="2" t="n">
        <f aca="false">F100</f>
        <v>4647.85</v>
      </c>
      <c r="J106" s="2" t="n">
        <f aca="false">F98</f>
        <v>4670.56</v>
      </c>
      <c r="K106" s="2" t="n">
        <f aca="false">F96</f>
        <v>4702</v>
      </c>
      <c r="L106" s="2" t="n">
        <f aca="false">F94</f>
        <v>4703</v>
      </c>
      <c r="M106" s="2" t="n">
        <f aca="false">F92</f>
        <v>4696.83</v>
      </c>
      <c r="N106" s="2" t="n">
        <f aca="false">F90</f>
        <v>4678.1</v>
      </c>
      <c r="O106" s="2" t="n">
        <f aca="false">F88</f>
        <v>4692.46</v>
      </c>
      <c r="P106" s="2" t="n">
        <f aca="false">F86</f>
        <v>4685.59</v>
      </c>
      <c r="Q106" s="2" t="n">
        <f aca="false">F84</f>
        <v>4678.99</v>
      </c>
      <c r="R106" s="1" t="n">
        <v>-23.33</v>
      </c>
      <c r="S106" s="2" t="n">
        <f aca="false">R104</f>
        <v>-86.09</v>
      </c>
      <c r="T106" s="2" t="n">
        <f aca="false">R102</f>
        <v>-40.47</v>
      </c>
      <c r="U106" s="2" t="n">
        <f aca="false">R100</f>
        <v>-57.55</v>
      </c>
      <c r="V106" s="2" t="n">
        <f aca="false">R98</f>
        <v>-58.39</v>
      </c>
      <c r="W106" s="2" t="n">
        <f aca="false">R96</f>
        <v>-47.22</v>
      </c>
      <c r="X106" s="2" t="n">
        <f aca="false">R94</f>
        <v>-24.88</v>
      </c>
      <c r="Y106" s="2" t="n">
        <f aca="false">R92</f>
        <v>-37.82</v>
      </c>
      <c r="Z106" s="2" t="n">
        <f aca="false">R90</f>
        <v>-86.6</v>
      </c>
      <c r="AA106" s="2" t="n">
        <f aca="false">R88</f>
        <v>-28.98</v>
      </c>
      <c r="AB106" s="2" t="n">
        <f aca="false">R86</f>
        <v>-15.59</v>
      </c>
      <c r="AC106" s="2" t="n">
        <f aca="false">R84</f>
        <v>-38.44</v>
      </c>
      <c r="AD106" s="1" t="n">
        <v>-0.5</v>
      </c>
      <c r="AE106" s="2" t="n">
        <f aca="false">AD104</f>
        <v>-1.8</v>
      </c>
      <c r="AF106" s="2" t="n">
        <f aca="false">AD102</f>
        <v>-0.85</v>
      </c>
      <c r="AG106" s="2" t="n">
        <f aca="false">AD100</f>
        <v>-1.22</v>
      </c>
      <c r="AH106" s="2" t="n">
        <f aca="false">AD98</f>
        <v>-1.23</v>
      </c>
      <c r="AI106" s="2" t="n">
        <f aca="false">AD96</f>
        <v>-0.99</v>
      </c>
      <c r="AJ106" s="2" t="n">
        <f aca="false">AD94</f>
        <v>-0.53</v>
      </c>
      <c r="AK106" s="2" t="n">
        <f aca="false">AD92</f>
        <v>-0.8</v>
      </c>
      <c r="AL106" s="2" t="n">
        <f aca="false">AD90</f>
        <v>-1.82</v>
      </c>
      <c r="AM106" s="2" t="n">
        <f aca="false">AD88</f>
        <v>-0.61</v>
      </c>
      <c r="AN106" s="2" t="n">
        <f aca="false">AD86</f>
        <v>-0.33</v>
      </c>
      <c r="AO106" s="2" t="n">
        <f aca="false">AD84</f>
        <v>-0.81</v>
      </c>
      <c r="AP106" s="1" t="n">
        <v>3</v>
      </c>
      <c r="AQ106" s="2" t="n">
        <f aca="false">AP104</f>
        <v>3</v>
      </c>
      <c r="AR106" s="2" t="n">
        <f aca="false">AP102</f>
        <v>3</v>
      </c>
      <c r="AS106" s="2" t="n">
        <f aca="false">AP100</f>
        <v>3</v>
      </c>
      <c r="AT106" s="2" t="n">
        <f aca="false">AP98</f>
        <v>3</v>
      </c>
      <c r="AU106" s="2" t="n">
        <f aca="false">AP96</f>
        <v>3</v>
      </c>
      <c r="AV106" s="2" t="n">
        <f aca="false">AP94</f>
        <v>3</v>
      </c>
      <c r="AW106" s="2" t="n">
        <f aca="false">AP92</f>
        <v>3</v>
      </c>
      <c r="AX106" s="2" t="n">
        <f aca="false">AP90</f>
        <v>3</v>
      </c>
      <c r="AY106" s="2" t="n">
        <f aca="false">AP88</f>
        <v>3</v>
      </c>
      <c r="AZ106" s="2" t="n">
        <f aca="false">AP86</f>
        <v>3</v>
      </c>
      <c r="BA106" s="2" t="n">
        <f aca="false">AP84</f>
        <v>3</v>
      </c>
      <c r="BB106" s="1" t="n">
        <v>2</v>
      </c>
      <c r="BC106" s="2" t="n">
        <f aca="false">BB104</f>
        <v>27</v>
      </c>
      <c r="BD106" s="2" t="n">
        <f aca="false">BB102</f>
        <v>11</v>
      </c>
      <c r="BE106" s="2" t="n">
        <f aca="false">BB100</f>
        <v>18</v>
      </c>
      <c r="BF106" s="2" t="n">
        <f aca="false">BB98</f>
        <v>22</v>
      </c>
      <c r="BG106" s="2" t="n">
        <f aca="false">BB96</f>
        <v>7</v>
      </c>
      <c r="BH106" s="2" t="n">
        <f aca="false">BB94</f>
        <v>7</v>
      </c>
      <c r="BI106" s="2" t="n">
        <f aca="false">BB92</f>
        <v>4</v>
      </c>
      <c r="BJ106" s="2" t="n">
        <f aca="false">BB90</f>
        <v>24</v>
      </c>
      <c r="BK106" s="2" t="n">
        <f aca="false">BB88</f>
        <v>11</v>
      </c>
      <c r="BL106" s="2" t="n">
        <f aca="false">BB86</f>
        <v>2</v>
      </c>
      <c r="BM106" s="2" t="n">
        <f aca="false">BB84</f>
        <v>13</v>
      </c>
      <c r="BN106" s="1" t="n">
        <v>3</v>
      </c>
      <c r="BO106" s="2" t="n">
        <f aca="false">BN104</f>
        <v>3</v>
      </c>
      <c r="BP106" s="2" t="n">
        <f aca="false">BN102</f>
        <v>3</v>
      </c>
      <c r="BQ106" s="2" t="n">
        <f aca="false">BN100</f>
        <v>3</v>
      </c>
      <c r="BR106" s="2" t="n">
        <f aca="false">BN98</f>
        <v>3</v>
      </c>
      <c r="BS106" s="2" t="n">
        <f aca="false">BN96</f>
        <v>3</v>
      </c>
      <c r="BT106" s="2" t="n">
        <f aca="false">BN94</f>
        <v>3</v>
      </c>
      <c r="BU106" s="2" t="n">
        <f aca="false">BN92</f>
        <v>3</v>
      </c>
      <c r="BV106" s="2" t="n">
        <f aca="false">BN90</f>
        <v>3</v>
      </c>
      <c r="BW106" s="2" t="n">
        <f aca="false">BN88</f>
        <v>3</v>
      </c>
      <c r="BX106" s="2" t="n">
        <f aca="false">BN86</f>
        <v>3</v>
      </c>
      <c r="BY106" s="2" t="n">
        <f aca="false">BN84</f>
        <v>3</v>
      </c>
      <c r="BZ106" s="1" t="n">
        <v>-11.665</v>
      </c>
      <c r="CA106" s="2" t="n">
        <f aca="false">BZ104</f>
        <v>-3.18852</v>
      </c>
      <c r="CB106" s="2" t="n">
        <f aca="false">BZ102</f>
        <v>-3.67909</v>
      </c>
      <c r="CC106" s="2" t="n">
        <f aca="false">BZ100</f>
        <v>-3.19722</v>
      </c>
      <c r="CD106" s="2" t="n">
        <f aca="false">BZ98</f>
        <v>-2.65409</v>
      </c>
      <c r="CE106" s="2" t="n">
        <f aca="false">BZ96</f>
        <v>-6.74571</v>
      </c>
      <c r="CF106" s="2" t="n">
        <f aca="false">BZ94</f>
        <v>-3.55429</v>
      </c>
      <c r="CG106" s="2" t="n">
        <f aca="false">BZ92</f>
        <v>-9.455</v>
      </c>
      <c r="CH106" s="2" t="n">
        <f aca="false">BZ90</f>
        <v>-3.60833</v>
      </c>
      <c r="CI106" s="2" t="n">
        <f aca="false">BZ88</f>
        <v>-2.63455</v>
      </c>
      <c r="CJ106" s="2" t="n">
        <f aca="false">BZ86</f>
        <v>-7.795</v>
      </c>
      <c r="CK106" s="2" t="n">
        <f aca="false">BZ84</f>
        <v>-2.95692</v>
      </c>
      <c r="CL106" s="1" t="n">
        <v>4</v>
      </c>
      <c r="CM106" s="2" t="n">
        <f aca="false">CL104</f>
        <v>3</v>
      </c>
      <c r="CN106" s="2" t="n">
        <f aca="false">CL102</f>
        <v>3</v>
      </c>
      <c r="CO106" s="2" t="n">
        <f aca="false">CL100</f>
        <v>3</v>
      </c>
      <c r="CP106" s="2" t="n">
        <f aca="false">CL98</f>
        <v>3</v>
      </c>
      <c r="CQ106" s="2" t="n">
        <f aca="false">CL96</f>
        <v>3</v>
      </c>
      <c r="CR106" s="2" t="n">
        <f aca="false">CL94</f>
        <v>3</v>
      </c>
      <c r="CS106" s="2" t="n">
        <f aca="false">CL92</f>
        <v>4</v>
      </c>
      <c r="CT106" s="2" t="n">
        <f aca="false">CL90</f>
        <v>3</v>
      </c>
      <c r="CU106" s="2" t="n">
        <f aca="false">CL88</f>
        <v>3</v>
      </c>
      <c r="CV106" s="2" t="n">
        <f aca="false">CL86</f>
        <v>3</v>
      </c>
      <c r="CW106" s="2" t="n">
        <f aca="false">CL84</f>
        <v>3</v>
      </c>
      <c r="CX106" s="1" t="n">
        <v>-85.1002</v>
      </c>
      <c r="CY106" s="2" t="n">
        <f aca="false">CX104</f>
        <v>-72.5873</v>
      </c>
      <c r="CZ106" s="2" t="n">
        <f aca="false">CX102</f>
        <v>-74.794</v>
      </c>
      <c r="DA106" s="2" t="n">
        <f aca="false">CX100</f>
        <v>-72.6318</v>
      </c>
      <c r="DB106" s="2" t="n">
        <f aca="false">CX98</f>
        <v>-69.3548</v>
      </c>
      <c r="DC106" s="2" t="n">
        <f aca="false">CX96</f>
        <v>-81.5678</v>
      </c>
      <c r="DD106" s="2" t="n">
        <f aca="false">CX94</f>
        <v>-74.286</v>
      </c>
      <c r="DE106" s="2" t="n">
        <f aca="false">CX92</f>
        <v>-83.9626</v>
      </c>
      <c r="DF106" s="2" t="n">
        <f aca="false">CX90</f>
        <v>-74.51</v>
      </c>
      <c r="DG106" s="2" t="n">
        <f aca="false">CX88</f>
        <v>-69.2146</v>
      </c>
      <c r="DH106" s="2" t="n">
        <f aca="false">CX86</f>
        <v>-82.6896</v>
      </c>
      <c r="DI106" s="2" t="n">
        <f aca="false">CX84</f>
        <v>-71.315</v>
      </c>
      <c r="DJ106" s="1" t="s">
        <v>172</v>
      </c>
      <c r="DK106" s="2" t="str">
        <f aca="false">DJ104</f>
        <v>LL</v>
      </c>
      <c r="DL106" s="2" t="str">
        <f aca="false">DJ102</f>
        <v>HL</v>
      </c>
      <c r="DM106" s="2" t="str">
        <f aca="false">DJ100</f>
        <v>LL</v>
      </c>
      <c r="DN106" s="2" t="str">
        <f aca="false">DJ98</f>
        <v>LL</v>
      </c>
      <c r="DO106" s="2" t="str">
        <f aca="false">DJ96</f>
        <v>LL</v>
      </c>
      <c r="DP106" s="2" t="str">
        <f aca="false">DJ94</f>
        <v>HL</v>
      </c>
      <c r="DQ106" s="2" t="str">
        <f aca="false">DJ92</f>
        <v>HL</v>
      </c>
      <c r="DR106" s="2" t="str">
        <f aca="false">DJ90</f>
        <v>LL</v>
      </c>
      <c r="DS106" s="2" t="str">
        <f aca="false">DJ88</f>
        <v>HL</v>
      </c>
      <c r="DT106" s="2" t="str">
        <f aca="false">DJ86</f>
        <v>HL</v>
      </c>
      <c r="DU106" s="2" t="str">
        <f aca="false">DJ84</f>
        <v>HL</v>
      </c>
      <c r="DV106" s="2" t="n">
        <f aca="false">IFERROR((G106-$F106)/$F106*100,"")</f>
        <v>0.0501585865096764</v>
      </c>
      <c r="DW106" s="2" t="n">
        <f aca="false">IFERROR((H106-$F106)/$F106*100,"")</f>
        <v>0.487285331921777</v>
      </c>
      <c r="DX106" s="2" t="n">
        <f aca="false">IFERROR((I106-$F106)/$F106*100,"")</f>
        <v>-0.795920719551603</v>
      </c>
      <c r="DY106" s="2" t="n">
        <f aca="false">IFERROR((J106-$F106)/$F106*100,"")</f>
        <v>-0.311196677153723</v>
      </c>
      <c r="DZ106" s="2" t="n">
        <f aca="false">IFERROR((K106-$F106)/$F106*100,"")</f>
        <v>0.359861178107798</v>
      </c>
      <c r="EA106" s="2" t="n">
        <f aca="false">IFERROR((L106-$F106)/$F106*100,"")</f>
        <v>0.381205257473622</v>
      </c>
      <c r="EB106" s="2" t="n">
        <f aca="false">IFERROR((M106-$F106)/$F106*100,"")</f>
        <v>0.249512287786482</v>
      </c>
      <c r="EC106" s="2" t="n">
        <f aca="false">IFERROR((N106-$F106)/$F106*100,"")</f>
        <v>-0.150262318735405</v>
      </c>
      <c r="ED106" s="2" t="n">
        <f aca="false">IFERROR((O106-$F106)/$F106*100,"")</f>
        <v>0.156238660957831</v>
      </c>
      <c r="EE106" s="2" t="n">
        <f aca="false">IFERROR((P106-$F106)/$F106*100,"")</f>
        <v>0.00960483571461724</v>
      </c>
      <c r="EF106" s="2" t="n">
        <f aca="false">IFERROR((Q106-$F106)/$F106*100,"")</f>
        <v>-0.131266088099834</v>
      </c>
      <c r="EG106" s="2" t="str">
        <f aca="false">IF(DV106="","",IF(AND(ABS(DV106)&lt;=0.25,$E106="Bottom",DK106="LL"),"EQL",IF(AND(ABS(DV106)&lt;=0.25,$E106="Peak",DK106="HH"),"EQH","")))</f>
        <v>EQL</v>
      </c>
      <c r="EH106" s="2" t="str">
        <f aca="false">IF(DW106="","",IF(AND(ABS(DW106)&lt;=0.25,$E106="Bottom",DL106="LL"),"EQL",IF(AND(ABS(DW106)&lt;=0.25,$E106="Peak",DL106="HH"),"EQH","")))</f>
        <v/>
      </c>
      <c r="EI106" s="2" t="str">
        <f aca="false">IF(DX106="","",IF(AND(ABS(DX106)&lt;=0.25,$E106="Bottom",DM106="LL"),"EQL",IF(AND(ABS(DX106)&lt;=0.25,$E106="Peak",DM106="HH"),"EQH","")))</f>
        <v/>
      </c>
      <c r="EJ106" s="2" t="str">
        <f aca="false">IF(DY106="","",IF(AND(ABS(DY106)&lt;=0.25,$E106="Bottom",DN106="LL"),"EQL",IF(AND(ABS(DY106)&lt;=0.25,$E106="Peak",DN106="HH"),"EQH","")))</f>
        <v/>
      </c>
      <c r="EK106" s="2" t="str">
        <f aca="false">IF(DZ106="","",IF(AND(ABS(DZ106)&lt;=0.25,$E106="Bottom",DO106="LL"),"EQL",IF(AND(ABS(DZ106)&lt;=0.25,$E106="Peak",DO106="HH"),"EQH","")))</f>
        <v/>
      </c>
      <c r="EL106" s="2" t="str">
        <f aca="false">IF(EA106="","",IF(AND(ABS(EA106)&lt;=0.25,$E106="Bottom",DP106="LL"),"EQL",IF(AND(ABS(EA106)&lt;=0.25,$E106="Peak",DP106="HH"),"EQH","")))</f>
        <v/>
      </c>
      <c r="EM106" s="2" t="str">
        <f aca="false">IF(EB106="","",IF(AND(ABS(EB106)&lt;=0.25,$E106="Bottom",DQ106="LL"),"EQL",IF(AND(ABS(EB106)&lt;=0.25,$E106="Peak",DQ106="HH"),"EQH","")))</f>
        <v/>
      </c>
      <c r="EN106" s="2" t="str">
        <f aca="false">IF(EC106="","",IF(AND(ABS(EC106)&lt;=0.25,$E106="Bottom",DR106="LL"),"EQL",IF(AND(ABS(EC106)&lt;=0.25,$E106="Peak",DR106="HH"),"EQH","")))</f>
        <v>EQL</v>
      </c>
      <c r="EO106" s="2" t="str">
        <f aca="false">IF(ED106="","",IF(AND(ABS(ED106)&lt;=0.25,$E106="Bottom",DS106="LL"),"EQL",IF(AND(ABS(ED106)&lt;=0.25,$E106="Peak",DS106="HH"),"EQH","")))</f>
        <v/>
      </c>
      <c r="EP106" s="2" t="str">
        <f aca="false">IF(EE106="","",IF(AND(ABS(EE106)&lt;=0.25,$E106="Bottom",DT106="LL"),"EQL",IF(AND(ABS(EE106)&lt;=0.25,$E106="Peak",DT106="HH"),"EQH","")))</f>
        <v/>
      </c>
      <c r="EQ106" s="2" t="str">
        <f aca="false">IF(EF106="","",IF(AND(ABS(EF106)&lt;=0.25,$E106="Bottom",DU106="LL"),"EQL",IF(AND(ABS(EF106)&lt;=0.25,$E106="Peak",DU106="HH"),"EQH","")))</f>
        <v/>
      </c>
      <c r="ER106" s="2" t="n">
        <f aca="false">IF(OR(EG106="EQL",EG106="EQH"),G106,"")</f>
        <v>4687.49</v>
      </c>
      <c r="ES106" s="2" t="str">
        <f aca="false">IF(OR(EH106="EQL",EH106="EQH"),H106,"")</f>
        <v/>
      </c>
      <c r="ET106" s="2" t="str">
        <f aca="false">IF(OR(EI106="EQL",EI106="EQH"),I106,"")</f>
        <v/>
      </c>
      <c r="EU106" s="2" t="str">
        <f aca="false">IF(OR(EJ106="EQL",EJ106="EQH"),J106,"")</f>
        <v/>
      </c>
      <c r="EV106" s="2" t="str">
        <f aca="false">IF(OR(EK106="EQL",EK106="EQH"),K106,"")</f>
        <v/>
      </c>
      <c r="EW106" s="2" t="str">
        <f aca="false">IF(OR(EL106="EQL",EL106="EQH"),L106,"")</f>
        <v/>
      </c>
      <c r="EX106" s="2" t="str">
        <f aca="false">IF(OR(EM106="EQL",EM106="EQH"),M106,"")</f>
        <v/>
      </c>
      <c r="EY106" s="2" t="n">
        <f aca="false">IF(OR(EN106="EQL",EN106="EQH"),N106,"")</f>
        <v>4678.1</v>
      </c>
      <c r="EZ106" s="2" t="str">
        <f aca="false">IF(OR(EO106="EQL",EO106="EQH"),O106,"")</f>
        <v/>
      </c>
      <c r="FA106" s="2" t="str">
        <f aca="false">IF(OR(EP106="EQL",EP106="EQH"),P106,"")</f>
        <v/>
      </c>
      <c r="FB106" s="2" t="str">
        <f aca="false">IF(OR(EQ106="EQL",EQ106="EQH"),Q106,"")</f>
        <v/>
      </c>
      <c r="FC106" s="2" t="str">
        <f aca="false">IF(AND(EG106="EQL",OR(AQ106=4,AQ106=5)),"IEQL",IF(AND(EG106="EQH",OR(AQ106=1,AQ106=2)),"IEQH",""))</f>
        <v/>
      </c>
      <c r="FD106" s="2" t="str">
        <f aca="false">IF(AND(EH106="EQL",OR(AR106=4,AR106=5)),"IEQL",IF(AND(EH106="EQH",OR(AR106=1,AR106=2)),"IEQH",""))</f>
        <v/>
      </c>
      <c r="FE106" s="2" t="str">
        <f aca="false">IF(AND(EI106="EQL",OR(AS106=4,AS106=5)),"IEQL",IF(AND(EI106="EQH",OR(AS106=1,AS106=2)),"IEQH",""))</f>
        <v/>
      </c>
      <c r="FF106" s="2" t="str">
        <f aca="false">IF(AND(EJ106="EQL",OR(AT106=4,AT106=5)),"IEQL",IF(AND(EJ106="EQH",OR(AT106=1,AT106=2)),"IEQH",""))</f>
        <v/>
      </c>
      <c r="FG106" s="2" t="str">
        <f aca="false">IF(AND(EK106="EQL",OR(AU106=4,AU106=5)),"IEQL",IF(AND(EK106="EQH",OR(AU106=1,AU106=2)),"IEQH",""))</f>
        <v/>
      </c>
      <c r="FH106" s="2" t="str">
        <f aca="false">IF(AND(EL106="EQL",OR(AV106=4,AV106=5)),"IEQL",IF(AND(EL106="EQH",OR(AV106=1,AV106=2)),"IEQH",""))</f>
        <v/>
      </c>
      <c r="FI106" s="2" t="str">
        <f aca="false">IF(AND(EM106="EQL",OR(AW106=4,AW106=5)),"IEQL",IF(AND(EM106="EQH",OR(AW106=1,AW106=2)),"IEQH",""))</f>
        <v/>
      </c>
      <c r="FJ106" s="2" t="str">
        <f aca="false">IF(AND(EN106="EQL",OR(AX106=4,AX106=5)),"IEQL",IF(AND(EN106="EQH",OR(AX106=1,AX106=2)),"IEQH",""))</f>
        <v/>
      </c>
      <c r="FK106" s="2" t="str">
        <f aca="false">IF(AND(EO106="EQL",OR(AY106=4,AY106=5)),"IEQL",IF(AND(EO106="EQH",OR(AY106=1,AY106=2)),"IEQH",""))</f>
        <v/>
      </c>
      <c r="FL106" s="2" t="str">
        <f aca="false">IF(AND(EP106="EQL",OR(AZ106=4,AZ106=5)),"IEQL",IF(AND(EP106="EQH",OR(AZ106=1,AZ106=2)),"IEQH",""))</f>
        <v/>
      </c>
      <c r="FM106" s="2" t="str">
        <f aca="false">IF(AND(EQ106="EQL",OR(BA106=4,BA106=5)),"IEQL",IF(AND(EQ106="EQH",OR(BA106=1,BA106=2)),"IEQH",""))</f>
        <v/>
      </c>
    </row>
    <row r="107" customFormat="false" ht="14.25" hidden="false" customHeight="false" outlineLevel="0" collapsed="false">
      <c r="A107" s="1" t="n">
        <v>1778589902</v>
      </c>
      <c r="B107" s="1" t="s">
        <v>169</v>
      </c>
      <c r="C107" s="1" t="s">
        <v>170</v>
      </c>
      <c r="D107" s="1" t="n">
        <v>4705.75</v>
      </c>
      <c r="E107" s="1" t="s">
        <v>173</v>
      </c>
      <c r="F107" s="1" t="n">
        <v>4711.51</v>
      </c>
      <c r="G107" s="2" t="n">
        <f aca="false">F105</f>
        <v>4708.47</v>
      </c>
      <c r="H107" s="2" t="n">
        <f aca="false">F103</f>
        <v>4773.58</v>
      </c>
      <c r="I107" s="2" t="n">
        <f aca="false">F101</f>
        <v>4748.44</v>
      </c>
      <c r="J107" s="2" t="n">
        <f aca="false">F99</f>
        <v>4705.4</v>
      </c>
      <c r="K107" s="2" t="n">
        <f aca="false">F97</f>
        <v>4728.95</v>
      </c>
      <c r="L107" s="2" t="n">
        <f aca="false">F95</f>
        <v>4749.22</v>
      </c>
      <c r="M107" s="2" t="n">
        <f aca="false">F93</f>
        <v>4727.88</v>
      </c>
      <c r="N107" s="2" t="n">
        <f aca="false">F91</f>
        <v>4734.65</v>
      </c>
      <c r="O107" s="2" t="n">
        <f aca="false">F89</f>
        <v>4764.7</v>
      </c>
      <c r="P107" s="2" t="n">
        <f aca="false">F87</f>
        <v>4721.44</v>
      </c>
      <c r="Q107" s="2" t="n">
        <f aca="false">F85</f>
        <v>4701.18</v>
      </c>
      <c r="R107" s="1" t="n">
        <v>26.37</v>
      </c>
      <c r="S107" s="2" t="n">
        <f aca="false">R105</f>
        <v>20.98</v>
      </c>
      <c r="T107" s="2" t="n">
        <f aca="false">R103</f>
        <v>65.61</v>
      </c>
      <c r="U107" s="2" t="n">
        <f aca="false">R101</f>
        <v>100.59</v>
      </c>
      <c r="V107" s="2" t="n">
        <f aca="false">R99</f>
        <v>34.84</v>
      </c>
      <c r="W107" s="2" t="n">
        <f aca="false">R97</f>
        <v>26.95</v>
      </c>
      <c r="X107" s="2" t="n">
        <f aca="false">R95</f>
        <v>46.22</v>
      </c>
      <c r="Y107" s="2" t="n">
        <f aca="false">R93</f>
        <v>31.05</v>
      </c>
      <c r="Z107" s="2" t="n">
        <f aca="false">R91</f>
        <v>56.55</v>
      </c>
      <c r="AA107" s="2" t="n">
        <f aca="false">R89</f>
        <v>72.24</v>
      </c>
      <c r="AB107" s="2" t="n">
        <f aca="false">R87</f>
        <v>35.85</v>
      </c>
      <c r="AC107" s="2" t="n">
        <f aca="false">R85</f>
        <v>22.19</v>
      </c>
      <c r="AD107" s="1" t="n">
        <v>0.56</v>
      </c>
      <c r="AE107" s="2" t="n">
        <f aca="false">AD105</f>
        <v>0.45</v>
      </c>
      <c r="AF107" s="2" t="n">
        <f aca="false">AD103</f>
        <v>1.39</v>
      </c>
      <c r="AG107" s="2" t="n">
        <f aca="false">AD101</f>
        <v>2.16</v>
      </c>
      <c r="AH107" s="2" t="n">
        <f aca="false">AD99</f>
        <v>0.75</v>
      </c>
      <c r="AI107" s="2" t="n">
        <f aca="false">AD97</f>
        <v>0.57</v>
      </c>
      <c r="AJ107" s="2" t="n">
        <f aca="false">AD95</f>
        <v>0.98</v>
      </c>
      <c r="AK107" s="2" t="n">
        <f aca="false">AD93</f>
        <v>0.66</v>
      </c>
      <c r="AL107" s="2" t="n">
        <f aca="false">AD91</f>
        <v>1.21</v>
      </c>
      <c r="AM107" s="2" t="n">
        <f aca="false">AD89</f>
        <v>1.54</v>
      </c>
      <c r="AN107" s="2" t="n">
        <f aca="false">AD87</f>
        <v>0.77</v>
      </c>
      <c r="AO107" s="2" t="n">
        <f aca="false">AD85</f>
        <v>0.47</v>
      </c>
      <c r="AP107" s="1" t="n">
        <v>0</v>
      </c>
      <c r="AQ107" s="2" t="n">
        <f aca="false">AP105</f>
        <v>0</v>
      </c>
      <c r="AR107" s="2" t="n">
        <f aca="false">AP103</f>
        <v>0</v>
      </c>
      <c r="AS107" s="2" t="n">
        <f aca="false">AP101</f>
        <v>1</v>
      </c>
      <c r="AT107" s="2" t="n">
        <f aca="false">AP99</f>
        <v>0</v>
      </c>
      <c r="AU107" s="2" t="n">
        <f aca="false">AP97</f>
        <v>0</v>
      </c>
      <c r="AV107" s="2" t="n">
        <f aca="false">AP95</f>
        <v>0</v>
      </c>
      <c r="AW107" s="2" t="n">
        <f aca="false">AP93</f>
        <v>0</v>
      </c>
      <c r="AX107" s="2" t="n">
        <f aca="false">AP91</f>
        <v>0</v>
      </c>
      <c r="AY107" s="2" t="n">
        <f aca="false">AP89</f>
        <v>0</v>
      </c>
      <c r="AZ107" s="2" t="n">
        <f aca="false">AP87</f>
        <v>0</v>
      </c>
      <c r="BA107" s="2" t="n">
        <f aca="false">AP85</f>
        <v>0</v>
      </c>
      <c r="BB107" s="1" t="n">
        <v>9</v>
      </c>
      <c r="BC107" s="2" t="n">
        <f aca="false">BB105</f>
        <v>12</v>
      </c>
      <c r="BD107" s="2" t="n">
        <f aca="false">BB103</f>
        <v>27</v>
      </c>
      <c r="BE107" s="2" t="n">
        <f aca="false">BB101</f>
        <v>32</v>
      </c>
      <c r="BF107" s="2" t="n">
        <f aca="false">BB99</f>
        <v>2</v>
      </c>
      <c r="BG107" s="2" t="n">
        <f aca="false">BB97</f>
        <v>10</v>
      </c>
      <c r="BH107" s="2" t="n">
        <f aca="false">BB95</f>
        <v>7</v>
      </c>
      <c r="BI107" s="2" t="n">
        <f aca="false">BB93</f>
        <v>13</v>
      </c>
      <c r="BJ107" s="2" t="n">
        <f aca="false">BB91</f>
        <v>33</v>
      </c>
      <c r="BK107" s="2" t="n">
        <f aca="false">BB89</f>
        <v>42</v>
      </c>
      <c r="BL107" s="2" t="n">
        <f aca="false">BB87</f>
        <v>4</v>
      </c>
      <c r="BM107" s="2" t="n">
        <f aca="false">BB85</f>
        <v>23</v>
      </c>
      <c r="BN107" s="1" t="n">
        <v>0</v>
      </c>
      <c r="BO107" s="2" t="n">
        <f aca="false">BN105</f>
        <v>0</v>
      </c>
      <c r="BP107" s="2" t="n">
        <f aca="false">BN103</f>
        <v>0</v>
      </c>
      <c r="BQ107" s="2" t="n">
        <f aca="false">BN101</f>
        <v>1</v>
      </c>
      <c r="BR107" s="2" t="n">
        <f aca="false">BN99</f>
        <v>0</v>
      </c>
      <c r="BS107" s="2" t="n">
        <f aca="false">BN97</f>
        <v>0</v>
      </c>
      <c r="BT107" s="2" t="n">
        <f aca="false">BN95</f>
        <v>0</v>
      </c>
      <c r="BU107" s="2" t="n">
        <f aca="false">BN93</f>
        <v>0</v>
      </c>
      <c r="BV107" s="2" t="n">
        <f aca="false">BN91</f>
        <v>0</v>
      </c>
      <c r="BW107" s="2" t="n">
        <f aca="false">BN89</f>
        <v>2</v>
      </c>
      <c r="BX107" s="2" t="n">
        <f aca="false">BN87</f>
        <v>0</v>
      </c>
      <c r="BY107" s="2" t="n">
        <f aca="false">BN85</f>
        <v>0</v>
      </c>
      <c r="BZ107" s="1" t="n">
        <v>2.93</v>
      </c>
      <c r="CA107" s="2" t="n">
        <f aca="false">BZ105</f>
        <v>1.74833</v>
      </c>
      <c r="CB107" s="2" t="n">
        <f aca="false">BZ103</f>
        <v>2.43</v>
      </c>
      <c r="CC107" s="2" t="n">
        <f aca="false">BZ101</f>
        <v>3.14344</v>
      </c>
      <c r="CD107" s="2" t="n">
        <f aca="false">BZ99</f>
        <v>17.42</v>
      </c>
      <c r="CE107" s="2" t="n">
        <f aca="false">BZ97</f>
        <v>2.695</v>
      </c>
      <c r="CF107" s="2" t="n">
        <f aca="false">BZ95</f>
        <v>6.60286</v>
      </c>
      <c r="CG107" s="2" t="n">
        <f aca="false">BZ93</f>
        <v>2.38846</v>
      </c>
      <c r="CH107" s="2" t="n">
        <f aca="false">BZ91</f>
        <v>1.71364</v>
      </c>
      <c r="CI107" s="2" t="n">
        <f aca="false">BZ89</f>
        <v>1.72</v>
      </c>
      <c r="CJ107" s="2" t="n">
        <f aca="false">BZ87</f>
        <v>8.9625</v>
      </c>
      <c r="CK107" s="2" t="n">
        <f aca="false">BZ85</f>
        <v>0.96478</v>
      </c>
      <c r="CL107" s="1" t="n">
        <v>0</v>
      </c>
      <c r="CM107" s="2" t="n">
        <f aca="false">CL105</f>
        <v>0</v>
      </c>
      <c r="CN107" s="2" t="n">
        <f aca="false">CL103</f>
        <v>0</v>
      </c>
      <c r="CO107" s="2" t="n">
        <f aca="false">CL101</f>
        <v>0</v>
      </c>
      <c r="CP107" s="2" t="n">
        <f aca="false">CL99</f>
        <v>2</v>
      </c>
      <c r="CQ107" s="2" t="n">
        <f aca="false">CL97</f>
        <v>0</v>
      </c>
      <c r="CR107" s="2" t="n">
        <f aca="false">CL95</f>
        <v>0</v>
      </c>
      <c r="CS107" s="2" t="n">
        <f aca="false">CL93</f>
        <v>0</v>
      </c>
      <c r="CT107" s="2" t="n">
        <f aca="false">CL91</f>
        <v>0</v>
      </c>
      <c r="CU107" s="2" t="n">
        <f aca="false">CL89</f>
        <v>0</v>
      </c>
      <c r="CV107" s="2" t="n">
        <f aca="false">CL87</f>
        <v>0</v>
      </c>
      <c r="CW107" s="2" t="n">
        <f aca="false">CL85</f>
        <v>0</v>
      </c>
      <c r="CX107" s="1" t="n">
        <v>71.1554</v>
      </c>
      <c r="CY107" s="2" t="n">
        <f aca="false">CX105</f>
        <v>60.2316</v>
      </c>
      <c r="CZ107" s="2" t="n">
        <f aca="false">CX103</f>
        <v>67.6317</v>
      </c>
      <c r="DA107" s="2" t="n">
        <f aca="false">CX101</f>
        <v>72.3529</v>
      </c>
      <c r="DB107" s="2" t="n">
        <f aca="false">CX99</f>
        <v>86.7145</v>
      </c>
      <c r="DC107" s="2" t="n">
        <f aca="false">CX97</f>
        <v>69.6422</v>
      </c>
      <c r="DD107" s="2" t="n">
        <f aca="false">CX95</f>
        <v>81.388</v>
      </c>
      <c r="DE107" s="2" t="n">
        <f aca="false">CX93</f>
        <v>67.2819</v>
      </c>
      <c r="DF107" s="2" t="n">
        <f aca="false">CX91</f>
        <v>59.7341</v>
      </c>
      <c r="DG107" s="2" t="n">
        <f aca="false">CX89</f>
        <v>59.8265</v>
      </c>
      <c r="DH107" s="2" t="n">
        <f aca="false">CX87</f>
        <v>83.6335</v>
      </c>
      <c r="DI107" s="2" t="n">
        <f aca="false">CX85</f>
        <v>43.9731</v>
      </c>
      <c r="DJ107" s="1" t="s">
        <v>176</v>
      </c>
      <c r="DK107" s="2" t="str">
        <f aca="false">DJ105</f>
        <v>LH</v>
      </c>
      <c r="DL107" s="2" t="str">
        <f aca="false">DJ103</f>
        <v>HH</v>
      </c>
      <c r="DM107" s="2" t="str">
        <f aca="false">DJ101</f>
        <v>HH</v>
      </c>
      <c r="DN107" s="2" t="str">
        <f aca="false">DJ99</f>
        <v>LH</v>
      </c>
      <c r="DO107" s="2" t="str">
        <f aca="false">DJ97</f>
        <v>LH</v>
      </c>
      <c r="DP107" s="2" t="str">
        <f aca="false">DJ95</f>
        <v>HH</v>
      </c>
      <c r="DQ107" s="2" t="str">
        <f aca="false">DJ93</f>
        <v>LH</v>
      </c>
      <c r="DR107" s="2" t="str">
        <f aca="false">DJ91</f>
        <v>LH</v>
      </c>
      <c r="DS107" s="2" t="str">
        <f aca="false">DJ89</f>
        <v>HH</v>
      </c>
      <c r="DT107" s="2" t="str">
        <f aca="false">DJ87</f>
        <v>HH</v>
      </c>
      <c r="DU107" s="2" t="str">
        <f aca="false">DJ85</f>
        <v>LH</v>
      </c>
      <c r="DV107" s="2" t="n">
        <f aca="false">IFERROR((G107-$F107)/$F107*100,"")</f>
        <v>-0.0645228387502088</v>
      </c>
      <c r="DW107" s="2" t="n">
        <f aca="false">IFERROR((H107-$F107)/$F107*100,"")</f>
        <v>1.31741203987681</v>
      </c>
      <c r="DX107" s="2" t="n">
        <f aca="false">IFERROR((I107-$F107)/$F107*100,"")</f>
        <v>0.783825143106974</v>
      </c>
      <c r="DY107" s="2" t="n">
        <f aca="false">IFERROR((J107-$F107)/$F107*100,"")</f>
        <v>-0.12968241604073</v>
      </c>
      <c r="DZ107" s="2" t="n">
        <f aca="false">IFERROR((K107-$F107)/$F107*100,"")</f>
        <v>0.370157338093299</v>
      </c>
      <c r="EA107" s="2" t="n">
        <f aca="false">IFERROR((L107-$F107)/$F107*100,"")</f>
        <v>0.800380345154739</v>
      </c>
      <c r="EB107" s="2" t="n">
        <f aca="false">IFERROR((M107-$F107)/$F107*100,"")</f>
        <v>0.347446996822672</v>
      </c>
      <c r="EC107" s="2" t="n">
        <f aca="false">IFERROR((N107-$F107)/$F107*100,"")</f>
        <v>0.491137660749938</v>
      </c>
      <c r="ED107" s="2" t="n">
        <f aca="false">IFERROR((O107-$F107)/$F107*100,"")</f>
        <v>1.12893743194856</v>
      </c>
      <c r="EE107" s="2" t="n">
        <f aca="false">IFERROR((P107-$F107)/$F107*100,"")</f>
        <v>0.210760456838665</v>
      </c>
      <c r="EF107" s="2" t="n">
        <f aca="false">IFERROR((Q107-$F107)/$F107*100,"")</f>
        <v>-0.219250304042651</v>
      </c>
      <c r="EG107" s="2" t="str">
        <f aca="false">IF(DV107="","",IF(AND(ABS(DV107)&lt;=0.25,$E107="Bottom",DK107="LL"),"EQL",IF(AND(ABS(DV107)&lt;=0.25,$E107="Peak",DK107="HH"),"EQH","")))</f>
        <v/>
      </c>
      <c r="EH107" s="2" t="str">
        <f aca="false">IF(DW107="","",IF(AND(ABS(DW107)&lt;=0.25,$E107="Bottom",DL107="LL"),"EQL",IF(AND(ABS(DW107)&lt;=0.25,$E107="Peak",DL107="HH"),"EQH","")))</f>
        <v/>
      </c>
      <c r="EI107" s="2" t="str">
        <f aca="false">IF(DX107="","",IF(AND(ABS(DX107)&lt;=0.25,$E107="Bottom",DM107="LL"),"EQL",IF(AND(ABS(DX107)&lt;=0.25,$E107="Peak",DM107="HH"),"EQH","")))</f>
        <v/>
      </c>
      <c r="EJ107" s="2" t="str">
        <f aca="false">IF(DY107="","",IF(AND(ABS(DY107)&lt;=0.25,$E107="Bottom",DN107="LL"),"EQL",IF(AND(ABS(DY107)&lt;=0.25,$E107="Peak",DN107="HH"),"EQH","")))</f>
        <v/>
      </c>
      <c r="EK107" s="2" t="str">
        <f aca="false">IF(DZ107="","",IF(AND(ABS(DZ107)&lt;=0.25,$E107="Bottom",DO107="LL"),"EQL",IF(AND(ABS(DZ107)&lt;=0.25,$E107="Peak",DO107="HH"),"EQH","")))</f>
        <v/>
      </c>
      <c r="EL107" s="2" t="str">
        <f aca="false">IF(EA107="","",IF(AND(ABS(EA107)&lt;=0.25,$E107="Bottom",DP107="LL"),"EQL",IF(AND(ABS(EA107)&lt;=0.25,$E107="Peak",DP107="HH"),"EQH","")))</f>
        <v/>
      </c>
      <c r="EM107" s="2" t="str">
        <f aca="false">IF(EB107="","",IF(AND(ABS(EB107)&lt;=0.25,$E107="Bottom",DQ107="LL"),"EQL",IF(AND(ABS(EB107)&lt;=0.25,$E107="Peak",DQ107="HH"),"EQH","")))</f>
        <v/>
      </c>
      <c r="EN107" s="2" t="str">
        <f aca="false">IF(EC107="","",IF(AND(ABS(EC107)&lt;=0.25,$E107="Bottom",DR107="LL"),"EQL",IF(AND(ABS(EC107)&lt;=0.25,$E107="Peak",DR107="HH"),"EQH","")))</f>
        <v/>
      </c>
      <c r="EO107" s="2" t="str">
        <f aca="false">IF(ED107="","",IF(AND(ABS(ED107)&lt;=0.25,$E107="Bottom",DS107="LL"),"EQL",IF(AND(ABS(ED107)&lt;=0.25,$E107="Peak",DS107="HH"),"EQH","")))</f>
        <v/>
      </c>
      <c r="EP107" s="2" t="str">
        <f aca="false">IF(EE107="","",IF(AND(ABS(EE107)&lt;=0.25,$E107="Bottom",DT107="LL"),"EQL",IF(AND(ABS(EE107)&lt;=0.25,$E107="Peak",DT107="HH"),"EQH","")))</f>
        <v>EQH</v>
      </c>
      <c r="EQ107" s="2" t="str">
        <f aca="false">IF(EF107="","",IF(AND(ABS(EF107)&lt;=0.25,$E107="Bottom",DU107="LL"),"EQL",IF(AND(ABS(EF107)&lt;=0.25,$E107="Peak",DU107="HH"),"EQH","")))</f>
        <v/>
      </c>
      <c r="ER107" s="2" t="str">
        <f aca="false">IF(OR(EG107="EQL",EG107="EQH"),G107,"")</f>
        <v/>
      </c>
      <c r="ES107" s="2" t="str">
        <f aca="false">IF(OR(EH107="EQL",EH107="EQH"),H107,"")</f>
        <v/>
      </c>
      <c r="ET107" s="2" t="str">
        <f aca="false">IF(OR(EI107="EQL",EI107="EQH"),I107,"")</f>
        <v/>
      </c>
      <c r="EU107" s="2" t="str">
        <f aca="false">IF(OR(EJ107="EQL",EJ107="EQH"),J107,"")</f>
        <v/>
      </c>
      <c r="EV107" s="2" t="str">
        <f aca="false">IF(OR(EK107="EQL",EK107="EQH"),K107,"")</f>
        <v/>
      </c>
      <c r="EW107" s="2" t="str">
        <f aca="false">IF(OR(EL107="EQL",EL107="EQH"),L107,"")</f>
        <v/>
      </c>
      <c r="EX107" s="2" t="str">
        <f aca="false">IF(OR(EM107="EQL",EM107="EQH"),M107,"")</f>
        <v/>
      </c>
      <c r="EY107" s="2" t="str">
        <f aca="false">IF(OR(EN107="EQL",EN107="EQH"),N107,"")</f>
        <v/>
      </c>
      <c r="EZ107" s="2" t="str">
        <f aca="false">IF(OR(EO107="EQL",EO107="EQH"),O107,"")</f>
        <v/>
      </c>
      <c r="FA107" s="2" t="n">
        <f aca="false">IF(OR(EP107="EQL",EP107="EQH"),P107,"")</f>
        <v>4721.44</v>
      </c>
      <c r="FB107" s="2" t="str">
        <f aca="false">IF(OR(EQ107="EQL",EQ107="EQH"),Q107,"")</f>
        <v/>
      </c>
      <c r="FC107" s="2" t="str">
        <f aca="false">IF(AND(EG107="EQL",OR(AQ107=4,AQ107=5)),"IEQL",IF(AND(EG107="EQH",OR(AQ107=1,AQ107=2)),"IEQH",""))</f>
        <v/>
      </c>
      <c r="FD107" s="2" t="str">
        <f aca="false">IF(AND(EH107="EQL",OR(AR107=4,AR107=5)),"IEQL",IF(AND(EH107="EQH",OR(AR107=1,AR107=2)),"IEQH",""))</f>
        <v/>
      </c>
      <c r="FE107" s="2" t="str">
        <f aca="false">IF(AND(EI107="EQL",OR(AS107=4,AS107=5)),"IEQL",IF(AND(EI107="EQH",OR(AS107=1,AS107=2)),"IEQH",""))</f>
        <v/>
      </c>
      <c r="FF107" s="2" t="str">
        <f aca="false">IF(AND(EJ107="EQL",OR(AT107=4,AT107=5)),"IEQL",IF(AND(EJ107="EQH",OR(AT107=1,AT107=2)),"IEQH",""))</f>
        <v/>
      </c>
      <c r="FG107" s="2" t="str">
        <f aca="false">IF(AND(EK107="EQL",OR(AU107=4,AU107=5)),"IEQL",IF(AND(EK107="EQH",OR(AU107=1,AU107=2)),"IEQH",""))</f>
        <v/>
      </c>
      <c r="FH107" s="2" t="str">
        <f aca="false">IF(AND(EL107="EQL",OR(AV107=4,AV107=5)),"IEQL",IF(AND(EL107="EQH",OR(AV107=1,AV107=2)),"IEQH",""))</f>
        <v/>
      </c>
      <c r="FI107" s="2" t="str">
        <f aca="false">IF(AND(EM107="EQL",OR(AW107=4,AW107=5)),"IEQL",IF(AND(EM107="EQH",OR(AW107=1,AW107=2)),"IEQH",""))</f>
        <v/>
      </c>
      <c r="FJ107" s="2" t="str">
        <f aca="false">IF(AND(EN107="EQL",OR(AX107=4,AX107=5)),"IEQL",IF(AND(EN107="EQH",OR(AX107=1,AX107=2)),"IEQH",""))</f>
        <v/>
      </c>
      <c r="FK107" s="2" t="str">
        <f aca="false">IF(AND(EO107="EQL",OR(AY107=4,AY107=5)),"IEQL",IF(AND(EO107="EQH",OR(AY107=1,AY107=2)),"IEQH",""))</f>
        <v/>
      </c>
      <c r="FL107" s="2" t="str">
        <f aca="false">IF(AND(EP107="EQL",OR(AZ107=4,AZ107=5)),"IEQL",IF(AND(EP107="EQH",OR(AZ107=1,AZ107=2)),"IEQH",""))</f>
        <v/>
      </c>
      <c r="FM107" s="2" t="str">
        <f aca="false">IF(AND(EQ107="EQL",OR(BA107=4,BA107=5)),"IEQL",IF(AND(EQ107="EQH",OR(BA107=1,BA107=2)),"IEQH",""))</f>
        <v/>
      </c>
    </row>
    <row r="108" customFormat="false" ht="14.25" hidden="false" customHeight="false" outlineLevel="0" collapsed="false">
      <c r="A108" s="1" t="n">
        <v>1778598902</v>
      </c>
      <c r="B108" s="1" t="s">
        <v>169</v>
      </c>
      <c r="C108" s="1" t="s">
        <v>170</v>
      </c>
      <c r="D108" s="1" t="n">
        <v>4656.04</v>
      </c>
      <c r="E108" s="1" t="s">
        <v>171</v>
      </c>
      <c r="F108" s="1" t="n">
        <v>4638.57</v>
      </c>
      <c r="G108" s="2" t="n">
        <f aca="false">F106</f>
        <v>4685.14</v>
      </c>
      <c r="H108" s="2" t="n">
        <f aca="false">F104</f>
        <v>4687.49</v>
      </c>
      <c r="I108" s="2" t="n">
        <f aca="false">F102</f>
        <v>4707.97</v>
      </c>
      <c r="J108" s="2" t="n">
        <f aca="false">F100</f>
        <v>4647.85</v>
      </c>
      <c r="K108" s="2" t="n">
        <f aca="false">F98</f>
        <v>4670.56</v>
      </c>
      <c r="L108" s="2" t="n">
        <f aca="false">F96</f>
        <v>4702</v>
      </c>
      <c r="M108" s="2" t="n">
        <f aca="false">F94</f>
        <v>4703</v>
      </c>
      <c r="N108" s="2" t="n">
        <f aca="false">F92</f>
        <v>4696.83</v>
      </c>
      <c r="O108" s="2" t="n">
        <f aca="false">F90</f>
        <v>4678.1</v>
      </c>
      <c r="P108" s="2" t="n">
        <f aca="false">F88</f>
        <v>4692.46</v>
      </c>
      <c r="Q108" s="2" t="n">
        <f aca="false">F86</f>
        <v>4685.59</v>
      </c>
      <c r="R108" s="1" t="n">
        <v>-72.94</v>
      </c>
      <c r="S108" s="2" t="n">
        <f aca="false">R106</f>
        <v>-23.33</v>
      </c>
      <c r="T108" s="2" t="n">
        <f aca="false">R104</f>
        <v>-86.09</v>
      </c>
      <c r="U108" s="2" t="n">
        <f aca="false">R102</f>
        <v>-40.47</v>
      </c>
      <c r="V108" s="2" t="n">
        <f aca="false">R100</f>
        <v>-57.55</v>
      </c>
      <c r="W108" s="2" t="n">
        <f aca="false">R98</f>
        <v>-58.39</v>
      </c>
      <c r="X108" s="2" t="n">
        <f aca="false">R96</f>
        <v>-47.22</v>
      </c>
      <c r="Y108" s="2" t="n">
        <f aca="false">R94</f>
        <v>-24.88</v>
      </c>
      <c r="Z108" s="2" t="n">
        <f aca="false">R92</f>
        <v>-37.82</v>
      </c>
      <c r="AA108" s="2" t="n">
        <f aca="false">R90</f>
        <v>-86.6</v>
      </c>
      <c r="AB108" s="2" t="n">
        <f aca="false">R88</f>
        <v>-28.98</v>
      </c>
      <c r="AC108" s="2" t="n">
        <f aca="false">R86</f>
        <v>-15.59</v>
      </c>
      <c r="AD108" s="1" t="n">
        <v>-1.55</v>
      </c>
      <c r="AE108" s="2" t="n">
        <f aca="false">AD106</f>
        <v>-0.5</v>
      </c>
      <c r="AF108" s="2" t="n">
        <f aca="false">AD104</f>
        <v>-1.8</v>
      </c>
      <c r="AG108" s="2" t="n">
        <f aca="false">AD102</f>
        <v>-0.85</v>
      </c>
      <c r="AH108" s="2" t="n">
        <f aca="false">AD100</f>
        <v>-1.22</v>
      </c>
      <c r="AI108" s="2" t="n">
        <f aca="false">AD98</f>
        <v>-1.23</v>
      </c>
      <c r="AJ108" s="2" t="n">
        <f aca="false">AD96</f>
        <v>-0.99</v>
      </c>
      <c r="AK108" s="2" t="n">
        <f aca="false">AD94</f>
        <v>-0.53</v>
      </c>
      <c r="AL108" s="2" t="n">
        <f aca="false">AD92</f>
        <v>-0.8</v>
      </c>
      <c r="AM108" s="2" t="n">
        <f aca="false">AD90</f>
        <v>-1.82</v>
      </c>
      <c r="AN108" s="2" t="n">
        <f aca="false">AD88</f>
        <v>-0.61</v>
      </c>
      <c r="AO108" s="2" t="n">
        <f aca="false">AD86</f>
        <v>-0.33</v>
      </c>
      <c r="AP108" s="1" t="n">
        <v>3</v>
      </c>
      <c r="AQ108" s="2" t="n">
        <f aca="false">AP106</f>
        <v>3</v>
      </c>
      <c r="AR108" s="2" t="n">
        <f aca="false">AP104</f>
        <v>3</v>
      </c>
      <c r="AS108" s="2" t="n">
        <f aca="false">AP102</f>
        <v>3</v>
      </c>
      <c r="AT108" s="2" t="n">
        <f aca="false">AP100</f>
        <v>3</v>
      </c>
      <c r="AU108" s="2" t="n">
        <f aca="false">AP98</f>
        <v>3</v>
      </c>
      <c r="AV108" s="2" t="n">
        <f aca="false">AP96</f>
        <v>3</v>
      </c>
      <c r="AW108" s="2" t="n">
        <f aca="false">AP94</f>
        <v>3</v>
      </c>
      <c r="AX108" s="2" t="n">
        <f aca="false">AP92</f>
        <v>3</v>
      </c>
      <c r="AY108" s="2" t="n">
        <f aca="false">AP90</f>
        <v>3</v>
      </c>
      <c r="AZ108" s="2" t="n">
        <f aca="false">AP88</f>
        <v>3</v>
      </c>
      <c r="BA108" s="2" t="n">
        <f aca="false">AP86</f>
        <v>3</v>
      </c>
      <c r="BB108" s="1" t="n">
        <v>10</v>
      </c>
      <c r="BC108" s="2" t="n">
        <f aca="false">BB106</f>
        <v>2</v>
      </c>
      <c r="BD108" s="2" t="n">
        <f aca="false">BB104</f>
        <v>27</v>
      </c>
      <c r="BE108" s="2" t="n">
        <f aca="false">BB102</f>
        <v>11</v>
      </c>
      <c r="BF108" s="2" t="n">
        <f aca="false">BB100</f>
        <v>18</v>
      </c>
      <c r="BG108" s="2" t="n">
        <f aca="false">BB98</f>
        <v>22</v>
      </c>
      <c r="BH108" s="2" t="n">
        <f aca="false">BB96</f>
        <v>7</v>
      </c>
      <c r="BI108" s="2" t="n">
        <f aca="false">BB94</f>
        <v>7</v>
      </c>
      <c r="BJ108" s="2" t="n">
        <f aca="false">BB92</f>
        <v>4</v>
      </c>
      <c r="BK108" s="2" t="n">
        <f aca="false">BB90</f>
        <v>24</v>
      </c>
      <c r="BL108" s="2" t="n">
        <f aca="false">BB88</f>
        <v>11</v>
      </c>
      <c r="BM108" s="2" t="n">
        <f aca="false">BB86</f>
        <v>2</v>
      </c>
      <c r="BN108" s="1" t="n">
        <v>3</v>
      </c>
      <c r="BO108" s="2" t="n">
        <f aca="false">BN106</f>
        <v>3</v>
      </c>
      <c r="BP108" s="2" t="n">
        <f aca="false">BN104</f>
        <v>3</v>
      </c>
      <c r="BQ108" s="2" t="n">
        <f aca="false">BN102</f>
        <v>3</v>
      </c>
      <c r="BR108" s="2" t="n">
        <f aca="false">BN100</f>
        <v>3</v>
      </c>
      <c r="BS108" s="2" t="n">
        <f aca="false">BN98</f>
        <v>3</v>
      </c>
      <c r="BT108" s="2" t="n">
        <f aca="false">BN96</f>
        <v>3</v>
      </c>
      <c r="BU108" s="2" t="n">
        <f aca="false">BN94</f>
        <v>3</v>
      </c>
      <c r="BV108" s="2" t="n">
        <f aca="false">BN92</f>
        <v>3</v>
      </c>
      <c r="BW108" s="2" t="n">
        <f aca="false">BN90</f>
        <v>3</v>
      </c>
      <c r="BX108" s="2" t="n">
        <f aca="false">BN88</f>
        <v>3</v>
      </c>
      <c r="BY108" s="2" t="n">
        <f aca="false">BN86</f>
        <v>3</v>
      </c>
      <c r="BZ108" s="1" t="n">
        <v>-7.294</v>
      </c>
      <c r="CA108" s="2" t="n">
        <f aca="false">BZ106</f>
        <v>-11.665</v>
      </c>
      <c r="CB108" s="2" t="n">
        <f aca="false">BZ104</f>
        <v>-3.18852</v>
      </c>
      <c r="CC108" s="2" t="n">
        <f aca="false">BZ102</f>
        <v>-3.67909</v>
      </c>
      <c r="CD108" s="2" t="n">
        <f aca="false">BZ100</f>
        <v>-3.19722</v>
      </c>
      <c r="CE108" s="2" t="n">
        <f aca="false">BZ98</f>
        <v>-2.65409</v>
      </c>
      <c r="CF108" s="2" t="n">
        <f aca="false">BZ96</f>
        <v>-6.74571</v>
      </c>
      <c r="CG108" s="2" t="n">
        <f aca="false">BZ94</f>
        <v>-3.55429</v>
      </c>
      <c r="CH108" s="2" t="n">
        <f aca="false">BZ92</f>
        <v>-9.455</v>
      </c>
      <c r="CI108" s="2" t="n">
        <f aca="false">BZ90</f>
        <v>-3.60833</v>
      </c>
      <c r="CJ108" s="2" t="n">
        <f aca="false">BZ88</f>
        <v>-2.63455</v>
      </c>
      <c r="CK108" s="2" t="n">
        <f aca="false">BZ86</f>
        <v>-7.795</v>
      </c>
      <c r="CL108" s="1" t="n">
        <v>3</v>
      </c>
      <c r="CM108" s="2" t="n">
        <f aca="false">CL106</f>
        <v>4</v>
      </c>
      <c r="CN108" s="2" t="n">
        <f aca="false">CL104</f>
        <v>3</v>
      </c>
      <c r="CO108" s="2" t="n">
        <f aca="false">CL102</f>
        <v>3</v>
      </c>
      <c r="CP108" s="2" t="n">
        <f aca="false">CL100</f>
        <v>3</v>
      </c>
      <c r="CQ108" s="2" t="n">
        <f aca="false">CL98</f>
        <v>3</v>
      </c>
      <c r="CR108" s="2" t="n">
        <f aca="false">CL96</f>
        <v>3</v>
      </c>
      <c r="CS108" s="2" t="n">
        <f aca="false">CL94</f>
        <v>3</v>
      </c>
      <c r="CT108" s="2" t="n">
        <f aca="false">CL92</f>
        <v>4</v>
      </c>
      <c r="CU108" s="2" t="n">
        <f aca="false">CL90</f>
        <v>3</v>
      </c>
      <c r="CV108" s="2" t="n">
        <f aca="false">CL88</f>
        <v>3</v>
      </c>
      <c r="CW108" s="2" t="n">
        <f aca="false">CL86</f>
        <v>3</v>
      </c>
      <c r="CX108" s="1" t="n">
        <v>-82.1935</v>
      </c>
      <c r="CY108" s="2" t="n">
        <f aca="false">CX106</f>
        <v>-85.1002</v>
      </c>
      <c r="CZ108" s="2" t="n">
        <f aca="false">CX104</f>
        <v>-72.5873</v>
      </c>
      <c r="DA108" s="2" t="n">
        <f aca="false">CX102</f>
        <v>-74.794</v>
      </c>
      <c r="DB108" s="2" t="n">
        <f aca="false">CX100</f>
        <v>-72.6318</v>
      </c>
      <c r="DC108" s="2" t="n">
        <f aca="false">CX98</f>
        <v>-69.3548</v>
      </c>
      <c r="DD108" s="2" t="n">
        <f aca="false">CX96</f>
        <v>-81.5678</v>
      </c>
      <c r="DE108" s="2" t="n">
        <f aca="false">CX94</f>
        <v>-74.286</v>
      </c>
      <c r="DF108" s="2" t="n">
        <f aca="false">CX92</f>
        <v>-83.9626</v>
      </c>
      <c r="DG108" s="2" t="n">
        <f aca="false">CX90</f>
        <v>-74.51</v>
      </c>
      <c r="DH108" s="2" t="n">
        <f aca="false">CX88</f>
        <v>-69.2146</v>
      </c>
      <c r="DI108" s="2" t="n">
        <f aca="false">CX86</f>
        <v>-82.6896</v>
      </c>
      <c r="DJ108" s="1" t="s">
        <v>172</v>
      </c>
      <c r="DK108" s="2" t="str">
        <f aca="false">DJ106</f>
        <v>LL</v>
      </c>
      <c r="DL108" s="2" t="str">
        <f aca="false">DJ104</f>
        <v>LL</v>
      </c>
      <c r="DM108" s="2" t="str">
        <f aca="false">DJ102</f>
        <v>HL</v>
      </c>
      <c r="DN108" s="2" t="str">
        <f aca="false">DJ100</f>
        <v>LL</v>
      </c>
      <c r="DO108" s="2" t="str">
        <f aca="false">DJ98</f>
        <v>LL</v>
      </c>
      <c r="DP108" s="2" t="str">
        <f aca="false">DJ96</f>
        <v>LL</v>
      </c>
      <c r="DQ108" s="2" t="str">
        <f aca="false">DJ94</f>
        <v>HL</v>
      </c>
      <c r="DR108" s="2" t="str">
        <f aca="false">DJ92</f>
        <v>HL</v>
      </c>
      <c r="DS108" s="2" t="str">
        <f aca="false">DJ90</f>
        <v>LL</v>
      </c>
      <c r="DT108" s="2" t="str">
        <f aca="false">DJ88</f>
        <v>HL</v>
      </c>
      <c r="DU108" s="2" t="str">
        <f aca="false">DJ86</f>
        <v>HL</v>
      </c>
      <c r="DV108" s="2" t="n">
        <f aca="false">IFERROR((G108-$F108)/$F108*100,"")</f>
        <v>1.00397320726001</v>
      </c>
      <c r="DW108" s="2" t="n">
        <f aca="false">IFERROR((H108-$F108)/$F108*100,"")</f>
        <v>1.05463537253938</v>
      </c>
      <c r="DX108" s="2" t="n">
        <f aca="false">IFERROR((I108-$F108)/$F108*100,"")</f>
        <v>1.49615075335719</v>
      </c>
      <c r="DY108" s="2" t="n">
        <f aca="false">IFERROR((J108-$F108)/$F108*100,"")</f>
        <v>0.200061656933078</v>
      </c>
      <c r="DZ108" s="2" t="n">
        <f aca="false">IFERROR((K108-$F108)/$F108*100,"")</f>
        <v>0.68965219884578</v>
      </c>
      <c r="EA108" s="2" t="n">
        <f aca="false">IFERROR((L108-$F108)/$F108*100,"")</f>
        <v>1.36744729517934</v>
      </c>
      <c r="EB108" s="2" t="n">
        <f aca="false">IFERROR((M108-$F108)/$F108*100,"")</f>
        <v>1.38900566338333</v>
      </c>
      <c r="EC108" s="2" t="n">
        <f aca="false">IFERROR((N108-$F108)/$F108*100,"")</f>
        <v>1.25599053156469</v>
      </c>
      <c r="ED108" s="2" t="n">
        <f aca="false">IFERROR((O108-$F108)/$F108*100,"")</f>
        <v>0.852202295103893</v>
      </c>
      <c r="EE108" s="2" t="n">
        <f aca="false">IFERROR((P108-$F108)/$F108*100,"")</f>
        <v>1.16178046251324</v>
      </c>
      <c r="EF108" s="2" t="n">
        <f aca="false">IFERROR((Q108-$F108)/$F108*100,"")</f>
        <v>1.0136744729518</v>
      </c>
      <c r="EG108" s="2" t="str">
        <f aca="false">IF(DV108="","",IF(AND(ABS(DV108)&lt;=0.25,$E108="Bottom",DK108="LL"),"EQL",IF(AND(ABS(DV108)&lt;=0.25,$E108="Peak",DK108="HH"),"EQH","")))</f>
        <v/>
      </c>
      <c r="EH108" s="2" t="str">
        <f aca="false">IF(DW108="","",IF(AND(ABS(DW108)&lt;=0.25,$E108="Bottom",DL108="LL"),"EQL",IF(AND(ABS(DW108)&lt;=0.25,$E108="Peak",DL108="HH"),"EQH","")))</f>
        <v/>
      </c>
      <c r="EI108" s="2" t="str">
        <f aca="false">IF(DX108="","",IF(AND(ABS(DX108)&lt;=0.25,$E108="Bottom",DM108="LL"),"EQL",IF(AND(ABS(DX108)&lt;=0.25,$E108="Peak",DM108="HH"),"EQH","")))</f>
        <v/>
      </c>
      <c r="EJ108" s="2" t="str">
        <f aca="false">IF(DY108="","",IF(AND(ABS(DY108)&lt;=0.25,$E108="Bottom",DN108="LL"),"EQL",IF(AND(ABS(DY108)&lt;=0.25,$E108="Peak",DN108="HH"),"EQH","")))</f>
        <v>EQL</v>
      </c>
      <c r="EK108" s="2" t="str">
        <f aca="false">IF(DZ108="","",IF(AND(ABS(DZ108)&lt;=0.25,$E108="Bottom",DO108="LL"),"EQL",IF(AND(ABS(DZ108)&lt;=0.25,$E108="Peak",DO108="HH"),"EQH","")))</f>
        <v/>
      </c>
      <c r="EL108" s="2" t="str">
        <f aca="false">IF(EA108="","",IF(AND(ABS(EA108)&lt;=0.25,$E108="Bottom",DP108="LL"),"EQL",IF(AND(ABS(EA108)&lt;=0.25,$E108="Peak",DP108="HH"),"EQH","")))</f>
        <v/>
      </c>
      <c r="EM108" s="2" t="str">
        <f aca="false">IF(EB108="","",IF(AND(ABS(EB108)&lt;=0.25,$E108="Bottom",DQ108="LL"),"EQL",IF(AND(ABS(EB108)&lt;=0.25,$E108="Peak",DQ108="HH"),"EQH","")))</f>
        <v/>
      </c>
      <c r="EN108" s="2" t="str">
        <f aca="false">IF(EC108="","",IF(AND(ABS(EC108)&lt;=0.25,$E108="Bottom",DR108="LL"),"EQL",IF(AND(ABS(EC108)&lt;=0.25,$E108="Peak",DR108="HH"),"EQH","")))</f>
        <v/>
      </c>
      <c r="EO108" s="2" t="str">
        <f aca="false">IF(ED108="","",IF(AND(ABS(ED108)&lt;=0.25,$E108="Bottom",DS108="LL"),"EQL",IF(AND(ABS(ED108)&lt;=0.25,$E108="Peak",DS108="HH"),"EQH","")))</f>
        <v/>
      </c>
      <c r="EP108" s="2" t="str">
        <f aca="false">IF(EE108="","",IF(AND(ABS(EE108)&lt;=0.25,$E108="Bottom",DT108="LL"),"EQL",IF(AND(ABS(EE108)&lt;=0.25,$E108="Peak",DT108="HH"),"EQH","")))</f>
        <v/>
      </c>
      <c r="EQ108" s="2" t="str">
        <f aca="false">IF(EF108="","",IF(AND(ABS(EF108)&lt;=0.25,$E108="Bottom",DU108="LL"),"EQL",IF(AND(ABS(EF108)&lt;=0.25,$E108="Peak",DU108="HH"),"EQH","")))</f>
        <v/>
      </c>
      <c r="ER108" s="2" t="str">
        <f aca="false">IF(OR(EG108="EQL",EG108="EQH"),G108,"")</f>
        <v/>
      </c>
      <c r="ES108" s="2" t="str">
        <f aca="false">IF(OR(EH108="EQL",EH108="EQH"),H108,"")</f>
        <v/>
      </c>
      <c r="ET108" s="2" t="str">
        <f aca="false">IF(OR(EI108="EQL",EI108="EQH"),I108,"")</f>
        <v/>
      </c>
      <c r="EU108" s="2" t="n">
        <f aca="false">IF(OR(EJ108="EQL",EJ108="EQH"),J108,"")</f>
        <v>4647.85</v>
      </c>
      <c r="EV108" s="2" t="str">
        <f aca="false">IF(OR(EK108="EQL",EK108="EQH"),K108,"")</f>
        <v/>
      </c>
      <c r="EW108" s="2" t="str">
        <f aca="false">IF(OR(EL108="EQL",EL108="EQH"),L108,"")</f>
        <v/>
      </c>
      <c r="EX108" s="2" t="str">
        <f aca="false">IF(OR(EM108="EQL",EM108="EQH"),M108,"")</f>
        <v/>
      </c>
      <c r="EY108" s="2" t="str">
        <f aca="false">IF(OR(EN108="EQL",EN108="EQH"),N108,"")</f>
        <v/>
      </c>
      <c r="EZ108" s="2" t="str">
        <f aca="false">IF(OR(EO108="EQL",EO108="EQH"),O108,"")</f>
        <v/>
      </c>
      <c r="FA108" s="2" t="str">
        <f aca="false">IF(OR(EP108="EQL",EP108="EQH"),P108,"")</f>
        <v/>
      </c>
      <c r="FB108" s="2" t="str">
        <f aca="false">IF(OR(EQ108="EQL",EQ108="EQH"),Q108,"")</f>
        <v/>
      </c>
      <c r="FC108" s="2" t="str">
        <f aca="false">IF(AND(EG108="EQL",OR(AQ108=4,AQ108=5)),"IEQL",IF(AND(EG108="EQH",OR(AQ108=1,AQ108=2)),"IEQH",""))</f>
        <v/>
      </c>
      <c r="FD108" s="2" t="str">
        <f aca="false">IF(AND(EH108="EQL",OR(AR108=4,AR108=5)),"IEQL",IF(AND(EH108="EQH",OR(AR108=1,AR108=2)),"IEQH",""))</f>
        <v/>
      </c>
      <c r="FE108" s="2" t="str">
        <f aca="false">IF(AND(EI108="EQL",OR(AS108=4,AS108=5)),"IEQL",IF(AND(EI108="EQH",OR(AS108=1,AS108=2)),"IEQH",""))</f>
        <v/>
      </c>
      <c r="FF108" s="2" t="str">
        <f aca="false">IF(AND(EJ108="EQL",OR(AT108=4,AT108=5)),"IEQL",IF(AND(EJ108="EQH",OR(AT108=1,AT108=2)),"IEQH",""))</f>
        <v/>
      </c>
      <c r="FG108" s="2" t="str">
        <f aca="false">IF(AND(EK108="EQL",OR(AU108=4,AU108=5)),"IEQL",IF(AND(EK108="EQH",OR(AU108=1,AU108=2)),"IEQH",""))</f>
        <v/>
      </c>
      <c r="FH108" s="2" t="str">
        <f aca="false">IF(AND(EL108="EQL",OR(AV108=4,AV108=5)),"IEQL",IF(AND(EL108="EQH",OR(AV108=1,AV108=2)),"IEQH",""))</f>
        <v/>
      </c>
      <c r="FI108" s="2" t="str">
        <f aca="false">IF(AND(EM108="EQL",OR(AW108=4,AW108=5)),"IEQL",IF(AND(EM108="EQH",OR(AW108=1,AW108=2)),"IEQH",""))</f>
        <v/>
      </c>
      <c r="FJ108" s="2" t="str">
        <f aca="false">IF(AND(EN108="EQL",OR(AX108=4,AX108=5)),"IEQL",IF(AND(EN108="EQH",OR(AX108=1,AX108=2)),"IEQH",""))</f>
        <v/>
      </c>
      <c r="FK108" s="2" t="str">
        <f aca="false">IF(AND(EO108="EQL",OR(AY108=4,AY108=5)),"IEQL",IF(AND(EO108="EQH",OR(AY108=1,AY108=2)),"IEQH",""))</f>
        <v/>
      </c>
      <c r="FL108" s="2" t="str">
        <f aca="false">IF(AND(EP108="EQL",OR(AZ108=4,AZ108=5)),"IEQL",IF(AND(EP108="EQH",OR(AZ108=1,AZ108=2)),"IEQH",""))</f>
        <v/>
      </c>
      <c r="FM108" s="2" t="str">
        <f aca="false">IF(AND(EQ108="EQL",OR(BA108=4,BA108=5)),"IEQL",IF(AND(EQ108="EQH",OR(BA108=1,BA108=2)),"IEQH",""))</f>
        <v/>
      </c>
    </row>
    <row r="109" customFormat="false" ht="14.25" hidden="false" customHeight="false" outlineLevel="0" collapsed="false">
      <c r="A109" s="1" t="n">
        <v>1778630402</v>
      </c>
      <c r="B109" s="1" t="s">
        <v>169</v>
      </c>
      <c r="C109" s="1" t="s">
        <v>170</v>
      </c>
      <c r="D109" s="1" t="n">
        <v>4720.28</v>
      </c>
      <c r="E109" s="1" t="s">
        <v>173</v>
      </c>
      <c r="F109" s="1" t="n">
        <v>4726.76</v>
      </c>
      <c r="G109" s="2" t="n">
        <f aca="false">F107</f>
        <v>4711.51</v>
      </c>
      <c r="H109" s="2" t="n">
        <f aca="false">F105</f>
        <v>4708.47</v>
      </c>
      <c r="I109" s="2" t="n">
        <f aca="false">F103</f>
        <v>4773.58</v>
      </c>
      <c r="J109" s="2" t="n">
        <f aca="false">F101</f>
        <v>4748.44</v>
      </c>
      <c r="K109" s="2" t="n">
        <f aca="false">F99</f>
        <v>4705.4</v>
      </c>
      <c r="L109" s="2" t="n">
        <f aca="false">F97</f>
        <v>4728.95</v>
      </c>
      <c r="M109" s="2" t="n">
        <f aca="false">F95</f>
        <v>4749.22</v>
      </c>
      <c r="N109" s="2" t="n">
        <f aca="false">F93</f>
        <v>4727.88</v>
      </c>
      <c r="O109" s="2" t="n">
        <f aca="false">F91</f>
        <v>4734.65</v>
      </c>
      <c r="P109" s="2" t="n">
        <f aca="false">F89</f>
        <v>4764.7</v>
      </c>
      <c r="Q109" s="2" t="n">
        <f aca="false">F87</f>
        <v>4721.44</v>
      </c>
      <c r="R109" s="1" t="n">
        <v>88.19</v>
      </c>
      <c r="S109" s="2" t="n">
        <f aca="false">R107</f>
        <v>26.37</v>
      </c>
      <c r="T109" s="2" t="n">
        <f aca="false">R105</f>
        <v>20.98</v>
      </c>
      <c r="U109" s="2" t="n">
        <f aca="false">R103</f>
        <v>65.61</v>
      </c>
      <c r="V109" s="2" t="n">
        <f aca="false">R101</f>
        <v>100.59</v>
      </c>
      <c r="W109" s="2" t="n">
        <f aca="false">R99</f>
        <v>34.84</v>
      </c>
      <c r="X109" s="2" t="n">
        <f aca="false">R97</f>
        <v>26.95</v>
      </c>
      <c r="Y109" s="2" t="n">
        <f aca="false">R95</f>
        <v>46.22</v>
      </c>
      <c r="Z109" s="2" t="n">
        <f aca="false">R93</f>
        <v>31.05</v>
      </c>
      <c r="AA109" s="2" t="n">
        <f aca="false">R91</f>
        <v>56.55</v>
      </c>
      <c r="AB109" s="2" t="n">
        <f aca="false">R89</f>
        <v>72.24</v>
      </c>
      <c r="AC109" s="2" t="n">
        <f aca="false">R87</f>
        <v>35.85</v>
      </c>
      <c r="AD109" s="1" t="n">
        <v>1.9</v>
      </c>
      <c r="AE109" s="2" t="n">
        <f aca="false">AD107</f>
        <v>0.56</v>
      </c>
      <c r="AF109" s="2" t="n">
        <f aca="false">AD105</f>
        <v>0.45</v>
      </c>
      <c r="AG109" s="2" t="n">
        <f aca="false">AD103</f>
        <v>1.39</v>
      </c>
      <c r="AH109" s="2" t="n">
        <f aca="false">AD101</f>
        <v>2.16</v>
      </c>
      <c r="AI109" s="2" t="n">
        <f aca="false">AD99</f>
        <v>0.75</v>
      </c>
      <c r="AJ109" s="2" t="n">
        <f aca="false">AD97</f>
        <v>0.57</v>
      </c>
      <c r="AK109" s="2" t="n">
        <f aca="false">AD95</f>
        <v>0.98</v>
      </c>
      <c r="AL109" s="2" t="n">
        <f aca="false">AD93</f>
        <v>0.66</v>
      </c>
      <c r="AM109" s="2" t="n">
        <f aca="false">AD91</f>
        <v>1.21</v>
      </c>
      <c r="AN109" s="2" t="n">
        <f aca="false">AD89</f>
        <v>1.54</v>
      </c>
      <c r="AO109" s="2" t="n">
        <f aca="false">AD87</f>
        <v>0.77</v>
      </c>
      <c r="AP109" s="1" t="n">
        <v>0</v>
      </c>
      <c r="AQ109" s="2" t="n">
        <f aca="false">AP107</f>
        <v>0</v>
      </c>
      <c r="AR109" s="2" t="n">
        <f aca="false">AP105</f>
        <v>0</v>
      </c>
      <c r="AS109" s="2" t="n">
        <f aca="false">AP103</f>
        <v>0</v>
      </c>
      <c r="AT109" s="2" t="n">
        <f aca="false">AP101</f>
        <v>1</v>
      </c>
      <c r="AU109" s="2" t="n">
        <f aca="false">AP99</f>
        <v>0</v>
      </c>
      <c r="AV109" s="2" t="n">
        <f aca="false">AP97</f>
        <v>0</v>
      </c>
      <c r="AW109" s="2" t="n">
        <f aca="false">AP95</f>
        <v>0</v>
      </c>
      <c r="AX109" s="2" t="n">
        <f aca="false">AP93</f>
        <v>0</v>
      </c>
      <c r="AY109" s="2" t="n">
        <f aca="false">AP91</f>
        <v>0</v>
      </c>
      <c r="AZ109" s="2" t="n">
        <f aca="false">AP89</f>
        <v>0</v>
      </c>
      <c r="BA109" s="2" t="n">
        <f aca="false">AP87</f>
        <v>0</v>
      </c>
      <c r="BB109" s="1" t="n">
        <v>31</v>
      </c>
      <c r="BC109" s="2" t="n">
        <f aca="false">BB107</f>
        <v>9</v>
      </c>
      <c r="BD109" s="2" t="n">
        <f aca="false">BB105</f>
        <v>12</v>
      </c>
      <c r="BE109" s="2" t="n">
        <f aca="false">BB103</f>
        <v>27</v>
      </c>
      <c r="BF109" s="2" t="n">
        <f aca="false">BB101</f>
        <v>32</v>
      </c>
      <c r="BG109" s="2" t="n">
        <f aca="false">BB99</f>
        <v>2</v>
      </c>
      <c r="BH109" s="2" t="n">
        <f aca="false">BB97</f>
        <v>10</v>
      </c>
      <c r="BI109" s="2" t="n">
        <f aca="false">BB95</f>
        <v>7</v>
      </c>
      <c r="BJ109" s="2" t="n">
        <f aca="false">BB93</f>
        <v>13</v>
      </c>
      <c r="BK109" s="2" t="n">
        <f aca="false">BB91</f>
        <v>33</v>
      </c>
      <c r="BL109" s="2" t="n">
        <f aca="false">BB89</f>
        <v>42</v>
      </c>
      <c r="BM109" s="2" t="n">
        <f aca="false">BB87</f>
        <v>4</v>
      </c>
      <c r="BN109" s="1" t="n">
        <v>0</v>
      </c>
      <c r="BO109" s="2" t="n">
        <f aca="false">BN107</f>
        <v>0</v>
      </c>
      <c r="BP109" s="2" t="n">
        <f aca="false">BN105</f>
        <v>0</v>
      </c>
      <c r="BQ109" s="2" t="n">
        <f aca="false">BN103</f>
        <v>0</v>
      </c>
      <c r="BR109" s="2" t="n">
        <f aca="false">BN101</f>
        <v>1</v>
      </c>
      <c r="BS109" s="2" t="n">
        <f aca="false">BN99</f>
        <v>0</v>
      </c>
      <c r="BT109" s="2" t="n">
        <f aca="false">BN97</f>
        <v>0</v>
      </c>
      <c r="BU109" s="2" t="n">
        <f aca="false">BN95</f>
        <v>0</v>
      </c>
      <c r="BV109" s="2" t="n">
        <f aca="false">BN93</f>
        <v>0</v>
      </c>
      <c r="BW109" s="2" t="n">
        <f aca="false">BN91</f>
        <v>0</v>
      </c>
      <c r="BX109" s="2" t="n">
        <f aca="false">BN89</f>
        <v>2</v>
      </c>
      <c r="BY109" s="2" t="n">
        <f aca="false">BN87</f>
        <v>0</v>
      </c>
      <c r="BZ109" s="1" t="n">
        <v>2.84484</v>
      </c>
      <c r="CA109" s="2" t="n">
        <f aca="false">BZ107</f>
        <v>2.93</v>
      </c>
      <c r="CB109" s="2" t="n">
        <f aca="false">BZ105</f>
        <v>1.74833</v>
      </c>
      <c r="CC109" s="2" t="n">
        <f aca="false">BZ103</f>
        <v>2.43</v>
      </c>
      <c r="CD109" s="2" t="n">
        <f aca="false">BZ101</f>
        <v>3.14344</v>
      </c>
      <c r="CE109" s="2" t="n">
        <f aca="false">BZ99</f>
        <v>17.42</v>
      </c>
      <c r="CF109" s="2" t="n">
        <f aca="false">BZ97</f>
        <v>2.695</v>
      </c>
      <c r="CG109" s="2" t="n">
        <f aca="false">BZ95</f>
        <v>6.60286</v>
      </c>
      <c r="CH109" s="2" t="n">
        <f aca="false">BZ93</f>
        <v>2.38846</v>
      </c>
      <c r="CI109" s="2" t="n">
        <f aca="false">BZ91</f>
        <v>1.71364</v>
      </c>
      <c r="CJ109" s="2" t="n">
        <f aca="false">BZ89</f>
        <v>1.72</v>
      </c>
      <c r="CK109" s="2" t="n">
        <f aca="false">BZ87</f>
        <v>8.9625</v>
      </c>
      <c r="CL109" s="1" t="n">
        <v>0</v>
      </c>
      <c r="CM109" s="2" t="n">
        <f aca="false">CL107</f>
        <v>0</v>
      </c>
      <c r="CN109" s="2" t="n">
        <f aca="false">CL105</f>
        <v>0</v>
      </c>
      <c r="CO109" s="2" t="n">
        <f aca="false">CL103</f>
        <v>0</v>
      </c>
      <c r="CP109" s="2" t="n">
        <f aca="false">CL101</f>
        <v>0</v>
      </c>
      <c r="CQ109" s="2" t="n">
        <f aca="false">CL99</f>
        <v>2</v>
      </c>
      <c r="CR109" s="2" t="n">
        <f aca="false">CL97</f>
        <v>0</v>
      </c>
      <c r="CS109" s="2" t="n">
        <f aca="false">CL95</f>
        <v>0</v>
      </c>
      <c r="CT109" s="2" t="n">
        <f aca="false">CL93</f>
        <v>0</v>
      </c>
      <c r="CU109" s="2" t="n">
        <f aca="false">CL91</f>
        <v>0</v>
      </c>
      <c r="CV109" s="2" t="n">
        <f aca="false">CL89</f>
        <v>0</v>
      </c>
      <c r="CW109" s="2" t="n">
        <f aca="false">CL87</f>
        <v>0</v>
      </c>
      <c r="CX109" s="1" t="n">
        <v>70.6327</v>
      </c>
      <c r="CY109" s="2" t="n">
        <f aca="false">CX107</f>
        <v>71.1554</v>
      </c>
      <c r="CZ109" s="2" t="n">
        <f aca="false">CX105</f>
        <v>60.2316</v>
      </c>
      <c r="DA109" s="2" t="n">
        <f aca="false">CX103</f>
        <v>67.6317</v>
      </c>
      <c r="DB109" s="2" t="n">
        <f aca="false">CX101</f>
        <v>72.3529</v>
      </c>
      <c r="DC109" s="2" t="n">
        <f aca="false">CX99</f>
        <v>86.7145</v>
      </c>
      <c r="DD109" s="2" t="n">
        <f aca="false">CX97</f>
        <v>69.6422</v>
      </c>
      <c r="DE109" s="2" t="n">
        <f aca="false">CX95</f>
        <v>81.388</v>
      </c>
      <c r="DF109" s="2" t="n">
        <f aca="false">CX93</f>
        <v>67.2819</v>
      </c>
      <c r="DG109" s="2" t="n">
        <f aca="false">CX91</f>
        <v>59.7341</v>
      </c>
      <c r="DH109" s="2" t="n">
        <f aca="false">CX89</f>
        <v>59.8265</v>
      </c>
      <c r="DI109" s="2" t="n">
        <f aca="false">CX87</f>
        <v>83.6335</v>
      </c>
      <c r="DJ109" s="1" t="s">
        <v>176</v>
      </c>
      <c r="DK109" s="2" t="str">
        <f aca="false">DJ107</f>
        <v>HH</v>
      </c>
      <c r="DL109" s="2" t="str">
        <f aca="false">DJ105</f>
        <v>LH</v>
      </c>
      <c r="DM109" s="2" t="str">
        <f aca="false">DJ103</f>
        <v>HH</v>
      </c>
      <c r="DN109" s="2" t="str">
        <f aca="false">DJ101</f>
        <v>HH</v>
      </c>
      <c r="DO109" s="2" t="str">
        <f aca="false">DJ99</f>
        <v>LH</v>
      </c>
      <c r="DP109" s="2" t="str">
        <f aca="false">DJ97</f>
        <v>LH</v>
      </c>
      <c r="DQ109" s="2" t="str">
        <f aca="false">DJ95</f>
        <v>HH</v>
      </c>
      <c r="DR109" s="2" t="str">
        <f aca="false">DJ93</f>
        <v>LH</v>
      </c>
      <c r="DS109" s="2" t="str">
        <f aca="false">DJ91</f>
        <v>LH</v>
      </c>
      <c r="DT109" s="2" t="str">
        <f aca="false">DJ89</f>
        <v>HH</v>
      </c>
      <c r="DU109" s="2" t="str">
        <f aca="false">DJ87</f>
        <v>HH</v>
      </c>
      <c r="DV109" s="2" t="n">
        <f aca="false">IFERROR((G109-$F109)/$F109*100,"")</f>
        <v>-0.322631146916704</v>
      </c>
      <c r="DW109" s="2" t="n">
        <f aca="false">IFERROR((H109-$F109)/$F109*100,"")</f>
        <v>-0.38694581489223</v>
      </c>
      <c r="DX109" s="2" t="n">
        <f aca="false">IFERROR((I109-$F109)/$F109*100,"")</f>
        <v>0.990530511386229</v>
      </c>
      <c r="DY109" s="2" t="n">
        <f aca="false">IFERROR((J109-$F109)/$F109*100,"")</f>
        <v>0.458665132141242</v>
      </c>
      <c r="DZ109" s="2" t="n">
        <f aca="false">IFERROR((K109-$F109)/$F109*100,"")</f>
        <v>-0.451895167091212</v>
      </c>
      <c r="EA109" s="2" t="n">
        <f aca="false">IFERROR((L109-$F109)/$F109*100,"")</f>
        <v>0.0463319483113084</v>
      </c>
      <c r="EB109" s="2" t="n">
        <f aca="false">IFERROR((M109-$F109)/$F109*100,"")</f>
        <v>0.475166921950766</v>
      </c>
      <c r="EC109" s="2" t="n">
        <f aca="false">IFERROR((N109-$F109)/$F109*100,"")</f>
        <v>0.0236948776751917</v>
      </c>
      <c r="ED109" s="2" t="n">
        <f aca="false">IFERROR((O109-$F109)/$F109*100,"")</f>
        <v>0.166921950765417</v>
      </c>
      <c r="EE109" s="2" t="n">
        <f aca="false">IFERROR((P109-$F109)/$F109*100,"")</f>
        <v>0.802663981247188</v>
      </c>
      <c r="EF109" s="2" t="n">
        <f aca="false">IFERROR((Q109-$F109)/$F109*100,"")</f>
        <v>-0.112550668957185</v>
      </c>
      <c r="EG109" s="2" t="str">
        <f aca="false">IF(DV109="","",IF(AND(ABS(DV109)&lt;=0.25,$E109="Bottom",DK109="LL"),"EQL",IF(AND(ABS(DV109)&lt;=0.25,$E109="Peak",DK109="HH"),"EQH","")))</f>
        <v/>
      </c>
      <c r="EH109" s="2" t="str">
        <f aca="false">IF(DW109="","",IF(AND(ABS(DW109)&lt;=0.25,$E109="Bottom",DL109="LL"),"EQL",IF(AND(ABS(DW109)&lt;=0.25,$E109="Peak",DL109="HH"),"EQH","")))</f>
        <v/>
      </c>
      <c r="EI109" s="2" t="str">
        <f aca="false">IF(DX109="","",IF(AND(ABS(DX109)&lt;=0.25,$E109="Bottom",DM109="LL"),"EQL",IF(AND(ABS(DX109)&lt;=0.25,$E109="Peak",DM109="HH"),"EQH","")))</f>
        <v/>
      </c>
      <c r="EJ109" s="2" t="str">
        <f aca="false">IF(DY109="","",IF(AND(ABS(DY109)&lt;=0.25,$E109="Bottom",DN109="LL"),"EQL",IF(AND(ABS(DY109)&lt;=0.25,$E109="Peak",DN109="HH"),"EQH","")))</f>
        <v/>
      </c>
      <c r="EK109" s="2" t="str">
        <f aca="false">IF(DZ109="","",IF(AND(ABS(DZ109)&lt;=0.25,$E109="Bottom",DO109="LL"),"EQL",IF(AND(ABS(DZ109)&lt;=0.25,$E109="Peak",DO109="HH"),"EQH","")))</f>
        <v/>
      </c>
      <c r="EL109" s="2" t="str">
        <f aca="false">IF(EA109="","",IF(AND(ABS(EA109)&lt;=0.25,$E109="Bottom",DP109="LL"),"EQL",IF(AND(ABS(EA109)&lt;=0.25,$E109="Peak",DP109="HH"),"EQH","")))</f>
        <v/>
      </c>
      <c r="EM109" s="2" t="str">
        <f aca="false">IF(EB109="","",IF(AND(ABS(EB109)&lt;=0.25,$E109="Bottom",DQ109="LL"),"EQL",IF(AND(ABS(EB109)&lt;=0.25,$E109="Peak",DQ109="HH"),"EQH","")))</f>
        <v/>
      </c>
      <c r="EN109" s="2" t="str">
        <f aca="false">IF(EC109="","",IF(AND(ABS(EC109)&lt;=0.25,$E109="Bottom",DR109="LL"),"EQL",IF(AND(ABS(EC109)&lt;=0.25,$E109="Peak",DR109="HH"),"EQH","")))</f>
        <v/>
      </c>
      <c r="EO109" s="2" t="str">
        <f aca="false">IF(ED109="","",IF(AND(ABS(ED109)&lt;=0.25,$E109="Bottom",DS109="LL"),"EQL",IF(AND(ABS(ED109)&lt;=0.25,$E109="Peak",DS109="HH"),"EQH","")))</f>
        <v/>
      </c>
      <c r="EP109" s="2" t="str">
        <f aca="false">IF(EE109="","",IF(AND(ABS(EE109)&lt;=0.25,$E109="Bottom",DT109="LL"),"EQL",IF(AND(ABS(EE109)&lt;=0.25,$E109="Peak",DT109="HH"),"EQH","")))</f>
        <v/>
      </c>
      <c r="EQ109" s="2" t="str">
        <f aca="false">IF(EF109="","",IF(AND(ABS(EF109)&lt;=0.25,$E109="Bottom",DU109="LL"),"EQL",IF(AND(ABS(EF109)&lt;=0.25,$E109="Peak",DU109="HH"),"EQH","")))</f>
        <v>EQH</v>
      </c>
      <c r="ER109" s="2" t="str">
        <f aca="false">IF(OR(EG109="EQL",EG109="EQH"),G109,"")</f>
        <v/>
      </c>
      <c r="ES109" s="2" t="str">
        <f aca="false">IF(OR(EH109="EQL",EH109="EQH"),H109,"")</f>
        <v/>
      </c>
      <c r="ET109" s="2" t="str">
        <f aca="false">IF(OR(EI109="EQL",EI109="EQH"),I109,"")</f>
        <v/>
      </c>
      <c r="EU109" s="2" t="str">
        <f aca="false">IF(OR(EJ109="EQL",EJ109="EQH"),J109,"")</f>
        <v/>
      </c>
      <c r="EV109" s="2" t="str">
        <f aca="false">IF(OR(EK109="EQL",EK109="EQH"),K109,"")</f>
        <v/>
      </c>
      <c r="EW109" s="2" t="str">
        <f aca="false">IF(OR(EL109="EQL",EL109="EQH"),L109,"")</f>
        <v/>
      </c>
      <c r="EX109" s="2" t="str">
        <f aca="false">IF(OR(EM109="EQL",EM109="EQH"),M109,"")</f>
        <v/>
      </c>
      <c r="EY109" s="2" t="str">
        <f aca="false">IF(OR(EN109="EQL",EN109="EQH"),N109,"")</f>
        <v/>
      </c>
      <c r="EZ109" s="2" t="str">
        <f aca="false">IF(OR(EO109="EQL",EO109="EQH"),O109,"")</f>
        <v/>
      </c>
      <c r="FA109" s="2" t="str">
        <f aca="false">IF(OR(EP109="EQL",EP109="EQH"),P109,"")</f>
        <v/>
      </c>
      <c r="FB109" s="2" t="n">
        <f aca="false">IF(OR(EQ109="EQL",EQ109="EQH"),Q109,"")</f>
        <v>4721.44</v>
      </c>
      <c r="FC109" s="2" t="str">
        <f aca="false">IF(AND(EG109="EQL",OR(AQ109=4,AQ109=5)),"IEQL",IF(AND(EG109="EQH",OR(AQ109=1,AQ109=2)),"IEQH",""))</f>
        <v/>
      </c>
      <c r="FD109" s="2" t="str">
        <f aca="false">IF(AND(EH109="EQL",OR(AR109=4,AR109=5)),"IEQL",IF(AND(EH109="EQH",OR(AR109=1,AR109=2)),"IEQH",""))</f>
        <v/>
      </c>
      <c r="FE109" s="2" t="str">
        <f aca="false">IF(AND(EI109="EQL",OR(AS109=4,AS109=5)),"IEQL",IF(AND(EI109="EQH",OR(AS109=1,AS109=2)),"IEQH",""))</f>
        <v/>
      </c>
      <c r="FF109" s="2" t="str">
        <f aca="false">IF(AND(EJ109="EQL",OR(AT109=4,AT109=5)),"IEQL",IF(AND(EJ109="EQH",OR(AT109=1,AT109=2)),"IEQH",""))</f>
        <v/>
      </c>
      <c r="FG109" s="2" t="str">
        <f aca="false">IF(AND(EK109="EQL",OR(AU109=4,AU109=5)),"IEQL",IF(AND(EK109="EQH",OR(AU109=1,AU109=2)),"IEQH",""))</f>
        <v/>
      </c>
      <c r="FH109" s="2" t="str">
        <f aca="false">IF(AND(EL109="EQL",OR(AV109=4,AV109=5)),"IEQL",IF(AND(EL109="EQH",OR(AV109=1,AV109=2)),"IEQH",""))</f>
        <v/>
      </c>
      <c r="FI109" s="2" t="str">
        <f aca="false">IF(AND(EM109="EQL",OR(AW109=4,AW109=5)),"IEQL",IF(AND(EM109="EQH",OR(AW109=1,AW109=2)),"IEQH",""))</f>
        <v/>
      </c>
      <c r="FJ109" s="2" t="str">
        <f aca="false">IF(AND(EN109="EQL",OR(AX109=4,AX109=5)),"IEQL",IF(AND(EN109="EQH",OR(AX109=1,AX109=2)),"IEQH",""))</f>
        <v/>
      </c>
      <c r="FK109" s="2" t="str">
        <f aca="false">IF(AND(EO109="EQL",OR(AY109=4,AY109=5)),"IEQL",IF(AND(EO109="EQH",OR(AY109=1,AY109=2)),"IEQH",""))</f>
        <v/>
      </c>
      <c r="FL109" s="2" t="str">
        <f aca="false">IF(AND(EP109="EQL",OR(AZ109=4,AZ109=5)),"IEQL",IF(AND(EP109="EQH",OR(AZ109=1,AZ109=2)),"IEQH",""))</f>
        <v/>
      </c>
      <c r="FM109" s="2" t="str">
        <f aca="false">IF(AND(EQ109="EQL",OR(BA109=4,BA109=5)),"IEQL",IF(AND(EQ109="EQH",OR(BA109=1,BA109=2)),"IEQH",""))</f>
        <v/>
      </c>
    </row>
    <row r="110" customFormat="false" ht="14.25" hidden="false" customHeight="false" outlineLevel="0" collapsed="false">
      <c r="A110" s="1" t="n">
        <v>1778640302</v>
      </c>
      <c r="B110" s="1" t="s">
        <v>169</v>
      </c>
      <c r="C110" s="1" t="s">
        <v>170</v>
      </c>
      <c r="D110" s="1" t="n">
        <v>4691.9</v>
      </c>
      <c r="E110" s="1" t="s">
        <v>171</v>
      </c>
      <c r="F110" s="1" t="n">
        <v>4687.6</v>
      </c>
      <c r="G110" s="2" t="n">
        <f aca="false">F108</f>
        <v>4638.57</v>
      </c>
      <c r="H110" s="2" t="n">
        <f aca="false">F106</f>
        <v>4685.14</v>
      </c>
      <c r="I110" s="2" t="n">
        <f aca="false">F104</f>
        <v>4687.49</v>
      </c>
      <c r="J110" s="2" t="n">
        <f aca="false">F102</f>
        <v>4707.97</v>
      </c>
      <c r="K110" s="2" t="n">
        <f aca="false">F100</f>
        <v>4647.85</v>
      </c>
      <c r="L110" s="2" t="n">
        <f aca="false">F98</f>
        <v>4670.56</v>
      </c>
      <c r="M110" s="2" t="n">
        <f aca="false">F96</f>
        <v>4702</v>
      </c>
      <c r="N110" s="2" t="n">
        <f aca="false">F94</f>
        <v>4703</v>
      </c>
      <c r="O110" s="2" t="n">
        <f aca="false">F92</f>
        <v>4696.83</v>
      </c>
      <c r="P110" s="2" t="n">
        <f aca="false">F90</f>
        <v>4678.1</v>
      </c>
      <c r="Q110" s="2" t="n">
        <f aca="false">F88</f>
        <v>4692.46</v>
      </c>
      <c r="R110" s="1" t="n">
        <v>-39.16</v>
      </c>
      <c r="S110" s="2" t="n">
        <f aca="false">R108</f>
        <v>-72.94</v>
      </c>
      <c r="T110" s="2" t="n">
        <f aca="false">R106</f>
        <v>-23.33</v>
      </c>
      <c r="U110" s="2" t="n">
        <f aca="false">R104</f>
        <v>-86.09</v>
      </c>
      <c r="V110" s="2" t="n">
        <f aca="false">R102</f>
        <v>-40.47</v>
      </c>
      <c r="W110" s="2" t="n">
        <f aca="false">R100</f>
        <v>-57.55</v>
      </c>
      <c r="X110" s="2" t="n">
        <f aca="false">R98</f>
        <v>-58.39</v>
      </c>
      <c r="Y110" s="2" t="n">
        <f aca="false">R96</f>
        <v>-47.22</v>
      </c>
      <c r="Z110" s="2" t="n">
        <f aca="false">R94</f>
        <v>-24.88</v>
      </c>
      <c r="AA110" s="2" t="n">
        <f aca="false">R92</f>
        <v>-37.82</v>
      </c>
      <c r="AB110" s="2" t="n">
        <f aca="false">R90</f>
        <v>-86.6</v>
      </c>
      <c r="AC110" s="2" t="n">
        <f aca="false">R88</f>
        <v>-28.98</v>
      </c>
      <c r="AD110" s="1" t="n">
        <v>-0.83</v>
      </c>
      <c r="AE110" s="2" t="n">
        <f aca="false">AD108</f>
        <v>-1.55</v>
      </c>
      <c r="AF110" s="2" t="n">
        <f aca="false">AD106</f>
        <v>-0.5</v>
      </c>
      <c r="AG110" s="2" t="n">
        <f aca="false">AD104</f>
        <v>-1.8</v>
      </c>
      <c r="AH110" s="2" t="n">
        <f aca="false">AD102</f>
        <v>-0.85</v>
      </c>
      <c r="AI110" s="2" t="n">
        <f aca="false">AD100</f>
        <v>-1.22</v>
      </c>
      <c r="AJ110" s="2" t="n">
        <f aca="false">AD98</f>
        <v>-1.23</v>
      </c>
      <c r="AK110" s="2" t="n">
        <f aca="false">AD96</f>
        <v>-0.99</v>
      </c>
      <c r="AL110" s="2" t="n">
        <f aca="false">AD94</f>
        <v>-0.53</v>
      </c>
      <c r="AM110" s="2" t="n">
        <f aca="false">AD92</f>
        <v>-0.8</v>
      </c>
      <c r="AN110" s="2" t="n">
        <f aca="false">AD90</f>
        <v>-1.82</v>
      </c>
      <c r="AO110" s="2" t="n">
        <f aca="false">AD88</f>
        <v>-0.61</v>
      </c>
      <c r="AP110" s="1" t="n">
        <v>3</v>
      </c>
      <c r="AQ110" s="2" t="n">
        <f aca="false">AP108</f>
        <v>3</v>
      </c>
      <c r="AR110" s="2" t="n">
        <f aca="false">AP106</f>
        <v>3</v>
      </c>
      <c r="AS110" s="2" t="n">
        <f aca="false">AP104</f>
        <v>3</v>
      </c>
      <c r="AT110" s="2" t="n">
        <f aca="false">AP102</f>
        <v>3</v>
      </c>
      <c r="AU110" s="2" t="n">
        <f aca="false">AP100</f>
        <v>3</v>
      </c>
      <c r="AV110" s="2" t="n">
        <f aca="false">AP98</f>
        <v>3</v>
      </c>
      <c r="AW110" s="2" t="n">
        <f aca="false">AP96</f>
        <v>3</v>
      </c>
      <c r="AX110" s="2" t="n">
        <f aca="false">AP94</f>
        <v>3</v>
      </c>
      <c r="AY110" s="2" t="n">
        <f aca="false">AP92</f>
        <v>3</v>
      </c>
      <c r="AZ110" s="2" t="n">
        <f aca="false">AP90</f>
        <v>3</v>
      </c>
      <c r="BA110" s="2" t="n">
        <f aca="false">AP88</f>
        <v>3</v>
      </c>
      <c r="BB110" s="1" t="n">
        <v>11</v>
      </c>
      <c r="BC110" s="2" t="n">
        <f aca="false">BB108</f>
        <v>10</v>
      </c>
      <c r="BD110" s="2" t="n">
        <f aca="false">BB106</f>
        <v>2</v>
      </c>
      <c r="BE110" s="2" t="n">
        <f aca="false">BB104</f>
        <v>27</v>
      </c>
      <c r="BF110" s="2" t="n">
        <f aca="false">BB102</f>
        <v>11</v>
      </c>
      <c r="BG110" s="2" t="n">
        <f aca="false">BB100</f>
        <v>18</v>
      </c>
      <c r="BH110" s="2" t="n">
        <f aca="false">BB98</f>
        <v>22</v>
      </c>
      <c r="BI110" s="2" t="n">
        <f aca="false">BB96</f>
        <v>7</v>
      </c>
      <c r="BJ110" s="2" t="n">
        <f aca="false">BB94</f>
        <v>7</v>
      </c>
      <c r="BK110" s="2" t="n">
        <f aca="false">BB92</f>
        <v>4</v>
      </c>
      <c r="BL110" s="2" t="n">
        <f aca="false">BB90</f>
        <v>24</v>
      </c>
      <c r="BM110" s="2" t="n">
        <f aca="false">BB88</f>
        <v>11</v>
      </c>
      <c r="BN110" s="1" t="n">
        <v>3</v>
      </c>
      <c r="BO110" s="2" t="n">
        <f aca="false">BN108</f>
        <v>3</v>
      </c>
      <c r="BP110" s="2" t="n">
        <f aca="false">BN106</f>
        <v>3</v>
      </c>
      <c r="BQ110" s="2" t="n">
        <f aca="false">BN104</f>
        <v>3</v>
      </c>
      <c r="BR110" s="2" t="n">
        <f aca="false">BN102</f>
        <v>3</v>
      </c>
      <c r="BS110" s="2" t="n">
        <f aca="false">BN100</f>
        <v>3</v>
      </c>
      <c r="BT110" s="2" t="n">
        <f aca="false">BN98</f>
        <v>3</v>
      </c>
      <c r="BU110" s="2" t="n">
        <f aca="false">BN96</f>
        <v>3</v>
      </c>
      <c r="BV110" s="2" t="n">
        <f aca="false">BN94</f>
        <v>3</v>
      </c>
      <c r="BW110" s="2" t="n">
        <f aca="false">BN92</f>
        <v>3</v>
      </c>
      <c r="BX110" s="2" t="n">
        <f aca="false">BN90</f>
        <v>3</v>
      </c>
      <c r="BY110" s="2" t="n">
        <f aca="false">BN88</f>
        <v>3</v>
      </c>
      <c r="BZ110" s="1" t="n">
        <v>-3.56</v>
      </c>
      <c r="CA110" s="2" t="n">
        <f aca="false">BZ108</f>
        <v>-7.294</v>
      </c>
      <c r="CB110" s="2" t="n">
        <f aca="false">BZ106</f>
        <v>-11.665</v>
      </c>
      <c r="CC110" s="2" t="n">
        <f aca="false">BZ104</f>
        <v>-3.18852</v>
      </c>
      <c r="CD110" s="2" t="n">
        <f aca="false">BZ102</f>
        <v>-3.67909</v>
      </c>
      <c r="CE110" s="2" t="n">
        <f aca="false">BZ100</f>
        <v>-3.19722</v>
      </c>
      <c r="CF110" s="2" t="n">
        <f aca="false">BZ98</f>
        <v>-2.65409</v>
      </c>
      <c r="CG110" s="2" t="n">
        <f aca="false">BZ96</f>
        <v>-6.74571</v>
      </c>
      <c r="CH110" s="2" t="n">
        <f aca="false">BZ94</f>
        <v>-3.55429</v>
      </c>
      <c r="CI110" s="2" t="n">
        <f aca="false">BZ92</f>
        <v>-9.455</v>
      </c>
      <c r="CJ110" s="2" t="n">
        <f aca="false">BZ90</f>
        <v>-3.60833</v>
      </c>
      <c r="CK110" s="2" t="n">
        <f aca="false">BZ88</f>
        <v>-2.63455</v>
      </c>
      <c r="CL110" s="1" t="n">
        <v>3</v>
      </c>
      <c r="CM110" s="2" t="n">
        <f aca="false">CL108</f>
        <v>3</v>
      </c>
      <c r="CN110" s="2" t="n">
        <f aca="false">CL106</f>
        <v>4</v>
      </c>
      <c r="CO110" s="2" t="n">
        <f aca="false">CL104</f>
        <v>3</v>
      </c>
      <c r="CP110" s="2" t="n">
        <f aca="false">CL102</f>
        <v>3</v>
      </c>
      <c r="CQ110" s="2" t="n">
        <f aca="false">CL100</f>
        <v>3</v>
      </c>
      <c r="CR110" s="2" t="n">
        <f aca="false">CL98</f>
        <v>3</v>
      </c>
      <c r="CS110" s="2" t="n">
        <f aca="false">CL96</f>
        <v>3</v>
      </c>
      <c r="CT110" s="2" t="n">
        <f aca="false">CL94</f>
        <v>3</v>
      </c>
      <c r="CU110" s="2" t="n">
        <f aca="false">CL92</f>
        <v>4</v>
      </c>
      <c r="CV110" s="2" t="n">
        <f aca="false">CL90</f>
        <v>3</v>
      </c>
      <c r="CW110" s="2" t="n">
        <f aca="false">CL88</f>
        <v>3</v>
      </c>
      <c r="CX110" s="1" t="n">
        <v>-74.31</v>
      </c>
      <c r="CY110" s="2" t="n">
        <f aca="false">CX108</f>
        <v>-82.1935</v>
      </c>
      <c r="CZ110" s="2" t="n">
        <f aca="false">CX106</f>
        <v>-85.1002</v>
      </c>
      <c r="DA110" s="2" t="n">
        <f aca="false">CX104</f>
        <v>-72.5873</v>
      </c>
      <c r="DB110" s="2" t="n">
        <f aca="false">CX102</f>
        <v>-74.794</v>
      </c>
      <c r="DC110" s="2" t="n">
        <f aca="false">CX100</f>
        <v>-72.6318</v>
      </c>
      <c r="DD110" s="2" t="n">
        <f aca="false">CX98</f>
        <v>-69.3548</v>
      </c>
      <c r="DE110" s="2" t="n">
        <f aca="false">CX96</f>
        <v>-81.5678</v>
      </c>
      <c r="DF110" s="2" t="n">
        <f aca="false">CX94</f>
        <v>-74.286</v>
      </c>
      <c r="DG110" s="2" t="n">
        <f aca="false">CX92</f>
        <v>-83.9626</v>
      </c>
      <c r="DH110" s="2" t="n">
        <f aca="false">CX90</f>
        <v>-74.51</v>
      </c>
      <c r="DI110" s="2" t="n">
        <f aca="false">CX88</f>
        <v>-69.2146</v>
      </c>
      <c r="DJ110" s="1" t="s">
        <v>175</v>
      </c>
      <c r="DK110" s="2" t="str">
        <f aca="false">DJ108</f>
        <v>LL</v>
      </c>
      <c r="DL110" s="2" t="str">
        <f aca="false">DJ106</f>
        <v>LL</v>
      </c>
      <c r="DM110" s="2" t="str">
        <f aca="false">DJ104</f>
        <v>LL</v>
      </c>
      <c r="DN110" s="2" t="str">
        <f aca="false">DJ102</f>
        <v>HL</v>
      </c>
      <c r="DO110" s="2" t="str">
        <f aca="false">DJ100</f>
        <v>LL</v>
      </c>
      <c r="DP110" s="2" t="str">
        <f aca="false">DJ98</f>
        <v>LL</v>
      </c>
      <c r="DQ110" s="2" t="str">
        <f aca="false">DJ96</f>
        <v>LL</v>
      </c>
      <c r="DR110" s="2" t="str">
        <f aca="false">DJ94</f>
        <v>HL</v>
      </c>
      <c r="DS110" s="2" t="str">
        <f aca="false">DJ92</f>
        <v>HL</v>
      </c>
      <c r="DT110" s="2" t="str">
        <f aca="false">DJ90</f>
        <v>LL</v>
      </c>
      <c r="DU110" s="2" t="str">
        <f aca="false">DJ88</f>
        <v>HL</v>
      </c>
      <c r="DV110" s="2" t="n">
        <f aca="false">IFERROR((G110-$F110)/$F110*100,"")</f>
        <v>-1.04595101971159</v>
      </c>
      <c r="DW110" s="2" t="n">
        <f aca="false">IFERROR((H110-$F110)/$F110*100,"")</f>
        <v>-0.0524788804505512</v>
      </c>
      <c r="DX110" s="2" t="n">
        <f aca="false">IFERROR((I110-$F110)/$F110*100,"")</f>
        <v>-0.00234661660552483</v>
      </c>
      <c r="DY110" s="2" t="n">
        <f aca="false">IFERROR((J110-$F110)/$F110*100,"")</f>
        <v>0.434550729584433</v>
      </c>
      <c r="DZ110" s="2" t="n">
        <f aca="false">IFERROR((K110-$F110)/$F110*100,"")</f>
        <v>-0.847981909719259</v>
      </c>
      <c r="EA110" s="2" t="n">
        <f aca="false">IFERROR((L110-$F110)/$F110*100,"")</f>
        <v>-0.363512245072104</v>
      </c>
      <c r="EB110" s="2" t="n">
        <f aca="false">IFERROR((M110-$F110)/$F110*100,"")</f>
        <v>0.307193446539799</v>
      </c>
      <c r="EC110" s="2" t="n">
        <f aca="false">IFERROR((N110-$F110)/$F110*100,"")</f>
        <v>0.32852632477173</v>
      </c>
      <c r="ED110" s="2" t="n">
        <f aca="false">IFERROR((O110-$F110)/$F110*100,"")</f>
        <v>0.196902466080714</v>
      </c>
      <c r="EE110" s="2" t="n">
        <f aca="false">IFERROR((P110-$F110)/$F110*100,"")</f>
        <v>-0.202662343203345</v>
      </c>
      <c r="EF110" s="2" t="n">
        <f aca="false">IFERROR((Q110-$F110)/$F110*100,"")</f>
        <v>0.103677788207178</v>
      </c>
      <c r="EG110" s="2" t="str">
        <f aca="false">IF(DV110="","",IF(AND(ABS(DV110)&lt;=0.25,$E110="Bottom",DK110="LL"),"EQL",IF(AND(ABS(DV110)&lt;=0.25,$E110="Peak",DK110="HH"),"EQH","")))</f>
        <v/>
      </c>
      <c r="EH110" s="2" t="str">
        <f aca="false">IF(DW110="","",IF(AND(ABS(DW110)&lt;=0.25,$E110="Bottom",DL110="LL"),"EQL",IF(AND(ABS(DW110)&lt;=0.25,$E110="Peak",DL110="HH"),"EQH","")))</f>
        <v>EQL</v>
      </c>
      <c r="EI110" s="2" t="str">
        <f aca="false">IF(DX110="","",IF(AND(ABS(DX110)&lt;=0.25,$E110="Bottom",DM110="LL"),"EQL",IF(AND(ABS(DX110)&lt;=0.25,$E110="Peak",DM110="HH"),"EQH","")))</f>
        <v>EQL</v>
      </c>
      <c r="EJ110" s="2" t="str">
        <f aca="false">IF(DY110="","",IF(AND(ABS(DY110)&lt;=0.25,$E110="Bottom",DN110="LL"),"EQL",IF(AND(ABS(DY110)&lt;=0.25,$E110="Peak",DN110="HH"),"EQH","")))</f>
        <v/>
      </c>
      <c r="EK110" s="2" t="str">
        <f aca="false">IF(DZ110="","",IF(AND(ABS(DZ110)&lt;=0.25,$E110="Bottom",DO110="LL"),"EQL",IF(AND(ABS(DZ110)&lt;=0.25,$E110="Peak",DO110="HH"),"EQH","")))</f>
        <v/>
      </c>
      <c r="EL110" s="2" t="str">
        <f aca="false">IF(EA110="","",IF(AND(ABS(EA110)&lt;=0.25,$E110="Bottom",DP110="LL"),"EQL",IF(AND(ABS(EA110)&lt;=0.25,$E110="Peak",DP110="HH"),"EQH","")))</f>
        <v/>
      </c>
      <c r="EM110" s="2" t="str">
        <f aca="false">IF(EB110="","",IF(AND(ABS(EB110)&lt;=0.25,$E110="Bottom",DQ110="LL"),"EQL",IF(AND(ABS(EB110)&lt;=0.25,$E110="Peak",DQ110="HH"),"EQH","")))</f>
        <v/>
      </c>
      <c r="EN110" s="2" t="str">
        <f aca="false">IF(EC110="","",IF(AND(ABS(EC110)&lt;=0.25,$E110="Bottom",DR110="LL"),"EQL",IF(AND(ABS(EC110)&lt;=0.25,$E110="Peak",DR110="HH"),"EQH","")))</f>
        <v/>
      </c>
      <c r="EO110" s="2" t="str">
        <f aca="false">IF(ED110="","",IF(AND(ABS(ED110)&lt;=0.25,$E110="Bottom",DS110="LL"),"EQL",IF(AND(ABS(ED110)&lt;=0.25,$E110="Peak",DS110="HH"),"EQH","")))</f>
        <v/>
      </c>
      <c r="EP110" s="2" t="str">
        <f aca="false">IF(EE110="","",IF(AND(ABS(EE110)&lt;=0.25,$E110="Bottom",DT110="LL"),"EQL",IF(AND(ABS(EE110)&lt;=0.25,$E110="Peak",DT110="HH"),"EQH","")))</f>
        <v>EQL</v>
      </c>
      <c r="EQ110" s="2" t="str">
        <f aca="false">IF(EF110="","",IF(AND(ABS(EF110)&lt;=0.25,$E110="Bottom",DU110="LL"),"EQL",IF(AND(ABS(EF110)&lt;=0.25,$E110="Peak",DU110="HH"),"EQH","")))</f>
        <v/>
      </c>
      <c r="ER110" s="2" t="str">
        <f aca="false">IF(OR(EG110="EQL",EG110="EQH"),G110,"")</f>
        <v/>
      </c>
      <c r="ES110" s="2" t="n">
        <f aca="false">IF(OR(EH110="EQL",EH110="EQH"),H110,"")</f>
        <v>4685.14</v>
      </c>
      <c r="ET110" s="2" t="n">
        <f aca="false">IF(OR(EI110="EQL",EI110="EQH"),I110,"")</f>
        <v>4687.49</v>
      </c>
      <c r="EU110" s="2" t="str">
        <f aca="false">IF(OR(EJ110="EQL",EJ110="EQH"),J110,"")</f>
        <v/>
      </c>
      <c r="EV110" s="2" t="str">
        <f aca="false">IF(OR(EK110="EQL",EK110="EQH"),K110,"")</f>
        <v/>
      </c>
      <c r="EW110" s="2" t="str">
        <f aca="false">IF(OR(EL110="EQL",EL110="EQH"),L110,"")</f>
        <v/>
      </c>
      <c r="EX110" s="2" t="str">
        <f aca="false">IF(OR(EM110="EQL",EM110="EQH"),M110,"")</f>
        <v/>
      </c>
      <c r="EY110" s="2" t="str">
        <f aca="false">IF(OR(EN110="EQL",EN110="EQH"),N110,"")</f>
        <v/>
      </c>
      <c r="EZ110" s="2" t="str">
        <f aca="false">IF(OR(EO110="EQL",EO110="EQH"),O110,"")</f>
        <v/>
      </c>
      <c r="FA110" s="2" t="n">
        <f aca="false">IF(OR(EP110="EQL",EP110="EQH"),P110,"")</f>
        <v>4678.1</v>
      </c>
      <c r="FB110" s="2" t="str">
        <f aca="false">IF(OR(EQ110="EQL",EQ110="EQH"),Q110,"")</f>
        <v/>
      </c>
      <c r="FC110" s="2" t="str">
        <f aca="false">IF(AND(EG110="EQL",OR(AQ110=4,AQ110=5)),"IEQL",IF(AND(EG110="EQH",OR(AQ110=1,AQ110=2)),"IEQH",""))</f>
        <v/>
      </c>
      <c r="FD110" s="2" t="str">
        <f aca="false">IF(AND(EH110="EQL",OR(AR110=4,AR110=5)),"IEQL",IF(AND(EH110="EQH",OR(AR110=1,AR110=2)),"IEQH",""))</f>
        <v/>
      </c>
      <c r="FE110" s="2" t="str">
        <f aca="false">IF(AND(EI110="EQL",OR(AS110=4,AS110=5)),"IEQL",IF(AND(EI110="EQH",OR(AS110=1,AS110=2)),"IEQH",""))</f>
        <v/>
      </c>
      <c r="FF110" s="2" t="str">
        <f aca="false">IF(AND(EJ110="EQL",OR(AT110=4,AT110=5)),"IEQL",IF(AND(EJ110="EQH",OR(AT110=1,AT110=2)),"IEQH",""))</f>
        <v/>
      </c>
      <c r="FG110" s="2" t="str">
        <f aca="false">IF(AND(EK110="EQL",OR(AU110=4,AU110=5)),"IEQL",IF(AND(EK110="EQH",OR(AU110=1,AU110=2)),"IEQH",""))</f>
        <v/>
      </c>
      <c r="FH110" s="2" t="str">
        <f aca="false">IF(AND(EL110="EQL",OR(AV110=4,AV110=5)),"IEQL",IF(AND(EL110="EQH",OR(AV110=1,AV110=2)),"IEQH",""))</f>
        <v/>
      </c>
      <c r="FI110" s="2" t="str">
        <f aca="false">IF(AND(EM110="EQL",OR(AW110=4,AW110=5)),"IEQL",IF(AND(EM110="EQH",OR(AW110=1,AW110=2)),"IEQH",""))</f>
        <v/>
      </c>
      <c r="FJ110" s="2" t="str">
        <f aca="false">IF(AND(EN110="EQL",OR(AX110=4,AX110=5)),"IEQL",IF(AND(EN110="EQH",OR(AX110=1,AX110=2)),"IEQH",""))</f>
        <v/>
      </c>
      <c r="FK110" s="2" t="str">
        <f aca="false">IF(AND(EO110="EQL",OR(AY110=4,AY110=5)),"IEQL",IF(AND(EO110="EQH",OR(AY110=1,AY110=2)),"IEQH",""))</f>
        <v/>
      </c>
      <c r="FL110" s="2" t="str">
        <f aca="false">IF(AND(EP110="EQL",OR(AZ110=4,AZ110=5)),"IEQL",IF(AND(EP110="EQH",OR(AZ110=1,AZ110=2)),"IEQH",""))</f>
        <v/>
      </c>
      <c r="FM110" s="2" t="str">
        <f aca="false">IF(AND(EQ110="EQL",OR(BA110=4,BA110=5)),"IEQL",IF(AND(EQ110="EQH",OR(BA110=1,BA110=2)),"IEQH",""))</f>
        <v/>
      </c>
    </row>
    <row r="111" customFormat="false" ht="14.25" hidden="false" customHeight="false" outlineLevel="0" collapsed="false">
      <c r="A111" s="1" t="n">
        <v>1778652902</v>
      </c>
      <c r="B111" s="1" t="s">
        <v>169</v>
      </c>
      <c r="C111" s="1" t="s">
        <v>170</v>
      </c>
      <c r="D111" s="1" t="n">
        <v>4708.78</v>
      </c>
      <c r="E111" s="1" t="s">
        <v>173</v>
      </c>
      <c r="F111" s="1" t="n">
        <v>4715.35</v>
      </c>
      <c r="G111" s="2" t="n">
        <f aca="false">F109</f>
        <v>4726.76</v>
      </c>
      <c r="H111" s="2" t="n">
        <f aca="false">F107</f>
        <v>4711.51</v>
      </c>
      <c r="I111" s="2" t="n">
        <f aca="false">F105</f>
        <v>4708.47</v>
      </c>
      <c r="J111" s="2" t="n">
        <f aca="false">F103</f>
        <v>4773.58</v>
      </c>
      <c r="K111" s="2" t="n">
        <f aca="false">F101</f>
        <v>4748.44</v>
      </c>
      <c r="L111" s="2" t="n">
        <f aca="false">F99</f>
        <v>4705.4</v>
      </c>
      <c r="M111" s="2" t="n">
        <f aca="false">F97</f>
        <v>4728.95</v>
      </c>
      <c r="N111" s="2" t="n">
        <f aca="false">F95</f>
        <v>4749.22</v>
      </c>
      <c r="O111" s="2" t="n">
        <f aca="false">F93</f>
        <v>4727.88</v>
      </c>
      <c r="P111" s="2" t="n">
        <f aca="false">F91</f>
        <v>4734.65</v>
      </c>
      <c r="Q111" s="2" t="n">
        <f aca="false">F89</f>
        <v>4764.7</v>
      </c>
      <c r="R111" s="1" t="n">
        <v>27.75</v>
      </c>
      <c r="S111" s="2" t="n">
        <f aca="false">R109</f>
        <v>88.19</v>
      </c>
      <c r="T111" s="2" t="n">
        <f aca="false">R107</f>
        <v>26.37</v>
      </c>
      <c r="U111" s="2" t="n">
        <f aca="false">R105</f>
        <v>20.98</v>
      </c>
      <c r="V111" s="2" t="n">
        <f aca="false">R103</f>
        <v>65.61</v>
      </c>
      <c r="W111" s="2" t="n">
        <f aca="false">R101</f>
        <v>100.59</v>
      </c>
      <c r="X111" s="2" t="n">
        <f aca="false">R99</f>
        <v>34.84</v>
      </c>
      <c r="Y111" s="2" t="n">
        <f aca="false">R97</f>
        <v>26.95</v>
      </c>
      <c r="Z111" s="2" t="n">
        <f aca="false">R95</f>
        <v>46.22</v>
      </c>
      <c r="AA111" s="2" t="n">
        <f aca="false">R93</f>
        <v>31.05</v>
      </c>
      <c r="AB111" s="2" t="n">
        <f aca="false">R91</f>
        <v>56.55</v>
      </c>
      <c r="AC111" s="2" t="n">
        <f aca="false">R89</f>
        <v>72.24</v>
      </c>
      <c r="AD111" s="1" t="n">
        <v>0.59</v>
      </c>
      <c r="AE111" s="2" t="n">
        <f aca="false">AD109</f>
        <v>1.9</v>
      </c>
      <c r="AF111" s="2" t="n">
        <f aca="false">AD107</f>
        <v>0.56</v>
      </c>
      <c r="AG111" s="2" t="n">
        <f aca="false">AD105</f>
        <v>0.45</v>
      </c>
      <c r="AH111" s="2" t="n">
        <f aca="false">AD103</f>
        <v>1.39</v>
      </c>
      <c r="AI111" s="2" t="n">
        <f aca="false">AD101</f>
        <v>2.16</v>
      </c>
      <c r="AJ111" s="2" t="n">
        <f aca="false">AD99</f>
        <v>0.75</v>
      </c>
      <c r="AK111" s="2" t="n">
        <f aca="false">AD97</f>
        <v>0.57</v>
      </c>
      <c r="AL111" s="2" t="n">
        <f aca="false">AD95</f>
        <v>0.98</v>
      </c>
      <c r="AM111" s="2" t="n">
        <f aca="false">AD93</f>
        <v>0.66</v>
      </c>
      <c r="AN111" s="2" t="n">
        <f aca="false">AD91</f>
        <v>1.21</v>
      </c>
      <c r="AO111" s="2" t="n">
        <f aca="false">AD89</f>
        <v>1.54</v>
      </c>
      <c r="AP111" s="1" t="n">
        <v>0</v>
      </c>
      <c r="AQ111" s="2" t="n">
        <f aca="false">AP109</f>
        <v>0</v>
      </c>
      <c r="AR111" s="2" t="n">
        <f aca="false">AP107</f>
        <v>0</v>
      </c>
      <c r="AS111" s="2" t="n">
        <f aca="false">AP105</f>
        <v>0</v>
      </c>
      <c r="AT111" s="2" t="n">
        <f aca="false">AP103</f>
        <v>0</v>
      </c>
      <c r="AU111" s="2" t="n">
        <f aca="false">AP101</f>
        <v>1</v>
      </c>
      <c r="AV111" s="2" t="n">
        <f aca="false">AP99</f>
        <v>0</v>
      </c>
      <c r="AW111" s="2" t="n">
        <f aca="false">AP97</f>
        <v>0</v>
      </c>
      <c r="AX111" s="2" t="n">
        <f aca="false">AP95</f>
        <v>0</v>
      </c>
      <c r="AY111" s="2" t="n">
        <f aca="false">AP93</f>
        <v>0</v>
      </c>
      <c r="AZ111" s="2" t="n">
        <f aca="false">AP91</f>
        <v>0</v>
      </c>
      <c r="BA111" s="2" t="n">
        <f aca="false">AP89</f>
        <v>0</v>
      </c>
      <c r="BB111" s="1" t="n">
        <v>14</v>
      </c>
      <c r="BC111" s="2" t="n">
        <f aca="false">BB109</f>
        <v>31</v>
      </c>
      <c r="BD111" s="2" t="n">
        <f aca="false">BB107</f>
        <v>9</v>
      </c>
      <c r="BE111" s="2" t="n">
        <f aca="false">BB105</f>
        <v>12</v>
      </c>
      <c r="BF111" s="2" t="n">
        <f aca="false">BB103</f>
        <v>27</v>
      </c>
      <c r="BG111" s="2" t="n">
        <f aca="false">BB101</f>
        <v>32</v>
      </c>
      <c r="BH111" s="2" t="n">
        <f aca="false">BB99</f>
        <v>2</v>
      </c>
      <c r="BI111" s="2" t="n">
        <f aca="false">BB97</f>
        <v>10</v>
      </c>
      <c r="BJ111" s="2" t="n">
        <f aca="false">BB95</f>
        <v>7</v>
      </c>
      <c r="BK111" s="2" t="n">
        <f aca="false">BB93</f>
        <v>13</v>
      </c>
      <c r="BL111" s="2" t="n">
        <f aca="false">BB91</f>
        <v>33</v>
      </c>
      <c r="BM111" s="2" t="n">
        <f aca="false">BB89</f>
        <v>42</v>
      </c>
      <c r="BN111" s="1" t="n">
        <v>0</v>
      </c>
      <c r="BO111" s="2" t="n">
        <f aca="false">BN109</f>
        <v>0</v>
      </c>
      <c r="BP111" s="2" t="n">
        <f aca="false">BN107</f>
        <v>0</v>
      </c>
      <c r="BQ111" s="2" t="n">
        <f aca="false">BN105</f>
        <v>0</v>
      </c>
      <c r="BR111" s="2" t="n">
        <f aca="false">BN103</f>
        <v>0</v>
      </c>
      <c r="BS111" s="2" t="n">
        <f aca="false">BN101</f>
        <v>1</v>
      </c>
      <c r="BT111" s="2" t="n">
        <f aca="false">BN99</f>
        <v>0</v>
      </c>
      <c r="BU111" s="2" t="n">
        <f aca="false">BN97</f>
        <v>0</v>
      </c>
      <c r="BV111" s="2" t="n">
        <f aca="false">BN95</f>
        <v>0</v>
      </c>
      <c r="BW111" s="2" t="n">
        <f aca="false">BN93</f>
        <v>0</v>
      </c>
      <c r="BX111" s="2" t="n">
        <f aca="false">BN91</f>
        <v>0</v>
      </c>
      <c r="BY111" s="2" t="n">
        <f aca="false">BN89</f>
        <v>2</v>
      </c>
      <c r="BZ111" s="1" t="n">
        <v>1.98214</v>
      </c>
      <c r="CA111" s="2" t="n">
        <f aca="false">BZ109</f>
        <v>2.84484</v>
      </c>
      <c r="CB111" s="2" t="n">
        <f aca="false">BZ107</f>
        <v>2.93</v>
      </c>
      <c r="CC111" s="2" t="n">
        <f aca="false">BZ105</f>
        <v>1.74833</v>
      </c>
      <c r="CD111" s="2" t="n">
        <f aca="false">BZ103</f>
        <v>2.43</v>
      </c>
      <c r="CE111" s="2" t="n">
        <f aca="false">BZ101</f>
        <v>3.14344</v>
      </c>
      <c r="CF111" s="2" t="n">
        <f aca="false">BZ99</f>
        <v>17.42</v>
      </c>
      <c r="CG111" s="2" t="n">
        <f aca="false">BZ97</f>
        <v>2.695</v>
      </c>
      <c r="CH111" s="2" t="n">
        <f aca="false">BZ95</f>
        <v>6.60286</v>
      </c>
      <c r="CI111" s="2" t="n">
        <f aca="false">BZ93</f>
        <v>2.38846</v>
      </c>
      <c r="CJ111" s="2" t="n">
        <f aca="false">BZ91</f>
        <v>1.71364</v>
      </c>
      <c r="CK111" s="2" t="n">
        <f aca="false">BZ89</f>
        <v>1.72</v>
      </c>
      <c r="CL111" s="1" t="n">
        <v>0</v>
      </c>
      <c r="CM111" s="2" t="n">
        <f aca="false">CL109</f>
        <v>0</v>
      </c>
      <c r="CN111" s="2" t="n">
        <f aca="false">CL107</f>
        <v>0</v>
      </c>
      <c r="CO111" s="2" t="n">
        <f aca="false">CL105</f>
        <v>0</v>
      </c>
      <c r="CP111" s="2" t="n">
        <f aca="false">CL103</f>
        <v>0</v>
      </c>
      <c r="CQ111" s="2" t="n">
        <f aca="false">CL101</f>
        <v>0</v>
      </c>
      <c r="CR111" s="2" t="n">
        <f aca="false">CL99</f>
        <v>2</v>
      </c>
      <c r="CS111" s="2" t="n">
        <f aca="false">CL97</f>
        <v>0</v>
      </c>
      <c r="CT111" s="2" t="n">
        <f aca="false">CL95</f>
        <v>0</v>
      </c>
      <c r="CU111" s="2" t="n">
        <f aca="false">CL93</f>
        <v>0</v>
      </c>
      <c r="CV111" s="2" t="n">
        <f aca="false">CL91</f>
        <v>0</v>
      </c>
      <c r="CW111" s="2" t="n">
        <f aca="false">CL89</f>
        <v>0</v>
      </c>
      <c r="CX111" s="1" t="n">
        <v>63.2288</v>
      </c>
      <c r="CY111" s="2" t="n">
        <f aca="false">CX109</f>
        <v>70.6327</v>
      </c>
      <c r="CZ111" s="2" t="n">
        <f aca="false">CX107</f>
        <v>71.1554</v>
      </c>
      <c r="DA111" s="2" t="n">
        <f aca="false">CX105</f>
        <v>60.2316</v>
      </c>
      <c r="DB111" s="2" t="n">
        <f aca="false">CX103</f>
        <v>67.6317</v>
      </c>
      <c r="DC111" s="2" t="n">
        <f aca="false">CX101</f>
        <v>72.3529</v>
      </c>
      <c r="DD111" s="2" t="n">
        <f aca="false">CX99</f>
        <v>86.7145</v>
      </c>
      <c r="DE111" s="2" t="n">
        <f aca="false">CX97</f>
        <v>69.6422</v>
      </c>
      <c r="DF111" s="2" t="n">
        <f aca="false">CX95</f>
        <v>81.388</v>
      </c>
      <c r="DG111" s="2" t="n">
        <f aca="false">CX93</f>
        <v>67.2819</v>
      </c>
      <c r="DH111" s="2" t="n">
        <f aca="false">CX91</f>
        <v>59.7341</v>
      </c>
      <c r="DI111" s="2" t="n">
        <f aca="false">CX89</f>
        <v>59.8265</v>
      </c>
      <c r="DJ111" s="1" t="s">
        <v>174</v>
      </c>
      <c r="DK111" s="2" t="str">
        <f aca="false">DJ109</f>
        <v>HH</v>
      </c>
      <c r="DL111" s="2" t="str">
        <f aca="false">DJ107</f>
        <v>HH</v>
      </c>
      <c r="DM111" s="2" t="str">
        <f aca="false">DJ105</f>
        <v>LH</v>
      </c>
      <c r="DN111" s="2" t="str">
        <f aca="false">DJ103</f>
        <v>HH</v>
      </c>
      <c r="DO111" s="2" t="str">
        <f aca="false">DJ101</f>
        <v>HH</v>
      </c>
      <c r="DP111" s="2" t="str">
        <f aca="false">DJ99</f>
        <v>LH</v>
      </c>
      <c r="DQ111" s="2" t="str">
        <f aca="false">DJ97</f>
        <v>LH</v>
      </c>
      <c r="DR111" s="2" t="str">
        <f aca="false">DJ95</f>
        <v>HH</v>
      </c>
      <c r="DS111" s="2" t="str">
        <f aca="false">DJ93</f>
        <v>LH</v>
      </c>
      <c r="DT111" s="2" t="str">
        <f aca="false">DJ91</f>
        <v>LH</v>
      </c>
      <c r="DU111" s="2" t="str">
        <f aca="false">DJ89</f>
        <v>HH</v>
      </c>
      <c r="DV111" s="2" t="n">
        <f aca="false">IFERROR((G111-$F111)/$F111*100,"")</f>
        <v>0.241975675188477</v>
      </c>
      <c r="DW111" s="2" t="n">
        <f aca="false">IFERROR((H111-$F111)/$F111*100,"")</f>
        <v>-0.081436160624347</v>
      </c>
      <c r="DX111" s="2" t="n">
        <f aca="false">IFERROR((I111-$F111)/$F111*100,"")</f>
        <v>-0.145906454451952</v>
      </c>
      <c r="DY111" s="2" t="n">
        <f aca="false">IFERROR((J111-$F111)/$F111*100,"")</f>
        <v>1.23490302946758</v>
      </c>
      <c r="DZ111" s="2" t="n">
        <f aca="false">IFERROR((K111-$F111)/$F111*100,"")</f>
        <v>0.701750665380072</v>
      </c>
      <c r="EA111" s="2" t="n">
        <f aca="false">IFERROR((L111-$F111)/$F111*100,"")</f>
        <v>-0.211012968284448</v>
      </c>
      <c r="EB111" s="2" t="n">
        <f aca="false">IFERROR((M111-$F111)/$F111*100,"")</f>
        <v>0.28841973554454</v>
      </c>
      <c r="EC111" s="2" t="n">
        <f aca="false">IFERROR((N111-$F111)/$F111*100,"")</f>
        <v>0.718292385506906</v>
      </c>
      <c r="ED111" s="2" t="n">
        <f aca="false">IFERROR((O111-$F111)/$F111*100,"")</f>
        <v>0.265727888703908</v>
      </c>
      <c r="EE111" s="2" t="n">
        <f aca="false">IFERROR((P111-$F111)/$F111*100,"")</f>
        <v>0.409301536471296</v>
      </c>
      <c r="EF111" s="2" t="n">
        <f aca="false">IFERROR((Q111-$F111)/$F111*100,"")</f>
        <v>1.04658190802378</v>
      </c>
      <c r="EG111" s="2" t="str">
        <f aca="false">IF(DV111="","",IF(AND(ABS(DV111)&lt;=0.25,$E111="Bottom",DK111="LL"),"EQL",IF(AND(ABS(DV111)&lt;=0.25,$E111="Peak",DK111="HH"),"EQH","")))</f>
        <v>EQH</v>
      </c>
      <c r="EH111" s="2" t="str">
        <f aca="false">IF(DW111="","",IF(AND(ABS(DW111)&lt;=0.25,$E111="Bottom",DL111="LL"),"EQL",IF(AND(ABS(DW111)&lt;=0.25,$E111="Peak",DL111="HH"),"EQH","")))</f>
        <v>EQH</v>
      </c>
      <c r="EI111" s="2" t="str">
        <f aca="false">IF(DX111="","",IF(AND(ABS(DX111)&lt;=0.25,$E111="Bottom",DM111="LL"),"EQL",IF(AND(ABS(DX111)&lt;=0.25,$E111="Peak",DM111="HH"),"EQH","")))</f>
        <v/>
      </c>
      <c r="EJ111" s="2" t="str">
        <f aca="false">IF(DY111="","",IF(AND(ABS(DY111)&lt;=0.25,$E111="Bottom",DN111="LL"),"EQL",IF(AND(ABS(DY111)&lt;=0.25,$E111="Peak",DN111="HH"),"EQH","")))</f>
        <v/>
      </c>
      <c r="EK111" s="2" t="str">
        <f aca="false">IF(DZ111="","",IF(AND(ABS(DZ111)&lt;=0.25,$E111="Bottom",DO111="LL"),"EQL",IF(AND(ABS(DZ111)&lt;=0.25,$E111="Peak",DO111="HH"),"EQH","")))</f>
        <v/>
      </c>
      <c r="EL111" s="2" t="str">
        <f aca="false">IF(EA111="","",IF(AND(ABS(EA111)&lt;=0.25,$E111="Bottom",DP111="LL"),"EQL",IF(AND(ABS(EA111)&lt;=0.25,$E111="Peak",DP111="HH"),"EQH","")))</f>
        <v/>
      </c>
      <c r="EM111" s="2" t="str">
        <f aca="false">IF(EB111="","",IF(AND(ABS(EB111)&lt;=0.25,$E111="Bottom",DQ111="LL"),"EQL",IF(AND(ABS(EB111)&lt;=0.25,$E111="Peak",DQ111="HH"),"EQH","")))</f>
        <v/>
      </c>
      <c r="EN111" s="2" t="str">
        <f aca="false">IF(EC111="","",IF(AND(ABS(EC111)&lt;=0.25,$E111="Bottom",DR111="LL"),"EQL",IF(AND(ABS(EC111)&lt;=0.25,$E111="Peak",DR111="HH"),"EQH","")))</f>
        <v/>
      </c>
      <c r="EO111" s="2" t="str">
        <f aca="false">IF(ED111="","",IF(AND(ABS(ED111)&lt;=0.25,$E111="Bottom",DS111="LL"),"EQL",IF(AND(ABS(ED111)&lt;=0.25,$E111="Peak",DS111="HH"),"EQH","")))</f>
        <v/>
      </c>
      <c r="EP111" s="2" t="str">
        <f aca="false">IF(EE111="","",IF(AND(ABS(EE111)&lt;=0.25,$E111="Bottom",DT111="LL"),"EQL",IF(AND(ABS(EE111)&lt;=0.25,$E111="Peak",DT111="HH"),"EQH","")))</f>
        <v/>
      </c>
      <c r="EQ111" s="2" t="str">
        <f aca="false">IF(EF111="","",IF(AND(ABS(EF111)&lt;=0.25,$E111="Bottom",DU111="LL"),"EQL",IF(AND(ABS(EF111)&lt;=0.25,$E111="Peak",DU111="HH"),"EQH","")))</f>
        <v/>
      </c>
      <c r="ER111" s="2" t="n">
        <f aca="false">IF(OR(EG111="EQL",EG111="EQH"),G111,"")</f>
        <v>4726.76</v>
      </c>
      <c r="ES111" s="2" t="n">
        <f aca="false">IF(OR(EH111="EQL",EH111="EQH"),H111,"")</f>
        <v>4711.51</v>
      </c>
      <c r="ET111" s="2" t="str">
        <f aca="false">IF(OR(EI111="EQL",EI111="EQH"),I111,"")</f>
        <v/>
      </c>
      <c r="EU111" s="2" t="str">
        <f aca="false">IF(OR(EJ111="EQL",EJ111="EQH"),J111,"")</f>
        <v/>
      </c>
      <c r="EV111" s="2" t="str">
        <f aca="false">IF(OR(EK111="EQL",EK111="EQH"),K111,"")</f>
        <v/>
      </c>
      <c r="EW111" s="2" t="str">
        <f aca="false">IF(OR(EL111="EQL",EL111="EQH"),L111,"")</f>
        <v/>
      </c>
      <c r="EX111" s="2" t="str">
        <f aca="false">IF(OR(EM111="EQL",EM111="EQH"),M111,"")</f>
        <v/>
      </c>
      <c r="EY111" s="2" t="str">
        <f aca="false">IF(OR(EN111="EQL",EN111="EQH"),N111,"")</f>
        <v/>
      </c>
      <c r="EZ111" s="2" t="str">
        <f aca="false">IF(OR(EO111="EQL",EO111="EQH"),O111,"")</f>
        <v/>
      </c>
      <c r="FA111" s="2" t="str">
        <f aca="false">IF(OR(EP111="EQL",EP111="EQH"),P111,"")</f>
        <v/>
      </c>
      <c r="FB111" s="2" t="str">
        <f aca="false">IF(OR(EQ111="EQL",EQ111="EQH"),Q111,"")</f>
        <v/>
      </c>
      <c r="FC111" s="2" t="str">
        <f aca="false">IF(AND(EG111="EQL",OR(AQ111=4,AQ111=5)),"IEQL",IF(AND(EG111="EQH",OR(AQ111=1,AQ111=2)),"IEQH",""))</f>
        <v/>
      </c>
      <c r="FD111" s="2" t="str">
        <f aca="false">IF(AND(EH111="EQL",OR(AR111=4,AR111=5)),"IEQL",IF(AND(EH111="EQH",OR(AR111=1,AR111=2)),"IEQH",""))</f>
        <v/>
      </c>
      <c r="FE111" s="2" t="str">
        <f aca="false">IF(AND(EI111="EQL",OR(AS111=4,AS111=5)),"IEQL",IF(AND(EI111="EQH",OR(AS111=1,AS111=2)),"IEQH",""))</f>
        <v/>
      </c>
      <c r="FF111" s="2" t="str">
        <f aca="false">IF(AND(EJ111="EQL",OR(AT111=4,AT111=5)),"IEQL",IF(AND(EJ111="EQH",OR(AT111=1,AT111=2)),"IEQH",""))</f>
        <v/>
      </c>
      <c r="FG111" s="2" t="str">
        <f aca="false">IF(AND(EK111="EQL",OR(AU111=4,AU111=5)),"IEQL",IF(AND(EK111="EQH",OR(AU111=1,AU111=2)),"IEQH",""))</f>
        <v/>
      </c>
      <c r="FH111" s="2" t="str">
        <f aca="false">IF(AND(EL111="EQL",OR(AV111=4,AV111=5)),"IEQL",IF(AND(EL111="EQH",OR(AV111=1,AV111=2)),"IEQH",""))</f>
        <v/>
      </c>
      <c r="FI111" s="2" t="str">
        <f aca="false">IF(AND(EM111="EQL",OR(AW111=4,AW111=5)),"IEQL",IF(AND(EM111="EQH",OR(AW111=1,AW111=2)),"IEQH",""))</f>
        <v/>
      </c>
      <c r="FJ111" s="2" t="str">
        <f aca="false">IF(AND(EN111="EQL",OR(AX111=4,AX111=5)),"IEQL",IF(AND(EN111="EQH",OR(AX111=1,AX111=2)),"IEQH",""))</f>
        <v/>
      </c>
      <c r="FK111" s="2" t="str">
        <f aca="false">IF(AND(EO111="EQL",OR(AY111=4,AY111=5)),"IEQL",IF(AND(EO111="EQH",OR(AY111=1,AY111=2)),"IEQH",""))</f>
        <v/>
      </c>
      <c r="FL111" s="2" t="str">
        <f aca="false">IF(AND(EP111="EQL",OR(AZ111=4,AZ111=5)),"IEQL",IF(AND(EP111="EQH",OR(AZ111=1,AZ111=2)),"IEQH",""))</f>
        <v/>
      </c>
      <c r="FM111" s="2" t="str">
        <f aca="false">IF(AND(EQ111="EQL",OR(BA111=4,BA111=5)),"IEQL",IF(AND(EQ111="EQH",OR(BA111=1,BA111=2)),"IEQH",""))</f>
        <v/>
      </c>
    </row>
    <row r="112" customFormat="false" ht="14.25" hidden="false" customHeight="false" outlineLevel="0" collapsed="false">
      <c r="A112" s="1" t="n">
        <v>1778664602</v>
      </c>
      <c r="B112" s="1" t="s">
        <v>169</v>
      </c>
      <c r="C112" s="1" t="s">
        <v>170</v>
      </c>
      <c r="D112" s="1" t="n">
        <v>4694.22</v>
      </c>
      <c r="E112" s="1" t="s">
        <v>171</v>
      </c>
      <c r="F112" s="1" t="n">
        <v>4685.97</v>
      </c>
      <c r="G112" s="2" t="n">
        <f aca="false">F110</f>
        <v>4687.6</v>
      </c>
      <c r="H112" s="2" t="n">
        <f aca="false">F108</f>
        <v>4638.57</v>
      </c>
      <c r="I112" s="2" t="n">
        <f aca="false">F106</f>
        <v>4685.14</v>
      </c>
      <c r="J112" s="2" t="n">
        <f aca="false">F104</f>
        <v>4687.49</v>
      </c>
      <c r="K112" s="2" t="n">
        <f aca="false">F102</f>
        <v>4707.97</v>
      </c>
      <c r="L112" s="2" t="n">
        <f aca="false">F100</f>
        <v>4647.85</v>
      </c>
      <c r="M112" s="2" t="n">
        <f aca="false">F98</f>
        <v>4670.56</v>
      </c>
      <c r="N112" s="2" t="n">
        <f aca="false">F96</f>
        <v>4702</v>
      </c>
      <c r="O112" s="2" t="n">
        <f aca="false">F94</f>
        <v>4703</v>
      </c>
      <c r="P112" s="2" t="n">
        <f aca="false">F92</f>
        <v>4696.83</v>
      </c>
      <c r="Q112" s="2" t="n">
        <f aca="false">F90</f>
        <v>4678.1</v>
      </c>
      <c r="R112" s="1" t="n">
        <v>-29.38</v>
      </c>
      <c r="S112" s="2" t="n">
        <f aca="false">R110</f>
        <v>-39.16</v>
      </c>
      <c r="T112" s="2" t="n">
        <f aca="false">R108</f>
        <v>-72.94</v>
      </c>
      <c r="U112" s="2" t="n">
        <f aca="false">R106</f>
        <v>-23.33</v>
      </c>
      <c r="V112" s="2" t="n">
        <f aca="false">R104</f>
        <v>-86.09</v>
      </c>
      <c r="W112" s="2" t="n">
        <f aca="false">R102</f>
        <v>-40.47</v>
      </c>
      <c r="X112" s="2" t="n">
        <f aca="false">R100</f>
        <v>-57.55</v>
      </c>
      <c r="Y112" s="2" t="n">
        <f aca="false">R98</f>
        <v>-58.39</v>
      </c>
      <c r="Z112" s="2" t="n">
        <f aca="false">R96</f>
        <v>-47.22</v>
      </c>
      <c r="AA112" s="2" t="n">
        <f aca="false">R94</f>
        <v>-24.88</v>
      </c>
      <c r="AB112" s="2" t="n">
        <f aca="false">R92</f>
        <v>-37.82</v>
      </c>
      <c r="AC112" s="2" t="n">
        <f aca="false">R90</f>
        <v>-86.6</v>
      </c>
      <c r="AD112" s="1" t="n">
        <v>-0.62</v>
      </c>
      <c r="AE112" s="2" t="n">
        <f aca="false">AD110</f>
        <v>-0.83</v>
      </c>
      <c r="AF112" s="2" t="n">
        <f aca="false">AD108</f>
        <v>-1.55</v>
      </c>
      <c r="AG112" s="2" t="n">
        <f aca="false">AD106</f>
        <v>-0.5</v>
      </c>
      <c r="AH112" s="2" t="n">
        <f aca="false">AD104</f>
        <v>-1.8</v>
      </c>
      <c r="AI112" s="2" t="n">
        <f aca="false">AD102</f>
        <v>-0.85</v>
      </c>
      <c r="AJ112" s="2" t="n">
        <f aca="false">AD100</f>
        <v>-1.22</v>
      </c>
      <c r="AK112" s="2" t="n">
        <f aca="false">AD98</f>
        <v>-1.23</v>
      </c>
      <c r="AL112" s="2" t="n">
        <f aca="false">AD96</f>
        <v>-0.99</v>
      </c>
      <c r="AM112" s="2" t="n">
        <f aca="false">AD94</f>
        <v>-0.53</v>
      </c>
      <c r="AN112" s="2" t="n">
        <f aca="false">AD92</f>
        <v>-0.8</v>
      </c>
      <c r="AO112" s="2" t="n">
        <f aca="false">AD90</f>
        <v>-1.82</v>
      </c>
      <c r="AP112" s="1" t="n">
        <v>3</v>
      </c>
      <c r="AQ112" s="2" t="n">
        <f aca="false">AP110</f>
        <v>3</v>
      </c>
      <c r="AR112" s="2" t="n">
        <f aca="false">AP108</f>
        <v>3</v>
      </c>
      <c r="AS112" s="2" t="n">
        <f aca="false">AP106</f>
        <v>3</v>
      </c>
      <c r="AT112" s="2" t="n">
        <f aca="false">AP104</f>
        <v>3</v>
      </c>
      <c r="AU112" s="2" t="n">
        <f aca="false">AP102</f>
        <v>3</v>
      </c>
      <c r="AV112" s="2" t="n">
        <f aca="false">AP100</f>
        <v>3</v>
      </c>
      <c r="AW112" s="2" t="n">
        <f aca="false">AP98</f>
        <v>3</v>
      </c>
      <c r="AX112" s="2" t="n">
        <f aca="false">AP96</f>
        <v>3</v>
      </c>
      <c r="AY112" s="2" t="n">
        <f aca="false">AP94</f>
        <v>3</v>
      </c>
      <c r="AZ112" s="2" t="n">
        <f aca="false">AP92</f>
        <v>3</v>
      </c>
      <c r="BA112" s="2" t="n">
        <f aca="false">AP90</f>
        <v>3</v>
      </c>
      <c r="BB112" s="1" t="n">
        <v>13</v>
      </c>
      <c r="BC112" s="2" t="n">
        <f aca="false">BB110</f>
        <v>11</v>
      </c>
      <c r="BD112" s="2" t="n">
        <f aca="false">BB108</f>
        <v>10</v>
      </c>
      <c r="BE112" s="2" t="n">
        <f aca="false">BB106</f>
        <v>2</v>
      </c>
      <c r="BF112" s="2" t="n">
        <f aca="false">BB104</f>
        <v>27</v>
      </c>
      <c r="BG112" s="2" t="n">
        <f aca="false">BB102</f>
        <v>11</v>
      </c>
      <c r="BH112" s="2" t="n">
        <f aca="false">BB100</f>
        <v>18</v>
      </c>
      <c r="BI112" s="2" t="n">
        <f aca="false">BB98</f>
        <v>22</v>
      </c>
      <c r="BJ112" s="2" t="n">
        <f aca="false">BB96</f>
        <v>7</v>
      </c>
      <c r="BK112" s="2" t="n">
        <f aca="false">BB94</f>
        <v>7</v>
      </c>
      <c r="BL112" s="2" t="n">
        <f aca="false">BB92</f>
        <v>4</v>
      </c>
      <c r="BM112" s="2" t="n">
        <f aca="false">BB90</f>
        <v>24</v>
      </c>
      <c r="BN112" s="1" t="n">
        <v>3</v>
      </c>
      <c r="BO112" s="2" t="n">
        <f aca="false">BN110</f>
        <v>3</v>
      </c>
      <c r="BP112" s="2" t="n">
        <f aca="false">BN108</f>
        <v>3</v>
      </c>
      <c r="BQ112" s="2" t="n">
        <f aca="false">BN106</f>
        <v>3</v>
      </c>
      <c r="BR112" s="2" t="n">
        <f aca="false">BN104</f>
        <v>3</v>
      </c>
      <c r="BS112" s="2" t="n">
        <f aca="false">BN102</f>
        <v>3</v>
      </c>
      <c r="BT112" s="2" t="n">
        <f aca="false">BN100</f>
        <v>3</v>
      </c>
      <c r="BU112" s="2" t="n">
        <f aca="false">BN98</f>
        <v>3</v>
      </c>
      <c r="BV112" s="2" t="n">
        <f aca="false">BN96</f>
        <v>3</v>
      </c>
      <c r="BW112" s="2" t="n">
        <f aca="false">BN94</f>
        <v>3</v>
      </c>
      <c r="BX112" s="2" t="n">
        <f aca="false">BN92</f>
        <v>3</v>
      </c>
      <c r="BY112" s="2" t="n">
        <f aca="false">BN90</f>
        <v>3</v>
      </c>
      <c r="BZ112" s="1" t="n">
        <v>-2.26</v>
      </c>
      <c r="CA112" s="2" t="n">
        <f aca="false">BZ110</f>
        <v>-3.56</v>
      </c>
      <c r="CB112" s="2" t="n">
        <f aca="false">BZ108</f>
        <v>-7.294</v>
      </c>
      <c r="CC112" s="2" t="n">
        <f aca="false">BZ106</f>
        <v>-11.665</v>
      </c>
      <c r="CD112" s="2" t="n">
        <f aca="false">BZ104</f>
        <v>-3.18852</v>
      </c>
      <c r="CE112" s="2" t="n">
        <f aca="false">BZ102</f>
        <v>-3.67909</v>
      </c>
      <c r="CF112" s="2" t="n">
        <f aca="false">BZ100</f>
        <v>-3.19722</v>
      </c>
      <c r="CG112" s="2" t="n">
        <f aca="false">BZ98</f>
        <v>-2.65409</v>
      </c>
      <c r="CH112" s="2" t="n">
        <f aca="false">BZ96</f>
        <v>-6.74571</v>
      </c>
      <c r="CI112" s="2" t="n">
        <f aca="false">BZ94</f>
        <v>-3.55429</v>
      </c>
      <c r="CJ112" s="2" t="n">
        <f aca="false">BZ92</f>
        <v>-9.455</v>
      </c>
      <c r="CK112" s="2" t="n">
        <f aca="false">BZ90</f>
        <v>-3.60833</v>
      </c>
      <c r="CL112" s="1" t="n">
        <v>3</v>
      </c>
      <c r="CM112" s="2" t="n">
        <f aca="false">CL110</f>
        <v>3</v>
      </c>
      <c r="CN112" s="2" t="n">
        <f aca="false">CL108</f>
        <v>3</v>
      </c>
      <c r="CO112" s="2" t="n">
        <f aca="false">CL106</f>
        <v>4</v>
      </c>
      <c r="CP112" s="2" t="n">
        <f aca="false">CL104</f>
        <v>3</v>
      </c>
      <c r="CQ112" s="2" t="n">
        <f aca="false">CL102</f>
        <v>3</v>
      </c>
      <c r="CR112" s="2" t="n">
        <f aca="false">CL100</f>
        <v>3</v>
      </c>
      <c r="CS112" s="2" t="n">
        <f aca="false">CL98</f>
        <v>3</v>
      </c>
      <c r="CT112" s="2" t="n">
        <f aca="false">CL96</f>
        <v>3</v>
      </c>
      <c r="CU112" s="2" t="n">
        <f aca="false">CL94</f>
        <v>3</v>
      </c>
      <c r="CV112" s="2" t="n">
        <f aca="false">CL92</f>
        <v>4</v>
      </c>
      <c r="CW112" s="2" t="n">
        <f aca="false">CL90</f>
        <v>3</v>
      </c>
      <c r="CX112" s="1" t="n">
        <v>-66.1317</v>
      </c>
      <c r="CY112" s="2" t="n">
        <f aca="false">CX110</f>
        <v>-74.31</v>
      </c>
      <c r="CZ112" s="2" t="n">
        <f aca="false">CX108</f>
        <v>-82.1935</v>
      </c>
      <c r="DA112" s="2" t="n">
        <f aca="false">CX106</f>
        <v>-85.1002</v>
      </c>
      <c r="DB112" s="2" t="n">
        <f aca="false">CX104</f>
        <v>-72.5873</v>
      </c>
      <c r="DC112" s="2" t="n">
        <f aca="false">CX102</f>
        <v>-74.794</v>
      </c>
      <c r="DD112" s="2" t="n">
        <f aca="false">CX100</f>
        <v>-72.6318</v>
      </c>
      <c r="DE112" s="2" t="n">
        <f aca="false">CX98</f>
        <v>-69.3548</v>
      </c>
      <c r="DF112" s="2" t="n">
        <f aca="false">CX96</f>
        <v>-81.5678</v>
      </c>
      <c r="DG112" s="2" t="n">
        <f aca="false">CX94</f>
        <v>-74.286</v>
      </c>
      <c r="DH112" s="2" t="n">
        <f aca="false">CX92</f>
        <v>-83.9626</v>
      </c>
      <c r="DI112" s="2" t="n">
        <f aca="false">CX90</f>
        <v>-74.51</v>
      </c>
      <c r="DJ112" s="1" t="s">
        <v>172</v>
      </c>
      <c r="DK112" s="2" t="str">
        <f aca="false">DJ110</f>
        <v>HL</v>
      </c>
      <c r="DL112" s="2" t="str">
        <f aca="false">DJ108</f>
        <v>LL</v>
      </c>
      <c r="DM112" s="2" t="str">
        <f aca="false">DJ106</f>
        <v>LL</v>
      </c>
      <c r="DN112" s="2" t="str">
        <f aca="false">DJ104</f>
        <v>LL</v>
      </c>
      <c r="DO112" s="2" t="str">
        <f aca="false">DJ102</f>
        <v>HL</v>
      </c>
      <c r="DP112" s="2" t="str">
        <f aca="false">DJ100</f>
        <v>LL</v>
      </c>
      <c r="DQ112" s="2" t="str">
        <f aca="false">DJ98</f>
        <v>LL</v>
      </c>
      <c r="DR112" s="2" t="str">
        <f aca="false">DJ96</f>
        <v>LL</v>
      </c>
      <c r="DS112" s="2" t="str">
        <f aca="false">DJ94</f>
        <v>HL</v>
      </c>
      <c r="DT112" s="2" t="str">
        <f aca="false">DJ92</f>
        <v>HL</v>
      </c>
      <c r="DU112" s="2" t="str">
        <f aca="false">DJ90</f>
        <v>LL</v>
      </c>
      <c r="DV112" s="2" t="n">
        <f aca="false">IFERROR((G112-$F112)/$F112*100,"")</f>
        <v>0.0347846870551905</v>
      </c>
      <c r="DW112" s="2" t="n">
        <f aca="false">IFERROR((H112-$F112)/$F112*100,"")</f>
        <v>-1.01153016344536</v>
      </c>
      <c r="DX112" s="2" t="n">
        <f aca="false">IFERROR((I112-$F112)/$F112*100,"")</f>
        <v>-0.0177124480096955</v>
      </c>
      <c r="DY112" s="2" t="n">
        <f aca="false">IFERROR((J112-$F112)/$F112*100,"")</f>
        <v>0.032437254186423</v>
      </c>
      <c r="DZ112" s="2" t="n">
        <f aca="false">IFERROR((K112-$F112)/$F112*100,"")</f>
        <v>0.469486573751006</v>
      </c>
      <c r="EA112" s="2" t="n">
        <f aca="false">IFERROR((L112-$F112)/$F112*100,"")</f>
        <v>-0.813492190517649</v>
      </c>
      <c r="EB112" s="2" t="n">
        <f aca="false">IFERROR((M112-$F112)/$F112*100,"")</f>
        <v>-0.328854004613769</v>
      </c>
      <c r="EC112" s="2" t="n">
        <f aca="false">IFERROR((N112-$F112)/$F112*100,"")</f>
        <v>0.342084989874023</v>
      </c>
      <c r="ED112" s="2" t="n">
        <f aca="false">IFERROR((O112-$F112)/$F112*100,"")</f>
        <v>0.363425288680887</v>
      </c>
      <c r="EE112" s="2" t="n">
        <f aca="false">IFERROR((P112-$F112)/$F112*100,"")</f>
        <v>0.231755645042535</v>
      </c>
      <c r="EF112" s="2" t="n">
        <f aca="false">IFERROR((Q112-$F112)/$F112*100,"")</f>
        <v>-0.167948151610017</v>
      </c>
      <c r="EG112" s="2" t="str">
        <f aca="false">IF(DV112="","",IF(AND(ABS(DV112)&lt;=0.25,$E112="Bottom",DK112="LL"),"EQL",IF(AND(ABS(DV112)&lt;=0.25,$E112="Peak",DK112="HH"),"EQH","")))</f>
        <v/>
      </c>
      <c r="EH112" s="2" t="str">
        <f aca="false">IF(DW112="","",IF(AND(ABS(DW112)&lt;=0.25,$E112="Bottom",DL112="LL"),"EQL",IF(AND(ABS(DW112)&lt;=0.25,$E112="Peak",DL112="HH"),"EQH","")))</f>
        <v/>
      </c>
      <c r="EI112" s="2" t="str">
        <f aca="false">IF(DX112="","",IF(AND(ABS(DX112)&lt;=0.25,$E112="Bottom",DM112="LL"),"EQL",IF(AND(ABS(DX112)&lt;=0.25,$E112="Peak",DM112="HH"),"EQH","")))</f>
        <v>EQL</v>
      </c>
      <c r="EJ112" s="2" t="str">
        <f aca="false">IF(DY112="","",IF(AND(ABS(DY112)&lt;=0.25,$E112="Bottom",DN112="LL"),"EQL",IF(AND(ABS(DY112)&lt;=0.25,$E112="Peak",DN112="HH"),"EQH","")))</f>
        <v>EQL</v>
      </c>
      <c r="EK112" s="2" t="str">
        <f aca="false">IF(DZ112="","",IF(AND(ABS(DZ112)&lt;=0.25,$E112="Bottom",DO112="LL"),"EQL",IF(AND(ABS(DZ112)&lt;=0.25,$E112="Peak",DO112="HH"),"EQH","")))</f>
        <v/>
      </c>
      <c r="EL112" s="2" t="str">
        <f aca="false">IF(EA112="","",IF(AND(ABS(EA112)&lt;=0.25,$E112="Bottom",DP112="LL"),"EQL",IF(AND(ABS(EA112)&lt;=0.25,$E112="Peak",DP112="HH"),"EQH","")))</f>
        <v/>
      </c>
      <c r="EM112" s="2" t="str">
        <f aca="false">IF(EB112="","",IF(AND(ABS(EB112)&lt;=0.25,$E112="Bottom",DQ112="LL"),"EQL",IF(AND(ABS(EB112)&lt;=0.25,$E112="Peak",DQ112="HH"),"EQH","")))</f>
        <v/>
      </c>
      <c r="EN112" s="2" t="str">
        <f aca="false">IF(EC112="","",IF(AND(ABS(EC112)&lt;=0.25,$E112="Bottom",DR112="LL"),"EQL",IF(AND(ABS(EC112)&lt;=0.25,$E112="Peak",DR112="HH"),"EQH","")))</f>
        <v/>
      </c>
      <c r="EO112" s="2" t="str">
        <f aca="false">IF(ED112="","",IF(AND(ABS(ED112)&lt;=0.25,$E112="Bottom",DS112="LL"),"EQL",IF(AND(ABS(ED112)&lt;=0.25,$E112="Peak",DS112="HH"),"EQH","")))</f>
        <v/>
      </c>
      <c r="EP112" s="2" t="str">
        <f aca="false">IF(EE112="","",IF(AND(ABS(EE112)&lt;=0.25,$E112="Bottom",DT112="LL"),"EQL",IF(AND(ABS(EE112)&lt;=0.25,$E112="Peak",DT112="HH"),"EQH","")))</f>
        <v/>
      </c>
      <c r="EQ112" s="2" t="str">
        <f aca="false">IF(EF112="","",IF(AND(ABS(EF112)&lt;=0.25,$E112="Bottom",DU112="LL"),"EQL",IF(AND(ABS(EF112)&lt;=0.25,$E112="Peak",DU112="HH"),"EQH","")))</f>
        <v>EQL</v>
      </c>
      <c r="ER112" s="2" t="str">
        <f aca="false">IF(OR(EG112="EQL",EG112="EQH"),G112,"")</f>
        <v/>
      </c>
      <c r="ES112" s="2" t="str">
        <f aca="false">IF(OR(EH112="EQL",EH112="EQH"),H112,"")</f>
        <v/>
      </c>
      <c r="ET112" s="2" t="n">
        <f aca="false">IF(OR(EI112="EQL",EI112="EQH"),I112,"")</f>
        <v>4685.14</v>
      </c>
      <c r="EU112" s="2" t="n">
        <f aca="false">IF(OR(EJ112="EQL",EJ112="EQH"),J112,"")</f>
        <v>4687.49</v>
      </c>
      <c r="EV112" s="2" t="str">
        <f aca="false">IF(OR(EK112="EQL",EK112="EQH"),K112,"")</f>
        <v/>
      </c>
      <c r="EW112" s="2" t="str">
        <f aca="false">IF(OR(EL112="EQL",EL112="EQH"),L112,"")</f>
        <v/>
      </c>
      <c r="EX112" s="2" t="str">
        <f aca="false">IF(OR(EM112="EQL",EM112="EQH"),M112,"")</f>
        <v/>
      </c>
      <c r="EY112" s="2" t="str">
        <f aca="false">IF(OR(EN112="EQL",EN112="EQH"),N112,"")</f>
        <v/>
      </c>
      <c r="EZ112" s="2" t="str">
        <f aca="false">IF(OR(EO112="EQL",EO112="EQH"),O112,"")</f>
        <v/>
      </c>
      <c r="FA112" s="2" t="str">
        <f aca="false">IF(OR(EP112="EQL",EP112="EQH"),P112,"")</f>
        <v/>
      </c>
      <c r="FB112" s="2" t="n">
        <f aca="false">IF(OR(EQ112="EQL",EQ112="EQH"),Q112,"")</f>
        <v>4678.1</v>
      </c>
      <c r="FC112" s="2" t="str">
        <f aca="false">IF(AND(EG112="EQL",OR(AQ112=4,AQ112=5)),"IEQL",IF(AND(EG112="EQH",OR(AQ112=1,AQ112=2)),"IEQH",""))</f>
        <v/>
      </c>
      <c r="FD112" s="2" t="str">
        <f aca="false">IF(AND(EH112="EQL",OR(AR112=4,AR112=5)),"IEQL",IF(AND(EH112="EQH",OR(AR112=1,AR112=2)),"IEQH",""))</f>
        <v/>
      </c>
      <c r="FE112" s="2" t="str">
        <f aca="false">IF(AND(EI112="EQL",OR(AS112=4,AS112=5)),"IEQL",IF(AND(EI112="EQH",OR(AS112=1,AS112=2)),"IEQH",""))</f>
        <v/>
      </c>
      <c r="FF112" s="2" t="str">
        <f aca="false">IF(AND(EJ112="EQL",OR(AT112=4,AT112=5)),"IEQL",IF(AND(EJ112="EQH",OR(AT112=1,AT112=2)),"IEQH",""))</f>
        <v/>
      </c>
      <c r="FG112" s="2" t="str">
        <f aca="false">IF(AND(EK112="EQL",OR(AU112=4,AU112=5)),"IEQL",IF(AND(EK112="EQH",OR(AU112=1,AU112=2)),"IEQH",""))</f>
        <v/>
      </c>
      <c r="FH112" s="2" t="str">
        <f aca="false">IF(AND(EL112="EQL",OR(AV112=4,AV112=5)),"IEQL",IF(AND(EL112="EQH",OR(AV112=1,AV112=2)),"IEQH",""))</f>
        <v/>
      </c>
      <c r="FI112" s="2" t="str">
        <f aca="false">IF(AND(EM112="EQL",OR(AW112=4,AW112=5)),"IEQL",IF(AND(EM112="EQH",OR(AW112=1,AW112=2)),"IEQH",""))</f>
        <v/>
      </c>
      <c r="FJ112" s="2" t="str">
        <f aca="false">IF(AND(EN112="EQL",OR(AX112=4,AX112=5)),"IEQL",IF(AND(EN112="EQH",OR(AX112=1,AX112=2)),"IEQH",""))</f>
        <v/>
      </c>
      <c r="FK112" s="2" t="str">
        <f aca="false">IF(AND(EO112="EQL",OR(AY112=4,AY112=5)),"IEQL",IF(AND(EO112="EQH",OR(AY112=1,AY112=2)),"IEQH",""))</f>
        <v/>
      </c>
      <c r="FL112" s="2" t="str">
        <f aca="false">IF(AND(EP112="EQL",OR(AZ112=4,AZ112=5)),"IEQL",IF(AND(EP112="EQH",OR(AZ112=1,AZ112=2)),"IEQH",""))</f>
        <v/>
      </c>
      <c r="FM112" s="2" t="str">
        <f aca="false">IF(AND(EQ112="EQL",OR(BA112=4,BA112=5)),"IEQL",IF(AND(EQ112="EQH",OR(BA112=1,BA112=2)),"IEQH",""))</f>
        <v/>
      </c>
    </row>
    <row r="113" customFormat="false" ht="14.25" hidden="false" customHeight="false" outlineLevel="0" collapsed="false">
      <c r="A113" s="1" t="n">
        <v>1778666402</v>
      </c>
      <c r="B113" s="1" t="s">
        <v>169</v>
      </c>
      <c r="C113" s="1" t="s">
        <v>170</v>
      </c>
      <c r="D113" s="1" t="n">
        <v>4702.25</v>
      </c>
      <c r="E113" s="1" t="s">
        <v>173</v>
      </c>
      <c r="F113" s="1" t="n">
        <v>4710.38</v>
      </c>
      <c r="G113" s="2" t="n">
        <f aca="false">F111</f>
        <v>4715.35</v>
      </c>
      <c r="H113" s="2" t="n">
        <f aca="false">F109</f>
        <v>4726.76</v>
      </c>
      <c r="I113" s="2" t="n">
        <f aca="false">F107</f>
        <v>4711.51</v>
      </c>
      <c r="J113" s="2" t="n">
        <f aca="false">F105</f>
        <v>4708.47</v>
      </c>
      <c r="K113" s="2" t="n">
        <f aca="false">F103</f>
        <v>4773.58</v>
      </c>
      <c r="L113" s="2" t="n">
        <f aca="false">F101</f>
        <v>4748.44</v>
      </c>
      <c r="M113" s="2" t="n">
        <f aca="false">F99</f>
        <v>4705.4</v>
      </c>
      <c r="N113" s="2" t="n">
        <f aca="false">F97</f>
        <v>4728.95</v>
      </c>
      <c r="O113" s="2" t="n">
        <f aca="false">F95</f>
        <v>4749.22</v>
      </c>
      <c r="P113" s="2" t="n">
        <f aca="false">F93</f>
        <v>4727.88</v>
      </c>
      <c r="Q113" s="2" t="n">
        <f aca="false">F91</f>
        <v>4734.65</v>
      </c>
      <c r="R113" s="1" t="n">
        <v>24.41</v>
      </c>
      <c r="S113" s="2" t="n">
        <f aca="false">R111</f>
        <v>27.75</v>
      </c>
      <c r="T113" s="2" t="n">
        <f aca="false">R109</f>
        <v>88.19</v>
      </c>
      <c r="U113" s="2" t="n">
        <f aca="false">R107</f>
        <v>26.37</v>
      </c>
      <c r="V113" s="2" t="n">
        <f aca="false">R105</f>
        <v>20.98</v>
      </c>
      <c r="W113" s="2" t="n">
        <f aca="false">R103</f>
        <v>65.61</v>
      </c>
      <c r="X113" s="2" t="n">
        <f aca="false">R101</f>
        <v>100.59</v>
      </c>
      <c r="Y113" s="2" t="n">
        <f aca="false">R99</f>
        <v>34.84</v>
      </c>
      <c r="Z113" s="2" t="n">
        <f aca="false">R97</f>
        <v>26.95</v>
      </c>
      <c r="AA113" s="2" t="n">
        <f aca="false">R95</f>
        <v>46.22</v>
      </c>
      <c r="AB113" s="2" t="n">
        <f aca="false">R93</f>
        <v>31.05</v>
      </c>
      <c r="AC113" s="2" t="n">
        <f aca="false">R91</f>
        <v>56.55</v>
      </c>
      <c r="AD113" s="1" t="n">
        <v>0.52</v>
      </c>
      <c r="AE113" s="2" t="n">
        <f aca="false">AD111</f>
        <v>0.59</v>
      </c>
      <c r="AF113" s="2" t="n">
        <f aca="false">AD109</f>
        <v>1.9</v>
      </c>
      <c r="AG113" s="2" t="n">
        <f aca="false">AD107</f>
        <v>0.56</v>
      </c>
      <c r="AH113" s="2" t="n">
        <f aca="false">AD105</f>
        <v>0.45</v>
      </c>
      <c r="AI113" s="2" t="n">
        <f aca="false">AD103</f>
        <v>1.39</v>
      </c>
      <c r="AJ113" s="2" t="n">
        <f aca="false">AD101</f>
        <v>2.16</v>
      </c>
      <c r="AK113" s="2" t="n">
        <f aca="false">AD99</f>
        <v>0.75</v>
      </c>
      <c r="AL113" s="2" t="n">
        <f aca="false">AD97</f>
        <v>0.57</v>
      </c>
      <c r="AM113" s="2" t="n">
        <f aca="false">AD95</f>
        <v>0.98</v>
      </c>
      <c r="AN113" s="2" t="n">
        <f aca="false">AD93</f>
        <v>0.66</v>
      </c>
      <c r="AO113" s="2" t="n">
        <f aca="false">AD91</f>
        <v>1.21</v>
      </c>
      <c r="AP113" s="1" t="n">
        <v>0</v>
      </c>
      <c r="AQ113" s="2" t="n">
        <f aca="false">AP111</f>
        <v>0</v>
      </c>
      <c r="AR113" s="2" t="n">
        <f aca="false">AP109</f>
        <v>0</v>
      </c>
      <c r="AS113" s="2" t="n">
        <f aca="false">AP107</f>
        <v>0</v>
      </c>
      <c r="AT113" s="2" t="n">
        <f aca="false">AP105</f>
        <v>0</v>
      </c>
      <c r="AU113" s="2" t="n">
        <f aca="false">AP103</f>
        <v>0</v>
      </c>
      <c r="AV113" s="2" t="n">
        <f aca="false">AP101</f>
        <v>1</v>
      </c>
      <c r="AW113" s="2" t="n">
        <f aca="false">AP99</f>
        <v>0</v>
      </c>
      <c r="AX113" s="2" t="n">
        <f aca="false">AP97</f>
        <v>0</v>
      </c>
      <c r="AY113" s="2" t="n">
        <f aca="false">AP95</f>
        <v>0</v>
      </c>
      <c r="AZ113" s="2" t="n">
        <f aca="false">AP93</f>
        <v>0</v>
      </c>
      <c r="BA113" s="2" t="n">
        <f aca="false">AP91</f>
        <v>0</v>
      </c>
      <c r="BB113" s="1" t="n">
        <v>2</v>
      </c>
      <c r="BC113" s="2" t="n">
        <f aca="false">BB111</f>
        <v>14</v>
      </c>
      <c r="BD113" s="2" t="n">
        <f aca="false">BB109</f>
        <v>31</v>
      </c>
      <c r="BE113" s="2" t="n">
        <f aca="false">BB107</f>
        <v>9</v>
      </c>
      <c r="BF113" s="2" t="n">
        <f aca="false">BB105</f>
        <v>12</v>
      </c>
      <c r="BG113" s="2" t="n">
        <f aca="false">BB103</f>
        <v>27</v>
      </c>
      <c r="BH113" s="2" t="n">
        <f aca="false">BB101</f>
        <v>32</v>
      </c>
      <c r="BI113" s="2" t="n">
        <f aca="false">BB99</f>
        <v>2</v>
      </c>
      <c r="BJ113" s="2" t="n">
        <f aca="false">BB97</f>
        <v>10</v>
      </c>
      <c r="BK113" s="2" t="n">
        <f aca="false">BB95</f>
        <v>7</v>
      </c>
      <c r="BL113" s="2" t="n">
        <f aca="false">BB93</f>
        <v>13</v>
      </c>
      <c r="BM113" s="2" t="n">
        <f aca="false">BB91</f>
        <v>33</v>
      </c>
      <c r="BN113" s="1" t="n">
        <v>0</v>
      </c>
      <c r="BO113" s="2" t="n">
        <f aca="false">BN111</f>
        <v>0</v>
      </c>
      <c r="BP113" s="2" t="n">
        <f aca="false">BN109</f>
        <v>0</v>
      </c>
      <c r="BQ113" s="2" t="n">
        <f aca="false">BN107</f>
        <v>0</v>
      </c>
      <c r="BR113" s="2" t="n">
        <f aca="false">BN105</f>
        <v>0</v>
      </c>
      <c r="BS113" s="2" t="n">
        <f aca="false">BN103</f>
        <v>0</v>
      </c>
      <c r="BT113" s="2" t="n">
        <f aca="false">BN101</f>
        <v>1</v>
      </c>
      <c r="BU113" s="2" t="n">
        <f aca="false">BN99</f>
        <v>0</v>
      </c>
      <c r="BV113" s="2" t="n">
        <f aca="false">BN97</f>
        <v>0</v>
      </c>
      <c r="BW113" s="2" t="n">
        <f aca="false">BN95</f>
        <v>0</v>
      </c>
      <c r="BX113" s="2" t="n">
        <f aca="false">BN93</f>
        <v>0</v>
      </c>
      <c r="BY113" s="2" t="n">
        <f aca="false">BN91</f>
        <v>0</v>
      </c>
      <c r="BZ113" s="1" t="n">
        <v>12.205</v>
      </c>
      <c r="CA113" s="2" t="n">
        <f aca="false">BZ111</f>
        <v>1.98214</v>
      </c>
      <c r="CB113" s="2" t="n">
        <f aca="false">BZ109</f>
        <v>2.84484</v>
      </c>
      <c r="CC113" s="2" t="n">
        <f aca="false">BZ107</f>
        <v>2.93</v>
      </c>
      <c r="CD113" s="2" t="n">
        <f aca="false">BZ105</f>
        <v>1.74833</v>
      </c>
      <c r="CE113" s="2" t="n">
        <f aca="false">BZ103</f>
        <v>2.43</v>
      </c>
      <c r="CF113" s="2" t="n">
        <f aca="false">BZ101</f>
        <v>3.14344</v>
      </c>
      <c r="CG113" s="2" t="n">
        <f aca="false">BZ99</f>
        <v>17.42</v>
      </c>
      <c r="CH113" s="2" t="n">
        <f aca="false">BZ97</f>
        <v>2.695</v>
      </c>
      <c r="CI113" s="2" t="n">
        <f aca="false">BZ95</f>
        <v>6.60286</v>
      </c>
      <c r="CJ113" s="2" t="n">
        <f aca="false">BZ93</f>
        <v>2.38846</v>
      </c>
      <c r="CK113" s="2" t="n">
        <f aca="false">BZ91</f>
        <v>1.71364</v>
      </c>
      <c r="CL113" s="1" t="n">
        <v>1</v>
      </c>
      <c r="CM113" s="2" t="n">
        <f aca="false">CL111</f>
        <v>0</v>
      </c>
      <c r="CN113" s="2" t="n">
        <f aca="false">CL109</f>
        <v>0</v>
      </c>
      <c r="CO113" s="2" t="n">
        <f aca="false">CL107</f>
        <v>0</v>
      </c>
      <c r="CP113" s="2" t="n">
        <f aca="false">CL105</f>
        <v>0</v>
      </c>
      <c r="CQ113" s="2" t="n">
        <f aca="false">CL103</f>
        <v>0</v>
      </c>
      <c r="CR113" s="2" t="n">
        <f aca="false">CL101</f>
        <v>0</v>
      </c>
      <c r="CS113" s="2" t="n">
        <f aca="false">CL99</f>
        <v>2</v>
      </c>
      <c r="CT113" s="2" t="n">
        <f aca="false">CL97</f>
        <v>0</v>
      </c>
      <c r="CU113" s="2" t="n">
        <f aca="false">CL95</f>
        <v>0</v>
      </c>
      <c r="CV113" s="2" t="n">
        <f aca="false">CL93</f>
        <v>0</v>
      </c>
      <c r="CW113" s="2" t="n">
        <f aca="false">CL91</f>
        <v>0</v>
      </c>
      <c r="CX113" s="1" t="n">
        <v>85.316</v>
      </c>
      <c r="CY113" s="2" t="n">
        <f aca="false">CX111</f>
        <v>63.2288</v>
      </c>
      <c r="CZ113" s="2" t="n">
        <f aca="false">CX109</f>
        <v>70.6327</v>
      </c>
      <c r="DA113" s="2" t="n">
        <f aca="false">CX107</f>
        <v>71.1554</v>
      </c>
      <c r="DB113" s="2" t="n">
        <f aca="false">CX105</f>
        <v>60.2316</v>
      </c>
      <c r="DC113" s="2" t="n">
        <f aca="false">CX103</f>
        <v>67.6317</v>
      </c>
      <c r="DD113" s="2" t="n">
        <f aca="false">CX101</f>
        <v>72.3529</v>
      </c>
      <c r="DE113" s="2" t="n">
        <f aca="false">CX99</f>
        <v>86.7145</v>
      </c>
      <c r="DF113" s="2" t="n">
        <f aca="false">CX97</f>
        <v>69.6422</v>
      </c>
      <c r="DG113" s="2" t="n">
        <f aca="false">CX95</f>
        <v>81.388</v>
      </c>
      <c r="DH113" s="2" t="n">
        <f aca="false">CX93</f>
        <v>67.2819</v>
      </c>
      <c r="DI113" s="2" t="n">
        <f aca="false">CX91</f>
        <v>59.7341</v>
      </c>
      <c r="DJ113" s="1" t="s">
        <v>174</v>
      </c>
      <c r="DK113" s="2" t="str">
        <f aca="false">DJ111</f>
        <v>LH</v>
      </c>
      <c r="DL113" s="2" t="str">
        <f aca="false">DJ109</f>
        <v>HH</v>
      </c>
      <c r="DM113" s="2" t="str">
        <f aca="false">DJ107</f>
        <v>HH</v>
      </c>
      <c r="DN113" s="2" t="str">
        <f aca="false">DJ105</f>
        <v>LH</v>
      </c>
      <c r="DO113" s="2" t="str">
        <f aca="false">DJ103</f>
        <v>HH</v>
      </c>
      <c r="DP113" s="2" t="str">
        <f aca="false">DJ101</f>
        <v>HH</v>
      </c>
      <c r="DQ113" s="2" t="str">
        <f aca="false">DJ99</f>
        <v>LH</v>
      </c>
      <c r="DR113" s="2" t="str">
        <f aca="false">DJ97</f>
        <v>LH</v>
      </c>
      <c r="DS113" s="2" t="str">
        <f aca="false">DJ95</f>
        <v>HH</v>
      </c>
      <c r="DT113" s="2" t="str">
        <f aca="false">DJ93</f>
        <v>LH</v>
      </c>
      <c r="DU113" s="2" t="str">
        <f aca="false">DJ91</f>
        <v>LH</v>
      </c>
      <c r="DV113" s="2" t="n">
        <f aca="false">IFERROR((G113-$F113)/$F113*100,"")</f>
        <v>0.105511657233604</v>
      </c>
      <c r="DW113" s="2" t="n">
        <f aca="false">IFERROR((H113-$F113)/$F113*100,"")</f>
        <v>0.347742644967075</v>
      </c>
      <c r="DX113" s="2" t="n">
        <f aca="false">IFERROR((I113-$F113)/$F113*100,"")</f>
        <v>0.0239895719665952</v>
      </c>
      <c r="DY113" s="2" t="n">
        <f aca="false">IFERROR((J113-$F113)/$F113*100,"")</f>
        <v>-0.0405487455364504</v>
      </c>
      <c r="DZ113" s="2" t="n">
        <f aca="false">IFERROR((K113-$F113)/$F113*100,"")</f>
        <v>1.3417176533528</v>
      </c>
      <c r="EA113" s="2" t="n">
        <f aca="false">IFERROR((L113-$F113)/$F113*100,"")</f>
        <v>0.808002751370367</v>
      </c>
      <c r="EB113" s="2" t="n">
        <f aca="false">IFERROR((M113-$F113)/$F113*100,"")</f>
        <v>-0.105723954330659</v>
      </c>
      <c r="EC113" s="2" t="n">
        <f aca="false">IFERROR((N113-$F113)/$F113*100,"")</f>
        <v>0.394235709220906</v>
      </c>
      <c r="ED113" s="2" t="n">
        <f aca="false">IFERROR((O113-$F113)/$F113*100,"")</f>
        <v>0.824561924940242</v>
      </c>
      <c r="EE113" s="2" t="n">
        <f aca="false">IFERROR((P113-$F113)/$F113*100,"")</f>
        <v>0.371519919836616</v>
      </c>
      <c r="EF113" s="2" t="n">
        <f aca="false">IFERROR((Q113-$F113)/$F113*100,"")</f>
        <v>0.515245054539114</v>
      </c>
      <c r="EG113" s="2" t="str">
        <f aca="false">IF(DV113="","",IF(AND(ABS(DV113)&lt;=0.25,$E113="Bottom",DK113="LL"),"EQL",IF(AND(ABS(DV113)&lt;=0.25,$E113="Peak",DK113="HH"),"EQH","")))</f>
        <v/>
      </c>
      <c r="EH113" s="2" t="str">
        <f aca="false">IF(DW113="","",IF(AND(ABS(DW113)&lt;=0.25,$E113="Bottom",DL113="LL"),"EQL",IF(AND(ABS(DW113)&lt;=0.25,$E113="Peak",DL113="HH"),"EQH","")))</f>
        <v/>
      </c>
      <c r="EI113" s="2" t="str">
        <f aca="false">IF(DX113="","",IF(AND(ABS(DX113)&lt;=0.25,$E113="Bottom",DM113="LL"),"EQL",IF(AND(ABS(DX113)&lt;=0.25,$E113="Peak",DM113="HH"),"EQH","")))</f>
        <v>EQH</v>
      </c>
      <c r="EJ113" s="2" t="str">
        <f aca="false">IF(DY113="","",IF(AND(ABS(DY113)&lt;=0.25,$E113="Bottom",DN113="LL"),"EQL",IF(AND(ABS(DY113)&lt;=0.25,$E113="Peak",DN113="HH"),"EQH","")))</f>
        <v/>
      </c>
      <c r="EK113" s="2" t="str">
        <f aca="false">IF(DZ113="","",IF(AND(ABS(DZ113)&lt;=0.25,$E113="Bottom",DO113="LL"),"EQL",IF(AND(ABS(DZ113)&lt;=0.25,$E113="Peak",DO113="HH"),"EQH","")))</f>
        <v/>
      </c>
      <c r="EL113" s="2" t="str">
        <f aca="false">IF(EA113="","",IF(AND(ABS(EA113)&lt;=0.25,$E113="Bottom",DP113="LL"),"EQL",IF(AND(ABS(EA113)&lt;=0.25,$E113="Peak",DP113="HH"),"EQH","")))</f>
        <v/>
      </c>
      <c r="EM113" s="2" t="str">
        <f aca="false">IF(EB113="","",IF(AND(ABS(EB113)&lt;=0.25,$E113="Bottom",DQ113="LL"),"EQL",IF(AND(ABS(EB113)&lt;=0.25,$E113="Peak",DQ113="HH"),"EQH","")))</f>
        <v/>
      </c>
      <c r="EN113" s="2" t="str">
        <f aca="false">IF(EC113="","",IF(AND(ABS(EC113)&lt;=0.25,$E113="Bottom",DR113="LL"),"EQL",IF(AND(ABS(EC113)&lt;=0.25,$E113="Peak",DR113="HH"),"EQH","")))</f>
        <v/>
      </c>
      <c r="EO113" s="2" t="str">
        <f aca="false">IF(ED113="","",IF(AND(ABS(ED113)&lt;=0.25,$E113="Bottom",DS113="LL"),"EQL",IF(AND(ABS(ED113)&lt;=0.25,$E113="Peak",DS113="HH"),"EQH","")))</f>
        <v/>
      </c>
      <c r="EP113" s="2" t="str">
        <f aca="false">IF(EE113="","",IF(AND(ABS(EE113)&lt;=0.25,$E113="Bottom",DT113="LL"),"EQL",IF(AND(ABS(EE113)&lt;=0.25,$E113="Peak",DT113="HH"),"EQH","")))</f>
        <v/>
      </c>
      <c r="EQ113" s="2" t="str">
        <f aca="false">IF(EF113="","",IF(AND(ABS(EF113)&lt;=0.25,$E113="Bottom",DU113="LL"),"EQL",IF(AND(ABS(EF113)&lt;=0.25,$E113="Peak",DU113="HH"),"EQH","")))</f>
        <v/>
      </c>
      <c r="ER113" s="2" t="str">
        <f aca="false">IF(OR(EG113="EQL",EG113="EQH"),G113,"")</f>
        <v/>
      </c>
      <c r="ES113" s="2" t="str">
        <f aca="false">IF(OR(EH113="EQL",EH113="EQH"),H113,"")</f>
        <v/>
      </c>
      <c r="ET113" s="2" t="n">
        <f aca="false">IF(OR(EI113="EQL",EI113="EQH"),I113,"")</f>
        <v>4711.51</v>
      </c>
      <c r="EU113" s="2" t="str">
        <f aca="false">IF(OR(EJ113="EQL",EJ113="EQH"),J113,"")</f>
        <v/>
      </c>
      <c r="EV113" s="2" t="str">
        <f aca="false">IF(OR(EK113="EQL",EK113="EQH"),K113,"")</f>
        <v/>
      </c>
      <c r="EW113" s="2" t="str">
        <f aca="false">IF(OR(EL113="EQL",EL113="EQH"),L113,"")</f>
        <v/>
      </c>
      <c r="EX113" s="2" t="str">
        <f aca="false">IF(OR(EM113="EQL",EM113="EQH"),M113,"")</f>
        <v/>
      </c>
      <c r="EY113" s="2" t="str">
        <f aca="false">IF(OR(EN113="EQL",EN113="EQH"),N113,"")</f>
        <v/>
      </c>
      <c r="EZ113" s="2" t="str">
        <f aca="false">IF(OR(EO113="EQL",EO113="EQH"),O113,"")</f>
        <v/>
      </c>
      <c r="FA113" s="2" t="str">
        <f aca="false">IF(OR(EP113="EQL",EP113="EQH"),P113,"")</f>
        <v/>
      </c>
      <c r="FB113" s="2" t="str">
        <f aca="false">IF(OR(EQ113="EQL",EQ113="EQH"),Q113,"")</f>
        <v/>
      </c>
      <c r="FC113" s="2" t="str">
        <f aca="false">IF(AND(EG113="EQL",OR(AQ113=4,AQ113=5)),"IEQL",IF(AND(EG113="EQH",OR(AQ113=1,AQ113=2)),"IEQH",""))</f>
        <v/>
      </c>
      <c r="FD113" s="2" t="str">
        <f aca="false">IF(AND(EH113="EQL",OR(AR113=4,AR113=5)),"IEQL",IF(AND(EH113="EQH",OR(AR113=1,AR113=2)),"IEQH",""))</f>
        <v/>
      </c>
      <c r="FE113" s="2" t="str">
        <f aca="false">IF(AND(EI113="EQL",OR(AS113=4,AS113=5)),"IEQL",IF(AND(EI113="EQH",OR(AS113=1,AS113=2)),"IEQH",""))</f>
        <v/>
      </c>
      <c r="FF113" s="2" t="str">
        <f aca="false">IF(AND(EJ113="EQL",OR(AT113=4,AT113=5)),"IEQL",IF(AND(EJ113="EQH",OR(AT113=1,AT113=2)),"IEQH",""))</f>
        <v/>
      </c>
      <c r="FG113" s="2" t="str">
        <f aca="false">IF(AND(EK113="EQL",OR(AU113=4,AU113=5)),"IEQL",IF(AND(EK113="EQH",OR(AU113=1,AU113=2)),"IEQH",""))</f>
        <v/>
      </c>
      <c r="FH113" s="2" t="str">
        <f aca="false">IF(AND(EL113="EQL",OR(AV113=4,AV113=5)),"IEQL",IF(AND(EL113="EQH",OR(AV113=1,AV113=2)),"IEQH",""))</f>
        <v/>
      </c>
      <c r="FI113" s="2" t="str">
        <f aca="false">IF(AND(EM113="EQL",OR(AW113=4,AW113=5)),"IEQL",IF(AND(EM113="EQH",OR(AW113=1,AW113=2)),"IEQH",""))</f>
        <v/>
      </c>
      <c r="FJ113" s="2" t="str">
        <f aca="false">IF(AND(EN113="EQL",OR(AX113=4,AX113=5)),"IEQL",IF(AND(EN113="EQH",OR(AX113=1,AX113=2)),"IEQH",""))</f>
        <v/>
      </c>
      <c r="FK113" s="2" t="str">
        <f aca="false">IF(AND(EO113="EQL",OR(AY113=4,AY113=5)),"IEQL",IF(AND(EO113="EQH",OR(AY113=1,AY113=2)),"IEQH",""))</f>
        <v/>
      </c>
      <c r="FL113" s="2" t="str">
        <f aca="false">IF(AND(EP113="EQL",OR(AZ113=4,AZ113=5)),"IEQL",IF(AND(EP113="EQH",OR(AZ113=1,AZ113=2)),"IEQH",""))</f>
        <v/>
      </c>
      <c r="FM113" s="2" t="str">
        <f aca="false">IF(AND(EQ113="EQL",OR(BA113=4,BA113=5)),"IEQL",IF(AND(EQ113="EQH",OR(BA113=1,BA113=2)),"IEQH",""))</f>
        <v/>
      </c>
    </row>
    <row r="114" customFormat="false" ht="14.25" hidden="false" customHeight="false" outlineLevel="0" collapsed="false">
      <c r="A114" s="1" t="n">
        <v>1778679902</v>
      </c>
      <c r="B114" s="1" t="s">
        <v>169</v>
      </c>
      <c r="C114" s="1" t="s">
        <v>170</v>
      </c>
      <c r="D114" s="1" t="n">
        <v>4679.3</v>
      </c>
      <c r="E114" s="1" t="s">
        <v>171</v>
      </c>
      <c r="F114" s="1" t="n">
        <v>4669.65</v>
      </c>
      <c r="G114" s="2" t="n">
        <f aca="false">F112</f>
        <v>4685.97</v>
      </c>
      <c r="H114" s="2" t="n">
        <f aca="false">F110</f>
        <v>4687.6</v>
      </c>
      <c r="I114" s="2" t="n">
        <f aca="false">F108</f>
        <v>4638.57</v>
      </c>
      <c r="J114" s="2" t="n">
        <f aca="false">F106</f>
        <v>4685.14</v>
      </c>
      <c r="K114" s="2" t="n">
        <f aca="false">F104</f>
        <v>4687.49</v>
      </c>
      <c r="L114" s="2" t="n">
        <f aca="false">F102</f>
        <v>4707.97</v>
      </c>
      <c r="M114" s="2" t="n">
        <f aca="false">F100</f>
        <v>4647.85</v>
      </c>
      <c r="N114" s="2" t="n">
        <f aca="false">F98</f>
        <v>4670.56</v>
      </c>
      <c r="O114" s="2" t="n">
        <f aca="false">F96</f>
        <v>4702</v>
      </c>
      <c r="P114" s="2" t="n">
        <f aca="false">F94</f>
        <v>4703</v>
      </c>
      <c r="Q114" s="2" t="n">
        <f aca="false">F92</f>
        <v>4696.83</v>
      </c>
      <c r="R114" s="1" t="n">
        <v>-40.73</v>
      </c>
      <c r="S114" s="2" t="n">
        <f aca="false">R112</f>
        <v>-29.38</v>
      </c>
      <c r="T114" s="2" t="n">
        <f aca="false">R110</f>
        <v>-39.16</v>
      </c>
      <c r="U114" s="2" t="n">
        <f aca="false">R108</f>
        <v>-72.94</v>
      </c>
      <c r="V114" s="2" t="n">
        <f aca="false">R106</f>
        <v>-23.33</v>
      </c>
      <c r="W114" s="2" t="n">
        <f aca="false">R104</f>
        <v>-86.09</v>
      </c>
      <c r="X114" s="2" t="n">
        <f aca="false">R102</f>
        <v>-40.47</v>
      </c>
      <c r="Y114" s="2" t="n">
        <f aca="false">R100</f>
        <v>-57.55</v>
      </c>
      <c r="Z114" s="2" t="n">
        <f aca="false">R98</f>
        <v>-58.39</v>
      </c>
      <c r="AA114" s="2" t="n">
        <f aca="false">R96</f>
        <v>-47.22</v>
      </c>
      <c r="AB114" s="2" t="n">
        <f aca="false">R94</f>
        <v>-24.88</v>
      </c>
      <c r="AC114" s="2" t="n">
        <f aca="false">R92</f>
        <v>-37.82</v>
      </c>
      <c r="AD114" s="1" t="n">
        <v>-0.86</v>
      </c>
      <c r="AE114" s="2" t="n">
        <f aca="false">AD112</f>
        <v>-0.62</v>
      </c>
      <c r="AF114" s="2" t="n">
        <f aca="false">AD110</f>
        <v>-0.83</v>
      </c>
      <c r="AG114" s="2" t="n">
        <f aca="false">AD108</f>
        <v>-1.55</v>
      </c>
      <c r="AH114" s="2" t="n">
        <f aca="false">AD106</f>
        <v>-0.5</v>
      </c>
      <c r="AI114" s="2" t="n">
        <f aca="false">AD104</f>
        <v>-1.8</v>
      </c>
      <c r="AJ114" s="2" t="n">
        <f aca="false">AD102</f>
        <v>-0.85</v>
      </c>
      <c r="AK114" s="2" t="n">
        <f aca="false">AD100</f>
        <v>-1.22</v>
      </c>
      <c r="AL114" s="2" t="n">
        <f aca="false">AD98</f>
        <v>-1.23</v>
      </c>
      <c r="AM114" s="2" t="n">
        <f aca="false">AD96</f>
        <v>-0.99</v>
      </c>
      <c r="AN114" s="2" t="n">
        <f aca="false">AD94</f>
        <v>-0.53</v>
      </c>
      <c r="AO114" s="2" t="n">
        <f aca="false">AD92</f>
        <v>-0.8</v>
      </c>
      <c r="AP114" s="1" t="n">
        <v>3</v>
      </c>
      <c r="AQ114" s="2" t="n">
        <f aca="false">AP112</f>
        <v>3</v>
      </c>
      <c r="AR114" s="2" t="n">
        <f aca="false">AP110</f>
        <v>3</v>
      </c>
      <c r="AS114" s="2" t="n">
        <f aca="false">AP108</f>
        <v>3</v>
      </c>
      <c r="AT114" s="2" t="n">
        <f aca="false">AP106</f>
        <v>3</v>
      </c>
      <c r="AU114" s="2" t="n">
        <f aca="false">AP104</f>
        <v>3</v>
      </c>
      <c r="AV114" s="2" t="n">
        <f aca="false">AP102</f>
        <v>3</v>
      </c>
      <c r="AW114" s="2" t="n">
        <f aca="false">AP100</f>
        <v>3</v>
      </c>
      <c r="AX114" s="2" t="n">
        <f aca="false">AP98</f>
        <v>3</v>
      </c>
      <c r="AY114" s="2" t="n">
        <f aca="false">AP96</f>
        <v>3</v>
      </c>
      <c r="AZ114" s="2" t="n">
        <f aca="false">AP94</f>
        <v>3</v>
      </c>
      <c r="BA114" s="2" t="n">
        <f aca="false">AP92</f>
        <v>3</v>
      </c>
      <c r="BB114" s="1" t="n">
        <v>15</v>
      </c>
      <c r="BC114" s="2" t="n">
        <f aca="false">BB112</f>
        <v>13</v>
      </c>
      <c r="BD114" s="2" t="n">
        <f aca="false">BB110</f>
        <v>11</v>
      </c>
      <c r="BE114" s="2" t="n">
        <f aca="false">BB108</f>
        <v>10</v>
      </c>
      <c r="BF114" s="2" t="n">
        <f aca="false">BB106</f>
        <v>2</v>
      </c>
      <c r="BG114" s="2" t="n">
        <f aca="false">BB104</f>
        <v>27</v>
      </c>
      <c r="BH114" s="2" t="n">
        <f aca="false">BB102</f>
        <v>11</v>
      </c>
      <c r="BI114" s="2" t="n">
        <f aca="false">BB100</f>
        <v>18</v>
      </c>
      <c r="BJ114" s="2" t="n">
        <f aca="false">BB98</f>
        <v>22</v>
      </c>
      <c r="BK114" s="2" t="n">
        <f aca="false">BB96</f>
        <v>7</v>
      </c>
      <c r="BL114" s="2" t="n">
        <f aca="false">BB94</f>
        <v>7</v>
      </c>
      <c r="BM114" s="2" t="n">
        <f aca="false">BB92</f>
        <v>4</v>
      </c>
      <c r="BN114" s="1" t="n">
        <v>3</v>
      </c>
      <c r="BO114" s="2" t="n">
        <f aca="false">BN112</f>
        <v>3</v>
      </c>
      <c r="BP114" s="2" t="n">
        <f aca="false">BN110</f>
        <v>3</v>
      </c>
      <c r="BQ114" s="2" t="n">
        <f aca="false">BN108</f>
        <v>3</v>
      </c>
      <c r="BR114" s="2" t="n">
        <f aca="false">BN106</f>
        <v>3</v>
      </c>
      <c r="BS114" s="2" t="n">
        <f aca="false">BN104</f>
        <v>3</v>
      </c>
      <c r="BT114" s="2" t="n">
        <f aca="false">BN102</f>
        <v>3</v>
      </c>
      <c r="BU114" s="2" t="n">
        <f aca="false">BN100</f>
        <v>3</v>
      </c>
      <c r="BV114" s="2" t="n">
        <f aca="false">BN98</f>
        <v>3</v>
      </c>
      <c r="BW114" s="2" t="n">
        <f aca="false">BN96</f>
        <v>3</v>
      </c>
      <c r="BX114" s="2" t="n">
        <f aca="false">BN94</f>
        <v>3</v>
      </c>
      <c r="BY114" s="2" t="n">
        <f aca="false">BN92</f>
        <v>3</v>
      </c>
      <c r="BZ114" s="1" t="n">
        <v>-2.71533</v>
      </c>
      <c r="CA114" s="2" t="n">
        <f aca="false">BZ112</f>
        <v>-2.26</v>
      </c>
      <c r="CB114" s="2" t="n">
        <f aca="false">BZ110</f>
        <v>-3.56</v>
      </c>
      <c r="CC114" s="2" t="n">
        <f aca="false">BZ108</f>
        <v>-7.294</v>
      </c>
      <c r="CD114" s="2" t="n">
        <f aca="false">BZ106</f>
        <v>-11.665</v>
      </c>
      <c r="CE114" s="2" t="n">
        <f aca="false">BZ104</f>
        <v>-3.18852</v>
      </c>
      <c r="CF114" s="2" t="n">
        <f aca="false">BZ102</f>
        <v>-3.67909</v>
      </c>
      <c r="CG114" s="2" t="n">
        <f aca="false">BZ100</f>
        <v>-3.19722</v>
      </c>
      <c r="CH114" s="2" t="n">
        <f aca="false">BZ98</f>
        <v>-2.65409</v>
      </c>
      <c r="CI114" s="2" t="n">
        <f aca="false">BZ96</f>
        <v>-6.74571</v>
      </c>
      <c r="CJ114" s="2" t="n">
        <f aca="false">BZ94</f>
        <v>-3.55429</v>
      </c>
      <c r="CK114" s="2" t="n">
        <f aca="false">BZ92</f>
        <v>-9.455</v>
      </c>
      <c r="CL114" s="1" t="n">
        <v>3</v>
      </c>
      <c r="CM114" s="2" t="n">
        <f aca="false">CL112</f>
        <v>3</v>
      </c>
      <c r="CN114" s="2" t="n">
        <f aca="false">CL110</f>
        <v>3</v>
      </c>
      <c r="CO114" s="2" t="n">
        <f aca="false">CL108</f>
        <v>3</v>
      </c>
      <c r="CP114" s="2" t="n">
        <f aca="false">CL106</f>
        <v>4</v>
      </c>
      <c r="CQ114" s="2" t="n">
        <f aca="false">CL104</f>
        <v>3</v>
      </c>
      <c r="CR114" s="2" t="n">
        <f aca="false">CL102</f>
        <v>3</v>
      </c>
      <c r="CS114" s="2" t="n">
        <f aca="false">CL100</f>
        <v>3</v>
      </c>
      <c r="CT114" s="2" t="n">
        <f aca="false">CL98</f>
        <v>3</v>
      </c>
      <c r="CU114" s="2" t="n">
        <f aca="false">CL96</f>
        <v>3</v>
      </c>
      <c r="CV114" s="2" t="n">
        <f aca="false">CL94</f>
        <v>3</v>
      </c>
      <c r="CW114" s="2" t="n">
        <f aca="false">CL92</f>
        <v>4</v>
      </c>
      <c r="CX114" s="1" t="n">
        <v>-69.7823</v>
      </c>
      <c r="CY114" s="2" t="n">
        <f aca="false">CX112</f>
        <v>-66.1317</v>
      </c>
      <c r="CZ114" s="2" t="n">
        <f aca="false">CX110</f>
        <v>-74.31</v>
      </c>
      <c r="DA114" s="2" t="n">
        <f aca="false">CX108</f>
        <v>-82.1935</v>
      </c>
      <c r="DB114" s="2" t="n">
        <f aca="false">CX106</f>
        <v>-85.1002</v>
      </c>
      <c r="DC114" s="2" t="n">
        <f aca="false">CX104</f>
        <v>-72.5873</v>
      </c>
      <c r="DD114" s="2" t="n">
        <f aca="false">CX102</f>
        <v>-74.794</v>
      </c>
      <c r="DE114" s="2" t="n">
        <f aca="false">CX100</f>
        <v>-72.6318</v>
      </c>
      <c r="DF114" s="2" t="n">
        <f aca="false">CX98</f>
        <v>-69.3548</v>
      </c>
      <c r="DG114" s="2" t="n">
        <f aca="false">CX96</f>
        <v>-81.5678</v>
      </c>
      <c r="DH114" s="2" t="n">
        <f aca="false">CX94</f>
        <v>-74.286</v>
      </c>
      <c r="DI114" s="2" t="n">
        <f aca="false">CX92</f>
        <v>-83.9626</v>
      </c>
      <c r="DJ114" s="1" t="s">
        <v>172</v>
      </c>
      <c r="DK114" s="2" t="str">
        <f aca="false">DJ112</f>
        <v>LL</v>
      </c>
      <c r="DL114" s="2" t="str">
        <f aca="false">DJ110</f>
        <v>HL</v>
      </c>
      <c r="DM114" s="2" t="str">
        <f aca="false">DJ108</f>
        <v>LL</v>
      </c>
      <c r="DN114" s="2" t="str">
        <f aca="false">DJ106</f>
        <v>LL</v>
      </c>
      <c r="DO114" s="2" t="str">
        <f aca="false">DJ104</f>
        <v>LL</v>
      </c>
      <c r="DP114" s="2" t="str">
        <f aca="false">DJ102</f>
        <v>HL</v>
      </c>
      <c r="DQ114" s="2" t="str">
        <f aca="false">DJ100</f>
        <v>LL</v>
      </c>
      <c r="DR114" s="2" t="str">
        <f aca="false">DJ98</f>
        <v>LL</v>
      </c>
      <c r="DS114" s="2" t="str">
        <f aca="false">DJ96</f>
        <v>LL</v>
      </c>
      <c r="DT114" s="2" t="str">
        <f aca="false">DJ94</f>
        <v>HL</v>
      </c>
      <c r="DU114" s="2" t="str">
        <f aca="false">DJ92</f>
        <v>HL</v>
      </c>
      <c r="DV114" s="2" t="n">
        <f aca="false">IFERROR((G114-$F114)/$F114*100,"")</f>
        <v>0.349490861199461</v>
      </c>
      <c r="DW114" s="2" t="n">
        <f aca="false">IFERROR((H114-$F114)/$F114*100,"")</f>
        <v>0.384397117557006</v>
      </c>
      <c r="DX114" s="2" t="n">
        <f aca="false">IFERROR((I114-$F114)/$F114*100,"")</f>
        <v>-0.665574507725417</v>
      </c>
      <c r="DY114" s="2" t="n">
        <f aca="false">IFERROR((J114-$F114)/$F114*100,"")</f>
        <v>0.331716509802677</v>
      </c>
      <c r="DZ114" s="2" t="n">
        <f aca="false">IFERROR((K114-$F114)/$F114*100,"")</f>
        <v>0.382041480624889</v>
      </c>
      <c r="EA114" s="2" t="n">
        <f aca="false">IFERROR((L114-$F114)/$F114*100,"")</f>
        <v>0.820618247620285</v>
      </c>
      <c r="EB114" s="2" t="n">
        <f aca="false">IFERROR((M114-$F114)/$F114*100,"")</f>
        <v>-0.466844410180619</v>
      </c>
      <c r="EC114" s="2" t="n">
        <f aca="false">IFERROR((N114-$F114)/$F114*100,"")</f>
        <v>0.0194875418928777</v>
      </c>
      <c r="ED114" s="2" t="n">
        <f aca="false">IFERROR((O114-$F114)/$F114*100,"")</f>
        <v>0.692771406850628</v>
      </c>
      <c r="EE114" s="2" t="n">
        <f aca="false">IFERROR((P114-$F114)/$F114*100,"")</f>
        <v>0.714186288051575</v>
      </c>
      <c r="EF114" s="2" t="n">
        <f aca="false">IFERROR((Q114-$F114)/$F114*100,"")</f>
        <v>0.582056471041733</v>
      </c>
      <c r="EG114" s="2" t="str">
        <f aca="false">IF(DV114="","",IF(AND(ABS(DV114)&lt;=0.25,$E114="Bottom",DK114="LL"),"EQL",IF(AND(ABS(DV114)&lt;=0.25,$E114="Peak",DK114="HH"),"EQH","")))</f>
        <v/>
      </c>
      <c r="EH114" s="2" t="str">
        <f aca="false">IF(DW114="","",IF(AND(ABS(DW114)&lt;=0.25,$E114="Bottom",DL114="LL"),"EQL",IF(AND(ABS(DW114)&lt;=0.25,$E114="Peak",DL114="HH"),"EQH","")))</f>
        <v/>
      </c>
      <c r="EI114" s="2" t="str">
        <f aca="false">IF(DX114="","",IF(AND(ABS(DX114)&lt;=0.25,$E114="Bottom",DM114="LL"),"EQL",IF(AND(ABS(DX114)&lt;=0.25,$E114="Peak",DM114="HH"),"EQH","")))</f>
        <v/>
      </c>
      <c r="EJ114" s="2" t="str">
        <f aca="false">IF(DY114="","",IF(AND(ABS(DY114)&lt;=0.25,$E114="Bottom",DN114="LL"),"EQL",IF(AND(ABS(DY114)&lt;=0.25,$E114="Peak",DN114="HH"),"EQH","")))</f>
        <v/>
      </c>
      <c r="EK114" s="2" t="str">
        <f aca="false">IF(DZ114="","",IF(AND(ABS(DZ114)&lt;=0.25,$E114="Bottom",DO114="LL"),"EQL",IF(AND(ABS(DZ114)&lt;=0.25,$E114="Peak",DO114="HH"),"EQH","")))</f>
        <v/>
      </c>
      <c r="EL114" s="2" t="str">
        <f aca="false">IF(EA114="","",IF(AND(ABS(EA114)&lt;=0.25,$E114="Bottom",DP114="LL"),"EQL",IF(AND(ABS(EA114)&lt;=0.25,$E114="Peak",DP114="HH"),"EQH","")))</f>
        <v/>
      </c>
      <c r="EM114" s="2" t="str">
        <f aca="false">IF(EB114="","",IF(AND(ABS(EB114)&lt;=0.25,$E114="Bottom",DQ114="LL"),"EQL",IF(AND(ABS(EB114)&lt;=0.25,$E114="Peak",DQ114="HH"),"EQH","")))</f>
        <v/>
      </c>
      <c r="EN114" s="2" t="str">
        <f aca="false">IF(EC114="","",IF(AND(ABS(EC114)&lt;=0.25,$E114="Bottom",DR114="LL"),"EQL",IF(AND(ABS(EC114)&lt;=0.25,$E114="Peak",DR114="HH"),"EQH","")))</f>
        <v>EQL</v>
      </c>
      <c r="EO114" s="2" t="str">
        <f aca="false">IF(ED114="","",IF(AND(ABS(ED114)&lt;=0.25,$E114="Bottom",DS114="LL"),"EQL",IF(AND(ABS(ED114)&lt;=0.25,$E114="Peak",DS114="HH"),"EQH","")))</f>
        <v/>
      </c>
      <c r="EP114" s="2" t="str">
        <f aca="false">IF(EE114="","",IF(AND(ABS(EE114)&lt;=0.25,$E114="Bottom",DT114="LL"),"EQL",IF(AND(ABS(EE114)&lt;=0.25,$E114="Peak",DT114="HH"),"EQH","")))</f>
        <v/>
      </c>
      <c r="EQ114" s="2" t="str">
        <f aca="false">IF(EF114="","",IF(AND(ABS(EF114)&lt;=0.25,$E114="Bottom",DU114="LL"),"EQL",IF(AND(ABS(EF114)&lt;=0.25,$E114="Peak",DU114="HH"),"EQH","")))</f>
        <v/>
      </c>
      <c r="ER114" s="2" t="str">
        <f aca="false">IF(OR(EG114="EQL",EG114="EQH"),G114,"")</f>
        <v/>
      </c>
      <c r="ES114" s="2" t="str">
        <f aca="false">IF(OR(EH114="EQL",EH114="EQH"),H114,"")</f>
        <v/>
      </c>
      <c r="ET114" s="2" t="str">
        <f aca="false">IF(OR(EI114="EQL",EI114="EQH"),I114,"")</f>
        <v/>
      </c>
      <c r="EU114" s="2" t="str">
        <f aca="false">IF(OR(EJ114="EQL",EJ114="EQH"),J114,"")</f>
        <v/>
      </c>
      <c r="EV114" s="2" t="str">
        <f aca="false">IF(OR(EK114="EQL",EK114="EQH"),K114,"")</f>
        <v/>
      </c>
      <c r="EW114" s="2" t="str">
        <f aca="false">IF(OR(EL114="EQL",EL114="EQH"),L114,"")</f>
        <v/>
      </c>
      <c r="EX114" s="2" t="str">
        <f aca="false">IF(OR(EM114="EQL",EM114="EQH"),M114,"")</f>
        <v/>
      </c>
      <c r="EY114" s="2" t="n">
        <f aca="false">IF(OR(EN114="EQL",EN114="EQH"),N114,"")</f>
        <v>4670.56</v>
      </c>
      <c r="EZ114" s="2" t="str">
        <f aca="false">IF(OR(EO114="EQL",EO114="EQH"),O114,"")</f>
        <v/>
      </c>
      <c r="FA114" s="2" t="str">
        <f aca="false">IF(OR(EP114="EQL",EP114="EQH"),P114,"")</f>
        <v/>
      </c>
      <c r="FB114" s="2" t="str">
        <f aca="false">IF(OR(EQ114="EQL",EQ114="EQH"),Q114,"")</f>
        <v/>
      </c>
      <c r="FC114" s="2" t="str">
        <f aca="false">IF(AND(EG114="EQL",OR(AQ114=4,AQ114=5)),"IEQL",IF(AND(EG114="EQH",OR(AQ114=1,AQ114=2)),"IEQH",""))</f>
        <v/>
      </c>
      <c r="FD114" s="2" t="str">
        <f aca="false">IF(AND(EH114="EQL",OR(AR114=4,AR114=5)),"IEQL",IF(AND(EH114="EQH",OR(AR114=1,AR114=2)),"IEQH",""))</f>
        <v/>
      </c>
      <c r="FE114" s="2" t="str">
        <f aca="false">IF(AND(EI114="EQL",OR(AS114=4,AS114=5)),"IEQL",IF(AND(EI114="EQH",OR(AS114=1,AS114=2)),"IEQH",""))</f>
        <v/>
      </c>
      <c r="FF114" s="2" t="str">
        <f aca="false">IF(AND(EJ114="EQL",OR(AT114=4,AT114=5)),"IEQL",IF(AND(EJ114="EQH",OR(AT114=1,AT114=2)),"IEQH",""))</f>
        <v/>
      </c>
      <c r="FG114" s="2" t="str">
        <f aca="false">IF(AND(EK114="EQL",OR(AU114=4,AU114=5)),"IEQL",IF(AND(EK114="EQH",OR(AU114=1,AU114=2)),"IEQH",""))</f>
        <v/>
      </c>
      <c r="FH114" s="2" t="str">
        <f aca="false">IF(AND(EL114="EQL",OR(AV114=4,AV114=5)),"IEQL",IF(AND(EL114="EQH",OR(AV114=1,AV114=2)),"IEQH",""))</f>
        <v/>
      </c>
      <c r="FI114" s="2" t="str">
        <f aca="false">IF(AND(EM114="EQL",OR(AW114=4,AW114=5)),"IEQL",IF(AND(EM114="EQH",OR(AW114=1,AW114=2)),"IEQH",""))</f>
        <v/>
      </c>
      <c r="FJ114" s="2" t="str">
        <f aca="false">IF(AND(EN114="EQL",OR(AX114=4,AX114=5)),"IEQL",IF(AND(EN114="EQH",OR(AX114=1,AX114=2)),"IEQH",""))</f>
        <v/>
      </c>
      <c r="FK114" s="2" t="str">
        <f aca="false">IF(AND(EO114="EQL",OR(AY114=4,AY114=5)),"IEQL",IF(AND(EO114="EQH",OR(AY114=1,AY114=2)),"IEQH",""))</f>
        <v/>
      </c>
      <c r="FL114" s="2" t="str">
        <f aca="false">IF(AND(EP114="EQL",OR(AZ114=4,AZ114=5)),"IEQL",IF(AND(EP114="EQH",OR(AZ114=1,AZ114=2)),"IEQH",""))</f>
        <v/>
      </c>
      <c r="FM114" s="2" t="str">
        <f aca="false">IF(AND(EQ114="EQL",OR(BA114=4,BA114=5)),"IEQL",IF(AND(EQ114="EQH",OR(BA114=1,BA114=2)),"IEQH",""))</f>
        <v/>
      </c>
    </row>
    <row r="115" customFormat="false" ht="14.25" hidden="false" customHeight="false" outlineLevel="0" collapsed="false">
      <c r="A115" s="1" t="n">
        <v>1778688902</v>
      </c>
      <c r="B115" s="1" t="s">
        <v>169</v>
      </c>
      <c r="C115" s="1" t="s">
        <v>170</v>
      </c>
      <c r="D115" s="1" t="n">
        <v>4706.57</v>
      </c>
      <c r="E115" s="1" t="s">
        <v>173</v>
      </c>
      <c r="F115" s="1" t="n">
        <v>4709.71</v>
      </c>
      <c r="G115" s="2" t="n">
        <f aca="false">F113</f>
        <v>4710.38</v>
      </c>
      <c r="H115" s="2" t="n">
        <f aca="false">F111</f>
        <v>4715.35</v>
      </c>
      <c r="I115" s="2" t="n">
        <f aca="false">F109</f>
        <v>4726.76</v>
      </c>
      <c r="J115" s="2" t="n">
        <f aca="false">F107</f>
        <v>4711.51</v>
      </c>
      <c r="K115" s="2" t="n">
        <f aca="false">F105</f>
        <v>4708.47</v>
      </c>
      <c r="L115" s="2" t="n">
        <f aca="false">F103</f>
        <v>4773.58</v>
      </c>
      <c r="M115" s="2" t="n">
        <f aca="false">F101</f>
        <v>4748.44</v>
      </c>
      <c r="N115" s="2" t="n">
        <f aca="false">F99</f>
        <v>4705.4</v>
      </c>
      <c r="O115" s="2" t="n">
        <f aca="false">F97</f>
        <v>4728.95</v>
      </c>
      <c r="P115" s="2" t="n">
        <f aca="false">F95</f>
        <v>4749.22</v>
      </c>
      <c r="Q115" s="2" t="n">
        <f aca="false">F93</f>
        <v>4727.88</v>
      </c>
      <c r="R115" s="1" t="n">
        <v>40.06</v>
      </c>
      <c r="S115" s="2" t="n">
        <f aca="false">R113</f>
        <v>24.41</v>
      </c>
      <c r="T115" s="2" t="n">
        <f aca="false">R111</f>
        <v>27.75</v>
      </c>
      <c r="U115" s="2" t="n">
        <f aca="false">R109</f>
        <v>88.19</v>
      </c>
      <c r="V115" s="2" t="n">
        <f aca="false">R107</f>
        <v>26.37</v>
      </c>
      <c r="W115" s="2" t="n">
        <f aca="false">R105</f>
        <v>20.98</v>
      </c>
      <c r="X115" s="2" t="n">
        <f aca="false">R103</f>
        <v>65.61</v>
      </c>
      <c r="Y115" s="2" t="n">
        <f aca="false">R101</f>
        <v>100.59</v>
      </c>
      <c r="Z115" s="2" t="n">
        <f aca="false">R99</f>
        <v>34.84</v>
      </c>
      <c r="AA115" s="2" t="n">
        <f aca="false">R97</f>
        <v>26.95</v>
      </c>
      <c r="AB115" s="2" t="n">
        <f aca="false">R95</f>
        <v>46.22</v>
      </c>
      <c r="AC115" s="2" t="n">
        <f aca="false">R93</f>
        <v>31.05</v>
      </c>
      <c r="AD115" s="1" t="n">
        <v>0.86</v>
      </c>
      <c r="AE115" s="2" t="n">
        <f aca="false">AD113</f>
        <v>0.52</v>
      </c>
      <c r="AF115" s="2" t="n">
        <f aca="false">AD111</f>
        <v>0.59</v>
      </c>
      <c r="AG115" s="2" t="n">
        <f aca="false">AD109</f>
        <v>1.9</v>
      </c>
      <c r="AH115" s="2" t="n">
        <f aca="false">AD107</f>
        <v>0.56</v>
      </c>
      <c r="AI115" s="2" t="n">
        <f aca="false">AD105</f>
        <v>0.45</v>
      </c>
      <c r="AJ115" s="2" t="n">
        <f aca="false">AD103</f>
        <v>1.39</v>
      </c>
      <c r="AK115" s="2" t="n">
        <f aca="false">AD101</f>
        <v>2.16</v>
      </c>
      <c r="AL115" s="2" t="n">
        <f aca="false">AD99</f>
        <v>0.75</v>
      </c>
      <c r="AM115" s="2" t="n">
        <f aca="false">AD97</f>
        <v>0.57</v>
      </c>
      <c r="AN115" s="2" t="n">
        <f aca="false">AD95</f>
        <v>0.98</v>
      </c>
      <c r="AO115" s="2" t="n">
        <f aca="false">AD93</f>
        <v>0.66</v>
      </c>
      <c r="AP115" s="1" t="n">
        <v>0</v>
      </c>
      <c r="AQ115" s="2" t="n">
        <f aca="false">AP113</f>
        <v>0</v>
      </c>
      <c r="AR115" s="2" t="n">
        <f aca="false">AP111</f>
        <v>0</v>
      </c>
      <c r="AS115" s="2" t="n">
        <f aca="false">AP109</f>
        <v>0</v>
      </c>
      <c r="AT115" s="2" t="n">
        <f aca="false">AP107</f>
        <v>0</v>
      </c>
      <c r="AU115" s="2" t="n">
        <f aca="false">AP105</f>
        <v>0</v>
      </c>
      <c r="AV115" s="2" t="n">
        <f aca="false">AP103</f>
        <v>0</v>
      </c>
      <c r="AW115" s="2" t="n">
        <f aca="false">AP101</f>
        <v>1</v>
      </c>
      <c r="AX115" s="2" t="n">
        <f aca="false">AP99</f>
        <v>0</v>
      </c>
      <c r="AY115" s="2" t="n">
        <f aca="false">AP97</f>
        <v>0</v>
      </c>
      <c r="AZ115" s="2" t="n">
        <f aca="false">AP95</f>
        <v>0</v>
      </c>
      <c r="BA115" s="2" t="n">
        <f aca="false">AP93</f>
        <v>0</v>
      </c>
      <c r="BB115" s="1" t="n">
        <v>10</v>
      </c>
      <c r="BC115" s="2" t="n">
        <f aca="false">BB113</f>
        <v>2</v>
      </c>
      <c r="BD115" s="2" t="n">
        <f aca="false">BB111</f>
        <v>14</v>
      </c>
      <c r="BE115" s="2" t="n">
        <f aca="false">BB109</f>
        <v>31</v>
      </c>
      <c r="BF115" s="2" t="n">
        <f aca="false">BB107</f>
        <v>9</v>
      </c>
      <c r="BG115" s="2" t="n">
        <f aca="false">BB105</f>
        <v>12</v>
      </c>
      <c r="BH115" s="2" t="n">
        <f aca="false">BB103</f>
        <v>27</v>
      </c>
      <c r="BI115" s="2" t="n">
        <f aca="false">BB101</f>
        <v>32</v>
      </c>
      <c r="BJ115" s="2" t="n">
        <f aca="false">BB99</f>
        <v>2</v>
      </c>
      <c r="BK115" s="2" t="n">
        <f aca="false">BB97</f>
        <v>10</v>
      </c>
      <c r="BL115" s="2" t="n">
        <f aca="false">BB95</f>
        <v>7</v>
      </c>
      <c r="BM115" s="2" t="n">
        <f aca="false">BB93</f>
        <v>13</v>
      </c>
      <c r="BN115" s="1" t="n">
        <v>0</v>
      </c>
      <c r="BO115" s="2" t="n">
        <f aca="false">BN113</f>
        <v>0</v>
      </c>
      <c r="BP115" s="2" t="n">
        <f aca="false">BN111</f>
        <v>0</v>
      </c>
      <c r="BQ115" s="2" t="n">
        <f aca="false">BN109</f>
        <v>0</v>
      </c>
      <c r="BR115" s="2" t="n">
        <f aca="false">BN107</f>
        <v>0</v>
      </c>
      <c r="BS115" s="2" t="n">
        <f aca="false">BN105</f>
        <v>0</v>
      </c>
      <c r="BT115" s="2" t="n">
        <f aca="false">BN103</f>
        <v>0</v>
      </c>
      <c r="BU115" s="2" t="n">
        <f aca="false">BN101</f>
        <v>1</v>
      </c>
      <c r="BV115" s="2" t="n">
        <f aca="false">BN99</f>
        <v>0</v>
      </c>
      <c r="BW115" s="2" t="n">
        <f aca="false">BN97</f>
        <v>0</v>
      </c>
      <c r="BX115" s="2" t="n">
        <f aca="false">BN95</f>
        <v>0</v>
      </c>
      <c r="BY115" s="2" t="n">
        <f aca="false">BN93</f>
        <v>0</v>
      </c>
      <c r="BZ115" s="1" t="n">
        <v>4.006</v>
      </c>
      <c r="CA115" s="2" t="n">
        <f aca="false">BZ113</f>
        <v>12.205</v>
      </c>
      <c r="CB115" s="2" t="n">
        <f aca="false">BZ111</f>
        <v>1.98214</v>
      </c>
      <c r="CC115" s="2" t="n">
        <f aca="false">BZ109</f>
        <v>2.84484</v>
      </c>
      <c r="CD115" s="2" t="n">
        <f aca="false">BZ107</f>
        <v>2.93</v>
      </c>
      <c r="CE115" s="2" t="n">
        <f aca="false">BZ105</f>
        <v>1.74833</v>
      </c>
      <c r="CF115" s="2" t="n">
        <f aca="false">BZ103</f>
        <v>2.43</v>
      </c>
      <c r="CG115" s="2" t="n">
        <f aca="false">BZ101</f>
        <v>3.14344</v>
      </c>
      <c r="CH115" s="2" t="n">
        <f aca="false">BZ99</f>
        <v>17.42</v>
      </c>
      <c r="CI115" s="2" t="n">
        <f aca="false">BZ97</f>
        <v>2.695</v>
      </c>
      <c r="CJ115" s="2" t="n">
        <f aca="false">BZ95</f>
        <v>6.60286</v>
      </c>
      <c r="CK115" s="2" t="n">
        <f aca="false">BZ93</f>
        <v>2.38846</v>
      </c>
      <c r="CL115" s="1" t="n">
        <v>0</v>
      </c>
      <c r="CM115" s="2" t="n">
        <f aca="false">CL113</f>
        <v>1</v>
      </c>
      <c r="CN115" s="2" t="n">
        <f aca="false">CL111</f>
        <v>0</v>
      </c>
      <c r="CO115" s="2" t="n">
        <f aca="false">CL109</f>
        <v>0</v>
      </c>
      <c r="CP115" s="2" t="n">
        <f aca="false">CL107</f>
        <v>0</v>
      </c>
      <c r="CQ115" s="2" t="n">
        <f aca="false">CL105</f>
        <v>0</v>
      </c>
      <c r="CR115" s="2" t="n">
        <f aca="false">CL103</f>
        <v>0</v>
      </c>
      <c r="CS115" s="2" t="n">
        <f aca="false">CL101</f>
        <v>0</v>
      </c>
      <c r="CT115" s="2" t="n">
        <f aca="false">CL99</f>
        <v>2</v>
      </c>
      <c r="CU115" s="2" t="n">
        <f aca="false">CL97</f>
        <v>0</v>
      </c>
      <c r="CV115" s="2" t="n">
        <f aca="false">CL95</f>
        <v>0</v>
      </c>
      <c r="CW115" s="2" t="n">
        <f aca="false">CL93</f>
        <v>0</v>
      </c>
      <c r="CX115" s="1" t="n">
        <v>75.984</v>
      </c>
      <c r="CY115" s="2" t="n">
        <f aca="false">CX113</f>
        <v>85.316</v>
      </c>
      <c r="CZ115" s="2" t="n">
        <f aca="false">CX111</f>
        <v>63.2288</v>
      </c>
      <c r="DA115" s="2" t="n">
        <f aca="false">CX109</f>
        <v>70.6327</v>
      </c>
      <c r="DB115" s="2" t="n">
        <f aca="false">CX107</f>
        <v>71.1554</v>
      </c>
      <c r="DC115" s="2" t="n">
        <f aca="false">CX105</f>
        <v>60.2316</v>
      </c>
      <c r="DD115" s="2" t="n">
        <f aca="false">CX103</f>
        <v>67.6317</v>
      </c>
      <c r="DE115" s="2" t="n">
        <f aca="false">CX101</f>
        <v>72.3529</v>
      </c>
      <c r="DF115" s="2" t="n">
        <f aca="false">CX99</f>
        <v>86.7145</v>
      </c>
      <c r="DG115" s="2" t="n">
        <f aca="false">CX97</f>
        <v>69.6422</v>
      </c>
      <c r="DH115" s="2" t="n">
        <f aca="false">CX95</f>
        <v>81.388</v>
      </c>
      <c r="DI115" s="2" t="n">
        <f aca="false">CX93</f>
        <v>67.2819</v>
      </c>
      <c r="DJ115" s="1" t="s">
        <v>174</v>
      </c>
      <c r="DK115" s="2" t="str">
        <f aca="false">DJ113</f>
        <v>LH</v>
      </c>
      <c r="DL115" s="2" t="str">
        <f aca="false">DJ111</f>
        <v>LH</v>
      </c>
      <c r="DM115" s="2" t="str">
        <f aca="false">DJ109</f>
        <v>HH</v>
      </c>
      <c r="DN115" s="2" t="str">
        <f aca="false">DJ107</f>
        <v>HH</v>
      </c>
      <c r="DO115" s="2" t="str">
        <f aca="false">DJ105</f>
        <v>LH</v>
      </c>
      <c r="DP115" s="2" t="str">
        <f aca="false">DJ103</f>
        <v>HH</v>
      </c>
      <c r="DQ115" s="2" t="str">
        <f aca="false">DJ101</f>
        <v>HH</v>
      </c>
      <c r="DR115" s="2" t="str">
        <f aca="false">DJ99</f>
        <v>LH</v>
      </c>
      <c r="DS115" s="2" t="str">
        <f aca="false">DJ97</f>
        <v>LH</v>
      </c>
      <c r="DT115" s="2" t="str">
        <f aca="false">DJ95</f>
        <v>HH</v>
      </c>
      <c r="DU115" s="2" t="str">
        <f aca="false">DJ93</f>
        <v>LH</v>
      </c>
      <c r="DV115" s="2" t="n">
        <f aca="false">IFERROR((G115-$F115)/$F115*100,"")</f>
        <v>0.0142259289850134</v>
      </c>
      <c r="DW115" s="2" t="n">
        <f aca="false">IFERROR((H115-$F115)/$F115*100,"")</f>
        <v>0.119752596232047</v>
      </c>
      <c r="DX115" s="2" t="n">
        <f aca="false">IFERROR((I115-$F115)/$F115*100,"")</f>
        <v>0.362018043573812</v>
      </c>
      <c r="DY115" s="2" t="n">
        <f aca="false">IFERROR((J115-$F115)/$F115*100,"")</f>
        <v>0.0382189136910804</v>
      </c>
      <c r="DZ115" s="2" t="n">
        <f aca="false">IFERROR((K115-$F115)/$F115*100,"")</f>
        <v>-0.0263285849871814</v>
      </c>
      <c r="EA115" s="2" t="n">
        <f aca="false">IFERROR((L115-$F115)/$F115*100,"")</f>
        <v>1.35613445413836</v>
      </c>
      <c r="EB115" s="2" t="n">
        <f aca="false">IFERROR((M115-$F115)/$F115*100,"")</f>
        <v>0.822343626252987</v>
      </c>
      <c r="EC115" s="2" t="n">
        <f aca="false">IFERROR((N115-$F115)/$F115*100,"")</f>
        <v>-0.0915130655603084</v>
      </c>
      <c r="ED115" s="2" t="n">
        <f aca="false">IFERROR((O115-$F115)/$F115*100,"")</f>
        <v>0.408517721897947</v>
      </c>
      <c r="EE115" s="2" t="n">
        <f aca="false">IFERROR((P115-$F115)/$F115*100,"")</f>
        <v>0.838905155519134</v>
      </c>
      <c r="EF115" s="2" t="n">
        <f aca="false">IFERROR((Q115-$F115)/$F115*100,"")</f>
        <v>0.385798700981591</v>
      </c>
      <c r="EG115" s="2" t="str">
        <f aca="false">IF(DV115="","",IF(AND(ABS(DV115)&lt;=0.25,$E115="Bottom",DK115="LL"),"EQL",IF(AND(ABS(DV115)&lt;=0.25,$E115="Peak",DK115="HH"),"EQH","")))</f>
        <v/>
      </c>
      <c r="EH115" s="2" t="str">
        <f aca="false">IF(DW115="","",IF(AND(ABS(DW115)&lt;=0.25,$E115="Bottom",DL115="LL"),"EQL",IF(AND(ABS(DW115)&lt;=0.25,$E115="Peak",DL115="HH"),"EQH","")))</f>
        <v/>
      </c>
      <c r="EI115" s="2" t="str">
        <f aca="false">IF(DX115="","",IF(AND(ABS(DX115)&lt;=0.25,$E115="Bottom",DM115="LL"),"EQL",IF(AND(ABS(DX115)&lt;=0.25,$E115="Peak",DM115="HH"),"EQH","")))</f>
        <v/>
      </c>
      <c r="EJ115" s="2" t="str">
        <f aca="false">IF(DY115="","",IF(AND(ABS(DY115)&lt;=0.25,$E115="Bottom",DN115="LL"),"EQL",IF(AND(ABS(DY115)&lt;=0.25,$E115="Peak",DN115="HH"),"EQH","")))</f>
        <v>EQH</v>
      </c>
      <c r="EK115" s="2" t="str">
        <f aca="false">IF(DZ115="","",IF(AND(ABS(DZ115)&lt;=0.25,$E115="Bottom",DO115="LL"),"EQL",IF(AND(ABS(DZ115)&lt;=0.25,$E115="Peak",DO115="HH"),"EQH","")))</f>
        <v/>
      </c>
      <c r="EL115" s="2" t="str">
        <f aca="false">IF(EA115="","",IF(AND(ABS(EA115)&lt;=0.25,$E115="Bottom",DP115="LL"),"EQL",IF(AND(ABS(EA115)&lt;=0.25,$E115="Peak",DP115="HH"),"EQH","")))</f>
        <v/>
      </c>
      <c r="EM115" s="2" t="str">
        <f aca="false">IF(EB115="","",IF(AND(ABS(EB115)&lt;=0.25,$E115="Bottom",DQ115="LL"),"EQL",IF(AND(ABS(EB115)&lt;=0.25,$E115="Peak",DQ115="HH"),"EQH","")))</f>
        <v/>
      </c>
      <c r="EN115" s="2" t="str">
        <f aca="false">IF(EC115="","",IF(AND(ABS(EC115)&lt;=0.25,$E115="Bottom",DR115="LL"),"EQL",IF(AND(ABS(EC115)&lt;=0.25,$E115="Peak",DR115="HH"),"EQH","")))</f>
        <v/>
      </c>
      <c r="EO115" s="2" t="str">
        <f aca="false">IF(ED115="","",IF(AND(ABS(ED115)&lt;=0.25,$E115="Bottom",DS115="LL"),"EQL",IF(AND(ABS(ED115)&lt;=0.25,$E115="Peak",DS115="HH"),"EQH","")))</f>
        <v/>
      </c>
      <c r="EP115" s="2" t="str">
        <f aca="false">IF(EE115="","",IF(AND(ABS(EE115)&lt;=0.25,$E115="Bottom",DT115="LL"),"EQL",IF(AND(ABS(EE115)&lt;=0.25,$E115="Peak",DT115="HH"),"EQH","")))</f>
        <v/>
      </c>
      <c r="EQ115" s="2" t="str">
        <f aca="false">IF(EF115="","",IF(AND(ABS(EF115)&lt;=0.25,$E115="Bottom",DU115="LL"),"EQL",IF(AND(ABS(EF115)&lt;=0.25,$E115="Peak",DU115="HH"),"EQH","")))</f>
        <v/>
      </c>
      <c r="ER115" s="2" t="str">
        <f aca="false">IF(OR(EG115="EQL",EG115="EQH"),G115,"")</f>
        <v/>
      </c>
      <c r="ES115" s="2" t="str">
        <f aca="false">IF(OR(EH115="EQL",EH115="EQH"),H115,"")</f>
        <v/>
      </c>
      <c r="ET115" s="2" t="str">
        <f aca="false">IF(OR(EI115="EQL",EI115="EQH"),I115,"")</f>
        <v/>
      </c>
      <c r="EU115" s="2" t="n">
        <f aca="false">IF(OR(EJ115="EQL",EJ115="EQH"),J115,"")</f>
        <v>4711.51</v>
      </c>
      <c r="EV115" s="2" t="str">
        <f aca="false">IF(OR(EK115="EQL",EK115="EQH"),K115,"")</f>
        <v/>
      </c>
      <c r="EW115" s="2" t="str">
        <f aca="false">IF(OR(EL115="EQL",EL115="EQH"),L115,"")</f>
        <v/>
      </c>
      <c r="EX115" s="2" t="str">
        <f aca="false">IF(OR(EM115="EQL",EM115="EQH"),M115,"")</f>
        <v/>
      </c>
      <c r="EY115" s="2" t="str">
        <f aca="false">IF(OR(EN115="EQL",EN115="EQH"),N115,"")</f>
        <v/>
      </c>
      <c r="EZ115" s="2" t="str">
        <f aca="false">IF(OR(EO115="EQL",EO115="EQH"),O115,"")</f>
        <v/>
      </c>
      <c r="FA115" s="2" t="str">
        <f aca="false">IF(OR(EP115="EQL",EP115="EQH"),P115,"")</f>
        <v/>
      </c>
      <c r="FB115" s="2" t="str">
        <f aca="false">IF(OR(EQ115="EQL",EQ115="EQH"),Q115,"")</f>
        <v/>
      </c>
      <c r="FC115" s="2" t="str">
        <f aca="false">IF(AND(EG115="EQL",OR(AQ115=4,AQ115=5)),"IEQL",IF(AND(EG115="EQH",OR(AQ115=1,AQ115=2)),"IEQH",""))</f>
        <v/>
      </c>
      <c r="FD115" s="2" t="str">
        <f aca="false">IF(AND(EH115="EQL",OR(AR115=4,AR115=5)),"IEQL",IF(AND(EH115="EQH",OR(AR115=1,AR115=2)),"IEQH",""))</f>
        <v/>
      </c>
      <c r="FE115" s="2" t="str">
        <f aca="false">IF(AND(EI115="EQL",OR(AS115=4,AS115=5)),"IEQL",IF(AND(EI115="EQH",OR(AS115=1,AS115=2)),"IEQH",""))</f>
        <v/>
      </c>
      <c r="FF115" s="2" t="str">
        <f aca="false">IF(AND(EJ115="EQL",OR(AT115=4,AT115=5)),"IEQL",IF(AND(EJ115="EQH",OR(AT115=1,AT115=2)),"IEQH",""))</f>
        <v/>
      </c>
      <c r="FG115" s="2" t="str">
        <f aca="false">IF(AND(EK115="EQL",OR(AU115=4,AU115=5)),"IEQL",IF(AND(EK115="EQH",OR(AU115=1,AU115=2)),"IEQH",""))</f>
        <v/>
      </c>
      <c r="FH115" s="2" t="str">
        <f aca="false">IF(AND(EL115="EQL",OR(AV115=4,AV115=5)),"IEQL",IF(AND(EL115="EQH",OR(AV115=1,AV115=2)),"IEQH",""))</f>
        <v/>
      </c>
      <c r="FI115" s="2" t="str">
        <f aca="false">IF(AND(EM115="EQL",OR(AW115=4,AW115=5)),"IEQL",IF(AND(EM115="EQH",OR(AW115=1,AW115=2)),"IEQH",""))</f>
        <v/>
      </c>
      <c r="FJ115" s="2" t="str">
        <f aca="false">IF(AND(EN115="EQL",OR(AX115=4,AX115=5)),"IEQL",IF(AND(EN115="EQH",OR(AX115=1,AX115=2)),"IEQH",""))</f>
        <v/>
      </c>
      <c r="FK115" s="2" t="str">
        <f aca="false">IF(AND(EO115="EQL",OR(AY115=4,AY115=5)),"IEQL",IF(AND(EO115="EQH",OR(AY115=1,AY115=2)),"IEQH",""))</f>
        <v/>
      </c>
      <c r="FL115" s="2" t="str">
        <f aca="false">IF(AND(EP115="EQL",OR(AZ115=4,AZ115=5)),"IEQL",IF(AND(EP115="EQH",OR(AZ115=1,AZ115=2)),"IEQH",""))</f>
        <v/>
      </c>
      <c r="FM115" s="2" t="str">
        <f aca="false">IF(AND(EQ115="EQL",OR(BA115=4,BA115=5)),"IEQL",IF(AND(EQ115="EQH",OR(BA115=1,BA115=2)),"IEQH",""))</f>
        <v/>
      </c>
    </row>
    <row r="116" customFormat="false" ht="14.25" hidden="false" customHeight="false" outlineLevel="0" collapsed="false">
      <c r="A116" s="1" t="n">
        <v>1778697902</v>
      </c>
      <c r="B116" s="1" t="s">
        <v>169</v>
      </c>
      <c r="C116" s="1" t="s">
        <v>170</v>
      </c>
      <c r="D116" s="1" t="n">
        <v>4684.92</v>
      </c>
      <c r="E116" s="1" t="s">
        <v>171</v>
      </c>
      <c r="F116" s="1" t="n">
        <v>4677.64</v>
      </c>
      <c r="G116" s="2" t="n">
        <f aca="false">F114</f>
        <v>4669.65</v>
      </c>
      <c r="H116" s="2" t="n">
        <f aca="false">F112</f>
        <v>4685.97</v>
      </c>
      <c r="I116" s="2" t="n">
        <f aca="false">F110</f>
        <v>4687.6</v>
      </c>
      <c r="J116" s="2" t="n">
        <f aca="false">F108</f>
        <v>4638.57</v>
      </c>
      <c r="K116" s="2" t="n">
        <f aca="false">F106</f>
        <v>4685.14</v>
      </c>
      <c r="L116" s="2" t="n">
        <f aca="false">F104</f>
        <v>4687.49</v>
      </c>
      <c r="M116" s="2" t="n">
        <f aca="false">F102</f>
        <v>4707.97</v>
      </c>
      <c r="N116" s="2" t="n">
        <f aca="false">F100</f>
        <v>4647.85</v>
      </c>
      <c r="O116" s="2" t="n">
        <f aca="false">F98</f>
        <v>4670.56</v>
      </c>
      <c r="P116" s="2" t="n">
        <f aca="false">F96</f>
        <v>4702</v>
      </c>
      <c r="Q116" s="2" t="n">
        <f aca="false">F94</f>
        <v>4703</v>
      </c>
      <c r="R116" s="1" t="n">
        <v>-32.07</v>
      </c>
      <c r="S116" s="2" t="n">
        <f aca="false">R114</f>
        <v>-40.73</v>
      </c>
      <c r="T116" s="2" t="n">
        <f aca="false">R112</f>
        <v>-29.38</v>
      </c>
      <c r="U116" s="2" t="n">
        <f aca="false">R110</f>
        <v>-39.16</v>
      </c>
      <c r="V116" s="2" t="n">
        <f aca="false">R108</f>
        <v>-72.94</v>
      </c>
      <c r="W116" s="2" t="n">
        <f aca="false">R106</f>
        <v>-23.33</v>
      </c>
      <c r="X116" s="2" t="n">
        <f aca="false">R104</f>
        <v>-86.09</v>
      </c>
      <c r="Y116" s="2" t="n">
        <f aca="false">R102</f>
        <v>-40.47</v>
      </c>
      <c r="Z116" s="2" t="n">
        <f aca="false">R100</f>
        <v>-57.55</v>
      </c>
      <c r="AA116" s="2" t="n">
        <f aca="false">R98</f>
        <v>-58.39</v>
      </c>
      <c r="AB116" s="2" t="n">
        <f aca="false">R96</f>
        <v>-47.22</v>
      </c>
      <c r="AC116" s="2" t="n">
        <f aca="false">R94</f>
        <v>-24.88</v>
      </c>
      <c r="AD116" s="1" t="n">
        <v>-0.68</v>
      </c>
      <c r="AE116" s="2" t="n">
        <f aca="false">AD114</f>
        <v>-0.86</v>
      </c>
      <c r="AF116" s="2" t="n">
        <f aca="false">AD112</f>
        <v>-0.62</v>
      </c>
      <c r="AG116" s="2" t="n">
        <f aca="false">AD110</f>
        <v>-0.83</v>
      </c>
      <c r="AH116" s="2" t="n">
        <f aca="false">AD108</f>
        <v>-1.55</v>
      </c>
      <c r="AI116" s="2" t="n">
        <f aca="false">AD106</f>
        <v>-0.5</v>
      </c>
      <c r="AJ116" s="2" t="n">
        <f aca="false">AD104</f>
        <v>-1.8</v>
      </c>
      <c r="AK116" s="2" t="n">
        <f aca="false">AD102</f>
        <v>-0.85</v>
      </c>
      <c r="AL116" s="2" t="n">
        <f aca="false">AD100</f>
        <v>-1.22</v>
      </c>
      <c r="AM116" s="2" t="n">
        <f aca="false">AD98</f>
        <v>-1.23</v>
      </c>
      <c r="AN116" s="2" t="n">
        <f aca="false">AD96</f>
        <v>-0.99</v>
      </c>
      <c r="AO116" s="2" t="n">
        <f aca="false">AD94</f>
        <v>-0.53</v>
      </c>
      <c r="AP116" s="1" t="n">
        <v>3</v>
      </c>
      <c r="AQ116" s="2" t="n">
        <f aca="false">AP114</f>
        <v>3</v>
      </c>
      <c r="AR116" s="2" t="n">
        <f aca="false">AP112</f>
        <v>3</v>
      </c>
      <c r="AS116" s="2" t="n">
        <f aca="false">AP110</f>
        <v>3</v>
      </c>
      <c r="AT116" s="2" t="n">
        <f aca="false">AP108</f>
        <v>3</v>
      </c>
      <c r="AU116" s="2" t="n">
        <f aca="false">AP106</f>
        <v>3</v>
      </c>
      <c r="AV116" s="2" t="n">
        <f aca="false">AP104</f>
        <v>3</v>
      </c>
      <c r="AW116" s="2" t="n">
        <f aca="false">AP102</f>
        <v>3</v>
      </c>
      <c r="AX116" s="2" t="n">
        <f aca="false">AP100</f>
        <v>3</v>
      </c>
      <c r="AY116" s="2" t="n">
        <f aca="false">AP98</f>
        <v>3</v>
      </c>
      <c r="AZ116" s="2" t="n">
        <f aca="false">AP96</f>
        <v>3</v>
      </c>
      <c r="BA116" s="2" t="n">
        <f aca="false">AP94</f>
        <v>3</v>
      </c>
      <c r="BB116" s="1" t="n">
        <v>10</v>
      </c>
      <c r="BC116" s="2" t="n">
        <f aca="false">BB114</f>
        <v>15</v>
      </c>
      <c r="BD116" s="2" t="n">
        <f aca="false">BB112</f>
        <v>13</v>
      </c>
      <c r="BE116" s="2" t="n">
        <f aca="false">BB110</f>
        <v>11</v>
      </c>
      <c r="BF116" s="2" t="n">
        <f aca="false">BB108</f>
        <v>10</v>
      </c>
      <c r="BG116" s="2" t="n">
        <f aca="false">BB106</f>
        <v>2</v>
      </c>
      <c r="BH116" s="2" t="n">
        <f aca="false">BB104</f>
        <v>27</v>
      </c>
      <c r="BI116" s="2" t="n">
        <f aca="false">BB102</f>
        <v>11</v>
      </c>
      <c r="BJ116" s="2" t="n">
        <f aca="false">BB100</f>
        <v>18</v>
      </c>
      <c r="BK116" s="2" t="n">
        <f aca="false">BB98</f>
        <v>22</v>
      </c>
      <c r="BL116" s="2" t="n">
        <f aca="false">BB96</f>
        <v>7</v>
      </c>
      <c r="BM116" s="2" t="n">
        <f aca="false">BB94</f>
        <v>7</v>
      </c>
      <c r="BN116" s="1" t="n">
        <v>3</v>
      </c>
      <c r="BO116" s="2" t="n">
        <f aca="false">BN114</f>
        <v>3</v>
      </c>
      <c r="BP116" s="2" t="n">
        <f aca="false">BN112</f>
        <v>3</v>
      </c>
      <c r="BQ116" s="2" t="n">
        <f aca="false">BN110</f>
        <v>3</v>
      </c>
      <c r="BR116" s="2" t="n">
        <f aca="false">BN108</f>
        <v>3</v>
      </c>
      <c r="BS116" s="2" t="n">
        <f aca="false">BN106</f>
        <v>3</v>
      </c>
      <c r="BT116" s="2" t="n">
        <f aca="false">BN104</f>
        <v>3</v>
      </c>
      <c r="BU116" s="2" t="n">
        <f aca="false">BN102</f>
        <v>3</v>
      </c>
      <c r="BV116" s="2" t="n">
        <f aca="false">BN100</f>
        <v>3</v>
      </c>
      <c r="BW116" s="2" t="n">
        <f aca="false">BN98</f>
        <v>3</v>
      </c>
      <c r="BX116" s="2" t="n">
        <f aca="false">BN96</f>
        <v>3</v>
      </c>
      <c r="BY116" s="2" t="n">
        <f aca="false">BN94</f>
        <v>3</v>
      </c>
      <c r="BZ116" s="1" t="n">
        <v>-3.207</v>
      </c>
      <c r="CA116" s="2" t="n">
        <f aca="false">BZ114</f>
        <v>-2.71533</v>
      </c>
      <c r="CB116" s="2" t="n">
        <f aca="false">BZ112</f>
        <v>-2.26</v>
      </c>
      <c r="CC116" s="2" t="n">
        <f aca="false">BZ110</f>
        <v>-3.56</v>
      </c>
      <c r="CD116" s="2" t="n">
        <f aca="false">BZ108</f>
        <v>-7.294</v>
      </c>
      <c r="CE116" s="2" t="n">
        <f aca="false">BZ106</f>
        <v>-11.665</v>
      </c>
      <c r="CF116" s="2" t="n">
        <f aca="false">BZ104</f>
        <v>-3.18852</v>
      </c>
      <c r="CG116" s="2" t="n">
        <f aca="false">BZ102</f>
        <v>-3.67909</v>
      </c>
      <c r="CH116" s="2" t="n">
        <f aca="false">BZ100</f>
        <v>-3.19722</v>
      </c>
      <c r="CI116" s="2" t="n">
        <f aca="false">BZ98</f>
        <v>-2.65409</v>
      </c>
      <c r="CJ116" s="2" t="n">
        <f aca="false">BZ96</f>
        <v>-6.74571</v>
      </c>
      <c r="CK116" s="2" t="n">
        <f aca="false">BZ94</f>
        <v>-3.55429</v>
      </c>
      <c r="CL116" s="1" t="n">
        <v>3</v>
      </c>
      <c r="CM116" s="2" t="n">
        <f aca="false">CL114</f>
        <v>3</v>
      </c>
      <c r="CN116" s="2" t="n">
        <f aca="false">CL112</f>
        <v>3</v>
      </c>
      <c r="CO116" s="2" t="n">
        <f aca="false">CL110</f>
        <v>3</v>
      </c>
      <c r="CP116" s="2" t="n">
        <f aca="false">CL108</f>
        <v>3</v>
      </c>
      <c r="CQ116" s="2" t="n">
        <f aca="false">CL106</f>
        <v>4</v>
      </c>
      <c r="CR116" s="2" t="n">
        <f aca="false">CL104</f>
        <v>3</v>
      </c>
      <c r="CS116" s="2" t="n">
        <f aca="false">CL102</f>
        <v>3</v>
      </c>
      <c r="CT116" s="2" t="n">
        <f aca="false">CL100</f>
        <v>3</v>
      </c>
      <c r="CU116" s="2" t="n">
        <f aca="false">CL98</f>
        <v>3</v>
      </c>
      <c r="CV116" s="2" t="n">
        <f aca="false">CL96</f>
        <v>3</v>
      </c>
      <c r="CW116" s="2" t="n">
        <f aca="false">CL94</f>
        <v>3</v>
      </c>
      <c r="CX116" s="1" t="n">
        <v>-72.6816</v>
      </c>
      <c r="CY116" s="2" t="n">
        <f aca="false">CX114</f>
        <v>-69.7823</v>
      </c>
      <c r="CZ116" s="2" t="n">
        <f aca="false">CX112</f>
        <v>-66.1317</v>
      </c>
      <c r="DA116" s="2" t="n">
        <f aca="false">CX110</f>
        <v>-74.31</v>
      </c>
      <c r="DB116" s="2" t="n">
        <f aca="false">CX108</f>
        <v>-82.1935</v>
      </c>
      <c r="DC116" s="2" t="n">
        <f aca="false">CX106</f>
        <v>-85.1002</v>
      </c>
      <c r="DD116" s="2" t="n">
        <f aca="false">CX104</f>
        <v>-72.5873</v>
      </c>
      <c r="DE116" s="2" t="n">
        <f aca="false">CX102</f>
        <v>-74.794</v>
      </c>
      <c r="DF116" s="2" t="n">
        <f aca="false">CX100</f>
        <v>-72.6318</v>
      </c>
      <c r="DG116" s="2" t="n">
        <f aca="false">CX98</f>
        <v>-69.3548</v>
      </c>
      <c r="DH116" s="2" t="n">
        <f aca="false">CX96</f>
        <v>-81.5678</v>
      </c>
      <c r="DI116" s="2" t="n">
        <f aca="false">CX94</f>
        <v>-74.286</v>
      </c>
      <c r="DJ116" s="1" t="s">
        <v>175</v>
      </c>
      <c r="DK116" s="2" t="str">
        <f aca="false">DJ114</f>
        <v>LL</v>
      </c>
      <c r="DL116" s="2" t="str">
        <f aca="false">DJ112</f>
        <v>LL</v>
      </c>
      <c r="DM116" s="2" t="str">
        <f aca="false">DJ110</f>
        <v>HL</v>
      </c>
      <c r="DN116" s="2" t="str">
        <f aca="false">DJ108</f>
        <v>LL</v>
      </c>
      <c r="DO116" s="2" t="str">
        <f aca="false">DJ106</f>
        <v>LL</v>
      </c>
      <c r="DP116" s="2" t="str">
        <f aca="false">DJ104</f>
        <v>LL</v>
      </c>
      <c r="DQ116" s="2" t="str">
        <f aca="false">DJ102</f>
        <v>HL</v>
      </c>
      <c r="DR116" s="2" t="str">
        <f aca="false">DJ100</f>
        <v>LL</v>
      </c>
      <c r="DS116" s="2" t="str">
        <f aca="false">DJ98</f>
        <v>LL</v>
      </c>
      <c r="DT116" s="2" t="str">
        <f aca="false">DJ96</f>
        <v>LL</v>
      </c>
      <c r="DU116" s="2" t="str">
        <f aca="false">DJ94</f>
        <v>HL</v>
      </c>
      <c r="DV116" s="2" t="n">
        <f aca="false">IFERROR((G116-$F116)/$F116*100,"")</f>
        <v>-0.170812632011029</v>
      </c>
      <c r="DW116" s="2" t="n">
        <f aca="false">IFERROR((H116-$F116)/$F116*100,"")</f>
        <v>0.178081254649779</v>
      </c>
      <c r="DX116" s="2" t="n">
        <f aca="false">IFERROR((I116-$F116)/$F116*100,"")</f>
        <v>0.212927886712103</v>
      </c>
      <c r="DY116" s="2" t="n">
        <f aca="false">IFERROR((J116-$F116)/$F116*100,"")</f>
        <v>-0.835250254401806</v>
      </c>
      <c r="DZ116" s="2" t="n">
        <f aca="false">IFERROR((K116-$F116)/$F116*100,"")</f>
        <v>0.160337264090439</v>
      </c>
      <c r="EA116" s="2" t="n">
        <f aca="false">IFERROR((L116-$F116)/$F116*100,"")</f>
        <v>0.210576273505431</v>
      </c>
      <c r="EB116" s="2" t="n">
        <f aca="false">IFERROR((M116-$F116)/$F116*100,"")</f>
        <v>0.648403895981733</v>
      </c>
      <c r="EC116" s="2" t="n">
        <f aca="false">IFERROR((N116-$F116)/$F116*100,"")</f>
        <v>-0.636859612967222</v>
      </c>
      <c r="ED116" s="2" t="n">
        <f aca="false">IFERROR((O116-$F116)/$F116*100,"")</f>
        <v>-0.151358377301373</v>
      </c>
      <c r="EE116" s="2" t="n">
        <f aca="false">IFERROR((P116-$F116)/$F116*100,"")</f>
        <v>0.520775433765738</v>
      </c>
      <c r="EF116" s="2" t="n">
        <f aca="false">IFERROR((Q116-$F116)/$F116*100,"")</f>
        <v>0.542153735644463</v>
      </c>
      <c r="EG116" s="2" t="str">
        <f aca="false">IF(DV116="","",IF(AND(ABS(DV116)&lt;=0.25,$E116="Bottom",DK116="LL"),"EQL",IF(AND(ABS(DV116)&lt;=0.25,$E116="Peak",DK116="HH"),"EQH","")))</f>
        <v>EQL</v>
      </c>
      <c r="EH116" s="2" t="str">
        <f aca="false">IF(DW116="","",IF(AND(ABS(DW116)&lt;=0.25,$E116="Bottom",DL116="LL"),"EQL",IF(AND(ABS(DW116)&lt;=0.25,$E116="Peak",DL116="HH"),"EQH","")))</f>
        <v>EQL</v>
      </c>
      <c r="EI116" s="2" t="str">
        <f aca="false">IF(DX116="","",IF(AND(ABS(DX116)&lt;=0.25,$E116="Bottom",DM116="LL"),"EQL",IF(AND(ABS(DX116)&lt;=0.25,$E116="Peak",DM116="HH"),"EQH","")))</f>
        <v/>
      </c>
      <c r="EJ116" s="2" t="str">
        <f aca="false">IF(DY116="","",IF(AND(ABS(DY116)&lt;=0.25,$E116="Bottom",DN116="LL"),"EQL",IF(AND(ABS(DY116)&lt;=0.25,$E116="Peak",DN116="HH"),"EQH","")))</f>
        <v/>
      </c>
      <c r="EK116" s="2" t="str">
        <f aca="false">IF(DZ116="","",IF(AND(ABS(DZ116)&lt;=0.25,$E116="Bottom",DO116="LL"),"EQL",IF(AND(ABS(DZ116)&lt;=0.25,$E116="Peak",DO116="HH"),"EQH","")))</f>
        <v>EQL</v>
      </c>
      <c r="EL116" s="2" t="str">
        <f aca="false">IF(EA116="","",IF(AND(ABS(EA116)&lt;=0.25,$E116="Bottom",DP116="LL"),"EQL",IF(AND(ABS(EA116)&lt;=0.25,$E116="Peak",DP116="HH"),"EQH","")))</f>
        <v>EQL</v>
      </c>
      <c r="EM116" s="2" t="str">
        <f aca="false">IF(EB116="","",IF(AND(ABS(EB116)&lt;=0.25,$E116="Bottom",DQ116="LL"),"EQL",IF(AND(ABS(EB116)&lt;=0.25,$E116="Peak",DQ116="HH"),"EQH","")))</f>
        <v/>
      </c>
      <c r="EN116" s="2" t="str">
        <f aca="false">IF(EC116="","",IF(AND(ABS(EC116)&lt;=0.25,$E116="Bottom",DR116="LL"),"EQL",IF(AND(ABS(EC116)&lt;=0.25,$E116="Peak",DR116="HH"),"EQH","")))</f>
        <v/>
      </c>
      <c r="EO116" s="2" t="str">
        <f aca="false">IF(ED116="","",IF(AND(ABS(ED116)&lt;=0.25,$E116="Bottom",DS116="LL"),"EQL",IF(AND(ABS(ED116)&lt;=0.25,$E116="Peak",DS116="HH"),"EQH","")))</f>
        <v>EQL</v>
      </c>
      <c r="EP116" s="2" t="str">
        <f aca="false">IF(EE116="","",IF(AND(ABS(EE116)&lt;=0.25,$E116="Bottom",DT116="LL"),"EQL",IF(AND(ABS(EE116)&lt;=0.25,$E116="Peak",DT116="HH"),"EQH","")))</f>
        <v/>
      </c>
      <c r="EQ116" s="2" t="str">
        <f aca="false">IF(EF116="","",IF(AND(ABS(EF116)&lt;=0.25,$E116="Bottom",DU116="LL"),"EQL",IF(AND(ABS(EF116)&lt;=0.25,$E116="Peak",DU116="HH"),"EQH","")))</f>
        <v/>
      </c>
      <c r="ER116" s="2" t="n">
        <f aca="false">IF(OR(EG116="EQL",EG116="EQH"),G116,"")</f>
        <v>4669.65</v>
      </c>
      <c r="ES116" s="2" t="n">
        <f aca="false">IF(OR(EH116="EQL",EH116="EQH"),H116,"")</f>
        <v>4685.97</v>
      </c>
      <c r="ET116" s="2" t="str">
        <f aca="false">IF(OR(EI116="EQL",EI116="EQH"),I116,"")</f>
        <v/>
      </c>
      <c r="EU116" s="2" t="str">
        <f aca="false">IF(OR(EJ116="EQL",EJ116="EQH"),J116,"")</f>
        <v/>
      </c>
      <c r="EV116" s="2" t="n">
        <f aca="false">IF(OR(EK116="EQL",EK116="EQH"),K116,"")</f>
        <v>4685.14</v>
      </c>
      <c r="EW116" s="2" t="n">
        <f aca="false">IF(OR(EL116="EQL",EL116="EQH"),L116,"")</f>
        <v>4687.49</v>
      </c>
      <c r="EX116" s="2" t="str">
        <f aca="false">IF(OR(EM116="EQL",EM116="EQH"),M116,"")</f>
        <v/>
      </c>
      <c r="EY116" s="2" t="str">
        <f aca="false">IF(OR(EN116="EQL",EN116="EQH"),N116,"")</f>
        <v/>
      </c>
      <c r="EZ116" s="2" t="n">
        <f aca="false">IF(OR(EO116="EQL",EO116="EQH"),O116,"")</f>
        <v>4670.56</v>
      </c>
      <c r="FA116" s="2" t="str">
        <f aca="false">IF(OR(EP116="EQL",EP116="EQH"),P116,"")</f>
        <v/>
      </c>
      <c r="FB116" s="2" t="str">
        <f aca="false">IF(OR(EQ116="EQL",EQ116="EQH"),Q116,"")</f>
        <v/>
      </c>
      <c r="FC116" s="2" t="str">
        <f aca="false">IF(AND(EG116="EQL",OR(AQ116=4,AQ116=5)),"IEQL",IF(AND(EG116="EQH",OR(AQ116=1,AQ116=2)),"IEQH",""))</f>
        <v/>
      </c>
      <c r="FD116" s="2" t="str">
        <f aca="false">IF(AND(EH116="EQL",OR(AR116=4,AR116=5)),"IEQL",IF(AND(EH116="EQH",OR(AR116=1,AR116=2)),"IEQH",""))</f>
        <v/>
      </c>
      <c r="FE116" s="2" t="str">
        <f aca="false">IF(AND(EI116="EQL",OR(AS116=4,AS116=5)),"IEQL",IF(AND(EI116="EQH",OR(AS116=1,AS116=2)),"IEQH",""))</f>
        <v/>
      </c>
      <c r="FF116" s="2" t="str">
        <f aca="false">IF(AND(EJ116="EQL",OR(AT116=4,AT116=5)),"IEQL",IF(AND(EJ116="EQH",OR(AT116=1,AT116=2)),"IEQH",""))</f>
        <v/>
      </c>
      <c r="FG116" s="2" t="str">
        <f aca="false">IF(AND(EK116="EQL",OR(AU116=4,AU116=5)),"IEQL",IF(AND(EK116="EQH",OR(AU116=1,AU116=2)),"IEQH",""))</f>
        <v/>
      </c>
      <c r="FH116" s="2" t="str">
        <f aca="false">IF(AND(EL116="EQL",OR(AV116=4,AV116=5)),"IEQL",IF(AND(EL116="EQH",OR(AV116=1,AV116=2)),"IEQH",""))</f>
        <v/>
      </c>
      <c r="FI116" s="2" t="str">
        <f aca="false">IF(AND(EM116="EQL",OR(AW116=4,AW116=5)),"IEQL",IF(AND(EM116="EQH",OR(AW116=1,AW116=2)),"IEQH",""))</f>
        <v/>
      </c>
      <c r="FJ116" s="2" t="str">
        <f aca="false">IF(AND(EN116="EQL",OR(AX116=4,AX116=5)),"IEQL",IF(AND(EN116="EQH",OR(AX116=1,AX116=2)),"IEQH",""))</f>
        <v/>
      </c>
      <c r="FK116" s="2" t="str">
        <f aca="false">IF(AND(EO116="EQL",OR(AY116=4,AY116=5)),"IEQL",IF(AND(EO116="EQH",OR(AY116=1,AY116=2)),"IEQH",""))</f>
        <v/>
      </c>
      <c r="FL116" s="2" t="str">
        <f aca="false">IF(AND(EP116="EQL",OR(AZ116=4,AZ116=5)),"IEQL",IF(AND(EP116="EQH",OR(AZ116=1,AZ116=2)),"IEQH",""))</f>
        <v/>
      </c>
      <c r="FM116" s="2" t="str">
        <f aca="false">IF(AND(EQ116="EQL",OR(BA116=4,BA116=5)),"IEQL",IF(AND(EQ116="EQH",OR(BA116=1,BA116=2)),"IEQH",""))</f>
        <v/>
      </c>
    </row>
    <row r="117" customFormat="false" ht="14.25" hidden="false" customHeight="false" outlineLevel="0" collapsed="false">
      <c r="A117" s="1" t="n">
        <v>1778719502</v>
      </c>
      <c r="B117" s="1" t="s">
        <v>169</v>
      </c>
      <c r="C117" s="1" t="s">
        <v>170</v>
      </c>
      <c r="D117" s="1" t="n">
        <v>4704.98</v>
      </c>
      <c r="E117" s="1" t="s">
        <v>173</v>
      </c>
      <c r="F117" s="1" t="n">
        <v>4706.81</v>
      </c>
      <c r="G117" s="2" t="n">
        <f aca="false">F115</f>
        <v>4709.71</v>
      </c>
      <c r="H117" s="2" t="n">
        <f aca="false">F113</f>
        <v>4710.38</v>
      </c>
      <c r="I117" s="2" t="n">
        <f aca="false">F111</f>
        <v>4715.35</v>
      </c>
      <c r="J117" s="2" t="n">
        <f aca="false">F109</f>
        <v>4726.76</v>
      </c>
      <c r="K117" s="2" t="n">
        <f aca="false">F107</f>
        <v>4711.51</v>
      </c>
      <c r="L117" s="2" t="n">
        <f aca="false">F105</f>
        <v>4708.47</v>
      </c>
      <c r="M117" s="2" t="n">
        <f aca="false">F103</f>
        <v>4773.58</v>
      </c>
      <c r="N117" s="2" t="n">
        <f aca="false">F101</f>
        <v>4748.44</v>
      </c>
      <c r="O117" s="2" t="n">
        <f aca="false">F99</f>
        <v>4705.4</v>
      </c>
      <c r="P117" s="2" t="n">
        <f aca="false">F97</f>
        <v>4728.95</v>
      </c>
      <c r="Q117" s="2" t="n">
        <f aca="false">F95</f>
        <v>4749.22</v>
      </c>
      <c r="R117" s="1" t="n">
        <v>29.17</v>
      </c>
      <c r="S117" s="2" t="n">
        <f aca="false">R115</f>
        <v>40.06</v>
      </c>
      <c r="T117" s="2" t="n">
        <f aca="false">R113</f>
        <v>24.41</v>
      </c>
      <c r="U117" s="2" t="n">
        <f aca="false">R111</f>
        <v>27.75</v>
      </c>
      <c r="V117" s="2" t="n">
        <f aca="false">R109</f>
        <v>88.19</v>
      </c>
      <c r="W117" s="2" t="n">
        <f aca="false">R107</f>
        <v>26.37</v>
      </c>
      <c r="X117" s="2" t="n">
        <f aca="false">R105</f>
        <v>20.98</v>
      </c>
      <c r="Y117" s="2" t="n">
        <f aca="false">R103</f>
        <v>65.61</v>
      </c>
      <c r="Z117" s="2" t="n">
        <f aca="false">R101</f>
        <v>100.59</v>
      </c>
      <c r="AA117" s="2" t="n">
        <f aca="false">R99</f>
        <v>34.84</v>
      </c>
      <c r="AB117" s="2" t="n">
        <f aca="false">R97</f>
        <v>26.95</v>
      </c>
      <c r="AC117" s="2" t="n">
        <f aca="false">R95</f>
        <v>46.22</v>
      </c>
      <c r="AD117" s="1" t="n">
        <v>0.62</v>
      </c>
      <c r="AE117" s="2" t="n">
        <f aca="false">AD115</f>
        <v>0.86</v>
      </c>
      <c r="AF117" s="2" t="n">
        <f aca="false">AD113</f>
        <v>0.52</v>
      </c>
      <c r="AG117" s="2" t="n">
        <f aca="false">AD111</f>
        <v>0.59</v>
      </c>
      <c r="AH117" s="2" t="n">
        <f aca="false">AD109</f>
        <v>1.9</v>
      </c>
      <c r="AI117" s="2" t="n">
        <f aca="false">AD107</f>
        <v>0.56</v>
      </c>
      <c r="AJ117" s="2" t="n">
        <f aca="false">AD105</f>
        <v>0.45</v>
      </c>
      <c r="AK117" s="2" t="n">
        <f aca="false">AD103</f>
        <v>1.39</v>
      </c>
      <c r="AL117" s="2" t="n">
        <f aca="false">AD101</f>
        <v>2.16</v>
      </c>
      <c r="AM117" s="2" t="n">
        <f aca="false">AD99</f>
        <v>0.75</v>
      </c>
      <c r="AN117" s="2" t="n">
        <f aca="false">AD97</f>
        <v>0.57</v>
      </c>
      <c r="AO117" s="2" t="n">
        <f aca="false">AD95</f>
        <v>0.98</v>
      </c>
      <c r="AP117" s="1" t="n">
        <v>0</v>
      </c>
      <c r="AQ117" s="2" t="n">
        <f aca="false">AP115</f>
        <v>0</v>
      </c>
      <c r="AR117" s="2" t="n">
        <f aca="false">AP113</f>
        <v>0</v>
      </c>
      <c r="AS117" s="2" t="n">
        <f aca="false">AP111</f>
        <v>0</v>
      </c>
      <c r="AT117" s="2" t="n">
        <f aca="false">AP109</f>
        <v>0</v>
      </c>
      <c r="AU117" s="2" t="n">
        <f aca="false">AP107</f>
        <v>0</v>
      </c>
      <c r="AV117" s="2" t="n">
        <f aca="false">AP105</f>
        <v>0</v>
      </c>
      <c r="AW117" s="2" t="n">
        <f aca="false">AP103</f>
        <v>0</v>
      </c>
      <c r="AX117" s="2" t="n">
        <f aca="false">AP101</f>
        <v>1</v>
      </c>
      <c r="AY117" s="2" t="n">
        <f aca="false">AP99</f>
        <v>0</v>
      </c>
      <c r="AZ117" s="2" t="n">
        <f aca="false">AP97</f>
        <v>0</v>
      </c>
      <c r="BA117" s="2" t="n">
        <f aca="false">AP95</f>
        <v>0</v>
      </c>
      <c r="BB117" s="1" t="n">
        <v>20</v>
      </c>
      <c r="BC117" s="2" t="n">
        <f aca="false">BB115</f>
        <v>10</v>
      </c>
      <c r="BD117" s="2" t="n">
        <f aca="false">BB113</f>
        <v>2</v>
      </c>
      <c r="BE117" s="2" t="n">
        <f aca="false">BB111</f>
        <v>14</v>
      </c>
      <c r="BF117" s="2" t="n">
        <f aca="false">BB109</f>
        <v>31</v>
      </c>
      <c r="BG117" s="2" t="n">
        <f aca="false">BB107</f>
        <v>9</v>
      </c>
      <c r="BH117" s="2" t="n">
        <f aca="false">BB105</f>
        <v>12</v>
      </c>
      <c r="BI117" s="2" t="n">
        <f aca="false">BB103</f>
        <v>27</v>
      </c>
      <c r="BJ117" s="2" t="n">
        <f aca="false">BB101</f>
        <v>32</v>
      </c>
      <c r="BK117" s="2" t="n">
        <f aca="false">BB99</f>
        <v>2</v>
      </c>
      <c r="BL117" s="2" t="n">
        <f aca="false">BB97</f>
        <v>10</v>
      </c>
      <c r="BM117" s="2" t="n">
        <f aca="false">BB95</f>
        <v>7</v>
      </c>
      <c r="BN117" s="1" t="n">
        <v>0</v>
      </c>
      <c r="BO117" s="2" t="n">
        <f aca="false">BN115</f>
        <v>0</v>
      </c>
      <c r="BP117" s="2" t="n">
        <f aca="false">BN113</f>
        <v>0</v>
      </c>
      <c r="BQ117" s="2" t="n">
        <f aca="false">BN111</f>
        <v>0</v>
      </c>
      <c r="BR117" s="2" t="n">
        <f aca="false">BN109</f>
        <v>0</v>
      </c>
      <c r="BS117" s="2" t="n">
        <f aca="false">BN107</f>
        <v>0</v>
      </c>
      <c r="BT117" s="2" t="n">
        <f aca="false">BN105</f>
        <v>0</v>
      </c>
      <c r="BU117" s="2" t="n">
        <f aca="false">BN103</f>
        <v>0</v>
      </c>
      <c r="BV117" s="2" t="n">
        <f aca="false">BN101</f>
        <v>1</v>
      </c>
      <c r="BW117" s="2" t="n">
        <f aca="false">BN99</f>
        <v>0</v>
      </c>
      <c r="BX117" s="2" t="n">
        <f aca="false">BN97</f>
        <v>0</v>
      </c>
      <c r="BY117" s="2" t="n">
        <f aca="false">BN95</f>
        <v>0</v>
      </c>
      <c r="BZ117" s="1" t="n">
        <v>1.4585</v>
      </c>
      <c r="CA117" s="2" t="n">
        <f aca="false">BZ115</f>
        <v>4.006</v>
      </c>
      <c r="CB117" s="2" t="n">
        <f aca="false">BZ113</f>
        <v>12.205</v>
      </c>
      <c r="CC117" s="2" t="n">
        <f aca="false">BZ111</f>
        <v>1.98214</v>
      </c>
      <c r="CD117" s="2" t="n">
        <f aca="false">BZ109</f>
        <v>2.84484</v>
      </c>
      <c r="CE117" s="2" t="n">
        <f aca="false">BZ107</f>
        <v>2.93</v>
      </c>
      <c r="CF117" s="2" t="n">
        <f aca="false">BZ105</f>
        <v>1.74833</v>
      </c>
      <c r="CG117" s="2" t="n">
        <f aca="false">BZ103</f>
        <v>2.43</v>
      </c>
      <c r="CH117" s="2" t="n">
        <f aca="false">BZ101</f>
        <v>3.14344</v>
      </c>
      <c r="CI117" s="2" t="n">
        <f aca="false">BZ99</f>
        <v>17.42</v>
      </c>
      <c r="CJ117" s="2" t="n">
        <f aca="false">BZ97</f>
        <v>2.695</v>
      </c>
      <c r="CK117" s="2" t="n">
        <f aca="false">BZ95</f>
        <v>6.60286</v>
      </c>
      <c r="CL117" s="1" t="n">
        <v>0</v>
      </c>
      <c r="CM117" s="2" t="n">
        <f aca="false">CL115</f>
        <v>0</v>
      </c>
      <c r="CN117" s="2" t="n">
        <f aca="false">CL113</f>
        <v>1</v>
      </c>
      <c r="CO117" s="2" t="n">
        <f aca="false">CL111</f>
        <v>0</v>
      </c>
      <c r="CP117" s="2" t="n">
        <f aca="false">CL109</f>
        <v>0</v>
      </c>
      <c r="CQ117" s="2" t="n">
        <f aca="false">CL107</f>
        <v>0</v>
      </c>
      <c r="CR117" s="2" t="n">
        <f aca="false">CL105</f>
        <v>0</v>
      </c>
      <c r="CS117" s="2" t="n">
        <f aca="false">CL103</f>
        <v>0</v>
      </c>
      <c r="CT117" s="2" t="n">
        <f aca="false">CL101</f>
        <v>0</v>
      </c>
      <c r="CU117" s="2" t="n">
        <f aca="false">CL99</f>
        <v>2</v>
      </c>
      <c r="CV117" s="2" t="n">
        <f aca="false">CL97</f>
        <v>0</v>
      </c>
      <c r="CW117" s="2" t="n">
        <f aca="false">CL95</f>
        <v>0</v>
      </c>
      <c r="CX117" s="1" t="n">
        <v>55.5641</v>
      </c>
      <c r="CY117" s="2" t="n">
        <f aca="false">CX115</f>
        <v>75.984</v>
      </c>
      <c r="CZ117" s="2" t="n">
        <f aca="false">CX113</f>
        <v>85.316</v>
      </c>
      <c r="DA117" s="2" t="n">
        <f aca="false">CX111</f>
        <v>63.2288</v>
      </c>
      <c r="DB117" s="2" t="n">
        <f aca="false">CX109</f>
        <v>70.6327</v>
      </c>
      <c r="DC117" s="2" t="n">
        <f aca="false">CX107</f>
        <v>71.1554</v>
      </c>
      <c r="DD117" s="2" t="n">
        <f aca="false">CX105</f>
        <v>60.2316</v>
      </c>
      <c r="DE117" s="2" t="n">
        <f aca="false">CX103</f>
        <v>67.6317</v>
      </c>
      <c r="DF117" s="2" t="n">
        <f aca="false">CX101</f>
        <v>72.3529</v>
      </c>
      <c r="DG117" s="2" t="n">
        <f aca="false">CX99</f>
        <v>86.7145</v>
      </c>
      <c r="DH117" s="2" t="n">
        <f aca="false">CX97</f>
        <v>69.6422</v>
      </c>
      <c r="DI117" s="2" t="n">
        <f aca="false">CX95</f>
        <v>81.388</v>
      </c>
      <c r="DJ117" s="1" t="s">
        <v>174</v>
      </c>
      <c r="DK117" s="2" t="str">
        <f aca="false">DJ115</f>
        <v>LH</v>
      </c>
      <c r="DL117" s="2" t="str">
        <f aca="false">DJ113</f>
        <v>LH</v>
      </c>
      <c r="DM117" s="2" t="str">
        <f aca="false">DJ111</f>
        <v>LH</v>
      </c>
      <c r="DN117" s="2" t="str">
        <f aca="false">DJ109</f>
        <v>HH</v>
      </c>
      <c r="DO117" s="2" t="str">
        <f aca="false">DJ107</f>
        <v>HH</v>
      </c>
      <c r="DP117" s="2" t="str">
        <f aca="false">DJ105</f>
        <v>LH</v>
      </c>
      <c r="DQ117" s="2" t="str">
        <f aca="false">DJ103</f>
        <v>HH</v>
      </c>
      <c r="DR117" s="2" t="str">
        <f aca="false">DJ101</f>
        <v>HH</v>
      </c>
      <c r="DS117" s="2" t="str">
        <f aca="false">DJ99</f>
        <v>LH</v>
      </c>
      <c r="DT117" s="2" t="str">
        <f aca="false">DJ97</f>
        <v>LH</v>
      </c>
      <c r="DU117" s="2" t="str">
        <f aca="false">DJ95</f>
        <v>HH</v>
      </c>
      <c r="DV117" s="2" t="n">
        <f aca="false">IFERROR((G117-$F117)/$F117*100,"")</f>
        <v>0.0616128545660359</v>
      </c>
      <c r="DW117" s="2" t="n">
        <f aca="false">IFERROR((H117-$F117)/$F117*100,"")</f>
        <v>0.0758475485519855</v>
      </c>
      <c r="DX117" s="2" t="n">
        <f aca="false">IFERROR((I117-$F117)/$F117*100,"")</f>
        <v>0.181439233791038</v>
      </c>
      <c r="DY117" s="2" t="n">
        <f aca="false">IFERROR((J117-$F117)/$F117*100,"")</f>
        <v>0.423853947790538</v>
      </c>
      <c r="DZ117" s="2" t="n">
        <f aca="false">IFERROR((K117-$F117)/$F117*100,"")</f>
        <v>0.0998553160208255</v>
      </c>
      <c r="EA117" s="2" t="n">
        <f aca="false">IFERROR((L117-$F117)/$F117*100,"")</f>
        <v>0.0352680477860771</v>
      </c>
      <c r="EB117" s="2" t="n">
        <f aca="false">IFERROR((M117-$F117)/$F117*100,"")</f>
        <v>1.41858286185335</v>
      </c>
      <c r="EC117" s="2" t="n">
        <f aca="false">IFERROR((N117-$F117)/$F117*100,"")</f>
        <v>0.8844631502015</v>
      </c>
      <c r="ED117" s="2" t="n">
        <f aca="false">IFERROR((O117-$F117)/$F117*100,"")</f>
        <v>-0.029956594806265</v>
      </c>
      <c r="EE117" s="2" t="n">
        <f aca="false">IFERROR((P117-$F117)/$F117*100,"")</f>
        <v>0.470382275893852</v>
      </c>
      <c r="EF117" s="2" t="n">
        <f aca="false">IFERROR((Q117-$F117)/$F117*100,"")</f>
        <v>0.901034883498587</v>
      </c>
      <c r="EG117" s="2" t="str">
        <f aca="false">IF(DV117="","",IF(AND(ABS(DV117)&lt;=0.25,$E117="Bottom",DK117="LL"),"EQL",IF(AND(ABS(DV117)&lt;=0.25,$E117="Peak",DK117="HH"),"EQH","")))</f>
        <v/>
      </c>
      <c r="EH117" s="2" t="str">
        <f aca="false">IF(DW117="","",IF(AND(ABS(DW117)&lt;=0.25,$E117="Bottom",DL117="LL"),"EQL",IF(AND(ABS(DW117)&lt;=0.25,$E117="Peak",DL117="HH"),"EQH","")))</f>
        <v/>
      </c>
      <c r="EI117" s="2" t="str">
        <f aca="false">IF(DX117="","",IF(AND(ABS(DX117)&lt;=0.25,$E117="Bottom",DM117="LL"),"EQL",IF(AND(ABS(DX117)&lt;=0.25,$E117="Peak",DM117="HH"),"EQH","")))</f>
        <v/>
      </c>
      <c r="EJ117" s="2" t="str">
        <f aca="false">IF(DY117="","",IF(AND(ABS(DY117)&lt;=0.25,$E117="Bottom",DN117="LL"),"EQL",IF(AND(ABS(DY117)&lt;=0.25,$E117="Peak",DN117="HH"),"EQH","")))</f>
        <v/>
      </c>
      <c r="EK117" s="2" t="str">
        <f aca="false">IF(DZ117="","",IF(AND(ABS(DZ117)&lt;=0.25,$E117="Bottom",DO117="LL"),"EQL",IF(AND(ABS(DZ117)&lt;=0.25,$E117="Peak",DO117="HH"),"EQH","")))</f>
        <v>EQH</v>
      </c>
      <c r="EL117" s="2" t="str">
        <f aca="false">IF(EA117="","",IF(AND(ABS(EA117)&lt;=0.25,$E117="Bottom",DP117="LL"),"EQL",IF(AND(ABS(EA117)&lt;=0.25,$E117="Peak",DP117="HH"),"EQH","")))</f>
        <v/>
      </c>
      <c r="EM117" s="2" t="str">
        <f aca="false">IF(EB117="","",IF(AND(ABS(EB117)&lt;=0.25,$E117="Bottom",DQ117="LL"),"EQL",IF(AND(ABS(EB117)&lt;=0.25,$E117="Peak",DQ117="HH"),"EQH","")))</f>
        <v/>
      </c>
      <c r="EN117" s="2" t="str">
        <f aca="false">IF(EC117="","",IF(AND(ABS(EC117)&lt;=0.25,$E117="Bottom",DR117="LL"),"EQL",IF(AND(ABS(EC117)&lt;=0.25,$E117="Peak",DR117="HH"),"EQH","")))</f>
        <v/>
      </c>
      <c r="EO117" s="2" t="str">
        <f aca="false">IF(ED117="","",IF(AND(ABS(ED117)&lt;=0.25,$E117="Bottom",DS117="LL"),"EQL",IF(AND(ABS(ED117)&lt;=0.25,$E117="Peak",DS117="HH"),"EQH","")))</f>
        <v/>
      </c>
      <c r="EP117" s="2" t="str">
        <f aca="false">IF(EE117="","",IF(AND(ABS(EE117)&lt;=0.25,$E117="Bottom",DT117="LL"),"EQL",IF(AND(ABS(EE117)&lt;=0.25,$E117="Peak",DT117="HH"),"EQH","")))</f>
        <v/>
      </c>
      <c r="EQ117" s="2" t="str">
        <f aca="false">IF(EF117="","",IF(AND(ABS(EF117)&lt;=0.25,$E117="Bottom",DU117="LL"),"EQL",IF(AND(ABS(EF117)&lt;=0.25,$E117="Peak",DU117="HH"),"EQH","")))</f>
        <v/>
      </c>
      <c r="ER117" s="2" t="str">
        <f aca="false">IF(OR(EG117="EQL",EG117="EQH"),G117,"")</f>
        <v/>
      </c>
      <c r="ES117" s="2" t="str">
        <f aca="false">IF(OR(EH117="EQL",EH117="EQH"),H117,"")</f>
        <v/>
      </c>
      <c r="ET117" s="2" t="str">
        <f aca="false">IF(OR(EI117="EQL",EI117="EQH"),I117,"")</f>
        <v/>
      </c>
      <c r="EU117" s="2" t="str">
        <f aca="false">IF(OR(EJ117="EQL",EJ117="EQH"),J117,"")</f>
        <v/>
      </c>
      <c r="EV117" s="2" t="n">
        <f aca="false">IF(OR(EK117="EQL",EK117="EQH"),K117,"")</f>
        <v>4711.51</v>
      </c>
      <c r="EW117" s="2" t="str">
        <f aca="false">IF(OR(EL117="EQL",EL117="EQH"),L117,"")</f>
        <v/>
      </c>
      <c r="EX117" s="2" t="str">
        <f aca="false">IF(OR(EM117="EQL",EM117="EQH"),M117,"")</f>
        <v/>
      </c>
      <c r="EY117" s="2" t="str">
        <f aca="false">IF(OR(EN117="EQL",EN117="EQH"),N117,"")</f>
        <v/>
      </c>
      <c r="EZ117" s="2" t="str">
        <f aca="false">IF(OR(EO117="EQL",EO117="EQH"),O117,"")</f>
        <v/>
      </c>
      <c r="FA117" s="2" t="str">
        <f aca="false">IF(OR(EP117="EQL",EP117="EQH"),P117,"")</f>
        <v/>
      </c>
      <c r="FB117" s="2" t="str">
        <f aca="false">IF(OR(EQ117="EQL",EQ117="EQH"),Q117,"")</f>
        <v/>
      </c>
      <c r="FC117" s="2" t="str">
        <f aca="false">IF(AND(EG117="EQL",OR(AQ117=4,AQ117=5)),"IEQL",IF(AND(EG117="EQH",OR(AQ117=1,AQ117=2)),"IEQH",""))</f>
        <v/>
      </c>
      <c r="FD117" s="2" t="str">
        <f aca="false">IF(AND(EH117="EQL",OR(AR117=4,AR117=5)),"IEQL",IF(AND(EH117="EQH",OR(AR117=1,AR117=2)),"IEQH",""))</f>
        <v/>
      </c>
      <c r="FE117" s="2" t="str">
        <f aca="false">IF(AND(EI117="EQL",OR(AS117=4,AS117=5)),"IEQL",IF(AND(EI117="EQH",OR(AS117=1,AS117=2)),"IEQH",""))</f>
        <v/>
      </c>
      <c r="FF117" s="2" t="str">
        <f aca="false">IF(AND(EJ117="EQL",OR(AT117=4,AT117=5)),"IEQL",IF(AND(EJ117="EQH",OR(AT117=1,AT117=2)),"IEQH",""))</f>
        <v/>
      </c>
      <c r="FG117" s="2" t="str">
        <f aca="false">IF(AND(EK117="EQL",OR(AU117=4,AU117=5)),"IEQL",IF(AND(EK117="EQH",OR(AU117=1,AU117=2)),"IEQH",""))</f>
        <v/>
      </c>
      <c r="FH117" s="2" t="str">
        <f aca="false">IF(AND(EL117="EQL",OR(AV117=4,AV117=5)),"IEQL",IF(AND(EL117="EQH",OR(AV117=1,AV117=2)),"IEQH",""))</f>
        <v/>
      </c>
      <c r="FI117" s="2" t="str">
        <f aca="false">IF(AND(EM117="EQL",OR(AW117=4,AW117=5)),"IEQL",IF(AND(EM117="EQH",OR(AW117=1,AW117=2)),"IEQH",""))</f>
        <v/>
      </c>
      <c r="FJ117" s="2" t="str">
        <f aca="false">IF(AND(EN117="EQL",OR(AX117=4,AX117=5)),"IEQL",IF(AND(EN117="EQH",OR(AX117=1,AX117=2)),"IEQH",""))</f>
        <v/>
      </c>
      <c r="FK117" s="2" t="str">
        <f aca="false">IF(AND(EO117="EQL",OR(AY117=4,AY117=5)),"IEQL",IF(AND(EO117="EQH",OR(AY117=1,AY117=2)),"IEQH",""))</f>
        <v/>
      </c>
      <c r="FL117" s="2" t="str">
        <f aca="false">IF(AND(EP117="EQL",OR(AZ117=4,AZ117=5)),"IEQL",IF(AND(EP117="EQH",OR(AZ117=1,AZ117=2)),"IEQH",""))</f>
        <v/>
      </c>
      <c r="FM117" s="2" t="str">
        <f aca="false">IF(AND(EQ117="EQL",OR(BA117=4,BA117=5)),"IEQL",IF(AND(EQ117="EQH",OR(BA117=1,BA117=2)),"IEQH",""))</f>
        <v/>
      </c>
    </row>
    <row r="118" customFormat="false" ht="14.25" hidden="false" customHeight="false" outlineLevel="0" collapsed="false">
      <c r="A118" s="1" t="n">
        <v>1778731202</v>
      </c>
      <c r="B118" s="1" t="s">
        <v>169</v>
      </c>
      <c r="C118" s="1" t="s">
        <v>170</v>
      </c>
      <c r="D118" s="1" t="n">
        <v>4682.25</v>
      </c>
      <c r="E118" s="1" t="s">
        <v>171</v>
      </c>
      <c r="F118" s="1" t="n">
        <v>4668.77</v>
      </c>
      <c r="G118" s="2" t="n">
        <f aca="false">F116</f>
        <v>4677.64</v>
      </c>
      <c r="H118" s="2" t="n">
        <f aca="false">F114</f>
        <v>4669.65</v>
      </c>
      <c r="I118" s="2" t="n">
        <f aca="false">F112</f>
        <v>4685.97</v>
      </c>
      <c r="J118" s="2" t="n">
        <f aca="false">F110</f>
        <v>4687.6</v>
      </c>
      <c r="K118" s="2" t="n">
        <f aca="false">F108</f>
        <v>4638.57</v>
      </c>
      <c r="L118" s="2" t="n">
        <f aca="false">F106</f>
        <v>4685.14</v>
      </c>
      <c r="M118" s="2" t="n">
        <f aca="false">F104</f>
        <v>4687.49</v>
      </c>
      <c r="N118" s="2" t="n">
        <f aca="false">F102</f>
        <v>4707.97</v>
      </c>
      <c r="O118" s="2" t="n">
        <f aca="false">F100</f>
        <v>4647.85</v>
      </c>
      <c r="P118" s="2" t="n">
        <f aca="false">F98</f>
        <v>4670.56</v>
      </c>
      <c r="Q118" s="2" t="n">
        <f aca="false">F96</f>
        <v>4702</v>
      </c>
      <c r="R118" s="1" t="n">
        <v>-38.04</v>
      </c>
      <c r="S118" s="2" t="n">
        <f aca="false">R116</f>
        <v>-32.07</v>
      </c>
      <c r="T118" s="2" t="n">
        <f aca="false">R114</f>
        <v>-40.73</v>
      </c>
      <c r="U118" s="2" t="n">
        <f aca="false">R112</f>
        <v>-29.38</v>
      </c>
      <c r="V118" s="2" t="n">
        <f aca="false">R110</f>
        <v>-39.16</v>
      </c>
      <c r="W118" s="2" t="n">
        <f aca="false">R108</f>
        <v>-72.94</v>
      </c>
      <c r="X118" s="2" t="n">
        <f aca="false">R106</f>
        <v>-23.33</v>
      </c>
      <c r="Y118" s="2" t="n">
        <f aca="false">R104</f>
        <v>-86.09</v>
      </c>
      <c r="Z118" s="2" t="n">
        <f aca="false">R102</f>
        <v>-40.47</v>
      </c>
      <c r="AA118" s="2" t="n">
        <f aca="false">R100</f>
        <v>-57.55</v>
      </c>
      <c r="AB118" s="2" t="n">
        <f aca="false">R98</f>
        <v>-58.39</v>
      </c>
      <c r="AC118" s="2" t="n">
        <f aca="false">R96</f>
        <v>-47.22</v>
      </c>
      <c r="AD118" s="1" t="n">
        <v>-0.81</v>
      </c>
      <c r="AE118" s="2" t="n">
        <f aca="false">AD116</f>
        <v>-0.68</v>
      </c>
      <c r="AF118" s="2" t="n">
        <f aca="false">AD114</f>
        <v>-0.86</v>
      </c>
      <c r="AG118" s="2" t="n">
        <f aca="false">AD112</f>
        <v>-0.62</v>
      </c>
      <c r="AH118" s="2" t="n">
        <f aca="false">AD110</f>
        <v>-0.83</v>
      </c>
      <c r="AI118" s="2" t="n">
        <f aca="false">AD108</f>
        <v>-1.55</v>
      </c>
      <c r="AJ118" s="2" t="n">
        <f aca="false">AD106</f>
        <v>-0.5</v>
      </c>
      <c r="AK118" s="2" t="n">
        <f aca="false">AD104</f>
        <v>-1.8</v>
      </c>
      <c r="AL118" s="2" t="n">
        <f aca="false">AD102</f>
        <v>-0.85</v>
      </c>
      <c r="AM118" s="2" t="n">
        <f aca="false">AD100</f>
        <v>-1.22</v>
      </c>
      <c r="AN118" s="2" t="n">
        <f aca="false">AD98</f>
        <v>-1.23</v>
      </c>
      <c r="AO118" s="2" t="n">
        <f aca="false">AD96</f>
        <v>-0.99</v>
      </c>
      <c r="AP118" s="1" t="n">
        <v>3</v>
      </c>
      <c r="AQ118" s="2" t="n">
        <f aca="false">AP116</f>
        <v>3</v>
      </c>
      <c r="AR118" s="2" t="n">
        <f aca="false">AP114</f>
        <v>3</v>
      </c>
      <c r="AS118" s="2" t="n">
        <f aca="false">AP112</f>
        <v>3</v>
      </c>
      <c r="AT118" s="2" t="n">
        <f aca="false">AP110</f>
        <v>3</v>
      </c>
      <c r="AU118" s="2" t="n">
        <f aca="false">AP108</f>
        <v>3</v>
      </c>
      <c r="AV118" s="2" t="n">
        <f aca="false">AP106</f>
        <v>3</v>
      </c>
      <c r="AW118" s="2" t="n">
        <f aca="false">AP104</f>
        <v>3</v>
      </c>
      <c r="AX118" s="2" t="n">
        <f aca="false">AP102</f>
        <v>3</v>
      </c>
      <c r="AY118" s="2" t="n">
        <f aca="false">AP100</f>
        <v>3</v>
      </c>
      <c r="AZ118" s="2" t="n">
        <f aca="false">AP98</f>
        <v>3</v>
      </c>
      <c r="BA118" s="2" t="n">
        <f aca="false">AP96</f>
        <v>3</v>
      </c>
      <c r="BB118" s="1" t="n">
        <v>13</v>
      </c>
      <c r="BC118" s="2" t="n">
        <f aca="false">BB116</f>
        <v>10</v>
      </c>
      <c r="BD118" s="2" t="n">
        <f aca="false">BB114</f>
        <v>15</v>
      </c>
      <c r="BE118" s="2" t="n">
        <f aca="false">BB112</f>
        <v>13</v>
      </c>
      <c r="BF118" s="2" t="n">
        <f aca="false">BB110</f>
        <v>11</v>
      </c>
      <c r="BG118" s="2" t="n">
        <f aca="false">BB108</f>
        <v>10</v>
      </c>
      <c r="BH118" s="2" t="n">
        <f aca="false">BB106</f>
        <v>2</v>
      </c>
      <c r="BI118" s="2" t="n">
        <f aca="false">BB104</f>
        <v>27</v>
      </c>
      <c r="BJ118" s="2" t="n">
        <f aca="false">BB102</f>
        <v>11</v>
      </c>
      <c r="BK118" s="2" t="n">
        <f aca="false">BB100</f>
        <v>18</v>
      </c>
      <c r="BL118" s="2" t="n">
        <f aca="false">BB98</f>
        <v>22</v>
      </c>
      <c r="BM118" s="2" t="n">
        <f aca="false">BB96</f>
        <v>7</v>
      </c>
      <c r="BN118" s="1" t="n">
        <v>3</v>
      </c>
      <c r="BO118" s="2" t="n">
        <f aca="false">BN116</f>
        <v>3</v>
      </c>
      <c r="BP118" s="2" t="n">
        <f aca="false">BN114</f>
        <v>3</v>
      </c>
      <c r="BQ118" s="2" t="n">
        <f aca="false">BN112</f>
        <v>3</v>
      </c>
      <c r="BR118" s="2" t="n">
        <f aca="false">BN110</f>
        <v>3</v>
      </c>
      <c r="BS118" s="2" t="n">
        <f aca="false">BN108</f>
        <v>3</v>
      </c>
      <c r="BT118" s="2" t="n">
        <f aca="false">BN106</f>
        <v>3</v>
      </c>
      <c r="BU118" s="2" t="n">
        <f aca="false">BN104</f>
        <v>3</v>
      </c>
      <c r="BV118" s="2" t="n">
        <f aca="false">BN102</f>
        <v>3</v>
      </c>
      <c r="BW118" s="2" t="n">
        <f aca="false">BN100</f>
        <v>3</v>
      </c>
      <c r="BX118" s="2" t="n">
        <f aca="false">BN98</f>
        <v>3</v>
      </c>
      <c r="BY118" s="2" t="n">
        <f aca="false">BN96</f>
        <v>3</v>
      </c>
      <c r="BZ118" s="1" t="n">
        <v>-2.92615</v>
      </c>
      <c r="CA118" s="2" t="n">
        <f aca="false">BZ116</f>
        <v>-3.207</v>
      </c>
      <c r="CB118" s="2" t="n">
        <f aca="false">BZ114</f>
        <v>-2.71533</v>
      </c>
      <c r="CC118" s="2" t="n">
        <f aca="false">BZ112</f>
        <v>-2.26</v>
      </c>
      <c r="CD118" s="2" t="n">
        <f aca="false">BZ110</f>
        <v>-3.56</v>
      </c>
      <c r="CE118" s="2" t="n">
        <f aca="false">BZ108</f>
        <v>-7.294</v>
      </c>
      <c r="CF118" s="2" t="n">
        <f aca="false">BZ106</f>
        <v>-11.665</v>
      </c>
      <c r="CG118" s="2" t="n">
        <f aca="false">BZ104</f>
        <v>-3.18852</v>
      </c>
      <c r="CH118" s="2" t="n">
        <f aca="false">BZ102</f>
        <v>-3.67909</v>
      </c>
      <c r="CI118" s="2" t="n">
        <f aca="false">BZ100</f>
        <v>-3.19722</v>
      </c>
      <c r="CJ118" s="2" t="n">
        <f aca="false">BZ98</f>
        <v>-2.65409</v>
      </c>
      <c r="CK118" s="2" t="n">
        <f aca="false">BZ96</f>
        <v>-6.74571</v>
      </c>
      <c r="CL118" s="1" t="n">
        <v>3</v>
      </c>
      <c r="CM118" s="2" t="n">
        <f aca="false">CL116</f>
        <v>3</v>
      </c>
      <c r="CN118" s="2" t="n">
        <f aca="false">CL114</f>
        <v>3</v>
      </c>
      <c r="CO118" s="2" t="n">
        <f aca="false">CL112</f>
        <v>3</v>
      </c>
      <c r="CP118" s="2" t="n">
        <f aca="false">CL110</f>
        <v>3</v>
      </c>
      <c r="CQ118" s="2" t="n">
        <f aca="false">CL108</f>
        <v>3</v>
      </c>
      <c r="CR118" s="2" t="n">
        <f aca="false">CL106</f>
        <v>4</v>
      </c>
      <c r="CS118" s="2" t="n">
        <f aca="false">CL104</f>
        <v>3</v>
      </c>
      <c r="CT118" s="2" t="n">
        <f aca="false">CL102</f>
        <v>3</v>
      </c>
      <c r="CU118" s="2" t="n">
        <f aca="false">CL100</f>
        <v>3</v>
      </c>
      <c r="CV118" s="2" t="n">
        <f aca="false">CL98</f>
        <v>3</v>
      </c>
      <c r="CW118" s="2" t="n">
        <f aca="false">CL96</f>
        <v>3</v>
      </c>
      <c r="CX118" s="1" t="n">
        <v>-71.1324</v>
      </c>
      <c r="CY118" s="2" t="n">
        <f aca="false">CX116</f>
        <v>-72.6816</v>
      </c>
      <c r="CZ118" s="2" t="n">
        <f aca="false">CX114</f>
        <v>-69.7823</v>
      </c>
      <c r="DA118" s="2" t="n">
        <f aca="false">CX112</f>
        <v>-66.1317</v>
      </c>
      <c r="DB118" s="2" t="n">
        <f aca="false">CX110</f>
        <v>-74.31</v>
      </c>
      <c r="DC118" s="2" t="n">
        <f aca="false">CX108</f>
        <v>-82.1935</v>
      </c>
      <c r="DD118" s="2" t="n">
        <f aca="false">CX106</f>
        <v>-85.1002</v>
      </c>
      <c r="DE118" s="2" t="n">
        <f aca="false">CX104</f>
        <v>-72.5873</v>
      </c>
      <c r="DF118" s="2" t="n">
        <f aca="false">CX102</f>
        <v>-74.794</v>
      </c>
      <c r="DG118" s="2" t="n">
        <f aca="false">CX100</f>
        <v>-72.6318</v>
      </c>
      <c r="DH118" s="2" t="n">
        <f aca="false">CX98</f>
        <v>-69.3548</v>
      </c>
      <c r="DI118" s="2" t="n">
        <f aca="false">CX96</f>
        <v>-81.5678</v>
      </c>
      <c r="DJ118" s="1" t="s">
        <v>172</v>
      </c>
      <c r="DK118" s="2" t="str">
        <f aca="false">DJ116</f>
        <v>HL</v>
      </c>
      <c r="DL118" s="2" t="str">
        <f aca="false">DJ114</f>
        <v>LL</v>
      </c>
      <c r="DM118" s="2" t="str">
        <f aca="false">DJ112</f>
        <v>LL</v>
      </c>
      <c r="DN118" s="2" t="str">
        <f aca="false">DJ110</f>
        <v>HL</v>
      </c>
      <c r="DO118" s="2" t="str">
        <f aca="false">DJ108</f>
        <v>LL</v>
      </c>
      <c r="DP118" s="2" t="str">
        <f aca="false">DJ106</f>
        <v>LL</v>
      </c>
      <c r="DQ118" s="2" t="str">
        <f aca="false">DJ104</f>
        <v>LL</v>
      </c>
      <c r="DR118" s="2" t="str">
        <f aca="false">DJ102</f>
        <v>HL</v>
      </c>
      <c r="DS118" s="2" t="str">
        <f aca="false">DJ100</f>
        <v>LL</v>
      </c>
      <c r="DT118" s="2" t="str">
        <f aca="false">DJ98</f>
        <v>LL</v>
      </c>
      <c r="DU118" s="2" t="str">
        <f aca="false">DJ96</f>
        <v>LL</v>
      </c>
      <c r="DV118" s="2" t="n">
        <f aca="false">IFERROR((G118-$F118)/$F118*100,"")</f>
        <v>0.189985799257618</v>
      </c>
      <c r="DW118" s="2" t="n">
        <f aca="false">IFERROR((H118-$F118)/$F118*100,"")</f>
        <v>0.01884864750243</v>
      </c>
      <c r="DX118" s="2" t="n">
        <f aca="false">IFERROR((I118-$F118)/$F118*100,"")</f>
        <v>0.368405383002371</v>
      </c>
      <c r="DY118" s="2" t="n">
        <f aca="false">IFERROR((J118-$F118)/$F118*100,"")</f>
        <v>0.403318218717134</v>
      </c>
      <c r="DZ118" s="2" t="n">
        <f aca="false">IFERROR((K118-$F118)/$F118*100,"")</f>
        <v>-0.646851312015814</v>
      </c>
      <c r="EA118" s="2" t="n">
        <f aca="false">IFERROR((L118-$F118)/$F118*100,"")</f>
        <v>0.350627681380747</v>
      </c>
      <c r="EB118" s="2" t="n">
        <f aca="false">IFERROR((M118-$F118)/$F118*100,"")</f>
        <v>0.400962137779315</v>
      </c>
      <c r="EC118" s="2" t="n">
        <f aca="false">IFERROR((N118-$F118)/$F118*100,"")</f>
        <v>0.839621570563549</v>
      </c>
      <c r="ED118" s="2" t="n">
        <f aca="false">IFERROR((O118-$F118)/$F118*100,"")</f>
        <v>-0.448083756535449</v>
      </c>
      <c r="EE118" s="2" t="n">
        <f aca="false">IFERROR((P118-$F118)/$F118*100,"")</f>
        <v>0.038339862533386</v>
      </c>
      <c r="EF118" s="2" t="n">
        <f aca="false">IFERROR((Q118-$F118)/$F118*100,"")</f>
        <v>0.711750632393533</v>
      </c>
      <c r="EG118" s="2" t="str">
        <f aca="false">IF(DV118="","",IF(AND(ABS(DV118)&lt;=0.25,$E118="Bottom",DK118="LL"),"EQL",IF(AND(ABS(DV118)&lt;=0.25,$E118="Peak",DK118="HH"),"EQH","")))</f>
        <v/>
      </c>
      <c r="EH118" s="2" t="str">
        <f aca="false">IF(DW118="","",IF(AND(ABS(DW118)&lt;=0.25,$E118="Bottom",DL118="LL"),"EQL",IF(AND(ABS(DW118)&lt;=0.25,$E118="Peak",DL118="HH"),"EQH","")))</f>
        <v>EQL</v>
      </c>
      <c r="EI118" s="2" t="str">
        <f aca="false">IF(DX118="","",IF(AND(ABS(DX118)&lt;=0.25,$E118="Bottom",DM118="LL"),"EQL",IF(AND(ABS(DX118)&lt;=0.25,$E118="Peak",DM118="HH"),"EQH","")))</f>
        <v/>
      </c>
      <c r="EJ118" s="2" t="str">
        <f aca="false">IF(DY118="","",IF(AND(ABS(DY118)&lt;=0.25,$E118="Bottom",DN118="LL"),"EQL",IF(AND(ABS(DY118)&lt;=0.25,$E118="Peak",DN118="HH"),"EQH","")))</f>
        <v/>
      </c>
      <c r="EK118" s="2" t="str">
        <f aca="false">IF(DZ118="","",IF(AND(ABS(DZ118)&lt;=0.25,$E118="Bottom",DO118="LL"),"EQL",IF(AND(ABS(DZ118)&lt;=0.25,$E118="Peak",DO118="HH"),"EQH","")))</f>
        <v/>
      </c>
      <c r="EL118" s="2" t="str">
        <f aca="false">IF(EA118="","",IF(AND(ABS(EA118)&lt;=0.25,$E118="Bottom",DP118="LL"),"EQL",IF(AND(ABS(EA118)&lt;=0.25,$E118="Peak",DP118="HH"),"EQH","")))</f>
        <v/>
      </c>
      <c r="EM118" s="2" t="str">
        <f aca="false">IF(EB118="","",IF(AND(ABS(EB118)&lt;=0.25,$E118="Bottom",DQ118="LL"),"EQL",IF(AND(ABS(EB118)&lt;=0.25,$E118="Peak",DQ118="HH"),"EQH","")))</f>
        <v/>
      </c>
      <c r="EN118" s="2" t="str">
        <f aca="false">IF(EC118="","",IF(AND(ABS(EC118)&lt;=0.25,$E118="Bottom",DR118="LL"),"EQL",IF(AND(ABS(EC118)&lt;=0.25,$E118="Peak",DR118="HH"),"EQH","")))</f>
        <v/>
      </c>
      <c r="EO118" s="2" t="str">
        <f aca="false">IF(ED118="","",IF(AND(ABS(ED118)&lt;=0.25,$E118="Bottom",DS118="LL"),"EQL",IF(AND(ABS(ED118)&lt;=0.25,$E118="Peak",DS118="HH"),"EQH","")))</f>
        <v/>
      </c>
      <c r="EP118" s="2" t="str">
        <f aca="false">IF(EE118="","",IF(AND(ABS(EE118)&lt;=0.25,$E118="Bottom",DT118="LL"),"EQL",IF(AND(ABS(EE118)&lt;=0.25,$E118="Peak",DT118="HH"),"EQH","")))</f>
        <v>EQL</v>
      </c>
      <c r="EQ118" s="2" t="str">
        <f aca="false">IF(EF118="","",IF(AND(ABS(EF118)&lt;=0.25,$E118="Bottom",DU118="LL"),"EQL",IF(AND(ABS(EF118)&lt;=0.25,$E118="Peak",DU118="HH"),"EQH","")))</f>
        <v/>
      </c>
      <c r="ER118" s="2" t="str">
        <f aca="false">IF(OR(EG118="EQL",EG118="EQH"),G118,"")</f>
        <v/>
      </c>
      <c r="ES118" s="2" t="n">
        <f aca="false">IF(OR(EH118="EQL",EH118="EQH"),H118,"")</f>
        <v>4669.65</v>
      </c>
      <c r="ET118" s="2" t="str">
        <f aca="false">IF(OR(EI118="EQL",EI118="EQH"),I118,"")</f>
        <v/>
      </c>
      <c r="EU118" s="2" t="str">
        <f aca="false">IF(OR(EJ118="EQL",EJ118="EQH"),J118,"")</f>
        <v/>
      </c>
      <c r="EV118" s="2" t="str">
        <f aca="false">IF(OR(EK118="EQL",EK118="EQH"),K118,"")</f>
        <v/>
      </c>
      <c r="EW118" s="2" t="str">
        <f aca="false">IF(OR(EL118="EQL",EL118="EQH"),L118,"")</f>
        <v/>
      </c>
      <c r="EX118" s="2" t="str">
        <f aca="false">IF(OR(EM118="EQL",EM118="EQH"),M118,"")</f>
        <v/>
      </c>
      <c r="EY118" s="2" t="str">
        <f aca="false">IF(OR(EN118="EQL",EN118="EQH"),N118,"")</f>
        <v/>
      </c>
      <c r="EZ118" s="2" t="str">
        <f aca="false">IF(OR(EO118="EQL",EO118="EQH"),O118,"")</f>
        <v/>
      </c>
      <c r="FA118" s="2" t="n">
        <f aca="false">IF(OR(EP118="EQL",EP118="EQH"),P118,"")</f>
        <v>4670.56</v>
      </c>
      <c r="FB118" s="2" t="str">
        <f aca="false">IF(OR(EQ118="EQL",EQ118="EQH"),Q118,"")</f>
        <v/>
      </c>
      <c r="FC118" s="2" t="str">
        <f aca="false">IF(AND(EG118="EQL",OR(AQ118=4,AQ118=5)),"IEQL",IF(AND(EG118="EQH",OR(AQ118=1,AQ118=2)),"IEQH",""))</f>
        <v/>
      </c>
      <c r="FD118" s="2" t="str">
        <f aca="false">IF(AND(EH118="EQL",OR(AR118=4,AR118=5)),"IEQL",IF(AND(EH118="EQH",OR(AR118=1,AR118=2)),"IEQH",""))</f>
        <v/>
      </c>
      <c r="FE118" s="2" t="str">
        <f aca="false">IF(AND(EI118="EQL",OR(AS118=4,AS118=5)),"IEQL",IF(AND(EI118="EQH",OR(AS118=1,AS118=2)),"IEQH",""))</f>
        <v/>
      </c>
      <c r="FF118" s="2" t="str">
        <f aca="false">IF(AND(EJ118="EQL",OR(AT118=4,AT118=5)),"IEQL",IF(AND(EJ118="EQH",OR(AT118=1,AT118=2)),"IEQH",""))</f>
        <v/>
      </c>
      <c r="FG118" s="2" t="str">
        <f aca="false">IF(AND(EK118="EQL",OR(AU118=4,AU118=5)),"IEQL",IF(AND(EK118="EQH",OR(AU118=1,AU118=2)),"IEQH",""))</f>
        <v/>
      </c>
      <c r="FH118" s="2" t="str">
        <f aca="false">IF(AND(EL118="EQL",OR(AV118=4,AV118=5)),"IEQL",IF(AND(EL118="EQH",OR(AV118=1,AV118=2)),"IEQH",""))</f>
        <v/>
      </c>
      <c r="FI118" s="2" t="str">
        <f aca="false">IF(AND(EM118="EQL",OR(AW118=4,AW118=5)),"IEQL",IF(AND(EM118="EQH",OR(AW118=1,AW118=2)),"IEQH",""))</f>
        <v/>
      </c>
      <c r="FJ118" s="2" t="str">
        <f aca="false">IF(AND(EN118="EQL",OR(AX118=4,AX118=5)),"IEQL",IF(AND(EN118="EQH",OR(AX118=1,AX118=2)),"IEQH",""))</f>
        <v/>
      </c>
      <c r="FK118" s="2" t="str">
        <f aca="false">IF(AND(EO118="EQL",OR(AY118=4,AY118=5)),"IEQL",IF(AND(EO118="EQH",OR(AY118=1,AY118=2)),"IEQH",""))</f>
        <v/>
      </c>
      <c r="FL118" s="2" t="str">
        <f aca="false">IF(AND(EP118="EQL",OR(AZ118=4,AZ118=5)),"IEQL",IF(AND(EP118="EQH",OR(AZ118=1,AZ118=2)),"IEQH",""))</f>
        <v/>
      </c>
      <c r="FM118" s="2" t="str">
        <f aca="false">IF(AND(EQ118="EQL",OR(BA118=4,BA118=5)),"IEQL",IF(AND(EQ118="EQH",OR(BA118=1,BA118=2)),"IEQH",""))</f>
        <v/>
      </c>
    </row>
    <row r="119" customFormat="false" ht="14.25" hidden="false" customHeight="false" outlineLevel="0" collapsed="false">
      <c r="A119" s="1" t="n">
        <v>1778743802</v>
      </c>
      <c r="B119" s="1" t="s">
        <v>169</v>
      </c>
      <c r="C119" s="1" t="s">
        <v>170</v>
      </c>
      <c r="D119" s="1" t="n">
        <v>4709.19</v>
      </c>
      <c r="E119" s="1" t="s">
        <v>173</v>
      </c>
      <c r="F119" s="1" t="n">
        <v>4718.75</v>
      </c>
      <c r="G119" s="2" t="n">
        <f aca="false">F117</f>
        <v>4706.81</v>
      </c>
      <c r="H119" s="2" t="n">
        <f aca="false">F115</f>
        <v>4709.71</v>
      </c>
      <c r="I119" s="2" t="n">
        <f aca="false">F113</f>
        <v>4710.38</v>
      </c>
      <c r="J119" s="2" t="n">
        <f aca="false">F111</f>
        <v>4715.35</v>
      </c>
      <c r="K119" s="2" t="n">
        <f aca="false">F109</f>
        <v>4726.76</v>
      </c>
      <c r="L119" s="2" t="n">
        <f aca="false">F107</f>
        <v>4711.51</v>
      </c>
      <c r="M119" s="2" t="n">
        <f aca="false">F105</f>
        <v>4708.47</v>
      </c>
      <c r="N119" s="2" t="n">
        <f aca="false">F103</f>
        <v>4773.58</v>
      </c>
      <c r="O119" s="2" t="n">
        <f aca="false">F101</f>
        <v>4748.44</v>
      </c>
      <c r="P119" s="2" t="n">
        <f aca="false">F99</f>
        <v>4705.4</v>
      </c>
      <c r="Q119" s="2" t="n">
        <f aca="false">F97</f>
        <v>4728.95</v>
      </c>
      <c r="R119" s="1" t="n">
        <v>49.98</v>
      </c>
      <c r="S119" s="2" t="n">
        <f aca="false">R117</f>
        <v>29.17</v>
      </c>
      <c r="T119" s="2" t="n">
        <f aca="false">R115</f>
        <v>40.06</v>
      </c>
      <c r="U119" s="2" t="n">
        <f aca="false">R113</f>
        <v>24.41</v>
      </c>
      <c r="V119" s="2" t="n">
        <f aca="false">R111</f>
        <v>27.75</v>
      </c>
      <c r="W119" s="2" t="n">
        <f aca="false">R109</f>
        <v>88.19</v>
      </c>
      <c r="X119" s="2" t="n">
        <f aca="false">R107</f>
        <v>26.37</v>
      </c>
      <c r="Y119" s="2" t="n">
        <f aca="false">R105</f>
        <v>20.98</v>
      </c>
      <c r="Z119" s="2" t="n">
        <f aca="false">R103</f>
        <v>65.61</v>
      </c>
      <c r="AA119" s="2" t="n">
        <f aca="false">R101</f>
        <v>100.59</v>
      </c>
      <c r="AB119" s="2" t="n">
        <f aca="false">R99</f>
        <v>34.84</v>
      </c>
      <c r="AC119" s="2" t="n">
        <f aca="false">R97</f>
        <v>26.95</v>
      </c>
      <c r="AD119" s="1" t="n">
        <v>1.07</v>
      </c>
      <c r="AE119" s="2" t="n">
        <f aca="false">AD117</f>
        <v>0.62</v>
      </c>
      <c r="AF119" s="2" t="n">
        <f aca="false">AD115</f>
        <v>0.86</v>
      </c>
      <c r="AG119" s="2" t="n">
        <f aca="false">AD113</f>
        <v>0.52</v>
      </c>
      <c r="AH119" s="2" t="n">
        <f aca="false">AD111</f>
        <v>0.59</v>
      </c>
      <c r="AI119" s="2" t="n">
        <f aca="false">AD109</f>
        <v>1.9</v>
      </c>
      <c r="AJ119" s="2" t="n">
        <f aca="false">AD107</f>
        <v>0.56</v>
      </c>
      <c r="AK119" s="2" t="n">
        <f aca="false">AD105</f>
        <v>0.45</v>
      </c>
      <c r="AL119" s="2" t="n">
        <f aca="false">AD103</f>
        <v>1.39</v>
      </c>
      <c r="AM119" s="2" t="n">
        <f aca="false">AD101</f>
        <v>2.16</v>
      </c>
      <c r="AN119" s="2" t="n">
        <f aca="false">AD99</f>
        <v>0.75</v>
      </c>
      <c r="AO119" s="2" t="n">
        <f aca="false">AD97</f>
        <v>0.57</v>
      </c>
      <c r="AP119" s="1" t="n">
        <v>0</v>
      </c>
      <c r="AQ119" s="2" t="n">
        <f aca="false">AP117</f>
        <v>0</v>
      </c>
      <c r="AR119" s="2" t="n">
        <f aca="false">AP115</f>
        <v>0</v>
      </c>
      <c r="AS119" s="2" t="n">
        <f aca="false">AP113</f>
        <v>0</v>
      </c>
      <c r="AT119" s="2" t="n">
        <f aca="false">AP111</f>
        <v>0</v>
      </c>
      <c r="AU119" s="2" t="n">
        <f aca="false">AP109</f>
        <v>0</v>
      </c>
      <c r="AV119" s="2" t="n">
        <f aca="false">AP107</f>
        <v>0</v>
      </c>
      <c r="AW119" s="2" t="n">
        <f aca="false">AP105</f>
        <v>0</v>
      </c>
      <c r="AX119" s="2" t="n">
        <f aca="false">AP103</f>
        <v>0</v>
      </c>
      <c r="AY119" s="2" t="n">
        <f aca="false">AP101</f>
        <v>1</v>
      </c>
      <c r="AZ119" s="2" t="n">
        <f aca="false">AP99</f>
        <v>0</v>
      </c>
      <c r="BA119" s="2" t="n">
        <f aca="false">AP97</f>
        <v>0</v>
      </c>
      <c r="BB119" s="1" t="n">
        <v>14</v>
      </c>
      <c r="BC119" s="2" t="n">
        <f aca="false">BB117</f>
        <v>20</v>
      </c>
      <c r="BD119" s="2" t="n">
        <f aca="false">BB115</f>
        <v>10</v>
      </c>
      <c r="BE119" s="2" t="n">
        <f aca="false">BB113</f>
        <v>2</v>
      </c>
      <c r="BF119" s="2" t="n">
        <f aca="false">BB111</f>
        <v>14</v>
      </c>
      <c r="BG119" s="2" t="n">
        <f aca="false">BB109</f>
        <v>31</v>
      </c>
      <c r="BH119" s="2" t="n">
        <f aca="false">BB107</f>
        <v>9</v>
      </c>
      <c r="BI119" s="2" t="n">
        <f aca="false">BB105</f>
        <v>12</v>
      </c>
      <c r="BJ119" s="2" t="n">
        <f aca="false">BB103</f>
        <v>27</v>
      </c>
      <c r="BK119" s="2" t="n">
        <f aca="false">BB101</f>
        <v>32</v>
      </c>
      <c r="BL119" s="2" t="n">
        <f aca="false">BB99</f>
        <v>2</v>
      </c>
      <c r="BM119" s="2" t="n">
        <f aca="false">BB97</f>
        <v>10</v>
      </c>
      <c r="BN119" s="1" t="n">
        <v>0</v>
      </c>
      <c r="BO119" s="2" t="n">
        <f aca="false">BN117</f>
        <v>0</v>
      </c>
      <c r="BP119" s="2" t="n">
        <f aca="false">BN115</f>
        <v>0</v>
      </c>
      <c r="BQ119" s="2" t="n">
        <f aca="false">BN113</f>
        <v>0</v>
      </c>
      <c r="BR119" s="2" t="n">
        <f aca="false">BN111</f>
        <v>0</v>
      </c>
      <c r="BS119" s="2" t="n">
        <f aca="false">BN109</f>
        <v>0</v>
      </c>
      <c r="BT119" s="2" t="n">
        <f aca="false">BN107</f>
        <v>0</v>
      </c>
      <c r="BU119" s="2" t="n">
        <f aca="false">BN105</f>
        <v>0</v>
      </c>
      <c r="BV119" s="2" t="n">
        <f aca="false">BN103</f>
        <v>0</v>
      </c>
      <c r="BW119" s="2" t="n">
        <f aca="false">BN101</f>
        <v>1</v>
      </c>
      <c r="BX119" s="2" t="n">
        <f aca="false">BN99</f>
        <v>0</v>
      </c>
      <c r="BY119" s="2" t="n">
        <f aca="false">BN97</f>
        <v>0</v>
      </c>
      <c r="BZ119" s="1" t="n">
        <v>3.57</v>
      </c>
      <c r="CA119" s="2" t="n">
        <f aca="false">BZ117</f>
        <v>1.4585</v>
      </c>
      <c r="CB119" s="2" t="n">
        <f aca="false">BZ115</f>
        <v>4.006</v>
      </c>
      <c r="CC119" s="2" t="n">
        <f aca="false">BZ113</f>
        <v>12.205</v>
      </c>
      <c r="CD119" s="2" t="n">
        <f aca="false">BZ111</f>
        <v>1.98214</v>
      </c>
      <c r="CE119" s="2" t="n">
        <f aca="false">BZ109</f>
        <v>2.84484</v>
      </c>
      <c r="CF119" s="2" t="n">
        <f aca="false">BZ107</f>
        <v>2.93</v>
      </c>
      <c r="CG119" s="2" t="n">
        <f aca="false">BZ105</f>
        <v>1.74833</v>
      </c>
      <c r="CH119" s="2" t="n">
        <f aca="false">BZ103</f>
        <v>2.43</v>
      </c>
      <c r="CI119" s="2" t="n">
        <f aca="false">BZ101</f>
        <v>3.14344</v>
      </c>
      <c r="CJ119" s="2" t="n">
        <f aca="false">BZ99</f>
        <v>17.42</v>
      </c>
      <c r="CK119" s="2" t="n">
        <f aca="false">BZ97</f>
        <v>2.695</v>
      </c>
      <c r="CL119" s="1" t="n">
        <v>0</v>
      </c>
      <c r="CM119" s="2" t="n">
        <f aca="false">CL117</f>
        <v>0</v>
      </c>
      <c r="CN119" s="2" t="n">
        <f aca="false">CL115</f>
        <v>0</v>
      </c>
      <c r="CO119" s="2" t="n">
        <f aca="false">CL113</f>
        <v>1</v>
      </c>
      <c r="CP119" s="2" t="n">
        <f aca="false">CL111</f>
        <v>0</v>
      </c>
      <c r="CQ119" s="2" t="n">
        <f aca="false">CL109</f>
        <v>0</v>
      </c>
      <c r="CR119" s="2" t="n">
        <f aca="false">CL107</f>
        <v>0</v>
      </c>
      <c r="CS119" s="2" t="n">
        <f aca="false">CL105</f>
        <v>0</v>
      </c>
      <c r="CT119" s="2" t="n">
        <f aca="false">CL103</f>
        <v>0</v>
      </c>
      <c r="CU119" s="2" t="n">
        <f aca="false">CL101</f>
        <v>0</v>
      </c>
      <c r="CV119" s="2" t="n">
        <f aca="false">CL99</f>
        <v>2</v>
      </c>
      <c r="CW119" s="2" t="n">
        <f aca="false">CL97</f>
        <v>0</v>
      </c>
      <c r="CX119" s="1" t="n">
        <v>74.3518</v>
      </c>
      <c r="CY119" s="2" t="n">
        <f aca="false">CX117</f>
        <v>55.5641</v>
      </c>
      <c r="CZ119" s="2" t="n">
        <f aca="false">CX115</f>
        <v>75.984</v>
      </c>
      <c r="DA119" s="2" t="n">
        <f aca="false">CX113</f>
        <v>85.316</v>
      </c>
      <c r="DB119" s="2" t="n">
        <f aca="false">CX111</f>
        <v>63.2288</v>
      </c>
      <c r="DC119" s="2" t="n">
        <f aca="false">CX109</f>
        <v>70.6327</v>
      </c>
      <c r="DD119" s="2" t="n">
        <f aca="false">CX107</f>
        <v>71.1554</v>
      </c>
      <c r="DE119" s="2" t="n">
        <f aca="false">CX105</f>
        <v>60.2316</v>
      </c>
      <c r="DF119" s="2" t="n">
        <f aca="false">CX103</f>
        <v>67.6317</v>
      </c>
      <c r="DG119" s="2" t="n">
        <f aca="false">CX101</f>
        <v>72.3529</v>
      </c>
      <c r="DH119" s="2" t="n">
        <f aca="false">CX99</f>
        <v>86.7145</v>
      </c>
      <c r="DI119" s="2" t="n">
        <f aca="false">CX97</f>
        <v>69.6422</v>
      </c>
      <c r="DJ119" s="1" t="s">
        <v>176</v>
      </c>
      <c r="DK119" s="2" t="str">
        <f aca="false">DJ117</f>
        <v>LH</v>
      </c>
      <c r="DL119" s="2" t="str">
        <f aca="false">DJ115</f>
        <v>LH</v>
      </c>
      <c r="DM119" s="2" t="str">
        <f aca="false">DJ113</f>
        <v>LH</v>
      </c>
      <c r="DN119" s="2" t="str">
        <f aca="false">DJ111</f>
        <v>LH</v>
      </c>
      <c r="DO119" s="2" t="str">
        <f aca="false">DJ109</f>
        <v>HH</v>
      </c>
      <c r="DP119" s="2" t="str">
        <f aca="false">DJ107</f>
        <v>HH</v>
      </c>
      <c r="DQ119" s="2" t="str">
        <f aca="false">DJ105</f>
        <v>LH</v>
      </c>
      <c r="DR119" s="2" t="str">
        <f aca="false">DJ103</f>
        <v>HH</v>
      </c>
      <c r="DS119" s="2" t="str">
        <f aca="false">DJ101</f>
        <v>HH</v>
      </c>
      <c r="DT119" s="2" t="str">
        <f aca="false">DJ99</f>
        <v>LH</v>
      </c>
      <c r="DU119" s="2" t="str">
        <f aca="false">DJ97</f>
        <v>LH</v>
      </c>
      <c r="DV119" s="2" t="n">
        <f aca="false">IFERROR((G119-$F119)/$F119*100,"")</f>
        <v>-0.253033112582773</v>
      </c>
      <c r="DW119" s="2" t="n">
        <f aca="false">IFERROR((H119-$F119)/$F119*100,"")</f>
        <v>-0.191576158940397</v>
      </c>
      <c r="DX119" s="2" t="n">
        <f aca="false">IFERROR((I119-$F119)/$F119*100,"")</f>
        <v>-0.177377483443706</v>
      </c>
      <c r="DY119" s="2" t="n">
        <f aca="false">IFERROR((J119-$F119)/$F119*100,"")</f>
        <v>-0.0720529801324426</v>
      </c>
      <c r="DZ119" s="2" t="n">
        <f aca="false">IFERROR((K119-$F119)/$F119*100,"")</f>
        <v>0.169748344370866</v>
      </c>
      <c r="EA119" s="2" t="n">
        <f aca="false">IFERROR((L119-$F119)/$F119*100,"")</f>
        <v>-0.153430463576154</v>
      </c>
      <c r="EB119" s="2" t="n">
        <f aca="false">IFERROR((M119-$F119)/$F119*100,"")</f>
        <v>-0.217854304635756</v>
      </c>
      <c r="EC119" s="2" t="n">
        <f aca="false">IFERROR((N119-$F119)/$F119*100,"")</f>
        <v>1.16196026490066</v>
      </c>
      <c r="ED119" s="2" t="n">
        <f aca="false">IFERROR((O119-$F119)/$F119*100,"")</f>
        <v>0.629192052980124</v>
      </c>
      <c r="EE119" s="2" t="n">
        <f aca="false">IFERROR((P119-$F119)/$F119*100,"")</f>
        <v>-0.282913907284776</v>
      </c>
      <c r="EF119" s="2" t="n">
        <f aca="false">IFERROR((Q119-$F119)/$F119*100,"")</f>
        <v>0.216158940397347</v>
      </c>
      <c r="EG119" s="2" t="str">
        <f aca="false">IF(DV119="","",IF(AND(ABS(DV119)&lt;=0.25,$E119="Bottom",DK119="LL"),"EQL",IF(AND(ABS(DV119)&lt;=0.25,$E119="Peak",DK119="HH"),"EQH","")))</f>
        <v/>
      </c>
      <c r="EH119" s="2" t="str">
        <f aca="false">IF(DW119="","",IF(AND(ABS(DW119)&lt;=0.25,$E119="Bottom",DL119="LL"),"EQL",IF(AND(ABS(DW119)&lt;=0.25,$E119="Peak",DL119="HH"),"EQH","")))</f>
        <v/>
      </c>
      <c r="EI119" s="2" t="str">
        <f aca="false">IF(DX119="","",IF(AND(ABS(DX119)&lt;=0.25,$E119="Bottom",DM119="LL"),"EQL",IF(AND(ABS(DX119)&lt;=0.25,$E119="Peak",DM119="HH"),"EQH","")))</f>
        <v/>
      </c>
      <c r="EJ119" s="2" t="str">
        <f aca="false">IF(DY119="","",IF(AND(ABS(DY119)&lt;=0.25,$E119="Bottom",DN119="LL"),"EQL",IF(AND(ABS(DY119)&lt;=0.25,$E119="Peak",DN119="HH"),"EQH","")))</f>
        <v/>
      </c>
      <c r="EK119" s="2" t="str">
        <f aca="false">IF(DZ119="","",IF(AND(ABS(DZ119)&lt;=0.25,$E119="Bottom",DO119="LL"),"EQL",IF(AND(ABS(DZ119)&lt;=0.25,$E119="Peak",DO119="HH"),"EQH","")))</f>
        <v>EQH</v>
      </c>
      <c r="EL119" s="2" t="str">
        <f aca="false">IF(EA119="","",IF(AND(ABS(EA119)&lt;=0.25,$E119="Bottom",DP119="LL"),"EQL",IF(AND(ABS(EA119)&lt;=0.25,$E119="Peak",DP119="HH"),"EQH","")))</f>
        <v>EQH</v>
      </c>
      <c r="EM119" s="2" t="str">
        <f aca="false">IF(EB119="","",IF(AND(ABS(EB119)&lt;=0.25,$E119="Bottom",DQ119="LL"),"EQL",IF(AND(ABS(EB119)&lt;=0.25,$E119="Peak",DQ119="HH"),"EQH","")))</f>
        <v/>
      </c>
      <c r="EN119" s="2" t="str">
        <f aca="false">IF(EC119="","",IF(AND(ABS(EC119)&lt;=0.25,$E119="Bottom",DR119="LL"),"EQL",IF(AND(ABS(EC119)&lt;=0.25,$E119="Peak",DR119="HH"),"EQH","")))</f>
        <v/>
      </c>
      <c r="EO119" s="2" t="str">
        <f aca="false">IF(ED119="","",IF(AND(ABS(ED119)&lt;=0.25,$E119="Bottom",DS119="LL"),"EQL",IF(AND(ABS(ED119)&lt;=0.25,$E119="Peak",DS119="HH"),"EQH","")))</f>
        <v/>
      </c>
      <c r="EP119" s="2" t="str">
        <f aca="false">IF(EE119="","",IF(AND(ABS(EE119)&lt;=0.25,$E119="Bottom",DT119="LL"),"EQL",IF(AND(ABS(EE119)&lt;=0.25,$E119="Peak",DT119="HH"),"EQH","")))</f>
        <v/>
      </c>
      <c r="EQ119" s="2" t="str">
        <f aca="false">IF(EF119="","",IF(AND(ABS(EF119)&lt;=0.25,$E119="Bottom",DU119="LL"),"EQL",IF(AND(ABS(EF119)&lt;=0.25,$E119="Peak",DU119="HH"),"EQH","")))</f>
        <v/>
      </c>
      <c r="ER119" s="2" t="str">
        <f aca="false">IF(OR(EG119="EQL",EG119="EQH"),G119,"")</f>
        <v/>
      </c>
      <c r="ES119" s="2" t="str">
        <f aca="false">IF(OR(EH119="EQL",EH119="EQH"),H119,"")</f>
        <v/>
      </c>
      <c r="ET119" s="2" t="str">
        <f aca="false">IF(OR(EI119="EQL",EI119="EQH"),I119,"")</f>
        <v/>
      </c>
      <c r="EU119" s="2" t="str">
        <f aca="false">IF(OR(EJ119="EQL",EJ119="EQH"),J119,"")</f>
        <v/>
      </c>
      <c r="EV119" s="2" t="n">
        <f aca="false">IF(OR(EK119="EQL",EK119="EQH"),K119,"")</f>
        <v>4726.76</v>
      </c>
      <c r="EW119" s="2" t="n">
        <f aca="false">IF(OR(EL119="EQL",EL119="EQH"),L119,"")</f>
        <v>4711.51</v>
      </c>
      <c r="EX119" s="2" t="str">
        <f aca="false">IF(OR(EM119="EQL",EM119="EQH"),M119,"")</f>
        <v/>
      </c>
      <c r="EY119" s="2" t="str">
        <f aca="false">IF(OR(EN119="EQL",EN119="EQH"),N119,"")</f>
        <v/>
      </c>
      <c r="EZ119" s="2" t="str">
        <f aca="false">IF(OR(EO119="EQL",EO119="EQH"),O119,"")</f>
        <v/>
      </c>
      <c r="FA119" s="2" t="str">
        <f aca="false">IF(OR(EP119="EQL",EP119="EQH"),P119,"")</f>
        <v/>
      </c>
      <c r="FB119" s="2" t="str">
        <f aca="false">IF(OR(EQ119="EQL",EQ119="EQH"),Q119,"")</f>
        <v/>
      </c>
      <c r="FC119" s="2" t="str">
        <f aca="false">IF(AND(EG119="EQL",OR(AQ119=4,AQ119=5)),"IEQL",IF(AND(EG119="EQH",OR(AQ119=1,AQ119=2)),"IEQH",""))</f>
        <v/>
      </c>
      <c r="FD119" s="2" t="str">
        <f aca="false">IF(AND(EH119="EQL",OR(AR119=4,AR119=5)),"IEQL",IF(AND(EH119="EQH",OR(AR119=1,AR119=2)),"IEQH",""))</f>
        <v/>
      </c>
      <c r="FE119" s="2" t="str">
        <f aca="false">IF(AND(EI119="EQL",OR(AS119=4,AS119=5)),"IEQL",IF(AND(EI119="EQH",OR(AS119=1,AS119=2)),"IEQH",""))</f>
        <v/>
      </c>
      <c r="FF119" s="2" t="str">
        <f aca="false">IF(AND(EJ119="EQL",OR(AT119=4,AT119=5)),"IEQL",IF(AND(EJ119="EQH",OR(AT119=1,AT119=2)),"IEQH",""))</f>
        <v/>
      </c>
      <c r="FG119" s="2" t="str">
        <f aca="false">IF(AND(EK119="EQL",OR(AU119=4,AU119=5)),"IEQL",IF(AND(EK119="EQH",OR(AU119=1,AU119=2)),"IEQH",""))</f>
        <v/>
      </c>
      <c r="FH119" s="2" t="str">
        <f aca="false">IF(AND(EL119="EQL",OR(AV119=4,AV119=5)),"IEQL",IF(AND(EL119="EQH",OR(AV119=1,AV119=2)),"IEQH",""))</f>
        <v/>
      </c>
      <c r="FI119" s="2" t="str">
        <f aca="false">IF(AND(EM119="EQL",OR(AW119=4,AW119=5)),"IEQL",IF(AND(EM119="EQH",OR(AW119=1,AW119=2)),"IEQH",""))</f>
        <v/>
      </c>
      <c r="FJ119" s="2" t="str">
        <f aca="false">IF(AND(EN119="EQL",OR(AX119=4,AX119=5)),"IEQL",IF(AND(EN119="EQH",OR(AX119=1,AX119=2)),"IEQH",""))</f>
        <v/>
      </c>
      <c r="FK119" s="2" t="str">
        <f aca="false">IF(AND(EO119="EQL",OR(AY119=4,AY119=5)),"IEQL",IF(AND(EO119="EQH",OR(AY119=1,AY119=2)),"IEQH",""))</f>
        <v/>
      </c>
      <c r="FL119" s="2" t="str">
        <f aca="false">IF(AND(EP119="EQL",OR(AZ119=4,AZ119=5)),"IEQL",IF(AND(EP119="EQH",OR(AZ119=1,AZ119=2)),"IEQH",""))</f>
        <v/>
      </c>
      <c r="FM119" s="2" t="str">
        <f aca="false">IF(AND(EQ119="EQL",OR(BA119=4,BA119=5)),"IEQL",IF(AND(EQ119="EQH",OR(BA119=1,BA119=2)),"IEQH",""))</f>
        <v/>
      </c>
    </row>
    <row r="120" customFormat="false" ht="14.25" hidden="false" customHeight="false" outlineLevel="0" collapsed="false">
      <c r="A120" s="1" t="n">
        <v>1778751002</v>
      </c>
      <c r="B120" s="1" t="s">
        <v>169</v>
      </c>
      <c r="C120" s="1" t="s">
        <v>170</v>
      </c>
      <c r="D120" s="1" t="n">
        <v>4695.48</v>
      </c>
      <c r="E120" s="1" t="s">
        <v>171</v>
      </c>
      <c r="F120" s="1" t="n">
        <v>4688.47</v>
      </c>
      <c r="G120" s="2" t="n">
        <f aca="false">F118</f>
        <v>4668.77</v>
      </c>
      <c r="H120" s="2" t="n">
        <f aca="false">F116</f>
        <v>4677.64</v>
      </c>
      <c r="I120" s="2" t="n">
        <f aca="false">F114</f>
        <v>4669.65</v>
      </c>
      <c r="J120" s="2" t="n">
        <f aca="false">F112</f>
        <v>4685.97</v>
      </c>
      <c r="K120" s="2" t="n">
        <f aca="false">F110</f>
        <v>4687.6</v>
      </c>
      <c r="L120" s="2" t="n">
        <f aca="false">F108</f>
        <v>4638.57</v>
      </c>
      <c r="M120" s="2" t="n">
        <f aca="false">F106</f>
        <v>4685.14</v>
      </c>
      <c r="N120" s="2" t="n">
        <f aca="false">F104</f>
        <v>4687.49</v>
      </c>
      <c r="O120" s="2" t="n">
        <f aca="false">F102</f>
        <v>4707.97</v>
      </c>
      <c r="P120" s="2" t="n">
        <f aca="false">F100</f>
        <v>4647.85</v>
      </c>
      <c r="Q120" s="2" t="n">
        <f aca="false">F98</f>
        <v>4670.56</v>
      </c>
      <c r="R120" s="1" t="n">
        <v>-30.28</v>
      </c>
      <c r="S120" s="2" t="n">
        <f aca="false">R118</f>
        <v>-38.04</v>
      </c>
      <c r="T120" s="2" t="n">
        <f aca="false">R116</f>
        <v>-32.07</v>
      </c>
      <c r="U120" s="2" t="n">
        <f aca="false">R114</f>
        <v>-40.73</v>
      </c>
      <c r="V120" s="2" t="n">
        <f aca="false">R112</f>
        <v>-29.38</v>
      </c>
      <c r="W120" s="2" t="n">
        <f aca="false">R110</f>
        <v>-39.16</v>
      </c>
      <c r="X120" s="2" t="n">
        <f aca="false">R108</f>
        <v>-72.94</v>
      </c>
      <c r="Y120" s="2" t="n">
        <f aca="false">R106</f>
        <v>-23.33</v>
      </c>
      <c r="Z120" s="2" t="n">
        <f aca="false">R104</f>
        <v>-86.09</v>
      </c>
      <c r="AA120" s="2" t="n">
        <f aca="false">R102</f>
        <v>-40.47</v>
      </c>
      <c r="AB120" s="2" t="n">
        <f aca="false">R100</f>
        <v>-57.55</v>
      </c>
      <c r="AC120" s="2" t="n">
        <f aca="false">R98</f>
        <v>-58.39</v>
      </c>
      <c r="AD120" s="1" t="n">
        <v>-0.64</v>
      </c>
      <c r="AE120" s="2" t="n">
        <f aca="false">AD118</f>
        <v>-0.81</v>
      </c>
      <c r="AF120" s="2" t="n">
        <f aca="false">AD116</f>
        <v>-0.68</v>
      </c>
      <c r="AG120" s="2" t="n">
        <f aca="false">AD114</f>
        <v>-0.86</v>
      </c>
      <c r="AH120" s="2" t="n">
        <f aca="false">AD112</f>
        <v>-0.62</v>
      </c>
      <c r="AI120" s="2" t="n">
        <f aca="false">AD110</f>
        <v>-0.83</v>
      </c>
      <c r="AJ120" s="2" t="n">
        <f aca="false">AD108</f>
        <v>-1.55</v>
      </c>
      <c r="AK120" s="2" t="n">
        <f aca="false">AD106</f>
        <v>-0.5</v>
      </c>
      <c r="AL120" s="2" t="n">
        <f aca="false">AD104</f>
        <v>-1.8</v>
      </c>
      <c r="AM120" s="2" t="n">
        <f aca="false">AD102</f>
        <v>-0.85</v>
      </c>
      <c r="AN120" s="2" t="n">
        <f aca="false">AD100</f>
        <v>-1.22</v>
      </c>
      <c r="AO120" s="2" t="n">
        <f aca="false">AD98</f>
        <v>-1.23</v>
      </c>
      <c r="AP120" s="1" t="n">
        <v>3</v>
      </c>
      <c r="AQ120" s="2" t="n">
        <f aca="false">AP118</f>
        <v>3</v>
      </c>
      <c r="AR120" s="2" t="n">
        <f aca="false">AP116</f>
        <v>3</v>
      </c>
      <c r="AS120" s="2" t="n">
        <f aca="false">AP114</f>
        <v>3</v>
      </c>
      <c r="AT120" s="2" t="n">
        <f aca="false">AP112</f>
        <v>3</v>
      </c>
      <c r="AU120" s="2" t="n">
        <f aca="false">AP110</f>
        <v>3</v>
      </c>
      <c r="AV120" s="2" t="n">
        <f aca="false">AP108</f>
        <v>3</v>
      </c>
      <c r="AW120" s="2" t="n">
        <f aca="false">AP106</f>
        <v>3</v>
      </c>
      <c r="AX120" s="2" t="n">
        <f aca="false">AP104</f>
        <v>3</v>
      </c>
      <c r="AY120" s="2" t="n">
        <f aca="false">AP102</f>
        <v>3</v>
      </c>
      <c r="AZ120" s="2" t="n">
        <f aca="false">AP100</f>
        <v>3</v>
      </c>
      <c r="BA120" s="2" t="n">
        <f aca="false">AP98</f>
        <v>3</v>
      </c>
      <c r="BB120" s="1" t="n">
        <v>8</v>
      </c>
      <c r="BC120" s="2" t="n">
        <f aca="false">BB118</f>
        <v>13</v>
      </c>
      <c r="BD120" s="2" t="n">
        <f aca="false">BB116</f>
        <v>10</v>
      </c>
      <c r="BE120" s="2" t="n">
        <f aca="false">BB114</f>
        <v>15</v>
      </c>
      <c r="BF120" s="2" t="n">
        <f aca="false">BB112</f>
        <v>13</v>
      </c>
      <c r="BG120" s="2" t="n">
        <f aca="false">BB110</f>
        <v>11</v>
      </c>
      <c r="BH120" s="2" t="n">
        <f aca="false">BB108</f>
        <v>10</v>
      </c>
      <c r="BI120" s="2" t="n">
        <f aca="false">BB106</f>
        <v>2</v>
      </c>
      <c r="BJ120" s="2" t="n">
        <f aca="false">BB104</f>
        <v>27</v>
      </c>
      <c r="BK120" s="2" t="n">
        <f aca="false">BB102</f>
        <v>11</v>
      </c>
      <c r="BL120" s="2" t="n">
        <f aca="false">BB100</f>
        <v>18</v>
      </c>
      <c r="BM120" s="2" t="n">
        <f aca="false">BB98</f>
        <v>22</v>
      </c>
      <c r="BN120" s="1" t="n">
        <v>3</v>
      </c>
      <c r="BO120" s="2" t="n">
        <f aca="false">BN118</f>
        <v>3</v>
      </c>
      <c r="BP120" s="2" t="n">
        <f aca="false">BN116</f>
        <v>3</v>
      </c>
      <c r="BQ120" s="2" t="n">
        <f aca="false">BN114</f>
        <v>3</v>
      </c>
      <c r="BR120" s="2" t="n">
        <f aca="false">BN112</f>
        <v>3</v>
      </c>
      <c r="BS120" s="2" t="n">
        <f aca="false">BN110</f>
        <v>3</v>
      </c>
      <c r="BT120" s="2" t="n">
        <f aca="false">BN108</f>
        <v>3</v>
      </c>
      <c r="BU120" s="2" t="n">
        <f aca="false">BN106</f>
        <v>3</v>
      </c>
      <c r="BV120" s="2" t="n">
        <f aca="false">BN104</f>
        <v>3</v>
      </c>
      <c r="BW120" s="2" t="n">
        <f aca="false">BN102</f>
        <v>3</v>
      </c>
      <c r="BX120" s="2" t="n">
        <f aca="false">BN100</f>
        <v>3</v>
      </c>
      <c r="BY120" s="2" t="n">
        <f aca="false">BN98</f>
        <v>3</v>
      </c>
      <c r="BZ120" s="1" t="n">
        <v>-3.785</v>
      </c>
      <c r="CA120" s="2" t="n">
        <f aca="false">BZ118</f>
        <v>-2.92615</v>
      </c>
      <c r="CB120" s="2" t="n">
        <f aca="false">BZ116</f>
        <v>-3.207</v>
      </c>
      <c r="CC120" s="2" t="n">
        <f aca="false">BZ114</f>
        <v>-2.71533</v>
      </c>
      <c r="CD120" s="2" t="n">
        <f aca="false">BZ112</f>
        <v>-2.26</v>
      </c>
      <c r="CE120" s="2" t="n">
        <f aca="false">BZ110</f>
        <v>-3.56</v>
      </c>
      <c r="CF120" s="2" t="n">
        <f aca="false">BZ108</f>
        <v>-7.294</v>
      </c>
      <c r="CG120" s="2" t="n">
        <f aca="false">BZ106</f>
        <v>-11.665</v>
      </c>
      <c r="CH120" s="2" t="n">
        <f aca="false">BZ104</f>
        <v>-3.18852</v>
      </c>
      <c r="CI120" s="2" t="n">
        <f aca="false">BZ102</f>
        <v>-3.67909</v>
      </c>
      <c r="CJ120" s="2" t="n">
        <f aca="false">BZ100</f>
        <v>-3.19722</v>
      </c>
      <c r="CK120" s="2" t="n">
        <f aca="false">BZ98</f>
        <v>-2.65409</v>
      </c>
      <c r="CL120" s="1" t="n">
        <v>3</v>
      </c>
      <c r="CM120" s="2" t="n">
        <f aca="false">CL118</f>
        <v>3</v>
      </c>
      <c r="CN120" s="2" t="n">
        <f aca="false">CL116</f>
        <v>3</v>
      </c>
      <c r="CO120" s="2" t="n">
        <f aca="false">CL114</f>
        <v>3</v>
      </c>
      <c r="CP120" s="2" t="n">
        <f aca="false">CL112</f>
        <v>3</v>
      </c>
      <c r="CQ120" s="2" t="n">
        <f aca="false">CL110</f>
        <v>3</v>
      </c>
      <c r="CR120" s="2" t="n">
        <f aca="false">CL108</f>
        <v>3</v>
      </c>
      <c r="CS120" s="2" t="n">
        <f aca="false">CL106</f>
        <v>4</v>
      </c>
      <c r="CT120" s="2" t="n">
        <f aca="false">CL104</f>
        <v>3</v>
      </c>
      <c r="CU120" s="2" t="n">
        <f aca="false">CL102</f>
        <v>3</v>
      </c>
      <c r="CV120" s="2" t="n">
        <f aca="false">CL100</f>
        <v>3</v>
      </c>
      <c r="CW120" s="2" t="n">
        <f aca="false">CL98</f>
        <v>3</v>
      </c>
      <c r="CX120" s="1" t="n">
        <v>-75.2006</v>
      </c>
      <c r="CY120" s="2" t="n">
        <f aca="false">CX118</f>
        <v>-71.1324</v>
      </c>
      <c r="CZ120" s="2" t="n">
        <f aca="false">CX116</f>
        <v>-72.6816</v>
      </c>
      <c r="DA120" s="2" t="n">
        <f aca="false">CX114</f>
        <v>-69.7823</v>
      </c>
      <c r="DB120" s="2" t="n">
        <f aca="false">CX112</f>
        <v>-66.1317</v>
      </c>
      <c r="DC120" s="2" t="n">
        <f aca="false">CX110</f>
        <v>-74.31</v>
      </c>
      <c r="DD120" s="2" t="n">
        <f aca="false">CX108</f>
        <v>-82.1935</v>
      </c>
      <c r="DE120" s="2" t="n">
        <f aca="false">CX106</f>
        <v>-85.1002</v>
      </c>
      <c r="DF120" s="2" t="n">
        <f aca="false">CX104</f>
        <v>-72.5873</v>
      </c>
      <c r="DG120" s="2" t="n">
        <f aca="false">CX102</f>
        <v>-74.794</v>
      </c>
      <c r="DH120" s="2" t="n">
        <f aca="false">CX100</f>
        <v>-72.6318</v>
      </c>
      <c r="DI120" s="2" t="n">
        <f aca="false">CX98</f>
        <v>-69.3548</v>
      </c>
      <c r="DJ120" s="1" t="s">
        <v>175</v>
      </c>
      <c r="DK120" s="2" t="str">
        <f aca="false">DJ118</f>
        <v>LL</v>
      </c>
      <c r="DL120" s="2" t="str">
        <f aca="false">DJ116</f>
        <v>HL</v>
      </c>
      <c r="DM120" s="2" t="str">
        <f aca="false">DJ114</f>
        <v>LL</v>
      </c>
      <c r="DN120" s="2" t="str">
        <f aca="false">DJ112</f>
        <v>LL</v>
      </c>
      <c r="DO120" s="2" t="str">
        <f aca="false">DJ110</f>
        <v>HL</v>
      </c>
      <c r="DP120" s="2" t="str">
        <f aca="false">DJ108</f>
        <v>LL</v>
      </c>
      <c r="DQ120" s="2" t="str">
        <f aca="false">DJ106</f>
        <v>LL</v>
      </c>
      <c r="DR120" s="2" t="str">
        <f aca="false">DJ104</f>
        <v>LL</v>
      </c>
      <c r="DS120" s="2" t="str">
        <f aca="false">DJ102</f>
        <v>HL</v>
      </c>
      <c r="DT120" s="2" t="str">
        <f aca="false">DJ100</f>
        <v>LL</v>
      </c>
      <c r="DU120" s="2" t="str">
        <f aca="false">DJ98</f>
        <v>LL</v>
      </c>
      <c r="DV120" s="2" t="n">
        <f aca="false">IFERROR((G120-$F120)/$F120*100,"")</f>
        <v>-0.420179717477126</v>
      </c>
      <c r="DW120" s="2" t="n">
        <f aca="false">IFERROR((H120-$F120)/$F120*100,"")</f>
        <v>-0.230992200014076</v>
      </c>
      <c r="DX120" s="2" t="n">
        <f aca="false">IFERROR((I120-$F120)/$F120*100,"")</f>
        <v>-0.40141026816852</v>
      </c>
      <c r="DY120" s="2" t="n">
        <f aca="false">IFERROR((J120-$F120)/$F120*100,"")</f>
        <v>-0.0533222991722246</v>
      </c>
      <c r="DZ120" s="2" t="n">
        <f aca="false">IFERROR((K120-$F120)/$F120*100,"")</f>
        <v>-0.0185561601119318</v>
      </c>
      <c r="EA120" s="2" t="n">
        <f aca="false">IFERROR((L120-$F120)/$F120*100,"")</f>
        <v>-1.06431309147762</v>
      </c>
      <c r="EB120" s="2" t="n">
        <f aca="false">IFERROR((M120-$F120)/$F120*100,"")</f>
        <v>-0.0710253024974017</v>
      </c>
      <c r="EC120" s="2" t="n">
        <f aca="false">IFERROR((N120-$F120)/$F120*100,"")</f>
        <v>-0.0209023412755221</v>
      </c>
      <c r="ED120" s="2" t="n">
        <f aca="false">IFERROR((O120-$F120)/$F120*100,"")</f>
        <v>0.415913933543352</v>
      </c>
      <c r="EE120" s="2" t="n">
        <f aca="false">IFERROR((P120-$F120)/$F120*100,"")</f>
        <v>-0.866380716950303</v>
      </c>
      <c r="EF120" s="2" t="n">
        <f aca="false">IFERROR((Q120-$F120)/$F120*100,"")</f>
        <v>-0.382000951269814</v>
      </c>
      <c r="EG120" s="2" t="str">
        <f aca="false">IF(DV120="","",IF(AND(ABS(DV120)&lt;=0.25,$E120="Bottom",DK120="LL"),"EQL",IF(AND(ABS(DV120)&lt;=0.25,$E120="Peak",DK120="HH"),"EQH","")))</f>
        <v/>
      </c>
      <c r="EH120" s="2" t="str">
        <f aca="false">IF(DW120="","",IF(AND(ABS(DW120)&lt;=0.25,$E120="Bottom",DL120="LL"),"EQL",IF(AND(ABS(DW120)&lt;=0.25,$E120="Peak",DL120="HH"),"EQH","")))</f>
        <v/>
      </c>
      <c r="EI120" s="2" t="str">
        <f aca="false">IF(DX120="","",IF(AND(ABS(DX120)&lt;=0.25,$E120="Bottom",DM120="LL"),"EQL",IF(AND(ABS(DX120)&lt;=0.25,$E120="Peak",DM120="HH"),"EQH","")))</f>
        <v/>
      </c>
      <c r="EJ120" s="2" t="str">
        <f aca="false">IF(DY120="","",IF(AND(ABS(DY120)&lt;=0.25,$E120="Bottom",DN120="LL"),"EQL",IF(AND(ABS(DY120)&lt;=0.25,$E120="Peak",DN120="HH"),"EQH","")))</f>
        <v>EQL</v>
      </c>
      <c r="EK120" s="2" t="str">
        <f aca="false">IF(DZ120="","",IF(AND(ABS(DZ120)&lt;=0.25,$E120="Bottom",DO120="LL"),"EQL",IF(AND(ABS(DZ120)&lt;=0.25,$E120="Peak",DO120="HH"),"EQH","")))</f>
        <v/>
      </c>
      <c r="EL120" s="2" t="str">
        <f aca="false">IF(EA120="","",IF(AND(ABS(EA120)&lt;=0.25,$E120="Bottom",DP120="LL"),"EQL",IF(AND(ABS(EA120)&lt;=0.25,$E120="Peak",DP120="HH"),"EQH","")))</f>
        <v/>
      </c>
      <c r="EM120" s="2" t="str">
        <f aca="false">IF(EB120="","",IF(AND(ABS(EB120)&lt;=0.25,$E120="Bottom",DQ120="LL"),"EQL",IF(AND(ABS(EB120)&lt;=0.25,$E120="Peak",DQ120="HH"),"EQH","")))</f>
        <v>EQL</v>
      </c>
      <c r="EN120" s="2" t="str">
        <f aca="false">IF(EC120="","",IF(AND(ABS(EC120)&lt;=0.25,$E120="Bottom",DR120="LL"),"EQL",IF(AND(ABS(EC120)&lt;=0.25,$E120="Peak",DR120="HH"),"EQH","")))</f>
        <v>EQL</v>
      </c>
      <c r="EO120" s="2" t="str">
        <f aca="false">IF(ED120="","",IF(AND(ABS(ED120)&lt;=0.25,$E120="Bottom",DS120="LL"),"EQL",IF(AND(ABS(ED120)&lt;=0.25,$E120="Peak",DS120="HH"),"EQH","")))</f>
        <v/>
      </c>
      <c r="EP120" s="2" t="str">
        <f aca="false">IF(EE120="","",IF(AND(ABS(EE120)&lt;=0.25,$E120="Bottom",DT120="LL"),"EQL",IF(AND(ABS(EE120)&lt;=0.25,$E120="Peak",DT120="HH"),"EQH","")))</f>
        <v/>
      </c>
      <c r="EQ120" s="2" t="str">
        <f aca="false">IF(EF120="","",IF(AND(ABS(EF120)&lt;=0.25,$E120="Bottom",DU120="LL"),"EQL",IF(AND(ABS(EF120)&lt;=0.25,$E120="Peak",DU120="HH"),"EQH","")))</f>
        <v/>
      </c>
      <c r="ER120" s="2" t="str">
        <f aca="false">IF(OR(EG120="EQL",EG120="EQH"),G120,"")</f>
        <v/>
      </c>
      <c r="ES120" s="2" t="str">
        <f aca="false">IF(OR(EH120="EQL",EH120="EQH"),H120,"")</f>
        <v/>
      </c>
      <c r="ET120" s="2" t="str">
        <f aca="false">IF(OR(EI120="EQL",EI120="EQH"),I120,"")</f>
        <v/>
      </c>
      <c r="EU120" s="2" t="n">
        <f aca="false">IF(OR(EJ120="EQL",EJ120="EQH"),J120,"")</f>
        <v>4685.97</v>
      </c>
      <c r="EV120" s="2" t="str">
        <f aca="false">IF(OR(EK120="EQL",EK120="EQH"),K120,"")</f>
        <v/>
      </c>
      <c r="EW120" s="2" t="str">
        <f aca="false">IF(OR(EL120="EQL",EL120="EQH"),L120,"")</f>
        <v/>
      </c>
      <c r="EX120" s="2" t="n">
        <f aca="false">IF(OR(EM120="EQL",EM120="EQH"),M120,"")</f>
        <v>4685.14</v>
      </c>
      <c r="EY120" s="2" t="n">
        <f aca="false">IF(OR(EN120="EQL",EN120="EQH"),N120,"")</f>
        <v>4687.49</v>
      </c>
      <c r="EZ120" s="2" t="str">
        <f aca="false">IF(OR(EO120="EQL",EO120="EQH"),O120,"")</f>
        <v/>
      </c>
      <c r="FA120" s="2" t="str">
        <f aca="false">IF(OR(EP120="EQL",EP120="EQH"),P120,"")</f>
        <v/>
      </c>
      <c r="FB120" s="2" t="str">
        <f aca="false">IF(OR(EQ120="EQL",EQ120="EQH"),Q120,"")</f>
        <v/>
      </c>
      <c r="FC120" s="2" t="str">
        <f aca="false">IF(AND(EG120="EQL",OR(AQ120=4,AQ120=5)),"IEQL",IF(AND(EG120="EQH",OR(AQ120=1,AQ120=2)),"IEQH",""))</f>
        <v/>
      </c>
      <c r="FD120" s="2" t="str">
        <f aca="false">IF(AND(EH120="EQL",OR(AR120=4,AR120=5)),"IEQL",IF(AND(EH120="EQH",OR(AR120=1,AR120=2)),"IEQH",""))</f>
        <v/>
      </c>
      <c r="FE120" s="2" t="str">
        <f aca="false">IF(AND(EI120="EQL",OR(AS120=4,AS120=5)),"IEQL",IF(AND(EI120="EQH",OR(AS120=1,AS120=2)),"IEQH",""))</f>
        <v/>
      </c>
      <c r="FF120" s="2" t="str">
        <f aca="false">IF(AND(EJ120="EQL",OR(AT120=4,AT120=5)),"IEQL",IF(AND(EJ120="EQH",OR(AT120=1,AT120=2)),"IEQH",""))</f>
        <v/>
      </c>
      <c r="FG120" s="2" t="str">
        <f aca="false">IF(AND(EK120="EQL",OR(AU120=4,AU120=5)),"IEQL",IF(AND(EK120="EQH",OR(AU120=1,AU120=2)),"IEQH",""))</f>
        <v/>
      </c>
      <c r="FH120" s="2" t="str">
        <f aca="false">IF(AND(EL120="EQL",OR(AV120=4,AV120=5)),"IEQL",IF(AND(EL120="EQH",OR(AV120=1,AV120=2)),"IEQH",""))</f>
        <v/>
      </c>
      <c r="FI120" s="2" t="str">
        <f aca="false">IF(AND(EM120="EQL",OR(AW120=4,AW120=5)),"IEQL",IF(AND(EM120="EQH",OR(AW120=1,AW120=2)),"IEQH",""))</f>
        <v/>
      </c>
      <c r="FJ120" s="2" t="str">
        <f aca="false">IF(AND(EN120="EQL",OR(AX120=4,AX120=5)),"IEQL",IF(AND(EN120="EQH",OR(AX120=1,AX120=2)),"IEQH",""))</f>
        <v/>
      </c>
      <c r="FK120" s="2" t="str">
        <f aca="false">IF(AND(EO120="EQL",OR(AY120=4,AY120=5)),"IEQL",IF(AND(EO120="EQH",OR(AY120=1,AY120=2)),"IEQH",""))</f>
        <v/>
      </c>
      <c r="FL120" s="2" t="str">
        <f aca="false">IF(AND(EP120="EQL",OR(AZ120=4,AZ120=5)),"IEQL",IF(AND(EP120="EQH",OR(AZ120=1,AZ120=2)),"IEQH",""))</f>
        <v/>
      </c>
      <c r="FM120" s="2" t="str">
        <f aca="false">IF(AND(EQ120="EQL",OR(BA120=4,BA120=5)),"IEQL",IF(AND(EQ120="EQH",OR(BA120=1,BA120=2)),"IEQH",""))</f>
        <v/>
      </c>
    </row>
    <row r="121" customFormat="false" ht="14.25" hidden="false" customHeight="false" outlineLevel="0" collapsed="false">
      <c r="A121" s="1" t="n">
        <v>1778761802</v>
      </c>
      <c r="B121" s="1" t="s">
        <v>169</v>
      </c>
      <c r="C121" s="1" t="s">
        <v>170</v>
      </c>
      <c r="D121" s="1" t="n">
        <v>4697.97</v>
      </c>
      <c r="E121" s="1" t="s">
        <v>173</v>
      </c>
      <c r="F121" s="1" t="n">
        <v>4710.02</v>
      </c>
      <c r="G121" s="2" t="n">
        <f aca="false">F119</f>
        <v>4718.75</v>
      </c>
      <c r="H121" s="2" t="n">
        <f aca="false">F117</f>
        <v>4706.81</v>
      </c>
      <c r="I121" s="2" t="n">
        <f aca="false">F115</f>
        <v>4709.71</v>
      </c>
      <c r="J121" s="2" t="n">
        <f aca="false">F113</f>
        <v>4710.38</v>
      </c>
      <c r="K121" s="2" t="n">
        <f aca="false">F111</f>
        <v>4715.35</v>
      </c>
      <c r="L121" s="2" t="n">
        <f aca="false">F109</f>
        <v>4726.76</v>
      </c>
      <c r="M121" s="2" t="n">
        <f aca="false">F107</f>
        <v>4711.51</v>
      </c>
      <c r="N121" s="2" t="n">
        <f aca="false">F105</f>
        <v>4708.47</v>
      </c>
      <c r="O121" s="2" t="n">
        <f aca="false">F103</f>
        <v>4773.58</v>
      </c>
      <c r="P121" s="2" t="n">
        <f aca="false">F101</f>
        <v>4748.44</v>
      </c>
      <c r="Q121" s="2" t="n">
        <f aca="false">F99</f>
        <v>4705.4</v>
      </c>
      <c r="R121" s="1" t="n">
        <v>21.55</v>
      </c>
      <c r="S121" s="2" t="n">
        <f aca="false">R119</f>
        <v>49.98</v>
      </c>
      <c r="T121" s="2" t="n">
        <f aca="false">R117</f>
        <v>29.17</v>
      </c>
      <c r="U121" s="2" t="n">
        <f aca="false">R115</f>
        <v>40.06</v>
      </c>
      <c r="V121" s="2" t="n">
        <f aca="false">R113</f>
        <v>24.41</v>
      </c>
      <c r="W121" s="2" t="n">
        <f aca="false">R111</f>
        <v>27.75</v>
      </c>
      <c r="X121" s="2" t="n">
        <f aca="false">R109</f>
        <v>88.19</v>
      </c>
      <c r="Y121" s="2" t="n">
        <f aca="false">R107</f>
        <v>26.37</v>
      </c>
      <c r="Z121" s="2" t="n">
        <f aca="false">R105</f>
        <v>20.98</v>
      </c>
      <c r="AA121" s="2" t="n">
        <f aca="false">R103</f>
        <v>65.61</v>
      </c>
      <c r="AB121" s="2" t="n">
        <f aca="false">R101</f>
        <v>100.59</v>
      </c>
      <c r="AC121" s="2" t="n">
        <f aca="false">R99</f>
        <v>34.84</v>
      </c>
      <c r="AD121" s="1" t="n">
        <v>0.46</v>
      </c>
      <c r="AE121" s="2" t="n">
        <f aca="false">AD119</f>
        <v>1.07</v>
      </c>
      <c r="AF121" s="2" t="n">
        <f aca="false">AD117</f>
        <v>0.62</v>
      </c>
      <c r="AG121" s="2" t="n">
        <f aca="false">AD115</f>
        <v>0.86</v>
      </c>
      <c r="AH121" s="2" t="n">
        <f aca="false">AD113</f>
        <v>0.52</v>
      </c>
      <c r="AI121" s="2" t="n">
        <f aca="false">AD111</f>
        <v>0.59</v>
      </c>
      <c r="AJ121" s="2" t="n">
        <f aca="false">AD109</f>
        <v>1.9</v>
      </c>
      <c r="AK121" s="2" t="n">
        <f aca="false">AD107</f>
        <v>0.56</v>
      </c>
      <c r="AL121" s="2" t="n">
        <f aca="false">AD105</f>
        <v>0.45</v>
      </c>
      <c r="AM121" s="2" t="n">
        <f aca="false">AD103</f>
        <v>1.39</v>
      </c>
      <c r="AN121" s="2" t="n">
        <f aca="false">AD101</f>
        <v>2.16</v>
      </c>
      <c r="AO121" s="2" t="n">
        <f aca="false">AD99</f>
        <v>0.75</v>
      </c>
      <c r="AP121" s="1" t="n">
        <v>0</v>
      </c>
      <c r="AQ121" s="2" t="n">
        <f aca="false">AP119</f>
        <v>0</v>
      </c>
      <c r="AR121" s="2" t="n">
        <f aca="false">AP117</f>
        <v>0</v>
      </c>
      <c r="AS121" s="2" t="n">
        <f aca="false">AP115</f>
        <v>0</v>
      </c>
      <c r="AT121" s="2" t="n">
        <f aca="false">AP113</f>
        <v>0</v>
      </c>
      <c r="AU121" s="2" t="n">
        <f aca="false">AP111</f>
        <v>0</v>
      </c>
      <c r="AV121" s="2" t="n">
        <f aca="false">AP109</f>
        <v>0</v>
      </c>
      <c r="AW121" s="2" t="n">
        <f aca="false">AP107</f>
        <v>0</v>
      </c>
      <c r="AX121" s="2" t="n">
        <f aca="false">AP105</f>
        <v>0</v>
      </c>
      <c r="AY121" s="2" t="n">
        <f aca="false">AP103</f>
        <v>0</v>
      </c>
      <c r="AZ121" s="2" t="n">
        <f aca="false">AP101</f>
        <v>1</v>
      </c>
      <c r="BA121" s="2" t="n">
        <f aca="false">AP99</f>
        <v>0</v>
      </c>
      <c r="BB121" s="1" t="n">
        <v>12</v>
      </c>
      <c r="BC121" s="2" t="n">
        <f aca="false">BB119</f>
        <v>14</v>
      </c>
      <c r="BD121" s="2" t="n">
        <f aca="false">BB117</f>
        <v>20</v>
      </c>
      <c r="BE121" s="2" t="n">
        <f aca="false">BB115</f>
        <v>10</v>
      </c>
      <c r="BF121" s="2" t="n">
        <f aca="false">BB113</f>
        <v>2</v>
      </c>
      <c r="BG121" s="2" t="n">
        <f aca="false">BB111</f>
        <v>14</v>
      </c>
      <c r="BH121" s="2" t="n">
        <f aca="false">BB109</f>
        <v>31</v>
      </c>
      <c r="BI121" s="2" t="n">
        <f aca="false">BB107</f>
        <v>9</v>
      </c>
      <c r="BJ121" s="2" t="n">
        <f aca="false">BB105</f>
        <v>12</v>
      </c>
      <c r="BK121" s="2" t="n">
        <f aca="false">BB103</f>
        <v>27</v>
      </c>
      <c r="BL121" s="2" t="n">
        <f aca="false">BB101</f>
        <v>32</v>
      </c>
      <c r="BM121" s="2" t="n">
        <f aca="false">BB99</f>
        <v>2</v>
      </c>
      <c r="BN121" s="1" t="n">
        <v>0</v>
      </c>
      <c r="BO121" s="2" t="n">
        <f aca="false">BN119</f>
        <v>0</v>
      </c>
      <c r="BP121" s="2" t="n">
        <f aca="false">BN117</f>
        <v>0</v>
      </c>
      <c r="BQ121" s="2" t="n">
        <f aca="false">BN115</f>
        <v>0</v>
      </c>
      <c r="BR121" s="2" t="n">
        <f aca="false">BN113</f>
        <v>0</v>
      </c>
      <c r="BS121" s="2" t="n">
        <f aca="false">BN111</f>
        <v>0</v>
      </c>
      <c r="BT121" s="2" t="n">
        <f aca="false">BN109</f>
        <v>0</v>
      </c>
      <c r="BU121" s="2" t="n">
        <f aca="false">BN107</f>
        <v>0</v>
      </c>
      <c r="BV121" s="2" t="n">
        <f aca="false">BN105</f>
        <v>0</v>
      </c>
      <c r="BW121" s="2" t="n">
        <f aca="false">BN103</f>
        <v>0</v>
      </c>
      <c r="BX121" s="2" t="n">
        <f aca="false">BN101</f>
        <v>1</v>
      </c>
      <c r="BY121" s="2" t="n">
        <f aca="false">BN99</f>
        <v>0</v>
      </c>
      <c r="BZ121" s="1" t="n">
        <v>1.79583</v>
      </c>
      <c r="CA121" s="2" t="n">
        <f aca="false">BZ119</f>
        <v>3.57</v>
      </c>
      <c r="CB121" s="2" t="n">
        <f aca="false">BZ117</f>
        <v>1.4585</v>
      </c>
      <c r="CC121" s="2" t="n">
        <f aca="false">BZ115</f>
        <v>4.006</v>
      </c>
      <c r="CD121" s="2" t="n">
        <f aca="false">BZ113</f>
        <v>12.205</v>
      </c>
      <c r="CE121" s="2" t="n">
        <f aca="false">BZ111</f>
        <v>1.98214</v>
      </c>
      <c r="CF121" s="2" t="n">
        <f aca="false">BZ109</f>
        <v>2.84484</v>
      </c>
      <c r="CG121" s="2" t="n">
        <f aca="false">BZ107</f>
        <v>2.93</v>
      </c>
      <c r="CH121" s="2" t="n">
        <f aca="false">BZ105</f>
        <v>1.74833</v>
      </c>
      <c r="CI121" s="2" t="n">
        <f aca="false">BZ103</f>
        <v>2.43</v>
      </c>
      <c r="CJ121" s="2" t="n">
        <f aca="false">BZ101</f>
        <v>3.14344</v>
      </c>
      <c r="CK121" s="2" t="n">
        <f aca="false">BZ99</f>
        <v>17.42</v>
      </c>
      <c r="CL121" s="1" t="n">
        <v>0</v>
      </c>
      <c r="CM121" s="2" t="n">
        <f aca="false">CL119</f>
        <v>0</v>
      </c>
      <c r="CN121" s="2" t="n">
        <f aca="false">CL117</f>
        <v>0</v>
      </c>
      <c r="CO121" s="2" t="n">
        <f aca="false">CL115</f>
        <v>0</v>
      </c>
      <c r="CP121" s="2" t="n">
        <f aca="false">CL113</f>
        <v>1</v>
      </c>
      <c r="CQ121" s="2" t="n">
        <f aca="false">CL111</f>
        <v>0</v>
      </c>
      <c r="CR121" s="2" t="n">
        <f aca="false">CL109</f>
        <v>0</v>
      </c>
      <c r="CS121" s="2" t="n">
        <f aca="false">CL107</f>
        <v>0</v>
      </c>
      <c r="CT121" s="2" t="n">
        <f aca="false">CL105</f>
        <v>0</v>
      </c>
      <c r="CU121" s="2" t="n">
        <f aca="false">CL103</f>
        <v>0</v>
      </c>
      <c r="CV121" s="2" t="n">
        <f aca="false">CL101</f>
        <v>0</v>
      </c>
      <c r="CW121" s="2" t="n">
        <f aca="false">CL99</f>
        <v>2</v>
      </c>
      <c r="CX121" s="1" t="n">
        <v>60.889</v>
      </c>
      <c r="CY121" s="2" t="n">
        <f aca="false">CX119</f>
        <v>74.3518</v>
      </c>
      <c r="CZ121" s="2" t="n">
        <f aca="false">CX117</f>
        <v>55.5641</v>
      </c>
      <c r="DA121" s="2" t="n">
        <f aca="false">CX115</f>
        <v>75.984</v>
      </c>
      <c r="DB121" s="2" t="n">
        <f aca="false">CX113</f>
        <v>85.316</v>
      </c>
      <c r="DC121" s="2" t="n">
        <f aca="false">CX111</f>
        <v>63.2288</v>
      </c>
      <c r="DD121" s="2" t="n">
        <f aca="false">CX109</f>
        <v>70.6327</v>
      </c>
      <c r="DE121" s="2" t="n">
        <f aca="false">CX107</f>
        <v>71.1554</v>
      </c>
      <c r="DF121" s="2" t="n">
        <f aca="false">CX105</f>
        <v>60.2316</v>
      </c>
      <c r="DG121" s="2" t="n">
        <f aca="false">CX103</f>
        <v>67.6317</v>
      </c>
      <c r="DH121" s="2" t="n">
        <f aca="false">CX101</f>
        <v>72.3529</v>
      </c>
      <c r="DI121" s="2" t="n">
        <f aca="false">CX99</f>
        <v>86.7145</v>
      </c>
      <c r="DJ121" s="1" t="s">
        <v>174</v>
      </c>
      <c r="DK121" s="2" t="str">
        <f aca="false">DJ119</f>
        <v>HH</v>
      </c>
      <c r="DL121" s="2" t="str">
        <f aca="false">DJ117</f>
        <v>LH</v>
      </c>
      <c r="DM121" s="2" t="str">
        <f aca="false">DJ115</f>
        <v>LH</v>
      </c>
      <c r="DN121" s="2" t="str">
        <f aca="false">DJ113</f>
        <v>LH</v>
      </c>
      <c r="DO121" s="2" t="str">
        <f aca="false">DJ111</f>
        <v>LH</v>
      </c>
      <c r="DP121" s="2" t="str">
        <f aca="false">DJ109</f>
        <v>HH</v>
      </c>
      <c r="DQ121" s="2" t="str">
        <f aca="false">DJ107</f>
        <v>HH</v>
      </c>
      <c r="DR121" s="2" t="str">
        <f aca="false">DJ105</f>
        <v>LH</v>
      </c>
      <c r="DS121" s="2" t="str">
        <f aca="false">DJ103</f>
        <v>HH</v>
      </c>
      <c r="DT121" s="2" t="str">
        <f aca="false">DJ101</f>
        <v>HH</v>
      </c>
      <c r="DU121" s="2" t="str">
        <f aca="false">DJ99</f>
        <v>LH</v>
      </c>
      <c r="DV121" s="2" t="n">
        <f aca="false">IFERROR((G121-$F121)/$F121*100,"")</f>
        <v>0.185349531424486</v>
      </c>
      <c r="DW121" s="2" t="n">
        <f aca="false">IFERROR((H121-$F121)/$F121*100,"")</f>
        <v>-0.0681525768468082</v>
      </c>
      <c r="DX121" s="2" t="n">
        <f aca="false">IFERROR((I121-$F121)/$F121*100,"")</f>
        <v>-0.00658171302882791</v>
      </c>
      <c r="DY121" s="2" t="n">
        <f aca="false">IFERROR((J121-$F121)/$F121*100,"")</f>
        <v>0.00764327964636398</v>
      </c>
      <c r="DZ121" s="2" t="n">
        <f aca="false">IFERROR((K121-$F121)/$F121*100,"")</f>
        <v>0.11316300143099</v>
      </c>
      <c r="EA121" s="2" t="n">
        <f aca="false">IFERROR((L121-$F121)/$F121*100,"")</f>
        <v>0.355412503556244</v>
      </c>
      <c r="EB121" s="2" t="n">
        <f aca="false">IFERROR((M121-$F121)/$F121*100,"")</f>
        <v>0.0316346852030306</v>
      </c>
      <c r="EC121" s="2" t="n">
        <f aca="false">IFERROR((N121-$F121)/$F121*100,"")</f>
        <v>-0.0329085651441009</v>
      </c>
      <c r="ED121" s="2" t="n">
        <f aca="false">IFERROR((O121-$F121)/$F121*100,"")</f>
        <v>1.34946348423148</v>
      </c>
      <c r="EE121" s="2" t="n">
        <f aca="false">IFERROR((P121-$F121)/$F121*100,"")</f>
        <v>0.815707788926568</v>
      </c>
      <c r="EF121" s="2" t="n">
        <f aca="false">IFERROR((Q121-$F121)/$F121*100,"")</f>
        <v>-0.0980887554617772</v>
      </c>
      <c r="EG121" s="2" t="str">
        <f aca="false">IF(DV121="","",IF(AND(ABS(DV121)&lt;=0.25,$E121="Bottom",DK121="LL"),"EQL",IF(AND(ABS(DV121)&lt;=0.25,$E121="Peak",DK121="HH"),"EQH","")))</f>
        <v>EQH</v>
      </c>
      <c r="EH121" s="2" t="str">
        <f aca="false">IF(DW121="","",IF(AND(ABS(DW121)&lt;=0.25,$E121="Bottom",DL121="LL"),"EQL",IF(AND(ABS(DW121)&lt;=0.25,$E121="Peak",DL121="HH"),"EQH","")))</f>
        <v/>
      </c>
      <c r="EI121" s="2" t="str">
        <f aca="false">IF(DX121="","",IF(AND(ABS(DX121)&lt;=0.25,$E121="Bottom",DM121="LL"),"EQL",IF(AND(ABS(DX121)&lt;=0.25,$E121="Peak",DM121="HH"),"EQH","")))</f>
        <v/>
      </c>
      <c r="EJ121" s="2" t="str">
        <f aca="false">IF(DY121="","",IF(AND(ABS(DY121)&lt;=0.25,$E121="Bottom",DN121="LL"),"EQL",IF(AND(ABS(DY121)&lt;=0.25,$E121="Peak",DN121="HH"),"EQH","")))</f>
        <v/>
      </c>
      <c r="EK121" s="2" t="str">
        <f aca="false">IF(DZ121="","",IF(AND(ABS(DZ121)&lt;=0.25,$E121="Bottom",DO121="LL"),"EQL",IF(AND(ABS(DZ121)&lt;=0.25,$E121="Peak",DO121="HH"),"EQH","")))</f>
        <v/>
      </c>
      <c r="EL121" s="2" t="str">
        <f aca="false">IF(EA121="","",IF(AND(ABS(EA121)&lt;=0.25,$E121="Bottom",DP121="LL"),"EQL",IF(AND(ABS(EA121)&lt;=0.25,$E121="Peak",DP121="HH"),"EQH","")))</f>
        <v/>
      </c>
      <c r="EM121" s="2" t="str">
        <f aca="false">IF(EB121="","",IF(AND(ABS(EB121)&lt;=0.25,$E121="Bottom",DQ121="LL"),"EQL",IF(AND(ABS(EB121)&lt;=0.25,$E121="Peak",DQ121="HH"),"EQH","")))</f>
        <v>EQH</v>
      </c>
      <c r="EN121" s="2" t="str">
        <f aca="false">IF(EC121="","",IF(AND(ABS(EC121)&lt;=0.25,$E121="Bottom",DR121="LL"),"EQL",IF(AND(ABS(EC121)&lt;=0.25,$E121="Peak",DR121="HH"),"EQH","")))</f>
        <v/>
      </c>
      <c r="EO121" s="2" t="str">
        <f aca="false">IF(ED121="","",IF(AND(ABS(ED121)&lt;=0.25,$E121="Bottom",DS121="LL"),"EQL",IF(AND(ABS(ED121)&lt;=0.25,$E121="Peak",DS121="HH"),"EQH","")))</f>
        <v/>
      </c>
      <c r="EP121" s="2" t="str">
        <f aca="false">IF(EE121="","",IF(AND(ABS(EE121)&lt;=0.25,$E121="Bottom",DT121="LL"),"EQL",IF(AND(ABS(EE121)&lt;=0.25,$E121="Peak",DT121="HH"),"EQH","")))</f>
        <v/>
      </c>
      <c r="EQ121" s="2" t="str">
        <f aca="false">IF(EF121="","",IF(AND(ABS(EF121)&lt;=0.25,$E121="Bottom",DU121="LL"),"EQL",IF(AND(ABS(EF121)&lt;=0.25,$E121="Peak",DU121="HH"),"EQH","")))</f>
        <v/>
      </c>
      <c r="ER121" s="2" t="n">
        <f aca="false">IF(OR(EG121="EQL",EG121="EQH"),G121,"")</f>
        <v>4718.75</v>
      </c>
      <c r="ES121" s="2" t="str">
        <f aca="false">IF(OR(EH121="EQL",EH121="EQH"),H121,"")</f>
        <v/>
      </c>
      <c r="ET121" s="2" t="str">
        <f aca="false">IF(OR(EI121="EQL",EI121="EQH"),I121,"")</f>
        <v/>
      </c>
      <c r="EU121" s="2" t="str">
        <f aca="false">IF(OR(EJ121="EQL",EJ121="EQH"),J121,"")</f>
        <v/>
      </c>
      <c r="EV121" s="2" t="str">
        <f aca="false">IF(OR(EK121="EQL",EK121="EQH"),K121,"")</f>
        <v/>
      </c>
      <c r="EW121" s="2" t="str">
        <f aca="false">IF(OR(EL121="EQL",EL121="EQH"),L121,"")</f>
        <v/>
      </c>
      <c r="EX121" s="2" t="n">
        <f aca="false">IF(OR(EM121="EQL",EM121="EQH"),M121,"")</f>
        <v>4711.51</v>
      </c>
      <c r="EY121" s="2" t="str">
        <f aca="false">IF(OR(EN121="EQL",EN121="EQH"),N121,"")</f>
        <v/>
      </c>
      <c r="EZ121" s="2" t="str">
        <f aca="false">IF(OR(EO121="EQL",EO121="EQH"),O121,"")</f>
        <v/>
      </c>
      <c r="FA121" s="2" t="str">
        <f aca="false">IF(OR(EP121="EQL",EP121="EQH"),P121,"")</f>
        <v/>
      </c>
      <c r="FB121" s="2" t="str">
        <f aca="false">IF(OR(EQ121="EQL",EQ121="EQH"),Q121,"")</f>
        <v/>
      </c>
      <c r="FC121" s="2" t="str">
        <f aca="false">IF(AND(EG121="EQL",OR(AQ121=4,AQ121=5)),"IEQL",IF(AND(EG121="EQH",OR(AQ121=1,AQ121=2)),"IEQH",""))</f>
        <v/>
      </c>
      <c r="FD121" s="2" t="str">
        <f aca="false">IF(AND(EH121="EQL",OR(AR121=4,AR121=5)),"IEQL",IF(AND(EH121="EQH",OR(AR121=1,AR121=2)),"IEQH",""))</f>
        <v/>
      </c>
      <c r="FE121" s="2" t="str">
        <f aca="false">IF(AND(EI121="EQL",OR(AS121=4,AS121=5)),"IEQL",IF(AND(EI121="EQH",OR(AS121=1,AS121=2)),"IEQH",""))</f>
        <v/>
      </c>
      <c r="FF121" s="2" t="str">
        <f aca="false">IF(AND(EJ121="EQL",OR(AT121=4,AT121=5)),"IEQL",IF(AND(EJ121="EQH",OR(AT121=1,AT121=2)),"IEQH",""))</f>
        <v/>
      </c>
      <c r="FG121" s="2" t="str">
        <f aca="false">IF(AND(EK121="EQL",OR(AU121=4,AU121=5)),"IEQL",IF(AND(EK121="EQH",OR(AU121=1,AU121=2)),"IEQH",""))</f>
        <v/>
      </c>
      <c r="FH121" s="2" t="str">
        <f aca="false">IF(AND(EL121="EQL",OR(AV121=4,AV121=5)),"IEQL",IF(AND(EL121="EQH",OR(AV121=1,AV121=2)),"IEQH",""))</f>
        <v/>
      </c>
      <c r="FI121" s="2" t="str">
        <f aca="false">IF(AND(EM121="EQL",OR(AW121=4,AW121=5)),"IEQL",IF(AND(EM121="EQH",OR(AW121=1,AW121=2)),"IEQH",""))</f>
        <v/>
      </c>
      <c r="FJ121" s="2" t="str">
        <f aca="false">IF(AND(EN121="EQL",OR(AX121=4,AX121=5)),"IEQL",IF(AND(EN121="EQH",OR(AX121=1,AX121=2)),"IEQH",""))</f>
        <v/>
      </c>
      <c r="FK121" s="2" t="str">
        <f aca="false">IF(AND(EO121="EQL",OR(AY121=4,AY121=5)),"IEQL",IF(AND(EO121="EQH",OR(AY121=1,AY121=2)),"IEQH",""))</f>
        <v/>
      </c>
      <c r="FL121" s="2" t="str">
        <f aca="false">IF(AND(EP121="EQL",OR(AZ121=4,AZ121=5)),"IEQL",IF(AND(EP121="EQH",OR(AZ121=1,AZ121=2)),"IEQH",""))</f>
        <v/>
      </c>
      <c r="FM121" s="2" t="str">
        <f aca="false">IF(AND(EQ121="EQL",OR(BA121=4,BA121=5)),"IEQL",IF(AND(EQ121="EQH",OR(BA121=1,BA121=2)),"IEQH",""))</f>
        <v/>
      </c>
    </row>
    <row r="122" customFormat="false" ht="14.25" hidden="false" customHeight="false" outlineLevel="0" collapsed="false">
      <c r="A122" s="1" t="n">
        <v>1778790602</v>
      </c>
      <c r="B122" s="1" t="s">
        <v>169</v>
      </c>
      <c r="C122" s="1" t="s">
        <v>170</v>
      </c>
      <c r="D122" s="1" t="n">
        <v>4650.83</v>
      </c>
      <c r="E122" s="1" t="s">
        <v>171</v>
      </c>
      <c r="F122" s="1" t="n">
        <v>4644.4</v>
      </c>
      <c r="G122" s="2" t="n">
        <f aca="false">F120</f>
        <v>4688.47</v>
      </c>
      <c r="H122" s="2" t="n">
        <f aca="false">F118</f>
        <v>4668.77</v>
      </c>
      <c r="I122" s="2" t="n">
        <f aca="false">F116</f>
        <v>4677.64</v>
      </c>
      <c r="J122" s="2" t="n">
        <f aca="false">F114</f>
        <v>4669.65</v>
      </c>
      <c r="K122" s="2" t="n">
        <f aca="false">F112</f>
        <v>4685.97</v>
      </c>
      <c r="L122" s="2" t="n">
        <f aca="false">F110</f>
        <v>4687.6</v>
      </c>
      <c r="M122" s="2" t="n">
        <f aca="false">F108</f>
        <v>4638.57</v>
      </c>
      <c r="N122" s="2" t="n">
        <f aca="false">F106</f>
        <v>4685.14</v>
      </c>
      <c r="O122" s="2" t="n">
        <f aca="false">F104</f>
        <v>4687.49</v>
      </c>
      <c r="P122" s="2" t="n">
        <f aca="false">F102</f>
        <v>4707.97</v>
      </c>
      <c r="Q122" s="2" t="n">
        <f aca="false">F100</f>
        <v>4647.85</v>
      </c>
      <c r="R122" s="1" t="n">
        <v>-65.62</v>
      </c>
      <c r="S122" s="2" t="n">
        <f aca="false">R120</f>
        <v>-30.28</v>
      </c>
      <c r="T122" s="2" t="n">
        <f aca="false">R118</f>
        <v>-38.04</v>
      </c>
      <c r="U122" s="2" t="n">
        <f aca="false">R116</f>
        <v>-32.07</v>
      </c>
      <c r="V122" s="2" t="n">
        <f aca="false">R114</f>
        <v>-40.73</v>
      </c>
      <c r="W122" s="2" t="n">
        <f aca="false">R112</f>
        <v>-29.38</v>
      </c>
      <c r="X122" s="2" t="n">
        <f aca="false">R110</f>
        <v>-39.16</v>
      </c>
      <c r="Y122" s="2" t="n">
        <f aca="false">R108</f>
        <v>-72.94</v>
      </c>
      <c r="Z122" s="2" t="n">
        <f aca="false">R106</f>
        <v>-23.33</v>
      </c>
      <c r="AA122" s="2" t="n">
        <f aca="false">R104</f>
        <v>-86.09</v>
      </c>
      <c r="AB122" s="2" t="n">
        <f aca="false">R102</f>
        <v>-40.47</v>
      </c>
      <c r="AC122" s="2" t="n">
        <f aca="false">R100</f>
        <v>-57.55</v>
      </c>
      <c r="AD122" s="1" t="n">
        <v>-1.39</v>
      </c>
      <c r="AE122" s="2" t="n">
        <f aca="false">AD120</f>
        <v>-0.64</v>
      </c>
      <c r="AF122" s="2" t="n">
        <f aca="false">AD118</f>
        <v>-0.81</v>
      </c>
      <c r="AG122" s="2" t="n">
        <f aca="false">AD116</f>
        <v>-0.68</v>
      </c>
      <c r="AH122" s="2" t="n">
        <f aca="false">AD114</f>
        <v>-0.86</v>
      </c>
      <c r="AI122" s="2" t="n">
        <f aca="false">AD112</f>
        <v>-0.62</v>
      </c>
      <c r="AJ122" s="2" t="n">
        <f aca="false">AD110</f>
        <v>-0.83</v>
      </c>
      <c r="AK122" s="2" t="n">
        <f aca="false">AD108</f>
        <v>-1.55</v>
      </c>
      <c r="AL122" s="2" t="n">
        <f aca="false">AD106</f>
        <v>-0.5</v>
      </c>
      <c r="AM122" s="2" t="n">
        <f aca="false">AD104</f>
        <v>-1.8</v>
      </c>
      <c r="AN122" s="2" t="n">
        <f aca="false">AD102</f>
        <v>-0.85</v>
      </c>
      <c r="AO122" s="2" t="n">
        <f aca="false">AD100</f>
        <v>-1.22</v>
      </c>
      <c r="AP122" s="1" t="n">
        <v>3</v>
      </c>
      <c r="AQ122" s="2" t="n">
        <f aca="false">AP120</f>
        <v>3</v>
      </c>
      <c r="AR122" s="2" t="n">
        <f aca="false">AP118</f>
        <v>3</v>
      </c>
      <c r="AS122" s="2" t="n">
        <f aca="false">AP116</f>
        <v>3</v>
      </c>
      <c r="AT122" s="2" t="n">
        <f aca="false">AP114</f>
        <v>3</v>
      </c>
      <c r="AU122" s="2" t="n">
        <f aca="false">AP112</f>
        <v>3</v>
      </c>
      <c r="AV122" s="2" t="n">
        <f aca="false">AP110</f>
        <v>3</v>
      </c>
      <c r="AW122" s="2" t="n">
        <f aca="false">AP108</f>
        <v>3</v>
      </c>
      <c r="AX122" s="2" t="n">
        <f aca="false">AP106</f>
        <v>3</v>
      </c>
      <c r="AY122" s="2" t="n">
        <f aca="false">AP104</f>
        <v>3</v>
      </c>
      <c r="AZ122" s="2" t="n">
        <f aca="false">AP102</f>
        <v>3</v>
      </c>
      <c r="BA122" s="2" t="n">
        <f aca="false">AP100</f>
        <v>3</v>
      </c>
      <c r="BB122" s="1" t="n">
        <v>32</v>
      </c>
      <c r="BC122" s="2" t="n">
        <f aca="false">BB120</f>
        <v>8</v>
      </c>
      <c r="BD122" s="2" t="n">
        <f aca="false">BB118</f>
        <v>13</v>
      </c>
      <c r="BE122" s="2" t="n">
        <f aca="false">BB116</f>
        <v>10</v>
      </c>
      <c r="BF122" s="2" t="n">
        <f aca="false">BB114</f>
        <v>15</v>
      </c>
      <c r="BG122" s="2" t="n">
        <f aca="false">BB112</f>
        <v>13</v>
      </c>
      <c r="BH122" s="2" t="n">
        <f aca="false">BB110</f>
        <v>11</v>
      </c>
      <c r="BI122" s="2" t="n">
        <f aca="false">BB108</f>
        <v>10</v>
      </c>
      <c r="BJ122" s="2" t="n">
        <f aca="false">BB106</f>
        <v>2</v>
      </c>
      <c r="BK122" s="2" t="n">
        <f aca="false">BB104</f>
        <v>27</v>
      </c>
      <c r="BL122" s="2" t="n">
        <f aca="false">BB102</f>
        <v>11</v>
      </c>
      <c r="BM122" s="2" t="n">
        <f aca="false">BB100</f>
        <v>18</v>
      </c>
      <c r="BN122" s="1" t="n">
        <v>4</v>
      </c>
      <c r="BO122" s="2" t="n">
        <f aca="false">BN120</f>
        <v>3</v>
      </c>
      <c r="BP122" s="2" t="n">
        <f aca="false">BN118</f>
        <v>3</v>
      </c>
      <c r="BQ122" s="2" t="n">
        <f aca="false">BN116</f>
        <v>3</v>
      </c>
      <c r="BR122" s="2" t="n">
        <f aca="false">BN114</f>
        <v>3</v>
      </c>
      <c r="BS122" s="2" t="n">
        <f aca="false">BN112</f>
        <v>3</v>
      </c>
      <c r="BT122" s="2" t="n">
        <f aca="false">BN110</f>
        <v>3</v>
      </c>
      <c r="BU122" s="2" t="n">
        <f aca="false">BN108</f>
        <v>3</v>
      </c>
      <c r="BV122" s="2" t="n">
        <f aca="false">BN106</f>
        <v>3</v>
      </c>
      <c r="BW122" s="2" t="n">
        <f aca="false">BN104</f>
        <v>3</v>
      </c>
      <c r="BX122" s="2" t="n">
        <f aca="false">BN102</f>
        <v>3</v>
      </c>
      <c r="BY122" s="2" t="n">
        <f aca="false">BN100</f>
        <v>3</v>
      </c>
      <c r="BZ122" s="1" t="n">
        <v>-2.05063</v>
      </c>
      <c r="CA122" s="2" t="n">
        <f aca="false">BZ120</f>
        <v>-3.785</v>
      </c>
      <c r="CB122" s="2" t="n">
        <f aca="false">BZ118</f>
        <v>-2.92615</v>
      </c>
      <c r="CC122" s="2" t="n">
        <f aca="false">BZ116</f>
        <v>-3.207</v>
      </c>
      <c r="CD122" s="2" t="n">
        <f aca="false">BZ114</f>
        <v>-2.71533</v>
      </c>
      <c r="CE122" s="2" t="n">
        <f aca="false">BZ112</f>
        <v>-2.26</v>
      </c>
      <c r="CF122" s="2" t="n">
        <f aca="false">BZ110</f>
        <v>-3.56</v>
      </c>
      <c r="CG122" s="2" t="n">
        <f aca="false">BZ108</f>
        <v>-7.294</v>
      </c>
      <c r="CH122" s="2" t="n">
        <f aca="false">BZ106</f>
        <v>-11.665</v>
      </c>
      <c r="CI122" s="2" t="n">
        <f aca="false">BZ104</f>
        <v>-3.18852</v>
      </c>
      <c r="CJ122" s="2" t="n">
        <f aca="false">BZ102</f>
        <v>-3.67909</v>
      </c>
      <c r="CK122" s="2" t="n">
        <f aca="false">BZ100</f>
        <v>-3.19722</v>
      </c>
      <c r="CL122" s="1" t="n">
        <v>3</v>
      </c>
      <c r="CM122" s="2" t="n">
        <f aca="false">CL120</f>
        <v>3</v>
      </c>
      <c r="CN122" s="2" t="n">
        <f aca="false">CL118</f>
        <v>3</v>
      </c>
      <c r="CO122" s="2" t="n">
        <f aca="false">CL116</f>
        <v>3</v>
      </c>
      <c r="CP122" s="2" t="n">
        <f aca="false">CL114</f>
        <v>3</v>
      </c>
      <c r="CQ122" s="2" t="n">
        <f aca="false">CL112</f>
        <v>3</v>
      </c>
      <c r="CR122" s="2" t="n">
        <f aca="false">CL110</f>
        <v>3</v>
      </c>
      <c r="CS122" s="2" t="n">
        <f aca="false">CL108</f>
        <v>3</v>
      </c>
      <c r="CT122" s="2" t="n">
        <f aca="false">CL106</f>
        <v>4</v>
      </c>
      <c r="CU122" s="2" t="n">
        <f aca="false">CL104</f>
        <v>3</v>
      </c>
      <c r="CV122" s="2" t="n">
        <f aca="false">CL102</f>
        <v>3</v>
      </c>
      <c r="CW122" s="2" t="n">
        <f aca="false">CL100</f>
        <v>3</v>
      </c>
      <c r="CX122" s="1" t="n">
        <v>-64.0035</v>
      </c>
      <c r="CY122" s="2" t="n">
        <f aca="false">CX120</f>
        <v>-75.2006</v>
      </c>
      <c r="CZ122" s="2" t="n">
        <f aca="false">CX118</f>
        <v>-71.1324</v>
      </c>
      <c r="DA122" s="2" t="n">
        <f aca="false">CX116</f>
        <v>-72.6816</v>
      </c>
      <c r="DB122" s="2" t="n">
        <f aca="false">CX114</f>
        <v>-69.7823</v>
      </c>
      <c r="DC122" s="2" t="n">
        <f aca="false">CX112</f>
        <v>-66.1317</v>
      </c>
      <c r="DD122" s="2" t="n">
        <f aca="false">CX110</f>
        <v>-74.31</v>
      </c>
      <c r="DE122" s="2" t="n">
        <f aca="false">CX108</f>
        <v>-82.1935</v>
      </c>
      <c r="DF122" s="2" t="n">
        <f aca="false">CX106</f>
        <v>-85.1002</v>
      </c>
      <c r="DG122" s="2" t="n">
        <f aca="false">CX104</f>
        <v>-72.5873</v>
      </c>
      <c r="DH122" s="2" t="n">
        <f aca="false">CX102</f>
        <v>-74.794</v>
      </c>
      <c r="DI122" s="2" t="n">
        <f aca="false">CX100</f>
        <v>-72.6318</v>
      </c>
      <c r="DJ122" s="1" t="s">
        <v>172</v>
      </c>
      <c r="DK122" s="2" t="str">
        <f aca="false">DJ120</f>
        <v>HL</v>
      </c>
      <c r="DL122" s="2" t="str">
        <f aca="false">DJ118</f>
        <v>LL</v>
      </c>
      <c r="DM122" s="2" t="str">
        <f aca="false">DJ116</f>
        <v>HL</v>
      </c>
      <c r="DN122" s="2" t="str">
        <f aca="false">DJ114</f>
        <v>LL</v>
      </c>
      <c r="DO122" s="2" t="str">
        <f aca="false">DJ112</f>
        <v>LL</v>
      </c>
      <c r="DP122" s="2" t="str">
        <f aca="false">DJ110</f>
        <v>HL</v>
      </c>
      <c r="DQ122" s="2" t="str">
        <f aca="false">DJ108</f>
        <v>LL</v>
      </c>
      <c r="DR122" s="2" t="str">
        <f aca="false">DJ106</f>
        <v>LL</v>
      </c>
      <c r="DS122" s="2" t="str">
        <f aca="false">DJ104</f>
        <v>LL</v>
      </c>
      <c r="DT122" s="2" t="str">
        <f aca="false">DJ102</f>
        <v>HL</v>
      </c>
      <c r="DU122" s="2" t="str">
        <f aca="false">DJ100</f>
        <v>LL</v>
      </c>
      <c r="DV122" s="2" t="n">
        <f aca="false">IFERROR((G122-$F122)/$F122*100,"")</f>
        <v>0.948884678322294</v>
      </c>
      <c r="DW122" s="2" t="n">
        <f aca="false">IFERROR((H122-$F122)/$F122*100,"")</f>
        <v>0.52471793988461</v>
      </c>
      <c r="DX122" s="2" t="n">
        <f aca="false">IFERROR((I122-$F122)/$F122*100,"")</f>
        <v>0.715700628714165</v>
      </c>
      <c r="DY122" s="2" t="n">
        <f aca="false">IFERROR((J122-$F122)/$F122*100,"")</f>
        <v>0.54366548962191</v>
      </c>
      <c r="DZ122" s="2" t="n">
        <f aca="false">IFERROR((K122-$F122)/$F122*100,"")</f>
        <v>0.895056412023095</v>
      </c>
      <c r="EA122" s="2" t="n">
        <f aca="false">IFERROR((L122-$F122)/$F122*100,"")</f>
        <v>0.930152441650175</v>
      </c>
      <c r="EB122" s="2" t="n">
        <f aca="false">IFERROR((M122-$F122)/$F122*100,"")</f>
        <v>-0.125527517009731</v>
      </c>
      <c r="EC122" s="2" t="n">
        <f aca="false">IFERROR((N122-$F122)/$F122*100,"")</f>
        <v>0.877185427611762</v>
      </c>
      <c r="ED122" s="2" t="n">
        <f aca="false">IFERROR((O122-$F122)/$F122*100,"")</f>
        <v>0.927783997932998</v>
      </c>
      <c r="EE122" s="2" t="n">
        <f aca="false">IFERROR((P122-$F122)/$F122*100,"")</f>
        <v>1.36874515545605</v>
      </c>
      <c r="EF122" s="2" t="n">
        <f aca="false">IFERROR((Q122-$F122)/$F122*100,"")</f>
        <v>0.0742830074929103</v>
      </c>
      <c r="EG122" s="2" t="str">
        <f aca="false">IF(DV122="","",IF(AND(ABS(DV122)&lt;=0.25,$E122="Bottom",DK122="LL"),"EQL",IF(AND(ABS(DV122)&lt;=0.25,$E122="Peak",DK122="HH"),"EQH","")))</f>
        <v/>
      </c>
      <c r="EH122" s="2" t="str">
        <f aca="false">IF(DW122="","",IF(AND(ABS(DW122)&lt;=0.25,$E122="Bottom",DL122="LL"),"EQL",IF(AND(ABS(DW122)&lt;=0.25,$E122="Peak",DL122="HH"),"EQH","")))</f>
        <v/>
      </c>
      <c r="EI122" s="2" t="str">
        <f aca="false">IF(DX122="","",IF(AND(ABS(DX122)&lt;=0.25,$E122="Bottom",DM122="LL"),"EQL",IF(AND(ABS(DX122)&lt;=0.25,$E122="Peak",DM122="HH"),"EQH","")))</f>
        <v/>
      </c>
      <c r="EJ122" s="2" t="str">
        <f aca="false">IF(DY122="","",IF(AND(ABS(DY122)&lt;=0.25,$E122="Bottom",DN122="LL"),"EQL",IF(AND(ABS(DY122)&lt;=0.25,$E122="Peak",DN122="HH"),"EQH","")))</f>
        <v/>
      </c>
      <c r="EK122" s="2" t="str">
        <f aca="false">IF(DZ122="","",IF(AND(ABS(DZ122)&lt;=0.25,$E122="Bottom",DO122="LL"),"EQL",IF(AND(ABS(DZ122)&lt;=0.25,$E122="Peak",DO122="HH"),"EQH","")))</f>
        <v/>
      </c>
      <c r="EL122" s="2" t="str">
        <f aca="false">IF(EA122="","",IF(AND(ABS(EA122)&lt;=0.25,$E122="Bottom",DP122="LL"),"EQL",IF(AND(ABS(EA122)&lt;=0.25,$E122="Peak",DP122="HH"),"EQH","")))</f>
        <v/>
      </c>
      <c r="EM122" s="2" t="str">
        <f aca="false">IF(EB122="","",IF(AND(ABS(EB122)&lt;=0.25,$E122="Bottom",DQ122="LL"),"EQL",IF(AND(ABS(EB122)&lt;=0.25,$E122="Peak",DQ122="HH"),"EQH","")))</f>
        <v>EQL</v>
      </c>
      <c r="EN122" s="2" t="str">
        <f aca="false">IF(EC122="","",IF(AND(ABS(EC122)&lt;=0.25,$E122="Bottom",DR122="LL"),"EQL",IF(AND(ABS(EC122)&lt;=0.25,$E122="Peak",DR122="HH"),"EQH","")))</f>
        <v/>
      </c>
      <c r="EO122" s="2" t="str">
        <f aca="false">IF(ED122="","",IF(AND(ABS(ED122)&lt;=0.25,$E122="Bottom",DS122="LL"),"EQL",IF(AND(ABS(ED122)&lt;=0.25,$E122="Peak",DS122="HH"),"EQH","")))</f>
        <v/>
      </c>
      <c r="EP122" s="2" t="str">
        <f aca="false">IF(EE122="","",IF(AND(ABS(EE122)&lt;=0.25,$E122="Bottom",DT122="LL"),"EQL",IF(AND(ABS(EE122)&lt;=0.25,$E122="Peak",DT122="HH"),"EQH","")))</f>
        <v/>
      </c>
      <c r="EQ122" s="2" t="str">
        <f aca="false">IF(EF122="","",IF(AND(ABS(EF122)&lt;=0.25,$E122="Bottom",DU122="LL"),"EQL",IF(AND(ABS(EF122)&lt;=0.25,$E122="Peak",DU122="HH"),"EQH","")))</f>
        <v>EQL</v>
      </c>
      <c r="ER122" s="2" t="str">
        <f aca="false">IF(OR(EG122="EQL",EG122="EQH"),G122,"")</f>
        <v/>
      </c>
      <c r="ES122" s="2" t="str">
        <f aca="false">IF(OR(EH122="EQL",EH122="EQH"),H122,"")</f>
        <v/>
      </c>
      <c r="ET122" s="2" t="str">
        <f aca="false">IF(OR(EI122="EQL",EI122="EQH"),I122,"")</f>
        <v/>
      </c>
      <c r="EU122" s="2" t="str">
        <f aca="false">IF(OR(EJ122="EQL",EJ122="EQH"),J122,"")</f>
        <v/>
      </c>
      <c r="EV122" s="2" t="str">
        <f aca="false">IF(OR(EK122="EQL",EK122="EQH"),K122,"")</f>
        <v/>
      </c>
      <c r="EW122" s="2" t="str">
        <f aca="false">IF(OR(EL122="EQL",EL122="EQH"),L122,"")</f>
        <v/>
      </c>
      <c r="EX122" s="2" t="n">
        <f aca="false">IF(OR(EM122="EQL",EM122="EQH"),M122,"")</f>
        <v>4638.57</v>
      </c>
      <c r="EY122" s="2" t="str">
        <f aca="false">IF(OR(EN122="EQL",EN122="EQH"),N122,"")</f>
        <v/>
      </c>
      <c r="EZ122" s="2" t="str">
        <f aca="false">IF(OR(EO122="EQL",EO122="EQH"),O122,"")</f>
        <v/>
      </c>
      <c r="FA122" s="2" t="str">
        <f aca="false">IF(OR(EP122="EQL",EP122="EQH"),P122,"")</f>
        <v/>
      </c>
      <c r="FB122" s="2" t="n">
        <f aca="false">IF(OR(EQ122="EQL",EQ122="EQH"),Q122,"")</f>
        <v>4647.85</v>
      </c>
      <c r="FC122" s="2" t="str">
        <f aca="false">IF(AND(EG122="EQL",OR(AQ122=4,AQ122=5)),"IEQL",IF(AND(EG122="EQH",OR(AQ122=1,AQ122=2)),"IEQH",""))</f>
        <v/>
      </c>
      <c r="FD122" s="2" t="str">
        <f aca="false">IF(AND(EH122="EQL",OR(AR122=4,AR122=5)),"IEQL",IF(AND(EH122="EQH",OR(AR122=1,AR122=2)),"IEQH",""))</f>
        <v/>
      </c>
      <c r="FE122" s="2" t="str">
        <f aca="false">IF(AND(EI122="EQL",OR(AS122=4,AS122=5)),"IEQL",IF(AND(EI122="EQH",OR(AS122=1,AS122=2)),"IEQH",""))</f>
        <v/>
      </c>
      <c r="FF122" s="2" t="str">
        <f aca="false">IF(AND(EJ122="EQL",OR(AT122=4,AT122=5)),"IEQL",IF(AND(EJ122="EQH",OR(AT122=1,AT122=2)),"IEQH",""))</f>
        <v/>
      </c>
      <c r="FG122" s="2" t="str">
        <f aca="false">IF(AND(EK122="EQL",OR(AU122=4,AU122=5)),"IEQL",IF(AND(EK122="EQH",OR(AU122=1,AU122=2)),"IEQH",""))</f>
        <v/>
      </c>
      <c r="FH122" s="2" t="str">
        <f aca="false">IF(AND(EL122="EQL",OR(AV122=4,AV122=5)),"IEQL",IF(AND(EL122="EQH",OR(AV122=1,AV122=2)),"IEQH",""))</f>
        <v/>
      </c>
      <c r="FI122" s="2" t="str">
        <f aca="false">IF(AND(EM122="EQL",OR(AW122=4,AW122=5)),"IEQL",IF(AND(EM122="EQH",OR(AW122=1,AW122=2)),"IEQH",""))</f>
        <v/>
      </c>
      <c r="FJ122" s="2" t="str">
        <f aca="false">IF(AND(EN122="EQL",OR(AX122=4,AX122=5)),"IEQL",IF(AND(EN122="EQH",OR(AX122=1,AX122=2)),"IEQH",""))</f>
        <v/>
      </c>
      <c r="FK122" s="2" t="str">
        <f aca="false">IF(AND(EO122="EQL",OR(AY122=4,AY122=5)),"IEQL",IF(AND(EO122="EQH",OR(AY122=1,AY122=2)),"IEQH",""))</f>
        <v/>
      </c>
      <c r="FL122" s="2" t="str">
        <f aca="false">IF(AND(EP122="EQL",OR(AZ122=4,AZ122=5)),"IEQL",IF(AND(EP122="EQH",OR(AZ122=1,AZ122=2)),"IEQH",""))</f>
        <v/>
      </c>
      <c r="FM122" s="2" t="str">
        <f aca="false">IF(AND(EQ122="EQL",OR(BA122=4,BA122=5)),"IEQL",IF(AND(EQ122="EQH",OR(BA122=1,BA122=2)),"IEQH",""))</f>
        <v/>
      </c>
    </row>
    <row r="123" customFormat="false" ht="14.25" hidden="false" customHeight="false" outlineLevel="0" collapsed="false">
      <c r="A123" s="1" t="n">
        <v>1778801402</v>
      </c>
      <c r="B123" s="1" t="s">
        <v>169</v>
      </c>
      <c r="C123" s="1" t="s">
        <v>170</v>
      </c>
      <c r="D123" s="1" t="n">
        <v>4657.34</v>
      </c>
      <c r="E123" s="1" t="s">
        <v>173</v>
      </c>
      <c r="F123" s="1" t="n">
        <v>4665.35</v>
      </c>
      <c r="G123" s="2" t="n">
        <f aca="false">F121</f>
        <v>4710.02</v>
      </c>
      <c r="H123" s="2" t="n">
        <f aca="false">F119</f>
        <v>4718.75</v>
      </c>
      <c r="I123" s="2" t="n">
        <f aca="false">F117</f>
        <v>4706.81</v>
      </c>
      <c r="J123" s="2" t="n">
        <f aca="false">F115</f>
        <v>4709.71</v>
      </c>
      <c r="K123" s="2" t="n">
        <f aca="false">F113</f>
        <v>4710.38</v>
      </c>
      <c r="L123" s="2" t="n">
        <f aca="false">F111</f>
        <v>4715.35</v>
      </c>
      <c r="M123" s="2" t="n">
        <f aca="false">F109</f>
        <v>4726.76</v>
      </c>
      <c r="N123" s="2" t="n">
        <f aca="false">F107</f>
        <v>4711.51</v>
      </c>
      <c r="O123" s="2" t="n">
        <f aca="false">F105</f>
        <v>4708.47</v>
      </c>
      <c r="P123" s="2" t="n">
        <f aca="false">F103</f>
        <v>4773.58</v>
      </c>
      <c r="Q123" s="2" t="n">
        <f aca="false">F101</f>
        <v>4748.44</v>
      </c>
      <c r="R123" s="1" t="n">
        <v>20.95</v>
      </c>
      <c r="S123" s="2" t="n">
        <f aca="false">R121</f>
        <v>21.55</v>
      </c>
      <c r="T123" s="2" t="n">
        <f aca="false">R119</f>
        <v>49.98</v>
      </c>
      <c r="U123" s="2" t="n">
        <f aca="false">R117</f>
        <v>29.17</v>
      </c>
      <c r="V123" s="2" t="n">
        <f aca="false">R115</f>
        <v>40.06</v>
      </c>
      <c r="W123" s="2" t="n">
        <f aca="false">R113</f>
        <v>24.41</v>
      </c>
      <c r="X123" s="2" t="n">
        <f aca="false">R111</f>
        <v>27.75</v>
      </c>
      <c r="Y123" s="2" t="n">
        <f aca="false">R109</f>
        <v>88.19</v>
      </c>
      <c r="Z123" s="2" t="n">
        <f aca="false">R107</f>
        <v>26.37</v>
      </c>
      <c r="AA123" s="2" t="n">
        <f aca="false">R105</f>
        <v>20.98</v>
      </c>
      <c r="AB123" s="2" t="n">
        <f aca="false">R103</f>
        <v>65.61</v>
      </c>
      <c r="AC123" s="2" t="n">
        <f aca="false">R101</f>
        <v>100.59</v>
      </c>
      <c r="AD123" s="1" t="n">
        <v>0.45</v>
      </c>
      <c r="AE123" s="2" t="n">
        <f aca="false">AD121</f>
        <v>0.46</v>
      </c>
      <c r="AF123" s="2" t="n">
        <f aca="false">AD119</f>
        <v>1.07</v>
      </c>
      <c r="AG123" s="2" t="n">
        <f aca="false">AD117</f>
        <v>0.62</v>
      </c>
      <c r="AH123" s="2" t="n">
        <f aca="false">AD115</f>
        <v>0.86</v>
      </c>
      <c r="AI123" s="2" t="n">
        <f aca="false">AD113</f>
        <v>0.52</v>
      </c>
      <c r="AJ123" s="2" t="n">
        <f aca="false">AD111</f>
        <v>0.59</v>
      </c>
      <c r="AK123" s="2" t="n">
        <f aca="false">AD109</f>
        <v>1.9</v>
      </c>
      <c r="AL123" s="2" t="n">
        <f aca="false">AD107</f>
        <v>0.56</v>
      </c>
      <c r="AM123" s="2" t="n">
        <f aca="false">AD105</f>
        <v>0.45</v>
      </c>
      <c r="AN123" s="2" t="n">
        <f aca="false">AD103</f>
        <v>1.39</v>
      </c>
      <c r="AO123" s="2" t="n">
        <f aca="false">AD101</f>
        <v>2.16</v>
      </c>
      <c r="AP123" s="1" t="n">
        <v>0</v>
      </c>
      <c r="AQ123" s="2" t="n">
        <f aca="false">AP121</f>
        <v>0</v>
      </c>
      <c r="AR123" s="2" t="n">
        <f aca="false">AP119</f>
        <v>0</v>
      </c>
      <c r="AS123" s="2" t="n">
        <f aca="false">AP117</f>
        <v>0</v>
      </c>
      <c r="AT123" s="2" t="n">
        <f aca="false">AP115</f>
        <v>0</v>
      </c>
      <c r="AU123" s="2" t="n">
        <f aca="false">AP113</f>
        <v>0</v>
      </c>
      <c r="AV123" s="2" t="n">
        <f aca="false">AP111</f>
        <v>0</v>
      </c>
      <c r="AW123" s="2" t="n">
        <f aca="false">AP109</f>
        <v>0</v>
      </c>
      <c r="AX123" s="2" t="n">
        <f aca="false">AP107</f>
        <v>0</v>
      </c>
      <c r="AY123" s="2" t="n">
        <f aca="false">AP105</f>
        <v>0</v>
      </c>
      <c r="AZ123" s="2" t="n">
        <f aca="false">AP103</f>
        <v>0</v>
      </c>
      <c r="BA123" s="2" t="n">
        <f aca="false">AP101</f>
        <v>1</v>
      </c>
      <c r="BB123" s="1" t="n">
        <v>8</v>
      </c>
      <c r="BC123" s="2" t="n">
        <f aca="false">BB121</f>
        <v>12</v>
      </c>
      <c r="BD123" s="2" t="n">
        <f aca="false">BB119</f>
        <v>14</v>
      </c>
      <c r="BE123" s="2" t="n">
        <f aca="false">BB117</f>
        <v>20</v>
      </c>
      <c r="BF123" s="2" t="n">
        <f aca="false">BB115</f>
        <v>10</v>
      </c>
      <c r="BG123" s="2" t="n">
        <f aca="false">BB113</f>
        <v>2</v>
      </c>
      <c r="BH123" s="2" t="n">
        <f aca="false">BB111</f>
        <v>14</v>
      </c>
      <c r="BI123" s="2" t="n">
        <f aca="false">BB109</f>
        <v>31</v>
      </c>
      <c r="BJ123" s="2" t="n">
        <f aca="false">BB107</f>
        <v>9</v>
      </c>
      <c r="BK123" s="2" t="n">
        <f aca="false">BB105</f>
        <v>12</v>
      </c>
      <c r="BL123" s="2" t="n">
        <f aca="false">BB103</f>
        <v>27</v>
      </c>
      <c r="BM123" s="2" t="n">
        <f aca="false">BB101</f>
        <v>32</v>
      </c>
      <c r="BN123" s="1" t="n">
        <v>0</v>
      </c>
      <c r="BO123" s="2" t="n">
        <f aca="false">BN121</f>
        <v>0</v>
      </c>
      <c r="BP123" s="2" t="n">
        <f aca="false">BN119</f>
        <v>0</v>
      </c>
      <c r="BQ123" s="2" t="n">
        <f aca="false">BN117</f>
        <v>0</v>
      </c>
      <c r="BR123" s="2" t="n">
        <f aca="false">BN115</f>
        <v>0</v>
      </c>
      <c r="BS123" s="2" t="n">
        <f aca="false">BN113</f>
        <v>0</v>
      </c>
      <c r="BT123" s="2" t="n">
        <f aca="false">BN111</f>
        <v>0</v>
      </c>
      <c r="BU123" s="2" t="n">
        <f aca="false">BN109</f>
        <v>0</v>
      </c>
      <c r="BV123" s="2" t="n">
        <f aca="false">BN107</f>
        <v>0</v>
      </c>
      <c r="BW123" s="2" t="n">
        <f aca="false">BN105</f>
        <v>0</v>
      </c>
      <c r="BX123" s="2" t="n">
        <f aca="false">BN103</f>
        <v>0</v>
      </c>
      <c r="BY123" s="2" t="n">
        <f aca="false">BN101</f>
        <v>1</v>
      </c>
      <c r="BZ123" s="1" t="n">
        <v>2.61875</v>
      </c>
      <c r="CA123" s="2" t="n">
        <f aca="false">BZ121</f>
        <v>1.79583</v>
      </c>
      <c r="CB123" s="2" t="n">
        <f aca="false">BZ119</f>
        <v>3.57</v>
      </c>
      <c r="CC123" s="2" t="n">
        <f aca="false">BZ117</f>
        <v>1.4585</v>
      </c>
      <c r="CD123" s="2" t="n">
        <f aca="false">BZ115</f>
        <v>4.006</v>
      </c>
      <c r="CE123" s="2" t="n">
        <f aca="false">BZ113</f>
        <v>12.205</v>
      </c>
      <c r="CF123" s="2" t="n">
        <f aca="false">BZ111</f>
        <v>1.98214</v>
      </c>
      <c r="CG123" s="2" t="n">
        <f aca="false">BZ109</f>
        <v>2.84484</v>
      </c>
      <c r="CH123" s="2" t="n">
        <f aca="false">BZ107</f>
        <v>2.93</v>
      </c>
      <c r="CI123" s="2" t="n">
        <f aca="false">BZ105</f>
        <v>1.74833</v>
      </c>
      <c r="CJ123" s="2" t="n">
        <f aca="false">BZ103</f>
        <v>2.43</v>
      </c>
      <c r="CK123" s="2" t="n">
        <f aca="false">BZ101</f>
        <v>3.14344</v>
      </c>
      <c r="CL123" s="1" t="n">
        <v>0</v>
      </c>
      <c r="CM123" s="2" t="n">
        <f aca="false">CL121</f>
        <v>0</v>
      </c>
      <c r="CN123" s="2" t="n">
        <f aca="false">CL119</f>
        <v>0</v>
      </c>
      <c r="CO123" s="2" t="n">
        <f aca="false">CL117</f>
        <v>0</v>
      </c>
      <c r="CP123" s="2" t="n">
        <f aca="false">CL115</f>
        <v>0</v>
      </c>
      <c r="CQ123" s="2" t="n">
        <f aca="false">CL113</f>
        <v>1</v>
      </c>
      <c r="CR123" s="2" t="n">
        <f aca="false">CL111</f>
        <v>0</v>
      </c>
      <c r="CS123" s="2" t="n">
        <f aca="false">CL109</f>
        <v>0</v>
      </c>
      <c r="CT123" s="2" t="n">
        <f aca="false">CL107</f>
        <v>0</v>
      </c>
      <c r="CU123" s="2" t="n">
        <f aca="false">CL105</f>
        <v>0</v>
      </c>
      <c r="CV123" s="2" t="n">
        <f aca="false">CL103</f>
        <v>0</v>
      </c>
      <c r="CW123" s="2" t="n">
        <f aca="false">CL101</f>
        <v>0</v>
      </c>
      <c r="CX123" s="1" t="n">
        <v>69.1001</v>
      </c>
      <c r="CY123" s="2" t="n">
        <f aca="false">CX121</f>
        <v>60.889</v>
      </c>
      <c r="CZ123" s="2" t="n">
        <f aca="false">CX119</f>
        <v>74.3518</v>
      </c>
      <c r="DA123" s="2" t="n">
        <f aca="false">CX117</f>
        <v>55.5641</v>
      </c>
      <c r="DB123" s="2" t="n">
        <f aca="false">CX115</f>
        <v>75.984</v>
      </c>
      <c r="DC123" s="2" t="n">
        <f aca="false">CX113</f>
        <v>85.316</v>
      </c>
      <c r="DD123" s="2" t="n">
        <f aca="false">CX111</f>
        <v>63.2288</v>
      </c>
      <c r="DE123" s="2" t="n">
        <f aca="false">CX109</f>
        <v>70.6327</v>
      </c>
      <c r="DF123" s="2" t="n">
        <f aca="false">CX107</f>
        <v>71.1554</v>
      </c>
      <c r="DG123" s="2" t="n">
        <f aca="false">CX105</f>
        <v>60.2316</v>
      </c>
      <c r="DH123" s="2" t="n">
        <f aca="false">CX103</f>
        <v>67.6317</v>
      </c>
      <c r="DI123" s="2" t="n">
        <f aca="false">CX101</f>
        <v>72.3529</v>
      </c>
      <c r="DJ123" s="1" t="s">
        <v>174</v>
      </c>
      <c r="DK123" s="2" t="str">
        <f aca="false">DJ121</f>
        <v>LH</v>
      </c>
      <c r="DL123" s="2" t="str">
        <f aca="false">DJ119</f>
        <v>HH</v>
      </c>
      <c r="DM123" s="2" t="str">
        <f aca="false">DJ117</f>
        <v>LH</v>
      </c>
      <c r="DN123" s="2" t="str">
        <f aca="false">DJ115</f>
        <v>LH</v>
      </c>
      <c r="DO123" s="2" t="str">
        <f aca="false">DJ113</f>
        <v>LH</v>
      </c>
      <c r="DP123" s="2" t="str">
        <f aca="false">DJ111</f>
        <v>LH</v>
      </c>
      <c r="DQ123" s="2" t="str">
        <f aca="false">DJ109</f>
        <v>HH</v>
      </c>
      <c r="DR123" s="2" t="str">
        <f aca="false">DJ107</f>
        <v>HH</v>
      </c>
      <c r="DS123" s="2" t="str">
        <f aca="false">DJ105</f>
        <v>LH</v>
      </c>
      <c r="DT123" s="2" t="str">
        <f aca="false">DJ103</f>
        <v>HH</v>
      </c>
      <c r="DU123" s="2" t="str">
        <f aca="false">DJ101</f>
        <v>HH</v>
      </c>
      <c r="DV123" s="2" t="n">
        <f aca="false">IFERROR((G123-$F123)/$F123*100,"")</f>
        <v>0.957484433107914</v>
      </c>
      <c r="DW123" s="2" t="n">
        <f aca="false">IFERROR((H123-$F123)/$F123*100,"")</f>
        <v>1.14460865744263</v>
      </c>
      <c r="DX123" s="2" t="n">
        <f aca="false">IFERROR((I123-$F123)/$F123*100,"")</f>
        <v>0.888679305947036</v>
      </c>
      <c r="DY123" s="2" t="n">
        <f aca="false">IFERROR((J123-$F123)/$F123*100,"")</f>
        <v>0.950839701201403</v>
      </c>
      <c r="DZ123" s="2" t="n">
        <f aca="false">IFERROR((K123-$F123)/$F123*100,"")</f>
        <v>0.965200895967071</v>
      </c>
      <c r="EA123" s="2" t="n">
        <f aca="false">IFERROR((L123-$F123)/$F123*100,"")</f>
        <v>1.07173095266164</v>
      </c>
      <c r="EB123" s="2" t="n">
        <f aca="false">IFERROR((M123-$F123)/$F123*100,"")</f>
        <v>1.31629995605903</v>
      </c>
      <c r="EC123" s="2" t="n">
        <f aca="false">IFERROR((N123-$F123)/$F123*100,"")</f>
        <v>0.989422015497226</v>
      </c>
      <c r="ED123" s="2" t="n">
        <f aca="false">IFERROR((O123-$F123)/$F123*100,"")</f>
        <v>0.924260773575399</v>
      </c>
      <c r="EE123" s="2" t="n">
        <f aca="false">IFERROR((P123-$F123)/$F123*100,"")</f>
        <v>2.31986882013138</v>
      </c>
      <c r="EF123" s="2" t="n">
        <f aca="false">IFERROR((Q123-$F123)/$F123*100,"")</f>
        <v>1.7810024971331</v>
      </c>
      <c r="EG123" s="2" t="str">
        <f aca="false">IF(DV123="","",IF(AND(ABS(DV123)&lt;=0.25,$E123="Bottom",DK123="LL"),"EQL",IF(AND(ABS(DV123)&lt;=0.25,$E123="Peak",DK123="HH"),"EQH","")))</f>
        <v/>
      </c>
      <c r="EH123" s="2" t="str">
        <f aca="false">IF(DW123="","",IF(AND(ABS(DW123)&lt;=0.25,$E123="Bottom",DL123="LL"),"EQL",IF(AND(ABS(DW123)&lt;=0.25,$E123="Peak",DL123="HH"),"EQH","")))</f>
        <v/>
      </c>
      <c r="EI123" s="2" t="str">
        <f aca="false">IF(DX123="","",IF(AND(ABS(DX123)&lt;=0.25,$E123="Bottom",DM123="LL"),"EQL",IF(AND(ABS(DX123)&lt;=0.25,$E123="Peak",DM123="HH"),"EQH","")))</f>
        <v/>
      </c>
      <c r="EJ123" s="2" t="str">
        <f aca="false">IF(DY123="","",IF(AND(ABS(DY123)&lt;=0.25,$E123="Bottom",DN123="LL"),"EQL",IF(AND(ABS(DY123)&lt;=0.25,$E123="Peak",DN123="HH"),"EQH","")))</f>
        <v/>
      </c>
      <c r="EK123" s="2" t="str">
        <f aca="false">IF(DZ123="","",IF(AND(ABS(DZ123)&lt;=0.25,$E123="Bottom",DO123="LL"),"EQL",IF(AND(ABS(DZ123)&lt;=0.25,$E123="Peak",DO123="HH"),"EQH","")))</f>
        <v/>
      </c>
      <c r="EL123" s="2" t="str">
        <f aca="false">IF(EA123="","",IF(AND(ABS(EA123)&lt;=0.25,$E123="Bottom",DP123="LL"),"EQL",IF(AND(ABS(EA123)&lt;=0.25,$E123="Peak",DP123="HH"),"EQH","")))</f>
        <v/>
      </c>
      <c r="EM123" s="2" t="str">
        <f aca="false">IF(EB123="","",IF(AND(ABS(EB123)&lt;=0.25,$E123="Bottom",DQ123="LL"),"EQL",IF(AND(ABS(EB123)&lt;=0.25,$E123="Peak",DQ123="HH"),"EQH","")))</f>
        <v/>
      </c>
      <c r="EN123" s="2" t="str">
        <f aca="false">IF(EC123="","",IF(AND(ABS(EC123)&lt;=0.25,$E123="Bottom",DR123="LL"),"EQL",IF(AND(ABS(EC123)&lt;=0.25,$E123="Peak",DR123="HH"),"EQH","")))</f>
        <v/>
      </c>
      <c r="EO123" s="2" t="str">
        <f aca="false">IF(ED123="","",IF(AND(ABS(ED123)&lt;=0.25,$E123="Bottom",DS123="LL"),"EQL",IF(AND(ABS(ED123)&lt;=0.25,$E123="Peak",DS123="HH"),"EQH","")))</f>
        <v/>
      </c>
      <c r="EP123" s="2" t="str">
        <f aca="false">IF(EE123="","",IF(AND(ABS(EE123)&lt;=0.25,$E123="Bottom",DT123="LL"),"EQL",IF(AND(ABS(EE123)&lt;=0.25,$E123="Peak",DT123="HH"),"EQH","")))</f>
        <v/>
      </c>
      <c r="EQ123" s="2" t="str">
        <f aca="false">IF(EF123="","",IF(AND(ABS(EF123)&lt;=0.25,$E123="Bottom",DU123="LL"),"EQL",IF(AND(ABS(EF123)&lt;=0.25,$E123="Peak",DU123="HH"),"EQH","")))</f>
        <v/>
      </c>
      <c r="ER123" s="2" t="str">
        <f aca="false">IF(OR(EG123="EQL",EG123="EQH"),G123,"")</f>
        <v/>
      </c>
      <c r="ES123" s="2" t="str">
        <f aca="false">IF(OR(EH123="EQL",EH123="EQH"),H123,"")</f>
        <v/>
      </c>
      <c r="ET123" s="2" t="str">
        <f aca="false">IF(OR(EI123="EQL",EI123="EQH"),I123,"")</f>
        <v/>
      </c>
      <c r="EU123" s="2" t="str">
        <f aca="false">IF(OR(EJ123="EQL",EJ123="EQH"),J123,"")</f>
        <v/>
      </c>
      <c r="EV123" s="2" t="str">
        <f aca="false">IF(OR(EK123="EQL",EK123="EQH"),K123,"")</f>
        <v/>
      </c>
      <c r="EW123" s="2" t="str">
        <f aca="false">IF(OR(EL123="EQL",EL123="EQH"),L123,"")</f>
        <v/>
      </c>
      <c r="EX123" s="2" t="str">
        <f aca="false">IF(OR(EM123="EQL",EM123="EQH"),M123,"")</f>
        <v/>
      </c>
      <c r="EY123" s="2" t="str">
        <f aca="false">IF(OR(EN123="EQL",EN123="EQH"),N123,"")</f>
        <v/>
      </c>
      <c r="EZ123" s="2" t="str">
        <f aca="false">IF(OR(EO123="EQL",EO123="EQH"),O123,"")</f>
        <v/>
      </c>
      <c r="FA123" s="2" t="str">
        <f aca="false">IF(OR(EP123="EQL",EP123="EQH"),P123,"")</f>
        <v/>
      </c>
      <c r="FB123" s="2" t="str">
        <f aca="false">IF(OR(EQ123="EQL",EQ123="EQH"),Q123,"")</f>
        <v/>
      </c>
      <c r="FC123" s="2" t="str">
        <f aca="false">IF(AND(EG123="EQL",OR(AQ123=4,AQ123=5)),"IEQL",IF(AND(EG123="EQH",OR(AQ123=1,AQ123=2)),"IEQH",""))</f>
        <v/>
      </c>
      <c r="FD123" s="2" t="str">
        <f aca="false">IF(AND(EH123="EQL",OR(AR123=4,AR123=5)),"IEQL",IF(AND(EH123="EQH",OR(AR123=1,AR123=2)),"IEQH",""))</f>
        <v/>
      </c>
      <c r="FE123" s="2" t="str">
        <f aca="false">IF(AND(EI123="EQL",OR(AS123=4,AS123=5)),"IEQL",IF(AND(EI123="EQH",OR(AS123=1,AS123=2)),"IEQH",""))</f>
        <v/>
      </c>
      <c r="FF123" s="2" t="str">
        <f aca="false">IF(AND(EJ123="EQL",OR(AT123=4,AT123=5)),"IEQL",IF(AND(EJ123="EQH",OR(AT123=1,AT123=2)),"IEQH",""))</f>
        <v/>
      </c>
      <c r="FG123" s="2" t="str">
        <f aca="false">IF(AND(EK123="EQL",OR(AU123=4,AU123=5)),"IEQL",IF(AND(EK123="EQH",OR(AU123=1,AU123=2)),"IEQH",""))</f>
        <v/>
      </c>
      <c r="FH123" s="2" t="str">
        <f aca="false">IF(AND(EL123="EQL",OR(AV123=4,AV123=5)),"IEQL",IF(AND(EL123="EQH",OR(AV123=1,AV123=2)),"IEQH",""))</f>
        <v/>
      </c>
      <c r="FI123" s="2" t="str">
        <f aca="false">IF(AND(EM123="EQL",OR(AW123=4,AW123=5)),"IEQL",IF(AND(EM123="EQH",OR(AW123=1,AW123=2)),"IEQH",""))</f>
        <v/>
      </c>
      <c r="FJ123" s="2" t="str">
        <f aca="false">IF(AND(EN123="EQL",OR(AX123=4,AX123=5)),"IEQL",IF(AND(EN123="EQH",OR(AX123=1,AX123=2)),"IEQH",""))</f>
        <v/>
      </c>
      <c r="FK123" s="2" t="str">
        <f aca="false">IF(AND(EO123="EQL",OR(AY123=4,AY123=5)),"IEQL",IF(AND(EO123="EQH",OR(AY123=1,AY123=2)),"IEQH",""))</f>
        <v/>
      </c>
      <c r="FL123" s="2" t="str">
        <f aca="false">IF(AND(EP123="EQL",OR(AZ123=4,AZ123=5)),"IEQL",IF(AND(EP123="EQH",OR(AZ123=1,AZ123=2)),"IEQH",""))</f>
        <v/>
      </c>
      <c r="FM123" s="2" t="str">
        <f aca="false">IF(AND(EQ123="EQL",OR(BA123=4,BA123=5)),"IEQL",IF(AND(EQ123="EQH",OR(BA123=1,BA123=2)),"IEQH",""))</f>
        <v/>
      </c>
    </row>
    <row r="124" customFormat="false" ht="14.25" hidden="false" customHeight="false" outlineLevel="0" collapsed="false">
      <c r="A124" s="1" t="n">
        <v>1778838302</v>
      </c>
      <c r="B124" s="1" t="s">
        <v>169</v>
      </c>
      <c r="C124" s="1" t="s">
        <v>170</v>
      </c>
      <c r="D124" s="1" t="n">
        <v>4545.78</v>
      </c>
      <c r="E124" s="1" t="s">
        <v>171</v>
      </c>
      <c r="F124" s="1" t="n">
        <v>4532.03</v>
      </c>
      <c r="G124" s="2" t="n">
        <f aca="false">F122</f>
        <v>4644.4</v>
      </c>
      <c r="H124" s="2" t="n">
        <f aca="false">F120</f>
        <v>4688.47</v>
      </c>
      <c r="I124" s="2" t="n">
        <f aca="false">F118</f>
        <v>4668.77</v>
      </c>
      <c r="J124" s="2" t="n">
        <f aca="false">F116</f>
        <v>4677.64</v>
      </c>
      <c r="K124" s="2" t="n">
        <f aca="false">F114</f>
        <v>4669.65</v>
      </c>
      <c r="L124" s="2" t="n">
        <f aca="false">F112</f>
        <v>4685.97</v>
      </c>
      <c r="M124" s="2" t="n">
        <f aca="false">F110</f>
        <v>4687.6</v>
      </c>
      <c r="N124" s="2" t="n">
        <f aca="false">F108</f>
        <v>4638.57</v>
      </c>
      <c r="O124" s="2" t="n">
        <f aca="false">F106</f>
        <v>4685.14</v>
      </c>
      <c r="P124" s="2" t="n">
        <f aca="false">F104</f>
        <v>4687.49</v>
      </c>
      <c r="Q124" s="2" t="n">
        <f aca="false">F102</f>
        <v>4707.97</v>
      </c>
      <c r="R124" s="1" t="n">
        <v>-133.32</v>
      </c>
      <c r="S124" s="2" t="n">
        <f aca="false">R122</f>
        <v>-65.62</v>
      </c>
      <c r="T124" s="2" t="n">
        <f aca="false">R120</f>
        <v>-30.28</v>
      </c>
      <c r="U124" s="2" t="n">
        <f aca="false">R118</f>
        <v>-38.04</v>
      </c>
      <c r="V124" s="2" t="n">
        <f aca="false">R116</f>
        <v>-32.07</v>
      </c>
      <c r="W124" s="2" t="n">
        <f aca="false">R114</f>
        <v>-40.73</v>
      </c>
      <c r="X124" s="2" t="n">
        <f aca="false">R112</f>
        <v>-29.38</v>
      </c>
      <c r="Y124" s="2" t="n">
        <f aca="false">R110</f>
        <v>-39.16</v>
      </c>
      <c r="Z124" s="2" t="n">
        <f aca="false">R108</f>
        <v>-72.94</v>
      </c>
      <c r="AA124" s="2" t="n">
        <f aca="false">R106</f>
        <v>-23.33</v>
      </c>
      <c r="AB124" s="2" t="n">
        <f aca="false">R104</f>
        <v>-86.09</v>
      </c>
      <c r="AC124" s="2" t="n">
        <f aca="false">R102</f>
        <v>-40.47</v>
      </c>
      <c r="AD124" s="1" t="n">
        <v>-2.86</v>
      </c>
      <c r="AE124" s="2" t="n">
        <f aca="false">AD122</f>
        <v>-1.39</v>
      </c>
      <c r="AF124" s="2" t="n">
        <f aca="false">AD120</f>
        <v>-0.64</v>
      </c>
      <c r="AG124" s="2" t="n">
        <f aca="false">AD118</f>
        <v>-0.81</v>
      </c>
      <c r="AH124" s="2" t="n">
        <f aca="false">AD116</f>
        <v>-0.68</v>
      </c>
      <c r="AI124" s="2" t="n">
        <f aca="false">AD114</f>
        <v>-0.86</v>
      </c>
      <c r="AJ124" s="2" t="n">
        <f aca="false">AD112</f>
        <v>-0.62</v>
      </c>
      <c r="AK124" s="2" t="n">
        <f aca="false">AD110</f>
        <v>-0.83</v>
      </c>
      <c r="AL124" s="2" t="n">
        <f aca="false">AD108</f>
        <v>-1.55</v>
      </c>
      <c r="AM124" s="2" t="n">
        <f aca="false">AD106</f>
        <v>-0.5</v>
      </c>
      <c r="AN124" s="2" t="n">
        <f aca="false">AD104</f>
        <v>-1.8</v>
      </c>
      <c r="AO124" s="2" t="n">
        <f aca="false">AD102</f>
        <v>-0.85</v>
      </c>
      <c r="AP124" s="1" t="n">
        <v>5</v>
      </c>
      <c r="AQ124" s="2" t="n">
        <f aca="false">AP122</f>
        <v>3</v>
      </c>
      <c r="AR124" s="2" t="n">
        <f aca="false">AP120</f>
        <v>3</v>
      </c>
      <c r="AS124" s="2" t="n">
        <f aca="false">AP118</f>
        <v>3</v>
      </c>
      <c r="AT124" s="2" t="n">
        <f aca="false">AP116</f>
        <v>3</v>
      </c>
      <c r="AU124" s="2" t="n">
        <f aca="false">AP114</f>
        <v>3</v>
      </c>
      <c r="AV124" s="2" t="n">
        <f aca="false">AP112</f>
        <v>3</v>
      </c>
      <c r="AW124" s="2" t="n">
        <f aca="false">AP110</f>
        <v>3</v>
      </c>
      <c r="AX124" s="2" t="n">
        <f aca="false">AP108</f>
        <v>3</v>
      </c>
      <c r="AY124" s="2" t="n">
        <f aca="false">AP106</f>
        <v>3</v>
      </c>
      <c r="AZ124" s="2" t="n">
        <f aca="false">AP104</f>
        <v>3</v>
      </c>
      <c r="BA124" s="2" t="n">
        <f aca="false">AP102</f>
        <v>3</v>
      </c>
      <c r="BB124" s="1" t="n">
        <v>41</v>
      </c>
      <c r="BC124" s="2" t="n">
        <f aca="false">BB122</f>
        <v>32</v>
      </c>
      <c r="BD124" s="2" t="n">
        <f aca="false">BB120</f>
        <v>8</v>
      </c>
      <c r="BE124" s="2" t="n">
        <f aca="false">BB118</f>
        <v>13</v>
      </c>
      <c r="BF124" s="2" t="n">
        <f aca="false">BB116</f>
        <v>10</v>
      </c>
      <c r="BG124" s="2" t="n">
        <f aca="false">BB114</f>
        <v>15</v>
      </c>
      <c r="BH124" s="2" t="n">
        <f aca="false">BB112</f>
        <v>13</v>
      </c>
      <c r="BI124" s="2" t="n">
        <f aca="false">BB110</f>
        <v>11</v>
      </c>
      <c r="BJ124" s="2" t="n">
        <f aca="false">BB108</f>
        <v>10</v>
      </c>
      <c r="BK124" s="2" t="n">
        <f aca="false">BB106</f>
        <v>2</v>
      </c>
      <c r="BL124" s="2" t="n">
        <f aca="false">BB104</f>
        <v>27</v>
      </c>
      <c r="BM124" s="2" t="n">
        <f aca="false">BB102</f>
        <v>11</v>
      </c>
      <c r="BN124" s="1" t="n">
        <v>5</v>
      </c>
      <c r="BO124" s="2" t="n">
        <f aca="false">BN122</f>
        <v>4</v>
      </c>
      <c r="BP124" s="2" t="n">
        <f aca="false">BN120</f>
        <v>3</v>
      </c>
      <c r="BQ124" s="2" t="n">
        <f aca="false">BN118</f>
        <v>3</v>
      </c>
      <c r="BR124" s="2" t="n">
        <f aca="false">BN116</f>
        <v>3</v>
      </c>
      <c r="BS124" s="2" t="n">
        <f aca="false">BN114</f>
        <v>3</v>
      </c>
      <c r="BT124" s="2" t="n">
        <f aca="false">BN112</f>
        <v>3</v>
      </c>
      <c r="BU124" s="2" t="n">
        <f aca="false">BN110</f>
        <v>3</v>
      </c>
      <c r="BV124" s="2" t="n">
        <f aca="false">BN108</f>
        <v>3</v>
      </c>
      <c r="BW124" s="2" t="n">
        <f aca="false">BN106</f>
        <v>3</v>
      </c>
      <c r="BX124" s="2" t="n">
        <f aca="false">BN104</f>
        <v>3</v>
      </c>
      <c r="BY124" s="2" t="n">
        <f aca="false">BN102</f>
        <v>3</v>
      </c>
      <c r="BZ124" s="1" t="n">
        <v>-3.25171</v>
      </c>
      <c r="CA124" s="2" t="n">
        <f aca="false">BZ122</f>
        <v>-2.05063</v>
      </c>
      <c r="CB124" s="2" t="n">
        <f aca="false">BZ120</f>
        <v>-3.785</v>
      </c>
      <c r="CC124" s="2" t="n">
        <f aca="false">BZ118</f>
        <v>-2.92615</v>
      </c>
      <c r="CD124" s="2" t="n">
        <f aca="false">BZ116</f>
        <v>-3.207</v>
      </c>
      <c r="CE124" s="2" t="n">
        <f aca="false">BZ114</f>
        <v>-2.71533</v>
      </c>
      <c r="CF124" s="2" t="n">
        <f aca="false">BZ112</f>
        <v>-2.26</v>
      </c>
      <c r="CG124" s="2" t="n">
        <f aca="false">BZ110</f>
        <v>-3.56</v>
      </c>
      <c r="CH124" s="2" t="n">
        <f aca="false">BZ108</f>
        <v>-7.294</v>
      </c>
      <c r="CI124" s="2" t="n">
        <f aca="false">BZ106</f>
        <v>-11.665</v>
      </c>
      <c r="CJ124" s="2" t="n">
        <f aca="false">BZ104</f>
        <v>-3.18852</v>
      </c>
      <c r="CK124" s="2" t="n">
        <f aca="false">BZ102</f>
        <v>-3.67909</v>
      </c>
      <c r="CL124" s="1" t="n">
        <v>3</v>
      </c>
      <c r="CM124" s="2" t="n">
        <f aca="false">CL122</f>
        <v>3</v>
      </c>
      <c r="CN124" s="2" t="n">
        <f aca="false">CL120</f>
        <v>3</v>
      </c>
      <c r="CO124" s="2" t="n">
        <f aca="false">CL118</f>
        <v>3</v>
      </c>
      <c r="CP124" s="2" t="n">
        <f aca="false">CL116</f>
        <v>3</v>
      </c>
      <c r="CQ124" s="2" t="n">
        <f aca="false">CL114</f>
        <v>3</v>
      </c>
      <c r="CR124" s="2" t="n">
        <f aca="false">CL112</f>
        <v>3</v>
      </c>
      <c r="CS124" s="2" t="n">
        <f aca="false">CL110</f>
        <v>3</v>
      </c>
      <c r="CT124" s="2" t="n">
        <f aca="false">CL108</f>
        <v>3</v>
      </c>
      <c r="CU124" s="2" t="n">
        <f aca="false">CL106</f>
        <v>4</v>
      </c>
      <c r="CV124" s="2" t="n">
        <f aca="false">CL104</f>
        <v>3</v>
      </c>
      <c r="CW124" s="2" t="n">
        <f aca="false">CL102</f>
        <v>3</v>
      </c>
      <c r="CX124" s="1" t="n">
        <v>-72.9057</v>
      </c>
      <c r="CY124" s="2" t="n">
        <f aca="false">CX122</f>
        <v>-64.0035</v>
      </c>
      <c r="CZ124" s="2" t="n">
        <f aca="false">CX120</f>
        <v>-75.2006</v>
      </c>
      <c r="DA124" s="2" t="n">
        <f aca="false">CX118</f>
        <v>-71.1324</v>
      </c>
      <c r="DB124" s="2" t="n">
        <f aca="false">CX116</f>
        <v>-72.6816</v>
      </c>
      <c r="DC124" s="2" t="n">
        <f aca="false">CX114</f>
        <v>-69.7823</v>
      </c>
      <c r="DD124" s="2" t="n">
        <f aca="false">CX112</f>
        <v>-66.1317</v>
      </c>
      <c r="DE124" s="2" t="n">
        <f aca="false">CX110</f>
        <v>-74.31</v>
      </c>
      <c r="DF124" s="2" t="n">
        <f aca="false">CX108</f>
        <v>-82.1935</v>
      </c>
      <c r="DG124" s="2" t="n">
        <f aca="false">CX106</f>
        <v>-85.1002</v>
      </c>
      <c r="DH124" s="2" t="n">
        <f aca="false">CX104</f>
        <v>-72.5873</v>
      </c>
      <c r="DI124" s="2" t="n">
        <f aca="false">CX102</f>
        <v>-74.794</v>
      </c>
      <c r="DJ124" s="1" t="s">
        <v>172</v>
      </c>
      <c r="DK124" s="2" t="str">
        <f aca="false">DJ122</f>
        <v>LL</v>
      </c>
      <c r="DL124" s="2" t="str">
        <f aca="false">DJ120</f>
        <v>HL</v>
      </c>
      <c r="DM124" s="2" t="str">
        <f aca="false">DJ118</f>
        <v>LL</v>
      </c>
      <c r="DN124" s="2" t="str">
        <f aca="false">DJ116</f>
        <v>HL</v>
      </c>
      <c r="DO124" s="2" t="str">
        <f aca="false">DJ114</f>
        <v>LL</v>
      </c>
      <c r="DP124" s="2" t="str">
        <f aca="false">DJ112</f>
        <v>LL</v>
      </c>
      <c r="DQ124" s="2" t="str">
        <f aca="false">DJ110</f>
        <v>HL</v>
      </c>
      <c r="DR124" s="2" t="str">
        <f aca="false">DJ108</f>
        <v>LL</v>
      </c>
      <c r="DS124" s="2" t="str">
        <f aca="false">DJ106</f>
        <v>LL</v>
      </c>
      <c r="DT124" s="2" t="str">
        <f aca="false">DJ104</f>
        <v>LL</v>
      </c>
      <c r="DU124" s="2" t="str">
        <f aca="false">DJ102</f>
        <v>HL</v>
      </c>
      <c r="DV124" s="2" t="n">
        <f aca="false">IFERROR((G124-$F124)/$F124*100,"")</f>
        <v>2.4794628455681</v>
      </c>
      <c r="DW124" s="2" t="n">
        <f aca="false">IFERROR((H124-$F124)/$F124*100,"")</f>
        <v>3.45187476693668</v>
      </c>
      <c r="DX124" s="2" t="n">
        <f aca="false">IFERROR((I124-$F124)/$F124*100,"")</f>
        <v>3.01719097181618</v>
      </c>
      <c r="DY124" s="2" t="n">
        <f aca="false">IFERROR((J124-$F124)/$F124*100,"")</f>
        <v>3.21290900545673</v>
      </c>
      <c r="DZ124" s="2" t="n">
        <f aca="false">IFERROR((K124-$F124)/$F124*100,"")</f>
        <v>3.03660831900936</v>
      </c>
      <c r="EA124" s="2" t="n">
        <f aca="false">IFERROR((L124-$F124)/$F124*100,"")</f>
        <v>3.39671184877418</v>
      </c>
      <c r="EB124" s="2" t="n">
        <f aca="false">IFERROR((M124-$F124)/$F124*100,"")</f>
        <v>3.43267807141613</v>
      </c>
      <c r="EC124" s="2" t="n">
        <f aca="false">IFERROR((N124-$F124)/$F124*100,"")</f>
        <v>2.35082292041315</v>
      </c>
      <c r="ED124" s="2" t="n">
        <f aca="false">IFERROR((O124-$F124)/$F124*100,"")</f>
        <v>3.37839775994423</v>
      </c>
      <c r="EE124" s="2" t="n">
        <f aca="false">IFERROR((P124-$F124)/$F124*100,"")</f>
        <v>3.43025090301697</v>
      </c>
      <c r="EF124" s="2" t="n">
        <f aca="false">IFERROR((Q124-$F124)/$F124*100,"")</f>
        <v>3.88214552860419</v>
      </c>
      <c r="EG124" s="2" t="str">
        <f aca="false">IF(DV124="","",IF(AND(ABS(DV124)&lt;=0.25,$E124="Bottom",DK124="LL"),"EQL",IF(AND(ABS(DV124)&lt;=0.25,$E124="Peak",DK124="HH"),"EQH","")))</f>
        <v/>
      </c>
      <c r="EH124" s="2" t="str">
        <f aca="false">IF(DW124="","",IF(AND(ABS(DW124)&lt;=0.25,$E124="Bottom",DL124="LL"),"EQL",IF(AND(ABS(DW124)&lt;=0.25,$E124="Peak",DL124="HH"),"EQH","")))</f>
        <v/>
      </c>
      <c r="EI124" s="2" t="str">
        <f aca="false">IF(DX124="","",IF(AND(ABS(DX124)&lt;=0.25,$E124="Bottom",DM124="LL"),"EQL",IF(AND(ABS(DX124)&lt;=0.25,$E124="Peak",DM124="HH"),"EQH","")))</f>
        <v/>
      </c>
      <c r="EJ124" s="2" t="str">
        <f aca="false">IF(DY124="","",IF(AND(ABS(DY124)&lt;=0.25,$E124="Bottom",DN124="LL"),"EQL",IF(AND(ABS(DY124)&lt;=0.25,$E124="Peak",DN124="HH"),"EQH","")))</f>
        <v/>
      </c>
      <c r="EK124" s="2" t="str">
        <f aca="false">IF(DZ124="","",IF(AND(ABS(DZ124)&lt;=0.25,$E124="Bottom",DO124="LL"),"EQL",IF(AND(ABS(DZ124)&lt;=0.25,$E124="Peak",DO124="HH"),"EQH","")))</f>
        <v/>
      </c>
      <c r="EL124" s="2" t="str">
        <f aca="false">IF(EA124="","",IF(AND(ABS(EA124)&lt;=0.25,$E124="Bottom",DP124="LL"),"EQL",IF(AND(ABS(EA124)&lt;=0.25,$E124="Peak",DP124="HH"),"EQH","")))</f>
        <v/>
      </c>
      <c r="EM124" s="2" t="str">
        <f aca="false">IF(EB124="","",IF(AND(ABS(EB124)&lt;=0.25,$E124="Bottom",DQ124="LL"),"EQL",IF(AND(ABS(EB124)&lt;=0.25,$E124="Peak",DQ124="HH"),"EQH","")))</f>
        <v/>
      </c>
      <c r="EN124" s="2" t="str">
        <f aca="false">IF(EC124="","",IF(AND(ABS(EC124)&lt;=0.25,$E124="Bottom",DR124="LL"),"EQL",IF(AND(ABS(EC124)&lt;=0.25,$E124="Peak",DR124="HH"),"EQH","")))</f>
        <v/>
      </c>
      <c r="EO124" s="2" t="str">
        <f aca="false">IF(ED124="","",IF(AND(ABS(ED124)&lt;=0.25,$E124="Bottom",DS124="LL"),"EQL",IF(AND(ABS(ED124)&lt;=0.25,$E124="Peak",DS124="HH"),"EQH","")))</f>
        <v/>
      </c>
      <c r="EP124" s="2" t="str">
        <f aca="false">IF(EE124="","",IF(AND(ABS(EE124)&lt;=0.25,$E124="Bottom",DT124="LL"),"EQL",IF(AND(ABS(EE124)&lt;=0.25,$E124="Peak",DT124="HH"),"EQH","")))</f>
        <v/>
      </c>
      <c r="EQ124" s="2" t="str">
        <f aca="false">IF(EF124="","",IF(AND(ABS(EF124)&lt;=0.25,$E124="Bottom",DU124="LL"),"EQL",IF(AND(ABS(EF124)&lt;=0.25,$E124="Peak",DU124="HH"),"EQH","")))</f>
        <v/>
      </c>
      <c r="ER124" s="2" t="str">
        <f aca="false">IF(OR(EG124="EQL",EG124="EQH"),G124,"")</f>
        <v/>
      </c>
      <c r="ES124" s="2" t="str">
        <f aca="false">IF(OR(EH124="EQL",EH124="EQH"),H124,"")</f>
        <v/>
      </c>
      <c r="ET124" s="2" t="str">
        <f aca="false">IF(OR(EI124="EQL",EI124="EQH"),I124,"")</f>
        <v/>
      </c>
      <c r="EU124" s="2" t="str">
        <f aca="false">IF(OR(EJ124="EQL",EJ124="EQH"),J124,"")</f>
        <v/>
      </c>
      <c r="EV124" s="2" t="str">
        <f aca="false">IF(OR(EK124="EQL",EK124="EQH"),K124,"")</f>
        <v/>
      </c>
      <c r="EW124" s="2" t="str">
        <f aca="false">IF(OR(EL124="EQL",EL124="EQH"),L124,"")</f>
        <v/>
      </c>
      <c r="EX124" s="2" t="str">
        <f aca="false">IF(OR(EM124="EQL",EM124="EQH"),M124,"")</f>
        <v/>
      </c>
      <c r="EY124" s="2" t="str">
        <f aca="false">IF(OR(EN124="EQL",EN124="EQH"),N124,"")</f>
        <v/>
      </c>
      <c r="EZ124" s="2" t="str">
        <f aca="false">IF(OR(EO124="EQL",EO124="EQH"),O124,"")</f>
        <v/>
      </c>
      <c r="FA124" s="2" t="str">
        <f aca="false">IF(OR(EP124="EQL",EP124="EQH"),P124,"")</f>
        <v/>
      </c>
      <c r="FB124" s="2" t="str">
        <f aca="false">IF(OR(EQ124="EQL",EQ124="EQH"),Q124,"")</f>
        <v/>
      </c>
      <c r="FC124" s="2" t="str">
        <f aca="false">IF(AND(EG124="EQL",OR(AQ124=4,AQ124=5)),"IEQL",IF(AND(EG124="EQH",OR(AQ124=1,AQ124=2)),"IEQH",""))</f>
        <v/>
      </c>
      <c r="FD124" s="2" t="str">
        <f aca="false">IF(AND(EH124="EQL",OR(AR124=4,AR124=5)),"IEQL",IF(AND(EH124="EQH",OR(AR124=1,AR124=2)),"IEQH",""))</f>
        <v/>
      </c>
      <c r="FE124" s="2" t="str">
        <f aca="false">IF(AND(EI124="EQL",OR(AS124=4,AS124=5)),"IEQL",IF(AND(EI124="EQH",OR(AS124=1,AS124=2)),"IEQH",""))</f>
        <v/>
      </c>
      <c r="FF124" s="2" t="str">
        <f aca="false">IF(AND(EJ124="EQL",OR(AT124=4,AT124=5)),"IEQL",IF(AND(EJ124="EQH",OR(AT124=1,AT124=2)),"IEQH",""))</f>
        <v/>
      </c>
      <c r="FG124" s="2" t="str">
        <f aca="false">IF(AND(EK124="EQL",OR(AU124=4,AU124=5)),"IEQL",IF(AND(EK124="EQH",OR(AU124=1,AU124=2)),"IEQH",""))</f>
        <v/>
      </c>
      <c r="FH124" s="2" t="str">
        <f aca="false">IF(AND(EL124="EQL",OR(AV124=4,AV124=5)),"IEQL",IF(AND(EL124="EQH",OR(AV124=1,AV124=2)),"IEQH",""))</f>
        <v/>
      </c>
      <c r="FI124" s="2" t="str">
        <f aca="false">IF(AND(EM124="EQL",OR(AW124=4,AW124=5)),"IEQL",IF(AND(EM124="EQH",OR(AW124=1,AW124=2)),"IEQH",""))</f>
        <v/>
      </c>
      <c r="FJ124" s="2" t="str">
        <f aca="false">IF(AND(EN124="EQL",OR(AX124=4,AX124=5)),"IEQL",IF(AND(EN124="EQH",OR(AX124=1,AX124=2)),"IEQH",""))</f>
        <v/>
      </c>
      <c r="FK124" s="2" t="str">
        <f aca="false">IF(AND(EO124="EQL",OR(AY124=4,AY124=5)),"IEQL",IF(AND(EO124="EQH",OR(AY124=1,AY124=2)),"IEQH",""))</f>
        <v/>
      </c>
      <c r="FL124" s="2" t="str">
        <f aca="false">IF(AND(EP124="EQL",OR(AZ124=4,AZ124=5)),"IEQL",IF(AND(EP124="EQH",OR(AZ124=1,AZ124=2)),"IEQH",""))</f>
        <v/>
      </c>
      <c r="FM124" s="2" t="str">
        <f aca="false">IF(AND(EQ124="EQL",OR(BA124=4,BA124=5)),"IEQL",IF(AND(EQ124="EQH",OR(BA124=1,BA124=2)),"IEQH",""))</f>
        <v/>
      </c>
    </row>
    <row r="125" customFormat="false" ht="14.25" hidden="false" customHeight="false" outlineLevel="0" collapsed="false">
      <c r="A125" s="1" t="n">
        <v>1778841902</v>
      </c>
      <c r="B125" s="1" t="s">
        <v>169</v>
      </c>
      <c r="C125" s="1" t="s">
        <v>170</v>
      </c>
      <c r="D125" s="1" t="n">
        <v>4566.14</v>
      </c>
      <c r="E125" s="1" t="s">
        <v>173</v>
      </c>
      <c r="F125" s="1" t="n">
        <v>4572.64</v>
      </c>
      <c r="G125" s="2" t="n">
        <f aca="false">F123</f>
        <v>4665.35</v>
      </c>
      <c r="H125" s="2" t="n">
        <f aca="false">F121</f>
        <v>4710.02</v>
      </c>
      <c r="I125" s="2" t="n">
        <f aca="false">F119</f>
        <v>4718.75</v>
      </c>
      <c r="J125" s="2" t="n">
        <f aca="false">F117</f>
        <v>4706.81</v>
      </c>
      <c r="K125" s="2" t="n">
        <f aca="false">F115</f>
        <v>4709.71</v>
      </c>
      <c r="L125" s="2" t="n">
        <f aca="false">F113</f>
        <v>4710.38</v>
      </c>
      <c r="M125" s="2" t="n">
        <f aca="false">F111</f>
        <v>4715.35</v>
      </c>
      <c r="N125" s="2" t="n">
        <f aca="false">F109</f>
        <v>4726.76</v>
      </c>
      <c r="O125" s="2" t="n">
        <f aca="false">F107</f>
        <v>4711.51</v>
      </c>
      <c r="P125" s="2" t="n">
        <f aca="false">F105</f>
        <v>4708.47</v>
      </c>
      <c r="Q125" s="2" t="n">
        <f aca="false">F103</f>
        <v>4773.58</v>
      </c>
      <c r="R125" s="1" t="n">
        <v>40.61</v>
      </c>
      <c r="S125" s="2" t="n">
        <f aca="false">R123</f>
        <v>20.95</v>
      </c>
      <c r="T125" s="2" t="n">
        <f aca="false">R121</f>
        <v>21.55</v>
      </c>
      <c r="U125" s="2" t="n">
        <f aca="false">R119</f>
        <v>49.98</v>
      </c>
      <c r="V125" s="2" t="n">
        <f aca="false">R117</f>
        <v>29.17</v>
      </c>
      <c r="W125" s="2" t="n">
        <f aca="false">R115</f>
        <v>40.06</v>
      </c>
      <c r="X125" s="2" t="n">
        <f aca="false">R113</f>
        <v>24.41</v>
      </c>
      <c r="Y125" s="2" t="n">
        <f aca="false">R111</f>
        <v>27.75</v>
      </c>
      <c r="Z125" s="2" t="n">
        <f aca="false">R109</f>
        <v>88.19</v>
      </c>
      <c r="AA125" s="2" t="n">
        <f aca="false">R107</f>
        <v>26.37</v>
      </c>
      <c r="AB125" s="2" t="n">
        <f aca="false">R105</f>
        <v>20.98</v>
      </c>
      <c r="AC125" s="2" t="n">
        <f aca="false">R103</f>
        <v>65.61</v>
      </c>
      <c r="AD125" s="1" t="n">
        <v>0.9</v>
      </c>
      <c r="AE125" s="2" t="n">
        <f aca="false">AD123</f>
        <v>0.45</v>
      </c>
      <c r="AF125" s="2" t="n">
        <f aca="false">AD121</f>
        <v>0.46</v>
      </c>
      <c r="AG125" s="2" t="n">
        <f aca="false">AD119</f>
        <v>1.07</v>
      </c>
      <c r="AH125" s="2" t="n">
        <f aca="false">AD117</f>
        <v>0.62</v>
      </c>
      <c r="AI125" s="2" t="n">
        <f aca="false">AD115</f>
        <v>0.86</v>
      </c>
      <c r="AJ125" s="2" t="n">
        <f aca="false">AD113</f>
        <v>0.52</v>
      </c>
      <c r="AK125" s="2" t="n">
        <f aca="false">AD111</f>
        <v>0.59</v>
      </c>
      <c r="AL125" s="2" t="n">
        <f aca="false">AD109</f>
        <v>1.9</v>
      </c>
      <c r="AM125" s="2" t="n">
        <f aca="false">AD107</f>
        <v>0.56</v>
      </c>
      <c r="AN125" s="2" t="n">
        <f aca="false">AD105</f>
        <v>0.45</v>
      </c>
      <c r="AO125" s="2" t="n">
        <f aca="false">AD103</f>
        <v>1.39</v>
      </c>
      <c r="AP125" s="1" t="n">
        <v>0</v>
      </c>
      <c r="AQ125" s="2" t="n">
        <f aca="false">AP123</f>
        <v>0</v>
      </c>
      <c r="AR125" s="2" t="n">
        <f aca="false">AP121</f>
        <v>0</v>
      </c>
      <c r="AS125" s="2" t="n">
        <f aca="false">AP119</f>
        <v>0</v>
      </c>
      <c r="AT125" s="2" t="n">
        <f aca="false">AP117</f>
        <v>0</v>
      </c>
      <c r="AU125" s="2" t="n">
        <f aca="false">AP115</f>
        <v>0</v>
      </c>
      <c r="AV125" s="2" t="n">
        <f aca="false">AP113</f>
        <v>0</v>
      </c>
      <c r="AW125" s="2" t="n">
        <f aca="false">AP111</f>
        <v>0</v>
      </c>
      <c r="AX125" s="2" t="n">
        <f aca="false">AP109</f>
        <v>0</v>
      </c>
      <c r="AY125" s="2" t="n">
        <f aca="false">AP107</f>
        <v>0</v>
      </c>
      <c r="AZ125" s="2" t="n">
        <f aca="false">AP105</f>
        <v>0</v>
      </c>
      <c r="BA125" s="2" t="n">
        <f aca="false">AP103</f>
        <v>0</v>
      </c>
      <c r="BB125" s="1" t="n">
        <v>4</v>
      </c>
      <c r="BC125" s="2" t="n">
        <f aca="false">BB123</f>
        <v>8</v>
      </c>
      <c r="BD125" s="2" t="n">
        <f aca="false">BB121</f>
        <v>12</v>
      </c>
      <c r="BE125" s="2" t="n">
        <f aca="false">BB119</f>
        <v>14</v>
      </c>
      <c r="BF125" s="2" t="n">
        <f aca="false">BB117</f>
        <v>20</v>
      </c>
      <c r="BG125" s="2" t="n">
        <f aca="false">BB115</f>
        <v>10</v>
      </c>
      <c r="BH125" s="2" t="n">
        <f aca="false">BB113</f>
        <v>2</v>
      </c>
      <c r="BI125" s="2" t="n">
        <f aca="false">BB111</f>
        <v>14</v>
      </c>
      <c r="BJ125" s="2" t="n">
        <f aca="false">BB109</f>
        <v>31</v>
      </c>
      <c r="BK125" s="2" t="n">
        <f aca="false">BB107</f>
        <v>9</v>
      </c>
      <c r="BL125" s="2" t="n">
        <f aca="false">BB105</f>
        <v>12</v>
      </c>
      <c r="BM125" s="2" t="n">
        <f aca="false">BB103</f>
        <v>27</v>
      </c>
      <c r="BN125" s="1" t="n">
        <v>0</v>
      </c>
      <c r="BO125" s="2" t="n">
        <f aca="false">BN123</f>
        <v>0</v>
      </c>
      <c r="BP125" s="2" t="n">
        <f aca="false">BN121</f>
        <v>0</v>
      </c>
      <c r="BQ125" s="2" t="n">
        <f aca="false">BN119</f>
        <v>0</v>
      </c>
      <c r="BR125" s="2" t="n">
        <f aca="false">BN117</f>
        <v>0</v>
      </c>
      <c r="BS125" s="2" t="n">
        <f aca="false">BN115</f>
        <v>0</v>
      </c>
      <c r="BT125" s="2" t="n">
        <f aca="false">BN113</f>
        <v>0</v>
      </c>
      <c r="BU125" s="2" t="n">
        <f aca="false">BN111</f>
        <v>0</v>
      </c>
      <c r="BV125" s="2" t="n">
        <f aca="false">BN109</f>
        <v>0</v>
      </c>
      <c r="BW125" s="2" t="n">
        <f aca="false">BN107</f>
        <v>0</v>
      </c>
      <c r="BX125" s="2" t="n">
        <f aca="false">BN105</f>
        <v>0</v>
      </c>
      <c r="BY125" s="2" t="n">
        <f aca="false">BN103</f>
        <v>0</v>
      </c>
      <c r="BZ125" s="1" t="n">
        <v>10.1525</v>
      </c>
      <c r="CA125" s="2" t="n">
        <f aca="false">BZ123</f>
        <v>2.61875</v>
      </c>
      <c r="CB125" s="2" t="n">
        <f aca="false">BZ121</f>
        <v>1.79583</v>
      </c>
      <c r="CC125" s="2" t="n">
        <f aca="false">BZ119</f>
        <v>3.57</v>
      </c>
      <c r="CD125" s="2" t="n">
        <f aca="false">BZ117</f>
        <v>1.4585</v>
      </c>
      <c r="CE125" s="2" t="n">
        <f aca="false">BZ115</f>
        <v>4.006</v>
      </c>
      <c r="CF125" s="2" t="n">
        <f aca="false">BZ113</f>
        <v>12.205</v>
      </c>
      <c r="CG125" s="2" t="n">
        <f aca="false">BZ111</f>
        <v>1.98214</v>
      </c>
      <c r="CH125" s="2" t="n">
        <f aca="false">BZ109</f>
        <v>2.84484</v>
      </c>
      <c r="CI125" s="2" t="n">
        <f aca="false">BZ107</f>
        <v>2.93</v>
      </c>
      <c r="CJ125" s="2" t="n">
        <f aca="false">BZ105</f>
        <v>1.74833</v>
      </c>
      <c r="CK125" s="2" t="n">
        <f aca="false">BZ103</f>
        <v>2.43</v>
      </c>
      <c r="CL125" s="1" t="n">
        <v>1</v>
      </c>
      <c r="CM125" s="2" t="n">
        <f aca="false">CL123</f>
        <v>0</v>
      </c>
      <c r="CN125" s="2" t="n">
        <f aca="false">CL121</f>
        <v>0</v>
      </c>
      <c r="CO125" s="2" t="n">
        <f aca="false">CL119</f>
        <v>0</v>
      </c>
      <c r="CP125" s="2" t="n">
        <f aca="false">CL117</f>
        <v>0</v>
      </c>
      <c r="CQ125" s="2" t="n">
        <f aca="false">CL115</f>
        <v>0</v>
      </c>
      <c r="CR125" s="2" t="n">
        <f aca="false">CL113</f>
        <v>1</v>
      </c>
      <c r="CS125" s="2" t="n">
        <f aca="false">CL111</f>
        <v>0</v>
      </c>
      <c r="CT125" s="2" t="n">
        <f aca="false">CL109</f>
        <v>0</v>
      </c>
      <c r="CU125" s="2" t="n">
        <f aca="false">CL107</f>
        <v>0</v>
      </c>
      <c r="CV125" s="2" t="n">
        <f aca="false">CL105</f>
        <v>0</v>
      </c>
      <c r="CW125" s="2" t="n">
        <f aca="false">CL103</f>
        <v>0</v>
      </c>
      <c r="CX125" s="1" t="n">
        <v>84.3746</v>
      </c>
      <c r="CY125" s="2" t="n">
        <f aca="false">CX123</f>
        <v>69.1001</v>
      </c>
      <c r="CZ125" s="2" t="n">
        <f aca="false">CX121</f>
        <v>60.889</v>
      </c>
      <c r="DA125" s="2" t="n">
        <f aca="false">CX119</f>
        <v>74.3518</v>
      </c>
      <c r="DB125" s="2" t="n">
        <f aca="false">CX117</f>
        <v>55.5641</v>
      </c>
      <c r="DC125" s="2" t="n">
        <f aca="false">CX115</f>
        <v>75.984</v>
      </c>
      <c r="DD125" s="2" t="n">
        <f aca="false">CX113</f>
        <v>85.316</v>
      </c>
      <c r="DE125" s="2" t="n">
        <f aca="false">CX111</f>
        <v>63.2288</v>
      </c>
      <c r="DF125" s="2" t="n">
        <f aca="false">CX109</f>
        <v>70.6327</v>
      </c>
      <c r="DG125" s="2" t="n">
        <f aca="false">CX107</f>
        <v>71.1554</v>
      </c>
      <c r="DH125" s="2" t="n">
        <f aca="false">CX105</f>
        <v>60.2316</v>
      </c>
      <c r="DI125" s="2" t="n">
        <f aca="false">CX103</f>
        <v>67.6317</v>
      </c>
      <c r="DJ125" s="1" t="s">
        <v>174</v>
      </c>
      <c r="DK125" s="2" t="str">
        <f aca="false">DJ123</f>
        <v>LH</v>
      </c>
      <c r="DL125" s="2" t="str">
        <f aca="false">DJ121</f>
        <v>LH</v>
      </c>
      <c r="DM125" s="2" t="str">
        <f aca="false">DJ119</f>
        <v>HH</v>
      </c>
      <c r="DN125" s="2" t="str">
        <f aca="false">DJ117</f>
        <v>LH</v>
      </c>
      <c r="DO125" s="2" t="str">
        <f aca="false">DJ115</f>
        <v>LH</v>
      </c>
      <c r="DP125" s="2" t="str">
        <f aca="false">DJ113</f>
        <v>LH</v>
      </c>
      <c r="DQ125" s="2" t="str">
        <f aca="false">DJ111</f>
        <v>LH</v>
      </c>
      <c r="DR125" s="2" t="str">
        <f aca="false">DJ109</f>
        <v>HH</v>
      </c>
      <c r="DS125" s="2" t="str">
        <f aca="false">DJ107</f>
        <v>HH</v>
      </c>
      <c r="DT125" s="2" t="str">
        <f aca="false">DJ105</f>
        <v>LH</v>
      </c>
      <c r="DU125" s="2" t="str">
        <f aca="false">DJ103</f>
        <v>HH</v>
      </c>
      <c r="DV125" s="2" t="n">
        <f aca="false">IFERROR((G125-$F125)/$F125*100,"")</f>
        <v>2.02749396409951</v>
      </c>
      <c r="DW125" s="2" t="n">
        <f aca="false">IFERROR((H125-$F125)/$F125*100,"")</f>
        <v>3.00439133629588</v>
      </c>
      <c r="DX125" s="2" t="n">
        <f aca="false">IFERROR((I125-$F125)/$F125*100,"")</f>
        <v>3.19530949298435</v>
      </c>
      <c r="DY125" s="2" t="n">
        <f aca="false">IFERROR((J125-$F125)/$F125*100,"")</f>
        <v>2.93419118933483</v>
      </c>
      <c r="DZ125" s="2" t="n">
        <f aca="false">IFERROR((K125-$F125)/$F125*100,"")</f>
        <v>2.99761188285104</v>
      </c>
      <c r="EA125" s="2" t="n">
        <f aca="false">IFERROR((L125-$F125)/$F125*100,"")</f>
        <v>3.01226424997375</v>
      </c>
      <c r="EB125" s="2" t="n">
        <f aca="false">IFERROR((M125-$F125)/$F125*100,"")</f>
        <v>3.12095419713776</v>
      </c>
      <c r="EC125" s="2" t="n">
        <f aca="false">IFERROR((N125-$F125)/$F125*100,"")</f>
        <v>3.37048182231708</v>
      </c>
      <c r="ED125" s="2" t="n">
        <f aca="false">IFERROR((O125-$F125)/$F125*100,"")</f>
        <v>3.03697645124042</v>
      </c>
      <c r="EE125" s="2" t="n">
        <f aca="false">IFERROR((P125-$F125)/$F125*100,"")</f>
        <v>2.97049406907169</v>
      </c>
      <c r="EF125" s="2" t="n">
        <f aca="false">IFERROR((Q125-$F125)/$F125*100,"")</f>
        <v>4.39439798453409</v>
      </c>
      <c r="EG125" s="2" t="str">
        <f aca="false">IF(DV125="","",IF(AND(ABS(DV125)&lt;=0.25,$E125="Bottom",DK125="LL"),"EQL",IF(AND(ABS(DV125)&lt;=0.25,$E125="Peak",DK125="HH"),"EQH","")))</f>
        <v/>
      </c>
      <c r="EH125" s="2" t="str">
        <f aca="false">IF(DW125="","",IF(AND(ABS(DW125)&lt;=0.25,$E125="Bottom",DL125="LL"),"EQL",IF(AND(ABS(DW125)&lt;=0.25,$E125="Peak",DL125="HH"),"EQH","")))</f>
        <v/>
      </c>
      <c r="EI125" s="2" t="str">
        <f aca="false">IF(DX125="","",IF(AND(ABS(DX125)&lt;=0.25,$E125="Bottom",DM125="LL"),"EQL",IF(AND(ABS(DX125)&lt;=0.25,$E125="Peak",DM125="HH"),"EQH","")))</f>
        <v/>
      </c>
      <c r="EJ125" s="2" t="str">
        <f aca="false">IF(DY125="","",IF(AND(ABS(DY125)&lt;=0.25,$E125="Bottom",DN125="LL"),"EQL",IF(AND(ABS(DY125)&lt;=0.25,$E125="Peak",DN125="HH"),"EQH","")))</f>
        <v/>
      </c>
      <c r="EK125" s="2" t="str">
        <f aca="false">IF(DZ125="","",IF(AND(ABS(DZ125)&lt;=0.25,$E125="Bottom",DO125="LL"),"EQL",IF(AND(ABS(DZ125)&lt;=0.25,$E125="Peak",DO125="HH"),"EQH","")))</f>
        <v/>
      </c>
      <c r="EL125" s="2" t="str">
        <f aca="false">IF(EA125="","",IF(AND(ABS(EA125)&lt;=0.25,$E125="Bottom",DP125="LL"),"EQL",IF(AND(ABS(EA125)&lt;=0.25,$E125="Peak",DP125="HH"),"EQH","")))</f>
        <v/>
      </c>
      <c r="EM125" s="2" t="str">
        <f aca="false">IF(EB125="","",IF(AND(ABS(EB125)&lt;=0.25,$E125="Bottom",DQ125="LL"),"EQL",IF(AND(ABS(EB125)&lt;=0.25,$E125="Peak",DQ125="HH"),"EQH","")))</f>
        <v/>
      </c>
      <c r="EN125" s="2" t="str">
        <f aca="false">IF(EC125="","",IF(AND(ABS(EC125)&lt;=0.25,$E125="Bottom",DR125="LL"),"EQL",IF(AND(ABS(EC125)&lt;=0.25,$E125="Peak",DR125="HH"),"EQH","")))</f>
        <v/>
      </c>
      <c r="EO125" s="2" t="str">
        <f aca="false">IF(ED125="","",IF(AND(ABS(ED125)&lt;=0.25,$E125="Bottom",DS125="LL"),"EQL",IF(AND(ABS(ED125)&lt;=0.25,$E125="Peak",DS125="HH"),"EQH","")))</f>
        <v/>
      </c>
      <c r="EP125" s="2" t="str">
        <f aca="false">IF(EE125="","",IF(AND(ABS(EE125)&lt;=0.25,$E125="Bottom",DT125="LL"),"EQL",IF(AND(ABS(EE125)&lt;=0.25,$E125="Peak",DT125="HH"),"EQH","")))</f>
        <v/>
      </c>
      <c r="EQ125" s="2" t="str">
        <f aca="false">IF(EF125="","",IF(AND(ABS(EF125)&lt;=0.25,$E125="Bottom",DU125="LL"),"EQL",IF(AND(ABS(EF125)&lt;=0.25,$E125="Peak",DU125="HH"),"EQH","")))</f>
        <v/>
      </c>
      <c r="ER125" s="2" t="str">
        <f aca="false">IF(OR(EG125="EQL",EG125="EQH"),G125,"")</f>
        <v/>
      </c>
      <c r="ES125" s="2" t="str">
        <f aca="false">IF(OR(EH125="EQL",EH125="EQH"),H125,"")</f>
        <v/>
      </c>
      <c r="ET125" s="2" t="str">
        <f aca="false">IF(OR(EI125="EQL",EI125="EQH"),I125,"")</f>
        <v/>
      </c>
      <c r="EU125" s="2" t="str">
        <f aca="false">IF(OR(EJ125="EQL",EJ125="EQH"),J125,"")</f>
        <v/>
      </c>
      <c r="EV125" s="2" t="str">
        <f aca="false">IF(OR(EK125="EQL",EK125="EQH"),K125,"")</f>
        <v/>
      </c>
      <c r="EW125" s="2" t="str">
        <f aca="false">IF(OR(EL125="EQL",EL125="EQH"),L125,"")</f>
        <v/>
      </c>
      <c r="EX125" s="2" t="str">
        <f aca="false">IF(OR(EM125="EQL",EM125="EQH"),M125,"")</f>
        <v/>
      </c>
      <c r="EY125" s="2" t="str">
        <f aca="false">IF(OR(EN125="EQL",EN125="EQH"),N125,"")</f>
        <v/>
      </c>
      <c r="EZ125" s="2" t="str">
        <f aca="false">IF(OR(EO125="EQL",EO125="EQH"),O125,"")</f>
        <v/>
      </c>
      <c r="FA125" s="2" t="str">
        <f aca="false">IF(OR(EP125="EQL",EP125="EQH"),P125,"")</f>
        <v/>
      </c>
      <c r="FB125" s="2" t="str">
        <f aca="false">IF(OR(EQ125="EQL",EQ125="EQH"),Q125,"")</f>
        <v/>
      </c>
      <c r="FC125" s="2" t="str">
        <f aca="false">IF(AND(EG125="EQL",OR(AQ125=4,AQ125=5)),"IEQL",IF(AND(EG125="EQH",OR(AQ125=1,AQ125=2)),"IEQH",""))</f>
        <v/>
      </c>
      <c r="FD125" s="2" t="str">
        <f aca="false">IF(AND(EH125="EQL",OR(AR125=4,AR125=5)),"IEQL",IF(AND(EH125="EQH",OR(AR125=1,AR125=2)),"IEQH",""))</f>
        <v/>
      </c>
      <c r="FE125" s="2" t="str">
        <f aca="false">IF(AND(EI125="EQL",OR(AS125=4,AS125=5)),"IEQL",IF(AND(EI125="EQH",OR(AS125=1,AS125=2)),"IEQH",""))</f>
        <v/>
      </c>
      <c r="FF125" s="2" t="str">
        <f aca="false">IF(AND(EJ125="EQL",OR(AT125=4,AT125=5)),"IEQL",IF(AND(EJ125="EQH",OR(AT125=1,AT125=2)),"IEQH",""))</f>
        <v/>
      </c>
      <c r="FG125" s="2" t="str">
        <f aca="false">IF(AND(EK125="EQL",OR(AU125=4,AU125=5)),"IEQL",IF(AND(EK125="EQH",OR(AU125=1,AU125=2)),"IEQH",""))</f>
        <v/>
      </c>
      <c r="FH125" s="2" t="str">
        <f aca="false">IF(AND(EL125="EQL",OR(AV125=4,AV125=5)),"IEQL",IF(AND(EL125="EQH",OR(AV125=1,AV125=2)),"IEQH",""))</f>
        <v/>
      </c>
      <c r="FI125" s="2" t="str">
        <f aca="false">IF(AND(EM125="EQL",OR(AW125=4,AW125=5)),"IEQL",IF(AND(EM125="EQH",OR(AW125=1,AW125=2)),"IEQH",""))</f>
        <v/>
      </c>
      <c r="FJ125" s="2" t="str">
        <f aca="false">IF(AND(EN125="EQL",OR(AX125=4,AX125=5)),"IEQL",IF(AND(EN125="EQH",OR(AX125=1,AX125=2)),"IEQH",""))</f>
        <v/>
      </c>
      <c r="FK125" s="2" t="str">
        <f aca="false">IF(AND(EO125="EQL",OR(AY125=4,AY125=5)),"IEQL",IF(AND(EO125="EQH",OR(AY125=1,AY125=2)),"IEQH",""))</f>
        <v/>
      </c>
      <c r="FL125" s="2" t="str">
        <f aca="false">IF(AND(EP125="EQL",OR(AZ125=4,AZ125=5)),"IEQL",IF(AND(EP125="EQH",OR(AZ125=1,AZ125=2)),"IEQH",""))</f>
        <v/>
      </c>
      <c r="FM125" s="2" t="str">
        <f aca="false">IF(AND(EQ125="EQL",OR(BA125=4,BA125=5)),"IEQL",IF(AND(EQ125="EQH",OR(BA125=1,BA125=2)),"IEQH",""))</f>
        <v/>
      </c>
    </row>
    <row r="126" customFormat="false" ht="14.25" hidden="false" customHeight="false" outlineLevel="0" collapsed="false">
      <c r="A126" s="1" t="n">
        <v>1778852702</v>
      </c>
      <c r="B126" s="1" t="s">
        <v>169</v>
      </c>
      <c r="C126" s="1" t="s">
        <v>170</v>
      </c>
      <c r="D126" s="1" t="n">
        <v>4533.57</v>
      </c>
      <c r="E126" s="1" t="s">
        <v>171</v>
      </c>
      <c r="F126" s="1" t="n">
        <v>4511.92</v>
      </c>
      <c r="G126" s="2" t="n">
        <f aca="false">F124</f>
        <v>4532.03</v>
      </c>
      <c r="H126" s="2" t="n">
        <f aca="false">F122</f>
        <v>4644.4</v>
      </c>
      <c r="I126" s="2" t="n">
        <f aca="false">F120</f>
        <v>4688.47</v>
      </c>
      <c r="J126" s="2" t="n">
        <f aca="false">F118</f>
        <v>4668.77</v>
      </c>
      <c r="K126" s="2" t="n">
        <f aca="false">F116</f>
        <v>4677.64</v>
      </c>
      <c r="L126" s="2" t="n">
        <f aca="false">F114</f>
        <v>4669.65</v>
      </c>
      <c r="M126" s="2" t="n">
        <f aca="false">F112</f>
        <v>4685.97</v>
      </c>
      <c r="N126" s="2" t="n">
        <f aca="false">F110</f>
        <v>4687.6</v>
      </c>
      <c r="O126" s="2" t="n">
        <f aca="false">F108</f>
        <v>4638.57</v>
      </c>
      <c r="P126" s="2" t="n">
        <f aca="false">F106</f>
        <v>4685.14</v>
      </c>
      <c r="Q126" s="2" t="n">
        <f aca="false">F104</f>
        <v>4687.49</v>
      </c>
      <c r="R126" s="1" t="n">
        <v>-60.72</v>
      </c>
      <c r="S126" s="2" t="n">
        <f aca="false">R124</f>
        <v>-133.32</v>
      </c>
      <c r="T126" s="2" t="n">
        <f aca="false">R122</f>
        <v>-65.62</v>
      </c>
      <c r="U126" s="2" t="n">
        <f aca="false">R120</f>
        <v>-30.28</v>
      </c>
      <c r="V126" s="2" t="n">
        <f aca="false">R118</f>
        <v>-38.04</v>
      </c>
      <c r="W126" s="2" t="n">
        <f aca="false">R116</f>
        <v>-32.07</v>
      </c>
      <c r="X126" s="2" t="n">
        <f aca="false">R114</f>
        <v>-40.73</v>
      </c>
      <c r="Y126" s="2" t="n">
        <f aca="false">R112</f>
        <v>-29.38</v>
      </c>
      <c r="Z126" s="2" t="n">
        <f aca="false">R110</f>
        <v>-39.16</v>
      </c>
      <c r="AA126" s="2" t="n">
        <f aca="false">R108</f>
        <v>-72.94</v>
      </c>
      <c r="AB126" s="2" t="n">
        <f aca="false">R106</f>
        <v>-23.33</v>
      </c>
      <c r="AC126" s="2" t="n">
        <f aca="false">R104</f>
        <v>-86.09</v>
      </c>
      <c r="AD126" s="1" t="n">
        <v>-1.33</v>
      </c>
      <c r="AE126" s="2" t="n">
        <f aca="false">AD124</f>
        <v>-2.86</v>
      </c>
      <c r="AF126" s="2" t="n">
        <f aca="false">AD122</f>
        <v>-1.39</v>
      </c>
      <c r="AG126" s="2" t="n">
        <f aca="false">AD120</f>
        <v>-0.64</v>
      </c>
      <c r="AH126" s="2" t="n">
        <f aca="false">AD118</f>
        <v>-0.81</v>
      </c>
      <c r="AI126" s="2" t="n">
        <f aca="false">AD116</f>
        <v>-0.68</v>
      </c>
      <c r="AJ126" s="2" t="n">
        <f aca="false">AD114</f>
        <v>-0.86</v>
      </c>
      <c r="AK126" s="2" t="n">
        <f aca="false">AD112</f>
        <v>-0.62</v>
      </c>
      <c r="AL126" s="2" t="n">
        <f aca="false">AD110</f>
        <v>-0.83</v>
      </c>
      <c r="AM126" s="2" t="n">
        <f aca="false">AD108</f>
        <v>-1.55</v>
      </c>
      <c r="AN126" s="2" t="n">
        <f aca="false">AD106</f>
        <v>-0.5</v>
      </c>
      <c r="AO126" s="2" t="n">
        <f aca="false">AD104</f>
        <v>-1.8</v>
      </c>
      <c r="AP126" s="1" t="n">
        <v>3</v>
      </c>
      <c r="AQ126" s="2" t="n">
        <f aca="false">AP124</f>
        <v>5</v>
      </c>
      <c r="AR126" s="2" t="n">
        <f aca="false">AP122</f>
        <v>3</v>
      </c>
      <c r="AS126" s="2" t="n">
        <f aca="false">AP120</f>
        <v>3</v>
      </c>
      <c r="AT126" s="2" t="n">
        <f aca="false">AP118</f>
        <v>3</v>
      </c>
      <c r="AU126" s="2" t="n">
        <f aca="false">AP116</f>
        <v>3</v>
      </c>
      <c r="AV126" s="2" t="n">
        <f aca="false">AP114</f>
        <v>3</v>
      </c>
      <c r="AW126" s="2" t="n">
        <f aca="false">AP112</f>
        <v>3</v>
      </c>
      <c r="AX126" s="2" t="n">
        <f aca="false">AP110</f>
        <v>3</v>
      </c>
      <c r="AY126" s="2" t="n">
        <f aca="false">AP108</f>
        <v>3</v>
      </c>
      <c r="AZ126" s="2" t="n">
        <f aca="false">AP106</f>
        <v>3</v>
      </c>
      <c r="BA126" s="2" t="n">
        <f aca="false">AP104</f>
        <v>3</v>
      </c>
      <c r="BB126" s="1" t="n">
        <v>12</v>
      </c>
      <c r="BC126" s="2" t="n">
        <f aca="false">BB124</f>
        <v>41</v>
      </c>
      <c r="BD126" s="2" t="n">
        <f aca="false">BB122</f>
        <v>32</v>
      </c>
      <c r="BE126" s="2" t="n">
        <f aca="false">BB120</f>
        <v>8</v>
      </c>
      <c r="BF126" s="2" t="n">
        <f aca="false">BB118</f>
        <v>13</v>
      </c>
      <c r="BG126" s="2" t="n">
        <f aca="false">BB116</f>
        <v>10</v>
      </c>
      <c r="BH126" s="2" t="n">
        <f aca="false">BB114</f>
        <v>15</v>
      </c>
      <c r="BI126" s="2" t="n">
        <f aca="false">BB112</f>
        <v>13</v>
      </c>
      <c r="BJ126" s="2" t="n">
        <f aca="false">BB110</f>
        <v>11</v>
      </c>
      <c r="BK126" s="2" t="n">
        <f aca="false">BB108</f>
        <v>10</v>
      </c>
      <c r="BL126" s="2" t="n">
        <f aca="false">BB106</f>
        <v>2</v>
      </c>
      <c r="BM126" s="2" t="n">
        <f aca="false">BB104</f>
        <v>27</v>
      </c>
      <c r="BN126" s="1" t="n">
        <v>3</v>
      </c>
      <c r="BO126" s="2" t="n">
        <f aca="false">BN124</f>
        <v>5</v>
      </c>
      <c r="BP126" s="2" t="n">
        <f aca="false">BN122</f>
        <v>4</v>
      </c>
      <c r="BQ126" s="2" t="n">
        <f aca="false">BN120</f>
        <v>3</v>
      </c>
      <c r="BR126" s="2" t="n">
        <f aca="false">BN118</f>
        <v>3</v>
      </c>
      <c r="BS126" s="2" t="n">
        <f aca="false">BN116</f>
        <v>3</v>
      </c>
      <c r="BT126" s="2" t="n">
        <f aca="false">BN114</f>
        <v>3</v>
      </c>
      <c r="BU126" s="2" t="n">
        <f aca="false">BN112</f>
        <v>3</v>
      </c>
      <c r="BV126" s="2" t="n">
        <f aca="false">BN110</f>
        <v>3</v>
      </c>
      <c r="BW126" s="2" t="n">
        <f aca="false">BN108</f>
        <v>3</v>
      </c>
      <c r="BX126" s="2" t="n">
        <f aca="false">BN106</f>
        <v>3</v>
      </c>
      <c r="BY126" s="2" t="n">
        <f aca="false">BN104</f>
        <v>3</v>
      </c>
      <c r="BZ126" s="1" t="n">
        <v>-5.06</v>
      </c>
      <c r="CA126" s="2" t="n">
        <f aca="false">BZ124</f>
        <v>-3.25171</v>
      </c>
      <c r="CB126" s="2" t="n">
        <f aca="false">BZ122</f>
        <v>-2.05063</v>
      </c>
      <c r="CC126" s="2" t="n">
        <f aca="false">BZ120</f>
        <v>-3.785</v>
      </c>
      <c r="CD126" s="2" t="n">
        <f aca="false">BZ118</f>
        <v>-2.92615</v>
      </c>
      <c r="CE126" s="2" t="n">
        <f aca="false">BZ116</f>
        <v>-3.207</v>
      </c>
      <c r="CF126" s="2" t="n">
        <f aca="false">BZ114</f>
        <v>-2.71533</v>
      </c>
      <c r="CG126" s="2" t="n">
        <f aca="false">BZ112</f>
        <v>-2.26</v>
      </c>
      <c r="CH126" s="2" t="n">
        <f aca="false">BZ110</f>
        <v>-3.56</v>
      </c>
      <c r="CI126" s="2" t="n">
        <f aca="false">BZ108</f>
        <v>-7.294</v>
      </c>
      <c r="CJ126" s="2" t="n">
        <f aca="false">BZ106</f>
        <v>-11.665</v>
      </c>
      <c r="CK126" s="2" t="n">
        <f aca="false">BZ104</f>
        <v>-3.18852</v>
      </c>
      <c r="CL126" s="1" t="n">
        <v>3</v>
      </c>
      <c r="CM126" s="2" t="n">
        <f aca="false">CL124</f>
        <v>3</v>
      </c>
      <c r="CN126" s="2" t="n">
        <f aca="false">CL122</f>
        <v>3</v>
      </c>
      <c r="CO126" s="2" t="n">
        <f aca="false">CL120</f>
        <v>3</v>
      </c>
      <c r="CP126" s="2" t="n">
        <f aca="false">CL118</f>
        <v>3</v>
      </c>
      <c r="CQ126" s="2" t="n">
        <f aca="false">CL116</f>
        <v>3</v>
      </c>
      <c r="CR126" s="2" t="n">
        <f aca="false">CL114</f>
        <v>3</v>
      </c>
      <c r="CS126" s="2" t="n">
        <f aca="false">CL112</f>
        <v>3</v>
      </c>
      <c r="CT126" s="2" t="n">
        <f aca="false">CL110</f>
        <v>3</v>
      </c>
      <c r="CU126" s="2" t="n">
        <f aca="false">CL108</f>
        <v>3</v>
      </c>
      <c r="CV126" s="2" t="n">
        <f aca="false">CL106</f>
        <v>4</v>
      </c>
      <c r="CW126" s="2" t="n">
        <f aca="false">CL104</f>
        <v>3</v>
      </c>
      <c r="CX126" s="1" t="n">
        <v>-78.8208</v>
      </c>
      <c r="CY126" s="2" t="n">
        <f aca="false">CX124</f>
        <v>-72.9057</v>
      </c>
      <c r="CZ126" s="2" t="n">
        <f aca="false">CX122</f>
        <v>-64.0035</v>
      </c>
      <c r="DA126" s="2" t="n">
        <f aca="false">CX120</f>
        <v>-75.2006</v>
      </c>
      <c r="DB126" s="2" t="n">
        <f aca="false">CX118</f>
        <v>-71.1324</v>
      </c>
      <c r="DC126" s="2" t="n">
        <f aca="false">CX116</f>
        <v>-72.6816</v>
      </c>
      <c r="DD126" s="2" t="n">
        <f aca="false">CX114</f>
        <v>-69.7823</v>
      </c>
      <c r="DE126" s="2" t="n">
        <f aca="false">CX112</f>
        <v>-66.1317</v>
      </c>
      <c r="DF126" s="2" t="n">
        <f aca="false">CX110</f>
        <v>-74.31</v>
      </c>
      <c r="DG126" s="2" t="n">
        <f aca="false">CX108</f>
        <v>-82.1935</v>
      </c>
      <c r="DH126" s="2" t="n">
        <f aca="false">CX106</f>
        <v>-85.1002</v>
      </c>
      <c r="DI126" s="2" t="n">
        <f aca="false">CX104</f>
        <v>-72.5873</v>
      </c>
      <c r="DJ126" s="1" t="s">
        <v>172</v>
      </c>
      <c r="DK126" s="2" t="str">
        <f aca="false">DJ124</f>
        <v>LL</v>
      </c>
      <c r="DL126" s="2" t="str">
        <f aca="false">DJ122</f>
        <v>LL</v>
      </c>
      <c r="DM126" s="2" t="str">
        <f aca="false">DJ120</f>
        <v>HL</v>
      </c>
      <c r="DN126" s="2" t="str">
        <f aca="false">DJ118</f>
        <v>LL</v>
      </c>
      <c r="DO126" s="2" t="str">
        <f aca="false">DJ116</f>
        <v>HL</v>
      </c>
      <c r="DP126" s="2" t="str">
        <f aca="false">DJ114</f>
        <v>LL</v>
      </c>
      <c r="DQ126" s="2" t="str">
        <f aca="false">DJ112</f>
        <v>LL</v>
      </c>
      <c r="DR126" s="2" t="str">
        <f aca="false">DJ110</f>
        <v>HL</v>
      </c>
      <c r="DS126" s="2" t="str">
        <f aca="false">DJ108</f>
        <v>LL</v>
      </c>
      <c r="DT126" s="2" t="str">
        <f aca="false">DJ106</f>
        <v>LL</v>
      </c>
      <c r="DU126" s="2" t="str">
        <f aca="false">DJ104</f>
        <v>LL</v>
      </c>
      <c r="DV126" s="2" t="n">
        <f aca="false">IFERROR((G126-$F126)/$F126*100,"")</f>
        <v>0.445708257238596</v>
      </c>
      <c r="DW126" s="2" t="n">
        <f aca="false">IFERROR((H126-$F126)/$F126*100,"")</f>
        <v>2.93622227344456</v>
      </c>
      <c r="DX126" s="2" t="n">
        <f aca="false">IFERROR((I126-$F126)/$F126*100,"")</f>
        <v>3.91296831504105</v>
      </c>
      <c r="DY126" s="2" t="n">
        <f aca="false">IFERROR((J126-$F126)/$F126*100,"")</f>
        <v>3.47634709835282</v>
      </c>
      <c r="DZ126" s="2" t="n">
        <f aca="false">IFERROR((K126-$F126)/$F126*100,"")</f>
        <v>3.67293746343021</v>
      </c>
      <c r="EA126" s="2" t="n">
        <f aca="false">IFERROR((L126-$F126)/$F126*100,"")</f>
        <v>3.49585099026578</v>
      </c>
      <c r="EB126" s="2" t="n">
        <f aca="false">IFERROR((M126-$F126)/$F126*100,"")</f>
        <v>3.85755953119737</v>
      </c>
      <c r="EC126" s="2" t="n">
        <f aca="false">IFERROR((N126-$F126)/$F126*100,"")</f>
        <v>3.89368605826345</v>
      </c>
      <c r="ED126" s="2" t="n">
        <f aca="false">IFERROR((O126-$F126)/$F126*100,"")</f>
        <v>2.80700898952108</v>
      </c>
      <c r="EE126" s="2" t="n">
        <f aca="false">IFERROR((P126-$F126)/$F126*100,"")</f>
        <v>3.83916381496126</v>
      </c>
      <c r="EF126" s="2" t="n">
        <f aca="false">IFERROR((Q126-$F126)/$F126*100,"")</f>
        <v>3.89124807177432</v>
      </c>
      <c r="EG126" s="2" t="str">
        <f aca="false">IF(DV126="","",IF(AND(ABS(DV126)&lt;=0.25,$E126="Bottom",DK126="LL"),"EQL",IF(AND(ABS(DV126)&lt;=0.25,$E126="Peak",DK126="HH"),"EQH","")))</f>
        <v/>
      </c>
      <c r="EH126" s="2" t="str">
        <f aca="false">IF(DW126="","",IF(AND(ABS(DW126)&lt;=0.25,$E126="Bottom",DL126="LL"),"EQL",IF(AND(ABS(DW126)&lt;=0.25,$E126="Peak",DL126="HH"),"EQH","")))</f>
        <v/>
      </c>
      <c r="EI126" s="2" t="str">
        <f aca="false">IF(DX126="","",IF(AND(ABS(DX126)&lt;=0.25,$E126="Bottom",DM126="LL"),"EQL",IF(AND(ABS(DX126)&lt;=0.25,$E126="Peak",DM126="HH"),"EQH","")))</f>
        <v/>
      </c>
      <c r="EJ126" s="2" t="str">
        <f aca="false">IF(DY126="","",IF(AND(ABS(DY126)&lt;=0.25,$E126="Bottom",DN126="LL"),"EQL",IF(AND(ABS(DY126)&lt;=0.25,$E126="Peak",DN126="HH"),"EQH","")))</f>
        <v/>
      </c>
      <c r="EK126" s="2" t="str">
        <f aca="false">IF(DZ126="","",IF(AND(ABS(DZ126)&lt;=0.25,$E126="Bottom",DO126="LL"),"EQL",IF(AND(ABS(DZ126)&lt;=0.25,$E126="Peak",DO126="HH"),"EQH","")))</f>
        <v/>
      </c>
      <c r="EL126" s="2" t="str">
        <f aca="false">IF(EA126="","",IF(AND(ABS(EA126)&lt;=0.25,$E126="Bottom",DP126="LL"),"EQL",IF(AND(ABS(EA126)&lt;=0.25,$E126="Peak",DP126="HH"),"EQH","")))</f>
        <v/>
      </c>
      <c r="EM126" s="2" t="str">
        <f aca="false">IF(EB126="","",IF(AND(ABS(EB126)&lt;=0.25,$E126="Bottom",DQ126="LL"),"EQL",IF(AND(ABS(EB126)&lt;=0.25,$E126="Peak",DQ126="HH"),"EQH","")))</f>
        <v/>
      </c>
      <c r="EN126" s="2" t="str">
        <f aca="false">IF(EC126="","",IF(AND(ABS(EC126)&lt;=0.25,$E126="Bottom",DR126="LL"),"EQL",IF(AND(ABS(EC126)&lt;=0.25,$E126="Peak",DR126="HH"),"EQH","")))</f>
        <v/>
      </c>
      <c r="EO126" s="2" t="str">
        <f aca="false">IF(ED126="","",IF(AND(ABS(ED126)&lt;=0.25,$E126="Bottom",DS126="LL"),"EQL",IF(AND(ABS(ED126)&lt;=0.25,$E126="Peak",DS126="HH"),"EQH","")))</f>
        <v/>
      </c>
      <c r="EP126" s="2" t="str">
        <f aca="false">IF(EE126="","",IF(AND(ABS(EE126)&lt;=0.25,$E126="Bottom",DT126="LL"),"EQL",IF(AND(ABS(EE126)&lt;=0.25,$E126="Peak",DT126="HH"),"EQH","")))</f>
        <v/>
      </c>
      <c r="EQ126" s="2" t="str">
        <f aca="false">IF(EF126="","",IF(AND(ABS(EF126)&lt;=0.25,$E126="Bottom",DU126="LL"),"EQL",IF(AND(ABS(EF126)&lt;=0.25,$E126="Peak",DU126="HH"),"EQH","")))</f>
        <v/>
      </c>
      <c r="ER126" s="2" t="str">
        <f aca="false">IF(OR(EG126="EQL",EG126="EQH"),G126,"")</f>
        <v/>
      </c>
      <c r="ES126" s="2" t="str">
        <f aca="false">IF(OR(EH126="EQL",EH126="EQH"),H126,"")</f>
        <v/>
      </c>
      <c r="ET126" s="2" t="str">
        <f aca="false">IF(OR(EI126="EQL",EI126="EQH"),I126,"")</f>
        <v/>
      </c>
      <c r="EU126" s="2" t="str">
        <f aca="false">IF(OR(EJ126="EQL",EJ126="EQH"),J126,"")</f>
        <v/>
      </c>
      <c r="EV126" s="2" t="str">
        <f aca="false">IF(OR(EK126="EQL",EK126="EQH"),K126,"")</f>
        <v/>
      </c>
      <c r="EW126" s="2" t="str">
        <f aca="false">IF(OR(EL126="EQL",EL126="EQH"),L126,"")</f>
        <v/>
      </c>
      <c r="EX126" s="2" t="str">
        <f aca="false">IF(OR(EM126="EQL",EM126="EQH"),M126,"")</f>
        <v/>
      </c>
      <c r="EY126" s="2" t="str">
        <f aca="false">IF(OR(EN126="EQL",EN126="EQH"),N126,"")</f>
        <v/>
      </c>
      <c r="EZ126" s="2" t="str">
        <f aca="false">IF(OR(EO126="EQL",EO126="EQH"),O126,"")</f>
        <v/>
      </c>
      <c r="FA126" s="2" t="str">
        <f aca="false">IF(OR(EP126="EQL",EP126="EQH"),P126,"")</f>
        <v/>
      </c>
      <c r="FB126" s="2" t="str">
        <f aca="false">IF(OR(EQ126="EQL",EQ126="EQH"),Q126,"")</f>
        <v/>
      </c>
      <c r="FC126" s="2" t="str">
        <f aca="false">IF(AND(EG126="EQL",OR(AQ126=4,AQ126=5)),"IEQL",IF(AND(EG126="EQH",OR(AQ126=1,AQ126=2)),"IEQH",""))</f>
        <v/>
      </c>
      <c r="FD126" s="2" t="str">
        <f aca="false">IF(AND(EH126="EQL",OR(AR126=4,AR126=5)),"IEQL",IF(AND(EH126="EQH",OR(AR126=1,AR126=2)),"IEQH",""))</f>
        <v/>
      </c>
      <c r="FE126" s="2" t="str">
        <f aca="false">IF(AND(EI126="EQL",OR(AS126=4,AS126=5)),"IEQL",IF(AND(EI126="EQH",OR(AS126=1,AS126=2)),"IEQH",""))</f>
        <v/>
      </c>
      <c r="FF126" s="2" t="str">
        <f aca="false">IF(AND(EJ126="EQL",OR(AT126=4,AT126=5)),"IEQL",IF(AND(EJ126="EQH",OR(AT126=1,AT126=2)),"IEQH",""))</f>
        <v/>
      </c>
      <c r="FG126" s="2" t="str">
        <f aca="false">IF(AND(EK126="EQL",OR(AU126=4,AU126=5)),"IEQL",IF(AND(EK126="EQH",OR(AU126=1,AU126=2)),"IEQH",""))</f>
        <v/>
      </c>
      <c r="FH126" s="2" t="str">
        <f aca="false">IF(AND(EL126="EQL",OR(AV126=4,AV126=5)),"IEQL",IF(AND(EL126="EQH",OR(AV126=1,AV126=2)),"IEQH",""))</f>
        <v/>
      </c>
      <c r="FI126" s="2" t="str">
        <f aca="false">IF(AND(EM126="EQL",OR(AW126=4,AW126=5)),"IEQL",IF(AND(EM126="EQH",OR(AW126=1,AW126=2)),"IEQH",""))</f>
        <v/>
      </c>
      <c r="FJ126" s="2" t="str">
        <f aca="false">IF(AND(EN126="EQL",OR(AX126=4,AX126=5)),"IEQL",IF(AND(EN126="EQH",OR(AX126=1,AX126=2)),"IEQH",""))</f>
        <v/>
      </c>
      <c r="FK126" s="2" t="str">
        <f aca="false">IF(AND(EO126="EQL",OR(AY126=4,AY126=5)),"IEQL",IF(AND(EO126="EQH",OR(AY126=1,AY126=2)),"IEQH",""))</f>
        <v/>
      </c>
      <c r="FL126" s="2" t="str">
        <f aca="false">IF(AND(EP126="EQL",OR(AZ126=4,AZ126=5)),"IEQL",IF(AND(EP126="EQH",OR(AZ126=1,AZ126=2)),"IEQH",""))</f>
        <v/>
      </c>
      <c r="FM126" s="2" t="str">
        <f aca="false">IF(AND(EQ126="EQL",OR(BA126=4,BA126=5)),"IEQL",IF(AND(EQ126="EQH",OR(BA126=1,BA126=2)),"IEQH",""))</f>
        <v/>
      </c>
    </row>
    <row r="127" customFormat="false" ht="14.25" hidden="false" customHeight="false" outlineLevel="0" collapsed="false">
      <c r="A127" s="1" t="n">
        <v>1778856302</v>
      </c>
      <c r="B127" s="1" t="s">
        <v>169</v>
      </c>
      <c r="C127" s="1" t="s">
        <v>170</v>
      </c>
      <c r="D127" s="1" t="n">
        <v>4562.82</v>
      </c>
      <c r="E127" s="1" t="s">
        <v>173</v>
      </c>
      <c r="F127" s="1" t="n">
        <v>4566.43</v>
      </c>
      <c r="G127" s="2" t="n">
        <f aca="false">F125</f>
        <v>4572.64</v>
      </c>
      <c r="H127" s="2" t="n">
        <f aca="false">F123</f>
        <v>4665.35</v>
      </c>
      <c r="I127" s="2" t="n">
        <f aca="false">F121</f>
        <v>4710.02</v>
      </c>
      <c r="J127" s="2" t="n">
        <f aca="false">F119</f>
        <v>4718.75</v>
      </c>
      <c r="K127" s="2" t="n">
        <f aca="false">F117</f>
        <v>4706.81</v>
      </c>
      <c r="L127" s="2" t="n">
        <f aca="false">F115</f>
        <v>4709.71</v>
      </c>
      <c r="M127" s="2" t="n">
        <f aca="false">F113</f>
        <v>4710.38</v>
      </c>
      <c r="N127" s="2" t="n">
        <f aca="false">F111</f>
        <v>4715.35</v>
      </c>
      <c r="O127" s="2" t="n">
        <f aca="false">F109</f>
        <v>4726.76</v>
      </c>
      <c r="P127" s="2" t="n">
        <f aca="false">F107</f>
        <v>4711.51</v>
      </c>
      <c r="Q127" s="2" t="n">
        <f aca="false">F105</f>
        <v>4708.47</v>
      </c>
      <c r="R127" s="1" t="n">
        <v>54.51</v>
      </c>
      <c r="S127" s="2" t="n">
        <f aca="false">R125</f>
        <v>40.61</v>
      </c>
      <c r="T127" s="2" t="n">
        <f aca="false">R123</f>
        <v>20.95</v>
      </c>
      <c r="U127" s="2" t="n">
        <f aca="false">R121</f>
        <v>21.55</v>
      </c>
      <c r="V127" s="2" t="n">
        <f aca="false">R119</f>
        <v>49.98</v>
      </c>
      <c r="W127" s="2" t="n">
        <f aca="false">R117</f>
        <v>29.17</v>
      </c>
      <c r="X127" s="2" t="n">
        <f aca="false">R115</f>
        <v>40.06</v>
      </c>
      <c r="Y127" s="2" t="n">
        <f aca="false">R113</f>
        <v>24.41</v>
      </c>
      <c r="Z127" s="2" t="n">
        <f aca="false">R111</f>
        <v>27.75</v>
      </c>
      <c r="AA127" s="2" t="n">
        <f aca="false">R109</f>
        <v>88.19</v>
      </c>
      <c r="AB127" s="2" t="n">
        <f aca="false">R107</f>
        <v>26.37</v>
      </c>
      <c r="AC127" s="2" t="n">
        <f aca="false">R105</f>
        <v>20.98</v>
      </c>
      <c r="AD127" s="1" t="n">
        <v>1.21</v>
      </c>
      <c r="AE127" s="2" t="n">
        <f aca="false">AD125</f>
        <v>0.9</v>
      </c>
      <c r="AF127" s="2" t="n">
        <f aca="false">AD123</f>
        <v>0.45</v>
      </c>
      <c r="AG127" s="2" t="n">
        <f aca="false">AD121</f>
        <v>0.46</v>
      </c>
      <c r="AH127" s="2" t="n">
        <f aca="false">AD119</f>
        <v>1.07</v>
      </c>
      <c r="AI127" s="2" t="n">
        <f aca="false">AD117</f>
        <v>0.62</v>
      </c>
      <c r="AJ127" s="2" t="n">
        <f aca="false">AD115</f>
        <v>0.86</v>
      </c>
      <c r="AK127" s="2" t="n">
        <f aca="false">AD113</f>
        <v>0.52</v>
      </c>
      <c r="AL127" s="2" t="n">
        <f aca="false">AD111</f>
        <v>0.59</v>
      </c>
      <c r="AM127" s="2" t="n">
        <f aca="false">AD109</f>
        <v>1.9</v>
      </c>
      <c r="AN127" s="2" t="n">
        <f aca="false">AD107</f>
        <v>0.56</v>
      </c>
      <c r="AO127" s="2" t="n">
        <f aca="false">AD105</f>
        <v>0.45</v>
      </c>
      <c r="AP127" s="1" t="n">
        <v>0</v>
      </c>
      <c r="AQ127" s="2" t="n">
        <f aca="false">AP125</f>
        <v>0</v>
      </c>
      <c r="AR127" s="2" t="n">
        <f aca="false">AP123</f>
        <v>0</v>
      </c>
      <c r="AS127" s="2" t="n">
        <f aca="false">AP121</f>
        <v>0</v>
      </c>
      <c r="AT127" s="2" t="n">
        <f aca="false">AP119</f>
        <v>0</v>
      </c>
      <c r="AU127" s="2" t="n">
        <f aca="false">AP117</f>
        <v>0</v>
      </c>
      <c r="AV127" s="2" t="n">
        <f aca="false">AP115</f>
        <v>0</v>
      </c>
      <c r="AW127" s="2" t="n">
        <f aca="false">AP113</f>
        <v>0</v>
      </c>
      <c r="AX127" s="2" t="n">
        <f aca="false">AP111</f>
        <v>0</v>
      </c>
      <c r="AY127" s="2" t="n">
        <f aca="false">AP109</f>
        <v>0</v>
      </c>
      <c r="AZ127" s="2" t="n">
        <f aca="false">AP107</f>
        <v>0</v>
      </c>
      <c r="BA127" s="2" t="n">
        <f aca="false">AP105</f>
        <v>0</v>
      </c>
      <c r="BB127" s="1" t="n">
        <v>4</v>
      </c>
      <c r="BC127" s="2" t="n">
        <f aca="false">BB125</f>
        <v>4</v>
      </c>
      <c r="BD127" s="2" t="n">
        <f aca="false">BB123</f>
        <v>8</v>
      </c>
      <c r="BE127" s="2" t="n">
        <f aca="false">BB121</f>
        <v>12</v>
      </c>
      <c r="BF127" s="2" t="n">
        <f aca="false">BB119</f>
        <v>14</v>
      </c>
      <c r="BG127" s="2" t="n">
        <f aca="false">BB117</f>
        <v>20</v>
      </c>
      <c r="BH127" s="2" t="n">
        <f aca="false">BB115</f>
        <v>10</v>
      </c>
      <c r="BI127" s="2" t="n">
        <f aca="false">BB113</f>
        <v>2</v>
      </c>
      <c r="BJ127" s="2" t="n">
        <f aca="false">BB111</f>
        <v>14</v>
      </c>
      <c r="BK127" s="2" t="n">
        <f aca="false">BB109</f>
        <v>31</v>
      </c>
      <c r="BL127" s="2" t="n">
        <f aca="false">BB107</f>
        <v>9</v>
      </c>
      <c r="BM127" s="2" t="n">
        <f aca="false">BB105</f>
        <v>12</v>
      </c>
      <c r="BN127" s="1" t="n">
        <v>0</v>
      </c>
      <c r="BO127" s="2" t="n">
        <f aca="false">BN125</f>
        <v>0</v>
      </c>
      <c r="BP127" s="2" t="n">
        <f aca="false">BN123</f>
        <v>0</v>
      </c>
      <c r="BQ127" s="2" t="n">
        <f aca="false">BN121</f>
        <v>0</v>
      </c>
      <c r="BR127" s="2" t="n">
        <f aca="false">BN119</f>
        <v>0</v>
      </c>
      <c r="BS127" s="2" t="n">
        <f aca="false">BN117</f>
        <v>0</v>
      </c>
      <c r="BT127" s="2" t="n">
        <f aca="false">BN115</f>
        <v>0</v>
      </c>
      <c r="BU127" s="2" t="n">
        <f aca="false">BN113</f>
        <v>0</v>
      </c>
      <c r="BV127" s="2" t="n">
        <f aca="false">BN111</f>
        <v>0</v>
      </c>
      <c r="BW127" s="2" t="n">
        <f aca="false">BN109</f>
        <v>0</v>
      </c>
      <c r="BX127" s="2" t="n">
        <f aca="false">BN107</f>
        <v>0</v>
      </c>
      <c r="BY127" s="2" t="n">
        <f aca="false">BN105</f>
        <v>0</v>
      </c>
      <c r="BZ127" s="1" t="n">
        <v>13.6275</v>
      </c>
      <c r="CA127" s="2" t="n">
        <f aca="false">BZ125</f>
        <v>10.1525</v>
      </c>
      <c r="CB127" s="2" t="n">
        <f aca="false">BZ123</f>
        <v>2.61875</v>
      </c>
      <c r="CC127" s="2" t="n">
        <f aca="false">BZ121</f>
        <v>1.79583</v>
      </c>
      <c r="CD127" s="2" t="n">
        <f aca="false">BZ119</f>
        <v>3.57</v>
      </c>
      <c r="CE127" s="2" t="n">
        <f aca="false">BZ117</f>
        <v>1.4585</v>
      </c>
      <c r="CF127" s="2" t="n">
        <f aca="false">BZ115</f>
        <v>4.006</v>
      </c>
      <c r="CG127" s="2" t="n">
        <f aca="false">BZ113</f>
        <v>12.205</v>
      </c>
      <c r="CH127" s="2" t="n">
        <f aca="false">BZ111</f>
        <v>1.98214</v>
      </c>
      <c r="CI127" s="2" t="n">
        <f aca="false">BZ109</f>
        <v>2.84484</v>
      </c>
      <c r="CJ127" s="2" t="n">
        <f aca="false">BZ107</f>
        <v>2.93</v>
      </c>
      <c r="CK127" s="2" t="n">
        <f aca="false">BZ105</f>
        <v>1.74833</v>
      </c>
      <c r="CL127" s="1" t="n">
        <v>2</v>
      </c>
      <c r="CM127" s="2" t="n">
        <f aca="false">CL125</f>
        <v>1</v>
      </c>
      <c r="CN127" s="2" t="n">
        <f aca="false">CL123</f>
        <v>0</v>
      </c>
      <c r="CO127" s="2" t="n">
        <f aca="false">CL121</f>
        <v>0</v>
      </c>
      <c r="CP127" s="2" t="n">
        <f aca="false">CL119</f>
        <v>0</v>
      </c>
      <c r="CQ127" s="2" t="n">
        <f aca="false">CL117</f>
        <v>0</v>
      </c>
      <c r="CR127" s="2" t="n">
        <f aca="false">CL115</f>
        <v>0</v>
      </c>
      <c r="CS127" s="2" t="n">
        <f aca="false">CL113</f>
        <v>1</v>
      </c>
      <c r="CT127" s="2" t="n">
        <f aca="false">CL111</f>
        <v>0</v>
      </c>
      <c r="CU127" s="2" t="n">
        <f aca="false">CL109</f>
        <v>0</v>
      </c>
      <c r="CV127" s="2" t="n">
        <f aca="false">CL107</f>
        <v>0</v>
      </c>
      <c r="CW127" s="2" t="n">
        <f aca="false">CL105</f>
        <v>0</v>
      </c>
      <c r="CX127" s="1" t="n">
        <v>85.8031</v>
      </c>
      <c r="CY127" s="2" t="n">
        <f aca="false">CX125</f>
        <v>84.3746</v>
      </c>
      <c r="CZ127" s="2" t="n">
        <f aca="false">CX123</f>
        <v>69.1001</v>
      </c>
      <c r="DA127" s="2" t="n">
        <f aca="false">CX121</f>
        <v>60.889</v>
      </c>
      <c r="DB127" s="2" t="n">
        <f aca="false">CX119</f>
        <v>74.3518</v>
      </c>
      <c r="DC127" s="2" t="n">
        <f aca="false">CX117</f>
        <v>55.5641</v>
      </c>
      <c r="DD127" s="2" t="n">
        <f aca="false">CX115</f>
        <v>75.984</v>
      </c>
      <c r="DE127" s="2" t="n">
        <f aca="false">CX113</f>
        <v>85.316</v>
      </c>
      <c r="DF127" s="2" t="n">
        <f aca="false">CX111</f>
        <v>63.2288</v>
      </c>
      <c r="DG127" s="2" t="n">
        <f aca="false">CX109</f>
        <v>70.6327</v>
      </c>
      <c r="DH127" s="2" t="n">
        <f aca="false">CX107</f>
        <v>71.1554</v>
      </c>
      <c r="DI127" s="2" t="n">
        <f aca="false">CX105</f>
        <v>60.2316</v>
      </c>
      <c r="DJ127" s="1" t="s">
        <v>174</v>
      </c>
      <c r="DK127" s="2" t="str">
        <f aca="false">DJ125</f>
        <v>LH</v>
      </c>
      <c r="DL127" s="2" t="str">
        <f aca="false">DJ123</f>
        <v>LH</v>
      </c>
      <c r="DM127" s="2" t="str">
        <f aca="false">DJ121</f>
        <v>LH</v>
      </c>
      <c r="DN127" s="2" t="str">
        <f aca="false">DJ119</f>
        <v>HH</v>
      </c>
      <c r="DO127" s="2" t="str">
        <f aca="false">DJ117</f>
        <v>LH</v>
      </c>
      <c r="DP127" s="2" t="str">
        <f aca="false">DJ115</f>
        <v>LH</v>
      </c>
      <c r="DQ127" s="2" t="str">
        <f aca="false">DJ113</f>
        <v>LH</v>
      </c>
      <c r="DR127" s="2" t="str">
        <f aca="false">DJ111</f>
        <v>LH</v>
      </c>
      <c r="DS127" s="2" t="str">
        <f aca="false">DJ109</f>
        <v>HH</v>
      </c>
      <c r="DT127" s="2" t="str">
        <f aca="false">DJ107</f>
        <v>HH</v>
      </c>
      <c r="DU127" s="2" t="str">
        <f aca="false">DJ105</f>
        <v>LH</v>
      </c>
      <c r="DV127" s="2" t="n">
        <f aca="false">IFERROR((G127-$F127)/$F127*100,"")</f>
        <v>0.135992449243721</v>
      </c>
      <c r="DW127" s="2" t="n">
        <f aca="false">IFERROR((H127-$F127)/$F127*100,"")</f>
        <v>2.16624365204328</v>
      </c>
      <c r="DX127" s="2" t="n">
        <f aca="false">IFERROR((I127-$F127)/$F127*100,"")</f>
        <v>3.1444695309027</v>
      </c>
      <c r="DY127" s="2" t="n">
        <f aca="false">IFERROR((J127-$F127)/$F127*100,"")</f>
        <v>3.3356473218685</v>
      </c>
      <c r="DZ127" s="2" t="n">
        <f aca="false">IFERROR((K127-$F127)/$F127*100,"")</f>
        <v>3.07417391704242</v>
      </c>
      <c r="EA127" s="2" t="n">
        <f aca="false">IFERROR((L127-$F127)/$F127*100,"")</f>
        <v>3.13768085791307</v>
      </c>
      <c r="EB127" s="2" t="n">
        <f aca="false">IFERROR((M127-$F127)/$F127*100,"")</f>
        <v>3.15235315114871</v>
      </c>
      <c r="EC127" s="2" t="n">
        <f aca="false">IFERROR((N127-$F127)/$F127*100,"")</f>
        <v>3.26119090843394</v>
      </c>
      <c r="ED127" s="2" t="n">
        <f aca="false">IFERROR((O127-$F127)/$F127*100,"")</f>
        <v>3.51105787234229</v>
      </c>
      <c r="EE127" s="2" t="n">
        <f aca="false">IFERROR((P127-$F127)/$F127*100,"")</f>
        <v>3.17709895914314</v>
      </c>
      <c r="EF127" s="2" t="n">
        <f aca="false">IFERROR((Q127-$F127)/$F127*100,"")</f>
        <v>3.11052616595459</v>
      </c>
      <c r="EG127" s="2" t="str">
        <f aca="false">IF(DV127="","",IF(AND(ABS(DV127)&lt;=0.25,$E127="Bottom",DK127="LL"),"EQL",IF(AND(ABS(DV127)&lt;=0.25,$E127="Peak",DK127="HH"),"EQH","")))</f>
        <v/>
      </c>
      <c r="EH127" s="2" t="str">
        <f aca="false">IF(DW127="","",IF(AND(ABS(DW127)&lt;=0.25,$E127="Bottom",DL127="LL"),"EQL",IF(AND(ABS(DW127)&lt;=0.25,$E127="Peak",DL127="HH"),"EQH","")))</f>
        <v/>
      </c>
      <c r="EI127" s="2" t="str">
        <f aca="false">IF(DX127="","",IF(AND(ABS(DX127)&lt;=0.25,$E127="Bottom",DM127="LL"),"EQL",IF(AND(ABS(DX127)&lt;=0.25,$E127="Peak",DM127="HH"),"EQH","")))</f>
        <v/>
      </c>
      <c r="EJ127" s="2" t="str">
        <f aca="false">IF(DY127="","",IF(AND(ABS(DY127)&lt;=0.25,$E127="Bottom",DN127="LL"),"EQL",IF(AND(ABS(DY127)&lt;=0.25,$E127="Peak",DN127="HH"),"EQH","")))</f>
        <v/>
      </c>
      <c r="EK127" s="2" t="str">
        <f aca="false">IF(DZ127="","",IF(AND(ABS(DZ127)&lt;=0.25,$E127="Bottom",DO127="LL"),"EQL",IF(AND(ABS(DZ127)&lt;=0.25,$E127="Peak",DO127="HH"),"EQH","")))</f>
        <v/>
      </c>
      <c r="EL127" s="2" t="str">
        <f aca="false">IF(EA127="","",IF(AND(ABS(EA127)&lt;=0.25,$E127="Bottom",DP127="LL"),"EQL",IF(AND(ABS(EA127)&lt;=0.25,$E127="Peak",DP127="HH"),"EQH","")))</f>
        <v/>
      </c>
      <c r="EM127" s="2" t="str">
        <f aca="false">IF(EB127="","",IF(AND(ABS(EB127)&lt;=0.25,$E127="Bottom",DQ127="LL"),"EQL",IF(AND(ABS(EB127)&lt;=0.25,$E127="Peak",DQ127="HH"),"EQH","")))</f>
        <v/>
      </c>
      <c r="EN127" s="2" t="str">
        <f aca="false">IF(EC127="","",IF(AND(ABS(EC127)&lt;=0.25,$E127="Bottom",DR127="LL"),"EQL",IF(AND(ABS(EC127)&lt;=0.25,$E127="Peak",DR127="HH"),"EQH","")))</f>
        <v/>
      </c>
      <c r="EO127" s="2" t="str">
        <f aca="false">IF(ED127="","",IF(AND(ABS(ED127)&lt;=0.25,$E127="Bottom",DS127="LL"),"EQL",IF(AND(ABS(ED127)&lt;=0.25,$E127="Peak",DS127="HH"),"EQH","")))</f>
        <v/>
      </c>
      <c r="EP127" s="2" t="str">
        <f aca="false">IF(EE127="","",IF(AND(ABS(EE127)&lt;=0.25,$E127="Bottom",DT127="LL"),"EQL",IF(AND(ABS(EE127)&lt;=0.25,$E127="Peak",DT127="HH"),"EQH","")))</f>
        <v/>
      </c>
      <c r="EQ127" s="2" t="str">
        <f aca="false">IF(EF127="","",IF(AND(ABS(EF127)&lt;=0.25,$E127="Bottom",DU127="LL"),"EQL",IF(AND(ABS(EF127)&lt;=0.25,$E127="Peak",DU127="HH"),"EQH","")))</f>
        <v/>
      </c>
      <c r="ER127" s="2" t="str">
        <f aca="false">IF(OR(EG127="EQL",EG127="EQH"),G127,"")</f>
        <v/>
      </c>
      <c r="ES127" s="2" t="str">
        <f aca="false">IF(OR(EH127="EQL",EH127="EQH"),H127,"")</f>
        <v/>
      </c>
      <c r="ET127" s="2" t="str">
        <f aca="false">IF(OR(EI127="EQL",EI127="EQH"),I127,"")</f>
        <v/>
      </c>
      <c r="EU127" s="2" t="str">
        <f aca="false">IF(OR(EJ127="EQL",EJ127="EQH"),J127,"")</f>
        <v/>
      </c>
      <c r="EV127" s="2" t="str">
        <f aca="false">IF(OR(EK127="EQL",EK127="EQH"),K127,"")</f>
        <v/>
      </c>
      <c r="EW127" s="2" t="str">
        <f aca="false">IF(OR(EL127="EQL",EL127="EQH"),L127,"")</f>
        <v/>
      </c>
      <c r="EX127" s="2" t="str">
        <f aca="false">IF(OR(EM127="EQL",EM127="EQH"),M127,"")</f>
        <v/>
      </c>
      <c r="EY127" s="2" t="str">
        <f aca="false">IF(OR(EN127="EQL",EN127="EQH"),N127,"")</f>
        <v/>
      </c>
      <c r="EZ127" s="2" t="str">
        <f aca="false">IF(OR(EO127="EQL",EO127="EQH"),O127,"")</f>
        <v/>
      </c>
      <c r="FA127" s="2" t="str">
        <f aca="false">IF(OR(EP127="EQL",EP127="EQH"),P127,"")</f>
        <v/>
      </c>
      <c r="FB127" s="2" t="str">
        <f aca="false">IF(OR(EQ127="EQL",EQ127="EQH"),Q127,"")</f>
        <v/>
      </c>
      <c r="FC127" s="2" t="str">
        <f aca="false">IF(AND(EG127="EQL",OR(AQ127=4,AQ127=5)),"IEQL",IF(AND(EG127="EQH",OR(AQ127=1,AQ127=2)),"IEQH",""))</f>
        <v/>
      </c>
      <c r="FD127" s="2" t="str">
        <f aca="false">IF(AND(EH127="EQL",OR(AR127=4,AR127=5)),"IEQL",IF(AND(EH127="EQH",OR(AR127=1,AR127=2)),"IEQH",""))</f>
        <v/>
      </c>
      <c r="FE127" s="2" t="str">
        <f aca="false">IF(AND(EI127="EQL",OR(AS127=4,AS127=5)),"IEQL",IF(AND(EI127="EQH",OR(AS127=1,AS127=2)),"IEQH",""))</f>
        <v/>
      </c>
      <c r="FF127" s="2" t="str">
        <f aca="false">IF(AND(EJ127="EQL",OR(AT127=4,AT127=5)),"IEQL",IF(AND(EJ127="EQH",OR(AT127=1,AT127=2)),"IEQH",""))</f>
        <v/>
      </c>
      <c r="FG127" s="2" t="str">
        <f aca="false">IF(AND(EK127="EQL",OR(AU127=4,AU127=5)),"IEQL",IF(AND(EK127="EQH",OR(AU127=1,AU127=2)),"IEQH",""))</f>
        <v/>
      </c>
      <c r="FH127" s="2" t="str">
        <f aca="false">IF(AND(EL127="EQL",OR(AV127=4,AV127=5)),"IEQL",IF(AND(EL127="EQH",OR(AV127=1,AV127=2)),"IEQH",""))</f>
        <v/>
      </c>
      <c r="FI127" s="2" t="str">
        <f aca="false">IF(AND(EM127="EQL",OR(AW127=4,AW127=5)),"IEQL",IF(AND(EM127="EQH",OR(AW127=1,AW127=2)),"IEQH",""))</f>
        <v/>
      </c>
      <c r="FJ127" s="2" t="str">
        <f aca="false">IF(AND(EN127="EQL",OR(AX127=4,AX127=5)),"IEQL",IF(AND(EN127="EQH",OR(AX127=1,AX127=2)),"IEQH",""))</f>
        <v/>
      </c>
      <c r="FK127" s="2" t="str">
        <f aca="false">IF(AND(EO127="EQL",OR(AY127=4,AY127=5)),"IEQL",IF(AND(EO127="EQH",OR(AY127=1,AY127=2)),"IEQH",""))</f>
        <v/>
      </c>
      <c r="FL127" s="2" t="str">
        <f aca="false">IF(AND(EP127="EQL",OR(AZ127=4,AZ127=5)),"IEQL",IF(AND(EP127="EQH",OR(AZ127=1,AZ127=2)),"IEQH",""))</f>
        <v/>
      </c>
      <c r="FM127" s="2" t="str">
        <f aca="false">IF(AND(EQ127="EQL",OR(BA127=4,BA127=5)),"IEQL",IF(AND(EQ127="EQH",OR(BA127=1,BA127=2)),"IEQH",""))</f>
        <v/>
      </c>
    </row>
    <row r="128" customFormat="false" ht="14.25" hidden="false" customHeight="false" outlineLevel="0" collapsed="false">
      <c r="A128" s="1" t="n">
        <v>1779065102</v>
      </c>
      <c r="B128" s="1" t="s">
        <v>169</v>
      </c>
      <c r="C128" s="1" t="s">
        <v>170</v>
      </c>
      <c r="D128" s="1" t="n">
        <v>4515.89</v>
      </c>
      <c r="E128" s="1" t="s">
        <v>171</v>
      </c>
      <c r="F128" s="1" t="n">
        <v>4480.72</v>
      </c>
      <c r="G128" s="2" t="n">
        <f aca="false">F126</f>
        <v>4511.92</v>
      </c>
      <c r="H128" s="2" t="n">
        <f aca="false">F124</f>
        <v>4532.03</v>
      </c>
      <c r="I128" s="2" t="n">
        <f aca="false">F122</f>
        <v>4644.4</v>
      </c>
      <c r="J128" s="2" t="n">
        <f aca="false">F120</f>
        <v>4688.47</v>
      </c>
      <c r="K128" s="2" t="n">
        <f aca="false">F118</f>
        <v>4668.77</v>
      </c>
      <c r="L128" s="2" t="n">
        <f aca="false">F116</f>
        <v>4677.64</v>
      </c>
      <c r="M128" s="2" t="n">
        <f aca="false">F114</f>
        <v>4669.65</v>
      </c>
      <c r="N128" s="2" t="n">
        <f aca="false">F112</f>
        <v>4685.97</v>
      </c>
      <c r="O128" s="2" t="n">
        <f aca="false">F110</f>
        <v>4687.6</v>
      </c>
      <c r="P128" s="2" t="n">
        <f aca="false">F108</f>
        <v>4638.57</v>
      </c>
      <c r="Q128" s="2" t="n">
        <f aca="false">F106</f>
        <v>4685.14</v>
      </c>
      <c r="R128" s="1" t="n">
        <v>-85.71</v>
      </c>
      <c r="S128" s="2" t="n">
        <f aca="false">R126</f>
        <v>-60.72</v>
      </c>
      <c r="T128" s="2" t="n">
        <f aca="false">R124</f>
        <v>-133.32</v>
      </c>
      <c r="U128" s="2" t="n">
        <f aca="false">R122</f>
        <v>-65.62</v>
      </c>
      <c r="V128" s="2" t="n">
        <f aca="false">R120</f>
        <v>-30.28</v>
      </c>
      <c r="W128" s="2" t="n">
        <f aca="false">R118</f>
        <v>-38.04</v>
      </c>
      <c r="X128" s="2" t="n">
        <f aca="false">R116</f>
        <v>-32.07</v>
      </c>
      <c r="Y128" s="2" t="n">
        <f aca="false">R114</f>
        <v>-40.73</v>
      </c>
      <c r="Z128" s="2" t="n">
        <f aca="false">R112</f>
        <v>-29.38</v>
      </c>
      <c r="AA128" s="2" t="n">
        <f aca="false">R110</f>
        <v>-39.16</v>
      </c>
      <c r="AB128" s="2" t="n">
        <f aca="false">R108</f>
        <v>-72.94</v>
      </c>
      <c r="AC128" s="2" t="n">
        <f aca="false">R106</f>
        <v>-23.33</v>
      </c>
      <c r="AD128" s="1" t="n">
        <v>-1.88</v>
      </c>
      <c r="AE128" s="2" t="n">
        <f aca="false">AD126</f>
        <v>-1.33</v>
      </c>
      <c r="AF128" s="2" t="n">
        <f aca="false">AD124</f>
        <v>-2.86</v>
      </c>
      <c r="AG128" s="2" t="n">
        <f aca="false">AD122</f>
        <v>-1.39</v>
      </c>
      <c r="AH128" s="2" t="n">
        <f aca="false">AD120</f>
        <v>-0.64</v>
      </c>
      <c r="AI128" s="2" t="n">
        <f aca="false">AD118</f>
        <v>-0.81</v>
      </c>
      <c r="AJ128" s="2" t="n">
        <f aca="false">AD116</f>
        <v>-0.68</v>
      </c>
      <c r="AK128" s="2" t="n">
        <f aca="false">AD114</f>
        <v>-0.86</v>
      </c>
      <c r="AL128" s="2" t="n">
        <f aca="false">AD112</f>
        <v>-0.62</v>
      </c>
      <c r="AM128" s="2" t="n">
        <f aca="false">AD110</f>
        <v>-0.83</v>
      </c>
      <c r="AN128" s="2" t="n">
        <f aca="false">AD108</f>
        <v>-1.55</v>
      </c>
      <c r="AO128" s="2" t="n">
        <f aca="false">AD106</f>
        <v>-0.5</v>
      </c>
      <c r="AP128" s="1" t="n">
        <v>3</v>
      </c>
      <c r="AQ128" s="2" t="n">
        <f aca="false">AP126</f>
        <v>3</v>
      </c>
      <c r="AR128" s="2" t="n">
        <f aca="false">AP124</f>
        <v>5</v>
      </c>
      <c r="AS128" s="2" t="n">
        <f aca="false">AP122</f>
        <v>3</v>
      </c>
      <c r="AT128" s="2" t="n">
        <f aca="false">AP120</f>
        <v>3</v>
      </c>
      <c r="AU128" s="2" t="n">
        <f aca="false">AP118</f>
        <v>3</v>
      </c>
      <c r="AV128" s="2" t="n">
        <f aca="false">AP116</f>
        <v>3</v>
      </c>
      <c r="AW128" s="2" t="n">
        <f aca="false">AP114</f>
        <v>3</v>
      </c>
      <c r="AX128" s="2" t="n">
        <f aca="false">AP112</f>
        <v>3</v>
      </c>
      <c r="AY128" s="2" t="n">
        <f aca="false">AP110</f>
        <v>3</v>
      </c>
      <c r="AZ128" s="2" t="n">
        <f aca="false">AP108</f>
        <v>3</v>
      </c>
      <c r="BA128" s="2" t="n">
        <f aca="false">AP106</f>
        <v>3</v>
      </c>
      <c r="BB128" s="1" t="n">
        <v>36</v>
      </c>
      <c r="BC128" s="2" t="n">
        <f aca="false">BB126</f>
        <v>12</v>
      </c>
      <c r="BD128" s="2" t="n">
        <f aca="false">BB124</f>
        <v>41</v>
      </c>
      <c r="BE128" s="2" t="n">
        <f aca="false">BB122</f>
        <v>32</v>
      </c>
      <c r="BF128" s="2" t="n">
        <f aca="false">BB120</f>
        <v>8</v>
      </c>
      <c r="BG128" s="2" t="n">
        <f aca="false">BB118</f>
        <v>13</v>
      </c>
      <c r="BH128" s="2" t="n">
        <f aca="false">BB116</f>
        <v>10</v>
      </c>
      <c r="BI128" s="2" t="n">
        <f aca="false">BB114</f>
        <v>15</v>
      </c>
      <c r="BJ128" s="2" t="n">
        <f aca="false">BB112</f>
        <v>13</v>
      </c>
      <c r="BK128" s="2" t="n">
        <f aca="false">BB110</f>
        <v>11</v>
      </c>
      <c r="BL128" s="2" t="n">
        <f aca="false">BB108</f>
        <v>10</v>
      </c>
      <c r="BM128" s="2" t="n">
        <f aca="false">BB106</f>
        <v>2</v>
      </c>
      <c r="BN128" s="1" t="n">
        <v>4</v>
      </c>
      <c r="BO128" s="2" t="n">
        <f aca="false">BN126</f>
        <v>3</v>
      </c>
      <c r="BP128" s="2" t="n">
        <f aca="false">BN124</f>
        <v>5</v>
      </c>
      <c r="BQ128" s="2" t="n">
        <f aca="false">BN122</f>
        <v>4</v>
      </c>
      <c r="BR128" s="2" t="n">
        <f aca="false">BN120</f>
        <v>3</v>
      </c>
      <c r="BS128" s="2" t="n">
        <f aca="false">BN118</f>
        <v>3</v>
      </c>
      <c r="BT128" s="2" t="n">
        <f aca="false">BN116</f>
        <v>3</v>
      </c>
      <c r="BU128" s="2" t="n">
        <f aca="false">BN114</f>
        <v>3</v>
      </c>
      <c r="BV128" s="2" t="n">
        <f aca="false">BN112</f>
        <v>3</v>
      </c>
      <c r="BW128" s="2" t="n">
        <f aca="false">BN110</f>
        <v>3</v>
      </c>
      <c r="BX128" s="2" t="n">
        <f aca="false">BN108</f>
        <v>3</v>
      </c>
      <c r="BY128" s="2" t="n">
        <f aca="false">BN106</f>
        <v>3</v>
      </c>
      <c r="BZ128" s="1" t="n">
        <v>-2.38083</v>
      </c>
      <c r="CA128" s="2" t="n">
        <f aca="false">BZ126</f>
        <v>-5.06</v>
      </c>
      <c r="CB128" s="2" t="n">
        <f aca="false">BZ124</f>
        <v>-3.25171</v>
      </c>
      <c r="CC128" s="2" t="n">
        <f aca="false">BZ122</f>
        <v>-2.05063</v>
      </c>
      <c r="CD128" s="2" t="n">
        <f aca="false">BZ120</f>
        <v>-3.785</v>
      </c>
      <c r="CE128" s="2" t="n">
        <f aca="false">BZ118</f>
        <v>-2.92615</v>
      </c>
      <c r="CF128" s="2" t="n">
        <f aca="false">BZ116</f>
        <v>-3.207</v>
      </c>
      <c r="CG128" s="2" t="n">
        <f aca="false">BZ114</f>
        <v>-2.71533</v>
      </c>
      <c r="CH128" s="2" t="n">
        <f aca="false">BZ112</f>
        <v>-2.26</v>
      </c>
      <c r="CI128" s="2" t="n">
        <f aca="false">BZ110</f>
        <v>-3.56</v>
      </c>
      <c r="CJ128" s="2" t="n">
        <f aca="false">BZ108</f>
        <v>-7.294</v>
      </c>
      <c r="CK128" s="2" t="n">
        <f aca="false">BZ106</f>
        <v>-11.665</v>
      </c>
      <c r="CL128" s="1" t="n">
        <v>3</v>
      </c>
      <c r="CM128" s="2" t="n">
        <f aca="false">CL126</f>
        <v>3</v>
      </c>
      <c r="CN128" s="2" t="n">
        <f aca="false">CL124</f>
        <v>3</v>
      </c>
      <c r="CO128" s="2" t="n">
        <f aca="false">CL122</f>
        <v>3</v>
      </c>
      <c r="CP128" s="2" t="n">
        <f aca="false">CL120</f>
        <v>3</v>
      </c>
      <c r="CQ128" s="2" t="n">
        <f aca="false">CL118</f>
        <v>3</v>
      </c>
      <c r="CR128" s="2" t="n">
        <f aca="false">CL116</f>
        <v>3</v>
      </c>
      <c r="CS128" s="2" t="n">
        <f aca="false">CL114</f>
        <v>3</v>
      </c>
      <c r="CT128" s="2" t="n">
        <f aca="false">CL112</f>
        <v>3</v>
      </c>
      <c r="CU128" s="2" t="n">
        <f aca="false">CL110</f>
        <v>3</v>
      </c>
      <c r="CV128" s="2" t="n">
        <f aca="false">CL108</f>
        <v>3</v>
      </c>
      <c r="CW128" s="2" t="n">
        <f aca="false">CL106</f>
        <v>4</v>
      </c>
      <c r="CX128" s="1" t="n">
        <v>-67.2166</v>
      </c>
      <c r="CY128" s="2" t="n">
        <f aca="false">CX126</f>
        <v>-78.8208</v>
      </c>
      <c r="CZ128" s="2" t="n">
        <f aca="false">CX124</f>
        <v>-72.9057</v>
      </c>
      <c r="DA128" s="2" t="n">
        <f aca="false">CX122</f>
        <v>-64.0035</v>
      </c>
      <c r="DB128" s="2" t="n">
        <f aca="false">CX120</f>
        <v>-75.2006</v>
      </c>
      <c r="DC128" s="2" t="n">
        <f aca="false">CX118</f>
        <v>-71.1324</v>
      </c>
      <c r="DD128" s="2" t="n">
        <f aca="false">CX116</f>
        <v>-72.6816</v>
      </c>
      <c r="DE128" s="2" t="n">
        <f aca="false">CX114</f>
        <v>-69.7823</v>
      </c>
      <c r="DF128" s="2" t="n">
        <f aca="false">CX112</f>
        <v>-66.1317</v>
      </c>
      <c r="DG128" s="2" t="n">
        <f aca="false">CX110</f>
        <v>-74.31</v>
      </c>
      <c r="DH128" s="2" t="n">
        <f aca="false">CX108</f>
        <v>-82.1935</v>
      </c>
      <c r="DI128" s="2" t="n">
        <f aca="false">CX106</f>
        <v>-85.1002</v>
      </c>
      <c r="DJ128" s="1" t="s">
        <v>172</v>
      </c>
      <c r="DK128" s="2" t="str">
        <f aca="false">DJ126</f>
        <v>LL</v>
      </c>
      <c r="DL128" s="2" t="str">
        <f aca="false">DJ124</f>
        <v>LL</v>
      </c>
      <c r="DM128" s="2" t="str">
        <f aca="false">DJ122</f>
        <v>LL</v>
      </c>
      <c r="DN128" s="2" t="str">
        <f aca="false">DJ120</f>
        <v>HL</v>
      </c>
      <c r="DO128" s="2" t="str">
        <f aca="false">DJ118</f>
        <v>LL</v>
      </c>
      <c r="DP128" s="2" t="str">
        <f aca="false">DJ116</f>
        <v>HL</v>
      </c>
      <c r="DQ128" s="2" t="str">
        <f aca="false">DJ114</f>
        <v>LL</v>
      </c>
      <c r="DR128" s="2" t="str">
        <f aca="false">DJ112</f>
        <v>LL</v>
      </c>
      <c r="DS128" s="2" t="str">
        <f aca="false">DJ110</f>
        <v>HL</v>
      </c>
      <c r="DT128" s="2" t="str">
        <f aca="false">DJ108</f>
        <v>LL</v>
      </c>
      <c r="DU128" s="2" t="str">
        <f aca="false">DJ106</f>
        <v>LL</v>
      </c>
      <c r="DV128" s="2" t="n">
        <f aca="false">IFERROR((G128-$F128)/$F128*100,"")</f>
        <v>0.696316663393379</v>
      </c>
      <c r="DW128" s="2" t="n">
        <f aca="false">IFERROR((H128-$F128)/$F128*100,"")</f>
        <v>1.14512846149725</v>
      </c>
      <c r="DX128" s="2" t="n">
        <f aca="false">IFERROR((I128-$F128)/$F128*100,"")</f>
        <v>3.6529843418022</v>
      </c>
      <c r="DY128" s="2" t="n">
        <f aca="false">IFERROR((J128-$F128)/$F128*100,"")</f>
        <v>4.63653162884536</v>
      </c>
      <c r="DZ128" s="2" t="n">
        <f aca="false">IFERROR((K128-$F128)/$F128*100,"")</f>
        <v>4.19687014586942</v>
      </c>
      <c r="EA128" s="2" t="n">
        <f aca="false">IFERROR((L128-$F128)/$F128*100,"")</f>
        <v>4.39482940241747</v>
      </c>
      <c r="EB128" s="2" t="n">
        <f aca="false">IFERROR((M128-$F128)/$F128*100,"")</f>
        <v>4.21650984663178</v>
      </c>
      <c r="EC128" s="2" t="n">
        <f aca="false">IFERROR((N128-$F128)/$F128*100,"")</f>
        <v>4.58073702440679</v>
      </c>
      <c r="ED128" s="2" t="n">
        <f aca="false">IFERROR((O128-$F128)/$F128*100,"")</f>
        <v>4.61711510650074</v>
      </c>
      <c r="EE128" s="2" t="n">
        <f aca="false">IFERROR((P128-$F128)/$F128*100,"")</f>
        <v>3.52287132425145</v>
      </c>
      <c r="EF128" s="2" t="n">
        <f aca="false">IFERROR((Q128-$F128)/$F128*100,"")</f>
        <v>4.56221321573319</v>
      </c>
      <c r="EG128" s="2" t="str">
        <f aca="false">IF(DV128="","",IF(AND(ABS(DV128)&lt;=0.25,$E128="Bottom",DK128="LL"),"EQL",IF(AND(ABS(DV128)&lt;=0.25,$E128="Peak",DK128="HH"),"EQH","")))</f>
        <v/>
      </c>
      <c r="EH128" s="2" t="str">
        <f aca="false">IF(DW128="","",IF(AND(ABS(DW128)&lt;=0.25,$E128="Bottom",DL128="LL"),"EQL",IF(AND(ABS(DW128)&lt;=0.25,$E128="Peak",DL128="HH"),"EQH","")))</f>
        <v/>
      </c>
      <c r="EI128" s="2" t="str">
        <f aca="false">IF(DX128="","",IF(AND(ABS(DX128)&lt;=0.25,$E128="Bottom",DM128="LL"),"EQL",IF(AND(ABS(DX128)&lt;=0.25,$E128="Peak",DM128="HH"),"EQH","")))</f>
        <v/>
      </c>
      <c r="EJ128" s="2" t="str">
        <f aca="false">IF(DY128="","",IF(AND(ABS(DY128)&lt;=0.25,$E128="Bottom",DN128="LL"),"EQL",IF(AND(ABS(DY128)&lt;=0.25,$E128="Peak",DN128="HH"),"EQH","")))</f>
        <v/>
      </c>
      <c r="EK128" s="2" t="str">
        <f aca="false">IF(DZ128="","",IF(AND(ABS(DZ128)&lt;=0.25,$E128="Bottom",DO128="LL"),"EQL",IF(AND(ABS(DZ128)&lt;=0.25,$E128="Peak",DO128="HH"),"EQH","")))</f>
        <v/>
      </c>
      <c r="EL128" s="2" t="str">
        <f aca="false">IF(EA128="","",IF(AND(ABS(EA128)&lt;=0.25,$E128="Bottom",DP128="LL"),"EQL",IF(AND(ABS(EA128)&lt;=0.25,$E128="Peak",DP128="HH"),"EQH","")))</f>
        <v/>
      </c>
      <c r="EM128" s="2" t="str">
        <f aca="false">IF(EB128="","",IF(AND(ABS(EB128)&lt;=0.25,$E128="Bottom",DQ128="LL"),"EQL",IF(AND(ABS(EB128)&lt;=0.25,$E128="Peak",DQ128="HH"),"EQH","")))</f>
        <v/>
      </c>
      <c r="EN128" s="2" t="str">
        <f aca="false">IF(EC128="","",IF(AND(ABS(EC128)&lt;=0.25,$E128="Bottom",DR128="LL"),"EQL",IF(AND(ABS(EC128)&lt;=0.25,$E128="Peak",DR128="HH"),"EQH","")))</f>
        <v/>
      </c>
      <c r="EO128" s="2" t="str">
        <f aca="false">IF(ED128="","",IF(AND(ABS(ED128)&lt;=0.25,$E128="Bottom",DS128="LL"),"EQL",IF(AND(ABS(ED128)&lt;=0.25,$E128="Peak",DS128="HH"),"EQH","")))</f>
        <v/>
      </c>
      <c r="EP128" s="2" t="str">
        <f aca="false">IF(EE128="","",IF(AND(ABS(EE128)&lt;=0.25,$E128="Bottom",DT128="LL"),"EQL",IF(AND(ABS(EE128)&lt;=0.25,$E128="Peak",DT128="HH"),"EQH","")))</f>
        <v/>
      </c>
      <c r="EQ128" s="2" t="str">
        <f aca="false">IF(EF128="","",IF(AND(ABS(EF128)&lt;=0.25,$E128="Bottom",DU128="LL"),"EQL",IF(AND(ABS(EF128)&lt;=0.25,$E128="Peak",DU128="HH"),"EQH","")))</f>
        <v/>
      </c>
      <c r="ER128" s="2" t="str">
        <f aca="false">IF(OR(EG128="EQL",EG128="EQH"),G128,"")</f>
        <v/>
      </c>
      <c r="ES128" s="2" t="str">
        <f aca="false">IF(OR(EH128="EQL",EH128="EQH"),H128,"")</f>
        <v/>
      </c>
      <c r="ET128" s="2" t="str">
        <f aca="false">IF(OR(EI128="EQL",EI128="EQH"),I128,"")</f>
        <v/>
      </c>
      <c r="EU128" s="2" t="str">
        <f aca="false">IF(OR(EJ128="EQL",EJ128="EQH"),J128,"")</f>
        <v/>
      </c>
      <c r="EV128" s="2" t="str">
        <f aca="false">IF(OR(EK128="EQL",EK128="EQH"),K128,"")</f>
        <v/>
      </c>
      <c r="EW128" s="2" t="str">
        <f aca="false">IF(OR(EL128="EQL",EL128="EQH"),L128,"")</f>
        <v/>
      </c>
      <c r="EX128" s="2" t="str">
        <f aca="false">IF(OR(EM128="EQL",EM128="EQH"),M128,"")</f>
        <v/>
      </c>
      <c r="EY128" s="2" t="str">
        <f aca="false">IF(OR(EN128="EQL",EN128="EQH"),N128,"")</f>
        <v/>
      </c>
      <c r="EZ128" s="2" t="str">
        <f aca="false">IF(OR(EO128="EQL",EO128="EQH"),O128,"")</f>
        <v/>
      </c>
      <c r="FA128" s="2" t="str">
        <f aca="false">IF(OR(EP128="EQL",EP128="EQH"),P128,"")</f>
        <v/>
      </c>
      <c r="FB128" s="2" t="str">
        <f aca="false">IF(OR(EQ128="EQL",EQ128="EQH"),Q128,"")</f>
        <v/>
      </c>
      <c r="FC128" s="2" t="str">
        <f aca="false">IF(AND(EG128="EQL",OR(AQ128=4,AQ128=5)),"IEQL",IF(AND(EG128="EQH",OR(AQ128=1,AQ128=2)),"IEQH",""))</f>
        <v/>
      </c>
      <c r="FD128" s="2" t="str">
        <f aca="false">IF(AND(EH128="EQL",OR(AR128=4,AR128=5)),"IEQL",IF(AND(EH128="EQH",OR(AR128=1,AR128=2)),"IEQH",""))</f>
        <v/>
      </c>
      <c r="FE128" s="2" t="str">
        <f aca="false">IF(AND(EI128="EQL",OR(AS128=4,AS128=5)),"IEQL",IF(AND(EI128="EQH",OR(AS128=1,AS128=2)),"IEQH",""))</f>
        <v/>
      </c>
      <c r="FF128" s="2" t="str">
        <f aca="false">IF(AND(EJ128="EQL",OR(AT128=4,AT128=5)),"IEQL",IF(AND(EJ128="EQH",OR(AT128=1,AT128=2)),"IEQH",""))</f>
        <v/>
      </c>
      <c r="FG128" s="2" t="str">
        <f aca="false">IF(AND(EK128="EQL",OR(AU128=4,AU128=5)),"IEQL",IF(AND(EK128="EQH",OR(AU128=1,AU128=2)),"IEQH",""))</f>
        <v/>
      </c>
      <c r="FH128" s="2" t="str">
        <f aca="false">IF(AND(EL128="EQL",OR(AV128=4,AV128=5)),"IEQL",IF(AND(EL128="EQH",OR(AV128=1,AV128=2)),"IEQH",""))</f>
        <v/>
      </c>
      <c r="FI128" s="2" t="str">
        <f aca="false">IF(AND(EM128="EQL",OR(AW128=4,AW128=5)),"IEQL",IF(AND(EM128="EQH",OR(AW128=1,AW128=2)),"IEQH",""))</f>
        <v/>
      </c>
      <c r="FJ128" s="2" t="str">
        <f aca="false">IF(AND(EN128="EQL",OR(AX128=4,AX128=5)),"IEQL",IF(AND(EN128="EQH",OR(AX128=1,AX128=2)),"IEQH",""))</f>
        <v/>
      </c>
      <c r="FK128" s="2" t="str">
        <f aca="false">IF(AND(EO128="EQL",OR(AY128=4,AY128=5)),"IEQL",IF(AND(EO128="EQH",OR(AY128=1,AY128=2)),"IEQH",""))</f>
        <v/>
      </c>
      <c r="FL128" s="2" t="str">
        <f aca="false">IF(AND(EP128="EQL",OR(AZ128=4,AZ128=5)),"IEQL",IF(AND(EP128="EQH",OR(AZ128=1,AZ128=2)),"IEQH",""))</f>
        <v/>
      </c>
      <c r="FM128" s="2" t="str">
        <f aca="false">IF(AND(EQ128="EQL",OR(BA128=4,BA128=5)),"IEQL",IF(AND(EQ128="EQH",OR(BA128=1,BA128=2)),"IEQH",""))</f>
        <v/>
      </c>
    </row>
    <row r="129" customFormat="false" ht="14.25" hidden="false" customHeight="false" outlineLevel="0" collapsed="false">
      <c r="A129" s="1" t="n">
        <v>1779089402</v>
      </c>
      <c r="B129" s="1" t="s">
        <v>169</v>
      </c>
      <c r="C129" s="1" t="s">
        <v>170</v>
      </c>
      <c r="D129" s="1" t="n">
        <v>4549.3</v>
      </c>
      <c r="E129" s="1" t="s">
        <v>173</v>
      </c>
      <c r="F129" s="1" t="n">
        <v>4559.95</v>
      </c>
      <c r="G129" s="2" t="n">
        <f aca="false">F127</f>
        <v>4566.43</v>
      </c>
      <c r="H129" s="2" t="n">
        <f aca="false">F125</f>
        <v>4572.64</v>
      </c>
      <c r="I129" s="2" t="n">
        <f aca="false">F123</f>
        <v>4665.35</v>
      </c>
      <c r="J129" s="2" t="n">
        <f aca="false">F121</f>
        <v>4710.02</v>
      </c>
      <c r="K129" s="2" t="n">
        <f aca="false">F119</f>
        <v>4718.75</v>
      </c>
      <c r="L129" s="2" t="n">
        <f aca="false">F117</f>
        <v>4706.81</v>
      </c>
      <c r="M129" s="2" t="n">
        <f aca="false">F115</f>
        <v>4709.71</v>
      </c>
      <c r="N129" s="2" t="n">
        <f aca="false">F113</f>
        <v>4710.38</v>
      </c>
      <c r="O129" s="2" t="n">
        <f aca="false">F111</f>
        <v>4715.35</v>
      </c>
      <c r="P129" s="2" t="n">
        <f aca="false">F109</f>
        <v>4726.76</v>
      </c>
      <c r="Q129" s="2" t="n">
        <f aca="false">F107</f>
        <v>4711.51</v>
      </c>
      <c r="R129" s="1" t="n">
        <v>79.23</v>
      </c>
      <c r="S129" s="2" t="n">
        <f aca="false">R127</f>
        <v>54.51</v>
      </c>
      <c r="T129" s="2" t="n">
        <f aca="false">R125</f>
        <v>40.61</v>
      </c>
      <c r="U129" s="2" t="n">
        <f aca="false">R123</f>
        <v>20.95</v>
      </c>
      <c r="V129" s="2" t="n">
        <f aca="false">R121</f>
        <v>21.55</v>
      </c>
      <c r="W129" s="2" t="n">
        <f aca="false">R119</f>
        <v>49.98</v>
      </c>
      <c r="X129" s="2" t="n">
        <f aca="false">R117</f>
        <v>29.17</v>
      </c>
      <c r="Y129" s="2" t="n">
        <f aca="false">R115</f>
        <v>40.06</v>
      </c>
      <c r="Z129" s="2" t="n">
        <f aca="false">R113</f>
        <v>24.41</v>
      </c>
      <c r="AA129" s="2" t="n">
        <f aca="false">R111</f>
        <v>27.75</v>
      </c>
      <c r="AB129" s="2" t="n">
        <f aca="false">R109</f>
        <v>88.19</v>
      </c>
      <c r="AC129" s="2" t="n">
        <f aca="false">R107</f>
        <v>26.37</v>
      </c>
      <c r="AD129" s="1" t="n">
        <v>1.77</v>
      </c>
      <c r="AE129" s="2" t="n">
        <f aca="false">AD127</f>
        <v>1.21</v>
      </c>
      <c r="AF129" s="2" t="n">
        <f aca="false">AD125</f>
        <v>0.9</v>
      </c>
      <c r="AG129" s="2" t="n">
        <f aca="false">AD123</f>
        <v>0.45</v>
      </c>
      <c r="AH129" s="2" t="n">
        <f aca="false">AD121</f>
        <v>0.46</v>
      </c>
      <c r="AI129" s="2" t="n">
        <f aca="false">AD119</f>
        <v>1.07</v>
      </c>
      <c r="AJ129" s="2" t="n">
        <f aca="false">AD117</f>
        <v>0.62</v>
      </c>
      <c r="AK129" s="2" t="n">
        <f aca="false">AD115</f>
        <v>0.86</v>
      </c>
      <c r="AL129" s="2" t="n">
        <f aca="false">AD113</f>
        <v>0.52</v>
      </c>
      <c r="AM129" s="2" t="n">
        <f aca="false">AD111</f>
        <v>0.59</v>
      </c>
      <c r="AN129" s="2" t="n">
        <f aca="false">AD109</f>
        <v>1.9</v>
      </c>
      <c r="AO129" s="2" t="n">
        <f aca="false">AD107</f>
        <v>0.56</v>
      </c>
      <c r="AP129" s="1" t="n">
        <v>0</v>
      </c>
      <c r="AQ129" s="2" t="n">
        <f aca="false">AP127</f>
        <v>0</v>
      </c>
      <c r="AR129" s="2" t="n">
        <f aca="false">AP125</f>
        <v>0</v>
      </c>
      <c r="AS129" s="2" t="n">
        <f aca="false">AP123</f>
        <v>0</v>
      </c>
      <c r="AT129" s="2" t="n">
        <f aca="false">AP121</f>
        <v>0</v>
      </c>
      <c r="AU129" s="2" t="n">
        <f aca="false">AP119</f>
        <v>0</v>
      </c>
      <c r="AV129" s="2" t="n">
        <f aca="false">AP117</f>
        <v>0</v>
      </c>
      <c r="AW129" s="2" t="n">
        <f aca="false">AP115</f>
        <v>0</v>
      </c>
      <c r="AX129" s="2" t="n">
        <f aca="false">AP113</f>
        <v>0</v>
      </c>
      <c r="AY129" s="2" t="n">
        <f aca="false">AP111</f>
        <v>0</v>
      </c>
      <c r="AZ129" s="2" t="n">
        <f aca="false">AP109</f>
        <v>0</v>
      </c>
      <c r="BA129" s="2" t="n">
        <f aca="false">AP107</f>
        <v>0</v>
      </c>
      <c r="BB129" s="1" t="n">
        <v>27</v>
      </c>
      <c r="BC129" s="2" t="n">
        <f aca="false">BB127</f>
        <v>4</v>
      </c>
      <c r="BD129" s="2" t="n">
        <f aca="false">BB125</f>
        <v>4</v>
      </c>
      <c r="BE129" s="2" t="n">
        <f aca="false">BB123</f>
        <v>8</v>
      </c>
      <c r="BF129" s="2" t="n">
        <f aca="false">BB121</f>
        <v>12</v>
      </c>
      <c r="BG129" s="2" t="n">
        <f aca="false">BB119</f>
        <v>14</v>
      </c>
      <c r="BH129" s="2" t="n">
        <f aca="false">BB117</f>
        <v>20</v>
      </c>
      <c r="BI129" s="2" t="n">
        <f aca="false">BB115</f>
        <v>10</v>
      </c>
      <c r="BJ129" s="2" t="n">
        <f aca="false">BB113</f>
        <v>2</v>
      </c>
      <c r="BK129" s="2" t="n">
        <f aca="false">BB111</f>
        <v>14</v>
      </c>
      <c r="BL129" s="2" t="n">
        <f aca="false">BB109</f>
        <v>31</v>
      </c>
      <c r="BM129" s="2" t="n">
        <f aca="false">BB107</f>
        <v>9</v>
      </c>
      <c r="BN129" s="1" t="n">
        <v>0</v>
      </c>
      <c r="BO129" s="2" t="n">
        <f aca="false">BN127</f>
        <v>0</v>
      </c>
      <c r="BP129" s="2" t="n">
        <f aca="false">BN125</f>
        <v>0</v>
      </c>
      <c r="BQ129" s="2" t="n">
        <f aca="false">BN123</f>
        <v>0</v>
      </c>
      <c r="BR129" s="2" t="n">
        <f aca="false">BN121</f>
        <v>0</v>
      </c>
      <c r="BS129" s="2" t="n">
        <f aca="false">BN119</f>
        <v>0</v>
      </c>
      <c r="BT129" s="2" t="n">
        <f aca="false">BN117</f>
        <v>0</v>
      </c>
      <c r="BU129" s="2" t="n">
        <f aca="false">BN115</f>
        <v>0</v>
      </c>
      <c r="BV129" s="2" t="n">
        <f aca="false">BN113</f>
        <v>0</v>
      </c>
      <c r="BW129" s="2" t="n">
        <f aca="false">BN111</f>
        <v>0</v>
      </c>
      <c r="BX129" s="2" t="n">
        <f aca="false">BN109</f>
        <v>0</v>
      </c>
      <c r="BY129" s="2" t="n">
        <f aca="false">BN107</f>
        <v>0</v>
      </c>
      <c r="BZ129" s="1" t="n">
        <v>2.93444</v>
      </c>
      <c r="CA129" s="2" t="n">
        <f aca="false">BZ127</f>
        <v>13.6275</v>
      </c>
      <c r="CB129" s="2" t="n">
        <f aca="false">BZ125</f>
        <v>10.1525</v>
      </c>
      <c r="CC129" s="2" t="n">
        <f aca="false">BZ123</f>
        <v>2.61875</v>
      </c>
      <c r="CD129" s="2" t="n">
        <f aca="false">BZ121</f>
        <v>1.79583</v>
      </c>
      <c r="CE129" s="2" t="n">
        <f aca="false">BZ119</f>
        <v>3.57</v>
      </c>
      <c r="CF129" s="2" t="n">
        <f aca="false">BZ117</f>
        <v>1.4585</v>
      </c>
      <c r="CG129" s="2" t="n">
        <f aca="false">BZ115</f>
        <v>4.006</v>
      </c>
      <c r="CH129" s="2" t="n">
        <f aca="false">BZ113</f>
        <v>12.205</v>
      </c>
      <c r="CI129" s="2" t="n">
        <f aca="false">BZ111</f>
        <v>1.98214</v>
      </c>
      <c r="CJ129" s="2" t="n">
        <f aca="false">BZ109</f>
        <v>2.84484</v>
      </c>
      <c r="CK129" s="2" t="n">
        <f aca="false">BZ107</f>
        <v>2.93</v>
      </c>
      <c r="CL129" s="1" t="n">
        <v>0</v>
      </c>
      <c r="CM129" s="2" t="n">
        <f aca="false">CL127</f>
        <v>2</v>
      </c>
      <c r="CN129" s="2" t="n">
        <f aca="false">CL125</f>
        <v>1</v>
      </c>
      <c r="CO129" s="2" t="n">
        <f aca="false">CL123</f>
        <v>0</v>
      </c>
      <c r="CP129" s="2" t="n">
        <f aca="false">CL121</f>
        <v>0</v>
      </c>
      <c r="CQ129" s="2" t="n">
        <f aca="false">CL119</f>
        <v>0</v>
      </c>
      <c r="CR129" s="2" t="n">
        <f aca="false">CL117</f>
        <v>0</v>
      </c>
      <c r="CS129" s="2" t="n">
        <f aca="false">CL115</f>
        <v>0</v>
      </c>
      <c r="CT129" s="2" t="n">
        <f aca="false">CL113</f>
        <v>1</v>
      </c>
      <c r="CU129" s="2" t="n">
        <f aca="false">CL111</f>
        <v>0</v>
      </c>
      <c r="CV129" s="2" t="n">
        <f aca="false">CL109</f>
        <v>0</v>
      </c>
      <c r="CW129" s="2" t="n">
        <f aca="false">CL107</f>
        <v>0</v>
      </c>
      <c r="CX129" s="1" t="n">
        <v>71.1819</v>
      </c>
      <c r="CY129" s="2" t="n">
        <f aca="false">CX127</f>
        <v>85.8031</v>
      </c>
      <c r="CZ129" s="2" t="n">
        <f aca="false">CX125</f>
        <v>84.3746</v>
      </c>
      <c r="DA129" s="2" t="n">
        <f aca="false">CX123</f>
        <v>69.1001</v>
      </c>
      <c r="DB129" s="2" t="n">
        <f aca="false">CX121</f>
        <v>60.889</v>
      </c>
      <c r="DC129" s="2" t="n">
        <f aca="false">CX119</f>
        <v>74.3518</v>
      </c>
      <c r="DD129" s="2" t="n">
        <f aca="false">CX117</f>
        <v>55.5641</v>
      </c>
      <c r="DE129" s="2" t="n">
        <f aca="false">CX115</f>
        <v>75.984</v>
      </c>
      <c r="DF129" s="2" t="n">
        <f aca="false">CX113</f>
        <v>85.316</v>
      </c>
      <c r="DG129" s="2" t="n">
        <f aca="false">CX111</f>
        <v>63.2288</v>
      </c>
      <c r="DH129" s="2" t="n">
        <f aca="false">CX109</f>
        <v>70.6327</v>
      </c>
      <c r="DI129" s="2" t="n">
        <f aca="false">CX107</f>
        <v>71.1554</v>
      </c>
      <c r="DJ129" s="1" t="s">
        <v>174</v>
      </c>
      <c r="DK129" s="2" t="str">
        <f aca="false">DJ127</f>
        <v>LH</v>
      </c>
      <c r="DL129" s="2" t="str">
        <f aca="false">DJ125</f>
        <v>LH</v>
      </c>
      <c r="DM129" s="2" t="str">
        <f aca="false">DJ123</f>
        <v>LH</v>
      </c>
      <c r="DN129" s="2" t="str">
        <f aca="false">DJ121</f>
        <v>LH</v>
      </c>
      <c r="DO129" s="2" t="str">
        <f aca="false">DJ119</f>
        <v>HH</v>
      </c>
      <c r="DP129" s="2" t="str">
        <f aca="false">DJ117</f>
        <v>LH</v>
      </c>
      <c r="DQ129" s="2" t="str">
        <f aca="false">DJ115</f>
        <v>LH</v>
      </c>
      <c r="DR129" s="2" t="str">
        <f aca="false">DJ113</f>
        <v>LH</v>
      </c>
      <c r="DS129" s="2" t="str">
        <f aca="false">DJ111</f>
        <v>LH</v>
      </c>
      <c r="DT129" s="2" t="str">
        <f aca="false">DJ109</f>
        <v>HH</v>
      </c>
      <c r="DU129" s="2" t="str">
        <f aca="false">DJ107</f>
        <v>HH</v>
      </c>
      <c r="DV129" s="2" t="n">
        <f aca="false">IFERROR((G129-$F129)/$F129*100,"")</f>
        <v>0.142106821346736</v>
      </c>
      <c r="DW129" s="2" t="n">
        <f aca="false">IFERROR((H129-$F129)/$F129*100,"")</f>
        <v>0.278292525137348</v>
      </c>
      <c r="DX129" s="2" t="n">
        <f aca="false">IFERROR((I129-$F129)/$F129*100,"")</f>
        <v>2.31142885338656</v>
      </c>
      <c r="DY129" s="2" t="n">
        <f aca="false">IFERROR((J129-$F129)/$F129*100,"")</f>
        <v>3.29104485794802</v>
      </c>
      <c r="DZ129" s="2" t="n">
        <f aca="false">IFERROR((K129-$F129)/$F129*100,"")</f>
        <v>3.48249432559568</v>
      </c>
      <c r="EA129" s="2" t="n">
        <f aca="false">IFERROR((L129-$F129)/$F129*100,"")</f>
        <v>3.22064934922533</v>
      </c>
      <c r="EB129" s="2" t="n">
        <f aca="false">IFERROR((M129-$F129)/$F129*100,"")</f>
        <v>3.28424653779099</v>
      </c>
      <c r="EC129" s="2" t="n">
        <f aca="false">IFERROR((N129-$F129)/$F129*100,"")</f>
        <v>3.29893968135616</v>
      </c>
      <c r="ED129" s="2" t="n">
        <f aca="false">IFERROR((O129-$F129)/$F129*100,"")</f>
        <v>3.4079321045187</v>
      </c>
      <c r="EE129" s="2" t="n">
        <f aca="false">IFERROR((P129-$F129)/$F129*100,"")</f>
        <v>3.65815414642705</v>
      </c>
      <c r="EF129" s="2" t="n">
        <f aca="false">IFERROR((Q129-$F129)/$F129*100,"")</f>
        <v>3.32372065483175</v>
      </c>
      <c r="EG129" s="2" t="str">
        <f aca="false">IF(DV129="","",IF(AND(ABS(DV129)&lt;=0.25,$E129="Bottom",DK129="LL"),"EQL",IF(AND(ABS(DV129)&lt;=0.25,$E129="Peak",DK129="HH"),"EQH","")))</f>
        <v/>
      </c>
      <c r="EH129" s="2" t="str">
        <f aca="false">IF(DW129="","",IF(AND(ABS(DW129)&lt;=0.25,$E129="Bottom",DL129="LL"),"EQL",IF(AND(ABS(DW129)&lt;=0.25,$E129="Peak",DL129="HH"),"EQH","")))</f>
        <v/>
      </c>
      <c r="EI129" s="2" t="str">
        <f aca="false">IF(DX129="","",IF(AND(ABS(DX129)&lt;=0.25,$E129="Bottom",DM129="LL"),"EQL",IF(AND(ABS(DX129)&lt;=0.25,$E129="Peak",DM129="HH"),"EQH","")))</f>
        <v/>
      </c>
      <c r="EJ129" s="2" t="str">
        <f aca="false">IF(DY129="","",IF(AND(ABS(DY129)&lt;=0.25,$E129="Bottom",DN129="LL"),"EQL",IF(AND(ABS(DY129)&lt;=0.25,$E129="Peak",DN129="HH"),"EQH","")))</f>
        <v/>
      </c>
      <c r="EK129" s="2" t="str">
        <f aca="false">IF(DZ129="","",IF(AND(ABS(DZ129)&lt;=0.25,$E129="Bottom",DO129="LL"),"EQL",IF(AND(ABS(DZ129)&lt;=0.25,$E129="Peak",DO129="HH"),"EQH","")))</f>
        <v/>
      </c>
      <c r="EL129" s="2" t="str">
        <f aca="false">IF(EA129="","",IF(AND(ABS(EA129)&lt;=0.25,$E129="Bottom",DP129="LL"),"EQL",IF(AND(ABS(EA129)&lt;=0.25,$E129="Peak",DP129="HH"),"EQH","")))</f>
        <v/>
      </c>
      <c r="EM129" s="2" t="str">
        <f aca="false">IF(EB129="","",IF(AND(ABS(EB129)&lt;=0.25,$E129="Bottom",DQ129="LL"),"EQL",IF(AND(ABS(EB129)&lt;=0.25,$E129="Peak",DQ129="HH"),"EQH","")))</f>
        <v/>
      </c>
      <c r="EN129" s="2" t="str">
        <f aca="false">IF(EC129="","",IF(AND(ABS(EC129)&lt;=0.25,$E129="Bottom",DR129="LL"),"EQL",IF(AND(ABS(EC129)&lt;=0.25,$E129="Peak",DR129="HH"),"EQH","")))</f>
        <v/>
      </c>
      <c r="EO129" s="2" t="str">
        <f aca="false">IF(ED129="","",IF(AND(ABS(ED129)&lt;=0.25,$E129="Bottom",DS129="LL"),"EQL",IF(AND(ABS(ED129)&lt;=0.25,$E129="Peak",DS129="HH"),"EQH","")))</f>
        <v/>
      </c>
      <c r="EP129" s="2" t="str">
        <f aca="false">IF(EE129="","",IF(AND(ABS(EE129)&lt;=0.25,$E129="Bottom",DT129="LL"),"EQL",IF(AND(ABS(EE129)&lt;=0.25,$E129="Peak",DT129="HH"),"EQH","")))</f>
        <v/>
      </c>
      <c r="EQ129" s="2" t="str">
        <f aca="false">IF(EF129="","",IF(AND(ABS(EF129)&lt;=0.25,$E129="Bottom",DU129="LL"),"EQL",IF(AND(ABS(EF129)&lt;=0.25,$E129="Peak",DU129="HH"),"EQH","")))</f>
        <v/>
      </c>
      <c r="ER129" s="2" t="str">
        <f aca="false">IF(OR(EG129="EQL",EG129="EQH"),G129,"")</f>
        <v/>
      </c>
      <c r="ES129" s="2" t="str">
        <f aca="false">IF(OR(EH129="EQL",EH129="EQH"),H129,"")</f>
        <v/>
      </c>
      <c r="ET129" s="2" t="str">
        <f aca="false">IF(OR(EI129="EQL",EI129="EQH"),I129,"")</f>
        <v/>
      </c>
      <c r="EU129" s="2" t="str">
        <f aca="false">IF(OR(EJ129="EQL",EJ129="EQH"),J129,"")</f>
        <v/>
      </c>
      <c r="EV129" s="2" t="str">
        <f aca="false">IF(OR(EK129="EQL",EK129="EQH"),K129,"")</f>
        <v/>
      </c>
      <c r="EW129" s="2" t="str">
        <f aca="false">IF(OR(EL129="EQL",EL129="EQH"),L129,"")</f>
        <v/>
      </c>
      <c r="EX129" s="2" t="str">
        <f aca="false">IF(OR(EM129="EQL",EM129="EQH"),M129,"")</f>
        <v/>
      </c>
      <c r="EY129" s="2" t="str">
        <f aca="false">IF(OR(EN129="EQL",EN129="EQH"),N129,"")</f>
        <v/>
      </c>
      <c r="EZ129" s="2" t="str">
        <f aca="false">IF(OR(EO129="EQL",EO129="EQH"),O129,"")</f>
        <v/>
      </c>
      <c r="FA129" s="2" t="str">
        <f aca="false">IF(OR(EP129="EQL",EP129="EQH"),P129,"")</f>
        <v/>
      </c>
      <c r="FB129" s="2" t="str">
        <f aca="false">IF(OR(EQ129="EQL",EQ129="EQH"),Q129,"")</f>
        <v/>
      </c>
      <c r="FC129" s="2" t="str">
        <f aca="false">IF(AND(EG129="EQL",OR(AQ129=4,AQ129=5)),"IEQL",IF(AND(EG129="EQH",OR(AQ129=1,AQ129=2)),"IEQH",""))</f>
        <v/>
      </c>
      <c r="FD129" s="2" t="str">
        <f aca="false">IF(AND(EH129="EQL",OR(AR129=4,AR129=5)),"IEQL",IF(AND(EH129="EQH",OR(AR129=1,AR129=2)),"IEQH",""))</f>
        <v/>
      </c>
      <c r="FE129" s="2" t="str">
        <f aca="false">IF(AND(EI129="EQL",OR(AS129=4,AS129=5)),"IEQL",IF(AND(EI129="EQH",OR(AS129=1,AS129=2)),"IEQH",""))</f>
        <v/>
      </c>
      <c r="FF129" s="2" t="str">
        <f aca="false">IF(AND(EJ129="EQL",OR(AT129=4,AT129=5)),"IEQL",IF(AND(EJ129="EQH",OR(AT129=1,AT129=2)),"IEQH",""))</f>
        <v/>
      </c>
      <c r="FG129" s="2" t="str">
        <f aca="false">IF(AND(EK129="EQL",OR(AU129=4,AU129=5)),"IEQL",IF(AND(EK129="EQH",OR(AU129=1,AU129=2)),"IEQH",""))</f>
        <v/>
      </c>
      <c r="FH129" s="2" t="str">
        <f aca="false">IF(AND(EL129="EQL",OR(AV129=4,AV129=5)),"IEQL",IF(AND(EL129="EQH",OR(AV129=1,AV129=2)),"IEQH",""))</f>
        <v/>
      </c>
      <c r="FI129" s="2" t="str">
        <f aca="false">IF(AND(EM129="EQL",OR(AW129=4,AW129=5)),"IEQL",IF(AND(EM129="EQH",OR(AW129=1,AW129=2)),"IEQH",""))</f>
        <v/>
      </c>
      <c r="FJ129" s="2" t="str">
        <f aca="false">IF(AND(EN129="EQL",OR(AX129=4,AX129=5)),"IEQL",IF(AND(EN129="EQH",OR(AX129=1,AX129=2)),"IEQH",""))</f>
        <v/>
      </c>
      <c r="FK129" s="2" t="str">
        <f aca="false">IF(AND(EO129="EQL",OR(AY129=4,AY129=5)),"IEQL",IF(AND(EO129="EQH",OR(AY129=1,AY129=2)),"IEQH",""))</f>
        <v/>
      </c>
      <c r="FL129" s="2" t="str">
        <f aca="false">IF(AND(EP129="EQL",OR(AZ129=4,AZ129=5)),"IEQL",IF(AND(EP129="EQH",OR(AZ129=1,AZ129=2)),"IEQH",""))</f>
        <v/>
      </c>
      <c r="FM129" s="2" t="str">
        <f aca="false">IF(AND(EQ129="EQL",OR(BA129=4,BA129=5)),"IEQL",IF(AND(EQ129="EQH",OR(BA129=1,BA129=2)),"IEQH",""))</f>
        <v/>
      </c>
    </row>
    <row r="130" customFormat="false" ht="14.25" hidden="false" customHeight="false" outlineLevel="0" collapsed="false">
      <c r="A130" s="1" t="n">
        <v>1779102002</v>
      </c>
      <c r="B130" s="1" t="s">
        <v>169</v>
      </c>
      <c r="C130" s="1" t="s">
        <v>170</v>
      </c>
      <c r="D130" s="1" t="n">
        <v>4539.54</v>
      </c>
      <c r="E130" s="1" t="s">
        <v>171</v>
      </c>
      <c r="F130" s="1" t="n">
        <v>4530.01</v>
      </c>
      <c r="G130" s="2" t="n">
        <f aca="false">F128</f>
        <v>4480.72</v>
      </c>
      <c r="H130" s="2" t="n">
        <f aca="false">F126</f>
        <v>4511.92</v>
      </c>
      <c r="I130" s="2" t="n">
        <f aca="false">F124</f>
        <v>4532.03</v>
      </c>
      <c r="J130" s="2" t="n">
        <f aca="false">F122</f>
        <v>4644.4</v>
      </c>
      <c r="K130" s="2" t="n">
        <f aca="false">F120</f>
        <v>4688.47</v>
      </c>
      <c r="L130" s="2" t="n">
        <f aca="false">F118</f>
        <v>4668.77</v>
      </c>
      <c r="M130" s="2" t="n">
        <f aca="false">F116</f>
        <v>4677.64</v>
      </c>
      <c r="N130" s="2" t="n">
        <f aca="false">F114</f>
        <v>4669.65</v>
      </c>
      <c r="O130" s="2" t="n">
        <f aca="false">F112</f>
        <v>4685.97</v>
      </c>
      <c r="P130" s="2" t="n">
        <f aca="false">F110</f>
        <v>4687.6</v>
      </c>
      <c r="Q130" s="2" t="n">
        <f aca="false">F108</f>
        <v>4638.57</v>
      </c>
      <c r="R130" s="1" t="n">
        <v>-29.94</v>
      </c>
      <c r="S130" s="2" t="n">
        <f aca="false">R128</f>
        <v>-85.71</v>
      </c>
      <c r="T130" s="2" t="n">
        <f aca="false">R126</f>
        <v>-60.72</v>
      </c>
      <c r="U130" s="2" t="n">
        <f aca="false">R124</f>
        <v>-133.32</v>
      </c>
      <c r="V130" s="2" t="n">
        <f aca="false">R122</f>
        <v>-65.62</v>
      </c>
      <c r="W130" s="2" t="n">
        <f aca="false">R120</f>
        <v>-30.28</v>
      </c>
      <c r="X130" s="2" t="n">
        <f aca="false">R118</f>
        <v>-38.04</v>
      </c>
      <c r="Y130" s="2" t="n">
        <f aca="false">R116</f>
        <v>-32.07</v>
      </c>
      <c r="Z130" s="2" t="n">
        <f aca="false">R114</f>
        <v>-40.73</v>
      </c>
      <c r="AA130" s="2" t="n">
        <f aca="false">R112</f>
        <v>-29.38</v>
      </c>
      <c r="AB130" s="2" t="n">
        <f aca="false">R110</f>
        <v>-39.16</v>
      </c>
      <c r="AC130" s="2" t="n">
        <f aca="false">R108</f>
        <v>-72.94</v>
      </c>
      <c r="AD130" s="1" t="n">
        <v>-0.66</v>
      </c>
      <c r="AE130" s="2" t="n">
        <f aca="false">AD128</f>
        <v>-1.88</v>
      </c>
      <c r="AF130" s="2" t="n">
        <f aca="false">AD126</f>
        <v>-1.33</v>
      </c>
      <c r="AG130" s="2" t="n">
        <f aca="false">AD124</f>
        <v>-2.86</v>
      </c>
      <c r="AH130" s="2" t="n">
        <f aca="false">AD122</f>
        <v>-1.39</v>
      </c>
      <c r="AI130" s="2" t="n">
        <f aca="false">AD120</f>
        <v>-0.64</v>
      </c>
      <c r="AJ130" s="2" t="n">
        <f aca="false">AD118</f>
        <v>-0.81</v>
      </c>
      <c r="AK130" s="2" t="n">
        <f aca="false">AD116</f>
        <v>-0.68</v>
      </c>
      <c r="AL130" s="2" t="n">
        <f aca="false">AD114</f>
        <v>-0.86</v>
      </c>
      <c r="AM130" s="2" t="n">
        <f aca="false">AD112</f>
        <v>-0.62</v>
      </c>
      <c r="AN130" s="2" t="n">
        <f aca="false">AD110</f>
        <v>-0.83</v>
      </c>
      <c r="AO130" s="2" t="n">
        <f aca="false">AD108</f>
        <v>-1.55</v>
      </c>
      <c r="AP130" s="1" t="n">
        <v>3</v>
      </c>
      <c r="AQ130" s="2" t="n">
        <f aca="false">AP128</f>
        <v>3</v>
      </c>
      <c r="AR130" s="2" t="n">
        <f aca="false">AP126</f>
        <v>3</v>
      </c>
      <c r="AS130" s="2" t="n">
        <f aca="false">AP124</f>
        <v>5</v>
      </c>
      <c r="AT130" s="2" t="n">
        <f aca="false">AP122</f>
        <v>3</v>
      </c>
      <c r="AU130" s="2" t="n">
        <f aca="false">AP120</f>
        <v>3</v>
      </c>
      <c r="AV130" s="2" t="n">
        <f aca="false">AP118</f>
        <v>3</v>
      </c>
      <c r="AW130" s="2" t="n">
        <f aca="false">AP116</f>
        <v>3</v>
      </c>
      <c r="AX130" s="2" t="n">
        <f aca="false">AP114</f>
        <v>3</v>
      </c>
      <c r="AY130" s="2" t="n">
        <f aca="false">AP112</f>
        <v>3</v>
      </c>
      <c r="AZ130" s="2" t="n">
        <f aca="false">AP110</f>
        <v>3</v>
      </c>
      <c r="BA130" s="2" t="n">
        <f aca="false">AP108</f>
        <v>3</v>
      </c>
      <c r="BB130" s="1" t="n">
        <v>14</v>
      </c>
      <c r="BC130" s="2" t="n">
        <f aca="false">BB128</f>
        <v>36</v>
      </c>
      <c r="BD130" s="2" t="n">
        <f aca="false">BB126</f>
        <v>12</v>
      </c>
      <c r="BE130" s="2" t="n">
        <f aca="false">BB124</f>
        <v>41</v>
      </c>
      <c r="BF130" s="2" t="n">
        <f aca="false">BB122</f>
        <v>32</v>
      </c>
      <c r="BG130" s="2" t="n">
        <f aca="false">BB120</f>
        <v>8</v>
      </c>
      <c r="BH130" s="2" t="n">
        <f aca="false">BB118</f>
        <v>13</v>
      </c>
      <c r="BI130" s="2" t="n">
        <f aca="false">BB116</f>
        <v>10</v>
      </c>
      <c r="BJ130" s="2" t="n">
        <f aca="false">BB114</f>
        <v>15</v>
      </c>
      <c r="BK130" s="2" t="n">
        <f aca="false">BB112</f>
        <v>13</v>
      </c>
      <c r="BL130" s="2" t="n">
        <f aca="false">BB110</f>
        <v>11</v>
      </c>
      <c r="BM130" s="2" t="n">
        <f aca="false">BB108</f>
        <v>10</v>
      </c>
      <c r="BN130" s="1" t="n">
        <v>3</v>
      </c>
      <c r="BO130" s="2" t="n">
        <f aca="false">BN128</f>
        <v>4</v>
      </c>
      <c r="BP130" s="2" t="n">
        <f aca="false">BN126</f>
        <v>3</v>
      </c>
      <c r="BQ130" s="2" t="n">
        <f aca="false">BN124</f>
        <v>5</v>
      </c>
      <c r="BR130" s="2" t="n">
        <f aca="false">BN122</f>
        <v>4</v>
      </c>
      <c r="BS130" s="2" t="n">
        <f aca="false">BN120</f>
        <v>3</v>
      </c>
      <c r="BT130" s="2" t="n">
        <f aca="false">BN118</f>
        <v>3</v>
      </c>
      <c r="BU130" s="2" t="n">
        <f aca="false">BN116</f>
        <v>3</v>
      </c>
      <c r="BV130" s="2" t="n">
        <f aca="false">BN114</f>
        <v>3</v>
      </c>
      <c r="BW130" s="2" t="n">
        <f aca="false">BN112</f>
        <v>3</v>
      </c>
      <c r="BX130" s="2" t="n">
        <f aca="false">BN110</f>
        <v>3</v>
      </c>
      <c r="BY130" s="2" t="n">
        <f aca="false">BN108</f>
        <v>3</v>
      </c>
      <c r="BZ130" s="1" t="n">
        <v>-2.13857</v>
      </c>
      <c r="CA130" s="2" t="n">
        <f aca="false">BZ128</f>
        <v>-2.38083</v>
      </c>
      <c r="CB130" s="2" t="n">
        <f aca="false">BZ126</f>
        <v>-5.06</v>
      </c>
      <c r="CC130" s="2" t="n">
        <f aca="false">BZ124</f>
        <v>-3.25171</v>
      </c>
      <c r="CD130" s="2" t="n">
        <f aca="false">BZ122</f>
        <v>-2.05063</v>
      </c>
      <c r="CE130" s="2" t="n">
        <f aca="false">BZ120</f>
        <v>-3.785</v>
      </c>
      <c r="CF130" s="2" t="n">
        <f aca="false">BZ118</f>
        <v>-2.92615</v>
      </c>
      <c r="CG130" s="2" t="n">
        <f aca="false">BZ116</f>
        <v>-3.207</v>
      </c>
      <c r="CH130" s="2" t="n">
        <f aca="false">BZ114</f>
        <v>-2.71533</v>
      </c>
      <c r="CI130" s="2" t="n">
        <f aca="false">BZ112</f>
        <v>-2.26</v>
      </c>
      <c r="CJ130" s="2" t="n">
        <f aca="false">BZ110</f>
        <v>-3.56</v>
      </c>
      <c r="CK130" s="2" t="n">
        <f aca="false">BZ108</f>
        <v>-7.294</v>
      </c>
      <c r="CL130" s="1" t="n">
        <v>3</v>
      </c>
      <c r="CM130" s="2" t="n">
        <f aca="false">CL128</f>
        <v>3</v>
      </c>
      <c r="CN130" s="2" t="n">
        <f aca="false">CL126</f>
        <v>3</v>
      </c>
      <c r="CO130" s="2" t="n">
        <f aca="false">CL124</f>
        <v>3</v>
      </c>
      <c r="CP130" s="2" t="n">
        <f aca="false">CL122</f>
        <v>3</v>
      </c>
      <c r="CQ130" s="2" t="n">
        <f aca="false">CL120</f>
        <v>3</v>
      </c>
      <c r="CR130" s="2" t="n">
        <f aca="false">CL118</f>
        <v>3</v>
      </c>
      <c r="CS130" s="2" t="n">
        <f aca="false">CL116</f>
        <v>3</v>
      </c>
      <c r="CT130" s="2" t="n">
        <f aca="false">CL114</f>
        <v>3</v>
      </c>
      <c r="CU130" s="2" t="n">
        <f aca="false">CL112</f>
        <v>3</v>
      </c>
      <c r="CV130" s="2" t="n">
        <f aca="false">CL110</f>
        <v>3</v>
      </c>
      <c r="CW130" s="2" t="n">
        <f aca="false">CL108</f>
        <v>3</v>
      </c>
      <c r="CX130" s="1" t="n">
        <v>-64.9391</v>
      </c>
      <c r="CY130" s="2" t="n">
        <f aca="false">CX128</f>
        <v>-67.2166</v>
      </c>
      <c r="CZ130" s="2" t="n">
        <f aca="false">CX126</f>
        <v>-78.8208</v>
      </c>
      <c r="DA130" s="2" t="n">
        <f aca="false">CX124</f>
        <v>-72.9057</v>
      </c>
      <c r="DB130" s="2" t="n">
        <f aca="false">CX122</f>
        <v>-64.0035</v>
      </c>
      <c r="DC130" s="2" t="n">
        <f aca="false">CX120</f>
        <v>-75.2006</v>
      </c>
      <c r="DD130" s="2" t="n">
        <f aca="false">CX118</f>
        <v>-71.1324</v>
      </c>
      <c r="DE130" s="2" t="n">
        <f aca="false">CX116</f>
        <v>-72.6816</v>
      </c>
      <c r="DF130" s="2" t="n">
        <f aca="false">CX114</f>
        <v>-69.7823</v>
      </c>
      <c r="DG130" s="2" t="n">
        <f aca="false">CX112</f>
        <v>-66.1317</v>
      </c>
      <c r="DH130" s="2" t="n">
        <f aca="false">CX110</f>
        <v>-74.31</v>
      </c>
      <c r="DI130" s="2" t="n">
        <f aca="false">CX108</f>
        <v>-82.1935</v>
      </c>
      <c r="DJ130" s="1" t="s">
        <v>175</v>
      </c>
      <c r="DK130" s="2" t="str">
        <f aca="false">DJ128</f>
        <v>LL</v>
      </c>
      <c r="DL130" s="2" t="str">
        <f aca="false">DJ126</f>
        <v>LL</v>
      </c>
      <c r="DM130" s="2" t="str">
        <f aca="false">DJ124</f>
        <v>LL</v>
      </c>
      <c r="DN130" s="2" t="str">
        <f aca="false">DJ122</f>
        <v>LL</v>
      </c>
      <c r="DO130" s="2" t="str">
        <f aca="false">DJ120</f>
        <v>HL</v>
      </c>
      <c r="DP130" s="2" t="str">
        <f aca="false">DJ118</f>
        <v>LL</v>
      </c>
      <c r="DQ130" s="2" t="str">
        <f aca="false">DJ116</f>
        <v>HL</v>
      </c>
      <c r="DR130" s="2" t="str">
        <f aca="false">DJ114</f>
        <v>LL</v>
      </c>
      <c r="DS130" s="2" t="str">
        <f aca="false">DJ112</f>
        <v>LL</v>
      </c>
      <c r="DT130" s="2" t="str">
        <f aca="false">DJ110</f>
        <v>HL</v>
      </c>
      <c r="DU130" s="2" t="str">
        <f aca="false">DJ108</f>
        <v>LL</v>
      </c>
      <c r="DV130" s="2" t="n">
        <f aca="false">IFERROR((G130-$F130)/$F130*100,"")</f>
        <v>-1.08807706826254</v>
      </c>
      <c r="DW130" s="2" t="n">
        <f aca="false">IFERROR((H130-$F130)/$F130*100,"")</f>
        <v>-0.399336866806037</v>
      </c>
      <c r="DX130" s="2" t="n">
        <f aca="false">IFERROR((I130-$F130)/$F130*100,"")</f>
        <v>0.0445915130430071</v>
      </c>
      <c r="DY130" s="2" t="n">
        <f aca="false">IFERROR((J130-$F130)/$F130*100,"")</f>
        <v>2.52515998860928</v>
      </c>
      <c r="DZ130" s="2" t="n">
        <f aca="false">IFERROR((K130-$F130)/$F130*100,"")</f>
        <v>3.49800552316662</v>
      </c>
      <c r="EA130" s="2" t="n">
        <f aca="false">IFERROR((L130-$F130)/$F130*100,"")</f>
        <v>3.06312789596491</v>
      </c>
      <c r="EB130" s="2" t="n">
        <f aca="false">IFERROR((M130-$F130)/$F130*100,"")</f>
        <v>3.25893320323796</v>
      </c>
      <c r="EC130" s="2" t="n">
        <f aca="false">IFERROR((N130-$F130)/$F130*100,"")</f>
        <v>3.082553901647</v>
      </c>
      <c r="ED130" s="2" t="n">
        <f aca="false">IFERROR((O130-$F130)/$F130*100,"")</f>
        <v>3.44281800702427</v>
      </c>
      <c r="EE130" s="2" t="n">
        <f aca="false">IFERROR((P130-$F130)/$F130*100,"")</f>
        <v>3.47880026754908</v>
      </c>
      <c r="EF130" s="2" t="n">
        <f aca="false">IFERROR((Q130-$F130)/$F130*100,"")</f>
        <v>2.39646270096533</v>
      </c>
      <c r="EG130" s="2" t="str">
        <f aca="false">IF(DV130="","",IF(AND(ABS(DV130)&lt;=0.25,$E130="Bottom",DK130="LL"),"EQL",IF(AND(ABS(DV130)&lt;=0.25,$E130="Peak",DK130="HH"),"EQH","")))</f>
        <v/>
      </c>
      <c r="EH130" s="2" t="str">
        <f aca="false">IF(DW130="","",IF(AND(ABS(DW130)&lt;=0.25,$E130="Bottom",DL130="LL"),"EQL",IF(AND(ABS(DW130)&lt;=0.25,$E130="Peak",DL130="HH"),"EQH","")))</f>
        <v/>
      </c>
      <c r="EI130" s="2" t="str">
        <f aca="false">IF(DX130="","",IF(AND(ABS(DX130)&lt;=0.25,$E130="Bottom",DM130="LL"),"EQL",IF(AND(ABS(DX130)&lt;=0.25,$E130="Peak",DM130="HH"),"EQH","")))</f>
        <v>EQL</v>
      </c>
      <c r="EJ130" s="2" t="str">
        <f aca="false">IF(DY130="","",IF(AND(ABS(DY130)&lt;=0.25,$E130="Bottom",DN130="LL"),"EQL",IF(AND(ABS(DY130)&lt;=0.25,$E130="Peak",DN130="HH"),"EQH","")))</f>
        <v/>
      </c>
      <c r="EK130" s="2" t="str">
        <f aca="false">IF(DZ130="","",IF(AND(ABS(DZ130)&lt;=0.25,$E130="Bottom",DO130="LL"),"EQL",IF(AND(ABS(DZ130)&lt;=0.25,$E130="Peak",DO130="HH"),"EQH","")))</f>
        <v/>
      </c>
      <c r="EL130" s="2" t="str">
        <f aca="false">IF(EA130="","",IF(AND(ABS(EA130)&lt;=0.25,$E130="Bottom",DP130="LL"),"EQL",IF(AND(ABS(EA130)&lt;=0.25,$E130="Peak",DP130="HH"),"EQH","")))</f>
        <v/>
      </c>
      <c r="EM130" s="2" t="str">
        <f aca="false">IF(EB130="","",IF(AND(ABS(EB130)&lt;=0.25,$E130="Bottom",DQ130="LL"),"EQL",IF(AND(ABS(EB130)&lt;=0.25,$E130="Peak",DQ130="HH"),"EQH","")))</f>
        <v/>
      </c>
      <c r="EN130" s="2" t="str">
        <f aca="false">IF(EC130="","",IF(AND(ABS(EC130)&lt;=0.25,$E130="Bottom",DR130="LL"),"EQL",IF(AND(ABS(EC130)&lt;=0.25,$E130="Peak",DR130="HH"),"EQH","")))</f>
        <v/>
      </c>
      <c r="EO130" s="2" t="str">
        <f aca="false">IF(ED130="","",IF(AND(ABS(ED130)&lt;=0.25,$E130="Bottom",DS130="LL"),"EQL",IF(AND(ABS(ED130)&lt;=0.25,$E130="Peak",DS130="HH"),"EQH","")))</f>
        <v/>
      </c>
      <c r="EP130" s="2" t="str">
        <f aca="false">IF(EE130="","",IF(AND(ABS(EE130)&lt;=0.25,$E130="Bottom",DT130="LL"),"EQL",IF(AND(ABS(EE130)&lt;=0.25,$E130="Peak",DT130="HH"),"EQH","")))</f>
        <v/>
      </c>
      <c r="EQ130" s="2" t="str">
        <f aca="false">IF(EF130="","",IF(AND(ABS(EF130)&lt;=0.25,$E130="Bottom",DU130="LL"),"EQL",IF(AND(ABS(EF130)&lt;=0.25,$E130="Peak",DU130="HH"),"EQH","")))</f>
        <v/>
      </c>
      <c r="ER130" s="2" t="str">
        <f aca="false">IF(OR(EG130="EQL",EG130="EQH"),G130,"")</f>
        <v/>
      </c>
      <c r="ES130" s="2" t="str">
        <f aca="false">IF(OR(EH130="EQL",EH130="EQH"),H130,"")</f>
        <v/>
      </c>
      <c r="ET130" s="2" t="n">
        <f aca="false">IF(OR(EI130="EQL",EI130="EQH"),I130,"")</f>
        <v>4532.03</v>
      </c>
      <c r="EU130" s="2" t="str">
        <f aca="false">IF(OR(EJ130="EQL",EJ130="EQH"),J130,"")</f>
        <v/>
      </c>
      <c r="EV130" s="2" t="str">
        <f aca="false">IF(OR(EK130="EQL",EK130="EQH"),K130,"")</f>
        <v/>
      </c>
      <c r="EW130" s="2" t="str">
        <f aca="false">IF(OR(EL130="EQL",EL130="EQH"),L130,"")</f>
        <v/>
      </c>
      <c r="EX130" s="2" t="str">
        <f aca="false">IF(OR(EM130="EQL",EM130="EQH"),M130,"")</f>
        <v/>
      </c>
      <c r="EY130" s="2" t="str">
        <f aca="false">IF(OR(EN130="EQL",EN130="EQH"),N130,"")</f>
        <v/>
      </c>
      <c r="EZ130" s="2" t="str">
        <f aca="false">IF(OR(EO130="EQL",EO130="EQH"),O130,"")</f>
        <v/>
      </c>
      <c r="FA130" s="2" t="str">
        <f aca="false">IF(OR(EP130="EQL",EP130="EQH"),P130,"")</f>
        <v/>
      </c>
      <c r="FB130" s="2" t="str">
        <f aca="false">IF(OR(EQ130="EQL",EQ130="EQH"),Q130,"")</f>
        <v/>
      </c>
      <c r="FC130" s="2" t="str">
        <f aca="false">IF(AND(EG130="EQL",OR(AQ130=4,AQ130=5)),"IEQL",IF(AND(EG130="EQH",OR(AQ130=1,AQ130=2)),"IEQH",""))</f>
        <v/>
      </c>
      <c r="FD130" s="2" t="str">
        <f aca="false">IF(AND(EH130="EQL",OR(AR130=4,AR130=5)),"IEQL",IF(AND(EH130="EQH",OR(AR130=1,AR130=2)),"IEQH",""))</f>
        <v/>
      </c>
      <c r="FE130" s="2" t="str">
        <f aca="false">IF(AND(EI130="EQL",OR(AS130=4,AS130=5)),"IEQL",IF(AND(EI130="EQH",OR(AS130=1,AS130=2)),"IEQH",""))</f>
        <v>IEQL</v>
      </c>
      <c r="FF130" s="2" t="str">
        <f aca="false">IF(AND(EJ130="EQL",OR(AT130=4,AT130=5)),"IEQL",IF(AND(EJ130="EQH",OR(AT130=1,AT130=2)),"IEQH",""))</f>
        <v/>
      </c>
      <c r="FG130" s="2" t="str">
        <f aca="false">IF(AND(EK130="EQL",OR(AU130=4,AU130=5)),"IEQL",IF(AND(EK130="EQH",OR(AU130=1,AU130=2)),"IEQH",""))</f>
        <v/>
      </c>
      <c r="FH130" s="2" t="str">
        <f aca="false">IF(AND(EL130="EQL",OR(AV130=4,AV130=5)),"IEQL",IF(AND(EL130="EQH",OR(AV130=1,AV130=2)),"IEQH",""))</f>
        <v/>
      </c>
      <c r="FI130" s="2" t="str">
        <f aca="false">IF(AND(EM130="EQL",OR(AW130=4,AW130=5)),"IEQL",IF(AND(EM130="EQH",OR(AW130=1,AW130=2)),"IEQH",""))</f>
        <v/>
      </c>
      <c r="FJ130" s="2" t="str">
        <f aca="false">IF(AND(EN130="EQL",OR(AX130=4,AX130=5)),"IEQL",IF(AND(EN130="EQH",OR(AX130=1,AX130=2)),"IEQH",""))</f>
        <v/>
      </c>
      <c r="FK130" s="2" t="str">
        <f aca="false">IF(AND(EO130="EQL",OR(AY130=4,AY130=5)),"IEQL",IF(AND(EO130="EQH",OR(AY130=1,AY130=2)),"IEQH",""))</f>
        <v/>
      </c>
      <c r="FL130" s="2" t="str">
        <f aca="false">IF(AND(EP130="EQL",OR(AZ130=4,AZ130=5)),"IEQL",IF(AND(EP130="EQH",OR(AZ130=1,AZ130=2)),"IEQH",""))</f>
        <v/>
      </c>
      <c r="FM130" s="2" t="str">
        <f aca="false">IF(AND(EQ130="EQL",OR(BA130=4,BA130=5)),"IEQL",IF(AND(EQ130="EQH",OR(BA130=1,BA130=2)),"IEQH",""))</f>
        <v/>
      </c>
    </row>
    <row r="131" customFormat="false" ht="14.25" hidden="false" customHeight="false" outlineLevel="0" collapsed="false">
      <c r="A131" s="1" t="n">
        <v>1779111902</v>
      </c>
      <c r="B131" s="1" t="s">
        <v>169</v>
      </c>
      <c r="C131" s="1" t="s">
        <v>170</v>
      </c>
      <c r="D131" s="1" t="n">
        <v>4575.63</v>
      </c>
      <c r="E131" s="1" t="s">
        <v>173</v>
      </c>
      <c r="F131" s="1" t="n">
        <v>4584.14</v>
      </c>
      <c r="G131" s="2" t="n">
        <f aca="false">F129</f>
        <v>4559.95</v>
      </c>
      <c r="H131" s="2" t="n">
        <f aca="false">F127</f>
        <v>4566.43</v>
      </c>
      <c r="I131" s="2" t="n">
        <f aca="false">F125</f>
        <v>4572.64</v>
      </c>
      <c r="J131" s="2" t="n">
        <f aca="false">F123</f>
        <v>4665.35</v>
      </c>
      <c r="K131" s="2" t="n">
        <f aca="false">F121</f>
        <v>4710.02</v>
      </c>
      <c r="L131" s="2" t="n">
        <f aca="false">F119</f>
        <v>4718.75</v>
      </c>
      <c r="M131" s="2" t="n">
        <f aca="false">F117</f>
        <v>4706.81</v>
      </c>
      <c r="N131" s="2" t="n">
        <f aca="false">F115</f>
        <v>4709.71</v>
      </c>
      <c r="O131" s="2" t="n">
        <f aca="false">F113</f>
        <v>4710.38</v>
      </c>
      <c r="P131" s="2" t="n">
        <f aca="false">F111</f>
        <v>4715.35</v>
      </c>
      <c r="Q131" s="2" t="n">
        <f aca="false">F109</f>
        <v>4726.76</v>
      </c>
      <c r="R131" s="1" t="n">
        <v>54.13</v>
      </c>
      <c r="S131" s="2" t="n">
        <f aca="false">R129</f>
        <v>79.23</v>
      </c>
      <c r="T131" s="2" t="n">
        <f aca="false">R127</f>
        <v>54.51</v>
      </c>
      <c r="U131" s="2" t="n">
        <f aca="false">R125</f>
        <v>40.61</v>
      </c>
      <c r="V131" s="2" t="n">
        <f aca="false">R123</f>
        <v>20.95</v>
      </c>
      <c r="W131" s="2" t="n">
        <f aca="false">R121</f>
        <v>21.55</v>
      </c>
      <c r="X131" s="2" t="n">
        <f aca="false">R119</f>
        <v>49.98</v>
      </c>
      <c r="Y131" s="2" t="n">
        <f aca="false">R117</f>
        <v>29.17</v>
      </c>
      <c r="Z131" s="2" t="n">
        <f aca="false">R115</f>
        <v>40.06</v>
      </c>
      <c r="AA131" s="2" t="n">
        <f aca="false">R113</f>
        <v>24.41</v>
      </c>
      <c r="AB131" s="2" t="n">
        <f aca="false">R111</f>
        <v>27.75</v>
      </c>
      <c r="AC131" s="2" t="n">
        <f aca="false">R109</f>
        <v>88.19</v>
      </c>
      <c r="AD131" s="1" t="n">
        <v>1.19</v>
      </c>
      <c r="AE131" s="2" t="n">
        <f aca="false">AD129</f>
        <v>1.77</v>
      </c>
      <c r="AF131" s="2" t="n">
        <f aca="false">AD127</f>
        <v>1.21</v>
      </c>
      <c r="AG131" s="2" t="n">
        <f aca="false">AD125</f>
        <v>0.9</v>
      </c>
      <c r="AH131" s="2" t="n">
        <f aca="false">AD123</f>
        <v>0.45</v>
      </c>
      <c r="AI131" s="2" t="n">
        <f aca="false">AD121</f>
        <v>0.46</v>
      </c>
      <c r="AJ131" s="2" t="n">
        <f aca="false">AD119</f>
        <v>1.07</v>
      </c>
      <c r="AK131" s="2" t="n">
        <f aca="false">AD117</f>
        <v>0.62</v>
      </c>
      <c r="AL131" s="2" t="n">
        <f aca="false">AD115</f>
        <v>0.86</v>
      </c>
      <c r="AM131" s="2" t="n">
        <f aca="false">AD113</f>
        <v>0.52</v>
      </c>
      <c r="AN131" s="2" t="n">
        <f aca="false">AD111</f>
        <v>0.59</v>
      </c>
      <c r="AO131" s="2" t="n">
        <f aca="false">AD109</f>
        <v>1.9</v>
      </c>
      <c r="AP131" s="1" t="n">
        <v>0</v>
      </c>
      <c r="AQ131" s="2" t="n">
        <f aca="false">AP129</f>
        <v>0</v>
      </c>
      <c r="AR131" s="2" t="n">
        <f aca="false">AP127</f>
        <v>0</v>
      </c>
      <c r="AS131" s="2" t="n">
        <f aca="false">AP125</f>
        <v>0</v>
      </c>
      <c r="AT131" s="2" t="n">
        <f aca="false">AP123</f>
        <v>0</v>
      </c>
      <c r="AU131" s="2" t="n">
        <f aca="false">AP121</f>
        <v>0</v>
      </c>
      <c r="AV131" s="2" t="n">
        <f aca="false">AP119</f>
        <v>0</v>
      </c>
      <c r="AW131" s="2" t="n">
        <f aca="false">AP117</f>
        <v>0</v>
      </c>
      <c r="AX131" s="2" t="n">
        <f aca="false">AP115</f>
        <v>0</v>
      </c>
      <c r="AY131" s="2" t="n">
        <f aca="false">AP113</f>
        <v>0</v>
      </c>
      <c r="AZ131" s="2" t="n">
        <f aca="false">AP111</f>
        <v>0</v>
      </c>
      <c r="BA131" s="2" t="n">
        <f aca="false">AP109</f>
        <v>0</v>
      </c>
      <c r="BB131" s="1" t="n">
        <v>11</v>
      </c>
      <c r="BC131" s="2" t="n">
        <f aca="false">BB129</f>
        <v>27</v>
      </c>
      <c r="BD131" s="2" t="n">
        <f aca="false">BB127</f>
        <v>4</v>
      </c>
      <c r="BE131" s="2" t="n">
        <f aca="false">BB125</f>
        <v>4</v>
      </c>
      <c r="BF131" s="2" t="n">
        <f aca="false">BB123</f>
        <v>8</v>
      </c>
      <c r="BG131" s="2" t="n">
        <f aca="false">BB121</f>
        <v>12</v>
      </c>
      <c r="BH131" s="2" t="n">
        <f aca="false">BB119</f>
        <v>14</v>
      </c>
      <c r="BI131" s="2" t="n">
        <f aca="false">BB117</f>
        <v>20</v>
      </c>
      <c r="BJ131" s="2" t="n">
        <f aca="false">BB115</f>
        <v>10</v>
      </c>
      <c r="BK131" s="2" t="n">
        <f aca="false">BB113</f>
        <v>2</v>
      </c>
      <c r="BL131" s="2" t="n">
        <f aca="false">BB111</f>
        <v>14</v>
      </c>
      <c r="BM131" s="2" t="n">
        <f aca="false">BB109</f>
        <v>31</v>
      </c>
      <c r="BN131" s="1" t="n">
        <v>0</v>
      </c>
      <c r="BO131" s="2" t="n">
        <f aca="false">BN129</f>
        <v>0</v>
      </c>
      <c r="BP131" s="2" t="n">
        <f aca="false">BN127</f>
        <v>0</v>
      </c>
      <c r="BQ131" s="2" t="n">
        <f aca="false">BN125</f>
        <v>0</v>
      </c>
      <c r="BR131" s="2" t="n">
        <f aca="false">BN123</f>
        <v>0</v>
      </c>
      <c r="BS131" s="2" t="n">
        <f aca="false">BN121</f>
        <v>0</v>
      </c>
      <c r="BT131" s="2" t="n">
        <f aca="false">BN119</f>
        <v>0</v>
      </c>
      <c r="BU131" s="2" t="n">
        <f aca="false">BN117</f>
        <v>0</v>
      </c>
      <c r="BV131" s="2" t="n">
        <f aca="false">BN115</f>
        <v>0</v>
      </c>
      <c r="BW131" s="2" t="n">
        <f aca="false">BN113</f>
        <v>0</v>
      </c>
      <c r="BX131" s="2" t="n">
        <f aca="false">BN111</f>
        <v>0</v>
      </c>
      <c r="BY131" s="2" t="n">
        <f aca="false">BN109</f>
        <v>0</v>
      </c>
      <c r="BZ131" s="1" t="n">
        <v>4.92091</v>
      </c>
      <c r="CA131" s="2" t="n">
        <f aca="false">BZ129</f>
        <v>2.93444</v>
      </c>
      <c r="CB131" s="2" t="n">
        <f aca="false">BZ127</f>
        <v>13.6275</v>
      </c>
      <c r="CC131" s="2" t="n">
        <f aca="false">BZ125</f>
        <v>10.1525</v>
      </c>
      <c r="CD131" s="2" t="n">
        <f aca="false">BZ123</f>
        <v>2.61875</v>
      </c>
      <c r="CE131" s="2" t="n">
        <f aca="false">BZ121</f>
        <v>1.79583</v>
      </c>
      <c r="CF131" s="2" t="n">
        <f aca="false">BZ119</f>
        <v>3.57</v>
      </c>
      <c r="CG131" s="2" t="n">
        <f aca="false">BZ117</f>
        <v>1.4585</v>
      </c>
      <c r="CH131" s="2" t="n">
        <f aca="false">BZ115</f>
        <v>4.006</v>
      </c>
      <c r="CI131" s="2" t="n">
        <f aca="false">BZ113</f>
        <v>12.205</v>
      </c>
      <c r="CJ131" s="2" t="n">
        <f aca="false">BZ111</f>
        <v>1.98214</v>
      </c>
      <c r="CK131" s="2" t="n">
        <f aca="false">BZ109</f>
        <v>2.84484</v>
      </c>
      <c r="CL131" s="1" t="n">
        <v>0</v>
      </c>
      <c r="CM131" s="2" t="n">
        <f aca="false">CL129</f>
        <v>0</v>
      </c>
      <c r="CN131" s="2" t="n">
        <f aca="false">CL127</f>
        <v>2</v>
      </c>
      <c r="CO131" s="2" t="n">
        <f aca="false">CL125</f>
        <v>1</v>
      </c>
      <c r="CP131" s="2" t="n">
        <f aca="false">CL123</f>
        <v>0</v>
      </c>
      <c r="CQ131" s="2" t="n">
        <f aca="false">CL121</f>
        <v>0</v>
      </c>
      <c r="CR131" s="2" t="n">
        <f aca="false">CL119</f>
        <v>0</v>
      </c>
      <c r="CS131" s="2" t="n">
        <f aca="false">CL117</f>
        <v>0</v>
      </c>
      <c r="CT131" s="2" t="n">
        <f aca="false">CL115</f>
        <v>0</v>
      </c>
      <c r="CU131" s="2" t="n">
        <f aca="false">CL113</f>
        <v>1</v>
      </c>
      <c r="CV131" s="2" t="n">
        <f aca="false">CL111</f>
        <v>0</v>
      </c>
      <c r="CW131" s="2" t="n">
        <f aca="false">CL109</f>
        <v>0</v>
      </c>
      <c r="CX131" s="1" t="n">
        <v>78.5131</v>
      </c>
      <c r="CY131" s="2" t="n">
        <f aca="false">CX129</f>
        <v>71.1819</v>
      </c>
      <c r="CZ131" s="2" t="n">
        <f aca="false">CX127</f>
        <v>85.8031</v>
      </c>
      <c r="DA131" s="2" t="n">
        <f aca="false">CX125</f>
        <v>84.3746</v>
      </c>
      <c r="DB131" s="2" t="n">
        <f aca="false">CX123</f>
        <v>69.1001</v>
      </c>
      <c r="DC131" s="2" t="n">
        <f aca="false">CX121</f>
        <v>60.889</v>
      </c>
      <c r="DD131" s="2" t="n">
        <f aca="false">CX119</f>
        <v>74.3518</v>
      </c>
      <c r="DE131" s="2" t="n">
        <f aca="false">CX117</f>
        <v>55.5641</v>
      </c>
      <c r="DF131" s="2" t="n">
        <f aca="false">CX115</f>
        <v>75.984</v>
      </c>
      <c r="DG131" s="2" t="n">
        <f aca="false">CX113</f>
        <v>85.316</v>
      </c>
      <c r="DH131" s="2" t="n">
        <f aca="false">CX111</f>
        <v>63.2288</v>
      </c>
      <c r="DI131" s="2" t="n">
        <f aca="false">CX109</f>
        <v>70.6327</v>
      </c>
      <c r="DJ131" s="1" t="s">
        <v>176</v>
      </c>
      <c r="DK131" s="2" t="str">
        <f aca="false">DJ129</f>
        <v>LH</v>
      </c>
      <c r="DL131" s="2" t="str">
        <f aca="false">DJ127</f>
        <v>LH</v>
      </c>
      <c r="DM131" s="2" t="str">
        <f aca="false">DJ125</f>
        <v>LH</v>
      </c>
      <c r="DN131" s="2" t="str">
        <f aca="false">DJ123</f>
        <v>LH</v>
      </c>
      <c r="DO131" s="2" t="str">
        <f aca="false">DJ121</f>
        <v>LH</v>
      </c>
      <c r="DP131" s="2" t="str">
        <f aca="false">DJ119</f>
        <v>HH</v>
      </c>
      <c r="DQ131" s="2" t="str">
        <f aca="false">DJ117</f>
        <v>LH</v>
      </c>
      <c r="DR131" s="2" t="str">
        <f aca="false">DJ115</f>
        <v>LH</v>
      </c>
      <c r="DS131" s="2" t="str">
        <f aca="false">DJ113</f>
        <v>LH</v>
      </c>
      <c r="DT131" s="2" t="str">
        <f aca="false">DJ111</f>
        <v>LH</v>
      </c>
      <c r="DU131" s="2" t="str">
        <f aca="false">DJ109</f>
        <v>HH</v>
      </c>
      <c r="DV131" s="2" t="n">
        <f aca="false">IFERROR((G131-$F131)/$F131*100,"")</f>
        <v>-0.527688944927522</v>
      </c>
      <c r="DW131" s="2" t="n">
        <f aca="false">IFERROR((H131-$F131)/$F131*100,"")</f>
        <v>-0.386332005567021</v>
      </c>
      <c r="DX131" s="2" t="n">
        <f aca="false">IFERROR((I131-$F131)/$F131*100,"")</f>
        <v>-0.250864938679883</v>
      </c>
      <c r="DY131" s="2" t="n">
        <f aca="false">IFERROR((J131-$F131)/$F131*100,"")</f>
        <v>1.77154275392985</v>
      </c>
      <c r="DZ131" s="2" t="n">
        <f aca="false">IFERROR((K131-$F131)/$F131*100,"")</f>
        <v>2.7459894331325</v>
      </c>
      <c r="EA131" s="2" t="n">
        <f aca="false">IFERROR((L131-$F131)/$F131*100,"")</f>
        <v>2.93642864310426</v>
      </c>
      <c r="EB131" s="2" t="n">
        <f aca="false">IFERROR((M131-$F131)/$F131*100,"")</f>
        <v>2.67596539372707</v>
      </c>
      <c r="EC131" s="2" t="n">
        <f aca="false">IFERROR((N131-$F131)/$F131*100,"")</f>
        <v>2.73922698695938</v>
      </c>
      <c r="ED131" s="2" t="n">
        <f aca="false">IFERROR((O131-$F131)/$F131*100,"")</f>
        <v>2.7538425964303</v>
      </c>
      <c r="EE131" s="2" t="n">
        <f aca="false">IFERROR((P131-$F131)/$F131*100,"")</f>
        <v>2.862259878625</v>
      </c>
      <c r="EF131" s="2" t="n">
        <f aca="false">IFERROR((Q131-$F131)/$F131*100,"")</f>
        <v>3.11116152648043</v>
      </c>
      <c r="EG131" s="2" t="str">
        <f aca="false">IF(DV131="","",IF(AND(ABS(DV131)&lt;=0.25,$E131="Bottom",DK131="LL"),"EQL",IF(AND(ABS(DV131)&lt;=0.25,$E131="Peak",DK131="HH"),"EQH","")))</f>
        <v/>
      </c>
      <c r="EH131" s="2" t="str">
        <f aca="false">IF(DW131="","",IF(AND(ABS(DW131)&lt;=0.25,$E131="Bottom",DL131="LL"),"EQL",IF(AND(ABS(DW131)&lt;=0.25,$E131="Peak",DL131="HH"),"EQH","")))</f>
        <v/>
      </c>
      <c r="EI131" s="2" t="str">
        <f aca="false">IF(DX131="","",IF(AND(ABS(DX131)&lt;=0.25,$E131="Bottom",DM131="LL"),"EQL",IF(AND(ABS(DX131)&lt;=0.25,$E131="Peak",DM131="HH"),"EQH","")))</f>
        <v/>
      </c>
      <c r="EJ131" s="2" t="str">
        <f aca="false">IF(DY131="","",IF(AND(ABS(DY131)&lt;=0.25,$E131="Bottom",DN131="LL"),"EQL",IF(AND(ABS(DY131)&lt;=0.25,$E131="Peak",DN131="HH"),"EQH","")))</f>
        <v/>
      </c>
      <c r="EK131" s="2" t="str">
        <f aca="false">IF(DZ131="","",IF(AND(ABS(DZ131)&lt;=0.25,$E131="Bottom",DO131="LL"),"EQL",IF(AND(ABS(DZ131)&lt;=0.25,$E131="Peak",DO131="HH"),"EQH","")))</f>
        <v/>
      </c>
      <c r="EL131" s="2" t="str">
        <f aca="false">IF(EA131="","",IF(AND(ABS(EA131)&lt;=0.25,$E131="Bottom",DP131="LL"),"EQL",IF(AND(ABS(EA131)&lt;=0.25,$E131="Peak",DP131="HH"),"EQH","")))</f>
        <v/>
      </c>
      <c r="EM131" s="2" t="str">
        <f aca="false">IF(EB131="","",IF(AND(ABS(EB131)&lt;=0.25,$E131="Bottom",DQ131="LL"),"EQL",IF(AND(ABS(EB131)&lt;=0.25,$E131="Peak",DQ131="HH"),"EQH","")))</f>
        <v/>
      </c>
      <c r="EN131" s="2" t="str">
        <f aca="false">IF(EC131="","",IF(AND(ABS(EC131)&lt;=0.25,$E131="Bottom",DR131="LL"),"EQL",IF(AND(ABS(EC131)&lt;=0.25,$E131="Peak",DR131="HH"),"EQH","")))</f>
        <v/>
      </c>
      <c r="EO131" s="2" t="str">
        <f aca="false">IF(ED131="","",IF(AND(ABS(ED131)&lt;=0.25,$E131="Bottom",DS131="LL"),"EQL",IF(AND(ABS(ED131)&lt;=0.25,$E131="Peak",DS131="HH"),"EQH","")))</f>
        <v/>
      </c>
      <c r="EP131" s="2" t="str">
        <f aca="false">IF(EE131="","",IF(AND(ABS(EE131)&lt;=0.25,$E131="Bottom",DT131="LL"),"EQL",IF(AND(ABS(EE131)&lt;=0.25,$E131="Peak",DT131="HH"),"EQH","")))</f>
        <v/>
      </c>
      <c r="EQ131" s="2" t="str">
        <f aca="false">IF(EF131="","",IF(AND(ABS(EF131)&lt;=0.25,$E131="Bottom",DU131="LL"),"EQL",IF(AND(ABS(EF131)&lt;=0.25,$E131="Peak",DU131="HH"),"EQH","")))</f>
        <v/>
      </c>
      <c r="ER131" s="2" t="str">
        <f aca="false">IF(OR(EG131="EQL",EG131="EQH"),G131,"")</f>
        <v/>
      </c>
      <c r="ES131" s="2" t="str">
        <f aca="false">IF(OR(EH131="EQL",EH131="EQH"),H131,"")</f>
        <v/>
      </c>
      <c r="ET131" s="2" t="str">
        <f aca="false">IF(OR(EI131="EQL",EI131="EQH"),I131,"")</f>
        <v/>
      </c>
      <c r="EU131" s="2" t="str">
        <f aca="false">IF(OR(EJ131="EQL",EJ131="EQH"),J131,"")</f>
        <v/>
      </c>
      <c r="EV131" s="2" t="str">
        <f aca="false">IF(OR(EK131="EQL",EK131="EQH"),K131,"")</f>
        <v/>
      </c>
      <c r="EW131" s="2" t="str">
        <f aca="false">IF(OR(EL131="EQL",EL131="EQH"),L131,"")</f>
        <v/>
      </c>
      <c r="EX131" s="2" t="str">
        <f aca="false">IF(OR(EM131="EQL",EM131="EQH"),M131,"")</f>
        <v/>
      </c>
      <c r="EY131" s="2" t="str">
        <f aca="false">IF(OR(EN131="EQL",EN131="EQH"),N131,"")</f>
        <v/>
      </c>
      <c r="EZ131" s="2" t="str">
        <f aca="false">IF(OR(EO131="EQL",EO131="EQH"),O131,"")</f>
        <v/>
      </c>
      <c r="FA131" s="2" t="str">
        <f aca="false">IF(OR(EP131="EQL",EP131="EQH"),P131,"")</f>
        <v/>
      </c>
      <c r="FB131" s="2" t="str">
        <f aca="false">IF(OR(EQ131="EQL",EQ131="EQH"),Q131,"")</f>
        <v/>
      </c>
      <c r="FC131" s="2" t="str">
        <f aca="false">IF(AND(EG131="EQL",OR(AQ131=4,AQ131=5)),"IEQL",IF(AND(EG131="EQH",OR(AQ131=1,AQ131=2)),"IEQH",""))</f>
        <v/>
      </c>
      <c r="FD131" s="2" t="str">
        <f aca="false">IF(AND(EH131="EQL",OR(AR131=4,AR131=5)),"IEQL",IF(AND(EH131="EQH",OR(AR131=1,AR131=2)),"IEQH",""))</f>
        <v/>
      </c>
      <c r="FE131" s="2" t="str">
        <f aca="false">IF(AND(EI131="EQL",OR(AS131=4,AS131=5)),"IEQL",IF(AND(EI131="EQH",OR(AS131=1,AS131=2)),"IEQH",""))</f>
        <v/>
      </c>
      <c r="FF131" s="2" t="str">
        <f aca="false">IF(AND(EJ131="EQL",OR(AT131=4,AT131=5)),"IEQL",IF(AND(EJ131="EQH",OR(AT131=1,AT131=2)),"IEQH",""))</f>
        <v/>
      </c>
      <c r="FG131" s="2" t="str">
        <f aca="false">IF(AND(EK131="EQL",OR(AU131=4,AU131=5)),"IEQL",IF(AND(EK131="EQH",OR(AU131=1,AU131=2)),"IEQH",""))</f>
        <v/>
      </c>
      <c r="FH131" s="2" t="str">
        <f aca="false">IF(AND(EL131="EQL",OR(AV131=4,AV131=5)),"IEQL",IF(AND(EL131="EQH",OR(AV131=1,AV131=2)),"IEQH",""))</f>
        <v/>
      </c>
      <c r="FI131" s="2" t="str">
        <f aca="false">IF(AND(EM131="EQL",OR(AW131=4,AW131=5)),"IEQL",IF(AND(EM131="EQH",OR(AW131=1,AW131=2)),"IEQH",""))</f>
        <v/>
      </c>
      <c r="FJ131" s="2" t="str">
        <f aca="false">IF(AND(EN131="EQL",OR(AX131=4,AX131=5)),"IEQL",IF(AND(EN131="EQH",OR(AX131=1,AX131=2)),"IEQH",""))</f>
        <v/>
      </c>
      <c r="FK131" s="2" t="str">
        <f aca="false">IF(AND(EO131="EQL",OR(AY131=4,AY131=5)),"IEQL",IF(AND(EO131="EQH",OR(AY131=1,AY131=2)),"IEQH",""))</f>
        <v/>
      </c>
      <c r="FL131" s="2" t="str">
        <f aca="false">IF(AND(EP131="EQL",OR(AZ131=4,AZ131=5)),"IEQL",IF(AND(EP131="EQH",OR(AZ131=1,AZ131=2)),"IEQH",""))</f>
        <v/>
      </c>
      <c r="FM131" s="2" t="str">
        <f aca="false">IF(AND(EQ131="EQL",OR(BA131=4,BA131=5)),"IEQL",IF(AND(EQ131="EQH",OR(BA131=1,BA131=2)),"IEQH",""))</f>
        <v/>
      </c>
    </row>
    <row r="132" customFormat="false" ht="14.25" hidden="false" customHeight="false" outlineLevel="0" collapsed="false">
      <c r="A132" s="1" t="n">
        <v>1779116402</v>
      </c>
      <c r="B132" s="1" t="s">
        <v>169</v>
      </c>
      <c r="C132" s="1" t="s">
        <v>170</v>
      </c>
      <c r="D132" s="1" t="n">
        <v>4540.53</v>
      </c>
      <c r="E132" s="1" t="s">
        <v>171</v>
      </c>
      <c r="F132" s="1" t="n">
        <v>4532</v>
      </c>
      <c r="G132" s="2" t="n">
        <f aca="false">F130</f>
        <v>4530.01</v>
      </c>
      <c r="H132" s="2" t="n">
        <f aca="false">F128</f>
        <v>4480.72</v>
      </c>
      <c r="I132" s="2" t="n">
        <f aca="false">F126</f>
        <v>4511.92</v>
      </c>
      <c r="J132" s="2" t="n">
        <f aca="false">F124</f>
        <v>4532.03</v>
      </c>
      <c r="K132" s="2" t="n">
        <f aca="false">F122</f>
        <v>4644.4</v>
      </c>
      <c r="L132" s="2" t="n">
        <f aca="false">F120</f>
        <v>4688.47</v>
      </c>
      <c r="M132" s="2" t="n">
        <f aca="false">F118</f>
        <v>4668.77</v>
      </c>
      <c r="N132" s="2" t="n">
        <f aca="false">F116</f>
        <v>4677.64</v>
      </c>
      <c r="O132" s="2" t="n">
        <f aca="false">F114</f>
        <v>4669.65</v>
      </c>
      <c r="P132" s="2" t="n">
        <f aca="false">F112</f>
        <v>4685.97</v>
      </c>
      <c r="Q132" s="2" t="n">
        <f aca="false">F110</f>
        <v>4687.6</v>
      </c>
      <c r="R132" s="1" t="n">
        <v>-52.14</v>
      </c>
      <c r="S132" s="2" t="n">
        <f aca="false">R130</f>
        <v>-29.94</v>
      </c>
      <c r="T132" s="2" t="n">
        <f aca="false">R128</f>
        <v>-85.71</v>
      </c>
      <c r="U132" s="2" t="n">
        <f aca="false">R126</f>
        <v>-60.72</v>
      </c>
      <c r="V132" s="2" t="n">
        <f aca="false">R124</f>
        <v>-133.32</v>
      </c>
      <c r="W132" s="2" t="n">
        <f aca="false">R122</f>
        <v>-65.62</v>
      </c>
      <c r="X132" s="2" t="n">
        <f aca="false">R120</f>
        <v>-30.28</v>
      </c>
      <c r="Y132" s="2" t="n">
        <f aca="false">R118</f>
        <v>-38.04</v>
      </c>
      <c r="Z132" s="2" t="n">
        <f aca="false">R116</f>
        <v>-32.07</v>
      </c>
      <c r="AA132" s="2" t="n">
        <f aca="false">R114</f>
        <v>-40.73</v>
      </c>
      <c r="AB132" s="2" t="n">
        <f aca="false">R112</f>
        <v>-29.38</v>
      </c>
      <c r="AC132" s="2" t="n">
        <f aca="false">R110</f>
        <v>-39.16</v>
      </c>
      <c r="AD132" s="1" t="n">
        <v>-1.14</v>
      </c>
      <c r="AE132" s="2" t="n">
        <f aca="false">AD130</f>
        <v>-0.66</v>
      </c>
      <c r="AF132" s="2" t="n">
        <f aca="false">AD128</f>
        <v>-1.88</v>
      </c>
      <c r="AG132" s="2" t="n">
        <f aca="false">AD126</f>
        <v>-1.33</v>
      </c>
      <c r="AH132" s="2" t="n">
        <f aca="false">AD124</f>
        <v>-2.86</v>
      </c>
      <c r="AI132" s="2" t="n">
        <f aca="false">AD122</f>
        <v>-1.39</v>
      </c>
      <c r="AJ132" s="2" t="n">
        <f aca="false">AD120</f>
        <v>-0.64</v>
      </c>
      <c r="AK132" s="2" t="n">
        <f aca="false">AD118</f>
        <v>-0.81</v>
      </c>
      <c r="AL132" s="2" t="n">
        <f aca="false">AD116</f>
        <v>-0.68</v>
      </c>
      <c r="AM132" s="2" t="n">
        <f aca="false">AD114</f>
        <v>-0.86</v>
      </c>
      <c r="AN132" s="2" t="n">
        <f aca="false">AD112</f>
        <v>-0.62</v>
      </c>
      <c r="AO132" s="2" t="n">
        <f aca="false">AD110</f>
        <v>-0.83</v>
      </c>
      <c r="AP132" s="1" t="n">
        <v>3</v>
      </c>
      <c r="AQ132" s="2" t="n">
        <f aca="false">AP130</f>
        <v>3</v>
      </c>
      <c r="AR132" s="2" t="n">
        <f aca="false">AP128</f>
        <v>3</v>
      </c>
      <c r="AS132" s="2" t="n">
        <f aca="false">AP126</f>
        <v>3</v>
      </c>
      <c r="AT132" s="2" t="n">
        <f aca="false">AP124</f>
        <v>5</v>
      </c>
      <c r="AU132" s="2" t="n">
        <f aca="false">AP122</f>
        <v>3</v>
      </c>
      <c r="AV132" s="2" t="n">
        <f aca="false">AP120</f>
        <v>3</v>
      </c>
      <c r="AW132" s="2" t="n">
        <f aca="false">AP118</f>
        <v>3</v>
      </c>
      <c r="AX132" s="2" t="n">
        <f aca="false">AP116</f>
        <v>3</v>
      </c>
      <c r="AY132" s="2" t="n">
        <f aca="false">AP114</f>
        <v>3</v>
      </c>
      <c r="AZ132" s="2" t="n">
        <f aca="false">AP112</f>
        <v>3</v>
      </c>
      <c r="BA132" s="2" t="n">
        <f aca="false">AP110</f>
        <v>3</v>
      </c>
      <c r="BB132" s="1" t="n">
        <v>5</v>
      </c>
      <c r="BC132" s="2" t="n">
        <f aca="false">BB130</f>
        <v>14</v>
      </c>
      <c r="BD132" s="2" t="n">
        <f aca="false">BB128</f>
        <v>36</v>
      </c>
      <c r="BE132" s="2" t="n">
        <f aca="false">BB126</f>
        <v>12</v>
      </c>
      <c r="BF132" s="2" t="n">
        <f aca="false">BB124</f>
        <v>41</v>
      </c>
      <c r="BG132" s="2" t="n">
        <f aca="false">BB122</f>
        <v>32</v>
      </c>
      <c r="BH132" s="2" t="n">
        <f aca="false">BB120</f>
        <v>8</v>
      </c>
      <c r="BI132" s="2" t="n">
        <f aca="false">BB118</f>
        <v>13</v>
      </c>
      <c r="BJ132" s="2" t="n">
        <f aca="false">BB116</f>
        <v>10</v>
      </c>
      <c r="BK132" s="2" t="n">
        <f aca="false">BB114</f>
        <v>15</v>
      </c>
      <c r="BL132" s="2" t="n">
        <f aca="false">BB112</f>
        <v>13</v>
      </c>
      <c r="BM132" s="2" t="n">
        <f aca="false">BB110</f>
        <v>11</v>
      </c>
      <c r="BN132" s="1" t="n">
        <v>3</v>
      </c>
      <c r="BO132" s="2" t="n">
        <f aca="false">BN130</f>
        <v>3</v>
      </c>
      <c r="BP132" s="2" t="n">
        <f aca="false">BN128</f>
        <v>4</v>
      </c>
      <c r="BQ132" s="2" t="n">
        <f aca="false">BN126</f>
        <v>3</v>
      </c>
      <c r="BR132" s="2" t="n">
        <f aca="false">BN124</f>
        <v>5</v>
      </c>
      <c r="BS132" s="2" t="n">
        <f aca="false">BN122</f>
        <v>4</v>
      </c>
      <c r="BT132" s="2" t="n">
        <f aca="false">BN120</f>
        <v>3</v>
      </c>
      <c r="BU132" s="2" t="n">
        <f aca="false">BN118</f>
        <v>3</v>
      </c>
      <c r="BV132" s="2" t="n">
        <f aca="false">BN116</f>
        <v>3</v>
      </c>
      <c r="BW132" s="2" t="n">
        <f aca="false">BN114</f>
        <v>3</v>
      </c>
      <c r="BX132" s="2" t="n">
        <f aca="false">BN112</f>
        <v>3</v>
      </c>
      <c r="BY132" s="2" t="n">
        <f aca="false">BN110</f>
        <v>3</v>
      </c>
      <c r="BZ132" s="1" t="n">
        <v>-10.428</v>
      </c>
      <c r="CA132" s="2" t="n">
        <f aca="false">BZ130</f>
        <v>-2.13857</v>
      </c>
      <c r="CB132" s="2" t="n">
        <f aca="false">BZ128</f>
        <v>-2.38083</v>
      </c>
      <c r="CC132" s="2" t="n">
        <f aca="false">BZ126</f>
        <v>-5.06</v>
      </c>
      <c r="CD132" s="2" t="n">
        <f aca="false">BZ124</f>
        <v>-3.25171</v>
      </c>
      <c r="CE132" s="2" t="n">
        <f aca="false">BZ122</f>
        <v>-2.05063</v>
      </c>
      <c r="CF132" s="2" t="n">
        <f aca="false">BZ120</f>
        <v>-3.785</v>
      </c>
      <c r="CG132" s="2" t="n">
        <f aca="false">BZ118</f>
        <v>-2.92615</v>
      </c>
      <c r="CH132" s="2" t="n">
        <f aca="false">BZ116</f>
        <v>-3.207</v>
      </c>
      <c r="CI132" s="2" t="n">
        <f aca="false">BZ114</f>
        <v>-2.71533</v>
      </c>
      <c r="CJ132" s="2" t="n">
        <f aca="false">BZ112</f>
        <v>-2.26</v>
      </c>
      <c r="CK132" s="2" t="n">
        <f aca="false">BZ110</f>
        <v>-3.56</v>
      </c>
      <c r="CL132" s="1" t="n">
        <v>4</v>
      </c>
      <c r="CM132" s="2" t="n">
        <f aca="false">CL130</f>
        <v>3</v>
      </c>
      <c r="CN132" s="2" t="n">
        <f aca="false">CL128</f>
        <v>3</v>
      </c>
      <c r="CO132" s="2" t="n">
        <f aca="false">CL126</f>
        <v>3</v>
      </c>
      <c r="CP132" s="2" t="n">
        <f aca="false">CL124</f>
        <v>3</v>
      </c>
      <c r="CQ132" s="2" t="n">
        <f aca="false">CL122</f>
        <v>3</v>
      </c>
      <c r="CR132" s="2" t="n">
        <f aca="false">CL120</f>
        <v>3</v>
      </c>
      <c r="CS132" s="2" t="n">
        <f aca="false">CL118</f>
        <v>3</v>
      </c>
      <c r="CT132" s="2" t="n">
        <f aca="false">CL116</f>
        <v>3</v>
      </c>
      <c r="CU132" s="2" t="n">
        <f aca="false">CL114</f>
        <v>3</v>
      </c>
      <c r="CV132" s="2" t="n">
        <f aca="false">CL112</f>
        <v>3</v>
      </c>
      <c r="CW132" s="2" t="n">
        <f aca="false">CL110</f>
        <v>3</v>
      </c>
      <c r="CX132" s="1" t="n">
        <v>-84.5223</v>
      </c>
      <c r="CY132" s="2" t="n">
        <f aca="false">CX130</f>
        <v>-64.9391</v>
      </c>
      <c r="CZ132" s="2" t="n">
        <f aca="false">CX128</f>
        <v>-67.2166</v>
      </c>
      <c r="DA132" s="2" t="n">
        <f aca="false">CX126</f>
        <v>-78.8208</v>
      </c>
      <c r="DB132" s="2" t="n">
        <f aca="false">CX124</f>
        <v>-72.9057</v>
      </c>
      <c r="DC132" s="2" t="n">
        <f aca="false">CX122</f>
        <v>-64.0035</v>
      </c>
      <c r="DD132" s="2" t="n">
        <f aca="false">CX120</f>
        <v>-75.2006</v>
      </c>
      <c r="DE132" s="2" t="n">
        <f aca="false">CX118</f>
        <v>-71.1324</v>
      </c>
      <c r="DF132" s="2" t="n">
        <f aca="false">CX116</f>
        <v>-72.6816</v>
      </c>
      <c r="DG132" s="2" t="n">
        <f aca="false">CX114</f>
        <v>-69.7823</v>
      </c>
      <c r="DH132" s="2" t="n">
        <f aca="false">CX112</f>
        <v>-66.1317</v>
      </c>
      <c r="DI132" s="2" t="n">
        <f aca="false">CX110</f>
        <v>-74.31</v>
      </c>
      <c r="DJ132" s="1" t="s">
        <v>175</v>
      </c>
      <c r="DK132" s="2" t="str">
        <f aca="false">DJ130</f>
        <v>HL</v>
      </c>
      <c r="DL132" s="2" t="str">
        <f aca="false">DJ128</f>
        <v>LL</v>
      </c>
      <c r="DM132" s="2" t="str">
        <f aca="false">DJ126</f>
        <v>LL</v>
      </c>
      <c r="DN132" s="2" t="str">
        <f aca="false">DJ124</f>
        <v>LL</v>
      </c>
      <c r="DO132" s="2" t="str">
        <f aca="false">DJ122</f>
        <v>LL</v>
      </c>
      <c r="DP132" s="2" t="str">
        <f aca="false">DJ120</f>
        <v>HL</v>
      </c>
      <c r="DQ132" s="2" t="str">
        <f aca="false">DJ118</f>
        <v>LL</v>
      </c>
      <c r="DR132" s="2" t="str">
        <f aca="false">DJ116</f>
        <v>HL</v>
      </c>
      <c r="DS132" s="2" t="str">
        <f aca="false">DJ114</f>
        <v>LL</v>
      </c>
      <c r="DT132" s="2" t="str">
        <f aca="false">DJ112</f>
        <v>LL</v>
      </c>
      <c r="DU132" s="2" t="str">
        <f aca="false">DJ110</f>
        <v>HL</v>
      </c>
      <c r="DV132" s="2" t="n">
        <f aca="false">IFERROR((G132-$F132)/$F132*100,"")</f>
        <v>-0.0439099735216192</v>
      </c>
      <c r="DW132" s="2" t="n">
        <f aca="false">IFERROR((H132-$F132)/$F132*100,"")</f>
        <v>-1.13150926743159</v>
      </c>
      <c r="DX132" s="2" t="n">
        <f aca="false">IFERROR((I132-$F132)/$F132*100,"")</f>
        <v>-0.443071491615179</v>
      </c>
      <c r="DY132" s="2" t="n">
        <f aca="false">IFERROR((J132-$F132)/$F132*100,"")</f>
        <v>0.000661959399817858</v>
      </c>
      <c r="DZ132" s="2" t="n">
        <f aca="false">IFERROR((K132-$F132)/$F132*100,"")</f>
        <v>2.48014121800529</v>
      </c>
      <c r="EA132" s="2" t="n">
        <f aca="false">IFERROR((L132-$F132)/$F132*100,"")</f>
        <v>3.45255957634599</v>
      </c>
      <c r="EB132" s="2" t="n">
        <f aca="false">IFERROR((M132-$F132)/$F132*100,"")</f>
        <v>3.01787290379524</v>
      </c>
      <c r="EC132" s="2" t="n">
        <f aca="false">IFERROR((N132-$F132)/$F132*100,"")</f>
        <v>3.21359223300972</v>
      </c>
      <c r="ED132" s="2" t="n">
        <f aca="false">IFERROR((O132-$F132)/$F132*100,"")</f>
        <v>3.03729037952338</v>
      </c>
      <c r="EE132" s="2" t="n">
        <f aca="false">IFERROR((P132-$F132)/$F132*100,"")</f>
        <v>3.39739629302737</v>
      </c>
      <c r="EF132" s="2" t="n">
        <f aca="false">IFERROR((Q132-$F132)/$F132*100,"")</f>
        <v>3.43336275375111</v>
      </c>
      <c r="EG132" s="2" t="str">
        <f aca="false">IF(DV132="","",IF(AND(ABS(DV132)&lt;=0.25,$E132="Bottom",DK132="LL"),"EQL",IF(AND(ABS(DV132)&lt;=0.25,$E132="Peak",DK132="HH"),"EQH","")))</f>
        <v/>
      </c>
      <c r="EH132" s="2" t="str">
        <f aca="false">IF(DW132="","",IF(AND(ABS(DW132)&lt;=0.25,$E132="Bottom",DL132="LL"),"EQL",IF(AND(ABS(DW132)&lt;=0.25,$E132="Peak",DL132="HH"),"EQH","")))</f>
        <v/>
      </c>
      <c r="EI132" s="2" t="str">
        <f aca="false">IF(DX132="","",IF(AND(ABS(DX132)&lt;=0.25,$E132="Bottom",DM132="LL"),"EQL",IF(AND(ABS(DX132)&lt;=0.25,$E132="Peak",DM132="HH"),"EQH","")))</f>
        <v/>
      </c>
      <c r="EJ132" s="2" t="str">
        <f aca="false">IF(DY132="","",IF(AND(ABS(DY132)&lt;=0.25,$E132="Bottom",DN132="LL"),"EQL",IF(AND(ABS(DY132)&lt;=0.25,$E132="Peak",DN132="HH"),"EQH","")))</f>
        <v>EQL</v>
      </c>
      <c r="EK132" s="2" t="str">
        <f aca="false">IF(DZ132="","",IF(AND(ABS(DZ132)&lt;=0.25,$E132="Bottom",DO132="LL"),"EQL",IF(AND(ABS(DZ132)&lt;=0.25,$E132="Peak",DO132="HH"),"EQH","")))</f>
        <v/>
      </c>
      <c r="EL132" s="2" t="str">
        <f aca="false">IF(EA132="","",IF(AND(ABS(EA132)&lt;=0.25,$E132="Bottom",DP132="LL"),"EQL",IF(AND(ABS(EA132)&lt;=0.25,$E132="Peak",DP132="HH"),"EQH","")))</f>
        <v/>
      </c>
      <c r="EM132" s="2" t="str">
        <f aca="false">IF(EB132="","",IF(AND(ABS(EB132)&lt;=0.25,$E132="Bottom",DQ132="LL"),"EQL",IF(AND(ABS(EB132)&lt;=0.25,$E132="Peak",DQ132="HH"),"EQH","")))</f>
        <v/>
      </c>
      <c r="EN132" s="2" t="str">
        <f aca="false">IF(EC132="","",IF(AND(ABS(EC132)&lt;=0.25,$E132="Bottom",DR132="LL"),"EQL",IF(AND(ABS(EC132)&lt;=0.25,$E132="Peak",DR132="HH"),"EQH","")))</f>
        <v/>
      </c>
      <c r="EO132" s="2" t="str">
        <f aca="false">IF(ED132="","",IF(AND(ABS(ED132)&lt;=0.25,$E132="Bottom",DS132="LL"),"EQL",IF(AND(ABS(ED132)&lt;=0.25,$E132="Peak",DS132="HH"),"EQH","")))</f>
        <v/>
      </c>
      <c r="EP132" s="2" t="str">
        <f aca="false">IF(EE132="","",IF(AND(ABS(EE132)&lt;=0.25,$E132="Bottom",DT132="LL"),"EQL",IF(AND(ABS(EE132)&lt;=0.25,$E132="Peak",DT132="HH"),"EQH","")))</f>
        <v/>
      </c>
      <c r="EQ132" s="2" t="str">
        <f aca="false">IF(EF132="","",IF(AND(ABS(EF132)&lt;=0.25,$E132="Bottom",DU132="LL"),"EQL",IF(AND(ABS(EF132)&lt;=0.25,$E132="Peak",DU132="HH"),"EQH","")))</f>
        <v/>
      </c>
      <c r="ER132" s="2" t="str">
        <f aca="false">IF(OR(EG132="EQL",EG132="EQH"),G132,"")</f>
        <v/>
      </c>
      <c r="ES132" s="2" t="str">
        <f aca="false">IF(OR(EH132="EQL",EH132="EQH"),H132,"")</f>
        <v/>
      </c>
      <c r="ET132" s="2" t="str">
        <f aca="false">IF(OR(EI132="EQL",EI132="EQH"),I132,"")</f>
        <v/>
      </c>
      <c r="EU132" s="2" t="n">
        <f aca="false">IF(OR(EJ132="EQL",EJ132="EQH"),J132,"")</f>
        <v>4532.03</v>
      </c>
      <c r="EV132" s="2" t="str">
        <f aca="false">IF(OR(EK132="EQL",EK132="EQH"),K132,"")</f>
        <v/>
      </c>
      <c r="EW132" s="2" t="str">
        <f aca="false">IF(OR(EL132="EQL",EL132="EQH"),L132,"")</f>
        <v/>
      </c>
      <c r="EX132" s="2" t="str">
        <f aca="false">IF(OR(EM132="EQL",EM132="EQH"),M132,"")</f>
        <v/>
      </c>
      <c r="EY132" s="2" t="str">
        <f aca="false">IF(OR(EN132="EQL",EN132="EQH"),N132,"")</f>
        <v/>
      </c>
      <c r="EZ132" s="2" t="str">
        <f aca="false">IF(OR(EO132="EQL",EO132="EQH"),O132,"")</f>
        <v/>
      </c>
      <c r="FA132" s="2" t="str">
        <f aca="false">IF(OR(EP132="EQL",EP132="EQH"),P132,"")</f>
        <v/>
      </c>
      <c r="FB132" s="2" t="str">
        <f aca="false">IF(OR(EQ132="EQL",EQ132="EQH"),Q132,"")</f>
        <v/>
      </c>
      <c r="FC132" s="2" t="str">
        <f aca="false">IF(AND(EG132="EQL",OR(AQ132=4,AQ132=5)),"IEQL",IF(AND(EG132="EQH",OR(AQ132=1,AQ132=2)),"IEQH",""))</f>
        <v/>
      </c>
      <c r="FD132" s="2" t="str">
        <f aca="false">IF(AND(EH132="EQL",OR(AR132=4,AR132=5)),"IEQL",IF(AND(EH132="EQH",OR(AR132=1,AR132=2)),"IEQH",""))</f>
        <v/>
      </c>
      <c r="FE132" s="2" t="str">
        <f aca="false">IF(AND(EI132="EQL",OR(AS132=4,AS132=5)),"IEQL",IF(AND(EI132="EQH",OR(AS132=1,AS132=2)),"IEQH",""))</f>
        <v/>
      </c>
      <c r="FF132" s="2" t="str">
        <f aca="false">IF(AND(EJ132="EQL",OR(AT132=4,AT132=5)),"IEQL",IF(AND(EJ132="EQH",OR(AT132=1,AT132=2)),"IEQH",""))</f>
        <v>IEQL</v>
      </c>
      <c r="FG132" s="2" t="str">
        <f aca="false">IF(AND(EK132="EQL",OR(AU132=4,AU132=5)),"IEQL",IF(AND(EK132="EQH",OR(AU132=1,AU132=2)),"IEQH",""))</f>
        <v/>
      </c>
      <c r="FH132" s="2" t="str">
        <f aca="false">IF(AND(EL132="EQL",OR(AV132=4,AV132=5)),"IEQL",IF(AND(EL132="EQH",OR(AV132=1,AV132=2)),"IEQH",""))</f>
        <v/>
      </c>
      <c r="FI132" s="2" t="str">
        <f aca="false">IF(AND(EM132="EQL",OR(AW132=4,AW132=5)),"IEQL",IF(AND(EM132="EQH",OR(AW132=1,AW132=2)),"IEQH",""))</f>
        <v/>
      </c>
      <c r="FJ132" s="2" t="str">
        <f aca="false">IF(AND(EN132="EQL",OR(AX132=4,AX132=5)),"IEQL",IF(AND(EN132="EQH",OR(AX132=1,AX132=2)),"IEQH",""))</f>
        <v/>
      </c>
      <c r="FK132" s="2" t="str">
        <f aca="false">IF(AND(EO132="EQL",OR(AY132=4,AY132=5)),"IEQL",IF(AND(EO132="EQH",OR(AY132=1,AY132=2)),"IEQH",""))</f>
        <v/>
      </c>
      <c r="FL132" s="2" t="str">
        <f aca="false">IF(AND(EP132="EQL",OR(AZ132=4,AZ132=5)),"IEQL",IF(AND(EP132="EQH",OR(AZ132=1,AZ132=2)),"IEQH",""))</f>
        <v/>
      </c>
      <c r="FM132" s="2" t="str">
        <f aca="false">IF(AND(EQ132="EQL",OR(BA132=4,BA132=5)),"IEQL",IF(AND(EQ132="EQH",OR(BA132=1,BA132=2)),"IEQH",""))</f>
        <v/>
      </c>
    </row>
    <row r="133" customFormat="false" ht="14.25" hidden="false" customHeight="false" outlineLevel="0" collapsed="false">
      <c r="A133" s="1" t="n">
        <v>1779148802</v>
      </c>
      <c r="B133" s="1" t="s">
        <v>169</v>
      </c>
      <c r="C133" s="1" t="s">
        <v>170</v>
      </c>
      <c r="D133" s="1" t="n">
        <v>4578.88</v>
      </c>
      <c r="E133" s="1" t="s">
        <v>173</v>
      </c>
      <c r="F133" s="1" t="n">
        <v>4589.36</v>
      </c>
      <c r="G133" s="2" t="n">
        <f aca="false">F131</f>
        <v>4584.14</v>
      </c>
      <c r="H133" s="2" t="n">
        <f aca="false">F129</f>
        <v>4559.95</v>
      </c>
      <c r="I133" s="2" t="n">
        <f aca="false">F127</f>
        <v>4566.43</v>
      </c>
      <c r="J133" s="2" t="n">
        <f aca="false">F125</f>
        <v>4572.64</v>
      </c>
      <c r="K133" s="2" t="n">
        <f aca="false">F123</f>
        <v>4665.35</v>
      </c>
      <c r="L133" s="2" t="n">
        <f aca="false">F121</f>
        <v>4710.02</v>
      </c>
      <c r="M133" s="2" t="n">
        <f aca="false">F119</f>
        <v>4718.75</v>
      </c>
      <c r="N133" s="2" t="n">
        <f aca="false">F117</f>
        <v>4706.81</v>
      </c>
      <c r="O133" s="2" t="n">
        <f aca="false">F115</f>
        <v>4709.71</v>
      </c>
      <c r="P133" s="2" t="n">
        <f aca="false">F113</f>
        <v>4710.38</v>
      </c>
      <c r="Q133" s="2" t="n">
        <f aca="false">F111</f>
        <v>4715.35</v>
      </c>
      <c r="R133" s="1" t="n">
        <v>57.36</v>
      </c>
      <c r="S133" s="2" t="n">
        <f aca="false">R131</f>
        <v>54.13</v>
      </c>
      <c r="T133" s="2" t="n">
        <f aca="false">R129</f>
        <v>79.23</v>
      </c>
      <c r="U133" s="2" t="n">
        <f aca="false">R127</f>
        <v>54.51</v>
      </c>
      <c r="V133" s="2" t="n">
        <f aca="false">R125</f>
        <v>40.61</v>
      </c>
      <c r="W133" s="2" t="n">
        <f aca="false">R123</f>
        <v>20.95</v>
      </c>
      <c r="X133" s="2" t="n">
        <f aca="false">R121</f>
        <v>21.55</v>
      </c>
      <c r="Y133" s="2" t="n">
        <f aca="false">R119</f>
        <v>49.98</v>
      </c>
      <c r="Z133" s="2" t="n">
        <f aca="false">R117</f>
        <v>29.17</v>
      </c>
      <c r="AA133" s="2" t="n">
        <f aca="false">R115</f>
        <v>40.06</v>
      </c>
      <c r="AB133" s="2" t="n">
        <f aca="false">R113</f>
        <v>24.41</v>
      </c>
      <c r="AC133" s="2" t="n">
        <f aca="false">R111</f>
        <v>27.75</v>
      </c>
      <c r="AD133" s="1" t="n">
        <v>1.27</v>
      </c>
      <c r="AE133" s="2" t="n">
        <f aca="false">AD131</f>
        <v>1.19</v>
      </c>
      <c r="AF133" s="2" t="n">
        <f aca="false">AD129</f>
        <v>1.77</v>
      </c>
      <c r="AG133" s="2" t="n">
        <f aca="false">AD127</f>
        <v>1.21</v>
      </c>
      <c r="AH133" s="2" t="n">
        <f aca="false">AD125</f>
        <v>0.9</v>
      </c>
      <c r="AI133" s="2" t="n">
        <f aca="false">AD123</f>
        <v>0.45</v>
      </c>
      <c r="AJ133" s="2" t="n">
        <f aca="false">AD121</f>
        <v>0.46</v>
      </c>
      <c r="AK133" s="2" t="n">
        <f aca="false">AD119</f>
        <v>1.07</v>
      </c>
      <c r="AL133" s="2" t="n">
        <f aca="false">AD117</f>
        <v>0.62</v>
      </c>
      <c r="AM133" s="2" t="n">
        <f aca="false">AD115</f>
        <v>0.86</v>
      </c>
      <c r="AN133" s="2" t="n">
        <f aca="false">AD113</f>
        <v>0.52</v>
      </c>
      <c r="AO133" s="2" t="n">
        <f aca="false">AD111</f>
        <v>0.59</v>
      </c>
      <c r="AP133" s="1" t="n">
        <v>0</v>
      </c>
      <c r="AQ133" s="2" t="n">
        <f aca="false">AP131</f>
        <v>0</v>
      </c>
      <c r="AR133" s="2" t="n">
        <f aca="false">AP129</f>
        <v>0</v>
      </c>
      <c r="AS133" s="2" t="n">
        <f aca="false">AP127</f>
        <v>0</v>
      </c>
      <c r="AT133" s="2" t="n">
        <f aca="false">AP125</f>
        <v>0</v>
      </c>
      <c r="AU133" s="2" t="n">
        <f aca="false">AP123</f>
        <v>0</v>
      </c>
      <c r="AV133" s="2" t="n">
        <f aca="false">AP121</f>
        <v>0</v>
      </c>
      <c r="AW133" s="2" t="n">
        <f aca="false">AP119</f>
        <v>0</v>
      </c>
      <c r="AX133" s="2" t="n">
        <f aca="false">AP117</f>
        <v>0</v>
      </c>
      <c r="AY133" s="2" t="n">
        <f aca="false">AP115</f>
        <v>0</v>
      </c>
      <c r="AZ133" s="2" t="n">
        <f aca="false">AP113</f>
        <v>0</v>
      </c>
      <c r="BA133" s="2" t="n">
        <f aca="false">AP111</f>
        <v>0</v>
      </c>
      <c r="BB133" s="1" t="n">
        <v>32</v>
      </c>
      <c r="BC133" s="2" t="n">
        <f aca="false">BB131</f>
        <v>11</v>
      </c>
      <c r="BD133" s="2" t="n">
        <f aca="false">BB129</f>
        <v>27</v>
      </c>
      <c r="BE133" s="2" t="n">
        <f aca="false">BB127</f>
        <v>4</v>
      </c>
      <c r="BF133" s="2" t="n">
        <f aca="false">BB125</f>
        <v>4</v>
      </c>
      <c r="BG133" s="2" t="n">
        <f aca="false">BB123</f>
        <v>8</v>
      </c>
      <c r="BH133" s="2" t="n">
        <f aca="false">BB121</f>
        <v>12</v>
      </c>
      <c r="BI133" s="2" t="n">
        <f aca="false">BB119</f>
        <v>14</v>
      </c>
      <c r="BJ133" s="2" t="n">
        <f aca="false">BB117</f>
        <v>20</v>
      </c>
      <c r="BK133" s="2" t="n">
        <f aca="false">BB115</f>
        <v>10</v>
      </c>
      <c r="BL133" s="2" t="n">
        <f aca="false">BB113</f>
        <v>2</v>
      </c>
      <c r="BM133" s="2" t="n">
        <f aca="false">BB111</f>
        <v>14</v>
      </c>
      <c r="BN133" s="1" t="n">
        <v>1</v>
      </c>
      <c r="BO133" s="2" t="n">
        <f aca="false">BN131</f>
        <v>0</v>
      </c>
      <c r="BP133" s="2" t="n">
        <f aca="false">BN129</f>
        <v>0</v>
      </c>
      <c r="BQ133" s="2" t="n">
        <f aca="false">BN127</f>
        <v>0</v>
      </c>
      <c r="BR133" s="2" t="n">
        <f aca="false">BN125</f>
        <v>0</v>
      </c>
      <c r="BS133" s="2" t="n">
        <f aca="false">BN123</f>
        <v>0</v>
      </c>
      <c r="BT133" s="2" t="n">
        <f aca="false">BN121</f>
        <v>0</v>
      </c>
      <c r="BU133" s="2" t="n">
        <f aca="false">BN119</f>
        <v>0</v>
      </c>
      <c r="BV133" s="2" t="n">
        <f aca="false">BN117</f>
        <v>0</v>
      </c>
      <c r="BW133" s="2" t="n">
        <f aca="false">BN115</f>
        <v>0</v>
      </c>
      <c r="BX133" s="2" t="n">
        <f aca="false">BN113</f>
        <v>0</v>
      </c>
      <c r="BY133" s="2" t="n">
        <f aca="false">BN111</f>
        <v>0</v>
      </c>
      <c r="BZ133" s="1" t="n">
        <v>1.7925</v>
      </c>
      <c r="CA133" s="2" t="n">
        <f aca="false">BZ131</f>
        <v>4.92091</v>
      </c>
      <c r="CB133" s="2" t="n">
        <f aca="false">BZ129</f>
        <v>2.93444</v>
      </c>
      <c r="CC133" s="2" t="n">
        <f aca="false">BZ127</f>
        <v>13.6275</v>
      </c>
      <c r="CD133" s="2" t="n">
        <f aca="false">BZ125</f>
        <v>10.1525</v>
      </c>
      <c r="CE133" s="2" t="n">
        <f aca="false">BZ123</f>
        <v>2.61875</v>
      </c>
      <c r="CF133" s="2" t="n">
        <f aca="false">BZ121</f>
        <v>1.79583</v>
      </c>
      <c r="CG133" s="2" t="n">
        <f aca="false">BZ119</f>
        <v>3.57</v>
      </c>
      <c r="CH133" s="2" t="n">
        <f aca="false">BZ117</f>
        <v>1.4585</v>
      </c>
      <c r="CI133" s="2" t="n">
        <f aca="false">BZ115</f>
        <v>4.006</v>
      </c>
      <c r="CJ133" s="2" t="n">
        <f aca="false">BZ113</f>
        <v>12.205</v>
      </c>
      <c r="CK133" s="2" t="n">
        <f aca="false">BZ111</f>
        <v>1.98214</v>
      </c>
      <c r="CL133" s="1" t="n">
        <v>0</v>
      </c>
      <c r="CM133" s="2" t="n">
        <f aca="false">CL131</f>
        <v>0</v>
      </c>
      <c r="CN133" s="2" t="n">
        <f aca="false">CL129</f>
        <v>0</v>
      </c>
      <c r="CO133" s="2" t="n">
        <f aca="false">CL127</f>
        <v>2</v>
      </c>
      <c r="CP133" s="2" t="n">
        <f aca="false">CL125</f>
        <v>1</v>
      </c>
      <c r="CQ133" s="2" t="n">
        <f aca="false">CL123</f>
        <v>0</v>
      </c>
      <c r="CR133" s="2" t="n">
        <f aca="false">CL121</f>
        <v>0</v>
      </c>
      <c r="CS133" s="2" t="n">
        <f aca="false">CL119</f>
        <v>0</v>
      </c>
      <c r="CT133" s="2" t="n">
        <f aca="false">CL117</f>
        <v>0</v>
      </c>
      <c r="CU133" s="2" t="n">
        <f aca="false">CL115</f>
        <v>0</v>
      </c>
      <c r="CV133" s="2" t="n">
        <f aca="false">CL113</f>
        <v>1</v>
      </c>
      <c r="CW133" s="2" t="n">
        <f aca="false">CL111</f>
        <v>0</v>
      </c>
      <c r="CX133" s="1" t="n">
        <v>60.8437</v>
      </c>
      <c r="CY133" s="2" t="n">
        <f aca="false">CX131</f>
        <v>78.5131</v>
      </c>
      <c r="CZ133" s="2" t="n">
        <f aca="false">CX129</f>
        <v>71.1819</v>
      </c>
      <c r="DA133" s="2" t="n">
        <f aca="false">CX127</f>
        <v>85.8031</v>
      </c>
      <c r="DB133" s="2" t="n">
        <f aca="false">CX125</f>
        <v>84.3746</v>
      </c>
      <c r="DC133" s="2" t="n">
        <f aca="false">CX123</f>
        <v>69.1001</v>
      </c>
      <c r="DD133" s="2" t="n">
        <f aca="false">CX121</f>
        <v>60.889</v>
      </c>
      <c r="DE133" s="2" t="n">
        <f aca="false">CX119</f>
        <v>74.3518</v>
      </c>
      <c r="DF133" s="2" t="n">
        <f aca="false">CX117</f>
        <v>55.5641</v>
      </c>
      <c r="DG133" s="2" t="n">
        <f aca="false">CX115</f>
        <v>75.984</v>
      </c>
      <c r="DH133" s="2" t="n">
        <f aca="false">CX113</f>
        <v>85.316</v>
      </c>
      <c r="DI133" s="2" t="n">
        <f aca="false">CX111</f>
        <v>63.2288</v>
      </c>
      <c r="DJ133" s="1" t="s">
        <v>176</v>
      </c>
      <c r="DK133" s="2" t="str">
        <f aca="false">DJ131</f>
        <v>HH</v>
      </c>
      <c r="DL133" s="2" t="str">
        <f aca="false">DJ129</f>
        <v>LH</v>
      </c>
      <c r="DM133" s="2" t="str">
        <f aca="false">DJ127</f>
        <v>LH</v>
      </c>
      <c r="DN133" s="2" t="str">
        <f aca="false">DJ125</f>
        <v>LH</v>
      </c>
      <c r="DO133" s="2" t="str">
        <f aca="false">DJ123</f>
        <v>LH</v>
      </c>
      <c r="DP133" s="2" t="str">
        <f aca="false">DJ121</f>
        <v>LH</v>
      </c>
      <c r="DQ133" s="2" t="str">
        <f aca="false">DJ119</f>
        <v>HH</v>
      </c>
      <c r="DR133" s="2" t="str">
        <f aca="false">DJ117</f>
        <v>LH</v>
      </c>
      <c r="DS133" s="2" t="str">
        <f aca="false">DJ115</f>
        <v>LH</v>
      </c>
      <c r="DT133" s="2" t="str">
        <f aca="false">DJ113</f>
        <v>LH</v>
      </c>
      <c r="DU133" s="2" t="str">
        <f aca="false">DJ111</f>
        <v>LH</v>
      </c>
      <c r="DV133" s="2" t="n">
        <f aca="false">IFERROR((G133-$F133)/$F133*100,"")</f>
        <v>-0.113741349556351</v>
      </c>
      <c r="DW133" s="2" t="n">
        <f aca="false">IFERROR((H133-$F133)/$F133*100,"")</f>
        <v>-0.640830093956453</v>
      </c>
      <c r="DX133" s="2" t="n">
        <f aca="false">IFERROR((I133-$F133)/$F133*100,"")</f>
        <v>-0.499633935886472</v>
      </c>
      <c r="DY133" s="2" t="n">
        <f aca="false">IFERROR((J133-$F133)/$F133*100,"")</f>
        <v>-0.364320951069416</v>
      </c>
      <c r="DZ133" s="2" t="n">
        <f aca="false">IFERROR((K133-$F133)/$F133*100,"")</f>
        <v>1.65578642773722</v>
      </c>
      <c r="EA133" s="2" t="n">
        <f aca="false">IFERROR((L133-$F133)/$F133*100,"")</f>
        <v>2.62912475813623</v>
      </c>
      <c r="EB133" s="2" t="n">
        <f aca="false">IFERROR((M133-$F133)/$F133*100,"")</f>
        <v>2.81934735998048</v>
      </c>
      <c r="EC133" s="2" t="n">
        <f aca="false">IFERROR((N133-$F133)/$F133*100,"")</f>
        <v>2.55918036501823</v>
      </c>
      <c r="ED133" s="2" t="n">
        <f aca="false">IFERROR((O133-$F133)/$F133*100,"")</f>
        <v>2.62237000366065</v>
      </c>
      <c r="EE133" s="2" t="n">
        <f aca="false">IFERROR((P133-$F133)/$F133*100,"")</f>
        <v>2.63696898914011</v>
      </c>
      <c r="EF133" s="2" t="n">
        <f aca="false">IFERROR((Q133-$F133)/$F133*100,"")</f>
        <v>2.74526295605489</v>
      </c>
      <c r="EG133" s="2" t="str">
        <f aca="false">IF(DV133="","",IF(AND(ABS(DV133)&lt;=0.25,$E133="Bottom",DK133="LL"),"EQL",IF(AND(ABS(DV133)&lt;=0.25,$E133="Peak",DK133="HH"),"EQH","")))</f>
        <v>EQH</v>
      </c>
      <c r="EH133" s="2" t="str">
        <f aca="false">IF(DW133="","",IF(AND(ABS(DW133)&lt;=0.25,$E133="Bottom",DL133="LL"),"EQL",IF(AND(ABS(DW133)&lt;=0.25,$E133="Peak",DL133="HH"),"EQH","")))</f>
        <v/>
      </c>
      <c r="EI133" s="2" t="str">
        <f aca="false">IF(DX133="","",IF(AND(ABS(DX133)&lt;=0.25,$E133="Bottom",DM133="LL"),"EQL",IF(AND(ABS(DX133)&lt;=0.25,$E133="Peak",DM133="HH"),"EQH","")))</f>
        <v/>
      </c>
      <c r="EJ133" s="2" t="str">
        <f aca="false">IF(DY133="","",IF(AND(ABS(DY133)&lt;=0.25,$E133="Bottom",DN133="LL"),"EQL",IF(AND(ABS(DY133)&lt;=0.25,$E133="Peak",DN133="HH"),"EQH","")))</f>
        <v/>
      </c>
      <c r="EK133" s="2" t="str">
        <f aca="false">IF(DZ133="","",IF(AND(ABS(DZ133)&lt;=0.25,$E133="Bottom",DO133="LL"),"EQL",IF(AND(ABS(DZ133)&lt;=0.25,$E133="Peak",DO133="HH"),"EQH","")))</f>
        <v/>
      </c>
      <c r="EL133" s="2" t="str">
        <f aca="false">IF(EA133="","",IF(AND(ABS(EA133)&lt;=0.25,$E133="Bottom",DP133="LL"),"EQL",IF(AND(ABS(EA133)&lt;=0.25,$E133="Peak",DP133="HH"),"EQH","")))</f>
        <v/>
      </c>
      <c r="EM133" s="2" t="str">
        <f aca="false">IF(EB133="","",IF(AND(ABS(EB133)&lt;=0.25,$E133="Bottom",DQ133="LL"),"EQL",IF(AND(ABS(EB133)&lt;=0.25,$E133="Peak",DQ133="HH"),"EQH","")))</f>
        <v/>
      </c>
      <c r="EN133" s="2" t="str">
        <f aca="false">IF(EC133="","",IF(AND(ABS(EC133)&lt;=0.25,$E133="Bottom",DR133="LL"),"EQL",IF(AND(ABS(EC133)&lt;=0.25,$E133="Peak",DR133="HH"),"EQH","")))</f>
        <v/>
      </c>
      <c r="EO133" s="2" t="str">
        <f aca="false">IF(ED133="","",IF(AND(ABS(ED133)&lt;=0.25,$E133="Bottom",DS133="LL"),"EQL",IF(AND(ABS(ED133)&lt;=0.25,$E133="Peak",DS133="HH"),"EQH","")))</f>
        <v/>
      </c>
      <c r="EP133" s="2" t="str">
        <f aca="false">IF(EE133="","",IF(AND(ABS(EE133)&lt;=0.25,$E133="Bottom",DT133="LL"),"EQL",IF(AND(ABS(EE133)&lt;=0.25,$E133="Peak",DT133="HH"),"EQH","")))</f>
        <v/>
      </c>
      <c r="EQ133" s="2" t="str">
        <f aca="false">IF(EF133="","",IF(AND(ABS(EF133)&lt;=0.25,$E133="Bottom",DU133="LL"),"EQL",IF(AND(ABS(EF133)&lt;=0.25,$E133="Peak",DU133="HH"),"EQH","")))</f>
        <v/>
      </c>
      <c r="ER133" s="2" t="n">
        <f aca="false">IF(OR(EG133="EQL",EG133="EQH"),G133,"")</f>
        <v>4584.14</v>
      </c>
      <c r="ES133" s="2" t="str">
        <f aca="false">IF(OR(EH133="EQL",EH133="EQH"),H133,"")</f>
        <v/>
      </c>
      <c r="ET133" s="2" t="str">
        <f aca="false">IF(OR(EI133="EQL",EI133="EQH"),I133,"")</f>
        <v/>
      </c>
      <c r="EU133" s="2" t="str">
        <f aca="false">IF(OR(EJ133="EQL",EJ133="EQH"),J133,"")</f>
        <v/>
      </c>
      <c r="EV133" s="2" t="str">
        <f aca="false">IF(OR(EK133="EQL",EK133="EQH"),K133,"")</f>
        <v/>
      </c>
      <c r="EW133" s="2" t="str">
        <f aca="false">IF(OR(EL133="EQL",EL133="EQH"),L133,"")</f>
        <v/>
      </c>
      <c r="EX133" s="2" t="str">
        <f aca="false">IF(OR(EM133="EQL",EM133="EQH"),M133,"")</f>
        <v/>
      </c>
      <c r="EY133" s="2" t="str">
        <f aca="false">IF(OR(EN133="EQL",EN133="EQH"),N133,"")</f>
        <v/>
      </c>
      <c r="EZ133" s="2" t="str">
        <f aca="false">IF(OR(EO133="EQL",EO133="EQH"),O133,"")</f>
        <v/>
      </c>
      <c r="FA133" s="2" t="str">
        <f aca="false">IF(OR(EP133="EQL",EP133="EQH"),P133,"")</f>
        <v/>
      </c>
      <c r="FB133" s="2" t="str">
        <f aca="false">IF(OR(EQ133="EQL",EQ133="EQH"),Q133,"")</f>
        <v/>
      </c>
      <c r="FC133" s="2" t="str">
        <f aca="false">IF(AND(EG133="EQL",OR(AQ133=4,AQ133=5)),"IEQL",IF(AND(EG133="EQH",OR(AQ133=1,AQ133=2)),"IEQH",""))</f>
        <v/>
      </c>
      <c r="FD133" s="2" t="str">
        <f aca="false">IF(AND(EH133="EQL",OR(AR133=4,AR133=5)),"IEQL",IF(AND(EH133="EQH",OR(AR133=1,AR133=2)),"IEQH",""))</f>
        <v/>
      </c>
      <c r="FE133" s="2" t="str">
        <f aca="false">IF(AND(EI133="EQL",OR(AS133=4,AS133=5)),"IEQL",IF(AND(EI133="EQH",OR(AS133=1,AS133=2)),"IEQH",""))</f>
        <v/>
      </c>
      <c r="FF133" s="2" t="str">
        <f aca="false">IF(AND(EJ133="EQL",OR(AT133=4,AT133=5)),"IEQL",IF(AND(EJ133="EQH",OR(AT133=1,AT133=2)),"IEQH",""))</f>
        <v/>
      </c>
      <c r="FG133" s="2" t="str">
        <f aca="false">IF(AND(EK133="EQL",OR(AU133=4,AU133=5)),"IEQL",IF(AND(EK133="EQH",OR(AU133=1,AU133=2)),"IEQH",""))</f>
        <v/>
      </c>
      <c r="FH133" s="2" t="str">
        <f aca="false">IF(AND(EL133="EQL",OR(AV133=4,AV133=5)),"IEQL",IF(AND(EL133="EQH",OR(AV133=1,AV133=2)),"IEQH",""))</f>
        <v/>
      </c>
      <c r="FI133" s="2" t="str">
        <f aca="false">IF(AND(EM133="EQL",OR(AW133=4,AW133=5)),"IEQL",IF(AND(EM133="EQH",OR(AW133=1,AW133=2)),"IEQH",""))</f>
        <v/>
      </c>
      <c r="FJ133" s="2" t="str">
        <f aca="false">IF(AND(EN133="EQL",OR(AX133=4,AX133=5)),"IEQL",IF(AND(EN133="EQH",OR(AX133=1,AX133=2)),"IEQH",""))</f>
        <v/>
      </c>
      <c r="FK133" s="2" t="str">
        <f aca="false">IF(AND(EO133="EQL",OR(AY133=4,AY133=5)),"IEQL",IF(AND(EO133="EQH",OR(AY133=1,AY133=2)),"IEQH",""))</f>
        <v/>
      </c>
      <c r="FL133" s="2" t="str">
        <f aca="false">IF(AND(EP133="EQL",OR(AZ133=4,AZ133=5)),"IEQL",IF(AND(EP133="EQH",OR(AZ133=1,AZ133=2)),"IEQH",""))</f>
        <v/>
      </c>
      <c r="FM133" s="2" t="str">
        <f aca="false">IF(AND(EQ133="EQL",OR(BA133=4,BA133=5)),"IEQL",IF(AND(EQ133="EQH",OR(BA133=1,BA133=2)),"IEQH",""))</f>
        <v/>
      </c>
    </row>
    <row r="134" customFormat="false" ht="14.25" hidden="false" customHeight="false" outlineLevel="0" collapsed="false">
      <c r="A134" s="1" t="n">
        <v>1779167702</v>
      </c>
      <c r="B134" s="1" t="s">
        <v>169</v>
      </c>
      <c r="C134" s="1" t="s">
        <v>170</v>
      </c>
      <c r="D134" s="1" t="n">
        <v>4538.61</v>
      </c>
      <c r="E134" s="1" t="s">
        <v>171</v>
      </c>
      <c r="F134" s="1" t="n">
        <v>4531.31</v>
      </c>
      <c r="G134" s="2" t="n">
        <f aca="false">F132</f>
        <v>4532</v>
      </c>
      <c r="H134" s="2" t="n">
        <f aca="false">F130</f>
        <v>4530.01</v>
      </c>
      <c r="I134" s="2" t="n">
        <f aca="false">F128</f>
        <v>4480.72</v>
      </c>
      <c r="J134" s="2" t="n">
        <f aca="false">F126</f>
        <v>4511.92</v>
      </c>
      <c r="K134" s="2" t="n">
        <f aca="false">F124</f>
        <v>4532.03</v>
      </c>
      <c r="L134" s="2" t="n">
        <f aca="false">F122</f>
        <v>4644.4</v>
      </c>
      <c r="M134" s="2" t="n">
        <f aca="false">F120</f>
        <v>4688.47</v>
      </c>
      <c r="N134" s="2" t="n">
        <f aca="false">F118</f>
        <v>4668.77</v>
      </c>
      <c r="O134" s="2" t="n">
        <f aca="false">F116</f>
        <v>4677.64</v>
      </c>
      <c r="P134" s="2" t="n">
        <f aca="false">F114</f>
        <v>4669.65</v>
      </c>
      <c r="Q134" s="2" t="n">
        <f aca="false">F112</f>
        <v>4685.97</v>
      </c>
      <c r="R134" s="1" t="n">
        <v>-58.05</v>
      </c>
      <c r="S134" s="2" t="n">
        <f aca="false">R132</f>
        <v>-52.14</v>
      </c>
      <c r="T134" s="2" t="n">
        <f aca="false">R130</f>
        <v>-29.94</v>
      </c>
      <c r="U134" s="2" t="n">
        <f aca="false">R128</f>
        <v>-85.71</v>
      </c>
      <c r="V134" s="2" t="n">
        <f aca="false">R126</f>
        <v>-60.72</v>
      </c>
      <c r="W134" s="2" t="n">
        <f aca="false">R124</f>
        <v>-133.32</v>
      </c>
      <c r="X134" s="2" t="n">
        <f aca="false">R122</f>
        <v>-65.62</v>
      </c>
      <c r="Y134" s="2" t="n">
        <f aca="false">R120</f>
        <v>-30.28</v>
      </c>
      <c r="Z134" s="2" t="n">
        <f aca="false">R118</f>
        <v>-38.04</v>
      </c>
      <c r="AA134" s="2" t="n">
        <f aca="false">R116</f>
        <v>-32.07</v>
      </c>
      <c r="AB134" s="2" t="n">
        <f aca="false">R114</f>
        <v>-40.73</v>
      </c>
      <c r="AC134" s="2" t="n">
        <f aca="false">R112</f>
        <v>-29.38</v>
      </c>
      <c r="AD134" s="1" t="n">
        <v>-1.26</v>
      </c>
      <c r="AE134" s="2" t="n">
        <f aca="false">AD132</f>
        <v>-1.14</v>
      </c>
      <c r="AF134" s="2" t="n">
        <f aca="false">AD130</f>
        <v>-0.66</v>
      </c>
      <c r="AG134" s="2" t="n">
        <f aca="false">AD128</f>
        <v>-1.88</v>
      </c>
      <c r="AH134" s="2" t="n">
        <f aca="false">AD126</f>
        <v>-1.33</v>
      </c>
      <c r="AI134" s="2" t="n">
        <f aca="false">AD124</f>
        <v>-2.86</v>
      </c>
      <c r="AJ134" s="2" t="n">
        <f aca="false">AD122</f>
        <v>-1.39</v>
      </c>
      <c r="AK134" s="2" t="n">
        <f aca="false">AD120</f>
        <v>-0.64</v>
      </c>
      <c r="AL134" s="2" t="n">
        <f aca="false">AD118</f>
        <v>-0.81</v>
      </c>
      <c r="AM134" s="2" t="n">
        <f aca="false">AD116</f>
        <v>-0.68</v>
      </c>
      <c r="AN134" s="2" t="n">
        <f aca="false">AD114</f>
        <v>-0.86</v>
      </c>
      <c r="AO134" s="2" t="n">
        <f aca="false">AD112</f>
        <v>-0.62</v>
      </c>
      <c r="AP134" s="1" t="n">
        <v>3</v>
      </c>
      <c r="AQ134" s="2" t="n">
        <f aca="false">AP132</f>
        <v>3</v>
      </c>
      <c r="AR134" s="2" t="n">
        <f aca="false">AP130</f>
        <v>3</v>
      </c>
      <c r="AS134" s="2" t="n">
        <f aca="false">AP128</f>
        <v>3</v>
      </c>
      <c r="AT134" s="2" t="n">
        <f aca="false">AP126</f>
        <v>3</v>
      </c>
      <c r="AU134" s="2" t="n">
        <f aca="false">AP124</f>
        <v>5</v>
      </c>
      <c r="AV134" s="2" t="n">
        <f aca="false">AP122</f>
        <v>3</v>
      </c>
      <c r="AW134" s="2" t="n">
        <f aca="false">AP120</f>
        <v>3</v>
      </c>
      <c r="AX134" s="2" t="n">
        <f aca="false">AP118</f>
        <v>3</v>
      </c>
      <c r="AY134" s="2" t="n">
        <f aca="false">AP116</f>
        <v>3</v>
      </c>
      <c r="AZ134" s="2" t="n">
        <f aca="false">AP114</f>
        <v>3</v>
      </c>
      <c r="BA134" s="2" t="n">
        <f aca="false">AP112</f>
        <v>3</v>
      </c>
      <c r="BB134" s="1" t="n">
        <v>21</v>
      </c>
      <c r="BC134" s="2" t="n">
        <f aca="false">BB132</f>
        <v>5</v>
      </c>
      <c r="BD134" s="2" t="n">
        <f aca="false">BB130</f>
        <v>14</v>
      </c>
      <c r="BE134" s="2" t="n">
        <f aca="false">BB128</f>
        <v>36</v>
      </c>
      <c r="BF134" s="2" t="n">
        <f aca="false">BB126</f>
        <v>12</v>
      </c>
      <c r="BG134" s="2" t="n">
        <f aca="false">BB124</f>
        <v>41</v>
      </c>
      <c r="BH134" s="2" t="n">
        <f aca="false">BB122</f>
        <v>32</v>
      </c>
      <c r="BI134" s="2" t="n">
        <f aca="false">BB120</f>
        <v>8</v>
      </c>
      <c r="BJ134" s="2" t="n">
        <f aca="false">BB118</f>
        <v>13</v>
      </c>
      <c r="BK134" s="2" t="n">
        <f aca="false">BB116</f>
        <v>10</v>
      </c>
      <c r="BL134" s="2" t="n">
        <f aca="false">BB114</f>
        <v>15</v>
      </c>
      <c r="BM134" s="2" t="n">
        <f aca="false">BB112</f>
        <v>13</v>
      </c>
      <c r="BN134" s="1" t="n">
        <v>3</v>
      </c>
      <c r="BO134" s="2" t="n">
        <f aca="false">BN132</f>
        <v>3</v>
      </c>
      <c r="BP134" s="2" t="n">
        <f aca="false">BN130</f>
        <v>3</v>
      </c>
      <c r="BQ134" s="2" t="n">
        <f aca="false">BN128</f>
        <v>4</v>
      </c>
      <c r="BR134" s="2" t="n">
        <f aca="false">BN126</f>
        <v>3</v>
      </c>
      <c r="BS134" s="2" t="n">
        <f aca="false">BN124</f>
        <v>5</v>
      </c>
      <c r="BT134" s="2" t="n">
        <f aca="false">BN122</f>
        <v>4</v>
      </c>
      <c r="BU134" s="2" t="n">
        <f aca="false">BN120</f>
        <v>3</v>
      </c>
      <c r="BV134" s="2" t="n">
        <f aca="false">BN118</f>
        <v>3</v>
      </c>
      <c r="BW134" s="2" t="n">
        <f aca="false">BN116</f>
        <v>3</v>
      </c>
      <c r="BX134" s="2" t="n">
        <f aca="false">BN114</f>
        <v>3</v>
      </c>
      <c r="BY134" s="2" t="n">
        <f aca="false">BN112</f>
        <v>3</v>
      </c>
      <c r="BZ134" s="1" t="n">
        <v>-2.76429</v>
      </c>
      <c r="CA134" s="2" t="n">
        <f aca="false">BZ132</f>
        <v>-10.428</v>
      </c>
      <c r="CB134" s="2" t="n">
        <f aca="false">BZ130</f>
        <v>-2.13857</v>
      </c>
      <c r="CC134" s="2" t="n">
        <f aca="false">BZ128</f>
        <v>-2.38083</v>
      </c>
      <c r="CD134" s="2" t="n">
        <f aca="false">BZ126</f>
        <v>-5.06</v>
      </c>
      <c r="CE134" s="2" t="n">
        <f aca="false">BZ124</f>
        <v>-3.25171</v>
      </c>
      <c r="CF134" s="2" t="n">
        <f aca="false">BZ122</f>
        <v>-2.05063</v>
      </c>
      <c r="CG134" s="2" t="n">
        <f aca="false">BZ120</f>
        <v>-3.785</v>
      </c>
      <c r="CH134" s="2" t="n">
        <f aca="false">BZ118</f>
        <v>-2.92615</v>
      </c>
      <c r="CI134" s="2" t="n">
        <f aca="false">BZ116</f>
        <v>-3.207</v>
      </c>
      <c r="CJ134" s="2" t="n">
        <f aca="false">BZ114</f>
        <v>-2.71533</v>
      </c>
      <c r="CK134" s="2" t="n">
        <f aca="false">BZ112</f>
        <v>-2.26</v>
      </c>
      <c r="CL134" s="1" t="n">
        <v>3</v>
      </c>
      <c r="CM134" s="2" t="n">
        <f aca="false">CL132</f>
        <v>4</v>
      </c>
      <c r="CN134" s="2" t="n">
        <f aca="false">CL130</f>
        <v>3</v>
      </c>
      <c r="CO134" s="2" t="n">
        <f aca="false">CL128</f>
        <v>3</v>
      </c>
      <c r="CP134" s="2" t="n">
        <f aca="false">CL126</f>
        <v>3</v>
      </c>
      <c r="CQ134" s="2" t="n">
        <f aca="false">CL124</f>
        <v>3</v>
      </c>
      <c r="CR134" s="2" t="n">
        <f aca="false">CL122</f>
        <v>3</v>
      </c>
      <c r="CS134" s="2" t="n">
        <f aca="false">CL120</f>
        <v>3</v>
      </c>
      <c r="CT134" s="2" t="n">
        <f aca="false">CL118</f>
        <v>3</v>
      </c>
      <c r="CU134" s="2" t="n">
        <f aca="false">CL116</f>
        <v>3</v>
      </c>
      <c r="CV134" s="2" t="n">
        <f aca="false">CL114</f>
        <v>3</v>
      </c>
      <c r="CW134" s="2" t="n">
        <f aca="false">CL112</f>
        <v>3</v>
      </c>
      <c r="CX134" s="1" t="n">
        <v>-70.112</v>
      </c>
      <c r="CY134" s="2" t="n">
        <f aca="false">CX132</f>
        <v>-84.5223</v>
      </c>
      <c r="CZ134" s="2" t="n">
        <f aca="false">CX130</f>
        <v>-64.9391</v>
      </c>
      <c r="DA134" s="2" t="n">
        <f aca="false">CX128</f>
        <v>-67.2166</v>
      </c>
      <c r="DB134" s="2" t="n">
        <f aca="false">CX126</f>
        <v>-78.8208</v>
      </c>
      <c r="DC134" s="2" t="n">
        <f aca="false">CX124</f>
        <v>-72.9057</v>
      </c>
      <c r="DD134" s="2" t="n">
        <f aca="false">CX122</f>
        <v>-64.0035</v>
      </c>
      <c r="DE134" s="2" t="n">
        <f aca="false">CX120</f>
        <v>-75.2006</v>
      </c>
      <c r="DF134" s="2" t="n">
        <f aca="false">CX118</f>
        <v>-71.1324</v>
      </c>
      <c r="DG134" s="2" t="n">
        <f aca="false">CX116</f>
        <v>-72.6816</v>
      </c>
      <c r="DH134" s="2" t="n">
        <f aca="false">CX114</f>
        <v>-69.7823</v>
      </c>
      <c r="DI134" s="2" t="n">
        <f aca="false">CX112</f>
        <v>-66.1317</v>
      </c>
      <c r="DJ134" s="1" t="s">
        <v>172</v>
      </c>
      <c r="DK134" s="2" t="str">
        <f aca="false">DJ132</f>
        <v>HL</v>
      </c>
      <c r="DL134" s="2" t="str">
        <f aca="false">DJ130</f>
        <v>HL</v>
      </c>
      <c r="DM134" s="2" t="str">
        <f aca="false">DJ128</f>
        <v>LL</v>
      </c>
      <c r="DN134" s="2" t="str">
        <f aca="false">DJ126</f>
        <v>LL</v>
      </c>
      <c r="DO134" s="2" t="str">
        <f aca="false">DJ124</f>
        <v>LL</v>
      </c>
      <c r="DP134" s="2" t="str">
        <f aca="false">DJ122</f>
        <v>LL</v>
      </c>
      <c r="DQ134" s="2" t="str">
        <f aca="false">DJ120</f>
        <v>HL</v>
      </c>
      <c r="DR134" s="2" t="str">
        <f aca="false">DJ118</f>
        <v>LL</v>
      </c>
      <c r="DS134" s="2" t="str">
        <f aca="false">DJ116</f>
        <v>HL</v>
      </c>
      <c r="DT134" s="2" t="str">
        <f aca="false">DJ114</f>
        <v>LL</v>
      </c>
      <c r="DU134" s="2" t="str">
        <f aca="false">DJ112</f>
        <v>LL</v>
      </c>
      <c r="DV134" s="2" t="n">
        <f aca="false">IFERROR((G134-$F134)/$F134*100,"")</f>
        <v>0.0152273845753127</v>
      </c>
      <c r="DW134" s="2" t="n">
        <f aca="false">IFERROR((H134-$F134)/$F134*100,"")</f>
        <v>-0.0286892752868416</v>
      </c>
      <c r="DX134" s="2" t="n">
        <f aca="false">IFERROR((I134-$F134)/$F134*100,"")</f>
        <v>-1.11645418212394</v>
      </c>
      <c r="DY134" s="2" t="n">
        <f aca="false">IFERROR((J134-$F134)/$F134*100,"")</f>
        <v>-0.427911575239838</v>
      </c>
      <c r="DZ134" s="2" t="n">
        <f aca="false">IFERROR((K134-$F134)/$F134*100,"")</f>
        <v>0.0158894447742341</v>
      </c>
      <c r="EA134" s="2" t="n">
        <f aca="false">IFERROR((L134-$F134)/$F134*100,"")</f>
        <v>2.49574626322188</v>
      </c>
      <c r="EB134" s="2" t="n">
        <f aca="false">IFERROR((M134-$F134)/$F134*100,"")</f>
        <v>3.46831269544568</v>
      </c>
      <c r="EC134" s="2" t="n">
        <f aca="false">IFERROR((N134-$F134)/$F134*100,"")</f>
        <v>3.03355983148361</v>
      </c>
      <c r="ED134" s="2" t="n">
        <f aca="false">IFERROR((O134-$F134)/$F134*100,"")</f>
        <v>3.22930896363303</v>
      </c>
      <c r="EE134" s="2" t="n">
        <f aca="false">IFERROR((P134-$F134)/$F134*100,"")</f>
        <v>3.05298026398545</v>
      </c>
      <c r="EF134" s="2" t="n">
        <f aca="false">IFERROR((Q134-$F134)/$F134*100,"")</f>
        <v>3.41314101220177</v>
      </c>
      <c r="EG134" s="2" t="str">
        <f aca="false">IF(DV134="","",IF(AND(ABS(DV134)&lt;=0.25,$E134="Bottom",DK134="LL"),"EQL",IF(AND(ABS(DV134)&lt;=0.25,$E134="Peak",DK134="HH"),"EQH","")))</f>
        <v/>
      </c>
      <c r="EH134" s="2" t="str">
        <f aca="false">IF(DW134="","",IF(AND(ABS(DW134)&lt;=0.25,$E134="Bottom",DL134="LL"),"EQL",IF(AND(ABS(DW134)&lt;=0.25,$E134="Peak",DL134="HH"),"EQH","")))</f>
        <v/>
      </c>
      <c r="EI134" s="2" t="str">
        <f aca="false">IF(DX134="","",IF(AND(ABS(DX134)&lt;=0.25,$E134="Bottom",DM134="LL"),"EQL",IF(AND(ABS(DX134)&lt;=0.25,$E134="Peak",DM134="HH"),"EQH","")))</f>
        <v/>
      </c>
      <c r="EJ134" s="2" t="str">
        <f aca="false">IF(DY134="","",IF(AND(ABS(DY134)&lt;=0.25,$E134="Bottom",DN134="LL"),"EQL",IF(AND(ABS(DY134)&lt;=0.25,$E134="Peak",DN134="HH"),"EQH","")))</f>
        <v/>
      </c>
      <c r="EK134" s="2" t="str">
        <f aca="false">IF(DZ134="","",IF(AND(ABS(DZ134)&lt;=0.25,$E134="Bottom",DO134="LL"),"EQL",IF(AND(ABS(DZ134)&lt;=0.25,$E134="Peak",DO134="HH"),"EQH","")))</f>
        <v>EQL</v>
      </c>
      <c r="EL134" s="2" t="str">
        <f aca="false">IF(EA134="","",IF(AND(ABS(EA134)&lt;=0.25,$E134="Bottom",DP134="LL"),"EQL",IF(AND(ABS(EA134)&lt;=0.25,$E134="Peak",DP134="HH"),"EQH","")))</f>
        <v/>
      </c>
      <c r="EM134" s="2" t="str">
        <f aca="false">IF(EB134="","",IF(AND(ABS(EB134)&lt;=0.25,$E134="Bottom",DQ134="LL"),"EQL",IF(AND(ABS(EB134)&lt;=0.25,$E134="Peak",DQ134="HH"),"EQH","")))</f>
        <v/>
      </c>
      <c r="EN134" s="2" t="str">
        <f aca="false">IF(EC134="","",IF(AND(ABS(EC134)&lt;=0.25,$E134="Bottom",DR134="LL"),"EQL",IF(AND(ABS(EC134)&lt;=0.25,$E134="Peak",DR134="HH"),"EQH","")))</f>
        <v/>
      </c>
      <c r="EO134" s="2" t="str">
        <f aca="false">IF(ED134="","",IF(AND(ABS(ED134)&lt;=0.25,$E134="Bottom",DS134="LL"),"EQL",IF(AND(ABS(ED134)&lt;=0.25,$E134="Peak",DS134="HH"),"EQH","")))</f>
        <v/>
      </c>
      <c r="EP134" s="2" t="str">
        <f aca="false">IF(EE134="","",IF(AND(ABS(EE134)&lt;=0.25,$E134="Bottom",DT134="LL"),"EQL",IF(AND(ABS(EE134)&lt;=0.25,$E134="Peak",DT134="HH"),"EQH","")))</f>
        <v/>
      </c>
      <c r="EQ134" s="2" t="str">
        <f aca="false">IF(EF134="","",IF(AND(ABS(EF134)&lt;=0.25,$E134="Bottom",DU134="LL"),"EQL",IF(AND(ABS(EF134)&lt;=0.25,$E134="Peak",DU134="HH"),"EQH","")))</f>
        <v/>
      </c>
      <c r="ER134" s="2" t="str">
        <f aca="false">IF(OR(EG134="EQL",EG134="EQH"),G134,"")</f>
        <v/>
      </c>
      <c r="ES134" s="2" t="str">
        <f aca="false">IF(OR(EH134="EQL",EH134="EQH"),H134,"")</f>
        <v/>
      </c>
      <c r="ET134" s="2" t="str">
        <f aca="false">IF(OR(EI134="EQL",EI134="EQH"),I134,"")</f>
        <v/>
      </c>
      <c r="EU134" s="2" t="str">
        <f aca="false">IF(OR(EJ134="EQL",EJ134="EQH"),J134,"")</f>
        <v/>
      </c>
      <c r="EV134" s="2" t="n">
        <f aca="false">IF(OR(EK134="EQL",EK134="EQH"),K134,"")</f>
        <v>4532.03</v>
      </c>
      <c r="EW134" s="2" t="str">
        <f aca="false">IF(OR(EL134="EQL",EL134="EQH"),L134,"")</f>
        <v/>
      </c>
      <c r="EX134" s="2" t="str">
        <f aca="false">IF(OR(EM134="EQL",EM134="EQH"),M134,"")</f>
        <v/>
      </c>
      <c r="EY134" s="2" t="str">
        <f aca="false">IF(OR(EN134="EQL",EN134="EQH"),N134,"")</f>
        <v/>
      </c>
      <c r="EZ134" s="2" t="str">
        <f aca="false">IF(OR(EO134="EQL",EO134="EQH"),O134,"")</f>
        <v/>
      </c>
      <c r="FA134" s="2" t="str">
        <f aca="false">IF(OR(EP134="EQL",EP134="EQH"),P134,"")</f>
        <v/>
      </c>
      <c r="FB134" s="2" t="str">
        <f aca="false">IF(OR(EQ134="EQL",EQ134="EQH"),Q134,"")</f>
        <v/>
      </c>
      <c r="FC134" s="2" t="str">
        <f aca="false">IF(AND(EG134="EQL",OR(AQ134=4,AQ134=5)),"IEQL",IF(AND(EG134="EQH",OR(AQ134=1,AQ134=2)),"IEQH",""))</f>
        <v/>
      </c>
      <c r="FD134" s="2" t="str">
        <f aca="false">IF(AND(EH134="EQL",OR(AR134=4,AR134=5)),"IEQL",IF(AND(EH134="EQH",OR(AR134=1,AR134=2)),"IEQH",""))</f>
        <v/>
      </c>
      <c r="FE134" s="2" t="str">
        <f aca="false">IF(AND(EI134="EQL",OR(AS134=4,AS134=5)),"IEQL",IF(AND(EI134="EQH",OR(AS134=1,AS134=2)),"IEQH",""))</f>
        <v/>
      </c>
      <c r="FF134" s="2" t="str">
        <f aca="false">IF(AND(EJ134="EQL",OR(AT134=4,AT134=5)),"IEQL",IF(AND(EJ134="EQH",OR(AT134=1,AT134=2)),"IEQH",""))</f>
        <v/>
      </c>
      <c r="FG134" s="2" t="str">
        <f aca="false">IF(AND(EK134="EQL",OR(AU134=4,AU134=5)),"IEQL",IF(AND(EK134="EQH",OR(AU134=1,AU134=2)),"IEQH",""))</f>
        <v>IEQL</v>
      </c>
      <c r="FH134" s="2" t="str">
        <f aca="false">IF(AND(EL134="EQL",OR(AV134=4,AV134=5)),"IEQL",IF(AND(EL134="EQH",OR(AV134=1,AV134=2)),"IEQH",""))</f>
        <v/>
      </c>
      <c r="FI134" s="2" t="str">
        <f aca="false">IF(AND(EM134="EQL",OR(AW134=4,AW134=5)),"IEQL",IF(AND(EM134="EQH",OR(AW134=1,AW134=2)),"IEQH",""))</f>
        <v/>
      </c>
      <c r="FJ134" s="2" t="str">
        <f aca="false">IF(AND(EN134="EQL",OR(AX134=4,AX134=5)),"IEQL",IF(AND(EN134="EQH",OR(AX134=1,AX134=2)),"IEQH",""))</f>
        <v/>
      </c>
      <c r="FK134" s="2" t="str">
        <f aca="false">IF(AND(EO134="EQL",OR(AY134=4,AY134=5)),"IEQL",IF(AND(EO134="EQH",OR(AY134=1,AY134=2)),"IEQH",""))</f>
        <v/>
      </c>
      <c r="FL134" s="2" t="str">
        <f aca="false">IF(AND(EP134="EQL",OR(AZ134=4,AZ134=5)),"IEQL",IF(AND(EP134="EQH",OR(AZ134=1,AZ134=2)),"IEQH",""))</f>
        <v/>
      </c>
      <c r="FM134" s="2" t="str">
        <f aca="false">IF(AND(EQ134="EQL",OR(BA134=4,BA134=5)),"IEQL",IF(AND(EQ134="EQH",OR(BA134=1,BA134=2)),"IEQH",""))</f>
        <v/>
      </c>
    </row>
    <row r="135" customFormat="false" ht="14.25" hidden="false" customHeight="false" outlineLevel="0" collapsed="false">
      <c r="A135" s="1" t="n">
        <v>1779176702</v>
      </c>
      <c r="B135" s="1" t="s">
        <v>169</v>
      </c>
      <c r="C135" s="1" t="s">
        <v>170</v>
      </c>
      <c r="D135" s="1" t="n">
        <v>4557.24</v>
      </c>
      <c r="E135" s="1" t="s">
        <v>173</v>
      </c>
      <c r="F135" s="1" t="n">
        <v>4559.38</v>
      </c>
      <c r="G135" s="2" t="n">
        <f aca="false">F133</f>
        <v>4589.36</v>
      </c>
      <c r="H135" s="2" t="n">
        <f aca="false">F131</f>
        <v>4584.14</v>
      </c>
      <c r="I135" s="2" t="n">
        <f aca="false">F129</f>
        <v>4559.95</v>
      </c>
      <c r="J135" s="2" t="n">
        <f aca="false">F127</f>
        <v>4566.43</v>
      </c>
      <c r="K135" s="2" t="n">
        <f aca="false">F125</f>
        <v>4572.64</v>
      </c>
      <c r="L135" s="2" t="n">
        <f aca="false">F123</f>
        <v>4665.35</v>
      </c>
      <c r="M135" s="2" t="n">
        <f aca="false">F121</f>
        <v>4710.02</v>
      </c>
      <c r="N135" s="2" t="n">
        <f aca="false">F119</f>
        <v>4718.75</v>
      </c>
      <c r="O135" s="2" t="n">
        <f aca="false">F117</f>
        <v>4706.81</v>
      </c>
      <c r="P135" s="2" t="n">
        <f aca="false">F115</f>
        <v>4709.71</v>
      </c>
      <c r="Q135" s="2" t="n">
        <f aca="false">F113</f>
        <v>4710.38</v>
      </c>
      <c r="R135" s="1" t="n">
        <v>28.07</v>
      </c>
      <c r="S135" s="2" t="n">
        <f aca="false">R133</f>
        <v>57.36</v>
      </c>
      <c r="T135" s="2" t="n">
        <f aca="false">R131</f>
        <v>54.13</v>
      </c>
      <c r="U135" s="2" t="n">
        <f aca="false">R129</f>
        <v>79.23</v>
      </c>
      <c r="V135" s="2" t="n">
        <f aca="false">R127</f>
        <v>54.51</v>
      </c>
      <c r="W135" s="2" t="n">
        <f aca="false">R125</f>
        <v>40.61</v>
      </c>
      <c r="X135" s="2" t="n">
        <f aca="false">R123</f>
        <v>20.95</v>
      </c>
      <c r="Y135" s="2" t="n">
        <f aca="false">R121</f>
        <v>21.55</v>
      </c>
      <c r="Z135" s="2" t="n">
        <f aca="false">R119</f>
        <v>49.98</v>
      </c>
      <c r="AA135" s="2" t="n">
        <f aca="false">R117</f>
        <v>29.17</v>
      </c>
      <c r="AB135" s="2" t="n">
        <f aca="false">R115</f>
        <v>40.06</v>
      </c>
      <c r="AC135" s="2" t="n">
        <f aca="false">R113</f>
        <v>24.41</v>
      </c>
      <c r="AD135" s="1" t="n">
        <v>0.62</v>
      </c>
      <c r="AE135" s="2" t="n">
        <f aca="false">AD133</f>
        <v>1.27</v>
      </c>
      <c r="AF135" s="2" t="n">
        <f aca="false">AD131</f>
        <v>1.19</v>
      </c>
      <c r="AG135" s="2" t="n">
        <f aca="false">AD129</f>
        <v>1.77</v>
      </c>
      <c r="AH135" s="2" t="n">
        <f aca="false">AD127</f>
        <v>1.21</v>
      </c>
      <c r="AI135" s="2" t="n">
        <f aca="false">AD125</f>
        <v>0.9</v>
      </c>
      <c r="AJ135" s="2" t="n">
        <f aca="false">AD123</f>
        <v>0.45</v>
      </c>
      <c r="AK135" s="2" t="n">
        <f aca="false">AD121</f>
        <v>0.46</v>
      </c>
      <c r="AL135" s="2" t="n">
        <f aca="false">AD119</f>
        <v>1.07</v>
      </c>
      <c r="AM135" s="2" t="n">
        <f aca="false">AD117</f>
        <v>0.62</v>
      </c>
      <c r="AN135" s="2" t="n">
        <f aca="false">AD115</f>
        <v>0.86</v>
      </c>
      <c r="AO135" s="2" t="n">
        <f aca="false">AD113</f>
        <v>0.52</v>
      </c>
      <c r="AP135" s="1" t="n">
        <v>0</v>
      </c>
      <c r="AQ135" s="2" t="n">
        <f aca="false">AP133</f>
        <v>0</v>
      </c>
      <c r="AR135" s="2" t="n">
        <f aca="false">AP131</f>
        <v>0</v>
      </c>
      <c r="AS135" s="2" t="n">
        <f aca="false">AP129</f>
        <v>0</v>
      </c>
      <c r="AT135" s="2" t="n">
        <f aca="false">AP127</f>
        <v>0</v>
      </c>
      <c r="AU135" s="2" t="n">
        <f aca="false">AP125</f>
        <v>0</v>
      </c>
      <c r="AV135" s="2" t="n">
        <f aca="false">AP123</f>
        <v>0</v>
      </c>
      <c r="AW135" s="2" t="n">
        <f aca="false">AP121</f>
        <v>0</v>
      </c>
      <c r="AX135" s="2" t="n">
        <f aca="false">AP119</f>
        <v>0</v>
      </c>
      <c r="AY135" s="2" t="n">
        <f aca="false">AP117</f>
        <v>0</v>
      </c>
      <c r="AZ135" s="2" t="n">
        <f aca="false">AP115</f>
        <v>0</v>
      </c>
      <c r="BA135" s="2" t="n">
        <f aca="false">AP113</f>
        <v>0</v>
      </c>
      <c r="BB135" s="1" t="n">
        <v>10</v>
      </c>
      <c r="BC135" s="2" t="n">
        <f aca="false">BB133</f>
        <v>32</v>
      </c>
      <c r="BD135" s="2" t="n">
        <f aca="false">BB131</f>
        <v>11</v>
      </c>
      <c r="BE135" s="2" t="n">
        <f aca="false">BB129</f>
        <v>27</v>
      </c>
      <c r="BF135" s="2" t="n">
        <f aca="false">BB127</f>
        <v>4</v>
      </c>
      <c r="BG135" s="2" t="n">
        <f aca="false">BB125</f>
        <v>4</v>
      </c>
      <c r="BH135" s="2" t="n">
        <f aca="false">BB123</f>
        <v>8</v>
      </c>
      <c r="BI135" s="2" t="n">
        <f aca="false">BB121</f>
        <v>12</v>
      </c>
      <c r="BJ135" s="2" t="n">
        <f aca="false">BB119</f>
        <v>14</v>
      </c>
      <c r="BK135" s="2" t="n">
        <f aca="false">BB117</f>
        <v>20</v>
      </c>
      <c r="BL135" s="2" t="n">
        <f aca="false">BB115</f>
        <v>10</v>
      </c>
      <c r="BM135" s="2" t="n">
        <f aca="false">BB113</f>
        <v>2</v>
      </c>
      <c r="BN135" s="1" t="n">
        <v>0</v>
      </c>
      <c r="BO135" s="2" t="n">
        <f aca="false">BN133</f>
        <v>1</v>
      </c>
      <c r="BP135" s="2" t="n">
        <f aca="false">BN131</f>
        <v>0</v>
      </c>
      <c r="BQ135" s="2" t="n">
        <f aca="false">BN129</f>
        <v>0</v>
      </c>
      <c r="BR135" s="2" t="n">
        <f aca="false">BN127</f>
        <v>0</v>
      </c>
      <c r="BS135" s="2" t="n">
        <f aca="false">BN125</f>
        <v>0</v>
      </c>
      <c r="BT135" s="2" t="n">
        <f aca="false">BN123</f>
        <v>0</v>
      </c>
      <c r="BU135" s="2" t="n">
        <f aca="false">BN121</f>
        <v>0</v>
      </c>
      <c r="BV135" s="2" t="n">
        <f aca="false">BN119</f>
        <v>0</v>
      </c>
      <c r="BW135" s="2" t="n">
        <f aca="false">BN117</f>
        <v>0</v>
      </c>
      <c r="BX135" s="2" t="n">
        <f aca="false">BN115</f>
        <v>0</v>
      </c>
      <c r="BY135" s="2" t="n">
        <f aca="false">BN113</f>
        <v>0</v>
      </c>
      <c r="BZ135" s="1" t="n">
        <v>2.807</v>
      </c>
      <c r="CA135" s="2" t="n">
        <f aca="false">BZ133</f>
        <v>1.7925</v>
      </c>
      <c r="CB135" s="2" t="n">
        <f aca="false">BZ131</f>
        <v>4.92091</v>
      </c>
      <c r="CC135" s="2" t="n">
        <f aca="false">BZ129</f>
        <v>2.93444</v>
      </c>
      <c r="CD135" s="2" t="n">
        <f aca="false">BZ127</f>
        <v>13.6275</v>
      </c>
      <c r="CE135" s="2" t="n">
        <f aca="false">BZ125</f>
        <v>10.1525</v>
      </c>
      <c r="CF135" s="2" t="n">
        <f aca="false">BZ123</f>
        <v>2.61875</v>
      </c>
      <c r="CG135" s="2" t="n">
        <f aca="false">BZ121</f>
        <v>1.79583</v>
      </c>
      <c r="CH135" s="2" t="n">
        <f aca="false">BZ119</f>
        <v>3.57</v>
      </c>
      <c r="CI135" s="2" t="n">
        <f aca="false">BZ117</f>
        <v>1.4585</v>
      </c>
      <c r="CJ135" s="2" t="n">
        <f aca="false">BZ115</f>
        <v>4.006</v>
      </c>
      <c r="CK135" s="2" t="n">
        <f aca="false">BZ113</f>
        <v>12.205</v>
      </c>
      <c r="CL135" s="1" t="n">
        <v>0</v>
      </c>
      <c r="CM135" s="2" t="n">
        <f aca="false">CL133</f>
        <v>0</v>
      </c>
      <c r="CN135" s="2" t="n">
        <f aca="false">CL131</f>
        <v>0</v>
      </c>
      <c r="CO135" s="2" t="n">
        <f aca="false">CL129</f>
        <v>0</v>
      </c>
      <c r="CP135" s="2" t="n">
        <f aca="false">CL127</f>
        <v>2</v>
      </c>
      <c r="CQ135" s="2" t="n">
        <f aca="false">CL125</f>
        <v>1</v>
      </c>
      <c r="CR135" s="2" t="n">
        <f aca="false">CL123</f>
        <v>0</v>
      </c>
      <c r="CS135" s="2" t="n">
        <f aca="false">CL121</f>
        <v>0</v>
      </c>
      <c r="CT135" s="2" t="n">
        <f aca="false">CL119</f>
        <v>0</v>
      </c>
      <c r="CU135" s="2" t="n">
        <f aca="false">CL117</f>
        <v>0</v>
      </c>
      <c r="CV135" s="2" t="n">
        <f aca="false">CL115</f>
        <v>0</v>
      </c>
      <c r="CW135" s="2" t="n">
        <f aca="false">CL113</f>
        <v>1</v>
      </c>
      <c r="CX135" s="1" t="n">
        <v>70.3914</v>
      </c>
      <c r="CY135" s="2" t="n">
        <f aca="false">CX133</f>
        <v>60.8437</v>
      </c>
      <c r="CZ135" s="2" t="n">
        <f aca="false">CX131</f>
        <v>78.5131</v>
      </c>
      <c r="DA135" s="2" t="n">
        <f aca="false">CX129</f>
        <v>71.1819</v>
      </c>
      <c r="DB135" s="2" t="n">
        <f aca="false">CX127</f>
        <v>85.8031</v>
      </c>
      <c r="DC135" s="2" t="n">
        <f aca="false">CX125</f>
        <v>84.3746</v>
      </c>
      <c r="DD135" s="2" t="n">
        <f aca="false">CX123</f>
        <v>69.1001</v>
      </c>
      <c r="DE135" s="2" t="n">
        <f aca="false">CX121</f>
        <v>60.889</v>
      </c>
      <c r="DF135" s="2" t="n">
        <f aca="false">CX119</f>
        <v>74.3518</v>
      </c>
      <c r="DG135" s="2" t="n">
        <f aca="false">CX117</f>
        <v>55.5641</v>
      </c>
      <c r="DH135" s="2" t="n">
        <f aca="false">CX115</f>
        <v>75.984</v>
      </c>
      <c r="DI135" s="2" t="n">
        <f aca="false">CX113</f>
        <v>85.316</v>
      </c>
      <c r="DJ135" s="1" t="s">
        <v>174</v>
      </c>
      <c r="DK135" s="2" t="str">
        <f aca="false">DJ133</f>
        <v>HH</v>
      </c>
      <c r="DL135" s="2" t="str">
        <f aca="false">DJ131</f>
        <v>HH</v>
      </c>
      <c r="DM135" s="2" t="str">
        <f aca="false">DJ129</f>
        <v>LH</v>
      </c>
      <c r="DN135" s="2" t="str">
        <f aca="false">DJ127</f>
        <v>LH</v>
      </c>
      <c r="DO135" s="2" t="str">
        <f aca="false">DJ125</f>
        <v>LH</v>
      </c>
      <c r="DP135" s="2" t="str">
        <f aca="false">DJ123</f>
        <v>LH</v>
      </c>
      <c r="DQ135" s="2" t="str">
        <f aca="false">DJ121</f>
        <v>LH</v>
      </c>
      <c r="DR135" s="2" t="str">
        <f aca="false">DJ119</f>
        <v>HH</v>
      </c>
      <c r="DS135" s="2" t="str">
        <f aca="false">DJ117</f>
        <v>LH</v>
      </c>
      <c r="DT135" s="2" t="str">
        <f aca="false">DJ115</f>
        <v>LH</v>
      </c>
      <c r="DU135" s="2" t="str">
        <f aca="false">DJ113</f>
        <v>LH</v>
      </c>
      <c r="DV135" s="2" t="n">
        <f aca="false">IFERROR((G135-$F135)/$F135*100,"")</f>
        <v>0.657545543473006</v>
      </c>
      <c r="DW135" s="2" t="n">
        <f aca="false">IFERROR((H135-$F135)/$F135*100,"")</f>
        <v>0.543056292741562</v>
      </c>
      <c r="DX135" s="2" t="n">
        <f aca="false">IFERROR((I135-$F135)/$F135*100,"")</f>
        <v>0.0125016997925093</v>
      </c>
      <c r="DY135" s="2" t="n">
        <f aca="false">IFERROR((J135-$F135)/$F135*100,"")</f>
        <v>0.154626286907434</v>
      </c>
      <c r="DZ135" s="2" t="n">
        <f aca="false">IFERROR((K135-$F135)/$F135*100,"")</f>
        <v>0.290829016225895</v>
      </c>
      <c r="EA135" s="2" t="n">
        <f aca="false">IFERROR((L135-$F135)/$F135*100,"")</f>
        <v>2.32421952107524</v>
      </c>
      <c r="EB135" s="2" t="n">
        <f aca="false">IFERROR((M135-$F135)/$F135*100,"")</f>
        <v>3.3039579942887</v>
      </c>
      <c r="EC135" s="2" t="n">
        <f aca="false">IFERROR((N135-$F135)/$F135*100,"")</f>
        <v>3.49543139637407</v>
      </c>
      <c r="ED135" s="2" t="n">
        <f aca="false">IFERROR((O135-$F135)/$F135*100,"")</f>
        <v>3.23355368493085</v>
      </c>
      <c r="EE135" s="2" t="n">
        <f aca="false">IFERROR((P135-$F135)/$F135*100,"")</f>
        <v>3.2971588242261</v>
      </c>
      <c r="EF135" s="2" t="n">
        <f aca="false">IFERROR((Q135-$F135)/$F135*100,"")</f>
        <v>3.31185380468397</v>
      </c>
      <c r="EG135" s="2" t="str">
        <f aca="false">IF(DV135="","",IF(AND(ABS(DV135)&lt;=0.25,$E135="Bottom",DK135="LL"),"EQL",IF(AND(ABS(DV135)&lt;=0.25,$E135="Peak",DK135="HH"),"EQH","")))</f>
        <v/>
      </c>
      <c r="EH135" s="2" t="str">
        <f aca="false">IF(DW135="","",IF(AND(ABS(DW135)&lt;=0.25,$E135="Bottom",DL135="LL"),"EQL",IF(AND(ABS(DW135)&lt;=0.25,$E135="Peak",DL135="HH"),"EQH","")))</f>
        <v/>
      </c>
      <c r="EI135" s="2" t="str">
        <f aca="false">IF(DX135="","",IF(AND(ABS(DX135)&lt;=0.25,$E135="Bottom",DM135="LL"),"EQL",IF(AND(ABS(DX135)&lt;=0.25,$E135="Peak",DM135="HH"),"EQH","")))</f>
        <v/>
      </c>
      <c r="EJ135" s="2" t="str">
        <f aca="false">IF(DY135="","",IF(AND(ABS(DY135)&lt;=0.25,$E135="Bottom",DN135="LL"),"EQL",IF(AND(ABS(DY135)&lt;=0.25,$E135="Peak",DN135="HH"),"EQH","")))</f>
        <v/>
      </c>
      <c r="EK135" s="2" t="str">
        <f aca="false">IF(DZ135="","",IF(AND(ABS(DZ135)&lt;=0.25,$E135="Bottom",DO135="LL"),"EQL",IF(AND(ABS(DZ135)&lt;=0.25,$E135="Peak",DO135="HH"),"EQH","")))</f>
        <v/>
      </c>
      <c r="EL135" s="2" t="str">
        <f aca="false">IF(EA135="","",IF(AND(ABS(EA135)&lt;=0.25,$E135="Bottom",DP135="LL"),"EQL",IF(AND(ABS(EA135)&lt;=0.25,$E135="Peak",DP135="HH"),"EQH","")))</f>
        <v/>
      </c>
      <c r="EM135" s="2" t="str">
        <f aca="false">IF(EB135="","",IF(AND(ABS(EB135)&lt;=0.25,$E135="Bottom",DQ135="LL"),"EQL",IF(AND(ABS(EB135)&lt;=0.25,$E135="Peak",DQ135="HH"),"EQH","")))</f>
        <v/>
      </c>
      <c r="EN135" s="2" t="str">
        <f aca="false">IF(EC135="","",IF(AND(ABS(EC135)&lt;=0.25,$E135="Bottom",DR135="LL"),"EQL",IF(AND(ABS(EC135)&lt;=0.25,$E135="Peak",DR135="HH"),"EQH","")))</f>
        <v/>
      </c>
      <c r="EO135" s="2" t="str">
        <f aca="false">IF(ED135="","",IF(AND(ABS(ED135)&lt;=0.25,$E135="Bottom",DS135="LL"),"EQL",IF(AND(ABS(ED135)&lt;=0.25,$E135="Peak",DS135="HH"),"EQH","")))</f>
        <v/>
      </c>
      <c r="EP135" s="2" t="str">
        <f aca="false">IF(EE135="","",IF(AND(ABS(EE135)&lt;=0.25,$E135="Bottom",DT135="LL"),"EQL",IF(AND(ABS(EE135)&lt;=0.25,$E135="Peak",DT135="HH"),"EQH","")))</f>
        <v/>
      </c>
      <c r="EQ135" s="2" t="str">
        <f aca="false">IF(EF135="","",IF(AND(ABS(EF135)&lt;=0.25,$E135="Bottom",DU135="LL"),"EQL",IF(AND(ABS(EF135)&lt;=0.25,$E135="Peak",DU135="HH"),"EQH","")))</f>
        <v/>
      </c>
      <c r="ER135" s="2" t="str">
        <f aca="false">IF(OR(EG135="EQL",EG135="EQH"),G135,"")</f>
        <v/>
      </c>
      <c r="ES135" s="2" t="str">
        <f aca="false">IF(OR(EH135="EQL",EH135="EQH"),H135,"")</f>
        <v/>
      </c>
      <c r="ET135" s="2" t="str">
        <f aca="false">IF(OR(EI135="EQL",EI135="EQH"),I135,"")</f>
        <v/>
      </c>
      <c r="EU135" s="2" t="str">
        <f aca="false">IF(OR(EJ135="EQL",EJ135="EQH"),J135,"")</f>
        <v/>
      </c>
      <c r="EV135" s="2" t="str">
        <f aca="false">IF(OR(EK135="EQL",EK135="EQH"),K135,"")</f>
        <v/>
      </c>
      <c r="EW135" s="2" t="str">
        <f aca="false">IF(OR(EL135="EQL",EL135="EQH"),L135,"")</f>
        <v/>
      </c>
      <c r="EX135" s="2" t="str">
        <f aca="false">IF(OR(EM135="EQL",EM135="EQH"),M135,"")</f>
        <v/>
      </c>
      <c r="EY135" s="2" t="str">
        <f aca="false">IF(OR(EN135="EQL",EN135="EQH"),N135,"")</f>
        <v/>
      </c>
      <c r="EZ135" s="2" t="str">
        <f aca="false">IF(OR(EO135="EQL",EO135="EQH"),O135,"")</f>
        <v/>
      </c>
      <c r="FA135" s="2" t="str">
        <f aca="false">IF(OR(EP135="EQL",EP135="EQH"),P135,"")</f>
        <v/>
      </c>
      <c r="FB135" s="2" t="str">
        <f aca="false">IF(OR(EQ135="EQL",EQ135="EQH"),Q135,"")</f>
        <v/>
      </c>
      <c r="FC135" s="2" t="str">
        <f aca="false">IF(AND(EG135="EQL",OR(AQ135=4,AQ135=5)),"IEQL",IF(AND(EG135="EQH",OR(AQ135=1,AQ135=2)),"IEQH",""))</f>
        <v/>
      </c>
      <c r="FD135" s="2" t="str">
        <f aca="false">IF(AND(EH135="EQL",OR(AR135=4,AR135=5)),"IEQL",IF(AND(EH135="EQH",OR(AR135=1,AR135=2)),"IEQH",""))</f>
        <v/>
      </c>
      <c r="FE135" s="2" t="str">
        <f aca="false">IF(AND(EI135="EQL",OR(AS135=4,AS135=5)),"IEQL",IF(AND(EI135="EQH",OR(AS135=1,AS135=2)),"IEQH",""))</f>
        <v/>
      </c>
      <c r="FF135" s="2" t="str">
        <f aca="false">IF(AND(EJ135="EQL",OR(AT135=4,AT135=5)),"IEQL",IF(AND(EJ135="EQH",OR(AT135=1,AT135=2)),"IEQH",""))</f>
        <v/>
      </c>
      <c r="FG135" s="2" t="str">
        <f aca="false">IF(AND(EK135="EQL",OR(AU135=4,AU135=5)),"IEQL",IF(AND(EK135="EQH",OR(AU135=1,AU135=2)),"IEQH",""))</f>
        <v/>
      </c>
      <c r="FH135" s="2" t="str">
        <f aca="false">IF(AND(EL135="EQL",OR(AV135=4,AV135=5)),"IEQL",IF(AND(EL135="EQH",OR(AV135=1,AV135=2)),"IEQH",""))</f>
        <v/>
      </c>
      <c r="FI135" s="2" t="str">
        <f aca="false">IF(AND(EM135="EQL",OR(AW135=4,AW135=5)),"IEQL",IF(AND(EM135="EQH",OR(AW135=1,AW135=2)),"IEQH",""))</f>
        <v/>
      </c>
      <c r="FJ135" s="2" t="str">
        <f aca="false">IF(AND(EN135="EQL",OR(AX135=4,AX135=5)),"IEQL",IF(AND(EN135="EQH",OR(AX135=1,AX135=2)),"IEQH",""))</f>
        <v/>
      </c>
      <c r="FK135" s="2" t="str">
        <f aca="false">IF(AND(EO135="EQL",OR(AY135=4,AY135=5)),"IEQL",IF(AND(EO135="EQH",OR(AY135=1,AY135=2)),"IEQH",""))</f>
        <v/>
      </c>
      <c r="FL135" s="2" t="str">
        <f aca="false">IF(AND(EP135="EQL",OR(AZ135=4,AZ135=5)),"IEQL",IF(AND(EP135="EQH",OR(AZ135=1,AZ135=2)),"IEQH",""))</f>
        <v/>
      </c>
      <c r="FM135" s="2" t="str">
        <f aca="false">IF(AND(EQ135="EQL",OR(BA135=4,BA135=5)),"IEQL",IF(AND(EQ135="EQH",OR(BA135=1,BA135=2)),"IEQH",""))</f>
        <v/>
      </c>
    </row>
    <row r="136" customFormat="false" ht="14.25" hidden="false" customHeight="false" outlineLevel="0" collapsed="false">
      <c r="A136" s="1" t="n">
        <v>1779197402</v>
      </c>
      <c r="B136" s="1" t="s">
        <v>169</v>
      </c>
      <c r="C136" s="1" t="s">
        <v>170</v>
      </c>
      <c r="D136" s="1" t="n">
        <v>4476.25</v>
      </c>
      <c r="E136" s="1" t="s">
        <v>171</v>
      </c>
      <c r="F136" s="1" t="n">
        <v>4464.78</v>
      </c>
      <c r="G136" s="2" t="n">
        <f aca="false">F134</f>
        <v>4531.31</v>
      </c>
      <c r="H136" s="2" t="n">
        <f aca="false">F132</f>
        <v>4532</v>
      </c>
      <c r="I136" s="2" t="n">
        <f aca="false">F130</f>
        <v>4530.01</v>
      </c>
      <c r="J136" s="2" t="n">
        <f aca="false">F128</f>
        <v>4480.72</v>
      </c>
      <c r="K136" s="2" t="n">
        <f aca="false">F126</f>
        <v>4511.92</v>
      </c>
      <c r="L136" s="2" t="n">
        <f aca="false">F124</f>
        <v>4532.03</v>
      </c>
      <c r="M136" s="2" t="n">
        <f aca="false">F122</f>
        <v>4644.4</v>
      </c>
      <c r="N136" s="2" t="n">
        <f aca="false">F120</f>
        <v>4688.47</v>
      </c>
      <c r="O136" s="2" t="n">
        <f aca="false">F118</f>
        <v>4668.77</v>
      </c>
      <c r="P136" s="2" t="n">
        <f aca="false">F116</f>
        <v>4677.64</v>
      </c>
      <c r="Q136" s="2" t="n">
        <f aca="false">F114</f>
        <v>4669.65</v>
      </c>
      <c r="R136" s="1" t="n">
        <v>-94.6</v>
      </c>
      <c r="S136" s="2" t="n">
        <f aca="false">R134</f>
        <v>-58.05</v>
      </c>
      <c r="T136" s="2" t="n">
        <f aca="false">R132</f>
        <v>-52.14</v>
      </c>
      <c r="U136" s="2" t="n">
        <f aca="false">R130</f>
        <v>-29.94</v>
      </c>
      <c r="V136" s="2" t="n">
        <f aca="false">R128</f>
        <v>-85.71</v>
      </c>
      <c r="W136" s="2" t="n">
        <f aca="false">R126</f>
        <v>-60.72</v>
      </c>
      <c r="X136" s="2" t="n">
        <f aca="false">R124</f>
        <v>-133.32</v>
      </c>
      <c r="Y136" s="2" t="n">
        <f aca="false">R122</f>
        <v>-65.62</v>
      </c>
      <c r="Z136" s="2" t="n">
        <f aca="false">R120</f>
        <v>-30.28</v>
      </c>
      <c r="AA136" s="2" t="n">
        <f aca="false">R118</f>
        <v>-38.04</v>
      </c>
      <c r="AB136" s="2" t="n">
        <f aca="false">R116</f>
        <v>-32.07</v>
      </c>
      <c r="AC136" s="2" t="n">
        <f aca="false">R114</f>
        <v>-40.73</v>
      </c>
      <c r="AD136" s="1" t="n">
        <v>-2.07</v>
      </c>
      <c r="AE136" s="2" t="n">
        <f aca="false">AD134</f>
        <v>-1.26</v>
      </c>
      <c r="AF136" s="2" t="n">
        <f aca="false">AD132</f>
        <v>-1.14</v>
      </c>
      <c r="AG136" s="2" t="n">
        <f aca="false">AD130</f>
        <v>-0.66</v>
      </c>
      <c r="AH136" s="2" t="n">
        <f aca="false">AD128</f>
        <v>-1.88</v>
      </c>
      <c r="AI136" s="2" t="n">
        <f aca="false">AD126</f>
        <v>-1.33</v>
      </c>
      <c r="AJ136" s="2" t="n">
        <f aca="false">AD124</f>
        <v>-2.86</v>
      </c>
      <c r="AK136" s="2" t="n">
        <f aca="false">AD122</f>
        <v>-1.39</v>
      </c>
      <c r="AL136" s="2" t="n">
        <f aca="false">AD120</f>
        <v>-0.64</v>
      </c>
      <c r="AM136" s="2" t="n">
        <f aca="false">AD118</f>
        <v>-0.81</v>
      </c>
      <c r="AN136" s="2" t="n">
        <f aca="false">AD116</f>
        <v>-0.68</v>
      </c>
      <c r="AO136" s="2" t="n">
        <f aca="false">AD114</f>
        <v>-0.86</v>
      </c>
      <c r="AP136" s="1" t="n">
        <v>4</v>
      </c>
      <c r="AQ136" s="2" t="n">
        <f aca="false">AP134</f>
        <v>3</v>
      </c>
      <c r="AR136" s="2" t="n">
        <f aca="false">AP132</f>
        <v>3</v>
      </c>
      <c r="AS136" s="2" t="n">
        <f aca="false">AP130</f>
        <v>3</v>
      </c>
      <c r="AT136" s="2" t="n">
        <f aca="false">AP128</f>
        <v>3</v>
      </c>
      <c r="AU136" s="2" t="n">
        <f aca="false">AP126</f>
        <v>3</v>
      </c>
      <c r="AV136" s="2" t="n">
        <f aca="false">AP124</f>
        <v>5</v>
      </c>
      <c r="AW136" s="2" t="n">
        <f aca="false">AP122</f>
        <v>3</v>
      </c>
      <c r="AX136" s="2" t="n">
        <f aca="false">AP120</f>
        <v>3</v>
      </c>
      <c r="AY136" s="2" t="n">
        <f aca="false">AP118</f>
        <v>3</v>
      </c>
      <c r="AZ136" s="2" t="n">
        <f aca="false">AP116</f>
        <v>3</v>
      </c>
      <c r="BA136" s="2" t="n">
        <f aca="false">AP114</f>
        <v>3</v>
      </c>
      <c r="BB136" s="1" t="n">
        <v>23</v>
      </c>
      <c r="BC136" s="2" t="n">
        <f aca="false">BB134</f>
        <v>21</v>
      </c>
      <c r="BD136" s="2" t="n">
        <f aca="false">BB132</f>
        <v>5</v>
      </c>
      <c r="BE136" s="2" t="n">
        <f aca="false">BB130</f>
        <v>14</v>
      </c>
      <c r="BF136" s="2" t="n">
        <f aca="false">BB128</f>
        <v>36</v>
      </c>
      <c r="BG136" s="2" t="n">
        <f aca="false">BB126</f>
        <v>12</v>
      </c>
      <c r="BH136" s="2" t="n">
        <f aca="false">BB124</f>
        <v>41</v>
      </c>
      <c r="BI136" s="2" t="n">
        <f aca="false">BB122</f>
        <v>32</v>
      </c>
      <c r="BJ136" s="2" t="n">
        <f aca="false">BB120</f>
        <v>8</v>
      </c>
      <c r="BK136" s="2" t="n">
        <f aca="false">BB118</f>
        <v>13</v>
      </c>
      <c r="BL136" s="2" t="n">
        <f aca="false">BB116</f>
        <v>10</v>
      </c>
      <c r="BM136" s="2" t="n">
        <f aca="false">BB114</f>
        <v>15</v>
      </c>
      <c r="BN136" s="1" t="n">
        <v>3</v>
      </c>
      <c r="BO136" s="2" t="n">
        <f aca="false">BN134</f>
        <v>3</v>
      </c>
      <c r="BP136" s="2" t="n">
        <f aca="false">BN132</f>
        <v>3</v>
      </c>
      <c r="BQ136" s="2" t="n">
        <f aca="false">BN130</f>
        <v>3</v>
      </c>
      <c r="BR136" s="2" t="n">
        <f aca="false">BN128</f>
        <v>4</v>
      </c>
      <c r="BS136" s="2" t="n">
        <f aca="false">BN126</f>
        <v>3</v>
      </c>
      <c r="BT136" s="2" t="n">
        <f aca="false">BN124</f>
        <v>5</v>
      </c>
      <c r="BU136" s="2" t="n">
        <f aca="false">BN122</f>
        <v>4</v>
      </c>
      <c r="BV136" s="2" t="n">
        <f aca="false">BN120</f>
        <v>3</v>
      </c>
      <c r="BW136" s="2" t="n">
        <f aca="false">BN118</f>
        <v>3</v>
      </c>
      <c r="BX136" s="2" t="n">
        <f aca="false">BN116</f>
        <v>3</v>
      </c>
      <c r="BY136" s="2" t="n">
        <f aca="false">BN114</f>
        <v>3</v>
      </c>
      <c r="BZ136" s="1" t="n">
        <v>-4.11304</v>
      </c>
      <c r="CA136" s="2" t="n">
        <f aca="false">BZ134</f>
        <v>-2.76429</v>
      </c>
      <c r="CB136" s="2" t="n">
        <f aca="false">BZ132</f>
        <v>-10.428</v>
      </c>
      <c r="CC136" s="2" t="n">
        <f aca="false">BZ130</f>
        <v>-2.13857</v>
      </c>
      <c r="CD136" s="2" t="n">
        <f aca="false">BZ128</f>
        <v>-2.38083</v>
      </c>
      <c r="CE136" s="2" t="n">
        <f aca="false">BZ126</f>
        <v>-5.06</v>
      </c>
      <c r="CF136" s="2" t="n">
        <f aca="false">BZ124</f>
        <v>-3.25171</v>
      </c>
      <c r="CG136" s="2" t="n">
        <f aca="false">BZ122</f>
        <v>-2.05063</v>
      </c>
      <c r="CH136" s="2" t="n">
        <f aca="false">BZ120</f>
        <v>-3.785</v>
      </c>
      <c r="CI136" s="2" t="n">
        <f aca="false">BZ118</f>
        <v>-2.92615</v>
      </c>
      <c r="CJ136" s="2" t="n">
        <f aca="false">BZ116</f>
        <v>-3.207</v>
      </c>
      <c r="CK136" s="2" t="n">
        <f aca="false">BZ114</f>
        <v>-2.71533</v>
      </c>
      <c r="CL136" s="1" t="n">
        <v>3</v>
      </c>
      <c r="CM136" s="2" t="n">
        <f aca="false">CL134</f>
        <v>3</v>
      </c>
      <c r="CN136" s="2" t="n">
        <f aca="false">CL132</f>
        <v>4</v>
      </c>
      <c r="CO136" s="2" t="n">
        <f aca="false">CL130</f>
        <v>3</v>
      </c>
      <c r="CP136" s="2" t="n">
        <f aca="false">CL128</f>
        <v>3</v>
      </c>
      <c r="CQ136" s="2" t="n">
        <f aca="false">CL126</f>
        <v>3</v>
      </c>
      <c r="CR136" s="2" t="n">
        <f aca="false">CL124</f>
        <v>3</v>
      </c>
      <c r="CS136" s="2" t="n">
        <f aca="false">CL122</f>
        <v>3</v>
      </c>
      <c r="CT136" s="2" t="n">
        <f aca="false">CL120</f>
        <v>3</v>
      </c>
      <c r="CU136" s="2" t="n">
        <f aca="false">CL118</f>
        <v>3</v>
      </c>
      <c r="CV136" s="2" t="n">
        <f aca="false">CL116</f>
        <v>3</v>
      </c>
      <c r="CW136" s="2" t="n">
        <f aca="false">CL114</f>
        <v>3</v>
      </c>
      <c r="CX136" s="1" t="n">
        <v>-76.3349</v>
      </c>
      <c r="CY136" s="2" t="n">
        <f aca="false">CX134</f>
        <v>-70.112</v>
      </c>
      <c r="CZ136" s="2" t="n">
        <f aca="false">CX132</f>
        <v>-84.5223</v>
      </c>
      <c r="DA136" s="2" t="n">
        <f aca="false">CX130</f>
        <v>-64.9391</v>
      </c>
      <c r="DB136" s="2" t="n">
        <f aca="false">CX128</f>
        <v>-67.2166</v>
      </c>
      <c r="DC136" s="2" t="n">
        <f aca="false">CX126</f>
        <v>-78.8208</v>
      </c>
      <c r="DD136" s="2" t="n">
        <f aca="false">CX124</f>
        <v>-72.9057</v>
      </c>
      <c r="DE136" s="2" t="n">
        <f aca="false">CX122</f>
        <v>-64.0035</v>
      </c>
      <c r="DF136" s="2" t="n">
        <f aca="false">CX120</f>
        <v>-75.2006</v>
      </c>
      <c r="DG136" s="2" t="n">
        <f aca="false">CX118</f>
        <v>-71.1324</v>
      </c>
      <c r="DH136" s="2" t="n">
        <f aca="false">CX116</f>
        <v>-72.6816</v>
      </c>
      <c r="DI136" s="2" t="n">
        <f aca="false">CX114</f>
        <v>-69.7823</v>
      </c>
      <c r="DJ136" s="1" t="s">
        <v>172</v>
      </c>
      <c r="DK136" s="2" t="str">
        <f aca="false">DJ134</f>
        <v>LL</v>
      </c>
      <c r="DL136" s="2" t="str">
        <f aca="false">DJ132</f>
        <v>HL</v>
      </c>
      <c r="DM136" s="2" t="str">
        <f aca="false">DJ130</f>
        <v>HL</v>
      </c>
      <c r="DN136" s="2" t="str">
        <f aca="false">DJ128</f>
        <v>LL</v>
      </c>
      <c r="DO136" s="2" t="str">
        <f aca="false">DJ126</f>
        <v>LL</v>
      </c>
      <c r="DP136" s="2" t="str">
        <f aca="false">DJ124</f>
        <v>LL</v>
      </c>
      <c r="DQ136" s="2" t="str">
        <f aca="false">DJ122</f>
        <v>LL</v>
      </c>
      <c r="DR136" s="2" t="str">
        <f aca="false">DJ120</f>
        <v>HL</v>
      </c>
      <c r="DS136" s="2" t="str">
        <f aca="false">DJ118</f>
        <v>LL</v>
      </c>
      <c r="DT136" s="2" t="str">
        <f aca="false">DJ116</f>
        <v>HL</v>
      </c>
      <c r="DU136" s="2" t="str">
        <f aca="false">DJ114</f>
        <v>LL</v>
      </c>
      <c r="DV136" s="2" t="n">
        <f aca="false">IFERROR((G136-$F136)/$F136*100,"")</f>
        <v>1.49010701535128</v>
      </c>
      <c r="DW136" s="2" t="n">
        <f aca="false">IFERROR((H136-$F136)/$F136*100,"")</f>
        <v>1.5055613042524</v>
      </c>
      <c r="DX136" s="2" t="n">
        <f aca="false">IFERROR((I136-$F136)/$F136*100,"")</f>
        <v>1.46099023916073</v>
      </c>
      <c r="DY136" s="2" t="n">
        <f aca="false">IFERROR((J136-$F136)/$F136*100,"")</f>
        <v>0.357016471136327</v>
      </c>
      <c r="DZ136" s="2" t="n">
        <f aca="false">IFERROR((K136-$F136)/$F136*100,"")</f>
        <v>1.05581909970929</v>
      </c>
      <c r="EA136" s="2" t="n">
        <f aca="false">IFERROR((L136-$F136)/$F136*100,"")</f>
        <v>1.50623322985679</v>
      </c>
      <c r="EB136" s="2" t="n">
        <f aca="false">IFERROR((M136-$F136)/$F136*100,"")</f>
        <v>4.02304256872679</v>
      </c>
      <c r="EC136" s="2" t="n">
        <f aca="false">IFERROR((N136-$F136)/$F136*100,"")</f>
        <v>5.01010128158611</v>
      </c>
      <c r="ED136" s="2" t="n">
        <f aca="false">IFERROR((O136-$F136)/$F136*100,"")</f>
        <v>4.5688701346987</v>
      </c>
      <c r="EE136" s="2" t="n">
        <f aca="false">IFERROR((P136-$F136)/$F136*100,"")</f>
        <v>4.76753613839877</v>
      </c>
      <c r="EF136" s="2" t="n">
        <f aca="false">IFERROR((Q136-$F136)/$F136*100,"")</f>
        <v>4.58857995242767</v>
      </c>
      <c r="EG136" s="2" t="str">
        <f aca="false">IF(DV136="","",IF(AND(ABS(DV136)&lt;=0.25,$E136="Bottom",DK136="LL"),"EQL",IF(AND(ABS(DV136)&lt;=0.25,$E136="Peak",DK136="HH"),"EQH","")))</f>
        <v/>
      </c>
      <c r="EH136" s="2" t="str">
        <f aca="false">IF(DW136="","",IF(AND(ABS(DW136)&lt;=0.25,$E136="Bottom",DL136="LL"),"EQL",IF(AND(ABS(DW136)&lt;=0.25,$E136="Peak",DL136="HH"),"EQH","")))</f>
        <v/>
      </c>
      <c r="EI136" s="2" t="str">
        <f aca="false">IF(DX136="","",IF(AND(ABS(DX136)&lt;=0.25,$E136="Bottom",DM136="LL"),"EQL",IF(AND(ABS(DX136)&lt;=0.25,$E136="Peak",DM136="HH"),"EQH","")))</f>
        <v/>
      </c>
      <c r="EJ136" s="2" t="str">
        <f aca="false">IF(DY136="","",IF(AND(ABS(DY136)&lt;=0.25,$E136="Bottom",DN136="LL"),"EQL",IF(AND(ABS(DY136)&lt;=0.25,$E136="Peak",DN136="HH"),"EQH","")))</f>
        <v/>
      </c>
      <c r="EK136" s="2" t="str">
        <f aca="false">IF(DZ136="","",IF(AND(ABS(DZ136)&lt;=0.25,$E136="Bottom",DO136="LL"),"EQL",IF(AND(ABS(DZ136)&lt;=0.25,$E136="Peak",DO136="HH"),"EQH","")))</f>
        <v/>
      </c>
      <c r="EL136" s="2" t="str">
        <f aca="false">IF(EA136="","",IF(AND(ABS(EA136)&lt;=0.25,$E136="Bottom",DP136="LL"),"EQL",IF(AND(ABS(EA136)&lt;=0.25,$E136="Peak",DP136="HH"),"EQH","")))</f>
        <v/>
      </c>
      <c r="EM136" s="2" t="str">
        <f aca="false">IF(EB136="","",IF(AND(ABS(EB136)&lt;=0.25,$E136="Bottom",DQ136="LL"),"EQL",IF(AND(ABS(EB136)&lt;=0.25,$E136="Peak",DQ136="HH"),"EQH","")))</f>
        <v/>
      </c>
      <c r="EN136" s="2" t="str">
        <f aca="false">IF(EC136="","",IF(AND(ABS(EC136)&lt;=0.25,$E136="Bottom",DR136="LL"),"EQL",IF(AND(ABS(EC136)&lt;=0.25,$E136="Peak",DR136="HH"),"EQH","")))</f>
        <v/>
      </c>
      <c r="EO136" s="2" t="str">
        <f aca="false">IF(ED136="","",IF(AND(ABS(ED136)&lt;=0.25,$E136="Bottom",DS136="LL"),"EQL",IF(AND(ABS(ED136)&lt;=0.25,$E136="Peak",DS136="HH"),"EQH","")))</f>
        <v/>
      </c>
      <c r="EP136" s="2" t="str">
        <f aca="false">IF(EE136="","",IF(AND(ABS(EE136)&lt;=0.25,$E136="Bottom",DT136="LL"),"EQL",IF(AND(ABS(EE136)&lt;=0.25,$E136="Peak",DT136="HH"),"EQH","")))</f>
        <v/>
      </c>
      <c r="EQ136" s="2" t="str">
        <f aca="false">IF(EF136="","",IF(AND(ABS(EF136)&lt;=0.25,$E136="Bottom",DU136="LL"),"EQL",IF(AND(ABS(EF136)&lt;=0.25,$E136="Peak",DU136="HH"),"EQH","")))</f>
        <v/>
      </c>
      <c r="ER136" s="2" t="str">
        <f aca="false">IF(OR(EG136="EQL",EG136="EQH"),G136,"")</f>
        <v/>
      </c>
      <c r="ES136" s="2" t="str">
        <f aca="false">IF(OR(EH136="EQL",EH136="EQH"),H136,"")</f>
        <v/>
      </c>
      <c r="ET136" s="2" t="str">
        <f aca="false">IF(OR(EI136="EQL",EI136="EQH"),I136,"")</f>
        <v/>
      </c>
      <c r="EU136" s="2" t="str">
        <f aca="false">IF(OR(EJ136="EQL",EJ136="EQH"),J136,"")</f>
        <v/>
      </c>
      <c r="EV136" s="2" t="str">
        <f aca="false">IF(OR(EK136="EQL",EK136="EQH"),K136,"")</f>
        <v/>
      </c>
      <c r="EW136" s="2" t="str">
        <f aca="false">IF(OR(EL136="EQL",EL136="EQH"),L136,"")</f>
        <v/>
      </c>
      <c r="EX136" s="2" t="str">
        <f aca="false">IF(OR(EM136="EQL",EM136="EQH"),M136,"")</f>
        <v/>
      </c>
      <c r="EY136" s="2" t="str">
        <f aca="false">IF(OR(EN136="EQL",EN136="EQH"),N136,"")</f>
        <v/>
      </c>
      <c r="EZ136" s="2" t="str">
        <f aca="false">IF(OR(EO136="EQL",EO136="EQH"),O136,"")</f>
        <v/>
      </c>
      <c r="FA136" s="2" t="str">
        <f aca="false">IF(OR(EP136="EQL",EP136="EQH"),P136,"")</f>
        <v/>
      </c>
      <c r="FB136" s="2" t="str">
        <f aca="false">IF(OR(EQ136="EQL",EQ136="EQH"),Q136,"")</f>
        <v/>
      </c>
      <c r="FC136" s="2" t="str">
        <f aca="false">IF(AND(EG136="EQL",OR(AQ136=4,AQ136=5)),"IEQL",IF(AND(EG136="EQH",OR(AQ136=1,AQ136=2)),"IEQH",""))</f>
        <v/>
      </c>
      <c r="FD136" s="2" t="str">
        <f aca="false">IF(AND(EH136="EQL",OR(AR136=4,AR136=5)),"IEQL",IF(AND(EH136="EQH",OR(AR136=1,AR136=2)),"IEQH",""))</f>
        <v/>
      </c>
      <c r="FE136" s="2" t="str">
        <f aca="false">IF(AND(EI136="EQL",OR(AS136=4,AS136=5)),"IEQL",IF(AND(EI136="EQH",OR(AS136=1,AS136=2)),"IEQH",""))</f>
        <v/>
      </c>
      <c r="FF136" s="2" t="str">
        <f aca="false">IF(AND(EJ136="EQL",OR(AT136=4,AT136=5)),"IEQL",IF(AND(EJ136="EQH",OR(AT136=1,AT136=2)),"IEQH",""))</f>
        <v/>
      </c>
      <c r="FG136" s="2" t="str">
        <f aca="false">IF(AND(EK136="EQL",OR(AU136=4,AU136=5)),"IEQL",IF(AND(EK136="EQH",OR(AU136=1,AU136=2)),"IEQH",""))</f>
        <v/>
      </c>
      <c r="FH136" s="2" t="str">
        <f aca="false">IF(AND(EL136="EQL",OR(AV136=4,AV136=5)),"IEQL",IF(AND(EL136="EQH",OR(AV136=1,AV136=2)),"IEQH",""))</f>
        <v/>
      </c>
      <c r="FI136" s="2" t="str">
        <f aca="false">IF(AND(EM136="EQL",OR(AW136=4,AW136=5)),"IEQL",IF(AND(EM136="EQH",OR(AW136=1,AW136=2)),"IEQH",""))</f>
        <v/>
      </c>
      <c r="FJ136" s="2" t="str">
        <f aca="false">IF(AND(EN136="EQL",OR(AX136=4,AX136=5)),"IEQL",IF(AND(EN136="EQH",OR(AX136=1,AX136=2)),"IEQH",""))</f>
        <v/>
      </c>
      <c r="FK136" s="2" t="str">
        <f aca="false">IF(AND(EO136="EQL",OR(AY136=4,AY136=5)),"IEQL",IF(AND(EO136="EQH",OR(AY136=1,AY136=2)),"IEQH",""))</f>
        <v/>
      </c>
      <c r="FL136" s="2" t="str">
        <f aca="false">IF(AND(EP136="EQL",OR(AZ136=4,AZ136=5)),"IEQL",IF(AND(EP136="EQH",OR(AZ136=1,AZ136=2)),"IEQH",""))</f>
        <v/>
      </c>
      <c r="FM136" s="2" t="str">
        <f aca="false">IF(AND(EQ136="EQL",OR(BA136=4,BA136=5)),"IEQL",IF(AND(EQ136="EQH",OR(BA136=1,BA136=2)),"IEQH",""))</f>
        <v/>
      </c>
    </row>
    <row r="137" customFormat="false" ht="14.25" hidden="false" customHeight="false" outlineLevel="0" collapsed="false">
      <c r="A137" s="1" t="n">
        <v>1779237902</v>
      </c>
      <c r="B137" s="1" t="s">
        <v>169</v>
      </c>
      <c r="C137" s="1" t="s">
        <v>170</v>
      </c>
      <c r="D137" s="1" t="n">
        <v>4500.98</v>
      </c>
      <c r="E137" s="1" t="s">
        <v>173</v>
      </c>
      <c r="F137" s="1" t="n">
        <v>4508.81</v>
      </c>
      <c r="G137" s="2" t="n">
        <f aca="false">F135</f>
        <v>4559.38</v>
      </c>
      <c r="H137" s="2" t="n">
        <f aca="false">F133</f>
        <v>4589.36</v>
      </c>
      <c r="I137" s="2" t="n">
        <f aca="false">F131</f>
        <v>4584.14</v>
      </c>
      <c r="J137" s="2" t="n">
        <f aca="false">F129</f>
        <v>4559.95</v>
      </c>
      <c r="K137" s="2" t="n">
        <f aca="false">F127</f>
        <v>4566.43</v>
      </c>
      <c r="L137" s="2" t="n">
        <f aca="false">F125</f>
        <v>4572.64</v>
      </c>
      <c r="M137" s="2" t="n">
        <f aca="false">F123</f>
        <v>4665.35</v>
      </c>
      <c r="N137" s="2" t="n">
        <f aca="false">F121</f>
        <v>4710.02</v>
      </c>
      <c r="O137" s="2" t="n">
        <f aca="false">F119</f>
        <v>4718.75</v>
      </c>
      <c r="P137" s="2" t="n">
        <f aca="false">F117</f>
        <v>4706.81</v>
      </c>
      <c r="Q137" s="2" t="n">
        <f aca="false">F115</f>
        <v>4709.71</v>
      </c>
      <c r="R137" s="1" t="n">
        <v>44.03</v>
      </c>
      <c r="S137" s="2" t="n">
        <f aca="false">R135</f>
        <v>28.07</v>
      </c>
      <c r="T137" s="2" t="n">
        <f aca="false">R133</f>
        <v>57.36</v>
      </c>
      <c r="U137" s="2" t="n">
        <f aca="false">R131</f>
        <v>54.13</v>
      </c>
      <c r="V137" s="2" t="n">
        <f aca="false">R129</f>
        <v>79.23</v>
      </c>
      <c r="W137" s="2" t="n">
        <f aca="false">R127</f>
        <v>54.51</v>
      </c>
      <c r="X137" s="2" t="n">
        <f aca="false">R125</f>
        <v>40.61</v>
      </c>
      <c r="Y137" s="2" t="n">
        <f aca="false">R123</f>
        <v>20.95</v>
      </c>
      <c r="Z137" s="2" t="n">
        <f aca="false">R121</f>
        <v>21.55</v>
      </c>
      <c r="AA137" s="2" t="n">
        <f aca="false">R119</f>
        <v>49.98</v>
      </c>
      <c r="AB137" s="2" t="n">
        <f aca="false">R117</f>
        <v>29.17</v>
      </c>
      <c r="AC137" s="2" t="n">
        <f aca="false">R115</f>
        <v>40.06</v>
      </c>
      <c r="AD137" s="1" t="n">
        <v>0.99</v>
      </c>
      <c r="AE137" s="2" t="n">
        <f aca="false">AD135</f>
        <v>0.62</v>
      </c>
      <c r="AF137" s="2" t="n">
        <f aca="false">AD133</f>
        <v>1.27</v>
      </c>
      <c r="AG137" s="2" t="n">
        <f aca="false">AD131</f>
        <v>1.19</v>
      </c>
      <c r="AH137" s="2" t="n">
        <f aca="false">AD129</f>
        <v>1.77</v>
      </c>
      <c r="AI137" s="2" t="n">
        <f aca="false">AD127</f>
        <v>1.21</v>
      </c>
      <c r="AJ137" s="2" t="n">
        <f aca="false">AD125</f>
        <v>0.9</v>
      </c>
      <c r="AK137" s="2" t="n">
        <f aca="false">AD123</f>
        <v>0.45</v>
      </c>
      <c r="AL137" s="2" t="n">
        <f aca="false">AD121</f>
        <v>0.46</v>
      </c>
      <c r="AM137" s="2" t="n">
        <f aca="false">AD119</f>
        <v>1.07</v>
      </c>
      <c r="AN137" s="2" t="n">
        <f aca="false">AD117</f>
        <v>0.62</v>
      </c>
      <c r="AO137" s="2" t="n">
        <f aca="false">AD115</f>
        <v>0.86</v>
      </c>
      <c r="AP137" s="1" t="n">
        <v>0</v>
      </c>
      <c r="AQ137" s="2" t="n">
        <f aca="false">AP135</f>
        <v>0</v>
      </c>
      <c r="AR137" s="2" t="n">
        <f aca="false">AP133</f>
        <v>0</v>
      </c>
      <c r="AS137" s="2" t="n">
        <f aca="false">AP131</f>
        <v>0</v>
      </c>
      <c r="AT137" s="2" t="n">
        <f aca="false">AP129</f>
        <v>0</v>
      </c>
      <c r="AU137" s="2" t="n">
        <f aca="false">AP127</f>
        <v>0</v>
      </c>
      <c r="AV137" s="2" t="n">
        <f aca="false">AP125</f>
        <v>0</v>
      </c>
      <c r="AW137" s="2" t="n">
        <f aca="false">AP123</f>
        <v>0</v>
      </c>
      <c r="AX137" s="2" t="n">
        <f aca="false">AP121</f>
        <v>0</v>
      </c>
      <c r="AY137" s="2" t="n">
        <f aca="false">AP119</f>
        <v>0</v>
      </c>
      <c r="AZ137" s="2" t="n">
        <f aca="false">AP117</f>
        <v>0</v>
      </c>
      <c r="BA137" s="2" t="n">
        <f aca="false">AP115</f>
        <v>0</v>
      </c>
      <c r="BB137" s="1" t="n">
        <v>41</v>
      </c>
      <c r="BC137" s="2" t="n">
        <f aca="false">BB135</f>
        <v>10</v>
      </c>
      <c r="BD137" s="2" t="n">
        <f aca="false">BB133</f>
        <v>32</v>
      </c>
      <c r="BE137" s="2" t="n">
        <f aca="false">BB131</f>
        <v>11</v>
      </c>
      <c r="BF137" s="2" t="n">
        <f aca="false">BB129</f>
        <v>27</v>
      </c>
      <c r="BG137" s="2" t="n">
        <f aca="false">BB127</f>
        <v>4</v>
      </c>
      <c r="BH137" s="2" t="n">
        <f aca="false">BB125</f>
        <v>4</v>
      </c>
      <c r="BI137" s="2" t="n">
        <f aca="false">BB123</f>
        <v>8</v>
      </c>
      <c r="BJ137" s="2" t="n">
        <f aca="false">BB121</f>
        <v>12</v>
      </c>
      <c r="BK137" s="2" t="n">
        <f aca="false">BB119</f>
        <v>14</v>
      </c>
      <c r="BL137" s="2" t="n">
        <f aca="false">BB117</f>
        <v>20</v>
      </c>
      <c r="BM137" s="2" t="n">
        <f aca="false">BB115</f>
        <v>10</v>
      </c>
      <c r="BN137" s="1" t="n">
        <v>2</v>
      </c>
      <c r="BO137" s="2" t="n">
        <f aca="false">BN135</f>
        <v>0</v>
      </c>
      <c r="BP137" s="2" t="n">
        <f aca="false">BN133</f>
        <v>1</v>
      </c>
      <c r="BQ137" s="2" t="n">
        <f aca="false">BN131</f>
        <v>0</v>
      </c>
      <c r="BR137" s="2" t="n">
        <f aca="false">BN129</f>
        <v>0</v>
      </c>
      <c r="BS137" s="2" t="n">
        <f aca="false">BN127</f>
        <v>0</v>
      </c>
      <c r="BT137" s="2" t="n">
        <f aca="false">BN125</f>
        <v>0</v>
      </c>
      <c r="BU137" s="2" t="n">
        <f aca="false">BN123</f>
        <v>0</v>
      </c>
      <c r="BV137" s="2" t="n">
        <f aca="false">BN121</f>
        <v>0</v>
      </c>
      <c r="BW137" s="2" t="n">
        <f aca="false">BN119</f>
        <v>0</v>
      </c>
      <c r="BX137" s="2" t="n">
        <f aca="false">BN117</f>
        <v>0</v>
      </c>
      <c r="BY137" s="2" t="n">
        <f aca="false">BN115</f>
        <v>0</v>
      </c>
      <c r="BZ137" s="1" t="n">
        <v>1.0739</v>
      </c>
      <c r="CA137" s="2" t="n">
        <f aca="false">BZ135</f>
        <v>2.807</v>
      </c>
      <c r="CB137" s="2" t="n">
        <f aca="false">BZ133</f>
        <v>1.7925</v>
      </c>
      <c r="CC137" s="2" t="n">
        <f aca="false">BZ131</f>
        <v>4.92091</v>
      </c>
      <c r="CD137" s="2" t="n">
        <f aca="false">BZ129</f>
        <v>2.93444</v>
      </c>
      <c r="CE137" s="2" t="n">
        <f aca="false">BZ127</f>
        <v>13.6275</v>
      </c>
      <c r="CF137" s="2" t="n">
        <f aca="false">BZ125</f>
        <v>10.1525</v>
      </c>
      <c r="CG137" s="2" t="n">
        <f aca="false">BZ123</f>
        <v>2.61875</v>
      </c>
      <c r="CH137" s="2" t="n">
        <f aca="false">BZ121</f>
        <v>1.79583</v>
      </c>
      <c r="CI137" s="2" t="n">
        <f aca="false">BZ119</f>
        <v>3.57</v>
      </c>
      <c r="CJ137" s="2" t="n">
        <f aca="false">BZ117</f>
        <v>1.4585</v>
      </c>
      <c r="CK137" s="2" t="n">
        <f aca="false">BZ115</f>
        <v>4.006</v>
      </c>
      <c r="CL137" s="1" t="n">
        <v>0</v>
      </c>
      <c r="CM137" s="2" t="n">
        <f aca="false">CL135</f>
        <v>0</v>
      </c>
      <c r="CN137" s="2" t="n">
        <f aca="false">CL133</f>
        <v>0</v>
      </c>
      <c r="CO137" s="2" t="n">
        <f aca="false">CL131</f>
        <v>0</v>
      </c>
      <c r="CP137" s="2" t="n">
        <f aca="false">CL129</f>
        <v>0</v>
      </c>
      <c r="CQ137" s="2" t="n">
        <f aca="false">CL127</f>
        <v>2</v>
      </c>
      <c r="CR137" s="2" t="n">
        <f aca="false">CL125</f>
        <v>1</v>
      </c>
      <c r="CS137" s="2" t="n">
        <f aca="false">CL123</f>
        <v>0</v>
      </c>
      <c r="CT137" s="2" t="n">
        <f aca="false">CL121</f>
        <v>0</v>
      </c>
      <c r="CU137" s="2" t="n">
        <f aca="false">CL119</f>
        <v>0</v>
      </c>
      <c r="CV137" s="2" t="n">
        <f aca="false">CL117</f>
        <v>0</v>
      </c>
      <c r="CW137" s="2" t="n">
        <f aca="false">CL115</f>
        <v>0</v>
      </c>
      <c r="CX137" s="1" t="n">
        <v>47.0408</v>
      </c>
      <c r="CY137" s="2" t="n">
        <f aca="false">CX135</f>
        <v>70.3914</v>
      </c>
      <c r="CZ137" s="2" t="n">
        <f aca="false">CX133</f>
        <v>60.8437</v>
      </c>
      <c r="DA137" s="2" t="n">
        <f aca="false">CX131</f>
        <v>78.5131</v>
      </c>
      <c r="DB137" s="2" t="n">
        <f aca="false">CX129</f>
        <v>71.1819</v>
      </c>
      <c r="DC137" s="2" t="n">
        <f aca="false">CX127</f>
        <v>85.8031</v>
      </c>
      <c r="DD137" s="2" t="n">
        <f aca="false">CX125</f>
        <v>84.3746</v>
      </c>
      <c r="DE137" s="2" t="n">
        <f aca="false">CX123</f>
        <v>69.1001</v>
      </c>
      <c r="DF137" s="2" t="n">
        <f aca="false">CX121</f>
        <v>60.889</v>
      </c>
      <c r="DG137" s="2" t="n">
        <f aca="false">CX119</f>
        <v>74.3518</v>
      </c>
      <c r="DH137" s="2" t="n">
        <f aca="false">CX117</f>
        <v>55.5641</v>
      </c>
      <c r="DI137" s="2" t="n">
        <f aca="false">CX115</f>
        <v>75.984</v>
      </c>
      <c r="DJ137" s="1" t="s">
        <v>174</v>
      </c>
      <c r="DK137" s="2" t="str">
        <f aca="false">DJ135</f>
        <v>LH</v>
      </c>
      <c r="DL137" s="2" t="str">
        <f aca="false">DJ133</f>
        <v>HH</v>
      </c>
      <c r="DM137" s="2" t="str">
        <f aca="false">DJ131</f>
        <v>HH</v>
      </c>
      <c r="DN137" s="2" t="str">
        <f aca="false">DJ129</f>
        <v>LH</v>
      </c>
      <c r="DO137" s="2" t="str">
        <f aca="false">DJ127</f>
        <v>LH</v>
      </c>
      <c r="DP137" s="2" t="str">
        <f aca="false">DJ125</f>
        <v>LH</v>
      </c>
      <c r="DQ137" s="2" t="str">
        <f aca="false">DJ123</f>
        <v>LH</v>
      </c>
      <c r="DR137" s="2" t="str">
        <f aca="false">DJ121</f>
        <v>LH</v>
      </c>
      <c r="DS137" s="2" t="str">
        <f aca="false">DJ119</f>
        <v>HH</v>
      </c>
      <c r="DT137" s="2" t="str">
        <f aca="false">DJ117</f>
        <v>LH</v>
      </c>
      <c r="DU137" s="2" t="str">
        <f aca="false">DJ115</f>
        <v>LH</v>
      </c>
      <c r="DV137" s="2" t="n">
        <f aca="false">IFERROR((G137-$F137)/$F137*100,"")</f>
        <v>1.12158196952189</v>
      </c>
      <c r="DW137" s="2" t="n">
        <f aca="false">IFERROR((H137-$F137)/$F137*100,"")</f>
        <v>1.78650242525188</v>
      </c>
      <c r="DX137" s="2" t="n">
        <f aca="false">IFERROR((I137-$F137)/$F137*100,"")</f>
        <v>1.67072908372719</v>
      </c>
      <c r="DY137" s="2" t="n">
        <f aca="false">IFERROR((J137-$F137)/$F137*100,"")</f>
        <v>1.13422388612515</v>
      </c>
      <c r="DZ137" s="2" t="n">
        <f aca="false">IFERROR((K137-$F137)/$F137*100,"")</f>
        <v>1.27794251698341</v>
      </c>
      <c r="EA137" s="2" t="n">
        <f aca="false">IFERROR((L137-$F137)/$F137*100,"")</f>
        <v>1.41567287155591</v>
      </c>
      <c r="EB137" s="2" t="n">
        <f aca="false">IFERROR((M137-$F137)/$F137*100,"")</f>
        <v>3.47186951767761</v>
      </c>
      <c r="EC137" s="2" t="n">
        <f aca="false">IFERROR((N137-$F137)/$F137*100,"")</f>
        <v>4.46259656095511</v>
      </c>
      <c r="ED137" s="2" t="n">
        <f aca="false">IFERROR((O137-$F137)/$F137*100,"")</f>
        <v>4.65621749419469</v>
      </c>
      <c r="EE137" s="2" t="n">
        <f aca="false">IFERROR((P137-$F137)/$F137*100,"")</f>
        <v>4.39140260955773</v>
      </c>
      <c r="EF137" s="2" t="n">
        <f aca="false">IFERROR((Q137-$F137)/$F137*100,"")</f>
        <v>4.455721132627</v>
      </c>
      <c r="EG137" s="2" t="str">
        <f aca="false">IF(DV137="","",IF(AND(ABS(DV137)&lt;=0.25,$E137="Bottom",DK137="LL"),"EQL",IF(AND(ABS(DV137)&lt;=0.25,$E137="Peak",DK137="HH"),"EQH","")))</f>
        <v/>
      </c>
      <c r="EH137" s="2" t="str">
        <f aca="false">IF(DW137="","",IF(AND(ABS(DW137)&lt;=0.25,$E137="Bottom",DL137="LL"),"EQL",IF(AND(ABS(DW137)&lt;=0.25,$E137="Peak",DL137="HH"),"EQH","")))</f>
        <v/>
      </c>
      <c r="EI137" s="2" t="str">
        <f aca="false">IF(DX137="","",IF(AND(ABS(DX137)&lt;=0.25,$E137="Bottom",DM137="LL"),"EQL",IF(AND(ABS(DX137)&lt;=0.25,$E137="Peak",DM137="HH"),"EQH","")))</f>
        <v/>
      </c>
      <c r="EJ137" s="2" t="str">
        <f aca="false">IF(DY137="","",IF(AND(ABS(DY137)&lt;=0.25,$E137="Bottom",DN137="LL"),"EQL",IF(AND(ABS(DY137)&lt;=0.25,$E137="Peak",DN137="HH"),"EQH","")))</f>
        <v/>
      </c>
      <c r="EK137" s="2" t="str">
        <f aca="false">IF(DZ137="","",IF(AND(ABS(DZ137)&lt;=0.25,$E137="Bottom",DO137="LL"),"EQL",IF(AND(ABS(DZ137)&lt;=0.25,$E137="Peak",DO137="HH"),"EQH","")))</f>
        <v/>
      </c>
      <c r="EL137" s="2" t="str">
        <f aca="false">IF(EA137="","",IF(AND(ABS(EA137)&lt;=0.25,$E137="Bottom",DP137="LL"),"EQL",IF(AND(ABS(EA137)&lt;=0.25,$E137="Peak",DP137="HH"),"EQH","")))</f>
        <v/>
      </c>
      <c r="EM137" s="2" t="str">
        <f aca="false">IF(EB137="","",IF(AND(ABS(EB137)&lt;=0.25,$E137="Bottom",DQ137="LL"),"EQL",IF(AND(ABS(EB137)&lt;=0.25,$E137="Peak",DQ137="HH"),"EQH","")))</f>
        <v/>
      </c>
      <c r="EN137" s="2" t="str">
        <f aca="false">IF(EC137="","",IF(AND(ABS(EC137)&lt;=0.25,$E137="Bottom",DR137="LL"),"EQL",IF(AND(ABS(EC137)&lt;=0.25,$E137="Peak",DR137="HH"),"EQH","")))</f>
        <v/>
      </c>
      <c r="EO137" s="2" t="str">
        <f aca="false">IF(ED137="","",IF(AND(ABS(ED137)&lt;=0.25,$E137="Bottom",DS137="LL"),"EQL",IF(AND(ABS(ED137)&lt;=0.25,$E137="Peak",DS137="HH"),"EQH","")))</f>
        <v/>
      </c>
      <c r="EP137" s="2" t="str">
        <f aca="false">IF(EE137="","",IF(AND(ABS(EE137)&lt;=0.25,$E137="Bottom",DT137="LL"),"EQL",IF(AND(ABS(EE137)&lt;=0.25,$E137="Peak",DT137="HH"),"EQH","")))</f>
        <v/>
      </c>
      <c r="EQ137" s="2" t="str">
        <f aca="false">IF(EF137="","",IF(AND(ABS(EF137)&lt;=0.25,$E137="Bottom",DU137="LL"),"EQL",IF(AND(ABS(EF137)&lt;=0.25,$E137="Peak",DU137="HH"),"EQH","")))</f>
        <v/>
      </c>
      <c r="ER137" s="2" t="str">
        <f aca="false">IF(OR(EG137="EQL",EG137="EQH"),G137,"")</f>
        <v/>
      </c>
      <c r="ES137" s="2" t="str">
        <f aca="false">IF(OR(EH137="EQL",EH137="EQH"),H137,"")</f>
        <v/>
      </c>
      <c r="ET137" s="2" t="str">
        <f aca="false">IF(OR(EI137="EQL",EI137="EQH"),I137,"")</f>
        <v/>
      </c>
      <c r="EU137" s="2" t="str">
        <f aca="false">IF(OR(EJ137="EQL",EJ137="EQH"),J137,"")</f>
        <v/>
      </c>
      <c r="EV137" s="2" t="str">
        <f aca="false">IF(OR(EK137="EQL",EK137="EQH"),K137,"")</f>
        <v/>
      </c>
      <c r="EW137" s="2" t="str">
        <f aca="false">IF(OR(EL137="EQL",EL137="EQH"),L137,"")</f>
        <v/>
      </c>
      <c r="EX137" s="2" t="str">
        <f aca="false">IF(OR(EM137="EQL",EM137="EQH"),M137,"")</f>
        <v/>
      </c>
      <c r="EY137" s="2" t="str">
        <f aca="false">IF(OR(EN137="EQL",EN137="EQH"),N137,"")</f>
        <v/>
      </c>
      <c r="EZ137" s="2" t="str">
        <f aca="false">IF(OR(EO137="EQL",EO137="EQH"),O137,"")</f>
        <v/>
      </c>
      <c r="FA137" s="2" t="str">
        <f aca="false">IF(OR(EP137="EQL",EP137="EQH"),P137,"")</f>
        <v/>
      </c>
      <c r="FB137" s="2" t="str">
        <f aca="false">IF(OR(EQ137="EQL",EQ137="EQH"),Q137,"")</f>
        <v/>
      </c>
      <c r="FC137" s="2" t="str">
        <f aca="false">IF(AND(EG137="EQL",OR(AQ137=4,AQ137=5)),"IEQL",IF(AND(EG137="EQH",OR(AQ137=1,AQ137=2)),"IEQH",""))</f>
        <v/>
      </c>
      <c r="FD137" s="2" t="str">
        <f aca="false">IF(AND(EH137="EQL",OR(AR137=4,AR137=5)),"IEQL",IF(AND(EH137="EQH",OR(AR137=1,AR137=2)),"IEQH",""))</f>
        <v/>
      </c>
      <c r="FE137" s="2" t="str">
        <f aca="false">IF(AND(EI137="EQL",OR(AS137=4,AS137=5)),"IEQL",IF(AND(EI137="EQH",OR(AS137=1,AS137=2)),"IEQH",""))</f>
        <v/>
      </c>
      <c r="FF137" s="2" t="str">
        <f aca="false">IF(AND(EJ137="EQL",OR(AT137=4,AT137=5)),"IEQL",IF(AND(EJ137="EQH",OR(AT137=1,AT137=2)),"IEQH",""))</f>
        <v/>
      </c>
      <c r="FG137" s="2" t="str">
        <f aca="false">IF(AND(EK137="EQL",OR(AU137=4,AU137=5)),"IEQL",IF(AND(EK137="EQH",OR(AU137=1,AU137=2)),"IEQH",""))</f>
        <v/>
      </c>
      <c r="FH137" s="2" t="str">
        <f aca="false">IF(AND(EL137="EQL",OR(AV137=4,AV137=5)),"IEQL",IF(AND(EL137="EQH",OR(AV137=1,AV137=2)),"IEQH",""))</f>
        <v/>
      </c>
      <c r="FI137" s="2" t="str">
        <f aca="false">IF(AND(EM137="EQL",OR(AW137=4,AW137=5)),"IEQL",IF(AND(EM137="EQH",OR(AW137=1,AW137=2)),"IEQH",""))</f>
        <v/>
      </c>
      <c r="FJ137" s="2" t="str">
        <f aca="false">IF(AND(EN137="EQL",OR(AX137=4,AX137=5)),"IEQL",IF(AND(EN137="EQH",OR(AX137=1,AX137=2)),"IEQH",""))</f>
        <v/>
      </c>
      <c r="FK137" s="2" t="str">
        <f aca="false">IF(AND(EO137="EQL",OR(AY137=4,AY137=5)),"IEQL",IF(AND(EO137="EQH",OR(AY137=1,AY137=2)),"IEQH",""))</f>
        <v/>
      </c>
      <c r="FL137" s="2" t="str">
        <f aca="false">IF(AND(EP137="EQL",OR(AZ137=4,AZ137=5)),"IEQL",IF(AND(EP137="EQH",OR(AZ137=1,AZ137=2)),"IEQH",""))</f>
        <v/>
      </c>
      <c r="FM137" s="2" t="str">
        <f aca="false">IF(AND(EQ137="EQL",OR(BA137=4,BA137=5)),"IEQL",IF(AND(EQ137="EQH",OR(BA137=1,BA137=2)),"IEQH",""))</f>
        <v/>
      </c>
    </row>
    <row r="138" customFormat="false" ht="14.25" hidden="false" customHeight="false" outlineLevel="0" collapsed="false">
      <c r="A138" s="1" t="n">
        <v>1779246002</v>
      </c>
      <c r="B138" s="1" t="s">
        <v>169</v>
      </c>
      <c r="C138" s="1" t="s">
        <v>170</v>
      </c>
      <c r="D138" s="1" t="n">
        <v>4458.01</v>
      </c>
      <c r="E138" s="1" t="s">
        <v>171</v>
      </c>
      <c r="F138" s="1" t="n">
        <v>4453.69</v>
      </c>
      <c r="G138" s="2" t="n">
        <f aca="false">F136</f>
        <v>4464.78</v>
      </c>
      <c r="H138" s="2" t="n">
        <f aca="false">F134</f>
        <v>4531.31</v>
      </c>
      <c r="I138" s="2" t="n">
        <f aca="false">F132</f>
        <v>4532</v>
      </c>
      <c r="J138" s="2" t="n">
        <f aca="false">F130</f>
        <v>4530.01</v>
      </c>
      <c r="K138" s="2" t="n">
        <f aca="false">F128</f>
        <v>4480.72</v>
      </c>
      <c r="L138" s="2" t="n">
        <f aca="false">F126</f>
        <v>4511.92</v>
      </c>
      <c r="M138" s="2" t="n">
        <f aca="false">F124</f>
        <v>4532.03</v>
      </c>
      <c r="N138" s="2" t="n">
        <f aca="false">F122</f>
        <v>4644.4</v>
      </c>
      <c r="O138" s="2" t="n">
        <f aca="false">F120</f>
        <v>4688.47</v>
      </c>
      <c r="P138" s="2" t="n">
        <f aca="false">F118</f>
        <v>4668.77</v>
      </c>
      <c r="Q138" s="2" t="n">
        <f aca="false">F116</f>
        <v>4677.64</v>
      </c>
      <c r="R138" s="1" t="n">
        <v>-55.12</v>
      </c>
      <c r="S138" s="2" t="n">
        <f aca="false">R136</f>
        <v>-94.6</v>
      </c>
      <c r="T138" s="2" t="n">
        <f aca="false">R134</f>
        <v>-58.05</v>
      </c>
      <c r="U138" s="2" t="n">
        <f aca="false">R132</f>
        <v>-52.14</v>
      </c>
      <c r="V138" s="2" t="n">
        <f aca="false">R130</f>
        <v>-29.94</v>
      </c>
      <c r="W138" s="2" t="n">
        <f aca="false">R128</f>
        <v>-85.71</v>
      </c>
      <c r="X138" s="2" t="n">
        <f aca="false">R126</f>
        <v>-60.72</v>
      </c>
      <c r="Y138" s="2" t="n">
        <f aca="false">R124</f>
        <v>-133.32</v>
      </c>
      <c r="Z138" s="2" t="n">
        <f aca="false">R122</f>
        <v>-65.62</v>
      </c>
      <c r="AA138" s="2" t="n">
        <f aca="false">R120</f>
        <v>-30.28</v>
      </c>
      <c r="AB138" s="2" t="n">
        <f aca="false">R118</f>
        <v>-38.04</v>
      </c>
      <c r="AC138" s="2" t="n">
        <f aca="false">R116</f>
        <v>-32.07</v>
      </c>
      <c r="AD138" s="1" t="n">
        <v>-1.22</v>
      </c>
      <c r="AE138" s="2" t="n">
        <f aca="false">AD136</f>
        <v>-2.07</v>
      </c>
      <c r="AF138" s="2" t="n">
        <f aca="false">AD134</f>
        <v>-1.26</v>
      </c>
      <c r="AG138" s="2" t="n">
        <f aca="false">AD132</f>
        <v>-1.14</v>
      </c>
      <c r="AH138" s="2" t="n">
        <f aca="false">AD130</f>
        <v>-0.66</v>
      </c>
      <c r="AI138" s="2" t="n">
        <f aca="false">AD128</f>
        <v>-1.88</v>
      </c>
      <c r="AJ138" s="2" t="n">
        <f aca="false">AD126</f>
        <v>-1.33</v>
      </c>
      <c r="AK138" s="2" t="n">
        <f aca="false">AD124</f>
        <v>-2.86</v>
      </c>
      <c r="AL138" s="2" t="n">
        <f aca="false">AD122</f>
        <v>-1.39</v>
      </c>
      <c r="AM138" s="2" t="n">
        <f aca="false">AD120</f>
        <v>-0.64</v>
      </c>
      <c r="AN138" s="2" t="n">
        <f aca="false">AD118</f>
        <v>-0.81</v>
      </c>
      <c r="AO138" s="2" t="n">
        <f aca="false">AD116</f>
        <v>-0.68</v>
      </c>
      <c r="AP138" s="1" t="n">
        <v>3</v>
      </c>
      <c r="AQ138" s="2" t="n">
        <f aca="false">AP136</f>
        <v>4</v>
      </c>
      <c r="AR138" s="2" t="n">
        <f aca="false">AP134</f>
        <v>3</v>
      </c>
      <c r="AS138" s="2" t="n">
        <f aca="false">AP132</f>
        <v>3</v>
      </c>
      <c r="AT138" s="2" t="n">
        <f aca="false">AP130</f>
        <v>3</v>
      </c>
      <c r="AU138" s="2" t="n">
        <f aca="false">AP128</f>
        <v>3</v>
      </c>
      <c r="AV138" s="2" t="n">
        <f aca="false">AP126</f>
        <v>3</v>
      </c>
      <c r="AW138" s="2" t="n">
        <f aca="false">AP124</f>
        <v>5</v>
      </c>
      <c r="AX138" s="2" t="n">
        <f aca="false">AP122</f>
        <v>3</v>
      </c>
      <c r="AY138" s="2" t="n">
        <f aca="false">AP120</f>
        <v>3</v>
      </c>
      <c r="AZ138" s="2" t="n">
        <f aca="false">AP118</f>
        <v>3</v>
      </c>
      <c r="BA138" s="2" t="n">
        <f aca="false">AP116</f>
        <v>3</v>
      </c>
      <c r="BB138" s="1" t="n">
        <v>9</v>
      </c>
      <c r="BC138" s="2" t="n">
        <f aca="false">BB136</f>
        <v>23</v>
      </c>
      <c r="BD138" s="2" t="n">
        <f aca="false">BB134</f>
        <v>21</v>
      </c>
      <c r="BE138" s="2" t="n">
        <f aca="false">BB132</f>
        <v>5</v>
      </c>
      <c r="BF138" s="2" t="n">
        <f aca="false">BB130</f>
        <v>14</v>
      </c>
      <c r="BG138" s="2" t="n">
        <f aca="false">BB128</f>
        <v>36</v>
      </c>
      <c r="BH138" s="2" t="n">
        <f aca="false">BB126</f>
        <v>12</v>
      </c>
      <c r="BI138" s="2" t="n">
        <f aca="false">BB124</f>
        <v>41</v>
      </c>
      <c r="BJ138" s="2" t="n">
        <f aca="false">BB122</f>
        <v>32</v>
      </c>
      <c r="BK138" s="2" t="n">
        <f aca="false">BB120</f>
        <v>8</v>
      </c>
      <c r="BL138" s="2" t="n">
        <f aca="false">BB118</f>
        <v>13</v>
      </c>
      <c r="BM138" s="2" t="n">
        <f aca="false">BB116</f>
        <v>10</v>
      </c>
      <c r="BN138" s="1" t="n">
        <v>3</v>
      </c>
      <c r="BO138" s="2" t="n">
        <f aca="false">BN136</f>
        <v>3</v>
      </c>
      <c r="BP138" s="2" t="n">
        <f aca="false">BN134</f>
        <v>3</v>
      </c>
      <c r="BQ138" s="2" t="n">
        <f aca="false">BN132</f>
        <v>3</v>
      </c>
      <c r="BR138" s="2" t="n">
        <f aca="false">BN130</f>
        <v>3</v>
      </c>
      <c r="BS138" s="2" t="n">
        <f aca="false">BN128</f>
        <v>4</v>
      </c>
      <c r="BT138" s="2" t="n">
        <f aca="false">BN126</f>
        <v>3</v>
      </c>
      <c r="BU138" s="2" t="n">
        <f aca="false">BN124</f>
        <v>5</v>
      </c>
      <c r="BV138" s="2" t="n">
        <f aca="false">BN122</f>
        <v>4</v>
      </c>
      <c r="BW138" s="2" t="n">
        <f aca="false">BN120</f>
        <v>3</v>
      </c>
      <c r="BX138" s="2" t="n">
        <f aca="false">BN118</f>
        <v>3</v>
      </c>
      <c r="BY138" s="2" t="n">
        <f aca="false">BN116</f>
        <v>3</v>
      </c>
      <c r="BZ138" s="1" t="n">
        <v>-6.12444</v>
      </c>
      <c r="CA138" s="2" t="n">
        <f aca="false">BZ136</f>
        <v>-4.11304</v>
      </c>
      <c r="CB138" s="2" t="n">
        <f aca="false">BZ134</f>
        <v>-2.76429</v>
      </c>
      <c r="CC138" s="2" t="n">
        <f aca="false">BZ132</f>
        <v>-10.428</v>
      </c>
      <c r="CD138" s="2" t="n">
        <f aca="false">BZ130</f>
        <v>-2.13857</v>
      </c>
      <c r="CE138" s="2" t="n">
        <f aca="false">BZ128</f>
        <v>-2.38083</v>
      </c>
      <c r="CF138" s="2" t="n">
        <f aca="false">BZ126</f>
        <v>-5.06</v>
      </c>
      <c r="CG138" s="2" t="n">
        <f aca="false">BZ124</f>
        <v>-3.25171</v>
      </c>
      <c r="CH138" s="2" t="n">
        <f aca="false">BZ122</f>
        <v>-2.05063</v>
      </c>
      <c r="CI138" s="2" t="n">
        <f aca="false">BZ120</f>
        <v>-3.785</v>
      </c>
      <c r="CJ138" s="2" t="n">
        <f aca="false">BZ118</f>
        <v>-2.92615</v>
      </c>
      <c r="CK138" s="2" t="n">
        <f aca="false">BZ116</f>
        <v>-3.207</v>
      </c>
      <c r="CL138" s="1" t="n">
        <v>3</v>
      </c>
      <c r="CM138" s="2" t="n">
        <f aca="false">CL136</f>
        <v>3</v>
      </c>
      <c r="CN138" s="2" t="n">
        <f aca="false">CL134</f>
        <v>3</v>
      </c>
      <c r="CO138" s="2" t="n">
        <f aca="false">CL132</f>
        <v>4</v>
      </c>
      <c r="CP138" s="2" t="n">
        <f aca="false">CL130</f>
        <v>3</v>
      </c>
      <c r="CQ138" s="2" t="n">
        <f aca="false">CL128</f>
        <v>3</v>
      </c>
      <c r="CR138" s="2" t="n">
        <f aca="false">CL126</f>
        <v>3</v>
      </c>
      <c r="CS138" s="2" t="n">
        <f aca="false">CL124</f>
        <v>3</v>
      </c>
      <c r="CT138" s="2" t="n">
        <f aca="false">CL122</f>
        <v>3</v>
      </c>
      <c r="CU138" s="2" t="n">
        <f aca="false">CL120</f>
        <v>3</v>
      </c>
      <c r="CV138" s="2" t="n">
        <f aca="false">CL118</f>
        <v>3</v>
      </c>
      <c r="CW138" s="2" t="n">
        <f aca="false">CL116</f>
        <v>3</v>
      </c>
      <c r="CX138" s="1" t="n">
        <v>-80.7266</v>
      </c>
      <c r="CY138" s="2" t="n">
        <f aca="false">CX136</f>
        <v>-76.3349</v>
      </c>
      <c r="CZ138" s="2" t="n">
        <f aca="false">CX134</f>
        <v>-70.112</v>
      </c>
      <c r="DA138" s="2" t="n">
        <f aca="false">CX132</f>
        <v>-84.5223</v>
      </c>
      <c r="DB138" s="2" t="n">
        <f aca="false">CX130</f>
        <v>-64.9391</v>
      </c>
      <c r="DC138" s="2" t="n">
        <f aca="false">CX128</f>
        <v>-67.2166</v>
      </c>
      <c r="DD138" s="2" t="n">
        <f aca="false">CX126</f>
        <v>-78.8208</v>
      </c>
      <c r="DE138" s="2" t="n">
        <f aca="false">CX124</f>
        <v>-72.9057</v>
      </c>
      <c r="DF138" s="2" t="n">
        <f aca="false">CX122</f>
        <v>-64.0035</v>
      </c>
      <c r="DG138" s="2" t="n">
        <f aca="false">CX120</f>
        <v>-75.2006</v>
      </c>
      <c r="DH138" s="2" t="n">
        <f aca="false">CX118</f>
        <v>-71.1324</v>
      </c>
      <c r="DI138" s="2" t="n">
        <f aca="false">CX116</f>
        <v>-72.6816</v>
      </c>
      <c r="DJ138" s="1" t="s">
        <v>172</v>
      </c>
      <c r="DK138" s="2" t="str">
        <f aca="false">DJ136</f>
        <v>LL</v>
      </c>
      <c r="DL138" s="2" t="str">
        <f aca="false">DJ134</f>
        <v>LL</v>
      </c>
      <c r="DM138" s="2" t="str">
        <f aca="false">DJ132</f>
        <v>HL</v>
      </c>
      <c r="DN138" s="2" t="str">
        <f aca="false">DJ130</f>
        <v>HL</v>
      </c>
      <c r="DO138" s="2" t="str">
        <f aca="false">DJ128</f>
        <v>LL</v>
      </c>
      <c r="DP138" s="2" t="str">
        <f aca="false">DJ126</f>
        <v>LL</v>
      </c>
      <c r="DQ138" s="2" t="str">
        <f aca="false">DJ124</f>
        <v>LL</v>
      </c>
      <c r="DR138" s="2" t="str">
        <f aca="false">DJ122</f>
        <v>LL</v>
      </c>
      <c r="DS138" s="2" t="str">
        <f aca="false">DJ120</f>
        <v>HL</v>
      </c>
      <c r="DT138" s="2" t="str">
        <f aca="false">DJ118</f>
        <v>LL</v>
      </c>
      <c r="DU138" s="2" t="str">
        <f aca="false">DJ116</f>
        <v>HL</v>
      </c>
      <c r="DV138" s="2" t="n">
        <f aca="false">IFERROR((G138-$F138)/$F138*100,"")</f>
        <v>0.249007003181635</v>
      </c>
      <c r="DW138" s="2" t="n">
        <f aca="false">IFERROR((H138-$F138)/$F138*100,"")</f>
        <v>1.74282448935604</v>
      </c>
      <c r="DX138" s="2" t="n">
        <f aca="false">IFERROR((I138-$F138)/$F138*100,"")</f>
        <v>1.75831726051882</v>
      </c>
      <c r="DY138" s="2" t="n">
        <f aca="false">IFERROR((J138-$F138)/$F138*100,"")</f>
        <v>1.71363521035368</v>
      </c>
      <c r="DZ138" s="2" t="n">
        <f aca="false">IFERROR((K138-$F138)/$F138*100,"")</f>
        <v>0.606912470333603</v>
      </c>
      <c r="EA138" s="2" t="n">
        <f aca="false">IFERROR((L138-$F138)/$F138*100,"")</f>
        <v>1.30745516639013</v>
      </c>
      <c r="EB138" s="2" t="n">
        <f aca="false">IFERROR((M138-$F138)/$F138*100,"")</f>
        <v>1.75899085926502</v>
      </c>
      <c r="EC138" s="2" t="n">
        <f aca="false">IFERROR((N138-$F138)/$F138*100,"")</f>
        <v>4.28206722964553</v>
      </c>
      <c r="ED138" s="2" t="n">
        <f aca="false">IFERROR((O138-$F138)/$F138*100,"")</f>
        <v>5.27158378782539</v>
      </c>
      <c r="EE138" s="2" t="n">
        <f aca="false">IFERROR((P138-$F138)/$F138*100,"")</f>
        <v>4.82925394448201</v>
      </c>
      <c r="EF138" s="2" t="n">
        <f aca="false">IFERROR((Q138-$F138)/$F138*100,"")</f>
        <v>5.02841464044423</v>
      </c>
      <c r="EG138" s="2" t="str">
        <f aca="false">IF(DV138="","",IF(AND(ABS(DV138)&lt;=0.25,$E138="Bottom",DK138="LL"),"EQL",IF(AND(ABS(DV138)&lt;=0.25,$E138="Peak",DK138="HH"),"EQH","")))</f>
        <v>EQL</v>
      </c>
      <c r="EH138" s="2" t="str">
        <f aca="false">IF(DW138="","",IF(AND(ABS(DW138)&lt;=0.25,$E138="Bottom",DL138="LL"),"EQL",IF(AND(ABS(DW138)&lt;=0.25,$E138="Peak",DL138="HH"),"EQH","")))</f>
        <v/>
      </c>
      <c r="EI138" s="2" t="str">
        <f aca="false">IF(DX138="","",IF(AND(ABS(DX138)&lt;=0.25,$E138="Bottom",DM138="LL"),"EQL",IF(AND(ABS(DX138)&lt;=0.25,$E138="Peak",DM138="HH"),"EQH","")))</f>
        <v/>
      </c>
      <c r="EJ138" s="2" t="str">
        <f aca="false">IF(DY138="","",IF(AND(ABS(DY138)&lt;=0.25,$E138="Bottom",DN138="LL"),"EQL",IF(AND(ABS(DY138)&lt;=0.25,$E138="Peak",DN138="HH"),"EQH","")))</f>
        <v/>
      </c>
      <c r="EK138" s="2" t="str">
        <f aca="false">IF(DZ138="","",IF(AND(ABS(DZ138)&lt;=0.25,$E138="Bottom",DO138="LL"),"EQL",IF(AND(ABS(DZ138)&lt;=0.25,$E138="Peak",DO138="HH"),"EQH","")))</f>
        <v/>
      </c>
      <c r="EL138" s="2" t="str">
        <f aca="false">IF(EA138="","",IF(AND(ABS(EA138)&lt;=0.25,$E138="Bottom",DP138="LL"),"EQL",IF(AND(ABS(EA138)&lt;=0.25,$E138="Peak",DP138="HH"),"EQH","")))</f>
        <v/>
      </c>
      <c r="EM138" s="2" t="str">
        <f aca="false">IF(EB138="","",IF(AND(ABS(EB138)&lt;=0.25,$E138="Bottom",DQ138="LL"),"EQL",IF(AND(ABS(EB138)&lt;=0.25,$E138="Peak",DQ138="HH"),"EQH","")))</f>
        <v/>
      </c>
      <c r="EN138" s="2" t="str">
        <f aca="false">IF(EC138="","",IF(AND(ABS(EC138)&lt;=0.25,$E138="Bottom",DR138="LL"),"EQL",IF(AND(ABS(EC138)&lt;=0.25,$E138="Peak",DR138="HH"),"EQH","")))</f>
        <v/>
      </c>
      <c r="EO138" s="2" t="str">
        <f aca="false">IF(ED138="","",IF(AND(ABS(ED138)&lt;=0.25,$E138="Bottom",DS138="LL"),"EQL",IF(AND(ABS(ED138)&lt;=0.25,$E138="Peak",DS138="HH"),"EQH","")))</f>
        <v/>
      </c>
      <c r="EP138" s="2" t="str">
        <f aca="false">IF(EE138="","",IF(AND(ABS(EE138)&lt;=0.25,$E138="Bottom",DT138="LL"),"EQL",IF(AND(ABS(EE138)&lt;=0.25,$E138="Peak",DT138="HH"),"EQH","")))</f>
        <v/>
      </c>
      <c r="EQ138" s="2" t="str">
        <f aca="false">IF(EF138="","",IF(AND(ABS(EF138)&lt;=0.25,$E138="Bottom",DU138="LL"),"EQL",IF(AND(ABS(EF138)&lt;=0.25,$E138="Peak",DU138="HH"),"EQH","")))</f>
        <v/>
      </c>
      <c r="ER138" s="2" t="n">
        <f aca="false">IF(OR(EG138="EQL",EG138="EQH"),G138,"")</f>
        <v>4464.78</v>
      </c>
      <c r="ES138" s="2" t="str">
        <f aca="false">IF(OR(EH138="EQL",EH138="EQH"),H138,"")</f>
        <v/>
      </c>
      <c r="ET138" s="2" t="str">
        <f aca="false">IF(OR(EI138="EQL",EI138="EQH"),I138,"")</f>
        <v/>
      </c>
      <c r="EU138" s="2" t="str">
        <f aca="false">IF(OR(EJ138="EQL",EJ138="EQH"),J138,"")</f>
        <v/>
      </c>
      <c r="EV138" s="2" t="str">
        <f aca="false">IF(OR(EK138="EQL",EK138="EQH"),K138,"")</f>
        <v/>
      </c>
      <c r="EW138" s="2" t="str">
        <f aca="false">IF(OR(EL138="EQL",EL138="EQH"),L138,"")</f>
        <v/>
      </c>
      <c r="EX138" s="2" t="str">
        <f aca="false">IF(OR(EM138="EQL",EM138="EQH"),M138,"")</f>
        <v/>
      </c>
      <c r="EY138" s="2" t="str">
        <f aca="false">IF(OR(EN138="EQL",EN138="EQH"),N138,"")</f>
        <v/>
      </c>
      <c r="EZ138" s="2" t="str">
        <f aca="false">IF(OR(EO138="EQL",EO138="EQH"),O138,"")</f>
        <v/>
      </c>
      <c r="FA138" s="2" t="str">
        <f aca="false">IF(OR(EP138="EQL",EP138="EQH"),P138,"")</f>
        <v/>
      </c>
      <c r="FB138" s="2" t="str">
        <f aca="false">IF(OR(EQ138="EQL",EQ138="EQH"),Q138,"")</f>
        <v/>
      </c>
      <c r="FC138" s="2" t="str">
        <f aca="false">IF(AND(EG138="EQL",OR(AQ138=4,AQ138=5)),"IEQL",IF(AND(EG138="EQH",OR(AQ138=1,AQ138=2)),"IEQH",""))</f>
        <v>IEQL</v>
      </c>
      <c r="FD138" s="2" t="str">
        <f aca="false">IF(AND(EH138="EQL",OR(AR138=4,AR138=5)),"IEQL",IF(AND(EH138="EQH",OR(AR138=1,AR138=2)),"IEQH",""))</f>
        <v/>
      </c>
      <c r="FE138" s="2" t="str">
        <f aca="false">IF(AND(EI138="EQL",OR(AS138=4,AS138=5)),"IEQL",IF(AND(EI138="EQH",OR(AS138=1,AS138=2)),"IEQH",""))</f>
        <v/>
      </c>
      <c r="FF138" s="2" t="str">
        <f aca="false">IF(AND(EJ138="EQL",OR(AT138=4,AT138=5)),"IEQL",IF(AND(EJ138="EQH",OR(AT138=1,AT138=2)),"IEQH",""))</f>
        <v/>
      </c>
      <c r="FG138" s="2" t="str">
        <f aca="false">IF(AND(EK138="EQL",OR(AU138=4,AU138=5)),"IEQL",IF(AND(EK138="EQH",OR(AU138=1,AU138=2)),"IEQH",""))</f>
        <v/>
      </c>
      <c r="FH138" s="2" t="str">
        <f aca="false">IF(AND(EL138="EQL",OR(AV138=4,AV138=5)),"IEQL",IF(AND(EL138="EQH",OR(AV138=1,AV138=2)),"IEQH",""))</f>
        <v/>
      </c>
      <c r="FI138" s="2" t="str">
        <f aca="false">IF(AND(EM138="EQL",OR(AW138=4,AW138=5)),"IEQL",IF(AND(EM138="EQH",OR(AW138=1,AW138=2)),"IEQH",""))</f>
        <v/>
      </c>
      <c r="FJ138" s="2" t="str">
        <f aca="false">IF(AND(EN138="EQL",OR(AX138=4,AX138=5)),"IEQL",IF(AND(EN138="EQH",OR(AX138=1,AX138=2)),"IEQH",""))</f>
        <v/>
      </c>
      <c r="FK138" s="2" t="str">
        <f aca="false">IF(AND(EO138="EQL",OR(AY138=4,AY138=5)),"IEQL",IF(AND(EO138="EQH",OR(AY138=1,AY138=2)),"IEQH",""))</f>
        <v/>
      </c>
      <c r="FL138" s="2" t="str">
        <f aca="false">IF(AND(EP138="EQL",OR(AZ138=4,AZ138=5)),"IEQL",IF(AND(EP138="EQH",OR(AZ138=1,AZ138=2)),"IEQH",""))</f>
        <v/>
      </c>
      <c r="FM138" s="2" t="str">
        <f aca="false">IF(AND(EQ138="EQL",OR(BA138=4,BA138=5)),"IEQL",IF(AND(EQ138="EQH",OR(BA138=1,BA138=2)),"IEQH",""))</f>
        <v/>
      </c>
    </row>
    <row r="139" customFormat="false" ht="14.25" hidden="false" customHeight="false" outlineLevel="0" collapsed="false">
      <c r="A139" s="1" t="n">
        <v>1779282002</v>
      </c>
      <c r="B139" s="1" t="s">
        <v>169</v>
      </c>
      <c r="C139" s="1" t="s">
        <v>170</v>
      </c>
      <c r="D139" s="1" t="n">
        <v>4505.15</v>
      </c>
      <c r="E139" s="1" t="s">
        <v>173</v>
      </c>
      <c r="F139" s="1" t="n">
        <v>4505.94</v>
      </c>
      <c r="G139" s="2" t="n">
        <f aca="false">F137</f>
        <v>4508.81</v>
      </c>
      <c r="H139" s="2" t="n">
        <f aca="false">F135</f>
        <v>4559.38</v>
      </c>
      <c r="I139" s="2" t="n">
        <f aca="false">F133</f>
        <v>4589.36</v>
      </c>
      <c r="J139" s="2" t="n">
        <f aca="false">F131</f>
        <v>4584.14</v>
      </c>
      <c r="K139" s="2" t="n">
        <f aca="false">F129</f>
        <v>4559.95</v>
      </c>
      <c r="L139" s="2" t="n">
        <f aca="false">F127</f>
        <v>4566.43</v>
      </c>
      <c r="M139" s="2" t="n">
        <f aca="false">F125</f>
        <v>4572.64</v>
      </c>
      <c r="N139" s="2" t="n">
        <f aca="false">F123</f>
        <v>4665.35</v>
      </c>
      <c r="O139" s="2" t="n">
        <f aca="false">F121</f>
        <v>4710.02</v>
      </c>
      <c r="P139" s="2" t="n">
        <f aca="false">F119</f>
        <v>4718.75</v>
      </c>
      <c r="Q139" s="2" t="n">
        <f aca="false">F117</f>
        <v>4706.81</v>
      </c>
      <c r="R139" s="1" t="n">
        <v>52.25</v>
      </c>
      <c r="S139" s="2" t="n">
        <f aca="false">R137</f>
        <v>44.03</v>
      </c>
      <c r="T139" s="2" t="n">
        <f aca="false">R135</f>
        <v>28.07</v>
      </c>
      <c r="U139" s="2" t="n">
        <f aca="false">R133</f>
        <v>57.36</v>
      </c>
      <c r="V139" s="2" t="n">
        <f aca="false">R131</f>
        <v>54.13</v>
      </c>
      <c r="W139" s="2" t="n">
        <f aca="false">R129</f>
        <v>79.23</v>
      </c>
      <c r="X139" s="2" t="n">
        <f aca="false">R127</f>
        <v>54.51</v>
      </c>
      <c r="Y139" s="2" t="n">
        <f aca="false">R125</f>
        <v>40.61</v>
      </c>
      <c r="Z139" s="2" t="n">
        <f aca="false">R123</f>
        <v>20.95</v>
      </c>
      <c r="AA139" s="2" t="n">
        <f aca="false">R121</f>
        <v>21.55</v>
      </c>
      <c r="AB139" s="2" t="n">
        <f aca="false">R119</f>
        <v>49.98</v>
      </c>
      <c r="AC139" s="2" t="n">
        <f aca="false">R117</f>
        <v>29.17</v>
      </c>
      <c r="AD139" s="1" t="n">
        <v>1.17</v>
      </c>
      <c r="AE139" s="2" t="n">
        <f aca="false">AD137</f>
        <v>0.99</v>
      </c>
      <c r="AF139" s="2" t="n">
        <f aca="false">AD135</f>
        <v>0.62</v>
      </c>
      <c r="AG139" s="2" t="n">
        <f aca="false">AD133</f>
        <v>1.27</v>
      </c>
      <c r="AH139" s="2" t="n">
        <f aca="false">AD131</f>
        <v>1.19</v>
      </c>
      <c r="AI139" s="2" t="n">
        <f aca="false">AD129</f>
        <v>1.77</v>
      </c>
      <c r="AJ139" s="2" t="n">
        <f aca="false">AD127</f>
        <v>1.21</v>
      </c>
      <c r="AK139" s="2" t="n">
        <f aca="false">AD125</f>
        <v>0.9</v>
      </c>
      <c r="AL139" s="2" t="n">
        <f aca="false">AD123</f>
        <v>0.45</v>
      </c>
      <c r="AM139" s="2" t="n">
        <f aca="false">AD121</f>
        <v>0.46</v>
      </c>
      <c r="AN139" s="2" t="n">
        <f aca="false">AD119</f>
        <v>1.07</v>
      </c>
      <c r="AO139" s="2" t="n">
        <f aca="false">AD117</f>
        <v>0.62</v>
      </c>
      <c r="AP139" s="1" t="n">
        <v>0</v>
      </c>
      <c r="AQ139" s="2" t="n">
        <f aca="false">AP137</f>
        <v>0</v>
      </c>
      <c r="AR139" s="2" t="n">
        <f aca="false">AP135</f>
        <v>0</v>
      </c>
      <c r="AS139" s="2" t="n">
        <f aca="false">AP133</f>
        <v>0</v>
      </c>
      <c r="AT139" s="2" t="n">
        <f aca="false">AP131</f>
        <v>0</v>
      </c>
      <c r="AU139" s="2" t="n">
        <f aca="false">AP129</f>
        <v>0</v>
      </c>
      <c r="AV139" s="2" t="n">
        <f aca="false">AP127</f>
        <v>0</v>
      </c>
      <c r="AW139" s="2" t="n">
        <f aca="false">AP125</f>
        <v>0</v>
      </c>
      <c r="AX139" s="2" t="n">
        <f aca="false">AP123</f>
        <v>0</v>
      </c>
      <c r="AY139" s="2" t="n">
        <f aca="false">AP121</f>
        <v>0</v>
      </c>
      <c r="AZ139" s="2" t="n">
        <f aca="false">AP119</f>
        <v>0</v>
      </c>
      <c r="BA139" s="2" t="n">
        <f aca="false">AP117</f>
        <v>0</v>
      </c>
      <c r="BB139" s="1" t="n">
        <v>40</v>
      </c>
      <c r="BC139" s="2" t="n">
        <f aca="false">BB137</f>
        <v>41</v>
      </c>
      <c r="BD139" s="2" t="n">
        <f aca="false">BB135</f>
        <v>10</v>
      </c>
      <c r="BE139" s="2" t="n">
        <f aca="false">BB133</f>
        <v>32</v>
      </c>
      <c r="BF139" s="2" t="n">
        <f aca="false">BB131</f>
        <v>11</v>
      </c>
      <c r="BG139" s="2" t="n">
        <f aca="false">BB129</f>
        <v>27</v>
      </c>
      <c r="BH139" s="2" t="n">
        <f aca="false">BB127</f>
        <v>4</v>
      </c>
      <c r="BI139" s="2" t="n">
        <f aca="false">BB125</f>
        <v>4</v>
      </c>
      <c r="BJ139" s="2" t="n">
        <f aca="false">BB123</f>
        <v>8</v>
      </c>
      <c r="BK139" s="2" t="n">
        <f aca="false">BB121</f>
        <v>12</v>
      </c>
      <c r="BL139" s="2" t="n">
        <f aca="false">BB119</f>
        <v>14</v>
      </c>
      <c r="BM139" s="2" t="n">
        <f aca="false">BB117</f>
        <v>20</v>
      </c>
      <c r="BN139" s="1" t="n">
        <v>2</v>
      </c>
      <c r="BO139" s="2" t="n">
        <f aca="false">BN137</f>
        <v>2</v>
      </c>
      <c r="BP139" s="2" t="n">
        <f aca="false">BN135</f>
        <v>0</v>
      </c>
      <c r="BQ139" s="2" t="n">
        <f aca="false">BN133</f>
        <v>1</v>
      </c>
      <c r="BR139" s="2" t="n">
        <f aca="false">BN131</f>
        <v>0</v>
      </c>
      <c r="BS139" s="2" t="n">
        <f aca="false">BN129</f>
        <v>0</v>
      </c>
      <c r="BT139" s="2" t="n">
        <f aca="false">BN127</f>
        <v>0</v>
      </c>
      <c r="BU139" s="2" t="n">
        <f aca="false">BN125</f>
        <v>0</v>
      </c>
      <c r="BV139" s="2" t="n">
        <f aca="false">BN123</f>
        <v>0</v>
      </c>
      <c r="BW139" s="2" t="n">
        <f aca="false">BN121</f>
        <v>0</v>
      </c>
      <c r="BX139" s="2" t="n">
        <f aca="false">BN119</f>
        <v>0</v>
      </c>
      <c r="BY139" s="2" t="n">
        <f aca="false">BN117</f>
        <v>0</v>
      </c>
      <c r="BZ139" s="1" t="n">
        <v>1.30625</v>
      </c>
      <c r="CA139" s="2" t="n">
        <f aca="false">BZ137</f>
        <v>1.0739</v>
      </c>
      <c r="CB139" s="2" t="n">
        <f aca="false">BZ135</f>
        <v>2.807</v>
      </c>
      <c r="CC139" s="2" t="n">
        <f aca="false">BZ133</f>
        <v>1.7925</v>
      </c>
      <c r="CD139" s="2" t="n">
        <f aca="false">BZ131</f>
        <v>4.92091</v>
      </c>
      <c r="CE139" s="2" t="n">
        <f aca="false">BZ129</f>
        <v>2.93444</v>
      </c>
      <c r="CF139" s="2" t="n">
        <f aca="false">BZ127</f>
        <v>13.6275</v>
      </c>
      <c r="CG139" s="2" t="n">
        <f aca="false">BZ125</f>
        <v>10.1525</v>
      </c>
      <c r="CH139" s="2" t="n">
        <f aca="false">BZ123</f>
        <v>2.61875</v>
      </c>
      <c r="CI139" s="2" t="n">
        <f aca="false">BZ121</f>
        <v>1.79583</v>
      </c>
      <c r="CJ139" s="2" t="n">
        <f aca="false">BZ119</f>
        <v>3.57</v>
      </c>
      <c r="CK139" s="2" t="n">
        <f aca="false">BZ117</f>
        <v>1.4585</v>
      </c>
      <c r="CL139" s="1" t="n">
        <v>0</v>
      </c>
      <c r="CM139" s="2" t="n">
        <f aca="false">CL137</f>
        <v>0</v>
      </c>
      <c r="CN139" s="2" t="n">
        <f aca="false">CL135</f>
        <v>0</v>
      </c>
      <c r="CO139" s="2" t="n">
        <f aca="false">CL133</f>
        <v>0</v>
      </c>
      <c r="CP139" s="2" t="n">
        <f aca="false">CL131</f>
        <v>0</v>
      </c>
      <c r="CQ139" s="2" t="n">
        <f aca="false">CL129</f>
        <v>0</v>
      </c>
      <c r="CR139" s="2" t="n">
        <f aca="false">CL127</f>
        <v>2</v>
      </c>
      <c r="CS139" s="2" t="n">
        <f aca="false">CL125</f>
        <v>1</v>
      </c>
      <c r="CT139" s="2" t="n">
        <f aca="false">CL123</f>
        <v>0</v>
      </c>
      <c r="CU139" s="2" t="n">
        <f aca="false">CL121</f>
        <v>0</v>
      </c>
      <c r="CV139" s="2" t="n">
        <f aca="false">CL119</f>
        <v>0</v>
      </c>
      <c r="CW139" s="2" t="n">
        <f aca="false">CL117</f>
        <v>0</v>
      </c>
      <c r="CX139" s="1" t="n">
        <v>52.5641</v>
      </c>
      <c r="CY139" s="2" t="n">
        <f aca="false">CX137</f>
        <v>47.0408</v>
      </c>
      <c r="CZ139" s="2" t="n">
        <f aca="false">CX135</f>
        <v>70.3914</v>
      </c>
      <c r="DA139" s="2" t="n">
        <f aca="false">CX133</f>
        <v>60.8437</v>
      </c>
      <c r="DB139" s="2" t="n">
        <f aca="false">CX131</f>
        <v>78.5131</v>
      </c>
      <c r="DC139" s="2" t="n">
        <f aca="false">CX129</f>
        <v>71.1819</v>
      </c>
      <c r="DD139" s="2" t="n">
        <f aca="false">CX127</f>
        <v>85.8031</v>
      </c>
      <c r="DE139" s="2" t="n">
        <f aca="false">CX125</f>
        <v>84.3746</v>
      </c>
      <c r="DF139" s="2" t="n">
        <f aca="false">CX123</f>
        <v>69.1001</v>
      </c>
      <c r="DG139" s="2" t="n">
        <f aca="false">CX121</f>
        <v>60.889</v>
      </c>
      <c r="DH139" s="2" t="n">
        <f aca="false">CX119</f>
        <v>74.3518</v>
      </c>
      <c r="DI139" s="2" t="n">
        <f aca="false">CX117</f>
        <v>55.5641</v>
      </c>
      <c r="DJ139" s="1" t="s">
        <v>174</v>
      </c>
      <c r="DK139" s="2" t="str">
        <f aca="false">DJ137</f>
        <v>LH</v>
      </c>
      <c r="DL139" s="2" t="str">
        <f aca="false">DJ135</f>
        <v>LH</v>
      </c>
      <c r="DM139" s="2" t="str">
        <f aca="false">DJ133</f>
        <v>HH</v>
      </c>
      <c r="DN139" s="2" t="str">
        <f aca="false">DJ131</f>
        <v>HH</v>
      </c>
      <c r="DO139" s="2" t="str">
        <f aca="false">DJ129</f>
        <v>LH</v>
      </c>
      <c r="DP139" s="2" t="str">
        <f aca="false">DJ127</f>
        <v>LH</v>
      </c>
      <c r="DQ139" s="2" t="str">
        <f aca="false">DJ125</f>
        <v>LH</v>
      </c>
      <c r="DR139" s="2" t="str">
        <f aca="false">DJ123</f>
        <v>LH</v>
      </c>
      <c r="DS139" s="2" t="str">
        <f aca="false">DJ121</f>
        <v>LH</v>
      </c>
      <c r="DT139" s="2" t="str">
        <f aca="false">DJ119</f>
        <v>HH</v>
      </c>
      <c r="DU139" s="2" t="str">
        <f aca="false">DJ117</f>
        <v>LH</v>
      </c>
      <c r="DV139" s="2" t="n">
        <f aca="false">IFERROR((G139-$F139)/$F139*100,"")</f>
        <v>0.0636937020910354</v>
      </c>
      <c r="DW139" s="2" t="n">
        <f aca="false">IFERROR((H139-$F139)/$F139*100,"")</f>
        <v>1.18599004869129</v>
      </c>
      <c r="DX139" s="2" t="n">
        <f aca="false">IFERROR((I139-$F139)/$F139*100,"")</f>
        <v>1.8513340168755</v>
      </c>
      <c r="DY139" s="2" t="n">
        <f aca="false">IFERROR((J139-$F139)/$F139*100,"")</f>
        <v>1.73548693502356</v>
      </c>
      <c r="DZ139" s="2" t="n">
        <f aca="false">IFERROR((K139-$F139)/$F139*100,"")</f>
        <v>1.19864001739926</v>
      </c>
      <c r="EA139" s="2" t="n">
        <f aca="false">IFERROR((L139-$F139)/$F139*100,"")</f>
        <v>1.34245018797411</v>
      </c>
      <c r="EB139" s="2" t="n">
        <f aca="false">IFERROR((M139-$F139)/$F139*100,"")</f>
        <v>1.48026826810834</v>
      </c>
      <c r="EC139" s="2" t="n">
        <f aca="false">IFERROR((N139-$F139)/$F139*100,"")</f>
        <v>3.53777458199623</v>
      </c>
      <c r="ED139" s="2" t="n">
        <f aca="false">IFERROR((O139-$F139)/$F139*100,"")</f>
        <v>4.5291326560052</v>
      </c>
      <c r="EE139" s="2" t="n">
        <f aca="false">IFERROR((P139-$F139)/$F139*100,"")</f>
        <v>4.72287691358519</v>
      </c>
      <c r="EF139" s="2" t="n">
        <f aca="false">IFERROR((Q139-$F139)/$F139*100,"")</f>
        <v>4.45789335854452</v>
      </c>
      <c r="EG139" s="2" t="str">
        <f aca="false">IF(DV139="","",IF(AND(ABS(DV139)&lt;=0.25,$E139="Bottom",DK139="LL"),"EQL",IF(AND(ABS(DV139)&lt;=0.25,$E139="Peak",DK139="HH"),"EQH","")))</f>
        <v/>
      </c>
      <c r="EH139" s="2" t="str">
        <f aca="false">IF(DW139="","",IF(AND(ABS(DW139)&lt;=0.25,$E139="Bottom",DL139="LL"),"EQL",IF(AND(ABS(DW139)&lt;=0.25,$E139="Peak",DL139="HH"),"EQH","")))</f>
        <v/>
      </c>
      <c r="EI139" s="2" t="str">
        <f aca="false">IF(DX139="","",IF(AND(ABS(DX139)&lt;=0.25,$E139="Bottom",DM139="LL"),"EQL",IF(AND(ABS(DX139)&lt;=0.25,$E139="Peak",DM139="HH"),"EQH","")))</f>
        <v/>
      </c>
      <c r="EJ139" s="2" t="str">
        <f aca="false">IF(DY139="","",IF(AND(ABS(DY139)&lt;=0.25,$E139="Bottom",DN139="LL"),"EQL",IF(AND(ABS(DY139)&lt;=0.25,$E139="Peak",DN139="HH"),"EQH","")))</f>
        <v/>
      </c>
      <c r="EK139" s="2" t="str">
        <f aca="false">IF(DZ139="","",IF(AND(ABS(DZ139)&lt;=0.25,$E139="Bottom",DO139="LL"),"EQL",IF(AND(ABS(DZ139)&lt;=0.25,$E139="Peak",DO139="HH"),"EQH","")))</f>
        <v/>
      </c>
      <c r="EL139" s="2" t="str">
        <f aca="false">IF(EA139="","",IF(AND(ABS(EA139)&lt;=0.25,$E139="Bottom",DP139="LL"),"EQL",IF(AND(ABS(EA139)&lt;=0.25,$E139="Peak",DP139="HH"),"EQH","")))</f>
        <v/>
      </c>
      <c r="EM139" s="2" t="str">
        <f aca="false">IF(EB139="","",IF(AND(ABS(EB139)&lt;=0.25,$E139="Bottom",DQ139="LL"),"EQL",IF(AND(ABS(EB139)&lt;=0.25,$E139="Peak",DQ139="HH"),"EQH","")))</f>
        <v/>
      </c>
      <c r="EN139" s="2" t="str">
        <f aca="false">IF(EC139="","",IF(AND(ABS(EC139)&lt;=0.25,$E139="Bottom",DR139="LL"),"EQL",IF(AND(ABS(EC139)&lt;=0.25,$E139="Peak",DR139="HH"),"EQH","")))</f>
        <v/>
      </c>
      <c r="EO139" s="2" t="str">
        <f aca="false">IF(ED139="","",IF(AND(ABS(ED139)&lt;=0.25,$E139="Bottom",DS139="LL"),"EQL",IF(AND(ABS(ED139)&lt;=0.25,$E139="Peak",DS139="HH"),"EQH","")))</f>
        <v/>
      </c>
      <c r="EP139" s="2" t="str">
        <f aca="false">IF(EE139="","",IF(AND(ABS(EE139)&lt;=0.25,$E139="Bottom",DT139="LL"),"EQL",IF(AND(ABS(EE139)&lt;=0.25,$E139="Peak",DT139="HH"),"EQH","")))</f>
        <v/>
      </c>
      <c r="EQ139" s="2" t="str">
        <f aca="false">IF(EF139="","",IF(AND(ABS(EF139)&lt;=0.25,$E139="Bottom",DU139="LL"),"EQL",IF(AND(ABS(EF139)&lt;=0.25,$E139="Peak",DU139="HH"),"EQH","")))</f>
        <v/>
      </c>
      <c r="ER139" s="2" t="str">
        <f aca="false">IF(OR(EG139="EQL",EG139="EQH"),G139,"")</f>
        <v/>
      </c>
      <c r="ES139" s="2" t="str">
        <f aca="false">IF(OR(EH139="EQL",EH139="EQH"),H139,"")</f>
        <v/>
      </c>
      <c r="ET139" s="2" t="str">
        <f aca="false">IF(OR(EI139="EQL",EI139="EQH"),I139,"")</f>
        <v/>
      </c>
      <c r="EU139" s="2" t="str">
        <f aca="false">IF(OR(EJ139="EQL",EJ139="EQH"),J139,"")</f>
        <v/>
      </c>
      <c r="EV139" s="2" t="str">
        <f aca="false">IF(OR(EK139="EQL",EK139="EQH"),K139,"")</f>
        <v/>
      </c>
      <c r="EW139" s="2" t="str">
        <f aca="false">IF(OR(EL139="EQL",EL139="EQH"),L139,"")</f>
        <v/>
      </c>
      <c r="EX139" s="2" t="str">
        <f aca="false">IF(OR(EM139="EQL",EM139="EQH"),M139,"")</f>
        <v/>
      </c>
      <c r="EY139" s="2" t="str">
        <f aca="false">IF(OR(EN139="EQL",EN139="EQH"),N139,"")</f>
        <v/>
      </c>
      <c r="EZ139" s="2" t="str">
        <f aca="false">IF(OR(EO139="EQL",EO139="EQH"),O139,"")</f>
        <v/>
      </c>
      <c r="FA139" s="2" t="str">
        <f aca="false">IF(OR(EP139="EQL",EP139="EQH"),P139,"")</f>
        <v/>
      </c>
      <c r="FB139" s="2" t="str">
        <f aca="false">IF(OR(EQ139="EQL",EQ139="EQH"),Q139,"")</f>
        <v/>
      </c>
      <c r="FC139" s="2" t="str">
        <f aca="false">IF(AND(EG139="EQL",OR(AQ139=4,AQ139=5)),"IEQL",IF(AND(EG139="EQH",OR(AQ139=1,AQ139=2)),"IEQH",""))</f>
        <v/>
      </c>
      <c r="FD139" s="2" t="str">
        <f aca="false">IF(AND(EH139="EQL",OR(AR139=4,AR139=5)),"IEQL",IF(AND(EH139="EQH",OR(AR139=1,AR139=2)),"IEQH",""))</f>
        <v/>
      </c>
      <c r="FE139" s="2" t="str">
        <f aca="false">IF(AND(EI139="EQL",OR(AS139=4,AS139=5)),"IEQL",IF(AND(EI139="EQH",OR(AS139=1,AS139=2)),"IEQH",""))</f>
        <v/>
      </c>
      <c r="FF139" s="2" t="str">
        <f aca="false">IF(AND(EJ139="EQL",OR(AT139=4,AT139=5)),"IEQL",IF(AND(EJ139="EQH",OR(AT139=1,AT139=2)),"IEQH",""))</f>
        <v/>
      </c>
      <c r="FG139" s="2" t="str">
        <f aca="false">IF(AND(EK139="EQL",OR(AU139=4,AU139=5)),"IEQL",IF(AND(EK139="EQH",OR(AU139=1,AU139=2)),"IEQH",""))</f>
        <v/>
      </c>
      <c r="FH139" s="2" t="str">
        <f aca="false">IF(AND(EL139="EQL",OR(AV139=4,AV139=5)),"IEQL",IF(AND(EL139="EQH",OR(AV139=1,AV139=2)),"IEQH",""))</f>
        <v/>
      </c>
      <c r="FI139" s="2" t="str">
        <f aca="false">IF(AND(EM139="EQL",OR(AW139=4,AW139=5)),"IEQL",IF(AND(EM139="EQH",OR(AW139=1,AW139=2)),"IEQH",""))</f>
        <v/>
      </c>
      <c r="FJ139" s="2" t="str">
        <f aca="false">IF(AND(EN139="EQL",OR(AX139=4,AX139=5)),"IEQL",IF(AND(EN139="EQH",OR(AX139=1,AX139=2)),"IEQH",""))</f>
        <v/>
      </c>
      <c r="FK139" s="2" t="str">
        <f aca="false">IF(AND(EO139="EQL",OR(AY139=4,AY139=5)),"IEQL",IF(AND(EO139="EQH",OR(AY139=1,AY139=2)),"IEQH",""))</f>
        <v/>
      </c>
      <c r="FL139" s="2" t="str">
        <f aca="false">IF(AND(EP139="EQL",OR(AZ139=4,AZ139=5)),"IEQL",IF(AND(EP139="EQH",OR(AZ139=1,AZ139=2)),"IEQH",""))</f>
        <v/>
      </c>
      <c r="FM139" s="2" t="str">
        <f aca="false">IF(AND(EQ139="EQL",OR(BA139=4,BA139=5)),"IEQL",IF(AND(EQ139="EQH",OR(BA139=1,BA139=2)),"IEQH",""))</f>
        <v/>
      </c>
    </row>
    <row r="140" customFormat="false" ht="14.25" hidden="false" customHeight="false" outlineLevel="0" collapsed="false">
      <c r="A140" s="1" t="n">
        <v>1779285602</v>
      </c>
      <c r="B140" s="1" t="s">
        <v>169</v>
      </c>
      <c r="C140" s="1" t="s">
        <v>170</v>
      </c>
      <c r="D140" s="1" t="n">
        <v>4477.09</v>
      </c>
      <c r="E140" s="1" t="s">
        <v>171</v>
      </c>
      <c r="F140" s="1" t="n">
        <v>4467.07</v>
      </c>
      <c r="G140" s="2" t="n">
        <f aca="false">F138</f>
        <v>4453.69</v>
      </c>
      <c r="H140" s="2" t="n">
        <f aca="false">F136</f>
        <v>4464.78</v>
      </c>
      <c r="I140" s="2" t="n">
        <f aca="false">F134</f>
        <v>4531.31</v>
      </c>
      <c r="J140" s="2" t="n">
        <f aca="false">F132</f>
        <v>4532</v>
      </c>
      <c r="K140" s="2" t="n">
        <f aca="false">F130</f>
        <v>4530.01</v>
      </c>
      <c r="L140" s="2" t="n">
        <f aca="false">F128</f>
        <v>4480.72</v>
      </c>
      <c r="M140" s="2" t="n">
        <f aca="false">F126</f>
        <v>4511.92</v>
      </c>
      <c r="N140" s="2" t="n">
        <f aca="false">F124</f>
        <v>4532.03</v>
      </c>
      <c r="O140" s="2" t="n">
        <f aca="false">F122</f>
        <v>4644.4</v>
      </c>
      <c r="P140" s="2" t="n">
        <f aca="false">F120</f>
        <v>4688.47</v>
      </c>
      <c r="Q140" s="2" t="n">
        <f aca="false">F118</f>
        <v>4668.77</v>
      </c>
      <c r="R140" s="1" t="n">
        <v>-38.87</v>
      </c>
      <c r="S140" s="2" t="n">
        <f aca="false">R138</f>
        <v>-55.12</v>
      </c>
      <c r="T140" s="2" t="n">
        <f aca="false">R136</f>
        <v>-94.6</v>
      </c>
      <c r="U140" s="2" t="n">
        <f aca="false">R134</f>
        <v>-58.05</v>
      </c>
      <c r="V140" s="2" t="n">
        <f aca="false">R132</f>
        <v>-52.14</v>
      </c>
      <c r="W140" s="2" t="n">
        <f aca="false">R130</f>
        <v>-29.94</v>
      </c>
      <c r="X140" s="2" t="n">
        <f aca="false">R128</f>
        <v>-85.71</v>
      </c>
      <c r="Y140" s="2" t="n">
        <f aca="false">R126</f>
        <v>-60.72</v>
      </c>
      <c r="Z140" s="2" t="n">
        <f aca="false">R124</f>
        <v>-133.32</v>
      </c>
      <c r="AA140" s="2" t="n">
        <f aca="false">R122</f>
        <v>-65.62</v>
      </c>
      <c r="AB140" s="2" t="n">
        <f aca="false">R120</f>
        <v>-30.28</v>
      </c>
      <c r="AC140" s="2" t="n">
        <f aca="false">R118</f>
        <v>-38.04</v>
      </c>
      <c r="AD140" s="1" t="n">
        <v>-0.86</v>
      </c>
      <c r="AE140" s="2" t="n">
        <f aca="false">AD138</f>
        <v>-1.22</v>
      </c>
      <c r="AF140" s="2" t="n">
        <f aca="false">AD136</f>
        <v>-2.07</v>
      </c>
      <c r="AG140" s="2" t="n">
        <f aca="false">AD134</f>
        <v>-1.26</v>
      </c>
      <c r="AH140" s="2" t="n">
        <f aca="false">AD132</f>
        <v>-1.14</v>
      </c>
      <c r="AI140" s="2" t="n">
        <f aca="false">AD130</f>
        <v>-0.66</v>
      </c>
      <c r="AJ140" s="2" t="n">
        <f aca="false">AD128</f>
        <v>-1.88</v>
      </c>
      <c r="AK140" s="2" t="n">
        <f aca="false">AD126</f>
        <v>-1.33</v>
      </c>
      <c r="AL140" s="2" t="n">
        <f aca="false">AD124</f>
        <v>-2.86</v>
      </c>
      <c r="AM140" s="2" t="n">
        <f aca="false">AD122</f>
        <v>-1.39</v>
      </c>
      <c r="AN140" s="2" t="n">
        <f aca="false">AD120</f>
        <v>-0.64</v>
      </c>
      <c r="AO140" s="2" t="n">
        <f aca="false">AD118</f>
        <v>-0.81</v>
      </c>
      <c r="AP140" s="1" t="n">
        <v>3</v>
      </c>
      <c r="AQ140" s="2" t="n">
        <f aca="false">AP138</f>
        <v>3</v>
      </c>
      <c r="AR140" s="2" t="n">
        <f aca="false">AP136</f>
        <v>4</v>
      </c>
      <c r="AS140" s="2" t="n">
        <f aca="false">AP134</f>
        <v>3</v>
      </c>
      <c r="AT140" s="2" t="n">
        <f aca="false">AP132</f>
        <v>3</v>
      </c>
      <c r="AU140" s="2" t="n">
        <f aca="false">AP130</f>
        <v>3</v>
      </c>
      <c r="AV140" s="2" t="n">
        <f aca="false">AP128</f>
        <v>3</v>
      </c>
      <c r="AW140" s="2" t="n">
        <f aca="false">AP126</f>
        <v>3</v>
      </c>
      <c r="AX140" s="2" t="n">
        <f aca="false">AP124</f>
        <v>5</v>
      </c>
      <c r="AY140" s="2" t="n">
        <f aca="false">AP122</f>
        <v>3</v>
      </c>
      <c r="AZ140" s="2" t="n">
        <f aca="false">AP120</f>
        <v>3</v>
      </c>
      <c r="BA140" s="2" t="n">
        <f aca="false">AP118</f>
        <v>3</v>
      </c>
      <c r="BB140" s="1" t="n">
        <v>4</v>
      </c>
      <c r="BC140" s="2" t="n">
        <f aca="false">BB138</f>
        <v>9</v>
      </c>
      <c r="BD140" s="2" t="n">
        <f aca="false">BB136</f>
        <v>23</v>
      </c>
      <c r="BE140" s="2" t="n">
        <f aca="false">BB134</f>
        <v>21</v>
      </c>
      <c r="BF140" s="2" t="n">
        <f aca="false">BB132</f>
        <v>5</v>
      </c>
      <c r="BG140" s="2" t="n">
        <f aca="false">BB130</f>
        <v>14</v>
      </c>
      <c r="BH140" s="2" t="n">
        <f aca="false">BB128</f>
        <v>36</v>
      </c>
      <c r="BI140" s="2" t="n">
        <f aca="false">BB126</f>
        <v>12</v>
      </c>
      <c r="BJ140" s="2" t="n">
        <f aca="false">BB124</f>
        <v>41</v>
      </c>
      <c r="BK140" s="2" t="n">
        <f aca="false">BB122</f>
        <v>32</v>
      </c>
      <c r="BL140" s="2" t="n">
        <f aca="false">BB120</f>
        <v>8</v>
      </c>
      <c r="BM140" s="2" t="n">
        <f aca="false">BB118</f>
        <v>13</v>
      </c>
      <c r="BN140" s="1" t="n">
        <v>3</v>
      </c>
      <c r="BO140" s="2" t="n">
        <f aca="false">BN138</f>
        <v>3</v>
      </c>
      <c r="BP140" s="2" t="n">
        <f aca="false">BN136</f>
        <v>3</v>
      </c>
      <c r="BQ140" s="2" t="n">
        <f aca="false">BN134</f>
        <v>3</v>
      </c>
      <c r="BR140" s="2" t="n">
        <f aca="false">BN132</f>
        <v>3</v>
      </c>
      <c r="BS140" s="2" t="n">
        <f aca="false">BN130</f>
        <v>3</v>
      </c>
      <c r="BT140" s="2" t="n">
        <f aca="false">BN128</f>
        <v>4</v>
      </c>
      <c r="BU140" s="2" t="n">
        <f aca="false">BN126</f>
        <v>3</v>
      </c>
      <c r="BV140" s="2" t="n">
        <f aca="false">BN124</f>
        <v>5</v>
      </c>
      <c r="BW140" s="2" t="n">
        <f aca="false">BN122</f>
        <v>4</v>
      </c>
      <c r="BX140" s="2" t="n">
        <f aca="false">BN120</f>
        <v>3</v>
      </c>
      <c r="BY140" s="2" t="n">
        <f aca="false">BN118</f>
        <v>3</v>
      </c>
      <c r="BZ140" s="1" t="n">
        <v>-9.7175</v>
      </c>
      <c r="CA140" s="2" t="n">
        <f aca="false">BZ138</f>
        <v>-6.12444</v>
      </c>
      <c r="CB140" s="2" t="n">
        <f aca="false">BZ136</f>
        <v>-4.11304</v>
      </c>
      <c r="CC140" s="2" t="n">
        <f aca="false">BZ134</f>
        <v>-2.76429</v>
      </c>
      <c r="CD140" s="2" t="n">
        <f aca="false">BZ132</f>
        <v>-10.428</v>
      </c>
      <c r="CE140" s="2" t="n">
        <f aca="false">BZ130</f>
        <v>-2.13857</v>
      </c>
      <c r="CF140" s="2" t="n">
        <f aca="false">BZ128</f>
        <v>-2.38083</v>
      </c>
      <c r="CG140" s="2" t="n">
        <f aca="false">BZ126</f>
        <v>-5.06</v>
      </c>
      <c r="CH140" s="2" t="n">
        <f aca="false">BZ124</f>
        <v>-3.25171</v>
      </c>
      <c r="CI140" s="2" t="n">
        <f aca="false">BZ122</f>
        <v>-2.05063</v>
      </c>
      <c r="CJ140" s="2" t="n">
        <f aca="false">BZ120</f>
        <v>-3.785</v>
      </c>
      <c r="CK140" s="2" t="n">
        <f aca="false">BZ118</f>
        <v>-2.92615</v>
      </c>
      <c r="CL140" s="1" t="n">
        <v>4</v>
      </c>
      <c r="CM140" s="2" t="n">
        <f aca="false">CL138</f>
        <v>3</v>
      </c>
      <c r="CN140" s="2" t="n">
        <f aca="false">CL136</f>
        <v>3</v>
      </c>
      <c r="CO140" s="2" t="n">
        <f aca="false">CL134</f>
        <v>3</v>
      </c>
      <c r="CP140" s="2" t="n">
        <f aca="false">CL132</f>
        <v>4</v>
      </c>
      <c r="CQ140" s="2" t="n">
        <f aca="false">CL130</f>
        <v>3</v>
      </c>
      <c r="CR140" s="2" t="n">
        <f aca="false">CL128</f>
        <v>3</v>
      </c>
      <c r="CS140" s="2" t="n">
        <f aca="false">CL126</f>
        <v>3</v>
      </c>
      <c r="CT140" s="2" t="n">
        <f aca="false">CL124</f>
        <v>3</v>
      </c>
      <c r="CU140" s="2" t="n">
        <f aca="false">CL122</f>
        <v>3</v>
      </c>
      <c r="CV140" s="2" t="n">
        <f aca="false">CL120</f>
        <v>3</v>
      </c>
      <c r="CW140" s="2" t="n">
        <f aca="false">CL118</f>
        <v>3</v>
      </c>
      <c r="CX140" s="1" t="n">
        <v>-84.1245</v>
      </c>
      <c r="CY140" s="2" t="n">
        <f aca="false">CX138</f>
        <v>-80.7266</v>
      </c>
      <c r="CZ140" s="2" t="n">
        <f aca="false">CX136</f>
        <v>-76.3349</v>
      </c>
      <c r="DA140" s="2" t="n">
        <f aca="false">CX134</f>
        <v>-70.112</v>
      </c>
      <c r="DB140" s="2" t="n">
        <f aca="false">CX132</f>
        <v>-84.5223</v>
      </c>
      <c r="DC140" s="2" t="n">
        <f aca="false">CX130</f>
        <v>-64.9391</v>
      </c>
      <c r="DD140" s="2" t="n">
        <f aca="false">CX128</f>
        <v>-67.2166</v>
      </c>
      <c r="DE140" s="2" t="n">
        <f aca="false">CX126</f>
        <v>-78.8208</v>
      </c>
      <c r="DF140" s="2" t="n">
        <f aca="false">CX124</f>
        <v>-72.9057</v>
      </c>
      <c r="DG140" s="2" t="n">
        <f aca="false">CX122</f>
        <v>-64.0035</v>
      </c>
      <c r="DH140" s="2" t="n">
        <f aca="false">CX120</f>
        <v>-75.2006</v>
      </c>
      <c r="DI140" s="2" t="n">
        <f aca="false">CX118</f>
        <v>-71.1324</v>
      </c>
      <c r="DJ140" s="1" t="s">
        <v>175</v>
      </c>
      <c r="DK140" s="2" t="str">
        <f aca="false">DJ138</f>
        <v>LL</v>
      </c>
      <c r="DL140" s="2" t="str">
        <f aca="false">DJ136</f>
        <v>LL</v>
      </c>
      <c r="DM140" s="2" t="str">
        <f aca="false">DJ134</f>
        <v>LL</v>
      </c>
      <c r="DN140" s="2" t="str">
        <f aca="false">DJ132</f>
        <v>HL</v>
      </c>
      <c r="DO140" s="2" t="str">
        <f aca="false">DJ130</f>
        <v>HL</v>
      </c>
      <c r="DP140" s="2" t="str">
        <f aca="false">DJ128</f>
        <v>LL</v>
      </c>
      <c r="DQ140" s="2" t="str">
        <f aca="false">DJ126</f>
        <v>LL</v>
      </c>
      <c r="DR140" s="2" t="str">
        <f aca="false">DJ124</f>
        <v>LL</v>
      </c>
      <c r="DS140" s="2" t="str">
        <f aca="false">DJ122</f>
        <v>LL</v>
      </c>
      <c r="DT140" s="2" t="str">
        <f aca="false">DJ120</f>
        <v>HL</v>
      </c>
      <c r="DU140" s="2" t="str">
        <f aca="false">DJ118</f>
        <v>LL</v>
      </c>
      <c r="DV140" s="2" t="n">
        <f aca="false">IFERROR((G140-$F140)/$F140*100,"")</f>
        <v>-0.299525192128176</v>
      </c>
      <c r="DW140" s="2" t="n">
        <f aca="false">IFERROR((H140-$F140)/$F140*100,"")</f>
        <v>-0.0512640276512337</v>
      </c>
      <c r="DX140" s="2" t="n">
        <f aca="false">IFERROR((I140-$F140)/$F140*100,"")</f>
        <v>1.43807909882766</v>
      </c>
      <c r="DY140" s="2" t="n">
        <f aca="false">IFERROR((J140-$F140)/$F140*100,"")</f>
        <v>1.45352546523785</v>
      </c>
      <c r="DZ140" s="2" t="n">
        <f aca="false">IFERROR((K140-$F140)/$F140*100,"")</f>
        <v>1.40897724906931</v>
      </c>
      <c r="EA140" s="2" t="n">
        <f aca="false">IFERROR((L140-$F140)/$F140*100,"")</f>
        <v>0.305569422462611</v>
      </c>
      <c r="EB140" s="2" t="n">
        <f aca="false">IFERROR((M140-$F140)/$F140*100,"")</f>
        <v>1.00401381666283</v>
      </c>
      <c r="EC140" s="2" t="n">
        <f aca="false">IFERROR((N140-$F140)/$F140*100,"")</f>
        <v>1.45419704638611</v>
      </c>
      <c r="ED140" s="2" t="n">
        <f aca="false">IFERROR((O140-$F140)/$F140*100,"")</f>
        <v>3.9697161674207</v>
      </c>
      <c r="EE140" s="2" t="n">
        <f aca="false">IFERROR((P140-$F140)/$F140*100,"")</f>
        <v>4.95626887422853</v>
      </c>
      <c r="EF140" s="2" t="n">
        <f aca="false">IFERROR((Q140-$F140)/$F140*100,"")</f>
        <v>4.51526392019827</v>
      </c>
      <c r="EG140" s="2" t="str">
        <f aca="false">IF(DV140="","",IF(AND(ABS(DV140)&lt;=0.25,$E140="Bottom",DK140="LL"),"EQL",IF(AND(ABS(DV140)&lt;=0.25,$E140="Peak",DK140="HH"),"EQH","")))</f>
        <v/>
      </c>
      <c r="EH140" s="2" t="str">
        <f aca="false">IF(DW140="","",IF(AND(ABS(DW140)&lt;=0.25,$E140="Bottom",DL140="LL"),"EQL",IF(AND(ABS(DW140)&lt;=0.25,$E140="Peak",DL140="HH"),"EQH","")))</f>
        <v>EQL</v>
      </c>
      <c r="EI140" s="2" t="str">
        <f aca="false">IF(DX140="","",IF(AND(ABS(DX140)&lt;=0.25,$E140="Bottom",DM140="LL"),"EQL",IF(AND(ABS(DX140)&lt;=0.25,$E140="Peak",DM140="HH"),"EQH","")))</f>
        <v/>
      </c>
      <c r="EJ140" s="2" t="str">
        <f aca="false">IF(DY140="","",IF(AND(ABS(DY140)&lt;=0.25,$E140="Bottom",DN140="LL"),"EQL",IF(AND(ABS(DY140)&lt;=0.25,$E140="Peak",DN140="HH"),"EQH","")))</f>
        <v/>
      </c>
      <c r="EK140" s="2" t="str">
        <f aca="false">IF(DZ140="","",IF(AND(ABS(DZ140)&lt;=0.25,$E140="Bottom",DO140="LL"),"EQL",IF(AND(ABS(DZ140)&lt;=0.25,$E140="Peak",DO140="HH"),"EQH","")))</f>
        <v/>
      </c>
      <c r="EL140" s="2" t="str">
        <f aca="false">IF(EA140="","",IF(AND(ABS(EA140)&lt;=0.25,$E140="Bottom",DP140="LL"),"EQL",IF(AND(ABS(EA140)&lt;=0.25,$E140="Peak",DP140="HH"),"EQH","")))</f>
        <v/>
      </c>
      <c r="EM140" s="2" t="str">
        <f aca="false">IF(EB140="","",IF(AND(ABS(EB140)&lt;=0.25,$E140="Bottom",DQ140="LL"),"EQL",IF(AND(ABS(EB140)&lt;=0.25,$E140="Peak",DQ140="HH"),"EQH","")))</f>
        <v/>
      </c>
      <c r="EN140" s="2" t="str">
        <f aca="false">IF(EC140="","",IF(AND(ABS(EC140)&lt;=0.25,$E140="Bottom",DR140="LL"),"EQL",IF(AND(ABS(EC140)&lt;=0.25,$E140="Peak",DR140="HH"),"EQH","")))</f>
        <v/>
      </c>
      <c r="EO140" s="2" t="str">
        <f aca="false">IF(ED140="","",IF(AND(ABS(ED140)&lt;=0.25,$E140="Bottom",DS140="LL"),"EQL",IF(AND(ABS(ED140)&lt;=0.25,$E140="Peak",DS140="HH"),"EQH","")))</f>
        <v/>
      </c>
      <c r="EP140" s="2" t="str">
        <f aca="false">IF(EE140="","",IF(AND(ABS(EE140)&lt;=0.25,$E140="Bottom",DT140="LL"),"EQL",IF(AND(ABS(EE140)&lt;=0.25,$E140="Peak",DT140="HH"),"EQH","")))</f>
        <v/>
      </c>
      <c r="EQ140" s="2" t="str">
        <f aca="false">IF(EF140="","",IF(AND(ABS(EF140)&lt;=0.25,$E140="Bottom",DU140="LL"),"EQL",IF(AND(ABS(EF140)&lt;=0.25,$E140="Peak",DU140="HH"),"EQH","")))</f>
        <v/>
      </c>
      <c r="ER140" s="2" t="str">
        <f aca="false">IF(OR(EG140="EQL",EG140="EQH"),G140,"")</f>
        <v/>
      </c>
      <c r="ES140" s="2" t="n">
        <f aca="false">IF(OR(EH140="EQL",EH140="EQH"),H140,"")</f>
        <v>4464.78</v>
      </c>
      <c r="ET140" s="2" t="str">
        <f aca="false">IF(OR(EI140="EQL",EI140="EQH"),I140,"")</f>
        <v/>
      </c>
      <c r="EU140" s="2" t="str">
        <f aca="false">IF(OR(EJ140="EQL",EJ140="EQH"),J140,"")</f>
        <v/>
      </c>
      <c r="EV140" s="2" t="str">
        <f aca="false">IF(OR(EK140="EQL",EK140="EQH"),K140,"")</f>
        <v/>
      </c>
      <c r="EW140" s="2" t="str">
        <f aca="false">IF(OR(EL140="EQL",EL140="EQH"),L140,"")</f>
        <v/>
      </c>
      <c r="EX140" s="2" t="str">
        <f aca="false">IF(OR(EM140="EQL",EM140="EQH"),M140,"")</f>
        <v/>
      </c>
      <c r="EY140" s="2" t="str">
        <f aca="false">IF(OR(EN140="EQL",EN140="EQH"),N140,"")</f>
        <v/>
      </c>
      <c r="EZ140" s="2" t="str">
        <f aca="false">IF(OR(EO140="EQL",EO140="EQH"),O140,"")</f>
        <v/>
      </c>
      <c r="FA140" s="2" t="str">
        <f aca="false">IF(OR(EP140="EQL",EP140="EQH"),P140,"")</f>
        <v/>
      </c>
      <c r="FB140" s="2" t="str">
        <f aca="false">IF(OR(EQ140="EQL",EQ140="EQH"),Q140,"")</f>
        <v/>
      </c>
      <c r="FC140" s="2" t="str">
        <f aca="false">IF(AND(EG140="EQL",OR(AQ140=4,AQ140=5)),"IEQL",IF(AND(EG140="EQH",OR(AQ140=1,AQ140=2)),"IEQH",""))</f>
        <v/>
      </c>
      <c r="FD140" s="2" t="str">
        <f aca="false">IF(AND(EH140="EQL",OR(AR140=4,AR140=5)),"IEQL",IF(AND(EH140="EQH",OR(AR140=1,AR140=2)),"IEQH",""))</f>
        <v>IEQL</v>
      </c>
      <c r="FE140" s="2" t="str">
        <f aca="false">IF(AND(EI140="EQL",OR(AS140=4,AS140=5)),"IEQL",IF(AND(EI140="EQH",OR(AS140=1,AS140=2)),"IEQH",""))</f>
        <v/>
      </c>
      <c r="FF140" s="2" t="str">
        <f aca="false">IF(AND(EJ140="EQL",OR(AT140=4,AT140=5)),"IEQL",IF(AND(EJ140="EQH",OR(AT140=1,AT140=2)),"IEQH",""))</f>
        <v/>
      </c>
      <c r="FG140" s="2" t="str">
        <f aca="false">IF(AND(EK140="EQL",OR(AU140=4,AU140=5)),"IEQL",IF(AND(EK140="EQH",OR(AU140=1,AU140=2)),"IEQH",""))</f>
        <v/>
      </c>
      <c r="FH140" s="2" t="str">
        <f aca="false">IF(AND(EL140="EQL",OR(AV140=4,AV140=5)),"IEQL",IF(AND(EL140="EQH",OR(AV140=1,AV140=2)),"IEQH",""))</f>
        <v/>
      </c>
      <c r="FI140" s="2" t="str">
        <f aca="false">IF(AND(EM140="EQL",OR(AW140=4,AW140=5)),"IEQL",IF(AND(EM140="EQH",OR(AW140=1,AW140=2)),"IEQH",""))</f>
        <v/>
      </c>
      <c r="FJ140" s="2" t="str">
        <f aca="false">IF(AND(EN140="EQL",OR(AX140=4,AX140=5)),"IEQL",IF(AND(EN140="EQH",OR(AX140=1,AX140=2)),"IEQH",""))</f>
        <v/>
      </c>
      <c r="FK140" s="2" t="str">
        <f aca="false">IF(AND(EO140="EQL",OR(AY140=4,AY140=5)),"IEQL",IF(AND(EO140="EQH",OR(AY140=1,AY140=2)),"IEQH",""))</f>
        <v/>
      </c>
      <c r="FL140" s="2" t="str">
        <f aca="false">IF(AND(EP140="EQL",OR(AZ140=4,AZ140=5)),"IEQL",IF(AND(EP140="EQH",OR(AZ140=1,AZ140=2)),"IEQH",""))</f>
        <v/>
      </c>
      <c r="FM140" s="2" t="str">
        <f aca="false">IF(AND(EQ140="EQL",OR(BA140=4,BA140=5)),"IEQL",IF(AND(EQ140="EQH",OR(BA140=1,BA140=2)),"IEQH",""))</f>
        <v/>
      </c>
    </row>
    <row r="141" customFormat="false" ht="14.25" hidden="false" customHeight="false" outlineLevel="0" collapsed="false">
      <c r="A141" s="1" t="n">
        <v>1779290102</v>
      </c>
      <c r="B141" s="1" t="s">
        <v>169</v>
      </c>
      <c r="C141" s="1" t="s">
        <v>170</v>
      </c>
      <c r="D141" s="1" t="n">
        <v>4529.44</v>
      </c>
      <c r="E141" s="1" t="s">
        <v>173</v>
      </c>
      <c r="F141" s="1" t="n">
        <v>4552.71</v>
      </c>
      <c r="G141" s="2" t="n">
        <f aca="false">F139</f>
        <v>4505.94</v>
      </c>
      <c r="H141" s="2" t="n">
        <f aca="false">F137</f>
        <v>4508.81</v>
      </c>
      <c r="I141" s="2" t="n">
        <f aca="false">F135</f>
        <v>4559.38</v>
      </c>
      <c r="J141" s="2" t="n">
        <f aca="false">F133</f>
        <v>4589.36</v>
      </c>
      <c r="K141" s="2" t="n">
        <f aca="false">F131</f>
        <v>4584.14</v>
      </c>
      <c r="L141" s="2" t="n">
        <f aca="false">F129</f>
        <v>4559.95</v>
      </c>
      <c r="M141" s="2" t="n">
        <f aca="false">F127</f>
        <v>4566.43</v>
      </c>
      <c r="N141" s="2" t="n">
        <f aca="false">F125</f>
        <v>4572.64</v>
      </c>
      <c r="O141" s="2" t="n">
        <f aca="false">F123</f>
        <v>4665.35</v>
      </c>
      <c r="P141" s="2" t="n">
        <f aca="false">F121</f>
        <v>4710.02</v>
      </c>
      <c r="Q141" s="2" t="n">
        <f aca="false">F119</f>
        <v>4718.75</v>
      </c>
      <c r="R141" s="1" t="n">
        <v>85.64</v>
      </c>
      <c r="S141" s="2" t="n">
        <f aca="false">R139</f>
        <v>52.25</v>
      </c>
      <c r="T141" s="2" t="n">
        <f aca="false">R137</f>
        <v>44.03</v>
      </c>
      <c r="U141" s="2" t="n">
        <f aca="false">R135</f>
        <v>28.07</v>
      </c>
      <c r="V141" s="2" t="n">
        <f aca="false">R133</f>
        <v>57.36</v>
      </c>
      <c r="W141" s="2" t="n">
        <f aca="false">R131</f>
        <v>54.13</v>
      </c>
      <c r="X141" s="2" t="n">
        <f aca="false">R129</f>
        <v>79.23</v>
      </c>
      <c r="Y141" s="2" t="n">
        <f aca="false">R127</f>
        <v>54.51</v>
      </c>
      <c r="Z141" s="2" t="n">
        <f aca="false">R125</f>
        <v>40.61</v>
      </c>
      <c r="AA141" s="2" t="n">
        <f aca="false">R123</f>
        <v>20.95</v>
      </c>
      <c r="AB141" s="2" t="n">
        <f aca="false">R121</f>
        <v>21.55</v>
      </c>
      <c r="AC141" s="2" t="n">
        <f aca="false">R119</f>
        <v>49.98</v>
      </c>
      <c r="AD141" s="1" t="n">
        <v>1.92</v>
      </c>
      <c r="AE141" s="2" t="n">
        <f aca="false">AD139</f>
        <v>1.17</v>
      </c>
      <c r="AF141" s="2" t="n">
        <f aca="false">AD137</f>
        <v>0.99</v>
      </c>
      <c r="AG141" s="2" t="n">
        <f aca="false">AD135</f>
        <v>0.62</v>
      </c>
      <c r="AH141" s="2" t="n">
        <f aca="false">AD133</f>
        <v>1.27</v>
      </c>
      <c r="AI141" s="2" t="n">
        <f aca="false">AD131</f>
        <v>1.19</v>
      </c>
      <c r="AJ141" s="2" t="n">
        <f aca="false">AD129</f>
        <v>1.77</v>
      </c>
      <c r="AK141" s="2" t="n">
        <f aca="false">AD127</f>
        <v>1.21</v>
      </c>
      <c r="AL141" s="2" t="n">
        <f aca="false">AD125</f>
        <v>0.9</v>
      </c>
      <c r="AM141" s="2" t="n">
        <f aca="false">AD123</f>
        <v>0.45</v>
      </c>
      <c r="AN141" s="2" t="n">
        <f aca="false">AD121</f>
        <v>0.46</v>
      </c>
      <c r="AO141" s="2" t="n">
        <f aca="false">AD119</f>
        <v>1.07</v>
      </c>
      <c r="AP141" s="1" t="n">
        <v>1</v>
      </c>
      <c r="AQ141" s="2" t="n">
        <f aca="false">AP139</f>
        <v>0</v>
      </c>
      <c r="AR141" s="2" t="n">
        <f aca="false">AP137</f>
        <v>0</v>
      </c>
      <c r="AS141" s="2" t="n">
        <f aca="false">AP135</f>
        <v>0</v>
      </c>
      <c r="AT141" s="2" t="n">
        <f aca="false">AP133</f>
        <v>0</v>
      </c>
      <c r="AU141" s="2" t="n">
        <f aca="false">AP131</f>
        <v>0</v>
      </c>
      <c r="AV141" s="2" t="n">
        <f aca="false">AP129</f>
        <v>0</v>
      </c>
      <c r="AW141" s="2" t="n">
        <f aca="false">AP127</f>
        <v>0</v>
      </c>
      <c r="AX141" s="2" t="n">
        <f aca="false">AP125</f>
        <v>0</v>
      </c>
      <c r="AY141" s="2" t="n">
        <f aca="false">AP123</f>
        <v>0</v>
      </c>
      <c r="AZ141" s="2" t="n">
        <f aca="false">AP121</f>
        <v>0</v>
      </c>
      <c r="BA141" s="2" t="n">
        <f aca="false">AP119</f>
        <v>0</v>
      </c>
      <c r="BB141" s="1" t="n">
        <v>5</v>
      </c>
      <c r="BC141" s="2" t="n">
        <f aca="false">BB139</f>
        <v>40</v>
      </c>
      <c r="BD141" s="2" t="n">
        <f aca="false">BB137</f>
        <v>41</v>
      </c>
      <c r="BE141" s="2" t="n">
        <f aca="false">BB135</f>
        <v>10</v>
      </c>
      <c r="BF141" s="2" t="n">
        <f aca="false">BB133</f>
        <v>32</v>
      </c>
      <c r="BG141" s="2" t="n">
        <f aca="false">BB131</f>
        <v>11</v>
      </c>
      <c r="BH141" s="2" t="n">
        <f aca="false">BB129</f>
        <v>27</v>
      </c>
      <c r="BI141" s="2" t="n">
        <f aca="false">BB127</f>
        <v>4</v>
      </c>
      <c r="BJ141" s="2" t="n">
        <f aca="false">BB125</f>
        <v>4</v>
      </c>
      <c r="BK141" s="2" t="n">
        <f aca="false">BB123</f>
        <v>8</v>
      </c>
      <c r="BL141" s="2" t="n">
        <f aca="false">BB121</f>
        <v>12</v>
      </c>
      <c r="BM141" s="2" t="n">
        <f aca="false">BB119</f>
        <v>14</v>
      </c>
      <c r="BN141" s="1" t="n">
        <v>0</v>
      </c>
      <c r="BO141" s="2" t="n">
        <f aca="false">BN139</f>
        <v>2</v>
      </c>
      <c r="BP141" s="2" t="n">
        <f aca="false">BN137</f>
        <v>2</v>
      </c>
      <c r="BQ141" s="2" t="n">
        <f aca="false">BN135</f>
        <v>0</v>
      </c>
      <c r="BR141" s="2" t="n">
        <f aca="false">BN133</f>
        <v>1</v>
      </c>
      <c r="BS141" s="2" t="n">
        <f aca="false">BN131</f>
        <v>0</v>
      </c>
      <c r="BT141" s="2" t="n">
        <f aca="false">BN129</f>
        <v>0</v>
      </c>
      <c r="BU141" s="2" t="n">
        <f aca="false">BN127</f>
        <v>0</v>
      </c>
      <c r="BV141" s="2" t="n">
        <f aca="false">BN125</f>
        <v>0</v>
      </c>
      <c r="BW141" s="2" t="n">
        <f aca="false">BN123</f>
        <v>0</v>
      </c>
      <c r="BX141" s="2" t="n">
        <f aca="false">BN121</f>
        <v>0</v>
      </c>
      <c r="BY141" s="2" t="n">
        <f aca="false">BN119</f>
        <v>0</v>
      </c>
      <c r="BZ141" s="1" t="n">
        <v>17.128</v>
      </c>
      <c r="CA141" s="2" t="n">
        <f aca="false">BZ139</f>
        <v>1.30625</v>
      </c>
      <c r="CB141" s="2" t="n">
        <f aca="false">BZ137</f>
        <v>1.0739</v>
      </c>
      <c r="CC141" s="2" t="n">
        <f aca="false">BZ135</f>
        <v>2.807</v>
      </c>
      <c r="CD141" s="2" t="n">
        <f aca="false">BZ133</f>
        <v>1.7925</v>
      </c>
      <c r="CE141" s="2" t="n">
        <f aca="false">BZ131</f>
        <v>4.92091</v>
      </c>
      <c r="CF141" s="2" t="n">
        <f aca="false">BZ129</f>
        <v>2.93444</v>
      </c>
      <c r="CG141" s="2" t="n">
        <f aca="false">BZ127</f>
        <v>13.6275</v>
      </c>
      <c r="CH141" s="2" t="n">
        <f aca="false">BZ125</f>
        <v>10.1525</v>
      </c>
      <c r="CI141" s="2" t="n">
        <f aca="false">BZ123</f>
        <v>2.61875</v>
      </c>
      <c r="CJ141" s="2" t="n">
        <f aca="false">BZ121</f>
        <v>1.79583</v>
      </c>
      <c r="CK141" s="2" t="n">
        <f aca="false">BZ119</f>
        <v>3.57</v>
      </c>
      <c r="CL141" s="1" t="n">
        <v>2</v>
      </c>
      <c r="CM141" s="2" t="n">
        <f aca="false">CL139</f>
        <v>0</v>
      </c>
      <c r="CN141" s="2" t="n">
        <f aca="false">CL137</f>
        <v>0</v>
      </c>
      <c r="CO141" s="2" t="n">
        <f aca="false">CL135</f>
        <v>0</v>
      </c>
      <c r="CP141" s="2" t="n">
        <f aca="false">CL133</f>
        <v>0</v>
      </c>
      <c r="CQ141" s="2" t="n">
        <f aca="false">CL131</f>
        <v>0</v>
      </c>
      <c r="CR141" s="2" t="n">
        <f aca="false">CL129</f>
        <v>0</v>
      </c>
      <c r="CS141" s="2" t="n">
        <f aca="false">CL127</f>
        <v>2</v>
      </c>
      <c r="CT141" s="2" t="n">
        <f aca="false">CL125</f>
        <v>1</v>
      </c>
      <c r="CU141" s="2" t="n">
        <f aca="false">CL123</f>
        <v>0</v>
      </c>
      <c r="CV141" s="2" t="n">
        <f aca="false">CL121</f>
        <v>0</v>
      </c>
      <c r="CW141" s="2" t="n">
        <f aca="false">CL119</f>
        <v>0</v>
      </c>
      <c r="CX141" s="1" t="n">
        <v>86.6586</v>
      </c>
      <c r="CY141" s="2" t="n">
        <f aca="false">CX139</f>
        <v>52.5641</v>
      </c>
      <c r="CZ141" s="2" t="n">
        <f aca="false">CX137</f>
        <v>47.0408</v>
      </c>
      <c r="DA141" s="2" t="n">
        <f aca="false">CX135</f>
        <v>70.3914</v>
      </c>
      <c r="DB141" s="2" t="n">
        <f aca="false">CX133</f>
        <v>60.8437</v>
      </c>
      <c r="DC141" s="2" t="n">
        <f aca="false">CX131</f>
        <v>78.5131</v>
      </c>
      <c r="DD141" s="2" t="n">
        <f aca="false">CX129</f>
        <v>71.1819</v>
      </c>
      <c r="DE141" s="2" t="n">
        <f aca="false">CX127</f>
        <v>85.8031</v>
      </c>
      <c r="DF141" s="2" t="n">
        <f aca="false">CX125</f>
        <v>84.3746</v>
      </c>
      <c r="DG141" s="2" t="n">
        <f aca="false">CX123</f>
        <v>69.1001</v>
      </c>
      <c r="DH141" s="2" t="n">
        <f aca="false">CX121</f>
        <v>60.889</v>
      </c>
      <c r="DI141" s="2" t="n">
        <f aca="false">CX119</f>
        <v>74.3518</v>
      </c>
      <c r="DJ141" s="1" t="s">
        <v>176</v>
      </c>
      <c r="DK141" s="2" t="str">
        <f aca="false">DJ139</f>
        <v>LH</v>
      </c>
      <c r="DL141" s="2" t="str">
        <f aca="false">DJ137</f>
        <v>LH</v>
      </c>
      <c r="DM141" s="2" t="str">
        <f aca="false">DJ135</f>
        <v>LH</v>
      </c>
      <c r="DN141" s="2" t="str">
        <f aca="false">DJ133</f>
        <v>HH</v>
      </c>
      <c r="DO141" s="2" t="str">
        <f aca="false">DJ131</f>
        <v>HH</v>
      </c>
      <c r="DP141" s="2" t="str">
        <f aca="false">DJ129</f>
        <v>LH</v>
      </c>
      <c r="DQ141" s="2" t="str">
        <f aca="false">DJ127</f>
        <v>LH</v>
      </c>
      <c r="DR141" s="2" t="str">
        <f aca="false">DJ125</f>
        <v>LH</v>
      </c>
      <c r="DS141" s="2" t="str">
        <f aca="false">DJ123</f>
        <v>LH</v>
      </c>
      <c r="DT141" s="2" t="str">
        <f aca="false">DJ121</f>
        <v>LH</v>
      </c>
      <c r="DU141" s="2" t="str">
        <f aca="false">DJ119</f>
        <v>HH</v>
      </c>
      <c r="DV141" s="2" t="n">
        <f aca="false">IFERROR((G141-$F141)/$F141*100,"")</f>
        <v>-1.02730022338345</v>
      </c>
      <c r="DW141" s="2" t="n">
        <f aca="false">IFERROR((H141-$F141)/$F141*100,"")</f>
        <v>-0.964260846836272</v>
      </c>
      <c r="DX141" s="2" t="n">
        <f aca="false">IFERROR((I141-$F141)/$F141*100,"")</f>
        <v>0.146506146888338</v>
      </c>
      <c r="DY141" s="2" t="n">
        <f aca="false">IFERROR((J141-$F141)/$F141*100,"")</f>
        <v>0.805015035001123</v>
      </c>
      <c r="DZ141" s="2" t="n">
        <f aca="false">IFERROR((K141-$F141)/$F141*100,"")</f>
        <v>0.690358050479831</v>
      </c>
      <c r="EA141" s="2" t="n">
        <f aca="false">IFERROR((L141-$F141)/$F141*100,"")</f>
        <v>0.159026162439509</v>
      </c>
      <c r="EB141" s="2" t="n">
        <f aca="false">IFERROR((M141-$F141)/$F141*100,"")</f>
        <v>0.301358970810797</v>
      </c>
      <c r="EC141" s="2" t="n">
        <f aca="false">IFERROR((N141-$F141)/$F141*100,"")</f>
        <v>0.437761245499939</v>
      </c>
      <c r="ED141" s="2" t="n">
        <f aca="false">IFERROR((O141-$F141)/$F141*100,"")</f>
        <v>2.47413079242913</v>
      </c>
      <c r="EE141" s="2" t="n">
        <f aca="false">IFERROR((P141-$F141)/$F141*100,"")</f>
        <v>3.45530464272928</v>
      </c>
      <c r="EF141" s="2" t="n">
        <f aca="false">IFERROR((Q141-$F141)/$F141*100,"")</f>
        <v>3.64705856511836</v>
      </c>
      <c r="EG141" s="2" t="str">
        <f aca="false">IF(DV141="","",IF(AND(ABS(DV141)&lt;=0.25,$E141="Bottom",DK141="LL"),"EQL",IF(AND(ABS(DV141)&lt;=0.25,$E141="Peak",DK141="HH"),"EQH","")))</f>
        <v/>
      </c>
      <c r="EH141" s="2" t="str">
        <f aca="false">IF(DW141="","",IF(AND(ABS(DW141)&lt;=0.25,$E141="Bottom",DL141="LL"),"EQL",IF(AND(ABS(DW141)&lt;=0.25,$E141="Peak",DL141="HH"),"EQH","")))</f>
        <v/>
      </c>
      <c r="EI141" s="2" t="str">
        <f aca="false">IF(DX141="","",IF(AND(ABS(DX141)&lt;=0.25,$E141="Bottom",DM141="LL"),"EQL",IF(AND(ABS(DX141)&lt;=0.25,$E141="Peak",DM141="HH"),"EQH","")))</f>
        <v/>
      </c>
      <c r="EJ141" s="2" t="str">
        <f aca="false">IF(DY141="","",IF(AND(ABS(DY141)&lt;=0.25,$E141="Bottom",DN141="LL"),"EQL",IF(AND(ABS(DY141)&lt;=0.25,$E141="Peak",DN141="HH"),"EQH","")))</f>
        <v/>
      </c>
      <c r="EK141" s="2" t="str">
        <f aca="false">IF(DZ141="","",IF(AND(ABS(DZ141)&lt;=0.25,$E141="Bottom",DO141="LL"),"EQL",IF(AND(ABS(DZ141)&lt;=0.25,$E141="Peak",DO141="HH"),"EQH","")))</f>
        <v/>
      </c>
      <c r="EL141" s="2" t="str">
        <f aca="false">IF(EA141="","",IF(AND(ABS(EA141)&lt;=0.25,$E141="Bottom",DP141="LL"),"EQL",IF(AND(ABS(EA141)&lt;=0.25,$E141="Peak",DP141="HH"),"EQH","")))</f>
        <v/>
      </c>
      <c r="EM141" s="2" t="str">
        <f aca="false">IF(EB141="","",IF(AND(ABS(EB141)&lt;=0.25,$E141="Bottom",DQ141="LL"),"EQL",IF(AND(ABS(EB141)&lt;=0.25,$E141="Peak",DQ141="HH"),"EQH","")))</f>
        <v/>
      </c>
      <c r="EN141" s="2" t="str">
        <f aca="false">IF(EC141="","",IF(AND(ABS(EC141)&lt;=0.25,$E141="Bottom",DR141="LL"),"EQL",IF(AND(ABS(EC141)&lt;=0.25,$E141="Peak",DR141="HH"),"EQH","")))</f>
        <v/>
      </c>
      <c r="EO141" s="2" t="str">
        <f aca="false">IF(ED141="","",IF(AND(ABS(ED141)&lt;=0.25,$E141="Bottom",DS141="LL"),"EQL",IF(AND(ABS(ED141)&lt;=0.25,$E141="Peak",DS141="HH"),"EQH","")))</f>
        <v/>
      </c>
      <c r="EP141" s="2" t="str">
        <f aca="false">IF(EE141="","",IF(AND(ABS(EE141)&lt;=0.25,$E141="Bottom",DT141="LL"),"EQL",IF(AND(ABS(EE141)&lt;=0.25,$E141="Peak",DT141="HH"),"EQH","")))</f>
        <v/>
      </c>
      <c r="EQ141" s="2" t="str">
        <f aca="false">IF(EF141="","",IF(AND(ABS(EF141)&lt;=0.25,$E141="Bottom",DU141="LL"),"EQL",IF(AND(ABS(EF141)&lt;=0.25,$E141="Peak",DU141="HH"),"EQH","")))</f>
        <v/>
      </c>
      <c r="ER141" s="2" t="str">
        <f aca="false">IF(OR(EG141="EQL",EG141="EQH"),G141,"")</f>
        <v/>
      </c>
      <c r="ES141" s="2" t="str">
        <f aca="false">IF(OR(EH141="EQL",EH141="EQH"),H141,"")</f>
        <v/>
      </c>
      <c r="ET141" s="2" t="str">
        <f aca="false">IF(OR(EI141="EQL",EI141="EQH"),I141,"")</f>
        <v/>
      </c>
      <c r="EU141" s="2" t="str">
        <f aca="false">IF(OR(EJ141="EQL",EJ141="EQH"),J141,"")</f>
        <v/>
      </c>
      <c r="EV141" s="2" t="str">
        <f aca="false">IF(OR(EK141="EQL",EK141="EQH"),K141,"")</f>
        <v/>
      </c>
      <c r="EW141" s="2" t="str">
        <f aca="false">IF(OR(EL141="EQL",EL141="EQH"),L141,"")</f>
        <v/>
      </c>
      <c r="EX141" s="2" t="str">
        <f aca="false">IF(OR(EM141="EQL",EM141="EQH"),M141,"")</f>
        <v/>
      </c>
      <c r="EY141" s="2" t="str">
        <f aca="false">IF(OR(EN141="EQL",EN141="EQH"),N141,"")</f>
        <v/>
      </c>
      <c r="EZ141" s="2" t="str">
        <f aca="false">IF(OR(EO141="EQL",EO141="EQH"),O141,"")</f>
        <v/>
      </c>
      <c r="FA141" s="2" t="str">
        <f aca="false">IF(OR(EP141="EQL",EP141="EQH"),P141,"")</f>
        <v/>
      </c>
      <c r="FB141" s="2" t="str">
        <f aca="false">IF(OR(EQ141="EQL",EQ141="EQH"),Q141,"")</f>
        <v/>
      </c>
      <c r="FC141" s="2" t="str">
        <f aca="false">IF(AND(EG141="EQL",OR(AQ141=4,AQ141=5)),"IEQL",IF(AND(EG141="EQH",OR(AQ141=1,AQ141=2)),"IEQH",""))</f>
        <v/>
      </c>
      <c r="FD141" s="2" t="str">
        <f aca="false">IF(AND(EH141="EQL",OR(AR141=4,AR141=5)),"IEQL",IF(AND(EH141="EQH",OR(AR141=1,AR141=2)),"IEQH",""))</f>
        <v/>
      </c>
      <c r="FE141" s="2" t="str">
        <f aca="false">IF(AND(EI141="EQL",OR(AS141=4,AS141=5)),"IEQL",IF(AND(EI141="EQH",OR(AS141=1,AS141=2)),"IEQH",""))</f>
        <v/>
      </c>
      <c r="FF141" s="2" t="str">
        <f aca="false">IF(AND(EJ141="EQL",OR(AT141=4,AT141=5)),"IEQL",IF(AND(EJ141="EQH",OR(AT141=1,AT141=2)),"IEQH",""))</f>
        <v/>
      </c>
      <c r="FG141" s="2" t="str">
        <f aca="false">IF(AND(EK141="EQL",OR(AU141=4,AU141=5)),"IEQL",IF(AND(EK141="EQH",OR(AU141=1,AU141=2)),"IEQH",""))</f>
        <v/>
      </c>
      <c r="FH141" s="2" t="str">
        <f aca="false">IF(AND(EL141="EQL",OR(AV141=4,AV141=5)),"IEQL",IF(AND(EL141="EQH",OR(AV141=1,AV141=2)),"IEQH",""))</f>
        <v/>
      </c>
      <c r="FI141" s="2" t="str">
        <f aca="false">IF(AND(EM141="EQL",OR(AW141=4,AW141=5)),"IEQL",IF(AND(EM141="EQH",OR(AW141=1,AW141=2)),"IEQH",""))</f>
        <v/>
      </c>
      <c r="FJ141" s="2" t="str">
        <f aca="false">IF(AND(EN141="EQL",OR(AX141=4,AX141=5)),"IEQL",IF(AND(EN141="EQH",OR(AX141=1,AX141=2)),"IEQH",""))</f>
        <v/>
      </c>
      <c r="FK141" s="2" t="str">
        <f aca="false">IF(AND(EO141="EQL",OR(AY141=4,AY141=5)),"IEQL",IF(AND(EO141="EQH",OR(AY141=1,AY141=2)),"IEQH",""))</f>
        <v/>
      </c>
      <c r="FL141" s="2" t="str">
        <f aca="false">IF(AND(EP141="EQL",OR(AZ141=4,AZ141=5)),"IEQL",IF(AND(EP141="EQH",OR(AZ141=1,AZ141=2)),"IEQH",""))</f>
        <v/>
      </c>
      <c r="FM141" s="2" t="str">
        <f aca="false">IF(AND(EQ141="EQL",OR(BA141=4,BA141=5)),"IEQL",IF(AND(EQ141="EQH",OR(BA141=1,BA141=2)),"IEQH",""))</f>
        <v/>
      </c>
    </row>
    <row r="142" customFormat="false" ht="14.25" hidden="false" customHeight="false" outlineLevel="0" collapsed="false">
      <c r="A142" s="1" t="n">
        <v>1779318902</v>
      </c>
      <c r="B142" s="1" t="s">
        <v>169</v>
      </c>
      <c r="C142" s="1" t="s">
        <v>170</v>
      </c>
      <c r="D142" s="1" t="n">
        <v>4538.57</v>
      </c>
      <c r="E142" s="1" t="s">
        <v>171</v>
      </c>
      <c r="F142" s="1" t="n">
        <v>4534.63</v>
      </c>
      <c r="G142" s="2" t="n">
        <f aca="false">F140</f>
        <v>4467.07</v>
      </c>
      <c r="H142" s="2" t="n">
        <f aca="false">F138</f>
        <v>4453.69</v>
      </c>
      <c r="I142" s="2" t="n">
        <f aca="false">F136</f>
        <v>4464.78</v>
      </c>
      <c r="J142" s="2" t="n">
        <f aca="false">F134</f>
        <v>4531.31</v>
      </c>
      <c r="K142" s="2" t="n">
        <f aca="false">F132</f>
        <v>4532</v>
      </c>
      <c r="L142" s="2" t="n">
        <f aca="false">F130</f>
        <v>4530.01</v>
      </c>
      <c r="M142" s="2" t="n">
        <f aca="false">F128</f>
        <v>4480.72</v>
      </c>
      <c r="N142" s="2" t="n">
        <f aca="false">F126</f>
        <v>4511.92</v>
      </c>
      <c r="O142" s="2" t="n">
        <f aca="false">F124</f>
        <v>4532.03</v>
      </c>
      <c r="P142" s="2" t="n">
        <f aca="false">F122</f>
        <v>4644.4</v>
      </c>
      <c r="Q142" s="2" t="n">
        <f aca="false">F120</f>
        <v>4688.47</v>
      </c>
      <c r="R142" s="1" t="n">
        <v>-18.08</v>
      </c>
      <c r="S142" s="2" t="n">
        <f aca="false">R140</f>
        <v>-38.87</v>
      </c>
      <c r="T142" s="2" t="n">
        <f aca="false">R138</f>
        <v>-55.12</v>
      </c>
      <c r="U142" s="2" t="n">
        <f aca="false">R136</f>
        <v>-94.6</v>
      </c>
      <c r="V142" s="2" t="n">
        <f aca="false">R134</f>
        <v>-58.05</v>
      </c>
      <c r="W142" s="2" t="n">
        <f aca="false">R132</f>
        <v>-52.14</v>
      </c>
      <c r="X142" s="2" t="n">
        <f aca="false">R130</f>
        <v>-29.94</v>
      </c>
      <c r="Y142" s="2" t="n">
        <f aca="false">R128</f>
        <v>-85.71</v>
      </c>
      <c r="Z142" s="2" t="n">
        <f aca="false">R126</f>
        <v>-60.72</v>
      </c>
      <c r="AA142" s="2" t="n">
        <f aca="false">R124</f>
        <v>-133.32</v>
      </c>
      <c r="AB142" s="2" t="n">
        <f aca="false">R122</f>
        <v>-65.62</v>
      </c>
      <c r="AC142" s="2" t="n">
        <f aca="false">R120</f>
        <v>-30.28</v>
      </c>
      <c r="AD142" s="1" t="n">
        <v>-0.4</v>
      </c>
      <c r="AE142" s="2" t="n">
        <f aca="false">AD140</f>
        <v>-0.86</v>
      </c>
      <c r="AF142" s="2" t="n">
        <f aca="false">AD138</f>
        <v>-1.22</v>
      </c>
      <c r="AG142" s="2" t="n">
        <f aca="false">AD136</f>
        <v>-2.07</v>
      </c>
      <c r="AH142" s="2" t="n">
        <f aca="false">AD134</f>
        <v>-1.26</v>
      </c>
      <c r="AI142" s="2" t="n">
        <f aca="false">AD132</f>
        <v>-1.14</v>
      </c>
      <c r="AJ142" s="2" t="n">
        <f aca="false">AD130</f>
        <v>-0.66</v>
      </c>
      <c r="AK142" s="2" t="n">
        <f aca="false">AD128</f>
        <v>-1.88</v>
      </c>
      <c r="AL142" s="2" t="n">
        <f aca="false">AD126</f>
        <v>-1.33</v>
      </c>
      <c r="AM142" s="2" t="n">
        <f aca="false">AD124</f>
        <v>-2.86</v>
      </c>
      <c r="AN142" s="2" t="n">
        <f aca="false">AD122</f>
        <v>-1.39</v>
      </c>
      <c r="AO142" s="2" t="n">
        <f aca="false">AD120</f>
        <v>-0.64</v>
      </c>
      <c r="AP142" s="1" t="n">
        <v>3</v>
      </c>
      <c r="AQ142" s="2" t="n">
        <f aca="false">AP140</f>
        <v>3</v>
      </c>
      <c r="AR142" s="2" t="n">
        <f aca="false">AP138</f>
        <v>3</v>
      </c>
      <c r="AS142" s="2" t="n">
        <f aca="false">AP136</f>
        <v>4</v>
      </c>
      <c r="AT142" s="2" t="n">
        <f aca="false">AP134</f>
        <v>3</v>
      </c>
      <c r="AU142" s="2" t="n">
        <f aca="false">AP132</f>
        <v>3</v>
      </c>
      <c r="AV142" s="2" t="n">
        <f aca="false">AP130</f>
        <v>3</v>
      </c>
      <c r="AW142" s="2" t="n">
        <f aca="false">AP128</f>
        <v>3</v>
      </c>
      <c r="AX142" s="2" t="n">
        <f aca="false">AP126</f>
        <v>3</v>
      </c>
      <c r="AY142" s="2" t="n">
        <f aca="false">AP124</f>
        <v>5</v>
      </c>
      <c r="AZ142" s="2" t="n">
        <f aca="false">AP122</f>
        <v>3</v>
      </c>
      <c r="BA142" s="2" t="n">
        <f aca="false">AP120</f>
        <v>3</v>
      </c>
      <c r="BB142" s="1" t="n">
        <v>28</v>
      </c>
      <c r="BC142" s="2" t="n">
        <f aca="false">BB140</f>
        <v>4</v>
      </c>
      <c r="BD142" s="2" t="n">
        <f aca="false">BB138</f>
        <v>9</v>
      </c>
      <c r="BE142" s="2" t="n">
        <f aca="false">BB136</f>
        <v>23</v>
      </c>
      <c r="BF142" s="2" t="n">
        <f aca="false">BB134</f>
        <v>21</v>
      </c>
      <c r="BG142" s="2" t="n">
        <f aca="false">BB132</f>
        <v>5</v>
      </c>
      <c r="BH142" s="2" t="n">
        <f aca="false">BB130</f>
        <v>14</v>
      </c>
      <c r="BI142" s="2" t="n">
        <f aca="false">BB128</f>
        <v>36</v>
      </c>
      <c r="BJ142" s="2" t="n">
        <f aca="false">BB126</f>
        <v>12</v>
      </c>
      <c r="BK142" s="2" t="n">
        <f aca="false">BB124</f>
        <v>41</v>
      </c>
      <c r="BL142" s="2" t="n">
        <f aca="false">BB122</f>
        <v>32</v>
      </c>
      <c r="BM142" s="2" t="n">
        <f aca="false">BB120</f>
        <v>8</v>
      </c>
      <c r="BN142" s="1" t="n">
        <v>3</v>
      </c>
      <c r="BO142" s="2" t="n">
        <f aca="false">BN140</f>
        <v>3</v>
      </c>
      <c r="BP142" s="2" t="n">
        <f aca="false">BN138</f>
        <v>3</v>
      </c>
      <c r="BQ142" s="2" t="n">
        <f aca="false">BN136</f>
        <v>3</v>
      </c>
      <c r="BR142" s="2" t="n">
        <f aca="false">BN134</f>
        <v>3</v>
      </c>
      <c r="BS142" s="2" t="n">
        <f aca="false">BN132</f>
        <v>3</v>
      </c>
      <c r="BT142" s="2" t="n">
        <f aca="false">BN130</f>
        <v>3</v>
      </c>
      <c r="BU142" s="2" t="n">
        <f aca="false">BN128</f>
        <v>4</v>
      </c>
      <c r="BV142" s="2" t="n">
        <f aca="false">BN126</f>
        <v>3</v>
      </c>
      <c r="BW142" s="2" t="n">
        <f aca="false">BN124</f>
        <v>5</v>
      </c>
      <c r="BX142" s="2" t="n">
        <f aca="false">BN122</f>
        <v>4</v>
      </c>
      <c r="BY142" s="2" t="n">
        <f aca="false">BN120</f>
        <v>3</v>
      </c>
      <c r="BZ142" s="1" t="n">
        <v>-0.64571</v>
      </c>
      <c r="CA142" s="2" t="n">
        <f aca="false">BZ140</f>
        <v>-9.7175</v>
      </c>
      <c r="CB142" s="2" t="n">
        <f aca="false">BZ138</f>
        <v>-6.12444</v>
      </c>
      <c r="CC142" s="2" t="n">
        <f aca="false">BZ136</f>
        <v>-4.11304</v>
      </c>
      <c r="CD142" s="2" t="n">
        <f aca="false">BZ134</f>
        <v>-2.76429</v>
      </c>
      <c r="CE142" s="2" t="n">
        <f aca="false">BZ132</f>
        <v>-10.428</v>
      </c>
      <c r="CF142" s="2" t="n">
        <f aca="false">BZ130</f>
        <v>-2.13857</v>
      </c>
      <c r="CG142" s="2" t="n">
        <f aca="false">BZ128</f>
        <v>-2.38083</v>
      </c>
      <c r="CH142" s="2" t="n">
        <f aca="false">BZ126</f>
        <v>-5.06</v>
      </c>
      <c r="CI142" s="2" t="n">
        <f aca="false">BZ124</f>
        <v>-3.25171</v>
      </c>
      <c r="CJ142" s="2" t="n">
        <f aca="false">BZ122</f>
        <v>-2.05063</v>
      </c>
      <c r="CK142" s="2" t="n">
        <f aca="false">BZ120</f>
        <v>-3.785</v>
      </c>
      <c r="CL142" s="1" t="n">
        <v>3</v>
      </c>
      <c r="CM142" s="2" t="n">
        <f aca="false">CL140</f>
        <v>4</v>
      </c>
      <c r="CN142" s="2" t="n">
        <f aca="false">CL138</f>
        <v>3</v>
      </c>
      <c r="CO142" s="2" t="n">
        <f aca="false">CL136</f>
        <v>3</v>
      </c>
      <c r="CP142" s="2" t="n">
        <f aca="false">CL134</f>
        <v>3</v>
      </c>
      <c r="CQ142" s="2" t="n">
        <f aca="false">CL132</f>
        <v>4</v>
      </c>
      <c r="CR142" s="2" t="n">
        <f aca="false">CL130</f>
        <v>3</v>
      </c>
      <c r="CS142" s="2" t="n">
        <f aca="false">CL128</f>
        <v>3</v>
      </c>
      <c r="CT142" s="2" t="n">
        <f aca="false">CL126</f>
        <v>3</v>
      </c>
      <c r="CU142" s="2" t="n">
        <f aca="false">CL124</f>
        <v>3</v>
      </c>
      <c r="CV142" s="2" t="n">
        <f aca="false">CL122</f>
        <v>3</v>
      </c>
      <c r="CW142" s="2" t="n">
        <f aca="false">CL120</f>
        <v>3</v>
      </c>
      <c r="CX142" s="1" t="n">
        <v>-32.8509</v>
      </c>
      <c r="CY142" s="2" t="n">
        <f aca="false">CX140</f>
        <v>-84.1245</v>
      </c>
      <c r="CZ142" s="2" t="n">
        <f aca="false">CX138</f>
        <v>-80.7266</v>
      </c>
      <c r="DA142" s="2" t="n">
        <f aca="false">CX136</f>
        <v>-76.3349</v>
      </c>
      <c r="DB142" s="2" t="n">
        <f aca="false">CX134</f>
        <v>-70.112</v>
      </c>
      <c r="DC142" s="2" t="n">
        <f aca="false">CX132</f>
        <v>-84.5223</v>
      </c>
      <c r="DD142" s="2" t="n">
        <f aca="false">CX130</f>
        <v>-64.9391</v>
      </c>
      <c r="DE142" s="2" t="n">
        <f aca="false">CX128</f>
        <v>-67.2166</v>
      </c>
      <c r="DF142" s="2" t="n">
        <f aca="false">CX126</f>
        <v>-78.8208</v>
      </c>
      <c r="DG142" s="2" t="n">
        <f aca="false">CX124</f>
        <v>-72.9057</v>
      </c>
      <c r="DH142" s="2" t="n">
        <f aca="false">CX122</f>
        <v>-64.0035</v>
      </c>
      <c r="DI142" s="2" t="n">
        <f aca="false">CX120</f>
        <v>-75.2006</v>
      </c>
      <c r="DJ142" s="1" t="s">
        <v>175</v>
      </c>
      <c r="DK142" s="2" t="str">
        <f aca="false">DJ140</f>
        <v>HL</v>
      </c>
      <c r="DL142" s="2" t="str">
        <f aca="false">DJ138</f>
        <v>LL</v>
      </c>
      <c r="DM142" s="2" t="str">
        <f aca="false">DJ136</f>
        <v>LL</v>
      </c>
      <c r="DN142" s="2" t="str">
        <f aca="false">DJ134</f>
        <v>LL</v>
      </c>
      <c r="DO142" s="2" t="str">
        <f aca="false">DJ132</f>
        <v>HL</v>
      </c>
      <c r="DP142" s="2" t="str">
        <f aca="false">DJ130</f>
        <v>HL</v>
      </c>
      <c r="DQ142" s="2" t="str">
        <f aca="false">DJ128</f>
        <v>LL</v>
      </c>
      <c r="DR142" s="2" t="str">
        <f aca="false">DJ126</f>
        <v>LL</v>
      </c>
      <c r="DS142" s="2" t="str">
        <f aca="false">DJ124</f>
        <v>LL</v>
      </c>
      <c r="DT142" s="2" t="str">
        <f aca="false">DJ122</f>
        <v>LL</v>
      </c>
      <c r="DU142" s="2" t="str">
        <f aca="false">DJ120</f>
        <v>HL</v>
      </c>
      <c r="DV142" s="2" t="n">
        <f aca="false">IFERROR((G142-$F142)/$F142*100,"")</f>
        <v>-1.48986797158755</v>
      </c>
      <c r="DW142" s="2" t="n">
        <f aca="false">IFERROR((H142-$F142)/$F142*100,"")</f>
        <v>-1.78493063381137</v>
      </c>
      <c r="DX142" s="2" t="n">
        <f aca="false">IFERROR((I142-$F142)/$F142*100,"")</f>
        <v>-1.54036823290986</v>
      </c>
      <c r="DY142" s="2" t="n">
        <f aca="false">IFERROR((J142-$F142)/$F142*100,"")</f>
        <v>-0.0732143526594167</v>
      </c>
      <c r="DZ142" s="2" t="n">
        <f aca="false">IFERROR((K142-$F142)/$F142*100,"")</f>
        <v>-0.0579981167151479</v>
      </c>
      <c r="EA142" s="2" t="n">
        <f aca="false">IFERROR((L142-$F142)/$F142*100,"")</f>
        <v>-0.101882623279074</v>
      </c>
      <c r="EB142" s="2" t="n">
        <f aca="false">IFERROR((M142-$F142)/$F142*100,"")</f>
        <v>-1.18885113008117</v>
      </c>
      <c r="EC142" s="2" t="n">
        <f aca="false">IFERROR((N142-$F142)/$F142*100,"")</f>
        <v>-0.500812635209489</v>
      </c>
      <c r="ED142" s="2" t="n">
        <f aca="false">IFERROR((O142-$F142)/$F142*100,"")</f>
        <v>-0.0573365412393153</v>
      </c>
      <c r="EE142" s="2" t="n">
        <f aca="false">IFERROR((P142-$F142)/$F142*100,"")</f>
        <v>2.42070466609182</v>
      </c>
      <c r="EF142" s="2" t="n">
        <f aca="false">IFERROR((Q142-$F142)/$F142*100,"")</f>
        <v>3.39255904009809</v>
      </c>
      <c r="EG142" s="2" t="str">
        <f aca="false">IF(DV142="","",IF(AND(ABS(DV142)&lt;=0.25,$E142="Bottom",DK142="LL"),"EQL",IF(AND(ABS(DV142)&lt;=0.25,$E142="Peak",DK142="HH"),"EQH","")))</f>
        <v/>
      </c>
      <c r="EH142" s="2" t="str">
        <f aca="false">IF(DW142="","",IF(AND(ABS(DW142)&lt;=0.25,$E142="Bottom",DL142="LL"),"EQL",IF(AND(ABS(DW142)&lt;=0.25,$E142="Peak",DL142="HH"),"EQH","")))</f>
        <v/>
      </c>
      <c r="EI142" s="2" t="str">
        <f aca="false">IF(DX142="","",IF(AND(ABS(DX142)&lt;=0.25,$E142="Bottom",DM142="LL"),"EQL",IF(AND(ABS(DX142)&lt;=0.25,$E142="Peak",DM142="HH"),"EQH","")))</f>
        <v/>
      </c>
      <c r="EJ142" s="2" t="str">
        <f aca="false">IF(DY142="","",IF(AND(ABS(DY142)&lt;=0.25,$E142="Bottom",DN142="LL"),"EQL",IF(AND(ABS(DY142)&lt;=0.25,$E142="Peak",DN142="HH"),"EQH","")))</f>
        <v>EQL</v>
      </c>
      <c r="EK142" s="2" t="str">
        <f aca="false">IF(DZ142="","",IF(AND(ABS(DZ142)&lt;=0.25,$E142="Bottom",DO142="LL"),"EQL",IF(AND(ABS(DZ142)&lt;=0.25,$E142="Peak",DO142="HH"),"EQH","")))</f>
        <v/>
      </c>
      <c r="EL142" s="2" t="str">
        <f aca="false">IF(EA142="","",IF(AND(ABS(EA142)&lt;=0.25,$E142="Bottom",DP142="LL"),"EQL",IF(AND(ABS(EA142)&lt;=0.25,$E142="Peak",DP142="HH"),"EQH","")))</f>
        <v/>
      </c>
      <c r="EM142" s="2" t="str">
        <f aca="false">IF(EB142="","",IF(AND(ABS(EB142)&lt;=0.25,$E142="Bottom",DQ142="LL"),"EQL",IF(AND(ABS(EB142)&lt;=0.25,$E142="Peak",DQ142="HH"),"EQH","")))</f>
        <v/>
      </c>
      <c r="EN142" s="2" t="str">
        <f aca="false">IF(EC142="","",IF(AND(ABS(EC142)&lt;=0.25,$E142="Bottom",DR142="LL"),"EQL",IF(AND(ABS(EC142)&lt;=0.25,$E142="Peak",DR142="HH"),"EQH","")))</f>
        <v/>
      </c>
      <c r="EO142" s="2" t="str">
        <f aca="false">IF(ED142="","",IF(AND(ABS(ED142)&lt;=0.25,$E142="Bottom",DS142="LL"),"EQL",IF(AND(ABS(ED142)&lt;=0.25,$E142="Peak",DS142="HH"),"EQH","")))</f>
        <v>EQL</v>
      </c>
      <c r="EP142" s="2" t="str">
        <f aca="false">IF(EE142="","",IF(AND(ABS(EE142)&lt;=0.25,$E142="Bottom",DT142="LL"),"EQL",IF(AND(ABS(EE142)&lt;=0.25,$E142="Peak",DT142="HH"),"EQH","")))</f>
        <v/>
      </c>
      <c r="EQ142" s="2" t="str">
        <f aca="false">IF(EF142="","",IF(AND(ABS(EF142)&lt;=0.25,$E142="Bottom",DU142="LL"),"EQL",IF(AND(ABS(EF142)&lt;=0.25,$E142="Peak",DU142="HH"),"EQH","")))</f>
        <v/>
      </c>
      <c r="ER142" s="2" t="str">
        <f aca="false">IF(OR(EG142="EQL",EG142="EQH"),G142,"")</f>
        <v/>
      </c>
      <c r="ES142" s="2" t="str">
        <f aca="false">IF(OR(EH142="EQL",EH142="EQH"),H142,"")</f>
        <v/>
      </c>
      <c r="ET142" s="2" t="str">
        <f aca="false">IF(OR(EI142="EQL",EI142="EQH"),I142,"")</f>
        <v/>
      </c>
      <c r="EU142" s="2" t="n">
        <f aca="false">IF(OR(EJ142="EQL",EJ142="EQH"),J142,"")</f>
        <v>4531.31</v>
      </c>
      <c r="EV142" s="2" t="str">
        <f aca="false">IF(OR(EK142="EQL",EK142="EQH"),K142,"")</f>
        <v/>
      </c>
      <c r="EW142" s="2" t="str">
        <f aca="false">IF(OR(EL142="EQL",EL142="EQH"),L142,"")</f>
        <v/>
      </c>
      <c r="EX142" s="2" t="str">
        <f aca="false">IF(OR(EM142="EQL",EM142="EQH"),M142,"")</f>
        <v/>
      </c>
      <c r="EY142" s="2" t="str">
        <f aca="false">IF(OR(EN142="EQL",EN142="EQH"),N142,"")</f>
        <v/>
      </c>
      <c r="EZ142" s="2" t="n">
        <f aca="false">IF(OR(EO142="EQL",EO142="EQH"),O142,"")</f>
        <v>4532.03</v>
      </c>
      <c r="FA142" s="2" t="str">
        <f aca="false">IF(OR(EP142="EQL",EP142="EQH"),P142,"")</f>
        <v/>
      </c>
      <c r="FB142" s="2" t="str">
        <f aca="false">IF(OR(EQ142="EQL",EQ142="EQH"),Q142,"")</f>
        <v/>
      </c>
      <c r="FC142" s="2" t="str">
        <f aca="false">IF(AND(EG142="EQL",OR(AQ142=4,AQ142=5)),"IEQL",IF(AND(EG142="EQH",OR(AQ142=1,AQ142=2)),"IEQH",""))</f>
        <v/>
      </c>
      <c r="FD142" s="2" t="str">
        <f aca="false">IF(AND(EH142="EQL",OR(AR142=4,AR142=5)),"IEQL",IF(AND(EH142="EQH",OR(AR142=1,AR142=2)),"IEQH",""))</f>
        <v/>
      </c>
      <c r="FE142" s="2" t="str">
        <f aca="false">IF(AND(EI142="EQL",OR(AS142=4,AS142=5)),"IEQL",IF(AND(EI142="EQH",OR(AS142=1,AS142=2)),"IEQH",""))</f>
        <v/>
      </c>
      <c r="FF142" s="2" t="str">
        <f aca="false">IF(AND(EJ142="EQL",OR(AT142=4,AT142=5)),"IEQL",IF(AND(EJ142="EQH",OR(AT142=1,AT142=2)),"IEQH",""))</f>
        <v/>
      </c>
      <c r="FG142" s="2" t="str">
        <f aca="false">IF(AND(EK142="EQL",OR(AU142=4,AU142=5)),"IEQL",IF(AND(EK142="EQH",OR(AU142=1,AU142=2)),"IEQH",""))</f>
        <v/>
      </c>
      <c r="FH142" s="2" t="str">
        <f aca="false">IF(AND(EL142="EQL",OR(AV142=4,AV142=5)),"IEQL",IF(AND(EL142="EQH",OR(AV142=1,AV142=2)),"IEQH",""))</f>
        <v/>
      </c>
      <c r="FI142" s="2" t="str">
        <f aca="false">IF(AND(EM142="EQL",OR(AW142=4,AW142=5)),"IEQL",IF(AND(EM142="EQH",OR(AW142=1,AW142=2)),"IEQH",""))</f>
        <v/>
      </c>
      <c r="FJ142" s="2" t="str">
        <f aca="false">IF(AND(EN142="EQL",OR(AX142=4,AX142=5)),"IEQL",IF(AND(EN142="EQH",OR(AX142=1,AX142=2)),"IEQH",""))</f>
        <v/>
      </c>
      <c r="FK142" s="2" t="str">
        <f aca="false">IF(AND(EO142="EQL",OR(AY142=4,AY142=5)),"IEQL",IF(AND(EO142="EQH",OR(AY142=1,AY142=2)),"IEQH",""))</f>
        <v>IEQL</v>
      </c>
      <c r="FL142" s="2" t="str">
        <f aca="false">IF(AND(EP142="EQL",OR(AZ142=4,AZ142=5)),"IEQL",IF(AND(EP142="EQH",OR(AZ142=1,AZ142=2)),"IEQH",""))</f>
        <v/>
      </c>
      <c r="FM142" s="2" t="str">
        <f aca="false">IF(AND(EQ142="EQL",OR(BA142=4,BA142=5)),"IEQL",IF(AND(EQ142="EQH",OR(BA142=1,BA142=2)),"IEQH",""))</f>
        <v/>
      </c>
    </row>
    <row r="143" customFormat="false" ht="14.25" hidden="false" customHeight="false" outlineLevel="0" collapsed="false">
      <c r="A143" s="1" t="n">
        <v>1779327002</v>
      </c>
      <c r="B143" s="1" t="s">
        <v>169</v>
      </c>
      <c r="C143" s="1" t="s">
        <v>170</v>
      </c>
      <c r="D143" s="1" t="n">
        <v>4567.96</v>
      </c>
      <c r="E143" s="1" t="s">
        <v>173</v>
      </c>
      <c r="F143" s="1" t="n">
        <v>4570.99</v>
      </c>
      <c r="G143" s="2" t="n">
        <f aca="false">F141</f>
        <v>4552.71</v>
      </c>
      <c r="H143" s="2" t="n">
        <f aca="false">F139</f>
        <v>4505.94</v>
      </c>
      <c r="I143" s="2" t="n">
        <f aca="false">F137</f>
        <v>4508.81</v>
      </c>
      <c r="J143" s="2" t="n">
        <f aca="false">F135</f>
        <v>4559.38</v>
      </c>
      <c r="K143" s="2" t="n">
        <f aca="false">F133</f>
        <v>4589.36</v>
      </c>
      <c r="L143" s="2" t="n">
        <f aca="false">F131</f>
        <v>4584.14</v>
      </c>
      <c r="M143" s="2" t="n">
        <f aca="false">F129</f>
        <v>4559.95</v>
      </c>
      <c r="N143" s="2" t="n">
        <f aca="false">F127</f>
        <v>4566.43</v>
      </c>
      <c r="O143" s="2" t="n">
        <f aca="false">F125</f>
        <v>4572.64</v>
      </c>
      <c r="P143" s="2" t="n">
        <f aca="false">F123</f>
        <v>4665.35</v>
      </c>
      <c r="Q143" s="2" t="n">
        <f aca="false">F121</f>
        <v>4710.02</v>
      </c>
      <c r="R143" s="1" t="n">
        <v>36.36</v>
      </c>
      <c r="S143" s="2" t="n">
        <f aca="false">R141</f>
        <v>85.64</v>
      </c>
      <c r="T143" s="2" t="n">
        <f aca="false">R139</f>
        <v>52.25</v>
      </c>
      <c r="U143" s="2" t="n">
        <f aca="false">R137</f>
        <v>44.03</v>
      </c>
      <c r="V143" s="2" t="n">
        <f aca="false">R135</f>
        <v>28.07</v>
      </c>
      <c r="W143" s="2" t="n">
        <f aca="false">R133</f>
        <v>57.36</v>
      </c>
      <c r="X143" s="2" t="n">
        <f aca="false">R131</f>
        <v>54.13</v>
      </c>
      <c r="Y143" s="2" t="n">
        <f aca="false">R129</f>
        <v>79.23</v>
      </c>
      <c r="Z143" s="2" t="n">
        <f aca="false">R127</f>
        <v>54.51</v>
      </c>
      <c r="AA143" s="2" t="n">
        <f aca="false">R125</f>
        <v>40.61</v>
      </c>
      <c r="AB143" s="2" t="n">
        <f aca="false">R123</f>
        <v>20.95</v>
      </c>
      <c r="AC143" s="2" t="n">
        <f aca="false">R121</f>
        <v>21.55</v>
      </c>
      <c r="AD143" s="1" t="n">
        <v>0.8</v>
      </c>
      <c r="AE143" s="2" t="n">
        <f aca="false">AD141</f>
        <v>1.92</v>
      </c>
      <c r="AF143" s="2" t="n">
        <f aca="false">AD139</f>
        <v>1.17</v>
      </c>
      <c r="AG143" s="2" t="n">
        <f aca="false">AD137</f>
        <v>0.99</v>
      </c>
      <c r="AH143" s="2" t="n">
        <f aca="false">AD135</f>
        <v>0.62</v>
      </c>
      <c r="AI143" s="2" t="n">
        <f aca="false">AD133</f>
        <v>1.27</v>
      </c>
      <c r="AJ143" s="2" t="n">
        <f aca="false">AD131</f>
        <v>1.19</v>
      </c>
      <c r="AK143" s="2" t="n">
        <f aca="false">AD129</f>
        <v>1.77</v>
      </c>
      <c r="AL143" s="2" t="n">
        <f aca="false">AD127</f>
        <v>1.21</v>
      </c>
      <c r="AM143" s="2" t="n">
        <f aca="false">AD125</f>
        <v>0.9</v>
      </c>
      <c r="AN143" s="2" t="n">
        <f aca="false">AD123</f>
        <v>0.45</v>
      </c>
      <c r="AO143" s="2" t="n">
        <f aca="false">AD121</f>
        <v>0.46</v>
      </c>
      <c r="AP143" s="1" t="n">
        <v>0</v>
      </c>
      <c r="AQ143" s="2" t="n">
        <f aca="false">AP141</f>
        <v>1</v>
      </c>
      <c r="AR143" s="2" t="n">
        <f aca="false">AP139</f>
        <v>0</v>
      </c>
      <c r="AS143" s="2" t="n">
        <f aca="false">AP137</f>
        <v>0</v>
      </c>
      <c r="AT143" s="2" t="n">
        <f aca="false">AP135</f>
        <v>0</v>
      </c>
      <c r="AU143" s="2" t="n">
        <f aca="false">AP133</f>
        <v>0</v>
      </c>
      <c r="AV143" s="2" t="n">
        <f aca="false">AP131</f>
        <v>0</v>
      </c>
      <c r="AW143" s="2" t="n">
        <f aca="false">AP129</f>
        <v>0</v>
      </c>
      <c r="AX143" s="2" t="n">
        <f aca="false">AP127</f>
        <v>0</v>
      </c>
      <c r="AY143" s="2" t="n">
        <f aca="false">AP125</f>
        <v>0</v>
      </c>
      <c r="AZ143" s="2" t="n">
        <f aca="false">AP123</f>
        <v>0</v>
      </c>
      <c r="BA143" s="2" t="n">
        <f aca="false">AP121</f>
        <v>0</v>
      </c>
      <c r="BB143" s="1" t="n">
        <v>9</v>
      </c>
      <c r="BC143" s="2" t="n">
        <f aca="false">BB141</f>
        <v>5</v>
      </c>
      <c r="BD143" s="2" t="n">
        <f aca="false">BB139</f>
        <v>40</v>
      </c>
      <c r="BE143" s="2" t="n">
        <f aca="false">BB137</f>
        <v>41</v>
      </c>
      <c r="BF143" s="2" t="n">
        <f aca="false">BB135</f>
        <v>10</v>
      </c>
      <c r="BG143" s="2" t="n">
        <f aca="false">BB133</f>
        <v>32</v>
      </c>
      <c r="BH143" s="2" t="n">
        <f aca="false">BB131</f>
        <v>11</v>
      </c>
      <c r="BI143" s="2" t="n">
        <f aca="false">BB129</f>
        <v>27</v>
      </c>
      <c r="BJ143" s="2" t="n">
        <f aca="false">BB127</f>
        <v>4</v>
      </c>
      <c r="BK143" s="2" t="n">
        <f aca="false">BB125</f>
        <v>4</v>
      </c>
      <c r="BL143" s="2" t="n">
        <f aca="false">BB123</f>
        <v>8</v>
      </c>
      <c r="BM143" s="2" t="n">
        <f aca="false">BB121</f>
        <v>12</v>
      </c>
      <c r="BN143" s="1" t="n">
        <v>0</v>
      </c>
      <c r="BO143" s="2" t="n">
        <f aca="false">BN141</f>
        <v>0</v>
      </c>
      <c r="BP143" s="2" t="n">
        <f aca="false">BN139</f>
        <v>2</v>
      </c>
      <c r="BQ143" s="2" t="n">
        <f aca="false">BN137</f>
        <v>2</v>
      </c>
      <c r="BR143" s="2" t="n">
        <f aca="false">BN135</f>
        <v>0</v>
      </c>
      <c r="BS143" s="2" t="n">
        <f aca="false">BN133</f>
        <v>1</v>
      </c>
      <c r="BT143" s="2" t="n">
        <f aca="false">BN131</f>
        <v>0</v>
      </c>
      <c r="BU143" s="2" t="n">
        <f aca="false">BN129</f>
        <v>0</v>
      </c>
      <c r="BV143" s="2" t="n">
        <f aca="false">BN127</f>
        <v>0</v>
      </c>
      <c r="BW143" s="2" t="n">
        <f aca="false">BN125</f>
        <v>0</v>
      </c>
      <c r="BX143" s="2" t="n">
        <f aca="false">BN123</f>
        <v>0</v>
      </c>
      <c r="BY143" s="2" t="n">
        <f aca="false">BN121</f>
        <v>0</v>
      </c>
      <c r="BZ143" s="1" t="n">
        <v>4.04</v>
      </c>
      <c r="CA143" s="2" t="n">
        <f aca="false">BZ141</f>
        <v>17.128</v>
      </c>
      <c r="CB143" s="2" t="n">
        <f aca="false">BZ139</f>
        <v>1.30625</v>
      </c>
      <c r="CC143" s="2" t="n">
        <f aca="false">BZ137</f>
        <v>1.0739</v>
      </c>
      <c r="CD143" s="2" t="n">
        <f aca="false">BZ135</f>
        <v>2.807</v>
      </c>
      <c r="CE143" s="2" t="n">
        <f aca="false">BZ133</f>
        <v>1.7925</v>
      </c>
      <c r="CF143" s="2" t="n">
        <f aca="false">BZ131</f>
        <v>4.92091</v>
      </c>
      <c r="CG143" s="2" t="n">
        <f aca="false">BZ129</f>
        <v>2.93444</v>
      </c>
      <c r="CH143" s="2" t="n">
        <f aca="false">BZ127</f>
        <v>13.6275</v>
      </c>
      <c r="CI143" s="2" t="n">
        <f aca="false">BZ125</f>
        <v>10.1525</v>
      </c>
      <c r="CJ143" s="2" t="n">
        <f aca="false">BZ123</f>
        <v>2.61875</v>
      </c>
      <c r="CK143" s="2" t="n">
        <f aca="false">BZ121</f>
        <v>1.79583</v>
      </c>
      <c r="CL143" s="1" t="n">
        <v>0</v>
      </c>
      <c r="CM143" s="2" t="n">
        <f aca="false">CL141</f>
        <v>2</v>
      </c>
      <c r="CN143" s="2" t="n">
        <f aca="false">CL139</f>
        <v>0</v>
      </c>
      <c r="CO143" s="2" t="n">
        <f aca="false">CL137</f>
        <v>0</v>
      </c>
      <c r="CP143" s="2" t="n">
        <f aca="false">CL135</f>
        <v>0</v>
      </c>
      <c r="CQ143" s="2" t="n">
        <f aca="false">CL133</f>
        <v>0</v>
      </c>
      <c r="CR143" s="2" t="n">
        <f aca="false">CL131</f>
        <v>0</v>
      </c>
      <c r="CS143" s="2" t="n">
        <f aca="false">CL129</f>
        <v>0</v>
      </c>
      <c r="CT143" s="2" t="n">
        <f aca="false">CL127</f>
        <v>2</v>
      </c>
      <c r="CU143" s="2" t="n">
        <f aca="false">CL125</f>
        <v>1</v>
      </c>
      <c r="CV143" s="2" t="n">
        <f aca="false">CL123</f>
        <v>0</v>
      </c>
      <c r="CW143" s="2" t="n">
        <f aca="false">CL121</f>
        <v>0</v>
      </c>
      <c r="CX143" s="1" t="n">
        <v>76.0973</v>
      </c>
      <c r="CY143" s="2" t="n">
        <f aca="false">CX141</f>
        <v>86.6586</v>
      </c>
      <c r="CZ143" s="2" t="n">
        <f aca="false">CX139</f>
        <v>52.5641</v>
      </c>
      <c r="DA143" s="2" t="n">
        <f aca="false">CX137</f>
        <v>47.0408</v>
      </c>
      <c r="DB143" s="2" t="n">
        <f aca="false">CX135</f>
        <v>70.3914</v>
      </c>
      <c r="DC143" s="2" t="n">
        <f aca="false">CX133</f>
        <v>60.8437</v>
      </c>
      <c r="DD143" s="2" t="n">
        <f aca="false">CX131</f>
        <v>78.5131</v>
      </c>
      <c r="DE143" s="2" t="n">
        <f aca="false">CX129</f>
        <v>71.1819</v>
      </c>
      <c r="DF143" s="2" t="n">
        <f aca="false">CX127</f>
        <v>85.8031</v>
      </c>
      <c r="DG143" s="2" t="n">
        <f aca="false">CX125</f>
        <v>84.3746</v>
      </c>
      <c r="DH143" s="2" t="n">
        <f aca="false">CX123</f>
        <v>69.1001</v>
      </c>
      <c r="DI143" s="2" t="n">
        <f aca="false">CX121</f>
        <v>60.889</v>
      </c>
      <c r="DJ143" s="1" t="s">
        <v>176</v>
      </c>
      <c r="DK143" s="2" t="str">
        <f aca="false">DJ141</f>
        <v>HH</v>
      </c>
      <c r="DL143" s="2" t="str">
        <f aca="false">DJ139</f>
        <v>LH</v>
      </c>
      <c r="DM143" s="2" t="str">
        <f aca="false">DJ137</f>
        <v>LH</v>
      </c>
      <c r="DN143" s="2" t="str">
        <f aca="false">DJ135</f>
        <v>LH</v>
      </c>
      <c r="DO143" s="2" t="str">
        <f aca="false">DJ133</f>
        <v>HH</v>
      </c>
      <c r="DP143" s="2" t="str">
        <f aca="false">DJ131</f>
        <v>HH</v>
      </c>
      <c r="DQ143" s="2" t="str">
        <f aca="false">DJ129</f>
        <v>LH</v>
      </c>
      <c r="DR143" s="2" t="str">
        <f aca="false">DJ127</f>
        <v>LH</v>
      </c>
      <c r="DS143" s="2" t="str">
        <f aca="false">DJ125</f>
        <v>LH</v>
      </c>
      <c r="DT143" s="2" t="str">
        <f aca="false">DJ123</f>
        <v>LH</v>
      </c>
      <c r="DU143" s="2" t="str">
        <f aca="false">DJ121</f>
        <v>LH</v>
      </c>
      <c r="DV143" s="2" t="n">
        <f aca="false">IFERROR((G143-$F143)/$F143*100,"")</f>
        <v>-0.399913366688611</v>
      </c>
      <c r="DW143" s="2" t="n">
        <f aca="false">IFERROR((H143-$F143)/$F143*100,"")</f>
        <v>-1.42310527916272</v>
      </c>
      <c r="DX143" s="2" t="n">
        <f aca="false">IFERROR((I143-$F143)/$F143*100,"")</f>
        <v>-1.36031800550864</v>
      </c>
      <c r="DY143" s="2" t="n">
        <f aca="false">IFERROR((J143-$F143)/$F143*100,"")</f>
        <v>-0.2539931174647</v>
      </c>
      <c r="DZ143" s="2" t="n">
        <f aca="false">IFERROR((K143-$F143)/$F143*100,"")</f>
        <v>0.40188230558369</v>
      </c>
      <c r="EA143" s="2" t="n">
        <f aca="false">IFERROR((L143-$F143)/$F143*100,"")</f>
        <v>0.28768384966934</v>
      </c>
      <c r="EB143" s="2" t="n">
        <f aca="false">IFERROR((M143-$F143)/$F143*100,"")</f>
        <v>-0.241523171129229</v>
      </c>
      <c r="EC143" s="2" t="n">
        <f aca="false">IFERROR((N143-$F143)/$F143*100,"")</f>
        <v>-0.0997595706838013</v>
      </c>
      <c r="ED143" s="2" t="n">
        <f aca="false">IFERROR((O143-$F143)/$F143*100,"")</f>
        <v>0.0360972130763915</v>
      </c>
      <c r="EE143" s="2" t="n">
        <f aca="false">IFERROR((P143-$F143)/$F143*100,"")</f>
        <v>2.06432304599224</v>
      </c>
      <c r="EF143" s="2" t="n">
        <f aca="false">IFERROR((Q143-$F143)/$F143*100,"")</f>
        <v>3.04157305091459</v>
      </c>
      <c r="EG143" s="2" t="str">
        <f aca="false">IF(DV143="","",IF(AND(ABS(DV143)&lt;=0.25,$E143="Bottom",DK143="LL"),"EQL",IF(AND(ABS(DV143)&lt;=0.25,$E143="Peak",DK143="HH"),"EQH","")))</f>
        <v/>
      </c>
      <c r="EH143" s="2" t="str">
        <f aca="false">IF(DW143="","",IF(AND(ABS(DW143)&lt;=0.25,$E143="Bottom",DL143="LL"),"EQL",IF(AND(ABS(DW143)&lt;=0.25,$E143="Peak",DL143="HH"),"EQH","")))</f>
        <v/>
      </c>
      <c r="EI143" s="2" t="str">
        <f aca="false">IF(DX143="","",IF(AND(ABS(DX143)&lt;=0.25,$E143="Bottom",DM143="LL"),"EQL",IF(AND(ABS(DX143)&lt;=0.25,$E143="Peak",DM143="HH"),"EQH","")))</f>
        <v/>
      </c>
      <c r="EJ143" s="2" t="str">
        <f aca="false">IF(DY143="","",IF(AND(ABS(DY143)&lt;=0.25,$E143="Bottom",DN143="LL"),"EQL",IF(AND(ABS(DY143)&lt;=0.25,$E143="Peak",DN143="HH"),"EQH","")))</f>
        <v/>
      </c>
      <c r="EK143" s="2" t="str">
        <f aca="false">IF(DZ143="","",IF(AND(ABS(DZ143)&lt;=0.25,$E143="Bottom",DO143="LL"),"EQL",IF(AND(ABS(DZ143)&lt;=0.25,$E143="Peak",DO143="HH"),"EQH","")))</f>
        <v/>
      </c>
      <c r="EL143" s="2" t="str">
        <f aca="false">IF(EA143="","",IF(AND(ABS(EA143)&lt;=0.25,$E143="Bottom",DP143="LL"),"EQL",IF(AND(ABS(EA143)&lt;=0.25,$E143="Peak",DP143="HH"),"EQH","")))</f>
        <v/>
      </c>
      <c r="EM143" s="2" t="str">
        <f aca="false">IF(EB143="","",IF(AND(ABS(EB143)&lt;=0.25,$E143="Bottom",DQ143="LL"),"EQL",IF(AND(ABS(EB143)&lt;=0.25,$E143="Peak",DQ143="HH"),"EQH","")))</f>
        <v/>
      </c>
      <c r="EN143" s="2" t="str">
        <f aca="false">IF(EC143="","",IF(AND(ABS(EC143)&lt;=0.25,$E143="Bottom",DR143="LL"),"EQL",IF(AND(ABS(EC143)&lt;=0.25,$E143="Peak",DR143="HH"),"EQH","")))</f>
        <v/>
      </c>
      <c r="EO143" s="2" t="str">
        <f aca="false">IF(ED143="","",IF(AND(ABS(ED143)&lt;=0.25,$E143="Bottom",DS143="LL"),"EQL",IF(AND(ABS(ED143)&lt;=0.25,$E143="Peak",DS143="HH"),"EQH","")))</f>
        <v/>
      </c>
      <c r="EP143" s="2" t="str">
        <f aca="false">IF(EE143="","",IF(AND(ABS(EE143)&lt;=0.25,$E143="Bottom",DT143="LL"),"EQL",IF(AND(ABS(EE143)&lt;=0.25,$E143="Peak",DT143="HH"),"EQH","")))</f>
        <v/>
      </c>
      <c r="EQ143" s="2" t="str">
        <f aca="false">IF(EF143="","",IF(AND(ABS(EF143)&lt;=0.25,$E143="Bottom",DU143="LL"),"EQL",IF(AND(ABS(EF143)&lt;=0.25,$E143="Peak",DU143="HH"),"EQH","")))</f>
        <v/>
      </c>
      <c r="ER143" s="2" t="str">
        <f aca="false">IF(OR(EG143="EQL",EG143="EQH"),G143,"")</f>
        <v/>
      </c>
      <c r="ES143" s="2" t="str">
        <f aca="false">IF(OR(EH143="EQL",EH143="EQH"),H143,"")</f>
        <v/>
      </c>
      <c r="ET143" s="2" t="str">
        <f aca="false">IF(OR(EI143="EQL",EI143="EQH"),I143,"")</f>
        <v/>
      </c>
      <c r="EU143" s="2" t="str">
        <f aca="false">IF(OR(EJ143="EQL",EJ143="EQH"),J143,"")</f>
        <v/>
      </c>
      <c r="EV143" s="2" t="str">
        <f aca="false">IF(OR(EK143="EQL",EK143="EQH"),K143,"")</f>
        <v/>
      </c>
      <c r="EW143" s="2" t="str">
        <f aca="false">IF(OR(EL143="EQL",EL143="EQH"),L143,"")</f>
        <v/>
      </c>
      <c r="EX143" s="2" t="str">
        <f aca="false">IF(OR(EM143="EQL",EM143="EQH"),M143,"")</f>
        <v/>
      </c>
      <c r="EY143" s="2" t="str">
        <f aca="false">IF(OR(EN143="EQL",EN143="EQH"),N143,"")</f>
        <v/>
      </c>
      <c r="EZ143" s="2" t="str">
        <f aca="false">IF(OR(EO143="EQL",EO143="EQH"),O143,"")</f>
        <v/>
      </c>
      <c r="FA143" s="2" t="str">
        <f aca="false">IF(OR(EP143="EQL",EP143="EQH"),P143,"")</f>
        <v/>
      </c>
      <c r="FB143" s="2" t="str">
        <f aca="false">IF(OR(EQ143="EQL",EQ143="EQH"),Q143,"")</f>
        <v/>
      </c>
      <c r="FC143" s="2" t="str">
        <f aca="false">IF(AND(EG143="EQL",OR(AQ143=4,AQ143=5)),"IEQL",IF(AND(EG143="EQH",OR(AQ143=1,AQ143=2)),"IEQH",""))</f>
        <v/>
      </c>
      <c r="FD143" s="2" t="str">
        <f aca="false">IF(AND(EH143="EQL",OR(AR143=4,AR143=5)),"IEQL",IF(AND(EH143="EQH",OR(AR143=1,AR143=2)),"IEQH",""))</f>
        <v/>
      </c>
      <c r="FE143" s="2" t="str">
        <f aca="false">IF(AND(EI143="EQL",OR(AS143=4,AS143=5)),"IEQL",IF(AND(EI143="EQH",OR(AS143=1,AS143=2)),"IEQH",""))</f>
        <v/>
      </c>
      <c r="FF143" s="2" t="str">
        <f aca="false">IF(AND(EJ143="EQL",OR(AT143=4,AT143=5)),"IEQL",IF(AND(EJ143="EQH",OR(AT143=1,AT143=2)),"IEQH",""))</f>
        <v/>
      </c>
      <c r="FG143" s="2" t="str">
        <f aca="false">IF(AND(EK143="EQL",OR(AU143=4,AU143=5)),"IEQL",IF(AND(EK143="EQH",OR(AU143=1,AU143=2)),"IEQH",""))</f>
        <v/>
      </c>
      <c r="FH143" s="2" t="str">
        <f aca="false">IF(AND(EL143="EQL",OR(AV143=4,AV143=5)),"IEQL",IF(AND(EL143="EQH",OR(AV143=1,AV143=2)),"IEQH",""))</f>
        <v/>
      </c>
      <c r="FI143" s="2" t="str">
        <f aca="false">IF(AND(EM143="EQL",OR(AW143=4,AW143=5)),"IEQL",IF(AND(EM143="EQH",OR(AW143=1,AW143=2)),"IEQH",""))</f>
        <v/>
      </c>
      <c r="FJ143" s="2" t="str">
        <f aca="false">IF(AND(EN143="EQL",OR(AX143=4,AX143=5)),"IEQL",IF(AND(EN143="EQH",OR(AX143=1,AX143=2)),"IEQH",""))</f>
        <v/>
      </c>
      <c r="FK143" s="2" t="str">
        <f aca="false">IF(AND(EO143="EQL",OR(AY143=4,AY143=5)),"IEQL",IF(AND(EO143="EQH",OR(AY143=1,AY143=2)),"IEQH",""))</f>
        <v/>
      </c>
      <c r="FL143" s="2" t="str">
        <f aca="false">IF(AND(EP143="EQL",OR(AZ143=4,AZ143=5)),"IEQL",IF(AND(EP143="EQH",OR(AZ143=1,AZ143=2)),"IEQH",""))</f>
        <v/>
      </c>
      <c r="FM143" s="2" t="str">
        <f aca="false">IF(AND(EQ143="EQL",OR(BA143=4,BA143=5)),"IEQL",IF(AND(EQ143="EQH",OR(BA143=1,BA143=2)),"IEQH",""))</f>
        <v/>
      </c>
    </row>
    <row r="144" customFormat="false" ht="14.25" hidden="false" customHeight="false" outlineLevel="0" collapsed="false">
      <c r="A144" s="1" t="n">
        <v>1779347702</v>
      </c>
      <c r="B144" s="1" t="s">
        <v>169</v>
      </c>
      <c r="C144" s="1" t="s">
        <v>170</v>
      </c>
      <c r="D144" s="1" t="n">
        <v>4512.95</v>
      </c>
      <c r="E144" s="1" t="s">
        <v>171</v>
      </c>
      <c r="F144" s="1" t="n">
        <v>4512.06</v>
      </c>
      <c r="G144" s="2" t="n">
        <f aca="false">F142</f>
        <v>4534.63</v>
      </c>
      <c r="H144" s="2" t="n">
        <f aca="false">F140</f>
        <v>4467.07</v>
      </c>
      <c r="I144" s="2" t="n">
        <f aca="false">F138</f>
        <v>4453.69</v>
      </c>
      <c r="J144" s="2" t="n">
        <f aca="false">F136</f>
        <v>4464.78</v>
      </c>
      <c r="K144" s="2" t="n">
        <f aca="false">F134</f>
        <v>4531.31</v>
      </c>
      <c r="L144" s="2" t="n">
        <f aca="false">F132</f>
        <v>4532</v>
      </c>
      <c r="M144" s="2" t="n">
        <f aca="false">F130</f>
        <v>4530.01</v>
      </c>
      <c r="N144" s="2" t="n">
        <f aca="false">F128</f>
        <v>4480.72</v>
      </c>
      <c r="O144" s="2" t="n">
        <f aca="false">F126</f>
        <v>4511.92</v>
      </c>
      <c r="P144" s="2" t="n">
        <f aca="false">F124</f>
        <v>4532.03</v>
      </c>
      <c r="Q144" s="2" t="n">
        <f aca="false">F122</f>
        <v>4644.4</v>
      </c>
      <c r="R144" s="1" t="n">
        <v>-58.93</v>
      </c>
      <c r="S144" s="2" t="n">
        <f aca="false">R142</f>
        <v>-18.08</v>
      </c>
      <c r="T144" s="2" t="n">
        <f aca="false">R140</f>
        <v>-38.87</v>
      </c>
      <c r="U144" s="2" t="n">
        <f aca="false">R138</f>
        <v>-55.12</v>
      </c>
      <c r="V144" s="2" t="n">
        <f aca="false">R136</f>
        <v>-94.6</v>
      </c>
      <c r="W144" s="2" t="n">
        <f aca="false">R134</f>
        <v>-58.05</v>
      </c>
      <c r="X144" s="2" t="n">
        <f aca="false">R132</f>
        <v>-52.14</v>
      </c>
      <c r="Y144" s="2" t="n">
        <f aca="false">R130</f>
        <v>-29.94</v>
      </c>
      <c r="Z144" s="2" t="n">
        <f aca="false">R128</f>
        <v>-85.71</v>
      </c>
      <c r="AA144" s="2" t="n">
        <f aca="false">R126</f>
        <v>-60.72</v>
      </c>
      <c r="AB144" s="2" t="n">
        <f aca="false">R124</f>
        <v>-133.32</v>
      </c>
      <c r="AC144" s="2" t="n">
        <f aca="false">R122</f>
        <v>-65.62</v>
      </c>
      <c r="AD144" s="1" t="n">
        <v>-1.29</v>
      </c>
      <c r="AE144" s="2" t="n">
        <f aca="false">AD142</f>
        <v>-0.4</v>
      </c>
      <c r="AF144" s="2" t="n">
        <f aca="false">AD140</f>
        <v>-0.86</v>
      </c>
      <c r="AG144" s="2" t="n">
        <f aca="false">AD138</f>
        <v>-1.22</v>
      </c>
      <c r="AH144" s="2" t="n">
        <f aca="false">AD136</f>
        <v>-2.07</v>
      </c>
      <c r="AI144" s="2" t="n">
        <f aca="false">AD134</f>
        <v>-1.26</v>
      </c>
      <c r="AJ144" s="2" t="n">
        <f aca="false">AD132</f>
        <v>-1.14</v>
      </c>
      <c r="AK144" s="2" t="n">
        <f aca="false">AD130</f>
        <v>-0.66</v>
      </c>
      <c r="AL144" s="2" t="n">
        <f aca="false">AD128</f>
        <v>-1.88</v>
      </c>
      <c r="AM144" s="2" t="n">
        <f aca="false">AD126</f>
        <v>-1.33</v>
      </c>
      <c r="AN144" s="2" t="n">
        <f aca="false">AD124</f>
        <v>-2.86</v>
      </c>
      <c r="AO144" s="2" t="n">
        <f aca="false">AD122</f>
        <v>-1.39</v>
      </c>
      <c r="AP144" s="1" t="n">
        <v>3</v>
      </c>
      <c r="AQ144" s="2" t="n">
        <f aca="false">AP142</f>
        <v>3</v>
      </c>
      <c r="AR144" s="2" t="n">
        <f aca="false">AP140</f>
        <v>3</v>
      </c>
      <c r="AS144" s="2" t="n">
        <f aca="false">AP138</f>
        <v>3</v>
      </c>
      <c r="AT144" s="2" t="n">
        <f aca="false">AP136</f>
        <v>4</v>
      </c>
      <c r="AU144" s="2" t="n">
        <f aca="false">AP134</f>
        <v>3</v>
      </c>
      <c r="AV144" s="2" t="n">
        <f aca="false">AP132</f>
        <v>3</v>
      </c>
      <c r="AW144" s="2" t="n">
        <f aca="false">AP130</f>
        <v>3</v>
      </c>
      <c r="AX144" s="2" t="n">
        <f aca="false">AP128</f>
        <v>3</v>
      </c>
      <c r="AY144" s="2" t="n">
        <f aca="false">AP126</f>
        <v>3</v>
      </c>
      <c r="AZ144" s="2" t="n">
        <f aca="false">AP124</f>
        <v>5</v>
      </c>
      <c r="BA144" s="2" t="n">
        <f aca="false">AP122</f>
        <v>3</v>
      </c>
      <c r="BB144" s="1" t="n">
        <v>23</v>
      </c>
      <c r="BC144" s="2" t="n">
        <f aca="false">BB142</f>
        <v>28</v>
      </c>
      <c r="BD144" s="2" t="n">
        <f aca="false">BB140</f>
        <v>4</v>
      </c>
      <c r="BE144" s="2" t="n">
        <f aca="false">BB138</f>
        <v>9</v>
      </c>
      <c r="BF144" s="2" t="n">
        <f aca="false">BB136</f>
        <v>23</v>
      </c>
      <c r="BG144" s="2" t="n">
        <f aca="false">BB134</f>
        <v>21</v>
      </c>
      <c r="BH144" s="2" t="n">
        <f aca="false">BB132</f>
        <v>5</v>
      </c>
      <c r="BI144" s="2" t="n">
        <f aca="false">BB130</f>
        <v>14</v>
      </c>
      <c r="BJ144" s="2" t="n">
        <f aca="false">BB128</f>
        <v>36</v>
      </c>
      <c r="BK144" s="2" t="n">
        <f aca="false">BB126</f>
        <v>12</v>
      </c>
      <c r="BL144" s="2" t="n">
        <f aca="false">BB124</f>
        <v>41</v>
      </c>
      <c r="BM144" s="2" t="n">
        <f aca="false">BB122</f>
        <v>32</v>
      </c>
      <c r="BN144" s="1" t="n">
        <v>3</v>
      </c>
      <c r="BO144" s="2" t="n">
        <f aca="false">BN142</f>
        <v>3</v>
      </c>
      <c r="BP144" s="2" t="n">
        <f aca="false">BN140</f>
        <v>3</v>
      </c>
      <c r="BQ144" s="2" t="n">
        <f aca="false">BN138</f>
        <v>3</v>
      </c>
      <c r="BR144" s="2" t="n">
        <f aca="false">BN136</f>
        <v>3</v>
      </c>
      <c r="BS144" s="2" t="n">
        <f aca="false">BN134</f>
        <v>3</v>
      </c>
      <c r="BT144" s="2" t="n">
        <f aca="false">BN132</f>
        <v>3</v>
      </c>
      <c r="BU144" s="2" t="n">
        <f aca="false">BN130</f>
        <v>3</v>
      </c>
      <c r="BV144" s="2" t="n">
        <f aca="false">BN128</f>
        <v>4</v>
      </c>
      <c r="BW144" s="2" t="n">
        <f aca="false">BN126</f>
        <v>3</v>
      </c>
      <c r="BX144" s="2" t="n">
        <f aca="false">BN124</f>
        <v>5</v>
      </c>
      <c r="BY144" s="2" t="n">
        <f aca="false">BN122</f>
        <v>4</v>
      </c>
      <c r="BZ144" s="1" t="n">
        <v>-2.56217</v>
      </c>
      <c r="CA144" s="2" t="n">
        <f aca="false">BZ142</f>
        <v>-0.64571</v>
      </c>
      <c r="CB144" s="2" t="n">
        <f aca="false">BZ140</f>
        <v>-9.7175</v>
      </c>
      <c r="CC144" s="2" t="n">
        <f aca="false">BZ138</f>
        <v>-6.12444</v>
      </c>
      <c r="CD144" s="2" t="n">
        <f aca="false">BZ136</f>
        <v>-4.11304</v>
      </c>
      <c r="CE144" s="2" t="n">
        <f aca="false">BZ134</f>
        <v>-2.76429</v>
      </c>
      <c r="CF144" s="2" t="n">
        <f aca="false">BZ132</f>
        <v>-10.428</v>
      </c>
      <c r="CG144" s="2" t="n">
        <f aca="false">BZ130</f>
        <v>-2.13857</v>
      </c>
      <c r="CH144" s="2" t="n">
        <f aca="false">BZ128</f>
        <v>-2.38083</v>
      </c>
      <c r="CI144" s="2" t="n">
        <f aca="false">BZ126</f>
        <v>-5.06</v>
      </c>
      <c r="CJ144" s="2" t="n">
        <f aca="false">BZ124</f>
        <v>-3.25171</v>
      </c>
      <c r="CK144" s="2" t="n">
        <f aca="false">BZ122</f>
        <v>-2.05063</v>
      </c>
      <c r="CL144" s="1" t="n">
        <v>3</v>
      </c>
      <c r="CM144" s="2" t="n">
        <f aca="false">CL142</f>
        <v>3</v>
      </c>
      <c r="CN144" s="2" t="n">
        <f aca="false">CL140</f>
        <v>4</v>
      </c>
      <c r="CO144" s="2" t="n">
        <f aca="false">CL138</f>
        <v>3</v>
      </c>
      <c r="CP144" s="2" t="n">
        <f aca="false">CL136</f>
        <v>3</v>
      </c>
      <c r="CQ144" s="2" t="n">
        <f aca="false">CL134</f>
        <v>3</v>
      </c>
      <c r="CR144" s="2" t="n">
        <f aca="false">CL132</f>
        <v>4</v>
      </c>
      <c r="CS144" s="2" t="n">
        <f aca="false">CL130</f>
        <v>3</v>
      </c>
      <c r="CT144" s="2" t="n">
        <f aca="false">CL128</f>
        <v>3</v>
      </c>
      <c r="CU144" s="2" t="n">
        <f aca="false">CL126</f>
        <v>3</v>
      </c>
      <c r="CV144" s="2" t="n">
        <f aca="false">CL124</f>
        <v>3</v>
      </c>
      <c r="CW144" s="2" t="n">
        <f aca="false">CL122</f>
        <v>3</v>
      </c>
      <c r="CX144" s="1" t="n">
        <v>-68.6796</v>
      </c>
      <c r="CY144" s="2" t="n">
        <f aca="false">CX142</f>
        <v>-32.8509</v>
      </c>
      <c r="CZ144" s="2" t="n">
        <f aca="false">CX140</f>
        <v>-84.1245</v>
      </c>
      <c r="DA144" s="2" t="n">
        <f aca="false">CX138</f>
        <v>-80.7266</v>
      </c>
      <c r="DB144" s="2" t="n">
        <f aca="false">CX136</f>
        <v>-76.3349</v>
      </c>
      <c r="DC144" s="2" t="n">
        <f aca="false">CX134</f>
        <v>-70.112</v>
      </c>
      <c r="DD144" s="2" t="n">
        <f aca="false">CX132</f>
        <v>-84.5223</v>
      </c>
      <c r="DE144" s="2" t="n">
        <f aca="false">CX130</f>
        <v>-64.9391</v>
      </c>
      <c r="DF144" s="2" t="n">
        <f aca="false">CX128</f>
        <v>-67.2166</v>
      </c>
      <c r="DG144" s="2" t="n">
        <f aca="false">CX126</f>
        <v>-78.8208</v>
      </c>
      <c r="DH144" s="2" t="n">
        <f aca="false">CX124</f>
        <v>-72.9057</v>
      </c>
      <c r="DI144" s="2" t="n">
        <f aca="false">CX122</f>
        <v>-64.0035</v>
      </c>
      <c r="DJ144" s="1" t="s">
        <v>172</v>
      </c>
      <c r="DK144" s="2" t="str">
        <f aca="false">DJ142</f>
        <v>HL</v>
      </c>
      <c r="DL144" s="2" t="str">
        <f aca="false">DJ140</f>
        <v>HL</v>
      </c>
      <c r="DM144" s="2" t="str">
        <f aca="false">DJ138</f>
        <v>LL</v>
      </c>
      <c r="DN144" s="2" t="str">
        <f aca="false">DJ136</f>
        <v>LL</v>
      </c>
      <c r="DO144" s="2" t="str">
        <f aca="false">DJ134</f>
        <v>LL</v>
      </c>
      <c r="DP144" s="2" t="str">
        <f aca="false">DJ132</f>
        <v>HL</v>
      </c>
      <c r="DQ144" s="2" t="str">
        <f aca="false">DJ130</f>
        <v>HL</v>
      </c>
      <c r="DR144" s="2" t="str">
        <f aca="false">DJ128</f>
        <v>LL</v>
      </c>
      <c r="DS144" s="2" t="str">
        <f aca="false">DJ126</f>
        <v>LL</v>
      </c>
      <c r="DT144" s="2" t="str">
        <f aca="false">DJ124</f>
        <v>LL</v>
      </c>
      <c r="DU144" s="2" t="str">
        <f aca="false">DJ122</f>
        <v>LL</v>
      </c>
      <c r="DV144" s="2" t="n">
        <f aca="false">IFERROR((G144-$F144)/$F144*100,"")</f>
        <v>0.500214979410728</v>
      </c>
      <c r="DW144" s="2" t="n">
        <f aca="false">IFERROR((H144-$F144)/$F144*100,"")</f>
        <v>-0.997105534944143</v>
      </c>
      <c r="DX144" s="2" t="n">
        <f aca="false">IFERROR((I144-$F144)/$F144*100,"")</f>
        <v>-1.29364414480306</v>
      </c>
      <c r="DY144" s="2" t="n">
        <f aca="false">IFERROR((J144-$F144)/$F144*100,"")</f>
        <v>-1.04785840613823</v>
      </c>
      <c r="DZ144" s="2" t="n">
        <f aca="false">IFERROR((K144-$F144)/$F144*100,"")</f>
        <v>0.426634397592231</v>
      </c>
      <c r="EA144" s="2" t="n">
        <f aca="false">IFERROR((L144-$F144)/$F144*100,"")</f>
        <v>0.441926747427995</v>
      </c>
      <c r="EB144" s="2" t="n">
        <f aca="false">IFERROR((M144-$F144)/$F144*100,"")</f>
        <v>0.397822723988595</v>
      </c>
      <c r="EC144" s="2" t="n">
        <f aca="false">IFERROR((N144-$F144)/$F144*100,"")</f>
        <v>-0.694582962106004</v>
      </c>
      <c r="ED144" s="2" t="n">
        <f aca="false">IFERROR((O144-$F144)/$F144*100,"")</f>
        <v>-0.00310279561885984</v>
      </c>
      <c r="EE144" s="2" t="n">
        <f aca="false">IFERROR((P144-$F144)/$F144*100,"")</f>
        <v>0.442591632203458</v>
      </c>
      <c r="EF144" s="2" t="n">
        <f aca="false">IFERROR((Q144-$F144)/$F144*100,"")</f>
        <v>2.93302837284963</v>
      </c>
      <c r="EG144" s="2" t="str">
        <f aca="false">IF(DV144="","",IF(AND(ABS(DV144)&lt;=0.25,$E144="Bottom",DK144="LL"),"EQL",IF(AND(ABS(DV144)&lt;=0.25,$E144="Peak",DK144="HH"),"EQH","")))</f>
        <v/>
      </c>
      <c r="EH144" s="2" t="str">
        <f aca="false">IF(DW144="","",IF(AND(ABS(DW144)&lt;=0.25,$E144="Bottom",DL144="LL"),"EQL",IF(AND(ABS(DW144)&lt;=0.25,$E144="Peak",DL144="HH"),"EQH","")))</f>
        <v/>
      </c>
      <c r="EI144" s="2" t="str">
        <f aca="false">IF(DX144="","",IF(AND(ABS(DX144)&lt;=0.25,$E144="Bottom",DM144="LL"),"EQL",IF(AND(ABS(DX144)&lt;=0.25,$E144="Peak",DM144="HH"),"EQH","")))</f>
        <v/>
      </c>
      <c r="EJ144" s="2" t="str">
        <f aca="false">IF(DY144="","",IF(AND(ABS(DY144)&lt;=0.25,$E144="Bottom",DN144="LL"),"EQL",IF(AND(ABS(DY144)&lt;=0.25,$E144="Peak",DN144="HH"),"EQH","")))</f>
        <v/>
      </c>
      <c r="EK144" s="2" t="str">
        <f aca="false">IF(DZ144="","",IF(AND(ABS(DZ144)&lt;=0.25,$E144="Bottom",DO144="LL"),"EQL",IF(AND(ABS(DZ144)&lt;=0.25,$E144="Peak",DO144="HH"),"EQH","")))</f>
        <v/>
      </c>
      <c r="EL144" s="2" t="str">
        <f aca="false">IF(EA144="","",IF(AND(ABS(EA144)&lt;=0.25,$E144="Bottom",DP144="LL"),"EQL",IF(AND(ABS(EA144)&lt;=0.25,$E144="Peak",DP144="HH"),"EQH","")))</f>
        <v/>
      </c>
      <c r="EM144" s="2" t="str">
        <f aca="false">IF(EB144="","",IF(AND(ABS(EB144)&lt;=0.25,$E144="Bottom",DQ144="LL"),"EQL",IF(AND(ABS(EB144)&lt;=0.25,$E144="Peak",DQ144="HH"),"EQH","")))</f>
        <v/>
      </c>
      <c r="EN144" s="2" t="str">
        <f aca="false">IF(EC144="","",IF(AND(ABS(EC144)&lt;=0.25,$E144="Bottom",DR144="LL"),"EQL",IF(AND(ABS(EC144)&lt;=0.25,$E144="Peak",DR144="HH"),"EQH","")))</f>
        <v/>
      </c>
      <c r="EO144" s="2" t="str">
        <f aca="false">IF(ED144="","",IF(AND(ABS(ED144)&lt;=0.25,$E144="Bottom",DS144="LL"),"EQL",IF(AND(ABS(ED144)&lt;=0.25,$E144="Peak",DS144="HH"),"EQH","")))</f>
        <v>EQL</v>
      </c>
      <c r="EP144" s="2" t="str">
        <f aca="false">IF(EE144="","",IF(AND(ABS(EE144)&lt;=0.25,$E144="Bottom",DT144="LL"),"EQL",IF(AND(ABS(EE144)&lt;=0.25,$E144="Peak",DT144="HH"),"EQH","")))</f>
        <v/>
      </c>
      <c r="EQ144" s="2" t="str">
        <f aca="false">IF(EF144="","",IF(AND(ABS(EF144)&lt;=0.25,$E144="Bottom",DU144="LL"),"EQL",IF(AND(ABS(EF144)&lt;=0.25,$E144="Peak",DU144="HH"),"EQH","")))</f>
        <v/>
      </c>
      <c r="ER144" s="2" t="str">
        <f aca="false">IF(OR(EG144="EQL",EG144="EQH"),G144,"")</f>
        <v/>
      </c>
      <c r="ES144" s="2" t="str">
        <f aca="false">IF(OR(EH144="EQL",EH144="EQH"),H144,"")</f>
        <v/>
      </c>
      <c r="ET144" s="2" t="str">
        <f aca="false">IF(OR(EI144="EQL",EI144="EQH"),I144,"")</f>
        <v/>
      </c>
      <c r="EU144" s="2" t="str">
        <f aca="false">IF(OR(EJ144="EQL",EJ144="EQH"),J144,"")</f>
        <v/>
      </c>
      <c r="EV144" s="2" t="str">
        <f aca="false">IF(OR(EK144="EQL",EK144="EQH"),K144,"")</f>
        <v/>
      </c>
      <c r="EW144" s="2" t="str">
        <f aca="false">IF(OR(EL144="EQL",EL144="EQH"),L144,"")</f>
        <v/>
      </c>
      <c r="EX144" s="2" t="str">
        <f aca="false">IF(OR(EM144="EQL",EM144="EQH"),M144,"")</f>
        <v/>
      </c>
      <c r="EY144" s="2" t="str">
        <f aca="false">IF(OR(EN144="EQL",EN144="EQH"),N144,"")</f>
        <v/>
      </c>
      <c r="EZ144" s="2" t="n">
        <f aca="false">IF(OR(EO144="EQL",EO144="EQH"),O144,"")</f>
        <v>4511.92</v>
      </c>
      <c r="FA144" s="2" t="str">
        <f aca="false">IF(OR(EP144="EQL",EP144="EQH"),P144,"")</f>
        <v/>
      </c>
      <c r="FB144" s="2" t="str">
        <f aca="false">IF(OR(EQ144="EQL",EQ144="EQH"),Q144,"")</f>
        <v/>
      </c>
      <c r="FC144" s="2" t="str">
        <f aca="false">IF(AND(EG144="EQL",OR(AQ144=4,AQ144=5)),"IEQL",IF(AND(EG144="EQH",OR(AQ144=1,AQ144=2)),"IEQH",""))</f>
        <v/>
      </c>
      <c r="FD144" s="2" t="str">
        <f aca="false">IF(AND(EH144="EQL",OR(AR144=4,AR144=5)),"IEQL",IF(AND(EH144="EQH",OR(AR144=1,AR144=2)),"IEQH",""))</f>
        <v/>
      </c>
      <c r="FE144" s="2" t="str">
        <f aca="false">IF(AND(EI144="EQL",OR(AS144=4,AS144=5)),"IEQL",IF(AND(EI144="EQH",OR(AS144=1,AS144=2)),"IEQH",""))</f>
        <v/>
      </c>
      <c r="FF144" s="2" t="str">
        <f aca="false">IF(AND(EJ144="EQL",OR(AT144=4,AT144=5)),"IEQL",IF(AND(EJ144="EQH",OR(AT144=1,AT144=2)),"IEQH",""))</f>
        <v/>
      </c>
      <c r="FG144" s="2" t="str">
        <f aca="false">IF(AND(EK144="EQL",OR(AU144=4,AU144=5)),"IEQL",IF(AND(EK144="EQH",OR(AU144=1,AU144=2)),"IEQH",""))</f>
        <v/>
      </c>
      <c r="FH144" s="2" t="str">
        <f aca="false">IF(AND(EL144="EQL",OR(AV144=4,AV144=5)),"IEQL",IF(AND(EL144="EQH",OR(AV144=1,AV144=2)),"IEQH",""))</f>
        <v/>
      </c>
      <c r="FI144" s="2" t="str">
        <f aca="false">IF(AND(EM144="EQL",OR(AW144=4,AW144=5)),"IEQL",IF(AND(EM144="EQH",OR(AW144=1,AW144=2)),"IEQH",""))</f>
        <v/>
      </c>
      <c r="FJ144" s="2" t="str">
        <f aca="false">IF(AND(EN144="EQL",OR(AX144=4,AX144=5)),"IEQL",IF(AND(EN144="EQH",OR(AX144=1,AX144=2)),"IEQH",""))</f>
        <v/>
      </c>
      <c r="FK144" s="2" t="str">
        <f aca="false">IF(AND(EO144="EQL",OR(AY144=4,AY144=5)),"IEQL",IF(AND(EO144="EQH",OR(AY144=1,AY144=2)),"IEQH",""))</f>
        <v/>
      </c>
      <c r="FL144" s="2" t="str">
        <f aca="false">IF(AND(EP144="EQL",OR(AZ144=4,AZ144=5)),"IEQL",IF(AND(EP144="EQH",OR(AZ144=1,AZ144=2)),"IEQH",""))</f>
        <v/>
      </c>
      <c r="FM144" s="2" t="str">
        <f aca="false">IF(AND(EQ144="EQL",OR(BA144=4,BA144=5)),"IEQL",IF(AND(EQ144="EQH",OR(BA144=1,BA144=2)),"IEQH",""))</f>
        <v/>
      </c>
    </row>
    <row r="145" customFormat="false" ht="14.25" hidden="false" customHeight="false" outlineLevel="0" collapsed="false">
      <c r="A145" s="1" t="n">
        <v>1779355802</v>
      </c>
      <c r="B145" s="1" t="s">
        <v>169</v>
      </c>
      <c r="C145" s="1" t="s">
        <v>170</v>
      </c>
      <c r="D145" s="1" t="n">
        <v>4529.86</v>
      </c>
      <c r="E145" s="1" t="s">
        <v>173</v>
      </c>
      <c r="F145" s="1" t="n">
        <v>4542.7</v>
      </c>
      <c r="G145" s="2" t="n">
        <f aca="false">F143</f>
        <v>4570.99</v>
      </c>
      <c r="H145" s="2" t="n">
        <f aca="false">F141</f>
        <v>4552.71</v>
      </c>
      <c r="I145" s="2" t="n">
        <f aca="false">F139</f>
        <v>4505.94</v>
      </c>
      <c r="J145" s="2" t="n">
        <f aca="false">F137</f>
        <v>4508.81</v>
      </c>
      <c r="K145" s="2" t="n">
        <f aca="false">F135</f>
        <v>4559.38</v>
      </c>
      <c r="L145" s="2" t="n">
        <f aca="false">F133</f>
        <v>4589.36</v>
      </c>
      <c r="M145" s="2" t="n">
        <f aca="false">F131</f>
        <v>4584.14</v>
      </c>
      <c r="N145" s="2" t="n">
        <f aca="false">F129</f>
        <v>4559.95</v>
      </c>
      <c r="O145" s="2" t="n">
        <f aca="false">F127</f>
        <v>4566.43</v>
      </c>
      <c r="P145" s="2" t="n">
        <f aca="false">F125</f>
        <v>4572.64</v>
      </c>
      <c r="Q145" s="2" t="n">
        <f aca="false">F123</f>
        <v>4665.35</v>
      </c>
      <c r="R145" s="1" t="n">
        <v>30.64</v>
      </c>
      <c r="S145" s="2" t="n">
        <f aca="false">R143</f>
        <v>36.36</v>
      </c>
      <c r="T145" s="2" t="n">
        <f aca="false">R141</f>
        <v>85.64</v>
      </c>
      <c r="U145" s="2" t="n">
        <f aca="false">R139</f>
        <v>52.25</v>
      </c>
      <c r="V145" s="2" t="n">
        <f aca="false">R137</f>
        <v>44.03</v>
      </c>
      <c r="W145" s="2" t="n">
        <f aca="false">R135</f>
        <v>28.07</v>
      </c>
      <c r="X145" s="2" t="n">
        <f aca="false">R133</f>
        <v>57.36</v>
      </c>
      <c r="Y145" s="2" t="n">
        <f aca="false">R131</f>
        <v>54.13</v>
      </c>
      <c r="Z145" s="2" t="n">
        <f aca="false">R129</f>
        <v>79.23</v>
      </c>
      <c r="AA145" s="2" t="n">
        <f aca="false">R127</f>
        <v>54.51</v>
      </c>
      <c r="AB145" s="2" t="n">
        <f aca="false">R125</f>
        <v>40.61</v>
      </c>
      <c r="AC145" s="2" t="n">
        <f aca="false">R123</f>
        <v>20.95</v>
      </c>
      <c r="AD145" s="1" t="n">
        <v>0.68</v>
      </c>
      <c r="AE145" s="2" t="n">
        <f aca="false">AD143</f>
        <v>0.8</v>
      </c>
      <c r="AF145" s="2" t="n">
        <f aca="false">AD141</f>
        <v>1.92</v>
      </c>
      <c r="AG145" s="2" t="n">
        <f aca="false">AD139</f>
        <v>1.17</v>
      </c>
      <c r="AH145" s="2" t="n">
        <f aca="false">AD137</f>
        <v>0.99</v>
      </c>
      <c r="AI145" s="2" t="n">
        <f aca="false">AD135</f>
        <v>0.62</v>
      </c>
      <c r="AJ145" s="2" t="n">
        <f aca="false">AD133</f>
        <v>1.27</v>
      </c>
      <c r="AK145" s="2" t="n">
        <f aca="false">AD131</f>
        <v>1.19</v>
      </c>
      <c r="AL145" s="2" t="n">
        <f aca="false">AD129</f>
        <v>1.77</v>
      </c>
      <c r="AM145" s="2" t="n">
        <f aca="false">AD127</f>
        <v>1.21</v>
      </c>
      <c r="AN145" s="2" t="n">
        <f aca="false">AD125</f>
        <v>0.9</v>
      </c>
      <c r="AO145" s="2" t="n">
        <f aca="false">AD123</f>
        <v>0.45</v>
      </c>
      <c r="AP145" s="1" t="n">
        <v>0</v>
      </c>
      <c r="AQ145" s="2" t="n">
        <f aca="false">AP143</f>
        <v>0</v>
      </c>
      <c r="AR145" s="2" t="n">
        <f aca="false">AP141</f>
        <v>1</v>
      </c>
      <c r="AS145" s="2" t="n">
        <f aca="false">AP139</f>
        <v>0</v>
      </c>
      <c r="AT145" s="2" t="n">
        <f aca="false">AP137</f>
        <v>0</v>
      </c>
      <c r="AU145" s="2" t="n">
        <f aca="false">AP135</f>
        <v>0</v>
      </c>
      <c r="AV145" s="2" t="n">
        <f aca="false">AP133</f>
        <v>0</v>
      </c>
      <c r="AW145" s="2" t="n">
        <f aca="false">AP131</f>
        <v>0</v>
      </c>
      <c r="AX145" s="2" t="n">
        <f aca="false">AP129</f>
        <v>0</v>
      </c>
      <c r="AY145" s="2" t="n">
        <f aca="false">AP127</f>
        <v>0</v>
      </c>
      <c r="AZ145" s="2" t="n">
        <f aca="false">AP125</f>
        <v>0</v>
      </c>
      <c r="BA145" s="2" t="n">
        <f aca="false">AP123</f>
        <v>0</v>
      </c>
      <c r="BB145" s="1" t="n">
        <v>9</v>
      </c>
      <c r="BC145" s="2" t="n">
        <f aca="false">BB143</f>
        <v>9</v>
      </c>
      <c r="BD145" s="2" t="n">
        <f aca="false">BB141</f>
        <v>5</v>
      </c>
      <c r="BE145" s="2" t="n">
        <f aca="false">BB139</f>
        <v>40</v>
      </c>
      <c r="BF145" s="2" t="n">
        <f aca="false">BB137</f>
        <v>41</v>
      </c>
      <c r="BG145" s="2" t="n">
        <f aca="false">BB135</f>
        <v>10</v>
      </c>
      <c r="BH145" s="2" t="n">
        <f aca="false">BB133</f>
        <v>32</v>
      </c>
      <c r="BI145" s="2" t="n">
        <f aca="false">BB131</f>
        <v>11</v>
      </c>
      <c r="BJ145" s="2" t="n">
        <f aca="false">BB129</f>
        <v>27</v>
      </c>
      <c r="BK145" s="2" t="n">
        <f aca="false">BB127</f>
        <v>4</v>
      </c>
      <c r="BL145" s="2" t="n">
        <f aca="false">BB125</f>
        <v>4</v>
      </c>
      <c r="BM145" s="2" t="n">
        <f aca="false">BB123</f>
        <v>8</v>
      </c>
      <c r="BN145" s="1" t="n">
        <v>0</v>
      </c>
      <c r="BO145" s="2" t="n">
        <f aca="false">BN143</f>
        <v>0</v>
      </c>
      <c r="BP145" s="2" t="n">
        <f aca="false">BN141</f>
        <v>0</v>
      </c>
      <c r="BQ145" s="2" t="n">
        <f aca="false">BN139</f>
        <v>2</v>
      </c>
      <c r="BR145" s="2" t="n">
        <f aca="false">BN137</f>
        <v>2</v>
      </c>
      <c r="BS145" s="2" t="n">
        <f aca="false">BN135</f>
        <v>0</v>
      </c>
      <c r="BT145" s="2" t="n">
        <f aca="false">BN133</f>
        <v>1</v>
      </c>
      <c r="BU145" s="2" t="n">
        <f aca="false">BN131</f>
        <v>0</v>
      </c>
      <c r="BV145" s="2" t="n">
        <f aca="false">BN129</f>
        <v>0</v>
      </c>
      <c r="BW145" s="2" t="n">
        <f aca="false">BN127</f>
        <v>0</v>
      </c>
      <c r="BX145" s="2" t="n">
        <f aca="false">BN125</f>
        <v>0</v>
      </c>
      <c r="BY145" s="2" t="n">
        <f aca="false">BN123</f>
        <v>0</v>
      </c>
      <c r="BZ145" s="1" t="n">
        <v>3.40444</v>
      </c>
      <c r="CA145" s="2" t="n">
        <f aca="false">BZ143</f>
        <v>4.04</v>
      </c>
      <c r="CB145" s="2" t="n">
        <f aca="false">BZ141</f>
        <v>17.128</v>
      </c>
      <c r="CC145" s="2" t="n">
        <f aca="false">BZ139</f>
        <v>1.30625</v>
      </c>
      <c r="CD145" s="2" t="n">
        <f aca="false">BZ137</f>
        <v>1.0739</v>
      </c>
      <c r="CE145" s="2" t="n">
        <f aca="false">BZ135</f>
        <v>2.807</v>
      </c>
      <c r="CF145" s="2" t="n">
        <f aca="false">BZ133</f>
        <v>1.7925</v>
      </c>
      <c r="CG145" s="2" t="n">
        <f aca="false">BZ131</f>
        <v>4.92091</v>
      </c>
      <c r="CH145" s="2" t="n">
        <f aca="false">BZ129</f>
        <v>2.93444</v>
      </c>
      <c r="CI145" s="2" t="n">
        <f aca="false">BZ127</f>
        <v>13.6275</v>
      </c>
      <c r="CJ145" s="2" t="n">
        <f aca="false">BZ125</f>
        <v>10.1525</v>
      </c>
      <c r="CK145" s="2" t="n">
        <f aca="false">BZ123</f>
        <v>2.61875</v>
      </c>
      <c r="CL145" s="1" t="n">
        <v>0</v>
      </c>
      <c r="CM145" s="2" t="n">
        <f aca="false">CL143</f>
        <v>0</v>
      </c>
      <c r="CN145" s="2" t="n">
        <f aca="false">CL141</f>
        <v>2</v>
      </c>
      <c r="CO145" s="2" t="n">
        <f aca="false">CL139</f>
        <v>0</v>
      </c>
      <c r="CP145" s="2" t="n">
        <f aca="false">CL137</f>
        <v>0</v>
      </c>
      <c r="CQ145" s="2" t="n">
        <f aca="false">CL135</f>
        <v>0</v>
      </c>
      <c r="CR145" s="2" t="n">
        <f aca="false">CL133</f>
        <v>0</v>
      </c>
      <c r="CS145" s="2" t="n">
        <f aca="false">CL131</f>
        <v>0</v>
      </c>
      <c r="CT145" s="2" t="n">
        <f aca="false">CL129</f>
        <v>0</v>
      </c>
      <c r="CU145" s="2" t="n">
        <f aca="false">CL127</f>
        <v>2</v>
      </c>
      <c r="CV145" s="2" t="n">
        <f aca="false">CL125</f>
        <v>1</v>
      </c>
      <c r="CW145" s="2" t="n">
        <f aca="false">CL123</f>
        <v>0</v>
      </c>
      <c r="CX145" s="1" t="n">
        <v>73.6307</v>
      </c>
      <c r="CY145" s="2" t="n">
        <f aca="false">CX143</f>
        <v>76.0973</v>
      </c>
      <c r="CZ145" s="2" t="n">
        <f aca="false">CX141</f>
        <v>86.6586</v>
      </c>
      <c r="DA145" s="2" t="n">
        <f aca="false">CX139</f>
        <v>52.5641</v>
      </c>
      <c r="DB145" s="2" t="n">
        <f aca="false">CX137</f>
        <v>47.0408</v>
      </c>
      <c r="DC145" s="2" t="n">
        <f aca="false">CX135</f>
        <v>70.3914</v>
      </c>
      <c r="DD145" s="2" t="n">
        <f aca="false">CX133</f>
        <v>60.8437</v>
      </c>
      <c r="DE145" s="2" t="n">
        <f aca="false">CX131</f>
        <v>78.5131</v>
      </c>
      <c r="DF145" s="2" t="n">
        <f aca="false">CX129</f>
        <v>71.1819</v>
      </c>
      <c r="DG145" s="2" t="n">
        <f aca="false">CX127</f>
        <v>85.8031</v>
      </c>
      <c r="DH145" s="2" t="n">
        <f aca="false">CX125</f>
        <v>84.3746</v>
      </c>
      <c r="DI145" s="2" t="n">
        <f aca="false">CX123</f>
        <v>69.1001</v>
      </c>
      <c r="DJ145" s="1" t="s">
        <v>174</v>
      </c>
      <c r="DK145" s="2" t="str">
        <f aca="false">DJ143</f>
        <v>HH</v>
      </c>
      <c r="DL145" s="2" t="str">
        <f aca="false">DJ141</f>
        <v>HH</v>
      </c>
      <c r="DM145" s="2" t="str">
        <f aca="false">DJ139</f>
        <v>LH</v>
      </c>
      <c r="DN145" s="2" t="str">
        <f aca="false">DJ137</f>
        <v>LH</v>
      </c>
      <c r="DO145" s="2" t="str">
        <f aca="false">DJ135</f>
        <v>LH</v>
      </c>
      <c r="DP145" s="2" t="str">
        <f aca="false">DJ133</f>
        <v>HH</v>
      </c>
      <c r="DQ145" s="2" t="str">
        <f aca="false">DJ131</f>
        <v>HH</v>
      </c>
      <c r="DR145" s="2" t="str">
        <f aca="false">DJ129</f>
        <v>LH</v>
      </c>
      <c r="DS145" s="2" t="str">
        <f aca="false">DJ127</f>
        <v>LH</v>
      </c>
      <c r="DT145" s="2" t="str">
        <f aca="false">DJ125</f>
        <v>LH</v>
      </c>
      <c r="DU145" s="2" t="str">
        <f aca="false">DJ123</f>
        <v>LH</v>
      </c>
      <c r="DV145" s="2" t="n">
        <f aca="false">IFERROR((G145-$F145)/$F145*100,"")</f>
        <v>0.622757390978933</v>
      </c>
      <c r="DW145" s="2" t="n">
        <f aca="false">IFERROR((H145-$F145)/$F145*100,"")</f>
        <v>0.220353534241755</v>
      </c>
      <c r="DX145" s="2" t="n">
        <f aca="false">IFERROR((I145-$F145)/$F145*100,"")</f>
        <v>-0.809210381491188</v>
      </c>
      <c r="DY145" s="2" t="n">
        <f aca="false">IFERROR((J145-$F145)/$F145*100,"")</f>
        <v>-0.74603209544983</v>
      </c>
      <c r="DZ145" s="2" t="n">
        <f aca="false">IFERROR((K145-$F145)/$F145*100,"")</f>
        <v>0.367182512602644</v>
      </c>
      <c r="EA145" s="2" t="n">
        <f aca="false">IFERROR((L145-$F145)/$F145*100,"")</f>
        <v>1.02714244832368</v>
      </c>
      <c r="EB145" s="2" t="n">
        <f aca="false">IFERROR((M145-$F145)/$F145*100,"")</f>
        <v>0.912232813084741</v>
      </c>
      <c r="EC145" s="2" t="n">
        <f aca="false">IFERROR((N145-$F145)/$F145*100,"")</f>
        <v>0.379730116450569</v>
      </c>
      <c r="ED145" s="2" t="n">
        <f aca="false">IFERROR((O145-$F145)/$F145*100,"")</f>
        <v>0.522376560195489</v>
      </c>
      <c r="EE145" s="2" t="n">
        <f aca="false">IFERROR((P145-$F145)/$F145*100,"")</f>
        <v>0.659079402117695</v>
      </c>
      <c r="EF145" s="2" t="n">
        <f aca="false">IFERROR((Q145-$F145)/$F145*100,"")</f>
        <v>2.69993616131377</v>
      </c>
      <c r="EG145" s="2" t="str">
        <f aca="false">IF(DV145="","",IF(AND(ABS(DV145)&lt;=0.25,$E145="Bottom",DK145="LL"),"EQL",IF(AND(ABS(DV145)&lt;=0.25,$E145="Peak",DK145="HH"),"EQH","")))</f>
        <v/>
      </c>
      <c r="EH145" s="2" t="str">
        <f aca="false">IF(DW145="","",IF(AND(ABS(DW145)&lt;=0.25,$E145="Bottom",DL145="LL"),"EQL",IF(AND(ABS(DW145)&lt;=0.25,$E145="Peak",DL145="HH"),"EQH","")))</f>
        <v>EQH</v>
      </c>
      <c r="EI145" s="2" t="str">
        <f aca="false">IF(DX145="","",IF(AND(ABS(DX145)&lt;=0.25,$E145="Bottom",DM145="LL"),"EQL",IF(AND(ABS(DX145)&lt;=0.25,$E145="Peak",DM145="HH"),"EQH","")))</f>
        <v/>
      </c>
      <c r="EJ145" s="2" t="str">
        <f aca="false">IF(DY145="","",IF(AND(ABS(DY145)&lt;=0.25,$E145="Bottom",DN145="LL"),"EQL",IF(AND(ABS(DY145)&lt;=0.25,$E145="Peak",DN145="HH"),"EQH","")))</f>
        <v/>
      </c>
      <c r="EK145" s="2" t="str">
        <f aca="false">IF(DZ145="","",IF(AND(ABS(DZ145)&lt;=0.25,$E145="Bottom",DO145="LL"),"EQL",IF(AND(ABS(DZ145)&lt;=0.25,$E145="Peak",DO145="HH"),"EQH","")))</f>
        <v/>
      </c>
      <c r="EL145" s="2" t="str">
        <f aca="false">IF(EA145="","",IF(AND(ABS(EA145)&lt;=0.25,$E145="Bottom",DP145="LL"),"EQL",IF(AND(ABS(EA145)&lt;=0.25,$E145="Peak",DP145="HH"),"EQH","")))</f>
        <v/>
      </c>
      <c r="EM145" s="2" t="str">
        <f aca="false">IF(EB145="","",IF(AND(ABS(EB145)&lt;=0.25,$E145="Bottom",DQ145="LL"),"EQL",IF(AND(ABS(EB145)&lt;=0.25,$E145="Peak",DQ145="HH"),"EQH","")))</f>
        <v/>
      </c>
      <c r="EN145" s="2" t="str">
        <f aca="false">IF(EC145="","",IF(AND(ABS(EC145)&lt;=0.25,$E145="Bottom",DR145="LL"),"EQL",IF(AND(ABS(EC145)&lt;=0.25,$E145="Peak",DR145="HH"),"EQH","")))</f>
        <v/>
      </c>
      <c r="EO145" s="2" t="str">
        <f aca="false">IF(ED145="","",IF(AND(ABS(ED145)&lt;=0.25,$E145="Bottom",DS145="LL"),"EQL",IF(AND(ABS(ED145)&lt;=0.25,$E145="Peak",DS145="HH"),"EQH","")))</f>
        <v/>
      </c>
      <c r="EP145" s="2" t="str">
        <f aca="false">IF(EE145="","",IF(AND(ABS(EE145)&lt;=0.25,$E145="Bottom",DT145="LL"),"EQL",IF(AND(ABS(EE145)&lt;=0.25,$E145="Peak",DT145="HH"),"EQH","")))</f>
        <v/>
      </c>
      <c r="EQ145" s="2" t="str">
        <f aca="false">IF(EF145="","",IF(AND(ABS(EF145)&lt;=0.25,$E145="Bottom",DU145="LL"),"EQL",IF(AND(ABS(EF145)&lt;=0.25,$E145="Peak",DU145="HH"),"EQH","")))</f>
        <v/>
      </c>
      <c r="ER145" s="2" t="str">
        <f aca="false">IF(OR(EG145="EQL",EG145="EQH"),G145,"")</f>
        <v/>
      </c>
      <c r="ES145" s="2" t="n">
        <f aca="false">IF(OR(EH145="EQL",EH145="EQH"),H145,"")</f>
        <v>4552.71</v>
      </c>
      <c r="ET145" s="2" t="str">
        <f aca="false">IF(OR(EI145="EQL",EI145="EQH"),I145,"")</f>
        <v/>
      </c>
      <c r="EU145" s="2" t="str">
        <f aca="false">IF(OR(EJ145="EQL",EJ145="EQH"),J145,"")</f>
        <v/>
      </c>
      <c r="EV145" s="2" t="str">
        <f aca="false">IF(OR(EK145="EQL",EK145="EQH"),K145,"")</f>
        <v/>
      </c>
      <c r="EW145" s="2" t="str">
        <f aca="false">IF(OR(EL145="EQL",EL145="EQH"),L145,"")</f>
        <v/>
      </c>
      <c r="EX145" s="2" t="str">
        <f aca="false">IF(OR(EM145="EQL",EM145="EQH"),M145,"")</f>
        <v/>
      </c>
      <c r="EY145" s="2" t="str">
        <f aca="false">IF(OR(EN145="EQL",EN145="EQH"),N145,"")</f>
        <v/>
      </c>
      <c r="EZ145" s="2" t="str">
        <f aca="false">IF(OR(EO145="EQL",EO145="EQH"),O145,"")</f>
        <v/>
      </c>
      <c r="FA145" s="2" t="str">
        <f aca="false">IF(OR(EP145="EQL",EP145="EQH"),P145,"")</f>
        <v/>
      </c>
      <c r="FB145" s="2" t="str">
        <f aca="false">IF(OR(EQ145="EQL",EQ145="EQH"),Q145,"")</f>
        <v/>
      </c>
      <c r="FC145" s="2" t="str">
        <f aca="false">IF(AND(EG145="EQL",OR(AQ145=4,AQ145=5)),"IEQL",IF(AND(EG145="EQH",OR(AQ145=1,AQ145=2)),"IEQH",""))</f>
        <v/>
      </c>
      <c r="FD145" s="2" t="str">
        <f aca="false">IF(AND(EH145="EQL",OR(AR145=4,AR145=5)),"IEQL",IF(AND(EH145="EQH",OR(AR145=1,AR145=2)),"IEQH",""))</f>
        <v>IEQH</v>
      </c>
      <c r="FE145" s="2" t="str">
        <f aca="false">IF(AND(EI145="EQL",OR(AS145=4,AS145=5)),"IEQL",IF(AND(EI145="EQH",OR(AS145=1,AS145=2)),"IEQH",""))</f>
        <v/>
      </c>
      <c r="FF145" s="2" t="str">
        <f aca="false">IF(AND(EJ145="EQL",OR(AT145=4,AT145=5)),"IEQL",IF(AND(EJ145="EQH",OR(AT145=1,AT145=2)),"IEQH",""))</f>
        <v/>
      </c>
      <c r="FG145" s="2" t="str">
        <f aca="false">IF(AND(EK145="EQL",OR(AU145=4,AU145=5)),"IEQL",IF(AND(EK145="EQH",OR(AU145=1,AU145=2)),"IEQH",""))</f>
        <v/>
      </c>
      <c r="FH145" s="2" t="str">
        <f aca="false">IF(AND(EL145="EQL",OR(AV145=4,AV145=5)),"IEQL",IF(AND(EL145="EQH",OR(AV145=1,AV145=2)),"IEQH",""))</f>
        <v/>
      </c>
      <c r="FI145" s="2" t="str">
        <f aca="false">IF(AND(EM145="EQL",OR(AW145=4,AW145=5)),"IEQL",IF(AND(EM145="EQH",OR(AW145=1,AW145=2)),"IEQH",""))</f>
        <v/>
      </c>
      <c r="FJ145" s="2" t="str">
        <f aca="false">IF(AND(EN145="EQL",OR(AX145=4,AX145=5)),"IEQL",IF(AND(EN145="EQH",OR(AX145=1,AX145=2)),"IEQH",""))</f>
        <v/>
      </c>
      <c r="FK145" s="2" t="str">
        <f aca="false">IF(AND(EO145="EQL",OR(AY145=4,AY145=5)),"IEQL",IF(AND(EO145="EQH",OR(AY145=1,AY145=2)),"IEQH",""))</f>
        <v/>
      </c>
      <c r="FL145" s="2" t="str">
        <f aca="false">IF(AND(EP145="EQL",OR(AZ145=4,AZ145=5)),"IEQL",IF(AND(EP145="EQH",OR(AZ145=1,AZ145=2)),"IEQH",""))</f>
        <v/>
      </c>
      <c r="FM145" s="2" t="str">
        <f aca="false">IF(AND(EQ145="EQL",OR(BA145=4,BA145=5)),"IEQL",IF(AND(EQ145="EQH",OR(BA145=1,BA145=2)),"IEQH",""))</f>
        <v/>
      </c>
    </row>
    <row r="146" customFormat="false" ht="14.25" hidden="false" customHeight="false" outlineLevel="0" collapsed="false">
      <c r="A146" s="1" t="n">
        <v>1779370202</v>
      </c>
      <c r="B146" s="1" t="s">
        <v>169</v>
      </c>
      <c r="C146" s="1" t="s">
        <v>170</v>
      </c>
      <c r="D146" s="1" t="n">
        <v>4498.02</v>
      </c>
      <c r="E146" s="1" t="s">
        <v>171</v>
      </c>
      <c r="F146" s="1" t="n">
        <v>4488.72</v>
      </c>
      <c r="G146" s="2" t="n">
        <f aca="false">F144</f>
        <v>4512.06</v>
      </c>
      <c r="H146" s="2" t="n">
        <f aca="false">F142</f>
        <v>4534.63</v>
      </c>
      <c r="I146" s="2" t="n">
        <f aca="false">F140</f>
        <v>4467.07</v>
      </c>
      <c r="J146" s="2" t="n">
        <f aca="false">F138</f>
        <v>4453.69</v>
      </c>
      <c r="K146" s="2" t="n">
        <f aca="false">F136</f>
        <v>4464.78</v>
      </c>
      <c r="L146" s="2" t="n">
        <f aca="false">F134</f>
        <v>4531.31</v>
      </c>
      <c r="M146" s="2" t="n">
        <f aca="false">F132</f>
        <v>4532</v>
      </c>
      <c r="N146" s="2" t="n">
        <f aca="false">F130</f>
        <v>4530.01</v>
      </c>
      <c r="O146" s="2" t="n">
        <f aca="false">F128</f>
        <v>4480.72</v>
      </c>
      <c r="P146" s="2" t="n">
        <f aca="false">F126</f>
        <v>4511.92</v>
      </c>
      <c r="Q146" s="2" t="n">
        <f aca="false">F124</f>
        <v>4532.03</v>
      </c>
      <c r="R146" s="1" t="n">
        <v>-53.98</v>
      </c>
      <c r="S146" s="2" t="n">
        <f aca="false">R144</f>
        <v>-58.93</v>
      </c>
      <c r="T146" s="2" t="n">
        <f aca="false">R142</f>
        <v>-18.08</v>
      </c>
      <c r="U146" s="2" t="n">
        <f aca="false">R140</f>
        <v>-38.87</v>
      </c>
      <c r="V146" s="2" t="n">
        <f aca="false">R138</f>
        <v>-55.12</v>
      </c>
      <c r="W146" s="2" t="n">
        <f aca="false">R136</f>
        <v>-94.6</v>
      </c>
      <c r="X146" s="2" t="n">
        <f aca="false">R134</f>
        <v>-58.05</v>
      </c>
      <c r="Y146" s="2" t="n">
        <f aca="false">R132</f>
        <v>-52.14</v>
      </c>
      <c r="Z146" s="2" t="n">
        <f aca="false">R130</f>
        <v>-29.94</v>
      </c>
      <c r="AA146" s="2" t="n">
        <f aca="false">R128</f>
        <v>-85.71</v>
      </c>
      <c r="AB146" s="2" t="n">
        <f aca="false">R126</f>
        <v>-60.72</v>
      </c>
      <c r="AC146" s="2" t="n">
        <f aca="false">R124</f>
        <v>-133.32</v>
      </c>
      <c r="AD146" s="1" t="n">
        <v>-1.19</v>
      </c>
      <c r="AE146" s="2" t="n">
        <f aca="false">AD144</f>
        <v>-1.29</v>
      </c>
      <c r="AF146" s="2" t="n">
        <f aca="false">AD142</f>
        <v>-0.4</v>
      </c>
      <c r="AG146" s="2" t="n">
        <f aca="false">AD140</f>
        <v>-0.86</v>
      </c>
      <c r="AH146" s="2" t="n">
        <f aca="false">AD138</f>
        <v>-1.22</v>
      </c>
      <c r="AI146" s="2" t="n">
        <f aca="false">AD136</f>
        <v>-2.07</v>
      </c>
      <c r="AJ146" s="2" t="n">
        <f aca="false">AD134</f>
        <v>-1.26</v>
      </c>
      <c r="AK146" s="2" t="n">
        <f aca="false">AD132</f>
        <v>-1.14</v>
      </c>
      <c r="AL146" s="2" t="n">
        <f aca="false">AD130</f>
        <v>-0.66</v>
      </c>
      <c r="AM146" s="2" t="n">
        <f aca="false">AD128</f>
        <v>-1.88</v>
      </c>
      <c r="AN146" s="2" t="n">
        <f aca="false">AD126</f>
        <v>-1.33</v>
      </c>
      <c r="AO146" s="2" t="n">
        <f aca="false">AD124</f>
        <v>-2.86</v>
      </c>
      <c r="AP146" s="1" t="n">
        <v>3</v>
      </c>
      <c r="AQ146" s="2" t="n">
        <f aca="false">AP144</f>
        <v>3</v>
      </c>
      <c r="AR146" s="2" t="n">
        <f aca="false">AP142</f>
        <v>3</v>
      </c>
      <c r="AS146" s="2" t="n">
        <f aca="false">AP140</f>
        <v>3</v>
      </c>
      <c r="AT146" s="2" t="n">
        <f aca="false">AP138</f>
        <v>3</v>
      </c>
      <c r="AU146" s="2" t="n">
        <f aca="false">AP136</f>
        <v>4</v>
      </c>
      <c r="AV146" s="2" t="n">
        <f aca="false">AP134</f>
        <v>3</v>
      </c>
      <c r="AW146" s="2" t="n">
        <f aca="false">AP132</f>
        <v>3</v>
      </c>
      <c r="AX146" s="2" t="n">
        <f aca="false">AP130</f>
        <v>3</v>
      </c>
      <c r="AY146" s="2" t="n">
        <f aca="false">AP128</f>
        <v>3</v>
      </c>
      <c r="AZ146" s="2" t="n">
        <f aca="false">AP126</f>
        <v>3</v>
      </c>
      <c r="BA146" s="2" t="n">
        <f aca="false">AP124</f>
        <v>5</v>
      </c>
      <c r="BB146" s="1" t="n">
        <v>16</v>
      </c>
      <c r="BC146" s="2" t="n">
        <f aca="false">BB144</f>
        <v>23</v>
      </c>
      <c r="BD146" s="2" t="n">
        <f aca="false">BB142</f>
        <v>28</v>
      </c>
      <c r="BE146" s="2" t="n">
        <f aca="false">BB140</f>
        <v>4</v>
      </c>
      <c r="BF146" s="2" t="n">
        <f aca="false">BB138</f>
        <v>9</v>
      </c>
      <c r="BG146" s="2" t="n">
        <f aca="false">BB136</f>
        <v>23</v>
      </c>
      <c r="BH146" s="2" t="n">
        <f aca="false">BB134</f>
        <v>21</v>
      </c>
      <c r="BI146" s="2" t="n">
        <f aca="false">BB132</f>
        <v>5</v>
      </c>
      <c r="BJ146" s="2" t="n">
        <f aca="false">BB130</f>
        <v>14</v>
      </c>
      <c r="BK146" s="2" t="n">
        <f aca="false">BB128</f>
        <v>36</v>
      </c>
      <c r="BL146" s="2" t="n">
        <f aca="false">BB126</f>
        <v>12</v>
      </c>
      <c r="BM146" s="2" t="n">
        <f aca="false">BB124</f>
        <v>41</v>
      </c>
      <c r="BN146" s="1" t="n">
        <v>3</v>
      </c>
      <c r="BO146" s="2" t="n">
        <f aca="false">BN144</f>
        <v>3</v>
      </c>
      <c r="BP146" s="2" t="n">
        <f aca="false">BN142</f>
        <v>3</v>
      </c>
      <c r="BQ146" s="2" t="n">
        <f aca="false">BN140</f>
        <v>3</v>
      </c>
      <c r="BR146" s="2" t="n">
        <f aca="false">BN138</f>
        <v>3</v>
      </c>
      <c r="BS146" s="2" t="n">
        <f aca="false">BN136</f>
        <v>3</v>
      </c>
      <c r="BT146" s="2" t="n">
        <f aca="false">BN134</f>
        <v>3</v>
      </c>
      <c r="BU146" s="2" t="n">
        <f aca="false">BN132</f>
        <v>3</v>
      </c>
      <c r="BV146" s="2" t="n">
        <f aca="false">BN130</f>
        <v>3</v>
      </c>
      <c r="BW146" s="2" t="n">
        <f aca="false">BN128</f>
        <v>4</v>
      </c>
      <c r="BX146" s="2" t="n">
        <f aca="false">BN126</f>
        <v>3</v>
      </c>
      <c r="BY146" s="2" t="n">
        <f aca="false">BN124</f>
        <v>5</v>
      </c>
      <c r="BZ146" s="1" t="n">
        <v>-3.37375</v>
      </c>
      <c r="CA146" s="2" t="n">
        <f aca="false">BZ144</f>
        <v>-2.56217</v>
      </c>
      <c r="CB146" s="2" t="n">
        <f aca="false">BZ142</f>
        <v>-0.64571</v>
      </c>
      <c r="CC146" s="2" t="n">
        <f aca="false">BZ140</f>
        <v>-9.7175</v>
      </c>
      <c r="CD146" s="2" t="n">
        <f aca="false">BZ138</f>
        <v>-6.12444</v>
      </c>
      <c r="CE146" s="2" t="n">
        <f aca="false">BZ136</f>
        <v>-4.11304</v>
      </c>
      <c r="CF146" s="2" t="n">
        <f aca="false">BZ134</f>
        <v>-2.76429</v>
      </c>
      <c r="CG146" s="2" t="n">
        <f aca="false">BZ132</f>
        <v>-10.428</v>
      </c>
      <c r="CH146" s="2" t="n">
        <f aca="false">BZ130</f>
        <v>-2.13857</v>
      </c>
      <c r="CI146" s="2" t="n">
        <f aca="false">BZ128</f>
        <v>-2.38083</v>
      </c>
      <c r="CJ146" s="2" t="n">
        <f aca="false">BZ126</f>
        <v>-5.06</v>
      </c>
      <c r="CK146" s="2" t="n">
        <f aca="false">BZ124</f>
        <v>-3.25171</v>
      </c>
      <c r="CL146" s="1" t="n">
        <v>3</v>
      </c>
      <c r="CM146" s="2" t="n">
        <f aca="false">CL144</f>
        <v>3</v>
      </c>
      <c r="CN146" s="2" t="n">
        <f aca="false">CL142</f>
        <v>3</v>
      </c>
      <c r="CO146" s="2" t="n">
        <f aca="false">CL140</f>
        <v>4</v>
      </c>
      <c r="CP146" s="2" t="n">
        <f aca="false">CL138</f>
        <v>3</v>
      </c>
      <c r="CQ146" s="2" t="n">
        <f aca="false">CL136</f>
        <v>3</v>
      </c>
      <c r="CR146" s="2" t="n">
        <f aca="false">CL134</f>
        <v>3</v>
      </c>
      <c r="CS146" s="2" t="n">
        <f aca="false">CL132</f>
        <v>4</v>
      </c>
      <c r="CT146" s="2" t="n">
        <f aca="false">CL130</f>
        <v>3</v>
      </c>
      <c r="CU146" s="2" t="n">
        <f aca="false">CL128</f>
        <v>3</v>
      </c>
      <c r="CV146" s="2" t="n">
        <f aca="false">CL126</f>
        <v>3</v>
      </c>
      <c r="CW146" s="2" t="n">
        <f aca="false">CL124</f>
        <v>3</v>
      </c>
      <c r="CX146" s="1" t="n">
        <v>-73.4899</v>
      </c>
      <c r="CY146" s="2" t="n">
        <f aca="false">CX144</f>
        <v>-68.6796</v>
      </c>
      <c r="CZ146" s="2" t="n">
        <f aca="false">CX142</f>
        <v>-32.8509</v>
      </c>
      <c r="DA146" s="2" t="n">
        <f aca="false">CX140</f>
        <v>-84.1245</v>
      </c>
      <c r="DB146" s="2" t="n">
        <f aca="false">CX138</f>
        <v>-80.7266</v>
      </c>
      <c r="DC146" s="2" t="n">
        <f aca="false">CX136</f>
        <v>-76.3349</v>
      </c>
      <c r="DD146" s="2" t="n">
        <f aca="false">CX134</f>
        <v>-70.112</v>
      </c>
      <c r="DE146" s="2" t="n">
        <f aca="false">CX132</f>
        <v>-84.5223</v>
      </c>
      <c r="DF146" s="2" t="n">
        <f aca="false">CX130</f>
        <v>-64.9391</v>
      </c>
      <c r="DG146" s="2" t="n">
        <f aca="false">CX128</f>
        <v>-67.2166</v>
      </c>
      <c r="DH146" s="2" t="n">
        <f aca="false">CX126</f>
        <v>-78.8208</v>
      </c>
      <c r="DI146" s="2" t="n">
        <f aca="false">CX124</f>
        <v>-72.9057</v>
      </c>
      <c r="DJ146" s="1" t="s">
        <v>172</v>
      </c>
      <c r="DK146" s="2" t="str">
        <f aca="false">DJ144</f>
        <v>LL</v>
      </c>
      <c r="DL146" s="2" t="str">
        <f aca="false">DJ142</f>
        <v>HL</v>
      </c>
      <c r="DM146" s="2" t="str">
        <f aca="false">DJ140</f>
        <v>HL</v>
      </c>
      <c r="DN146" s="2" t="str">
        <f aca="false">DJ138</f>
        <v>LL</v>
      </c>
      <c r="DO146" s="2" t="str">
        <f aca="false">DJ136</f>
        <v>LL</v>
      </c>
      <c r="DP146" s="2" t="str">
        <f aca="false">DJ134</f>
        <v>LL</v>
      </c>
      <c r="DQ146" s="2" t="str">
        <f aca="false">DJ132</f>
        <v>HL</v>
      </c>
      <c r="DR146" s="2" t="str">
        <f aca="false">DJ130</f>
        <v>HL</v>
      </c>
      <c r="DS146" s="2" t="str">
        <f aca="false">DJ128</f>
        <v>LL</v>
      </c>
      <c r="DT146" s="2" t="str">
        <f aca="false">DJ126</f>
        <v>LL</v>
      </c>
      <c r="DU146" s="2" t="str">
        <f aca="false">DJ124</f>
        <v>LL</v>
      </c>
      <c r="DV146" s="2" t="n">
        <f aca="false">IFERROR((G146-$F146)/$F146*100,"")</f>
        <v>0.519970058279424</v>
      </c>
      <c r="DW146" s="2" t="n">
        <f aca="false">IFERROR((H146-$F146)/$F146*100,"")</f>
        <v>1.02278600581012</v>
      </c>
      <c r="DX146" s="2" t="n">
        <f aca="false">IFERROR((I146-$F146)/$F146*100,"")</f>
        <v>-0.482320126895876</v>
      </c>
      <c r="DY146" s="2" t="n">
        <f aca="false">IFERROR((J146-$F146)/$F146*100,"")</f>
        <v>-0.780400648737294</v>
      </c>
      <c r="DZ146" s="2" t="n">
        <f aca="false">IFERROR((K146-$F146)/$F146*100,"")</f>
        <v>-0.53333689782389</v>
      </c>
      <c r="EA146" s="2" t="n">
        <f aca="false">IFERROR((L146-$F146)/$F146*100,"")</f>
        <v>0.948822826997455</v>
      </c>
      <c r="EB146" s="2" t="n">
        <f aca="false">IFERROR((M146-$F146)/$F146*100,"")</f>
        <v>0.964194692473573</v>
      </c>
      <c r="EC146" s="2" t="n">
        <f aca="false">IFERROR((N146-$F146)/$F146*100,"")</f>
        <v>0.919861341317791</v>
      </c>
      <c r="ED146" s="2" t="n">
        <f aca="false">IFERROR((O146-$F146)/$F146*100,"")</f>
        <v>-0.178224527259441</v>
      </c>
      <c r="EE146" s="2" t="n">
        <f aca="false">IFERROR((P146-$F146)/$F146*100,"")</f>
        <v>0.516851129052376</v>
      </c>
      <c r="EF146" s="2" t="n">
        <f aca="false">IFERROR((Q146-$F146)/$F146*100,"")</f>
        <v>0.96486303445079</v>
      </c>
      <c r="EG146" s="2" t="str">
        <f aca="false">IF(DV146="","",IF(AND(ABS(DV146)&lt;=0.25,$E146="Bottom",DK146="LL"),"EQL",IF(AND(ABS(DV146)&lt;=0.25,$E146="Peak",DK146="HH"),"EQH","")))</f>
        <v/>
      </c>
      <c r="EH146" s="2" t="str">
        <f aca="false">IF(DW146="","",IF(AND(ABS(DW146)&lt;=0.25,$E146="Bottom",DL146="LL"),"EQL",IF(AND(ABS(DW146)&lt;=0.25,$E146="Peak",DL146="HH"),"EQH","")))</f>
        <v/>
      </c>
      <c r="EI146" s="2" t="str">
        <f aca="false">IF(DX146="","",IF(AND(ABS(DX146)&lt;=0.25,$E146="Bottom",DM146="LL"),"EQL",IF(AND(ABS(DX146)&lt;=0.25,$E146="Peak",DM146="HH"),"EQH","")))</f>
        <v/>
      </c>
      <c r="EJ146" s="2" t="str">
        <f aca="false">IF(DY146="","",IF(AND(ABS(DY146)&lt;=0.25,$E146="Bottom",DN146="LL"),"EQL",IF(AND(ABS(DY146)&lt;=0.25,$E146="Peak",DN146="HH"),"EQH","")))</f>
        <v/>
      </c>
      <c r="EK146" s="2" t="str">
        <f aca="false">IF(DZ146="","",IF(AND(ABS(DZ146)&lt;=0.25,$E146="Bottom",DO146="LL"),"EQL",IF(AND(ABS(DZ146)&lt;=0.25,$E146="Peak",DO146="HH"),"EQH","")))</f>
        <v/>
      </c>
      <c r="EL146" s="2" t="str">
        <f aca="false">IF(EA146="","",IF(AND(ABS(EA146)&lt;=0.25,$E146="Bottom",DP146="LL"),"EQL",IF(AND(ABS(EA146)&lt;=0.25,$E146="Peak",DP146="HH"),"EQH","")))</f>
        <v/>
      </c>
      <c r="EM146" s="2" t="str">
        <f aca="false">IF(EB146="","",IF(AND(ABS(EB146)&lt;=0.25,$E146="Bottom",DQ146="LL"),"EQL",IF(AND(ABS(EB146)&lt;=0.25,$E146="Peak",DQ146="HH"),"EQH","")))</f>
        <v/>
      </c>
      <c r="EN146" s="2" t="str">
        <f aca="false">IF(EC146="","",IF(AND(ABS(EC146)&lt;=0.25,$E146="Bottom",DR146="LL"),"EQL",IF(AND(ABS(EC146)&lt;=0.25,$E146="Peak",DR146="HH"),"EQH","")))</f>
        <v/>
      </c>
      <c r="EO146" s="2" t="str">
        <f aca="false">IF(ED146="","",IF(AND(ABS(ED146)&lt;=0.25,$E146="Bottom",DS146="LL"),"EQL",IF(AND(ABS(ED146)&lt;=0.25,$E146="Peak",DS146="HH"),"EQH","")))</f>
        <v>EQL</v>
      </c>
      <c r="EP146" s="2" t="str">
        <f aca="false">IF(EE146="","",IF(AND(ABS(EE146)&lt;=0.25,$E146="Bottom",DT146="LL"),"EQL",IF(AND(ABS(EE146)&lt;=0.25,$E146="Peak",DT146="HH"),"EQH","")))</f>
        <v/>
      </c>
      <c r="EQ146" s="2" t="str">
        <f aca="false">IF(EF146="","",IF(AND(ABS(EF146)&lt;=0.25,$E146="Bottom",DU146="LL"),"EQL",IF(AND(ABS(EF146)&lt;=0.25,$E146="Peak",DU146="HH"),"EQH","")))</f>
        <v/>
      </c>
      <c r="ER146" s="2" t="str">
        <f aca="false">IF(OR(EG146="EQL",EG146="EQH"),G146,"")</f>
        <v/>
      </c>
      <c r="ES146" s="2" t="str">
        <f aca="false">IF(OR(EH146="EQL",EH146="EQH"),H146,"")</f>
        <v/>
      </c>
      <c r="ET146" s="2" t="str">
        <f aca="false">IF(OR(EI146="EQL",EI146="EQH"),I146,"")</f>
        <v/>
      </c>
      <c r="EU146" s="2" t="str">
        <f aca="false">IF(OR(EJ146="EQL",EJ146="EQH"),J146,"")</f>
        <v/>
      </c>
      <c r="EV146" s="2" t="str">
        <f aca="false">IF(OR(EK146="EQL",EK146="EQH"),K146,"")</f>
        <v/>
      </c>
      <c r="EW146" s="2" t="str">
        <f aca="false">IF(OR(EL146="EQL",EL146="EQH"),L146,"")</f>
        <v/>
      </c>
      <c r="EX146" s="2" t="str">
        <f aca="false">IF(OR(EM146="EQL",EM146="EQH"),M146,"")</f>
        <v/>
      </c>
      <c r="EY146" s="2" t="str">
        <f aca="false">IF(OR(EN146="EQL",EN146="EQH"),N146,"")</f>
        <v/>
      </c>
      <c r="EZ146" s="2" t="n">
        <f aca="false">IF(OR(EO146="EQL",EO146="EQH"),O146,"")</f>
        <v>4480.72</v>
      </c>
      <c r="FA146" s="2" t="str">
        <f aca="false">IF(OR(EP146="EQL",EP146="EQH"),P146,"")</f>
        <v/>
      </c>
      <c r="FB146" s="2" t="str">
        <f aca="false">IF(OR(EQ146="EQL",EQ146="EQH"),Q146,"")</f>
        <v/>
      </c>
      <c r="FC146" s="2" t="str">
        <f aca="false">IF(AND(EG146="EQL",OR(AQ146=4,AQ146=5)),"IEQL",IF(AND(EG146="EQH",OR(AQ146=1,AQ146=2)),"IEQH",""))</f>
        <v/>
      </c>
      <c r="FD146" s="2" t="str">
        <f aca="false">IF(AND(EH146="EQL",OR(AR146=4,AR146=5)),"IEQL",IF(AND(EH146="EQH",OR(AR146=1,AR146=2)),"IEQH",""))</f>
        <v/>
      </c>
      <c r="FE146" s="2" t="str">
        <f aca="false">IF(AND(EI146="EQL",OR(AS146=4,AS146=5)),"IEQL",IF(AND(EI146="EQH",OR(AS146=1,AS146=2)),"IEQH",""))</f>
        <v/>
      </c>
      <c r="FF146" s="2" t="str">
        <f aca="false">IF(AND(EJ146="EQL",OR(AT146=4,AT146=5)),"IEQL",IF(AND(EJ146="EQH",OR(AT146=1,AT146=2)),"IEQH",""))</f>
        <v/>
      </c>
      <c r="FG146" s="2" t="str">
        <f aca="false">IF(AND(EK146="EQL",OR(AU146=4,AU146=5)),"IEQL",IF(AND(EK146="EQH",OR(AU146=1,AU146=2)),"IEQH",""))</f>
        <v/>
      </c>
      <c r="FH146" s="2" t="str">
        <f aca="false">IF(AND(EL146="EQL",OR(AV146=4,AV146=5)),"IEQL",IF(AND(EL146="EQH",OR(AV146=1,AV146=2)),"IEQH",""))</f>
        <v/>
      </c>
      <c r="FI146" s="2" t="str">
        <f aca="false">IF(AND(EM146="EQL",OR(AW146=4,AW146=5)),"IEQL",IF(AND(EM146="EQH",OR(AW146=1,AW146=2)),"IEQH",""))</f>
        <v/>
      </c>
      <c r="FJ146" s="2" t="str">
        <f aca="false">IF(AND(EN146="EQL",OR(AX146=4,AX146=5)),"IEQL",IF(AND(EN146="EQH",OR(AX146=1,AX146=2)),"IEQH",""))</f>
        <v/>
      </c>
      <c r="FK146" s="2" t="str">
        <f aca="false">IF(AND(EO146="EQL",OR(AY146=4,AY146=5)),"IEQL",IF(AND(EO146="EQH",OR(AY146=1,AY146=2)),"IEQH",""))</f>
        <v/>
      </c>
      <c r="FL146" s="2" t="str">
        <f aca="false">IF(AND(EP146="EQL",OR(AZ146=4,AZ146=5)),"IEQL",IF(AND(EP146="EQH",OR(AZ146=1,AZ146=2)),"IEQH",""))</f>
        <v/>
      </c>
      <c r="FM146" s="2" t="str">
        <f aca="false">IF(AND(EQ146="EQL",OR(BA146=4,BA146=5)),"IEQL",IF(AND(EQ146="EQH",OR(BA146=1,BA146=2)),"IEQH",""))</f>
        <v/>
      </c>
    </row>
    <row r="147" customFormat="false" ht="14.25" hidden="false" customHeight="false" outlineLevel="0" collapsed="false">
      <c r="A147" s="1" t="n">
        <v>1779385502</v>
      </c>
      <c r="B147" s="1" t="s">
        <v>169</v>
      </c>
      <c r="C147" s="1" t="s">
        <v>170</v>
      </c>
      <c r="D147" s="1" t="n">
        <v>4551.54</v>
      </c>
      <c r="E147" s="1" t="s">
        <v>173</v>
      </c>
      <c r="F147" s="1" t="n">
        <v>4559.28</v>
      </c>
      <c r="G147" s="2" t="n">
        <f aca="false">F145</f>
        <v>4542.7</v>
      </c>
      <c r="H147" s="2" t="n">
        <f aca="false">F143</f>
        <v>4570.99</v>
      </c>
      <c r="I147" s="2" t="n">
        <f aca="false">F141</f>
        <v>4552.71</v>
      </c>
      <c r="J147" s="2" t="n">
        <f aca="false">F139</f>
        <v>4505.94</v>
      </c>
      <c r="K147" s="2" t="n">
        <f aca="false">F137</f>
        <v>4508.81</v>
      </c>
      <c r="L147" s="2" t="n">
        <f aca="false">F135</f>
        <v>4559.38</v>
      </c>
      <c r="M147" s="2" t="n">
        <f aca="false">F133</f>
        <v>4589.36</v>
      </c>
      <c r="N147" s="2" t="n">
        <f aca="false">F131</f>
        <v>4584.14</v>
      </c>
      <c r="O147" s="2" t="n">
        <f aca="false">F129</f>
        <v>4559.95</v>
      </c>
      <c r="P147" s="2" t="n">
        <f aca="false">F127</f>
        <v>4566.43</v>
      </c>
      <c r="Q147" s="2" t="n">
        <f aca="false">F125</f>
        <v>4572.64</v>
      </c>
      <c r="R147" s="1" t="n">
        <v>70.56</v>
      </c>
      <c r="S147" s="2" t="n">
        <f aca="false">R145</f>
        <v>30.64</v>
      </c>
      <c r="T147" s="2" t="n">
        <f aca="false">R143</f>
        <v>36.36</v>
      </c>
      <c r="U147" s="2" t="n">
        <f aca="false">R141</f>
        <v>85.64</v>
      </c>
      <c r="V147" s="2" t="n">
        <f aca="false">R139</f>
        <v>52.25</v>
      </c>
      <c r="W147" s="2" t="n">
        <f aca="false">R137</f>
        <v>44.03</v>
      </c>
      <c r="X147" s="2" t="n">
        <f aca="false">R135</f>
        <v>28.07</v>
      </c>
      <c r="Y147" s="2" t="n">
        <f aca="false">R133</f>
        <v>57.36</v>
      </c>
      <c r="Z147" s="2" t="n">
        <f aca="false">R131</f>
        <v>54.13</v>
      </c>
      <c r="AA147" s="2" t="n">
        <f aca="false">R129</f>
        <v>79.23</v>
      </c>
      <c r="AB147" s="2" t="n">
        <f aca="false">R127</f>
        <v>54.51</v>
      </c>
      <c r="AC147" s="2" t="n">
        <f aca="false">R125</f>
        <v>40.61</v>
      </c>
      <c r="AD147" s="1" t="n">
        <v>1.57</v>
      </c>
      <c r="AE147" s="2" t="n">
        <f aca="false">AD145</f>
        <v>0.68</v>
      </c>
      <c r="AF147" s="2" t="n">
        <f aca="false">AD143</f>
        <v>0.8</v>
      </c>
      <c r="AG147" s="2" t="n">
        <f aca="false">AD141</f>
        <v>1.92</v>
      </c>
      <c r="AH147" s="2" t="n">
        <f aca="false">AD139</f>
        <v>1.17</v>
      </c>
      <c r="AI147" s="2" t="n">
        <f aca="false">AD137</f>
        <v>0.99</v>
      </c>
      <c r="AJ147" s="2" t="n">
        <f aca="false">AD135</f>
        <v>0.62</v>
      </c>
      <c r="AK147" s="2" t="n">
        <f aca="false">AD133</f>
        <v>1.27</v>
      </c>
      <c r="AL147" s="2" t="n">
        <f aca="false">AD131</f>
        <v>1.19</v>
      </c>
      <c r="AM147" s="2" t="n">
        <f aca="false">AD129</f>
        <v>1.77</v>
      </c>
      <c r="AN147" s="2" t="n">
        <f aca="false">AD127</f>
        <v>1.21</v>
      </c>
      <c r="AO147" s="2" t="n">
        <f aca="false">AD125</f>
        <v>0.9</v>
      </c>
      <c r="AP147" s="1" t="n">
        <v>0</v>
      </c>
      <c r="AQ147" s="2" t="n">
        <f aca="false">AP145</f>
        <v>0</v>
      </c>
      <c r="AR147" s="2" t="n">
        <f aca="false">AP143</f>
        <v>0</v>
      </c>
      <c r="AS147" s="2" t="n">
        <f aca="false">AP141</f>
        <v>1</v>
      </c>
      <c r="AT147" s="2" t="n">
        <f aca="false">AP139</f>
        <v>0</v>
      </c>
      <c r="AU147" s="2" t="n">
        <f aca="false">AP137</f>
        <v>0</v>
      </c>
      <c r="AV147" s="2" t="n">
        <f aca="false">AP135</f>
        <v>0</v>
      </c>
      <c r="AW147" s="2" t="n">
        <f aca="false">AP133</f>
        <v>0</v>
      </c>
      <c r="AX147" s="2" t="n">
        <f aca="false">AP131</f>
        <v>0</v>
      </c>
      <c r="AY147" s="2" t="n">
        <f aca="false">AP129</f>
        <v>0</v>
      </c>
      <c r="AZ147" s="2" t="n">
        <f aca="false">AP127</f>
        <v>0</v>
      </c>
      <c r="BA147" s="2" t="n">
        <f aca="false">AP125</f>
        <v>0</v>
      </c>
      <c r="BB147" s="1" t="n">
        <v>17</v>
      </c>
      <c r="BC147" s="2" t="n">
        <f aca="false">BB145</f>
        <v>9</v>
      </c>
      <c r="BD147" s="2" t="n">
        <f aca="false">BB143</f>
        <v>9</v>
      </c>
      <c r="BE147" s="2" t="n">
        <f aca="false">BB141</f>
        <v>5</v>
      </c>
      <c r="BF147" s="2" t="n">
        <f aca="false">BB139</f>
        <v>40</v>
      </c>
      <c r="BG147" s="2" t="n">
        <f aca="false">BB137</f>
        <v>41</v>
      </c>
      <c r="BH147" s="2" t="n">
        <f aca="false">BB135</f>
        <v>10</v>
      </c>
      <c r="BI147" s="2" t="n">
        <f aca="false">BB133</f>
        <v>32</v>
      </c>
      <c r="BJ147" s="2" t="n">
        <f aca="false">BB131</f>
        <v>11</v>
      </c>
      <c r="BK147" s="2" t="n">
        <f aca="false">BB129</f>
        <v>27</v>
      </c>
      <c r="BL147" s="2" t="n">
        <f aca="false">BB127</f>
        <v>4</v>
      </c>
      <c r="BM147" s="2" t="n">
        <f aca="false">BB125</f>
        <v>4</v>
      </c>
      <c r="BN147" s="1" t="n">
        <v>0</v>
      </c>
      <c r="BO147" s="2" t="n">
        <f aca="false">BN145</f>
        <v>0</v>
      </c>
      <c r="BP147" s="2" t="n">
        <f aca="false">BN143</f>
        <v>0</v>
      </c>
      <c r="BQ147" s="2" t="n">
        <f aca="false">BN141</f>
        <v>0</v>
      </c>
      <c r="BR147" s="2" t="n">
        <f aca="false">BN139</f>
        <v>2</v>
      </c>
      <c r="BS147" s="2" t="n">
        <f aca="false">BN137</f>
        <v>2</v>
      </c>
      <c r="BT147" s="2" t="n">
        <f aca="false">BN135</f>
        <v>0</v>
      </c>
      <c r="BU147" s="2" t="n">
        <f aca="false">BN133</f>
        <v>1</v>
      </c>
      <c r="BV147" s="2" t="n">
        <f aca="false">BN131</f>
        <v>0</v>
      </c>
      <c r="BW147" s="2" t="n">
        <f aca="false">BN129</f>
        <v>0</v>
      </c>
      <c r="BX147" s="2" t="n">
        <f aca="false">BN127</f>
        <v>0</v>
      </c>
      <c r="BY147" s="2" t="n">
        <f aca="false">BN125</f>
        <v>0</v>
      </c>
      <c r="BZ147" s="1" t="n">
        <v>4.15059</v>
      </c>
      <c r="CA147" s="2" t="n">
        <f aca="false">BZ145</f>
        <v>3.40444</v>
      </c>
      <c r="CB147" s="2" t="n">
        <f aca="false">BZ143</f>
        <v>4.04</v>
      </c>
      <c r="CC147" s="2" t="n">
        <f aca="false">BZ141</f>
        <v>17.128</v>
      </c>
      <c r="CD147" s="2" t="n">
        <f aca="false">BZ139</f>
        <v>1.30625</v>
      </c>
      <c r="CE147" s="2" t="n">
        <f aca="false">BZ137</f>
        <v>1.0739</v>
      </c>
      <c r="CF147" s="2" t="n">
        <f aca="false">BZ135</f>
        <v>2.807</v>
      </c>
      <c r="CG147" s="2" t="n">
        <f aca="false">BZ133</f>
        <v>1.7925</v>
      </c>
      <c r="CH147" s="2" t="n">
        <f aca="false">BZ131</f>
        <v>4.92091</v>
      </c>
      <c r="CI147" s="2" t="n">
        <f aca="false">BZ129</f>
        <v>2.93444</v>
      </c>
      <c r="CJ147" s="2" t="n">
        <f aca="false">BZ127</f>
        <v>13.6275</v>
      </c>
      <c r="CK147" s="2" t="n">
        <f aca="false">BZ125</f>
        <v>10.1525</v>
      </c>
      <c r="CL147" s="1" t="n">
        <v>0</v>
      </c>
      <c r="CM147" s="2" t="n">
        <f aca="false">CL145</f>
        <v>0</v>
      </c>
      <c r="CN147" s="2" t="n">
        <f aca="false">CL143</f>
        <v>0</v>
      </c>
      <c r="CO147" s="2" t="n">
        <f aca="false">CL141</f>
        <v>2</v>
      </c>
      <c r="CP147" s="2" t="n">
        <f aca="false">CL139</f>
        <v>0</v>
      </c>
      <c r="CQ147" s="2" t="n">
        <f aca="false">CL137</f>
        <v>0</v>
      </c>
      <c r="CR147" s="2" t="n">
        <f aca="false">CL135</f>
        <v>0</v>
      </c>
      <c r="CS147" s="2" t="n">
        <f aca="false">CL133</f>
        <v>0</v>
      </c>
      <c r="CT147" s="2" t="n">
        <f aca="false">CL131</f>
        <v>0</v>
      </c>
      <c r="CU147" s="2" t="n">
        <f aca="false">CL129</f>
        <v>0</v>
      </c>
      <c r="CV147" s="2" t="n">
        <f aca="false">CL127</f>
        <v>2</v>
      </c>
      <c r="CW147" s="2" t="n">
        <f aca="false">CL125</f>
        <v>1</v>
      </c>
      <c r="CX147" s="1" t="n">
        <v>76.4539</v>
      </c>
      <c r="CY147" s="2" t="n">
        <f aca="false">CX145</f>
        <v>73.6307</v>
      </c>
      <c r="CZ147" s="2" t="n">
        <f aca="false">CX143</f>
        <v>76.0973</v>
      </c>
      <c r="DA147" s="2" t="n">
        <f aca="false">CX141</f>
        <v>86.6586</v>
      </c>
      <c r="DB147" s="2" t="n">
        <f aca="false">CX139</f>
        <v>52.5641</v>
      </c>
      <c r="DC147" s="2" t="n">
        <f aca="false">CX137</f>
        <v>47.0408</v>
      </c>
      <c r="DD147" s="2" t="n">
        <f aca="false">CX135</f>
        <v>70.3914</v>
      </c>
      <c r="DE147" s="2" t="n">
        <f aca="false">CX133</f>
        <v>60.8437</v>
      </c>
      <c r="DF147" s="2" t="n">
        <f aca="false">CX131</f>
        <v>78.5131</v>
      </c>
      <c r="DG147" s="2" t="n">
        <f aca="false">CX129</f>
        <v>71.1819</v>
      </c>
      <c r="DH147" s="2" t="n">
        <f aca="false">CX127</f>
        <v>85.8031</v>
      </c>
      <c r="DI147" s="2" t="n">
        <f aca="false">CX125</f>
        <v>84.3746</v>
      </c>
      <c r="DJ147" s="1" t="s">
        <v>176</v>
      </c>
      <c r="DK147" s="2" t="str">
        <f aca="false">DJ145</f>
        <v>LH</v>
      </c>
      <c r="DL147" s="2" t="str">
        <f aca="false">DJ143</f>
        <v>HH</v>
      </c>
      <c r="DM147" s="2" t="str">
        <f aca="false">DJ141</f>
        <v>HH</v>
      </c>
      <c r="DN147" s="2" t="str">
        <f aca="false">DJ139</f>
        <v>LH</v>
      </c>
      <c r="DO147" s="2" t="str">
        <f aca="false">DJ137</f>
        <v>LH</v>
      </c>
      <c r="DP147" s="2" t="str">
        <f aca="false">DJ135</f>
        <v>LH</v>
      </c>
      <c r="DQ147" s="2" t="str">
        <f aca="false">DJ133</f>
        <v>HH</v>
      </c>
      <c r="DR147" s="2" t="str">
        <f aca="false">DJ131</f>
        <v>HH</v>
      </c>
      <c r="DS147" s="2" t="str">
        <f aca="false">DJ129</f>
        <v>LH</v>
      </c>
      <c r="DT147" s="2" t="str">
        <f aca="false">DJ127</f>
        <v>LH</v>
      </c>
      <c r="DU147" s="2" t="str">
        <f aca="false">DJ125</f>
        <v>LH</v>
      </c>
      <c r="DV147" s="2" t="n">
        <f aca="false">IFERROR((G147-$F147)/$F147*100,"")</f>
        <v>-0.363653910266532</v>
      </c>
      <c r="DW147" s="2" t="n">
        <f aca="false">IFERROR((H147-$F147)/$F147*100,"")</f>
        <v>0.256838799108632</v>
      </c>
      <c r="DX147" s="2" t="n">
        <f aca="false">IFERROR((I147-$F147)/$F147*100,"")</f>
        <v>-0.144101700268457</v>
      </c>
      <c r="DY147" s="2" t="n">
        <f aca="false">IFERROR((J147-$F147)/$F147*100,"")</f>
        <v>-1.16992156656314</v>
      </c>
      <c r="DZ147" s="2" t="n">
        <f aca="false">IFERROR((K147-$F147)/$F147*100,"")</f>
        <v>-1.10697303082941</v>
      </c>
      <c r="EA147" s="2" t="n">
        <f aca="false">IFERROR((L147-$F147)/$F147*100,"")</f>
        <v>0.00219332877121747</v>
      </c>
      <c r="EB147" s="2" t="n">
        <f aca="false">IFERROR((M147-$F147)/$F147*100,"")</f>
        <v>0.659753294379813</v>
      </c>
      <c r="EC147" s="2" t="n">
        <f aca="false">IFERROR((N147-$F147)/$F147*100,"")</f>
        <v>0.545261532522692</v>
      </c>
      <c r="ED147" s="2" t="n">
        <f aca="false">IFERROR((O147-$F147)/$F147*100,"")</f>
        <v>0.0146953027671052</v>
      </c>
      <c r="EE147" s="2" t="n">
        <f aca="false">IFERROR((P147-$F147)/$F147*100,"")</f>
        <v>0.15682300714149</v>
      </c>
      <c r="EF147" s="2" t="n">
        <f aca="false">IFERROR((Q147-$F147)/$F147*100,"")</f>
        <v>0.293028723833601</v>
      </c>
      <c r="EG147" s="2" t="str">
        <f aca="false">IF(DV147="","",IF(AND(ABS(DV147)&lt;=0.25,$E147="Bottom",DK147="LL"),"EQL",IF(AND(ABS(DV147)&lt;=0.25,$E147="Peak",DK147="HH"),"EQH","")))</f>
        <v/>
      </c>
      <c r="EH147" s="2" t="str">
        <f aca="false">IF(DW147="","",IF(AND(ABS(DW147)&lt;=0.25,$E147="Bottom",DL147="LL"),"EQL",IF(AND(ABS(DW147)&lt;=0.25,$E147="Peak",DL147="HH"),"EQH","")))</f>
        <v/>
      </c>
      <c r="EI147" s="2" t="str">
        <f aca="false">IF(DX147="","",IF(AND(ABS(DX147)&lt;=0.25,$E147="Bottom",DM147="LL"),"EQL",IF(AND(ABS(DX147)&lt;=0.25,$E147="Peak",DM147="HH"),"EQH","")))</f>
        <v>EQH</v>
      </c>
      <c r="EJ147" s="2" t="str">
        <f aca="false">IF(DY147="","",IF(AND(ABS(DY147)&lt;=0.25,$E147="Bottom",DN147="LL"),"EQL",IF(AND(ABS(DY147)&lt;=0.25,$E147="Peak",DN147="HH"),"EQH","")))</f>
        <v/>
      </c>
      <c r="EK147" s="2" t="str">
        <f aca="false">IF(DZ147="","",IF(AND(ABS(DZ147)&lt;=0.25,$E147="Bottom",DO147="LL"),"EQL",IF(AND(ABS(DZ147)&lt;=0.25,$E147="Peak",DO147="HH"),"EQH","")))</f>
        <v/>
      </c>
      <c r="EL147" s="2" t="str">
        <f aca="false">IF(EA147="","",IF(AND(ABS(EA147)&lt;=0.25,$E147="Bottom",DP147="LL"),"EQL",IF(AND(ABS(EA147)&lt;=0.25,$E147="Peak",DP147="HH"),"EQH","")))</f>
        <v/>
      </c>
      <c r="EM147" s="2" t="str">
        <f aca="false">IF(EB147="","",IF(AND(ABS(EB147)&lt;=0.25,$E147="Bottom",DQ147="LL"),"EQL",IF(AND(ABS(EB147)&lt;=0.25,$E147="Peak",DQ147="HH"),"EQH","")))</f>
        <v/>
      </c>
      <c r="EN147" s="2" t="str">
        <f aca="false">IF(EC147="","",IF(AND(ABS(EC147)&lt;=0.25,$E147="Bottom",DR147="LL"),"EQL",IF(AND(ABS(EC147)&lt;=0.25,$E147="Peak",DR147="HH"),"EQH","")))</f>
        <v/>
      </c>
      <c r="EO147" s="2" t="str">
        <f aca="false">IF(ED147="","",IF(AND(ABS(ED147)&lt;=0.25,$E147="Bottom",DS147="LL"),"EQL",IF(AND(ABS(ED147)&lt;=0.25,$E147="Peak",DS147="HH"),"EQH","")))</f>
        <v/>
      </c>
      <c r="EP147" s="2" t="str">
        <f aca="false">IF(EE147="","",IF(AND(ABS(EE147)&lt;=0.25,$E147="Bottom",DT147="LL"),"EQL",IF(AND(ABS(EE147)&lt;=0.25,$E147="Peak",DT147="HH"),"EQH","")))</f>
        <v/>
      </c>
      <c r="EQ147" s="2" t="str">
        <f aca="false">IF(EF147="","",IF(AND(ABS(EF147)&lt;=0.25,$E147="Bottom",DU147="LL"),"EQL",IF(AND(ABS(EF147)&lt;=0.25,$E147="Peak",DU147="HH"),"EQH","")))</f>
        <v/>
      </c>
      <c r="ER147" s="2" t="str">
        <f aca="false">IF(OR(EG147="EQL",EG147="EQH"),G147,"")</f>
        <v/>
      </c>
      <c r="ES147" s="2" t="str">
        <f aca="false">IF(OR(EH147="EQL",EH147="EQH"),H147,"")</f>
        <v/>
      </c>
      <c r="ET147" s="2" t="n">
        <f aca="false">IF(OR(EI147="EQL",EI147="EQH"),I147,"")</f>
        <v>4552.71</v>
      </c>
      <c r="EU147" s="2" t="str">
        <f aca="false">IF(OR(EJ147="EQL",EJ147="EQH"),J147,"")</f>
        <v/>
      </c>
      <c r="EV147" s="2" t="str">
        <f aca="false">IF(OR(EK147="EQL",EK147="EQH"),K147,"")</f>
        <v/>
      </c>
      <c r="EW147" s="2" t="str">
        <f aca="false">IF(OR(EL147="EQL",EL147="EQH"),L147,"")</f>
        <v/>
      </c>
      <c r="EX147" s="2" t="str">
        <f aca="false">IF(OR(EM147="EQL",EM147="EQH"),M147,"")</f>
        <v/>
      </c>
      <c r="EY147" s="2" t="str">
        <f aca="false">IF(OR(EN147="EQL",EN147="EQH"),N147,"")</f>
        <v/>
      </c>
      <c r="EZ147" s="2" t="str">
        <f aca="false">IF(OR(EO147="EQL",EO147="EQH"),O147,"")</f>
        <v/>
      </c>
      <c r="FA147" s="2" t="str">
        <f aca="false">IF(OR(EP147="EQL",EP147="EQH"),P147,"")</f>
        <v/>
      </c>
      <c r="FB147" s="2" t="str">
        <f aca="false">IF(OR(EQ147="EQL",EQ147="EQH"),Q147,"")</f>
        <v/>
      </c>
      <c r="FC147" s="2" t="str">
        <f aca="false">IF(AND(EG147="EQL",OR(AQ147=4,AQ147=5)),"IEQL",IF(AND(EG147="EQH",OR(AQ147=1,AQ147=2)),"IEQH",""))</f>
        <v/>
      </c>
      <c r="FD147" s="2" t="str">
        <f aca="false">IF(AND(EH147="EQL",OR(AR147=4,AR147=5)),"IEQL",IF(AND(EH147="EQH",OR(AR147=1,AR147=2)),"IEQH",""))</f>
        <v/>
      </c>
      <c r="FE147" s="2" t="str">
        <f aca="false">IF(AND(EI147="EQL",OR(AS147=4,AS147=5)),"IEQL",IF(AND(EI147="EQH",OR(AS147=1,AS147=2)),"IEQH",""))</f>
        <v>IEQH</v>
      </c>
      <c r="FF147" s="2" t="str">
        <f aca="false">IF(AND(EJ147="EQL",OR(AT147=4,AT147=5)),"IEQL",IF(AND(EJ147="EQH",OR(AT147=1,AT147=2)),"IEQH",""))</f>
        <v/>
      </c>
      <c r="FG147" s="2" t="str">
        <f aca="false">IF(AND(EK147="EQL",OR(AU147=4,AU147=5)),"IEQL",IF(AND(EK147="EQH",OR(AU147=1,AU147=2)),"IEQH",""))</f>
        <v/>
      </c>
      <c r="FH147" s="2" t="str">
        <f aca="false">IF(AND(EL147="EQL",OR(AV147=4,AV147=5)),"IEQL",IF(AND(EL147="EQH",OR(AV147=1,AV147=2)),"IEQH",""))</f>
        <v/>
      </c>
      <c r="FI147" s="2" t="str">
        <f aca="false">IF(AND(EM147="EQL",OR(AW147=4,AW147=5)),"IEQL",IF(AND(EM147="EQH",OR(AW147=1,AW147=2)),"IEQH",""))</f>
        <v/>
      </c>
      <c r="FJ147" s="2" t="str">
        <f aca="false">IF(AND(EN147="EQL",OR(AX147=4,AX147=5)),"IEQL",IF(AND(EN147="EQH",OR(AX147=1,AX147=2)),"IEQH",""))</f>
        <v/>
      </c>
      <c r="FK147" s="2" t="str">
        <f aca="false">IF(AND(EO147="EQL",OR(AY147=4,AY147=5)),"IEQL",IF(AND(EO147="EQH",OR(AY147=1,AY147=2)),"IEQH",""))</f>
        <v/>
      </c>
      <c r="FL147" s="2" t="str">
        <f aca="false">IF(AND(EP147="EQL",OR(AZ147=4,AZ147=5)),"IEQL",IF(AND(EP147="EQH",OR(AZ147=1,AZ147=2)),"IEQH",""))</f>
        <v/>
      </c>
      <c r="FM147" s="2" t="str">
        <f aca="false">IF(AND(EQ147="EQL",OR(BA147=4,BA147=5)),"IEQL",IF(AND(EQ147="EQH",OR(BA147=1,BA147=2)),"IEQH",""))</f>
        <v/>
      </c>
    </row>
    <row r="148" customFormat="false" ht="14.25" hidden="false" customHeight="false" outlineLevel="0" collapsed="false">
      <c r="A148" s="1" t="n">
        <v>1779417002</v>
      </c>
      <c r="B148" s="1" t="s">
        <v>169</v>
      </c>
      <c r="C148" s="1" t="s">
        <v>170</v>
      </c>
      <c r="D148" s="1" t="n">
        <v>4522.61</v>
      </c>
      <c r="E148" s="1" t="s">
        <v>171</v>
      </c>
      <c r="F148" s="1" t="n">
        <v>4518.56</v>
      </c>
      <c r="G148" s="2" t="n">
        <f aca="false">F146</f>
        <v>4488.72</v>
      </c>
      <c r="H148" s="2" t="n">
        <f aca="false">F144</f>
        <v>4512.06</v>
      </c>
      <c r="I148" s="2" t="n">
        <f aca="false">F142</f>
        <v>4534.63</v>
      </c>
      <c r="J148" s="2" t="n">
        <f aca="false">F140</f>
        <v>4467.07</v>
      </c>
      <c r="K148" s="2" t="n">
        <f aca="false">F138</f>
        <v>4453.69</v>
      </c>
      <c r="L148" s="2" t="n">
        <f aca="false">F136</f>
        <v>4464.78</v>
      </c>
      <c r="M148" s="2" t="n">
        <f aca="false">F134</f>
        <v>4531.31</v>
      </c>
      <c r="N148" s="2" t="n">
        <f aca="false">F132</f>
        <v>4532</v>
      </c>
      <c r="O148" s="2" t="n">
        <f aca="false">F130</f>
        <v>4530.01</v>
      </c>
      <c r="P148" s="2" t="n">
        <f aca="false">F128</f>
        <v>4480.72</v>
      </c>
      <c r="Q148" s="2" t="n">
        <f aca="false">F126</f>
        <v>4511.92</v>
      </c>
      <c r="R148" s="1" t="n">
        <v>-40.72</v>
      </c>
      <c r="S148" s="2" t="n">
        <f aca="false">R146</f>
        <v>-53.98</v>
      </c>
      <c r="T148" s="2" t="n">
        <f aca="false">R144</f>
        <v>-58.93</v>
      </c>
      <c r="U148" s="2" t="n">
        <f aca="false">R142</f>
        <v>-18.08</v>
      </c>
      <c r="V148" s="2" t="n">
        <f aca="false">R140</f>
        <v>-38.87</v>
      </c>
      <c r="W148" s="2" t="n">
        <f aca="false">R138</f>
        <v>-55.12</v>
      </c>
      <c r="X148" s="2" t="n">
        <f aca="false">R136</f>
        <v>-94.6</v>
      </c>
      <c r="Y148" s="2" t="n">
        <f aca="false">R134</f>
        <v>-58.05</v>
      </c>
      <c r="Z148" s="2" t="n">
        <f aca="false">R132</f>
        <v>-52.14</v>
      </c>
      <c r="AA148" s="2" t="n">
        <f aca="false">R130</f>
        <v>-29.94</v>
      </c>
      <c r="AB148" s="2" t="n">
        <f aca="false">R128</f>
        <v>-85.71</v>
      </c>
      <c r="AC148" s="2" t="n">
        <f aca="false">R126</f>
        <v>-60.72</v>
      </c>
      <c r="AD148" s="1" t="n">
        <v>-0.89</v>
      </c>
      <c r="AE148" s="2" t="n">
        <f aca="false">AD146</f>
        <v>-1.19</v>
      </c>
      <c r="AF148" s="2" t="n">
        <f aca="false">AD144</f>
        <v>-1.29</v>
      </c>
      <c r="AG148" s="2" t="n">
        <f aca="false">AD142</f>
        <v>-0.4</v>
      </c>
      <c r="AH148" s="2" t="n">
        <f aca="false">AD140</f>
        <v>-0.86</v>
      </c>
      <c r="AI148" s="2" t="n">
        <f aca="false">AD138</f>
        <v>-1.22</v>
      </c>
      <c r="AJ148" s="2" t="n">
        <f aca="false">AD136</f>
        <v>-2.07</v>
      </c>
      <c r="AK148" s="2" t="n">
        <f aca="false">AD134</f>
        <v>-1.26</v>
      </c>
      <c r="AL148" s="2" t="n">
        <f aca="false">AD132</f>
        <v>-1.14</v>
      </c>
      <c r="AM148" s="2" t="n">
        <f aca="false">AD130</f>
        <v>-0.66</v>
      </c>
      <c r="AN148" s="2" t="n">
        <f aca="false">AD128</f>
        <v>-1.88</v>
      </c>
      <c r="AO148" s="2" t="n">
        <f aca="false">AD126</f>
        <v>-1.33</v>
      </c>
      <c r="AP148" s="1" t="n">
        <v>3</v>
      </c>
      <c r="AQ148" s="2" t="n">
        <f aca="false">AP146</f>
        <v>3</v>
      </c>
      <c r="AR148" s="2" t="n">
        <f aca="false">AP144</f>
        <v>3</v>
      </c>
      <c r="AS148" s="2" t="n">
        <f aca="false">AP142</f>
        <v>3</v>
      </c>
      <c r="AT148" s="2" t="n">
        <f aca="false">AP140</f>
        <v>3</v>
      </c>
      <c r="AU148" s="2" t="n">
        <f aca="false">AP138</f>
        <v>3</v>
      </c>
      <c r="AV148" s="2" t="n">
        <f aca="false">AP136</f>
        <v>4</v>
      </c>
      <c r="AW148" s="2" t="n">
        <f aca="false">AP134</f>
        <v>3</v>
      </c>
      <c r="AX148" s="2" t="n">
        <f aca="false">AP132</f>
        <v>3</v>
      </c>
      <c r="AY148" s="2" t="n">
        <f aca="false">AP130</f>
        <v>3</v>
      </c>
      <c r="AZ148" s="2" t="n">
        <f aca="false">AP128</f>
        <v>3</v>
      </c>
      <c r="BA148" s="2" t="n">
        <f aca="false">AP126</f>
        <v>3</v>
      </c>
      <c r="BB148" s="1" t="n">
        <v>31</v>
      </c>
      <c r="BC148" s="2" t="n">
        <f aca="false">BB146</f>
        <v>16</v>
      </c>
      <c r="BD148" s="2" t="n">
        <f aca="false">BB144</f>
        <v>23</v>
      </c>
      <c r="BE148" s="2" t="n">
        <f aca="false">BB142</f>
        <v>28</v>
      </c>
      <c r="BF148" s="2" t="n">
        <f aca="false">BB140</f>
        <v>4</v>
      </c>
      <c r="BG148" s="2" t="n">
        <f aca="false">BB138</f>
        <v>9</v>
      </c>
      <c r="BH148" s="2" t="n">
        <f aca="false">BB136</f>
        <v>23</v>
      </c>
      <c r="BI148" s="2" t="n">
        <f aca="false">BB134</f>
        <v>21</v>
      </c>
      <c r="BJ148" s="2" t="n">
        <f aca="false">BB132</f>
        <v>5</v>
      </c>
      <c r="BK148" s="2" t="n">
        <f aca="false">BB130</f>
        <v>14</v>
      </c>
      <c r="BL148" s="2" t="n">
        <f aca="false">BB128</f>
        <v>36</v>
      </c>
      <c r="BM148" s="2" t="n">
        <f aca="false">BB126</f>
        <v>12</v>
      </c>
      <c r="BN148" s="1" t="n">
        <v>3</v>
      </c>
      <c r="BO148" s="2" t="n">
        <f aca="false">BN146</f>
        <v>3</v>
      </c>
      <c r="BP148" s="2" t="n">
        <f aca="false">BN144</f>
        <v>3</v>
      </c>
      <c r="BQ148" s="2" t="n">
        <f aca="false">BN142</f>
        <v>3</v>
      </c>
      <c r="BR148" s="2" t="n">
        <f aca="false">BN140</f>
        <v>3</v>
      </c>
      <c r="BS148" s="2" t="n">
        <f aca="false">BN138</f>
        <v>3</v>
      </c>
      <c r="BT148" s="2" t="n">
        <f aca="false">BN136</f>
        <v>3</v>
      </c>
      <c r="BU148" s="2" t="n">
        <f aca="false">BN134</f>
        <v>3</v>
      </c>
      <c r="BV148" s="2" t="n">
        <f aca="false">BN132</f>
        <v>3</v>
      </c>
      <c r="BW148" s="2" t="n">
        <f aca="false">BN130</f>
        <v>3</v>
      </c>
      <c r="BX148" s="2" t="n">
        <f aca="false">BN128</f>
        <v>4</v>
      </c>
      <c r="BY148" s="2" t="n">
        <f aca="false">BN126</f>
        <v>3</v>
      </c>
      <c r="BZ148" s="1" t="n">
        <v>-1.31355</v>
      </c>
      <c r="CA148" s="2" t="n">
        <f aca="false">BZ146</f>
        <v>-3.37375</v>
      </c>
      <c r="CB148" s="2" t="n">
        <f aca="false">BZ144</f>
        <v>-2.56217</v>
      </c>
      <c r="CC148" s="2" t="n">
        <f aca="false">BZ142</f>
        <v>-0.64571</v>
      </c>
      <c r="CD148" s="2" t="n">
        <f aca="false">BZ140</f>
        <v>-9.7175</v>
      </c>
      <c r="CE148" s="2" t="n">
        <f aca="false">BZ138</f>
        <v>-6.12444</v>
      </c>
      <c r="CF148" s="2" t="n">
        <f aca="false">BZ136</f>
        <v>-4.11304</v>
      </c>
      <c r="CG148" s="2" t="n">
        <f aca="false">BZ134</f>
        <v>-2.76429</v>
      </c>
      <c r="CH148" s="2" t="n">
        <f aca="false">BZ132</f>
        <v>-10.428</v>
      </c>
      <c r="CI148" s="2" t="n">
        <f aca="false">BZ130</f>
        <v>-2.13857</v>
      </c>
      <c r="CJ148" s="2" t="n">
        <f aca="false">BZ128</f>
        <v>-2.38083</v>
      </c>
      <c r="CK148" s="2" t="n">
        <f aca="false">BZ126</f>
        <v>-5.06</v>
      </c>
      <c r="CL148" s="1" t="n">
        <v>3</v>
      </c>
      <c r="CM148" s="2" t="n">
        <f aca="false">CL146</f>
        <v>3</v>
      </c>
      <c r="CN148" s="2" t="n">
        <f aca="false">CL144</f>
        <v>3</v>
      </c>
      <c r="CO148" s="2" t="n">
        <f aca="false">CL142</f>
        <v>3</v>
      </c>
      <c r="CP148" s="2" t="n">
        <f aca="false">CL140</f>
        <v>4</v>
      </c>
      <c r="CQ148" s="2" t="n">
        <f aca="false">CL138</f>
        <v>3</v>
      </c>
      <c r="CR148" s="2" t="n">
        <f aca="false">CL136</f>
        <v>3</v>
      </c>
      <c r="CS148" s="2" t="n">
        <f aca="false">CL134</f>
        <v>3</v>
      </c>
      <c r="CT148" s="2" t="n">
        <f aca="false">CL132</f>
        <v>4</v>
      </c>
      <c r="CU148" s="2" t="n">
        <f aca="false">CL130</f>
        <v>3</v>
      </c>
      <c r="CV148" s="2" t="n">
        <f aca="false">CL128</f>
        <v>3</v>
      </c>
      <c r="CW148" s="2" t="n">
        <f aca="false">CL126</f>
        <v>3</v>
      </c>
      <c r="CX148" s="1" t="n">
        <v>-52.7181</v>
      </c>
      <c r="CY148" s="2" t="n">
        <f aca="false">CX146</f>
        <v>-73.4899</v>
      </c>
      <c r="CZ148" s="2" t="n">
        <f aca="false">CX144</f>
        <v>-68.6796</v>
      </c>
      <c r="DA148" s="2" t="n">
        <f aca="false">CX142</f>
        <v>-32.8509</v>
      </c>
      <c r="DB148" s="2" t="n">
        <f aca="false">CX140</f>
        <v>-84.1245</v>
      </c>
      <c r="DC148" s="2" t="n">
        <f aca="false">CX138</f>
        <v>-80.7266</v>
      </c>
      <c r="DD148" s="2" t="n">
        <f aca="false">CX136</f>
        <v>-76.3349</v>
      </c>
      <c r="DE148" s="2" t="n">
        <f aca="false">CX134</f>
        <v>-70.112</v>
      </c>
      <c r="DF148" s="2" t="n">
        <f aca="false">CX132</f>
        <v>-84.5223</v>
      </c>
      <c r="DG148" s="2" t="n">
        <f aca="false">CX130</f>
        <v>-64.9391</v>
      </c>
      <c r="DH148" s="2" t="n">
        <f aca="false">CX128</f>
        <v>-67.2166</v>
      </c>
      <c r="DI148" s="2" t="n">
        <f aca="false">CX126</f>
        <v>-78.8208</v>
      </c>
      <c r="DJ148" s="1" t="s">
        <v>175</v>
      </c>
      <c r="DK148" s="2" t="str">
        <f aca="false">DJ146</f>
        <v>LL</v>
      </c>
      <c r="DL148" s="2" t="str">
        <f aca="false">DJ144</f>
        <v>LL</v>
      </c>
      <c r="DM148" s="2" t="str">
        <f aca="false">DJ142</f>
        <v>HL</v>
      </c>
      <c r="DN148" s="2" t="str">
        <f aca="false">DJ140</f>
        <v>HL</v>
      </c>
      <c r="DO148" s="2" t="str">
        <f aca="false">DJ138</f>
        <v>LL</v>
      </c>
      <c r="DP148" s="2" t="str">
        <f aca="false">DJ136</f>
        <v>LL</v>
      </c>
      <c r="DQ148" s="2" t="str">
        <f aca="false">DJ134</f>
        <v>LL</v>
      </c>
      <c r="DR148" s="2" t="str">
        <f aca="false">DJ132</f>
        <v>HL</v>
      </c>
      <c r="DS148" s="2" t="str">
        <f aca="false">DJ130</f>
        <v>HL</v>
      </c>
      <c r="DT148" s="2" t="str">
        <f aca="false">DJ128</f>
        <v>LL</v>
      </c>
      <c r="DU148" s="2" t="str">
        <f aca="false">DJ126</f>
        <v>LL</v>
      </c>
      <c r="DV148" s="2" t="n">
        <f aca="false">IFERROR((G148-$F148)/$F148*100,"")</f>
        <v>-0.660387380050285</v>
      </c>
      <c r="DW148" s="2" t="n">
        <f aca="false">IFERROR((H148-$F148)/$F148*100,"")</f>
        <v>-0.143851138415778</v>
      </c>
      <c r="DX148" s="2" t="n">
        <f aca="false">IFERROR((I148-$F148)/$F148*100,"")</f>
        <v>0.355644276052541</v>
      </c>
      <c r="DY148" s="2" t="n">
        <f aca="false">IFERROR((J148-$F148)/$F148*100,"")</f>
        <v>-1.1395223256967</v>
      </c>
      <c r="DZ148" s="2" t="n">
        <f aca="false">IFERROR((K148-$F148)/$F148*100,"")</f>
        <v>-1.43563436138949</v>
      </c>
      <c r="EA148" s="2" t="n">
        <f aca="false">IFERROR((L148-$F148)/$F148*100,"")</f>
        <v>-1.19020218830779</v>
      </c>
      <c r="EB148" s="2" t="n">
        <f aca="false">IFERROR((M148-$F148)/$F148*100,"")</f>
        <v>0.282169540738642</v>
      </c>
      <c r="EC148" s="2" t="n">
        <f aca="false">IFERROR((N148-$F148)/$F148*100,"")</f>
        <v>0.297439892355078</v>
      </c>
      <c r="ED148" s="2" t="n">
        <f aca="false">IFERROR((O148-$F148)/$F148*100,"")</f>
        <v>0.253399313055483</v>
      </c>
      <c r="EE148" s="2" t="n">
        <f aca="false">IFERROR((P148-$F148)/$F148*100,"")</f>
        <v>-0.837434935023551</v>
      </c>
      <c r="EF148" s="2" t="n">
        <f aca="false">IFERROR((Q148-$F148)/$F148*100,"")</f>
        <v>-0.146949470627818</v>
      </c>
      <c r="EG148" s="2" t="str">
        <f aca="false">IF(DV148="","",IF(AND(ABS(DV148)&lt;=0.25,$E148="Bottom",DK148="LL"),"EQL",IF(AND(ABS(DV148)&lt;=0.25,$E148="Peak",DK148="HH"),"EQH","")))</f>
        <v/>
      </c>
      <c r="EH148" s="2" t="str">
        <f aca="false">IF(DW148="","",IF(AND(ABS(DW148)&lt;=0.25,$E148="Bottom",DL148="LL"),"EQL",IF(AND(ABS(DW148)&lt;=0.25,$E148="Peak",DL148="HH"),"EQH","")))</f>
        <v>EQL</v>
      </c>
      <c r="EI148" s="2" t="str">
        <f aca="false">IF(DX148="","",IF(AND(ABS(DX148)&lt;=0.25,$E148="Bottom",DM148="LL"),"EQL",IF(AND(ABS(DX148)&lt;=0.25,$E148="Peak",DM148="HH"),"EQH","")))</f>
        <v/>
      </c>
      <c r="EJ148" s="2" t="str">
        <f aca="false">IF(DY148="","",IF(AND(ABS(DY148)&lt;=0.25,$E148="Bottom",DN148="LL"),"EQL",IF(AND(ABS(DY148)&lt;=0.25,$E148="Peak",DN148="HH"),"EQH","")))</f>
        <v/>
      </c>
      <c r="EK148" s="2" t="str">
        <f aca="false">IF(DZ148="","",IF(AND(ABS(DZ148)&lt;=0.25,$E148="Bottom",DO148="LL"),"EQL",IF(AND(ABS(DZ148)&lt;=0.25,$E148="Peak",DO148="HH"),"EQH","")))</f>
        <v/>
      </c>
      <c r="EL148" s="2" t="str">
        <f aca="false">IF(EA148="","",IF(AND(ABS(EA148)&lt;=0.25,$E148="Bottom",DP148="LL"),"EQL",IF(AND(ABS(EA148)&lt;=0.25,$E148="Peak",DP148="HH"),"EQH","")))</f>
        <v/>
      </c>
      <c r="EM148" s="2" t="str">
        <f aca="false">IF(EB148="","",IF(AND(ABS(EB148)&lt;=0.25,$E148="Bottom",DQ148="LL"),"EQL",IF(AND(ABS(EB148)&lt;=0.25,$E148="Peak",DQ148="HH"),"EQH","")))</f>
        <v/>
      </c>
      <c r="EN148" s="2" t="str">
        <f aca="false">IF(EC148="","",IF(AND(ABS(EC148)&lt;=0.25,$E148="Bottom",DR148="LL"),"EQL",IF(AND(ABS(EC148)&lt;=0.25,$E148="Peak",DR148="HH"),"EQH","")))</f>
        <v/>
      </c>
      <c r="EO148" s="2" t="str">
        <f aca="false">IF(ED148="","",IF(AND(ABS(ED148)&lt;=0.25,$E148="Bottom",DS148="LL"),"EQL",IF(AND(ABS(ED148)&lt;=0.25,$E148="Peak",DS148="HH"),"EQH","")))</f>
        <v/>
      </c>
      <c r="EP148" s="2" t="str">
        <f aca="false">IF(EE148="","",IF(AND(ABS(EE148)&lt;=0.25,$E148="Bottom",DT148="LL"),"EQL",IF(AND(ABS(EE148)&lt;=0.25,$E148="Peak",DT148="HH"),"EQH","")))</f>
        <v/>
      </c>
      <c r="EQ148" s="2" t="str">
        <f aca="false">IF(EF148="","",IF(AND(ABS(EF148)&lt;=0.25,$E148="Bottom",DU148="LL"),"EQL",IF(AND(ABS(EF148)&lt;=0.25,$E148="Peak",DU148="HH"),"EQH","")))</f>
        <v>EQL</v>
      </c>
      <c r="ER148" s="2" t="str">
        <f aca="false">IF(OR(EG148="EQL",EG148="EQH"),G148,"")</f>
        <v/>
      </c>
      <c r="ES148" s="2" t="n">
        <f aca="false">IF(OR(EH148="EQL",EH148="EQH"),H148,"")</f>
        <v>4512.06</v>
      </c>
      <c r="ET148" s="2" t="str">
        <f aca="false">IF(OR(EI148="EQL",EI148="EQH"),I148,"")</f>
        <v/>
      </c>
      <c r="EU148" s="2" t="str">
        <f aca="false">IF(OR(EJ148="EQL",EJ148="EQH"),J148,"")</f>
        <v/>
      </c>
      <c r="EV148" s="2" t="str">
        <f aca="false">IF(OR(EK148="EQL",EK148="EQH"),K148,"")</f>
        <v/>
      </c>
      <c r="EW148" s="2" t="str">
        <f aca="false">IF(OR(EL148="EQL",EL148="EQH"),L148,"")</f>
        <v/>
      </c>
      <c r="EX148" s="2" t="str">
        <f aca="false">IF(OR(EM148="EQL",EM148="EQH"),M148,"")</f>
        <v/>
      </c>
      <c r="EY148" s="2" t="str">
        <f aca="false">IF(OR(EN148="EQL",EN148="EQH"),N148,"")</f>
        <v/>
      </c>
      <c r="EZ148" s="2" t="str">
        <f aca="false">IF(OR(EO148="EQL",EO148="EQH"),O148,"")</f>
        <v/>
      </c>
      <c r="FA148" s="2" t="str">
        <f aca="false">IF(OR(EP148="EQL",EP148="EQH"),P148,"")</f>
        <v/>
      </c>
      <c r="FB148" s="2" t="n">
        <f aca="false">IF(OR(EQ148="EQL",EQ148="EQH"),Q148,"")</f>
        <v>4511.92</v>
      </c>
      <c r="FC148" s="2" t="str">
        <f aca="false">IF(AND(EG148="EQL",OR(AQ148=4,AQ148=5)),"IEQL",IF(AND(EG148="EQH",OR(AQ148=1,AQ148=2)),"IEQH",""))</f>
        <v/>
      </c>
      <c r="FD148" s="2" t="str">
        <f aca="false">IF(AND(EH148="EQL",OR(AR148=4,AR148=5)),"IEQL",IF(AND(EH148="EQH",OR(AR148=1,AR148=2)),"IEQH",""))</f>
        <v/>
      </c>
      <c r="FE148" s="2" t="str">
        <f aca="false">IF(AND(EI148="EQL",OR(AS148=4,AS148=5)),"IEQL",IF(AND(EI148="EQH",OR(AS148=1,AS148=2)),"IEQH",""))</f>
        <v/>
      </c>
      <c r="FF148" s="2" t="str">
        <f aca="false">IF(AND(EJ148="EQL",OR(AT148=4,AT148=5)),"IEQL",IF(AND(EJ148="EQH",OR(AT148=1,AT148=2)),"IEQH",""))</f>
        <v/>
      </c>
      <c r="FG148" s="2" t="str">
        <f aca="false">IF(AND(EK148="EQL",OR(AU148=4,AU148=5)),"IEQL",IF(AND(EK148="EQH",OR(AU148=1,AU148=2)),"IEQH",""))</f>
        <v/>
      </c>
      <c r="FH148" s="2" t="str">
        <f aca="false">IF(AND(EL148="EQL",OR(AV148=4,AV148=5)),"IEQL",IF(AND(EL148="EQH",OR(AV148=1,AV148=2)),"IEQH",""))</f>
        <v/>
      </c>
      <c r="FI148" s="2" t="str">
        <f aca="false">IF(AND(EM148="EQL",OR(AW148=4,AW148=5)),"IEQL",IF(AND(EM148="EQH",OR(AW148=1,AW148=2)),"IEQH",""))</f>
        <v/>
      </c>
      <c r="FJ148" s="2" t="str">
        <f aca="false">IF(AND(EN148="EQL",OR(AX148=4,AX148=5)),"IEQL",IF(AND(EN148="EQH",OR(AX148=1,AX148=2)),"IEQH",""))</f>
        <v/>
      </c>
      <c r="FK148" s="2" t="str">
        <f aca="false">IF(AND(EO148="EQL",OR(AY148=4,AY148=5)),"IEQL",IF(AND(EO148="EQH",OR(AY148=1,AY148=2)),"IEQH",""))</f>
        <v/>
      </c>
      <c r="FL148" s="2" t="str">
        <f aca="false">IF(AND(EP148="EQL",OR(AZ148=4,AZ148=5)),"IEQL",IF(AND(EP148="EQH",OR(AZ148=1,AZ148=2)),"IEQH",""))</f>
        <v/>
      </c>
      <c r="FM148" s="2" t="str">
        <f aca="false">IF(AND(EQ148="EQL",OR(BA148=4,BA148=5)),"IEQL",IF(AND(EQ148="EQH",OR(BA148=1,BA148=2)),"IEQH",""))</f>
        <v/>
      </c>
    </row>
    <row r="149" customFormat="false" ht="14.25" hidden="false" customHeight="false" outlineLevel="0" collapsed="false">
      <c r="A149" s="1" t="n">
        <v>1779427802</v>
      </c>
      <c r="B149" s="1" t="s">
        <v>169</v>
      </c>
      <c r="C149" s="1" t="s">
        <v>170</v>
      </c>
      <c r="D149" s="1" t="n">
        <v>4534.1</v>
      </c>
      <c r="E149" s="1" t="s">
        <v>173</v>
      </c>
      <c r="F149" s="1" t="n">
        <v>4534.16</v>
      </c>
      <c r="G149" s="2" t="n">
        <f aca="false">F147</f>
        <v>4559.28</v>
      </c>
      <c r="H149" s="2" t="n">
        <f aca="false">F145</f>
        <v>4542.7</v>
      </c>
      <c r="I149" s="2" t="n">
        <f aca="false">F143</f>
        <v>4570.99</v>
      </c>
      <c r="J149" s="2" t="n">
        <f aca="false">F141</f>
        <v>4552.71</v>
      </c>
      <c r="K149" s="2" t="n">
        <f aca="false">F139</f>
        <v>4505.94</v>
      </c>
      <c r="L149" s="2" t="n">
        <f aca="false">F137</f>
        <v>4508.81</v>
      </c>
      <c r="M149" s="2" t="n">
        <f aca="false">F135</f>
        <v>4559.38</v>
      </c>
      <c r="N149" s="2" t="n">
        <f aca="false">F133</f>
        <v>4589.36</v>
      </c>
      <c r="O149" s="2" t="n">
        <f aca="false">F131</f>
        <v>4584.14</v>
      </c>
      <c r="P149" s="2" t="n">
        <f aca="false">F129</f>
        <v>4559.95</v>
      </c>
      <c r="Q149" s="2" t="n">
        <f aca="false">F127</f>
        <v>4566.43</v>
      </c>
      <c r="R149" s="1" t="n">
        <v>15.6</v>
      </c>
      <c r="S149" s="2" t="n">
        <f aca="false">R147</f>
        <v>70.56</v>
      </c>
      <c r="T149" s="2" t="n">
        <f aca="false">R145</f>
        <v>30.64</v>
      </c>
      <c r="U149" s="2" t="n">
        <f aca="false">R143</f>
        <v>36.36</v>
      </c>
      <c r="V149" s="2" t="n">
        <f aca="false">R141</f>
        <v>85.64</v>
      </c>
      <c r="W149" s="2" t="n">
        <f aca="false">R139</f>
        <v>52.25</v>
      </c>
      <c r="X149" s="2" t="n">
        <f aca="false">R137</f>
        <v>44.03</v>
      </c>
      <c r="Y149" s="2" t="n">
        <f aca="false">R135</f>
        <v>28.07</v>
      </c>
      <c r="Z149" s="2" t="n">
        <f aca="false">R133</f>
        <v>57.36</v>
      </c>
      <c r="AA149" s="2" t="n">
        <f aca="false">R131</f>
        <v>54.13</v>
      </c>
      <c r="AB149" s="2" t="n">
        <f aca="false">R129</f>
        <v>79.23</v>
      </c>
      <c r="AC149" s="2" t="n">
        <f aca="false">R127</f>
        <v>54.51</v>
      </c>
      <c r="AD149" s="1" t="n">
        <v>0.35</v>
      </c>
      <c r="AE149" s="2" t="n">
        <f aca="false">AD147</f>
        <v>1.57</v>
      </c>
      <c r="AF149" s="2" t="n">
        <f aca="false">AD145</f>
        <v>0.68</v>
      </c>
      <c r="AG149" s="2" t="n">
        <f aca="false">AD143</f>
        <v>0.8</v>
      </c>
      <c r="AH149" s="2" t="n">
        <f aca="false">AD141</f>
        <v>1.92</v>
      </c>
      <c r="AI149" s="2" t="n">
        <f aca="false">AD139</f>
        <v>1.17</v>
      </c>
      <c r="AJ149" s="2" t="n">
        <f aca="false">AD137</f>
        <v>0.99</v>
      </c>
      <c r="AK149" s="2" t="n">
        <f aca="false">AD135</f>
        <v>0.62</v>
      </c>
      <c r="AL149" s="2" t="n">
        <f aca="false">AD133</f>
        <v>1.27</v>
      </c>
      <c r="AM149" s="2" t="n">
        <f aca="false">AD131</f>
        <v>1.19</v>
      </c>
      <c r="AN149" s="2" t="n">
        <f aca="false">AD129</f>
        <v>1.77</v>
      </c>
      <c r="AO149" s="2" t="n">
        <f aca="false">AD127</f>
        <v>1.21</v>
      </c>
      <c r="AP149" s="1" t="n">
        <v>0</v>
      </c>
      <c r="AQ149" s="2" t="n">
        <f aca="false">AP147</f>
        <v>0</v>
      </c>
      <c r="AR149" s="2" t="n">
        <f aca="false">AP145</f>
        <v>0</v>
      </c>
      <c r="AS149" s="2" t="n">
        <f aca="false">AP143</f>
        <v>0</v>
      </c>
      <c r="AT149" s="2" t="n">
        <f aca="false">AP141</f>
        <v>1</v>
      </c>
      <c r="AU149" s="2" t="n">
        <f aca="false">AP139</f>
        <v>0</v>
      </c>
      <c r="AV149" s="2" t="n">
        <f aca="false">AP137</f>
        <v>0</v>
      </c>
      <c r="AW149" s="2" t="n">
        <f aca="false">AP135</f>
        <v>0</v>
      </c>
      <c r="AX149" s="2" t="n">
        <f aca="false">AP133</f>
        <v>0</v>
      </c>
      <c r="AY149" s="2" t="n">
        <f aca="false">AP131</f>
        <v>0</v>
      </c>
      <c r="AZ149" s="2" t="n">
        <f aca="false">AP129</f>
        <v>0</v>
      </c>
      <c r="BA149" s="2" t="n">
        <f aca="false">AP127</f>
        <v>0</v>
      </c>
      <c r="BB149" s="1" t="n">
        <v>12</v>
      </c>
      <c r="BC149" s="2" t="n">
        <f aca="false">BB147</f>
        <v>17</v>
      </c>
      <c r="BD149" s="2" t="n">
        <f aca="false">BB145</f>
        <v>9</v>
      </c>
      <c r="BE149" s="2" t="n">
        <f aca="false">BB143</f>
        <v>9</v>
      </c>
      <c r="BF149" s="2" t="n">
        <f aca="false">BB141</f>
        <v>5</v>
      </c>
      <c r="BG149" s="2" t="n">
        <f aca="false">BB139</f>
        <v>40</v>
      </c>
      <c r="BH149" s="2" t="n">
        <f aca="false">BB137</f>
        <v>41</v>
      </c>
      <c r="BI149" s="2" t="n">
        <f aca="false">BB135</f>
        <v>10</v>
      </c>
      <c r="BJ149" s="2" t="n">
        <f aca="false">BB133</f>
        <v>32</v>
      </c>
      <c r="BK149" s="2" t="n">
        <f aca="false">BB131</f>
        <v>11</v>
      </c>
      <c r="BL149" s="2" t="n">
        <f aca="false">BB129</f>
        <v>27</v>
      </c>
      <c r="BM149" s="2" t="n">
        <f aca="false">BB127</f>
        <v>4</v>
      </c>
      <c r="BN149" s="1" t="n">
        <v>0</v>
      </c>
      <c r="BO149" s="2" t="n">
        <f aca="false">BN147</f>
        <v>0</v>
      </c>
      <c r="BP149" s="2" t="n">
        <f aca="false">BN145</f>
        <v>0</v>
      </c>
      <c r="BQ149" s="2" t="n">
        <f aca="false">BN143</f>
        <v>0</v>
      </c>
      <c r="BR149" s="2" t="n">
        <f aca="false">BN141</f>
        <v>0</v>
      </c>
      <c r="BS149" s="2" t="n">
        <f aca="false">BN139</f>
        <v>2</v>
      </c>
      <c r="BT149" s="2" t="n">
        <f aca="false">BN137</f>
        <v>2</v>
      </c>
      <c r="BU149" s="2" t="n">
        <f aca="false">BN135</f>
        <v>0</v>
      </c>
      <c r="BV149" s="2" t="n">
        <f aca="false">BN133</f>
        <v>1</v>
      </c>
      <c r="BW149" s="2" t="n">
        <f aca="false">BN131</f>
        <v>0</v>
      </c>
      <c r="BX149" s="2" t="n">
        <f aca="false">BN129</f>
        <v>0</v>
      </c>
      <c r="BY149" s="2" t="n">
        <f aca="false">BN127</f>
        <v>0</v>
      </c>
      <c r="BZ149" s="1" t="n">
        <v>1.3</v>
      </c>
      <c r="CA149" s="2" t="n">
        <f aca="false">BZ147</f>
        <v>4.15059</v>
      </c>
      <c r="CB149" s="2" t="n">
        <f aca="false">BZ145</f>
        <v>3.40444</v>
      </c>
      <c r="CC149" s="2" t="n">
        <f aca="false">BZ143</f>
        <v>4.04</v>
      </c>
      <c r="CD149" s="2" t="n">
        <f aca="false">BZ141</f>
        <v>17.128</v>
      </c>
      <c r="CE149" s="2" t="n">
        <f aca="false">BZ139</f>
        <v>1.30625</v>
      </c>
      <c r="CF149" s="2" t="n">
        <f aca="false">BZ137</f>
        <v>1.0739</v>
      </c>
      <c r="CG149" s="2" t="n">
        <f aca="false">BZ135</f>
        <v>2.807</v>
      </c>
      <c r="CH149" s="2" t="n">
        <f aca="false">BZ133</f>
        <v>1.7925</v>
      </c>
      <c r="CI149" s="2" t="n">
        <f aca="false">BZ131</f>
        <v>4.92091</v>
      </c>
      <c r="CJ149" s="2" t="n">
        <f aca="false">BZ129</f>
        <v>2.93444</v>
      </c>
      <c r="CK149" s="2" t="n">
        <f aca="false">BZ127</f>
        <v>13.6275</v>
      </c>
      <c r="CL149" s="1" t="n">
        <v>0</v>
      </c>
      <c r="CM149" s="2" t="n">
        <f aca="false">CL147</f>
        <v>0</v>
      </c>
      <c r="CN149" s="2" t="n">
        <f aca="false">CL145</f>
        <v>0</v>
      </c>
      <c r="CO149" s="2" t="n">
        <f aca="false">CL143</f>
        <v>0</v>
      </c>
      <c r="CP149" s="2" t="n">
        <f aca="false">CL141</f>
        <v>2</v>
      </c>
      <c r="CQ149" s="2" t="n">
        <f aca="false">CL139</f>
        <v>0</v>
      </c>
      <c r="CR149" s="2" t="n">
        <f aca="false">CL137</f>
        <v>0</v>
      </c>
      <c r="CS149" s="2" t="n">
        <f aca="false">CL135</f>
        <v>0</v>
      </c>
      <c r="CT149" s="2" t="n">
        <f aca="false">CL133</f>
        <v>0</v>
      </c>
      <c r="CU149" s="2" t="n">
        <f aca="false">CL131</f>
        <v>0</v>
      </c>
      <c r="CV149" s="2" t="n">
        <f aca="false">CL129</f>
        <v>0</v>
      </c>
      <c r="CW149" s="2" t="n">
        <f aca="false">CL127</f>
        <v>2</v>
      </c>
      <c r="CX149" s="1" t="n">
        <v>52.4314</v>
      </c>
      <c r="CY149" s="2" t="n">
        <f aca="false">CX147</f>
        <v>76.4539</v>
      </c>
      <c r="CZ149" s="2" t="n">
        <f aca="false">CX145</f>
        <v>73.6307</v>
      </c>
      <c r="DA149" s="2" t="n">
        <f aca="false">CX143</f>
        <v>76.0973</v>
      </c>
      <c r="DB149" s="2" t="n">
        <f aca="false">CX141</f>
        <v>86.6586</v>
      </c>
      <c r="DC149" s="2" t="n">
        <f aca="false">CX139</f>
        <v>52.5641</v>
      </c>
      <c r="DD149" s="2" t="n">
        <f aca="false">CX137</f>
        <v>47.0408</v>
      </c>
      <c r="DE149" s="2" t="n">
        <f aca="false">CX135</f>
        <v>70.3914</v>
      </c>
      <c r="DF149" s="2" t="n">
        <f aca="false">CX133</f>
        <v>60.8437</v>
      </c>
      <c r="DG149" s="2" t="n">
        <f aca="false">CX131</f>
        <v>78.5131</v>
      </c>
      <c r="DH149" s="2" t="n">
        <f aca="false">CX129</f>
        <v>71.1819</v>
      </c>
      <c r="DI149" s="2" t="n">
        <f aca="false">CX127</f>
        <v>85.8031</v>
      </c>
      <c r="DJ149" s="1" t="s">
        <v>174</v>
      </c>
      <c r="DK149" s="2" t="str">
        <f aca="false">DJ147</f>
        <v>HH</v>
      </c>
      <c r="DL149" s="2" t="str">
        <f aca="false">DJ145</f>
        <v>LH</v>
      </c>
      <c r="DM149" s="2" t="str">
        <f aca="false">DJ143</f>
        <v>HH</v>
      </c>
      <c r="DN149" s="2" t="str">
        <f aca="false">DJ141</f>
        <v>HH</v>
      </c>
      <c r="DO149" s="2" t="str">
        <f aca="false">DJ139</f>
        <v>LH</v>
      </c>
      <c r="DP149" s="2" t="str">
        <f aca="false">DJ137</f>
        <v>LH</v>
      </c>
      <c r="DQ149" s="2" t="str">
        <f aca="false">DJ135</f>
        <v>LH</v>
      </c>
      <c r="DR149" s="2" t="str">
        <f aca="false">DJ133</f>
        <v>HH</v>
      </c>
      <c r="DS149" s="2" t="str">
        <f aca="false">DJ131</f>
        <v>HH</v>
      </c>
      <c r="DT149" s="2" t="str">
        <f aca="false">DJ129</f>
        <v>LH</v>
      </c>
      <c r="DU149" s="2" t="str">
        <f aca="false">DJ127</f>
        <v>LH</v>
      </c>
      <c r="DV149" s="2" t="n">
        <f aca="false">IFERROR((G149-$F149)/$F149*100,"")</f>
        <v>0.554016620498613</v>
      </c>
      <c r="DW149" s="2" t="n">
        <f aca="false">IFERROR((H149-$F149)/$F149*100,"")</f>
        <v>0.188348007128111</v>
      </c>
      <c r="DX149" s="2" t="n">
        <f aca="false">IFERROR((I149-$F149)/$F149*100,"")</f>
        <v>0.812278349242195</v>
      </c>
      <c r="DY149" s="2" t="n">
        <f aca="false">IFERROR((J149-$F149)/$F149*100,"")</f>
        <v>0.409116572860247</v>
      </c>
      <c r="DZ149" s="2" t="n">
        <f aca="false">IFERROR((K149-$F149)/$F149*100,"")</f>
        <v>-0.62238650599009</v>
      </c>
      <c r="EA149" s="2" t="n">
        <f aca="false">IFERROR((L149-$F149)/$F149*100,"")</f>
        <v>-0.559089224906035</v>
      </c>
      <c r="EB149" s="2" t="n">
        <f aca="false">IFERROR((M149-$F149)/$F149*100,"")</f>
        <v>0.556222100675765</v>
      </c>
      <c r="EC149" s="2" t="n">
        <f aca="false">IFERROR((N149-$F149)/$F149*100,"")</f>
        <v>1.21742505778358</v>
      </c>
      <c r="ED149" s="2" t="n">
        <f aca="false">IFERROR((O149-$F149)/$F149*100,"")</f>
        <v>1.10229899253667</v>
      </c>
      <c r="EE149" s="2" t="n">
        <f aca="false">IFERROR((P149-$F149)/$F149*100,"")</f>
        <v>0.56879333768548</v>
      </c>
      <c r="EF149" s="2" t="n">
        <f aca="false">IFERROR((Q149-$F149)/$F149*100,"")</f>
        <v>0.711708453164433</v>
      </c>
      <c r="EG149" s="2" t="str">
        <f aca="false">IF(DV149="","",IF(AND(ABS(DV149)&lt;=0.25,$E149="Bottom",DK149="LL"),"EQL",IF(AND(ABS(DV149)&lt;=0.25,$E149="Peak",DK149="HH"),"EQH","")))</f>
        <v/>
      </c>
      <c r="EH149" s="2" t="str">
        <f aca="false">IF(DW149="","",IF(AND(ABS(DW149)&lt;=0.25,$E149="Bottom",DL149="LL"),"EQL",IF(AND(ABS(DW149)&lt;=0.25,$E149="Peak",DL149="HH"),"EQH","")))</f>
        <v/>
      </c>
      <c r="EI149" s="2" t="str">
        <f aca="false">IF(DX149="","",IF(AND(ABS(DX149)&lt;=0.25,$E149="Bottom",DM149="LL"),"EQL",IF(AND(ABS(DX149)&lt;=0.25,$E149="Peak",DM149="HH"),"EQH","")))</f>
        <v/>
      </c>
      <c r="EJ149" s="2" t="str">
        <f aca="false">IF(DY149="","",IF(AND(ABS(DY149)&lt;=0.25,$E149="Bottom",DN149="LL"),"EQL",IF(AND(ABS(DY149)&lt;=0.25,$E149="Peak",DN149="HH"),"EQH","")))</f>
        <v/>
      </c>
      <c r="EK149" s="2" t="str">
        <f aca="false">IF(DZ149="","",IF(AND(ABS(DZ149)&lt;=0.25,$E149="Bottom",DO149="LL"),"EQL",IF(AND(ABS(DZ149)&lt;=0.25,$E149="Peak",DO149="HH"),"EQH","")))</f>
        <v/>
      </c>
      <c r="EL149" s="2" t="str">
        <f aca="false">IF(EA149="","",IF(AND(ABS(EA149)&lt;=0.25,$E149="Bottom",DP149="LL"),"EQL",IF(AND(ABS(EA149)&lt;=0.25,$E149="Peak",DP149="HH"),"EQH","")))</f>
        <v/>
      </c>
      <c r="EM149" s="2" t="str">
        <f aca="false">IF(EB149="","",IF(AND(ABS(EB149)&lt;=0.25,$E149="Bottom",DQ149="LL"),"EQL",IF(AND(ABS(EB149)&lt;=0.25,$E149="Peak",DQ149="HH"),"EQH","")))</f>
        <v/>
      </c>
      <c r="EN149" s="2" t="str">
        <f aca="false">IF(EC149="","",IF(AND(ABS(EC149)&lt;=0.25,$E149="Bottom",DR149="LL"),"EQL",IF(AND(ABS(EC149)&lt;=0.25,$E149="Peak",DR149="HH"),"EQH","")))</f>
        <v/>
      </c>
      <c r="EO149" s="2" t="str">
        <f aca="false">IF(ED149="","",IF(AND(ABS(ED149)&lt;=0.25,$E149="Bottom",DS149="LL"),"EQL",IF(AND(ABS(ED149)&lt;=0.25,$E149="Peak",DS149="HH"),"EQH","")))</f>
        <v/>
      </c>
      <c r="EP149" s="2" t="str">
        <f aca="false">IF(EE149="","",IF(AND(ABS(EE149)&lt;=0.25,$E149="Bottom",DT149="LL"),"EQL",IF(AND(ABS(EE149)&lt;=0.25,$E149="Peak",DT149="HH"),"EQH","")))</f>
        <v/>
      </c>
      <c r="EQ149" s="2" t="str">
        <f aca="false">IF(EF149="","",IF(AND(ABS(EF149)&lt;=0.25,$E149="Bottom",DU149="LL"),"EQL",IF(AND(ABS(EF149)&lt;=0.25,$E149="Peak",DU149="HH"),"EQH","")))</f>
        <v/>
      </c>
      <c r="ER149" s="2" t="str">
        <f aca="false">IF(OR(EG149="EQL",EG149="EQH"),G149,"")</f>
        <v/>
      </c>
      <c r="ES149" s="2" t="str">
        <f aca="false">IF(OR(EH149="EQL",EH149="EQH"),H149,"")</f>
        <v/>
      </c>
      <c r="ET149" s="2" t="str">
        <f aca="false">IF(OR(EI149="EQL",EI149="EQH"),I149,"")</f>
        <v/>
      </c>
      <c r="EU149" s="2" t="str">
        <f aca="false">IF(OR(EJ149="EQL",EJ149="EQH"),J149,"")</f>
        <v/>
      </c>
      <c r="EV149" s="2" t="str">
        <f aca="false">IF(OR(EK149="EQL",EK149="EQH"),K149,"")</f>
        <v/>
      </c>
      <c r="EW149" s="2" t="str">
        <f aca="false">IF(OR(EL149="EQL",EL149="EQH"),L149,"")</f>
        <v/>
      </c>
      <c r="EX149" s="2" t="str">
        <f aca="false">IF(OR(EM149="EQL",EM149="EQH"),M149,"")</f>
        <v/>
      </c>
      <c r="EY149" s="2" t="str">
        <f aca="false">IF(OR(EN149="EQL",EN149="EQH"),N149,"")</f>
        <v/>
      </c>
      <c r="EZ149" s="2" t="str">
        <f aca="false">IF(OR(EO149="EQL",EO149="EQH"),O149,"")</f>
        <v/>
      </c>
      <c r="FA149" s="2" t="str">
        <f aca="false">IF(OR(EP149="EQL",EP149="EQH"),P149,"")</f>
        <v/>
      </c>
      <c r="FB149" s="2" t="str">
        <f aca="false">IF(OR(EQ149="EQL",EQ149="EQH"),Q149,"")</f>
        <v/>
      </c>
      <c r="FC149" s="2" t="str">
        <f aca="false">IF(AND(EG149="EQL",OR(AQ149=4,AQ149=5)),"IEQL",IF(AND(EG149="EQH",OR(AQ149=1,AQ149=2)),"IEQH",""))</f>
        <v/>
      </c>
      <c r="FD149" s="2" t="str">
        <f aca="false">IF(AND(EH149="EQL",OR(AR149=4,AR149=5)),"IEQL",IF(AND(EH149="EQH",OR(AR149=1,AR149=2)),"IEQH",""))</f>
        <v/>
      </c>
      <c r="FE149" s="2" t="str">
        <f aca="false">IF(AND(EI149="EQL",OR(AS149=4,AS149=5)),"IEQL",IF(AND(EI149="EQH",OR(AS149=1,AS149=2)),"IEQH",""))</f>
        <v/>
      </c>
      <c r="FF149" s="2" t="str">
        <f aca="false">IF(AND(EJ149="EQL",OR(AT149=4,AT149=5)),"IEQL",IF(AND(EJ149="EQH",OR(AT149=1,AT149=2)),"IEQH",""))</f>
        <v/>
      </c>
      <c r="FG149" s="2" t="str">
        <f aca="false">IF(AND(EK149="EQL",OR(AU149=4,AU149=5)),"IEQL",IF(AND(EK149="EQH",OR(AU149=1,AU149=2)),"IEQH",""))</f>
        <v/>
      </c>
      <c r="FH149" s="2" t="str">
        <f aca="false">IF(AND(EL149="EQL",OR(AV149=4,AV149=5)),"IEQL",IF(AND(EL149="EQH",OR(AV149=1,AV149=2)),"IEQH",""))</f>
        <v/>
      </c>
      <c r="FI149" s="2" t="str">
        <f aca="false">IF(AND(EM149="EQL",OR(AW149=4,AW149=5)),"IEQL",IF(AND(EM149="EQH",OR(AW149=1,AW149=2)),"IEQH",""))</f>
        <v/>
      </c>
      <c r="FJ149" s="2" t="str">
        <f aca="false">IF(AND(EN149="EQL",OR(AX149=4,AX149=5)),"IEQL",IF(AND(EN149="EQH",OR(AX149=1,AX149=2)),"IEQH",""))</f>
        <v/>
      </c>
      <c r="FK149" s="2" t="str">
        <f aca="false">IF(AND(EO149="EQL",OR(AY149=4,AY149=5)),"IEQL",IF(AND(EO149="EQH",OR(AY149=1,AY149=2)),"IEQH",""))</f>
        <v/>
      </c>
      <c r="FL149" s="2" t="str">
        <f aca="false">IF(AND(EP149="EQL",OR(AZ149=4,AZ149=5)),"IEQL",IF(AND(EP149="EQH",OR(AZ149=1,AZ149=2)),"IEQH",""))</f>
        <v/>
      </c>
      <c r="FM149" s="2" t="str">
        <f aca="false">IF(AND(EQ149="EQL",OR(BA149=4,BA149=5)),"IEQL",IF(AND(EQ149="EQH",OR(BA149=1,BA149=2)),"IEQH",""))</f>
        <v/>
      </c>
    </row>
    <row r="150" customFormat="false" ht="14.25" hidden="false" customHeight="false" outlineLevel="0" collapsed="false">
      <c r="A150" s="1" t="n">
        <v>1779428702</v>
      </c>
      <c r="B150" s="1" t="s">
        <v>169</v>
      </c>
      <c r="C150" s="1" t="s">
        <v>170</v>
      </c>
      <c r="D150" s="1" t="n">
        <v>4511.19</v>
      </c>
      <c r="E150" s="1" t="s">
        <v>171</v>
      </c>
      <c r="F150" s="1" t="n">
        <v>4507.44</v>
      </c>
      <c r="G150" s="2" t="n">
        <f aca="false">F148</f>
        <v>4518.56</v>
      </c>
      <c r="H150" s="2" t="n">
        <f aca="false">F146</f>
        <v>4488.72</v>
      </c>
      <c r="I150" s="2" t="n">
        <f aca="false">F144</f>
        <v>4512.06</v>
      </c>
      <c r="J150" s="2" t="n">
        <f aca="false">F142</f>
        <v>4534.63</v>
      </c>
      <c r="K150" s="2" t="n">
        <f aca="false">F140</f>
        <v>4467.07</v>
      </c>
      <c r="L150" s="2" t="n">
        <f aca="false">F138</f>
        <v>4453.69</v>
      </c>
      <c r="M150" s="2" t="n">
        <f aca="false">F136</f>
        <v>4464.78</v>
      </c>
      <c r="N150" s="2" t="n">
        <f aca="false">F134</f>
        <v>4531.31</v>
      </c>
      <c r="O150" s="2" t="n">
        <f aca="false">F132</f>
        <v>4532</v>
      </c>
      <c r="P150" s="2" t="n">
        <f aca="false">F130</f>
        <v>4530.01</v>
      </c>
      <c r="Q150" s="2" t="n">
        <f aca="false">F128</f>
        <v>4480.72</v>
      </c>
      <c r="R150" s="1" t="n">
        <v>-26.72</v>
      </c>
      <c r="S150" s="2" t="n">
        <f aca="false">R148</f>
        <v>-40.72</v>
      </c>
      <c r="T150" s="2" t="n">
        <f aca="false">R146</f>
        <v>-53.98</v>
      </c>
      <c r="U150" s="2" t="n">
        <f aca="false">R144</f>
        <v>-58.93</v>
      </c>
      <c r="V150" s="2" t="n">
        <f aca="false">R142</f>
        <v>-18.08</v>
      </c>
      <c r="W150" s="2" t="n">
        <f aca="false">R140</f>
        <v>-38.87</v>
      </c>
      <c r="X150" s="2" t="n">
        <f aca="false">R138</f>
        <v>-55.12</v>
      </c>
      <c r="Y150" s="2" t="n">
        <f aca="false">R136</f>
        <v>-94.6</v>
      </c>
      <c r="Z150" s="2" t="n">
        <f aca="false">R134</f>
        <v>-58.05</v>
      </c>
      <c r="AA150" s="2" t="n">
        <f aca="false">R132</f>
        <v>-52.14</v>
      </c>
      <c r="AB150" s="2" t="n">
        <f aca="false">R130</f>
        <v>-29.94</v>
      </c>
      <c r="AC150" s="2" t="n">
        <f aca="false">R128</f>
        <v>-85.71</v>
      </c>
      <c r="AD150" s="1" t="n">
        <v>-0.59</v>
      </c>
      <c r="AE150" s="2" t="n">
        <f aca="false">AD148</f>
        <v>-0.89</v>
      </c>
      <c r="AF150" s="2" t="n">
        <f aca="false">AD146</f>
        <v>-1.19</v>
      </c>
      <c r="AG150" s="2" t="n">
        <f aca="false">AD144</f>
        <v>-1.29</v>
      </c>
      <c r="AH150" s="2" t="n">
        <f aca="false">AD142</f>
        <v>-0.4</v>
      </c>
      <c r="AI150" s="2" t="n">
        <f aca="false">AD140</f>
        <v>-0.86</v>
      </c>
      <c r="AJ150" s="2" t="n">
        <f aca="false">AD138</f>
        <v>-1.22</v>
      </c>
      <c r="AK150" s="2" t="n">
        <f aca="false">AD136</f>
        <v>-2.07</v>
      </c>
      <c r="AL150" s="2" t="n">
        <f aca="false">AD134</f>
        <v>-1.26</v>
      </c>
      <c r="AM150" s="2" t="n">
        <f aca="false">AD132</f>
        <v>-1.14</v>
      </c>
      <c r="AN150" s="2" t="n">
        <f aca="false">AD130</f>
        <v>-0.66</v>
      </c>
      <c r="AO150" s="2" t="n">
        <f aca="false">AD128</f>
        <v>-1.88</v>
      </c>
      <c r="AP150" s="1" t="n">
        <v>3</v>
      </c>
      <c r="AQ150" s="2" t="n">
        <f aca="false">AP148</f>
        <v>3</v>
      </c>
      <c r="AR150" s="2" t="n">
        <f aca="false">AP146</f>
        <v>3</v>
      </c>
      <c r="AS150" s="2" t="n">
        <f aca="false">AP144</f>
        <v>3</v>
      </c>
      <c r="AT150" s="2" t="n">
        <f aca="false">AP142</f>
        <v>3</v>
      </c>
      <c r="AU150" s="2" t="n">
        <f aca="false">AP140</f>
        <v>3</v>
      </c>
      <c r="AV150" s="2" t="n">
        <f aca="false">AP138</f>
        <v>3</v>
      </c>
      <c r="AW150" s="2" t="n">
        <f aca="false">AP136</f>
        <v>4</v>
      </c>
      <c r="AX150" s="2" t="n">
        <f aca="false">AP134</f>
        <v>3</v>
      </c>
      <c r="AY150" s="2" t="n">
        <f aca="false">AP132</f>
        <v>3</v>
      </c>
      <c r="AZ150" s="2" t="n">
        <f aca="false">AP130</f>
        <v>3</v>
      </c>
      <c r="BA150" s="2" t="n">
        <f aca="false">AP128</f>
        <v>3</v>
      </c>
      <c r="BB150" s="1" t="n">
        <v>1</v>
      </c>
      <c r="BC150" s="2" t="n">
        <f aca="false">BB148</f>
        <v>31</v>
      </c>
      <c r="BD150" s="2" t="n">
        <f aca="false">BB146</f>
        <v>16</v>
      </c>
      <c r="BE150" s="2" t="n">
        <f aca="false">BB144</f>
        <v>23</v>
      </c>
      <c r="BF150" s="2" t="n">
        <f aca="false">BB142</f>
        <v>28</v>
      </c>
      <c r="BG150" s="2" t="n">
        <f aca="false">BB140</f>
        <v>4</v>
      </c>
      <c r="BH150" s="2" t="n">
        <f aca="false">BB138</f>
        <v>9</v>
      </c>
      <c r="BI150" s="2" t="n">
        <f aca="false">BB136</f>
        <v>23</v>
      </c>
      <c r="BJ150" s="2" t="n">
        <f aca="false">BB134</f>
        <v>21</v>
      </c>
      <c r="BK150" s="2" t="n">
        <f aca="false">BB132</f>
        <v>5</v>
      </c>
      <c r="BL150" s="2" t="n">
        <f aca="false">BB130</f>
        <v>14</v>
      </c>
      <c r="BM150" s="2" t="n">
        <f aca="false">BB128</f>
        <v>36</v>
      </c>
      <c r="BN150" s="1" t="n">
        <v>3</v>
      </c>
      <c r="BO150" s="2" t="n">
        <f aca="false">BN148</f>
        <v>3</v>
      </c>
      <c r="BP150" s="2" t="n">
        <f aca="false">BN146</f>
        <v>3</v>
      </c>
      <c r="BQ150" s="2" t="n">
        <f aca="false">BN144</f>
        <v>3</v>
      </c>
      <c r="BR150" s="2" t="n">
        <f aca="false">BN142</f>
        <v>3</v>
      </c>
      <c r="BS150" s="2" t="n">
        <f aca="false">BN140</f>
        <v>3</v>
      </c>
      <c r="BT150" s="2" t="n">
        <f aca="false">BN138</f>
        <v>3</v>
      </c>
      <c r="BU150" s="2" t="n">
        <f aca="false">BN136</f>
        <v>3</v>
      </c>
      <c r="BV150" s="2" t="n">
        <f aca="false">BN134</f>
        <v>3</v>
      </c>
      <c r="BW150" s="2" t="n">
        <f aca="false">BN132</f>
        <v>3</v>
      </c>
      <c r="BX150" s="2" t="n">
        <f aca="false">BN130</f>
        <v>3</v>
      </c>
      <c r="BY150" s="2" t="n">
        <f aca="false">BN128</f>
        <v>4</v>
      </c>
      <c r="BZ150" s="1" t="n">
        <v>-26.72</v>
      </c>
      <c r="CA150" s="2" t="n">
        <f aca="false">BZ148</f>
        <v>-1.31355</v>
      </c>
      <c r="CB150" s="2" t="n">
        <f aca="false">BZ146</f>
        <v>-3.37375</v>
      </c>
      <c r="CC150" s="2" t="n">
        <f aca="false">BZ144</f>
        <v>-2.56217</v>
      </c>
      <c r="CD150" s="2" t="n">
        <f aca="false">BZ142</f>
        <v>-0.64571</v>
      </c>
      <c r="CE150" s="2" t="n">
        <f aca="false">BZ140</f>
        <v>-9.7175</v>
      </c>
      <c r="CF150" s="2" t="n">
        <f aca="false">BZ138</f>
        <v>-6.12444</v>
      </c>
      <c r="CG150" s="2" t="n">
        <f aca="false">BZ136</f>
        <v>-4.11304</v>
      </c>
      <c r="CH150" s="2" t="n">
        <f aca="false">BZ134</f>
        <v>-2.76429</v>
      </c>
      <c r="CI150" s="2" t="n">
        <f aca="false">BZ132</f>
        <v>-10.428</v>
      </c>
      <c r="CJ150" s="2" t="n">
        <f aca="false">BZ130</f>
        <v>-2.13857</v>
      </c>
      <c r="CK150" s="2" t="n">
        <f aca="false">BZ128</f>
        <v>-2.38083</v>
      </c>
      <c r="CL150" s="1" t="n">
        <v>5</v>
      </c>
      <c r="CM150" s="2" t="n">
        <f aca="false">CL148</f>
        <v>3</v>
      </c>
      <c r="CN150" s="2" t="n">
        <f aca="false">CL146</f>
        <v>3</v>
      </c>
      <c r="CO150" s="2" t="n">
        <f aca="false">CL144</f>
        <v>3</v>
      </c>
      <c r="CP150" s="2" t="n">
        <f aca="false">CL142</f>
        <v>3</v>
      </c>
      <c r="CQ150" s="2" t="n">
        <f aca="false">CL140</f>
        <v>4</v>
      </c>
      <c r="CR150" s="2" t="n">
        <f aca="false">CL138</f>
        <v>3</v>
      </c>
      <c r="CS150" s="2" t="n">
        <f aca="false">CL136</f>
        <v>3</v>
      </c>
      <c r="CT150" s="2" t="n">
        <f aca="false">CL134</f>
        <v>3</v>
      </c>
      <c r="CU150" s="2" t="n">
        <f aca="false">CL132</f>
        <v>4</v>
      </c>
      <c r="CV150" s="2" t="n">
        <f aca="false">CL130</f>
        <v>3</v>
      </c>
      <c r="CW150" s="2" t="n">
        <f aca="false">CL128</f>
        <v>3</v>
      </c>
      <c r="CX150" s="1" t="n">
        <v>-87.8567</v>
      </c>
      <c r="CY150" s="2" t="n">
        <f aca="false">CX148</f>
        <v>-52.7181</v>
      </c>
      <c r="CZ150" s="2" t="n">
        <f aca="false">CX146</f>
        <v>-73.4899</v>
      </c>
      <c r="DA150" s="2" t="n">
        <f aca="false">CX144</f>
        <v>-68.6796</v>
      </c>
      <c r="DB150" s="2" t="n">
        <f aca="false">CX142</f>
        <v>-32.8509</v>
      </c>
      <c r="DC150" s="2" t="n">
        <f aca="false">CX140</f>
        <v>-84.1245</v>
      </c>
      <c r="DD150" s="2" t="n">
        <f aca="false">CX138</f>
        <v>-80.7266</v>
      </c>
      <c r="DE150" s="2" t="n">
        <f aca="false">CX136</f>
        <v>-76.3349</v>
      </c>
      <c r="DF150" s="2" t="n">
        <f aca="false">CX134</f>
        <v>-70.112</v>
      </c>
      <c r="DG150" s="2" t="n">
        <f aca="false">CX132</f>
        <v>-84.5223</v>
      </c>
      <c r="DH150" s="2" t="n">
        <f aca="false">CX130</f>
        <v>-64.9391</v>
      </c>
      <c r="DI150" s="2" t="n">
        <f aca="false">CX128</f>
        <v>-67.2166</v>
      </c>
      <c r="DJ150" s="1" t="s">
        <v>172</v>
      </c>
      <c r="DK150" s="2" t="str">
        <f aca="false">DJ148</f>
        <v>HL</v>
      </c>
      <c r="DL150" s="2" t="str">
        <f aca="false">DJ146</f>
        <v>LL</v>
      </c>
      <c r="DM150" s="2" t="str">
        <f aca="false">DJ144</f>
        <v>LL</v>
      </c>
      <c r="DN150" s="2" t="str">
        <f aca="false">DJ142</f>
        <v>HL</v>
      </c>
      <c r="DO150" s="2" t="str">
        <f aca="false">DJ140</f>
        <v>HL</v>
      </c>
      <c r="DP150" s="2" t="str">
        <f aca="false">DJ138</f>
        <v>LL</v>
      </c>
      <c r="DQ150" s="2" t="str">
        <f aca="false">DJ136</f>
        <v>LL</v>
      </c>
      <c r="DR150" s="2" t="str">
        <f aca="false">DJ134</f>
        <v>LL</v>
      </c>
      <c r="DS150" s="2" t="str">
        <f aca="false">DJ132</f>
        <v>HL</v>
      </c>
      <c r="DT150" s="2" t="str">
        <f aca="false">DJ130</f>
        <v>HL</v>
      </c>
      <c r="DU150" s="2" t="str">
        <f aca="false">DJ128</f>
        <v>LL</v>
      </c>
      <c r="DV150" s="2" t="n">
        <f aca="false">IFERROR((G150-$F150)/$F150*100,"")</f>
        <v>0.246703228440108</v>
      </c>
      <c r="DW150" s="2" t="n">
        <f aca="false">IFERROR((H150-$F150)/$F150*100,"")</f>
        <v>-0.415313348596972</v>
      </c>
      <c r="DX150" s="2" t="n">
        <f aca="false">IFERROR((I150-$F150)/$F150*100,"")</f>
        <v>0.10249720462171</v>
      </c>
      <c r="DY150" s="2" t="n">
        <f aca="false">IFERROR((J150-$F150)/$F150*100,"")</f>
        <v>0.603224890403433</v>
      </c>
      <c r="DZ150" s="2" t="n">
        <f aca="false">IFERROR((K150-$F150)/$F150*100,"")</f>
        <v>-0.895630335622879</v>
      </c>
      <c r="EA150" s="2" t="n">
        <f aca="false">IFERROR((L150-$F150)/$F150*100,"")</f>
        <v>-1.19247288926752</v>
      </c>
      <c r="EB150" s="2" t="n">
        <f aca="false">IFERROR((M150-$F150)/$F150*100,"")</f>
        <v>-0.946435227091206</v>
      </c>
      <c r="EC150" s="2" t="n">
        <f aca="false">IFERROR((N150-$F150)/$F150*100,"")</f>
        <v>0.529568890545427</v>
      </c>
      <c r="ED150" s="2" t="n">
        <f aca="false">IFERROR((O150-$F150)/$F150*100,"")</f>
        <v>0.544876914612294</v>
      </c>
      <c r="EE150" s="2" t="n">
        <f aca="false">IFERROR((P150-$F150)/$F150*100,"")</f>
        <v>0.500727685781744</v>
      </c>
      <c r="EF150" s="2" t="n">
        <f aca="false">IFERROR((Q150-$F150)/$F150*100,"")</f>
        <v>-0.592797685604231</v>
      </c>
      <c r="EG150" s="2" t="str">
        <f aca="false">IF(DV150="","",IF(AND(ABS(DV150)&lt;=0.25,$E150="Bottom",DK150="LL"),"EQL",IF(AND(ABS(DV150)&lt;=0.25,$E150="Peak",DK150="HH"),"EQH","")))</f>
        <v/>
      </c>
      <c r="EH150" s="2" t="str">
        <f aca="false">IF(DW150="","",IF(AND(ABS(DW150)&lt;=0.25,$E150="Bottom",DL150="LL"),"EQL",IF(AND(ABS(DW150)&lt;=0.25,$E150="Peak",DL150="HH"),"EQH","")))</f>
        <v/>
      </c>
      <c r="EI150" s="2" t="str">
        <f aca="false">IF(DX150="","",IF(AND(ABS(DX150)&lt;=0.25,$E150="Bottom",DM150="LL"),"EQL",IF(AND(ABS(DX150)&lt;=0.25,$E150="Peak",DM150="HH"),"EQH","")))</f>
        <v>EQL</v>
      </c>
      <c r="EJ150" s="2" t="str">
        <f aca="false">IF(DY150="","",IF(AND(ABS(DY150)&lt;=0.25,$E150="Bottom",DN150="LL"),"EQL",IF(AND(ABS(DY150)&lt;=0.25,$E150="Peak",DN150="HH"),"EQH","")))</f>
        <v/>
      </c>
      <c r="EK150" s="2" t="str">
        <f aca="false">IF(DZ150="","",IF(AND(ABS(DZ150)&lt;=0.25,$E150="Bottom",DO150="LL"),"EQL",IF(AND(ABS(DZ150)&lt;=0.25,$E150="Peak",DO150="HH"),"EQH","")))</f>
        <v/>
      </c>
      <c r="EL150" s="2" t="str">
        <f aca="false">IF(EA150="","",IF(AND(ABS(EA150)&lt;=0.25,$E150="Bottom",DP150="LL"),"EQL",IF(AND(ABS(EA150)&lt;=0.25,$E150="Peak",DP150="HH"),"EQH","")))</f>
        <v/>
      </c>
      <c r="EM150" s="2" t="str">
        <f aca="false">IF(EB150="","",IF(AND(ABS(EB150)&lt;=0.25,$E150="Bottom",DQ150="LL"),"EQL",IF(AND(ABS(EB150)&lt;=0.25,$E150="Peak",DQ150="HH"),"EQH","")))</f>
        <v/>
      </c>
      <c r="EN150" s="2" t="str">
        <f aca="false">IF(EC150="","",IF(AND(ABS(EC150)&lt;=0.25,$E150="Bottom",DR150="LL"),"EQL",IF(AND(ABS(EC150)&lt;=0.25,$E150="Peak",DR150="HH"),"EQH","")))</f>
        <v/>
      </c>
      <c r="EO150" s="2" t="str">
        <f aca="false">IF(ED150="","",IF(AND(ABS(ED150)&lt;=0.25,$E150="Bottom",DS150="LL"),"EQL",IF(AND(ABS(ED150)&lt;=0.25,$E150="Peak",DS150="HH"),"EQH","")))</f>
        <v/>
      </c>
      <c r="EP150" s="2" t="str">
        <f aca="false">IF(EE150="","",IF(AND(ABS(EE150)&lt;=0.25,$E150="Bottom",DT150="LL"),"EQL",IF(AND(ABS(EE150)&lt;=0.25,$E150="Peak",DT150="HH"),"EQH","")))</f>
        <v/>
      </c>
      <c r="EQ150" s="2" t="str">
        <f aca="false">IF(EF150="","",IF(AND(ABS(EF150)&lt;=0.25,$E150="Bottom",DU150="LL"),"EQL",IF(AND(ABS(EF150)&lt;=0.25,$E150="Peak",DU150="HH"),"EQH","")))</f>
        <v/>
      </c>
      <c r="ER150" s="2" t="str">
        <f aca="false">IF(OR(EG150="EQL",EG150="EQH"),G150,"")</f>
        <v/>
      </c>
      <c r="ES150" s="2" t="str">
        <f aca="false">IF(OR(EH150="EQL",EH150="EQH"),H150,"")</f>
        <v/>
      </c>
      <c r="ET150" s="2" t="n">
        <f aca="false">IF(OR(EI150="EQL",EI150="EQH"),I150,"")</f>
        <v>4512.06</v>
      </c>
      <c r="EU150" s="2" t="str">
        <f aca="false">IF(OR(EJ150="EQL",EJ150="EQH"),J150,"")</f>
        <v/>
      </c>
      <c r="EV150" s="2" t="str">
        <f aca="false">IF(OR(EK150="EQL",EK150="EQH"),K150,"")</f>
        <v/>
      </c>
      <c r="EW150" s="2" t="str">
        <f aca="false">IF(OR(EL150="EQL",EL150="EQH"),L150,"")</f>
        <v/>
      </c>
      <c r="EX150" s="2" t="str">
        <f aca="false">IF(OR(EM150="EQL",EM150="EQH"),M150,"")</f>
        <v/>
      </c>
      <c r="EY150" s="2" t="str">
        <f aca="false">IF(OR(EN150="EQL",EN150="EQH"),N150,"")</f>
        <v/>
      </c>
      <c r="EZ150" s="2" t="str">
        <f aca="false">IF(OR(EO150="EQL",EO150="EQH"),O150,"")</f>
        <v/>
      </c>
      <c r="FA150" s="2" t="str">
        <f aca="false">IF(OR(EP150="EQL",EP150="EQH"),P150,"")</f>
        <v/>
      </c>
      <c r="FB150" s="2" t="str">
        <f aca="false">IF(OR(EQ150="EQL",EQ150="EQH"),Q150,"")</f>
        <v/>
      </c>
      <c r="FC150" s="2" t="str">
        <f aca="false">IF(AND(EG150="EQL",OR(AQ150=4,AQ150=5)),"IEQL",IF(AND(EG150="EQH",OR(AQ150=1,AQ150=2)),"IEQH",""))</f>
        <v/>
      </c>
      <c r="FD150" s="2" t="str">
        <f aca="false">IF(AND(EH150="EQL",OR(AR150=4,AR150=5)),"IEQL",IF(AND(EH150="EQH",OR(AR150=1,AR150=2)),"IEQH",""))</f>
        <v/>
      </c>
      <c r="FE150" s="2" t="str">
        <f aca="false">IF(AND(EI150="EQL",OR(AS150=4,AS150=5)),"IEQL",IF(AND(EI150="EQH",OR(AS150=1,AS150=2)),"IEQH",""))</f>
        <v/>
      </c>
      <c r="FF150" s="2" t="str">
        <f aca="false">IF(AND(EJ150="EQL",OR(AT150=4,AT150=5)),"IEQL",IF(AND(EJ150="EQH",OR(AT150=1,AT150=2)),"IEQH",""))</f>
        <v/>
      </c>
      <c r="FG150" s="2" t="str">
        <f aca="false">IF(AND(EK150="EQL",OR(AU150=4,AU150=5)),"IEQL",IF(AND(EK150="EQH",OR(AU150=1,AU150=2)),"IEQH",""))</f>
        <v/>
      </c>
      <c r="FH150" s="2" t="str">
        <f aca="false">IF(AND(EL150="EQL",OR(AV150=4,AV150=5)),"IEQL",IF(AND(EL150="EQH",OR(AV150=1,AV150=2)),"IEQH",""))</f>
        <v/>
      </c>
      <c r="FI150" s="2" t="str">
        <f aca="false">IF(AND(EM150="EQL",OR(AW150=4,AW150=5)),"IEQL",IF(AND(EM150="EQH",OR(AW150=1,AW150=2)),"IEQH",""))</f>
        <v/>
      </c>
      <c r="FJ150" s="2" t="str">
        <f aca="false">IF(AND(EN150="EQL",OR(AX150=4,AX150=5)),"IEQL",IF(AND(EN150="EQH",OR(AX150=1,AX150=2)),"IEQH",""))</f>
        <v/>
      </c>
      <c r="FK150" s="2" t="str">
        <f aca="false">IF(AND(EO150="EQL",OR(AY150=4,AY150=5)),"IEQL",IF(AND(EO150="EQH",OR(AY150=1,AY150=2)),"IEQH",""))</f>
        <v/>
      </c>
      <c r="FL150" s="2" t="str">
        <f aca="false">IF(AND(EP150="EQL",OR(AZ150=4,AZ150=5)),"IEQL",IF(AND(EP150="EQH",OR(AZ150=1,AZ150=2)),"IEQH",""))</f>
        <v/>
      </c>
      <c r="FM150" s="2" t="str">
        <f aca="false">IF(AND(EQ150="EQL",OR(BA150=4,BA150=5)),"IEQL",IF(AND(EQ150="EQH",OR(BA150=1,BA150=2)),"IEQH",""))</f>
        <v/>
      </c>
    </row>
    <row r="151" customFormat="false" ht="14.25" hidden="false" customHeight="false" outlineLevel="0" collapsed="false">
      <c r="A151" s="1" t="n">
        <v>1779444002</v>
      </c>
      <c r="B151" s="1" t="s">
        <v>169</v>
      </c>
      <c r="C151" s="1" t="s">
        <v>170</v>
      </c>
      <c r="D151" s="1" t="n">
        <v>4533.84</v>
      </c>
      <c r="E151" s="1" t="s">
        <v>173</v>
      </c>
      <c r="F151" s="1" t="n">
        <v>4536.83</v>
      </c>
      <c r="G151" s="2" t="n">
        <f aca="false">F149</f>
        <v>4534.16</v>
      </c>
      <c r="H151" s="2" t="n">
        <f aca="false">F147</f>
        <v>4559.28</v>
      </c>
      <c r="I151" s="2" t="n">
        <f aca="false">F145</f>
        <v>4542.7</v>
      </c>
      <c r="J151" s="2" t="n">
        <f aca="false">F143</f>
        <v>4570.99</v>
      </c>
      <c r="K151" s="2" t="n">
        <f aca="false">F141</f>
        <v>4552.71</v>
      </c>
      <c r="L151" s="2" t="n">
        <f aca="false">F139</f>
        <v>4505.94</v>
      </c>
      <c r="M151" s="2" t="n">
        <f aca="false">F137</f>
        <v>4508.81</v>
      </c>
      <c r="N151" s="2" t="n">
        <f aca="false">F135</f>
        <v>4559.38</v>
      </c>
      <c r="O151" s="2" t="n">
        <f aca="false">F133</f>
        <v>4589.36</v>
      </c>
      <c r="P151" s="2" t="n">
        <f aca="false">F131</f>
        <v>4584.14</v>
      </c>
      <c r="Q151" s="2" t="n">
        <f aca="false">F129</f>
        <v>4559.95</v>
      </c>
      <c r="R151" s="1" t="n">
        <v>29.39</v>
      </c>
      <c r="S151" s="2" t="n">
        <f aca="false">R149</f>
        <v>15.6</v>
      </c>
      <c r="T151" s="2" t="n">
        <f aca="false">R147</f>
        <v>70.56</v>
      </c>
      <c r="U151" s="2" t="n">
        <f aca="false">R145</f>
        <v>30.64</v>
      </c>
      <c r="V151" s="2" t="n">
        <f aca="false">R143</f>
        <v>36.36</v>
      </c>
      <c r="W151" s="2" t="n">
        <f aca="false">R141</f>
        <v>85.64</v>
      </c>
      <c r="X151" s="2" t="n">
        <f aca="false">R139</f>
        <v>52.25</v>
      </c>
      <c r="Y151" s="2" t="n">
        <f aca="false">R137</f>
        <v>44.03</v>
      </c>
      <c r="Z151" s="2" t="n">
        <f aca="false">R135</f>
        <v>28.07</v>
      </c>
      <c r="AA151" s="2" t="n">
        <f aca="false">R133</f>
        <v>57.36</v>
      </c>
      <c r="AB151" s="2" t="n">
        <f aca="false">R131</f>
        <v>54.13</v>
      </c>
      <c r="AC151" s="2" t="n">
        <f aca="false">R129</f>
        <v>79.23</v>
      </c>
      <c r="AD151" s="1" t="n">
        <v>0.65</v>
      </c>
      <c r="AE151" s="2" t="n">
        <f aca="false">AD149</f>
        <v>0.35</v>
      </c>
      <c r="AF151" s="2" t="n">
        <f aca="false">AD147</f>
        <v>1.57</v>
      </c>
      <c r="AG151" s="2" t="n">
        <f aca="false">AD145</f>
        <v>0.68</v>
      </c>
      <c r="AH151" s="2" t="n">
        <f aca="false">AD143</f>
        <v>0.8</v>
      </c>
      <c r="AI151" s="2" t="n">
        <f aca="false">AD141</f>
        <v>1.92</v>
      </c>
      <c r="AJ151" s="2" t="n">
        <f aca="false">AD139</f>
        <v>1.17</v>
      </c>
      <c r="AK151" s="2" t="n">
        <f aca="false">AD137</f>
        <v>0.99</v>
      </c>
      <c r="AL151" s="2" t="n">
        <f aca="false">AD135</f>
        <v>0.62</v>
      </c>
      <c r="AM151" s="2" t="n">
        <f aca="false">AD133</f>
        <v>1.27</v>
      </c>
      <c r="AN151" s="2" t="n">
        <f aca="false">AD131</f>
        <v>1.19</v>
      </c>
      <c r="AO151" s="2" t="n">
        <f aca="false">AD129</f>
        <v>1.77</v>
      </c>
      <c r="AP151" s="1" t="n">
        <v>0</v>
      </c>
      <c r="AQ151" s="2" t="n">
        <f aca="false">AP149</f>
        <v>0</v>
      </c>
      <c r="AR151" s="2" t="n">
        <f aca="false">AP147</f>
        <v>0</v>
      </c>
      <c r="AS151" s="2" t="n">
        <f aca="false">AP145</f>
        <v>0</v>
      </c>
      <c r="AT151" s="2" t="n">
        <f aca="false">AP143</f>
        <v>0</v>
      </c>
      <c r="AU151" s="2" t="n">
        <f aca="false">AP141</f>
        <v>1</v>
      </c>
      <c r="AV151" s="2" t="n">
        <f aca="false">AP139</f>
        <v>0</v>
      </c>
      <c r="AW151" s="2" t="n">
        <f aca="false">AP137</f>
        <v>0</v>
      </c>
      <c r="AX151" s="2" t="n">
        <f aca="false">AP135</f>
        <v>0</v>
      </c>
      <c r="AY151" s="2" t="n">
        <f aca="false">AP133</f>
        <v>0</v>
      </c>
      <c r="AZ151" s="2" t="n">
        <f aca="false">AP131</f>
        <v>0</v>
      </c>
      <c r="BA151" s="2" t="n">
        <f aca="false">AP129</f>
        <v>0</v>
      </c>
      <c r="BB151" s="1" t="n">
        <v>17</v>
      </c>
      <c r="BC151" s="2" t="n">
        <f aca="false">BB149</f>
        <v>12</v>
      </c>
      <c r="BD151" s="2" t="n">
        <f aca="false">BB147</f>
        <v>17</v>
      </c>
      <c r="BE151" s="2" t="n">
        <f aca="false">BB145</f>
        <v>9</v>
      </c>
      <c r="BF151" s="2" t="n">
        <f aca="false">BB143</f>
        <v>9</v>
      </c>
      <c r="BG151" s="2" t="n">
        <f aca="false">BB141</f>
        <v>5</v>
      </c>
      <c r="BH151" s="2" t="n">
        <f aca="false">BB139</f>
        <v>40</v>
      </c>
      <c r="BI151" s="2" t="n">
        <f aca="false">BB137</f>
        <v>41</v>
      </c>
      <c r="BJ151" s="2" t="n">
        <f aca="false">BB135</f>
        <v>10</v>
      </c>
      <c r="BK151" s="2" t="n">
        <f aca="false">BB133</f>
        <v>32</v>
      </c>
      <c r="BL151" s="2" t="n">
        <f aca="false">BB131</f>
        <v>11</v>
      </c>
      <c r="BM151" s="2" t="n">
        <f aca="false">BB129</f>
        <v>27</v>
      </c>
      <c r="BN151" s="1" t="n">
        <v>0</v>
      </c>
      <c r="BO151" s="2" t="n">
        <f aca="false">BN149</f>
        <v>0</v>
      </c>
      <c r="BP151" s="2" t="n">
        <f aca="false">BN147</f>
        <v>0</v>
      </c>
      <c r="BQ151" s="2" t="n">
        <f aca="false">BN145</f>
        <v>0</v>
      </c>
      <c r="BR151" s="2" t="n">
        <f aca="false">BN143</f>
        <v>0</v>
      </c>
      <c r="BS151" s="2" t="n">
        <f aca="false">BN141</f>
        <v>0</v>
      </c>
      <c r="BT151" s="2" t="n">
        <f aca="false">BN139</f>
        <v>2</v>
      </c>
      <c r="BU151" s="2" t="n">
        <f aca="false">BN137</f>
        <v>2</v>
      </c>
      <c r="BV151" s="2" t="n">
        <f aca="false">BN135</f>
        <v>0</v>
      </c>
      <c r="BW151" s="2" t="n">
        <f aca="false">BN133</f>
        <v>1</v>
      </c>
      <c r="BX151" s="2" t="n">
        <f aca="false">BN131</f>
        <v>0</v>
      </c>
      <c r="BY151" s="2" t="n">
        <f aca="false">BN129</f>
        <v>0</v>
      </c>
      <c r="BZ151" s="1" t="n">
        <v>1.72882</v>
      </c>
      <c r="CA151" s="2" t="n">
        <f aca="false">BZ149</f>
        <v>1.3</v>
      </c>
      <c r="CB151" s="2" t="n">
        <f aca="false">BZ147</f>
        <v>4.15059</v>
      </c>
      <c r="CC151" s="2" t="n">
        <f aca="false">BZ145</f>
        <v>3.40444</v>
      </c>
      <c r="CD151" s="2" t="n">
        <f aca="false">BZ143</f>
        <v>4.04</v>
      </c>
      <c r="CE151" s="2" t="n">
        <f aca="false">BZ141</f>
        <v>17.128</v>
      </c>
      <c r="CF151" s="2" t="n">
        <f aca="false">BZ139</f>
        <v>1.30625</v>
      </c>
      <c r="CG151" s="2" t="n">
        <f aca="false">BZ137</f>
        <v>1.0739</v>
      </c>
      <c r="CH151" s="2" t="n">
        <f aca="false">BZ135</f>
        <v>2.807</v>
      </c>
      <c r="CI151" s="2" t="n">
        <f aca="false">BZ133</f>
        <v>1.7925</v>
      </c>
      <c r="CJ151" s="2" t="n">
        <f aca="false">BZ131</f>
        <v>4.92091</v>
      </c>
      <c r="CK151" s="2" t="n">
        <f aca="false">BZ129</f>
        <v>2.93444</v>
      </c>
      <c r="CL151" s="1" t="n">
        <v>0</v>
      </c>
      <c r="CM151" s="2" t="n">
        <f aca="false">CL149</f>
        <v>0</v>
      </c>
      <c r="CN151" s="2" t="n">
        <f aca="false">CL147</f>
        <v>0</v>
      </c>
      <c r="CO151" s="2" t="n">
        <f aca="false">CL145</f>
        <v>0</v>
      </c>
      <c r="CP151" s="2" t="n">
        <f aca="false">CL143</f>
        <v>0</v>
      </c>
      <c r="CQ151" s="2" t="n">
        <f aca="false">CL141</f>
        <v>2</v>
      </c>
      <c r="CR151" s="2" t="n">
        <f aca="false">CL139</f>
        <v>0</v>
      </c>
      <c r="CS151" s="2" t="n">
        <f aca="false">CL137</f>
        <v>0</v>
      </c>
      <c r="CT151" s="2" t="n">
        <f aca="false">CL135</f>
        <v>0</v>
      </c>
      <c r="CU151" s="2" t="n">
        <f aca="false">CL133</f>
        <v>0</v>
      </c>
      <c r="CV151" s="2" t="n">
        <f aca="false">CL131</f>
        <v>0</v>
      </c>
      <c r="CW151" s="2" t="n">
        <f aca="false">CL129</f>
        <v>0</v>
      </c>
      <c r="CX151" s="1" t="n">
        <v>59.9537</v>
      </c>
      <c r="CY151" s="2" t="n">
        <f aca="false">CX149</f>
        <v>52.4314</v>
      </c>
      <c r="CZ151" s="2" t="n">
        <f aca="false">CX147</f>
        <v>76.4539</v>
      </c>
      <c r="DA151" s="2" t="n">
        <f aca="false">CX145</f>
        <v>73.6307</v>
      </c>
      <c r="DB151" s="2" t="n">
        <f aca="false">CX143</f>
        <v>76.0973</v>
      </c>
      <c r="DC151" s="2" t="n">
        <f aca="false">CX141</f>
        <v>86.6586</v>
      </c>
      <c r="DD151" s="2" t="n">
        <f aca="false">CX139</f>
        <v>52.5641</v>
      </c>
      <c r="DE151" s="2" t="n">
        <f aca="false">CX137</f>
        <v>47.0408</v>
      </c>
      <c r="DF151" s="2" t="n">
        <f aca="false">CX135</f>
        <v>70.3914</v>
      </c>
      <c r="DG151" s="2" t="n">
        <f aca="false">CX133</f>
        <v>60.8437</v>
      </c>
      <c r="DH151" s="2" t="n">
        <f aca="false">CX131</f>
        <v>78.5131</v>
      </c>
      <c r="DI151" s="2" t="n">
        <f aca="false">CX129</f>
        <v>71.1819</v>
      </c>
      <c r="DJ151" s="1" t="s">
        <v>176</v>
      </c>
      <c r="DK151" s="2" t="str">
        <f aca="false">DJ149</f>
        <v>LH</v>
      </c>
      <c r="DL151" s="2" t="str">
        <f aca="false">DJ147</f>
        <v>HH</v>
      </c>
      <c r="DM151" s="2" t="str">
        <f aca="false">DJ145</f>
        <v>LH</v>
      </c>
      <c r="DN151" s="2" t="str">
        <f aca="false">DJ143</f>
        <v>HH</v>
      </c>
      <c r="DO151" s="2" t="str">
        <f aca="false">DJ141</f>
        <v>HH</v>
      </c>
      <c r="DP151" s="2" t="str">
        <f aca="false">DJ139</f>
        <v>LH</v>
      </c>
      <c r="DQ151" s="2" t="str">
        <f aca="false">DJ137</f>
        <v>LH</v>
      </c>
      <c r="DR151" s="2" t="str">
        <f aca="false">DJ135</f>
        <v>LH</v>
      </c>
      <c r="DS151" s="2" t="str">
        <f aca="false">DJ133</f>
        <v>HH</v>
      </c>
      <c r="DT151" s="2" t="str">
        <f aca="false">DJ131</f>
        <v>HH</v>
      </c>
      <c r="DU151" s="2" t="str">
        <f aca="false">DJ129</f>
        <v>LH</v>
      </c>
      <c r="DV151" s="2" t="n">
        <f aca="false">IFERROR((G151-$F151)/$F151*100,"")</f>
        <v>-0.0588516651494562</v>
      </c>
      <c r="DW151" s="2" t="n">
        <f aca="false">IFERROR((H151-$F151)/$F151*100,"")</f>
        <v>0.494838907342788</v>
      </c>
      <c r="DX151" s="2" t="n">
        <f aca="false">IFERROR((I151-$F151)/$F151*100,"")</f>
        <v>0.129385496040184</v>
      </c>
      <c r="DY151" s="2" t="n">
        <f aca="false">IFERROR((J151-$F151)/$F151*100,"")</f>
        <v>0.752948644758562</v>
      </c>
      <c r="DZ151" s="2" t="n">
        <f aca="false">IFERROR((K151-$F151)/$F151*100,"")</f>
        <v>0.35002413579526</v>
      </c>
      <c r="EA151" s="2" t="n">
        <f aca="false">IFERROR((L151-$F151)/$F151*100,"")</f>
        <v>-0.680871886317105</v>
      </c>
      <c r="EB151" s="2" t="n">
        <f aca="false">IFERROR((M151-$F151)/$F151*100,"")</f>
        <v>-0.617611856736962</v>
      </c>
      <c r="EC151" s="2" t="n">
        <f aca="false">IFERROR((N151-$F151)/$F151*100,"")</f>
        <v>0.497043089558132</v>
      </c>
      <c r="ED151" s="2" t="n">
        <f aca="false">IFERROR((O151-$F151)/$F151*100,"")</f>
        <v>1.15785691771567</v>
      </c>
      <c r="EE151" s="2" t="n">
        <f aca="false">IFERROR((P151-$F151)/$F151*100,"")</f>
        <v>1.04279860607518</v>
      </c>
      <c r="EF151" s="2" t="n">
        <f aca="false">IFERROR((Q151-$F151)/$F151*100,"")</f>
        <v>0.509606928185537</v>
      </c>
      <c r="EG151" s="2" t="str">
        <f aca="false">IF(DV151="","",IF(AND(ABS(DV151)&lt;=0.25,$E151="Bottom",DK151="LL"),"EQL",IF(AND(ABS(DV151)&lt;=0.25,$E151="Peak",DK151="HH"),"EQH","")))</f>
        <v/>
      </c>
      <c r="EH151" s="2" t="str">
        <f aca="false">IF(DW151="","",IF(AND(ABS(DW151)&lt;=0.25,$E151="Bottom",DL151="LL"),"EQL",IF(AND(ABS(DW151)&lt;=0.25,$E151="Peak",DL151="HH"),"EQH","")))</f>
        <v/>
      </c>
      <c r="EI151" s="2" t="str">
        <f aca="false">IF(DX151="","",IF(AND(ABS(DX151)&lt;=0.25,$E151="Bottom",DM151="LL"),"EQL",IF(AND(ABS(DX151)&lt;=0.25,$E151="Peak",DM151="HH"),"EQH","")))</f>
        <v/>
      </c>
      <c r="EJ151" s="2" t="str">
        <f aca="false">IF(DY151="","",IF(AND(ABS(DY151)&lt;=0.25,$E151="Bottom",DN151="LL"),"EQL",IF(AND(ABS(DY151)&lt;=0.25,$E151="Peak",DN151="HH"),"EQH","")))</f>
        <v/>
      </c>
      <c r="EK151" s="2" t="str">
        <f aca="false">IF(DZ151="","",IF(AND(ABS(DZ151)&lt;=0.25,$E151="Bottom",DO151="LL"),"EQL",IF(AND(ABS(DZ151)&lt;=0.25,$E151="Peak",DO151="HH"),"EQH","")))</f>
        <v/>
      </c>
      <c r="EL151" s="2" t="str">
        <f aca="false">IF(EA151="","",IF(AND(ABS(EA151)&lt;=0.25,$E151="Bottom",DP151="LL"),"EQL",IF(AND(ABS(EA151)&lt;=0.25,$E151="Peak",DP151="HH"),"EQH","")))</f>
        <v/>
      </c>
      <c r="EM151" s="2" t="str">
        <f aca="false">IF(EB151="","",IF(AND(ABS(EB151)&lt;=0.25,$E151="Bottom",DQ151="LL"),"EQL",IF(AND(ABS(EB151)&lt;=0.25,$E151="Peak",DQ151="HH"),"EQH","")))</f>
        <v/>
      </c>
      <c r="EN151" s="2" t="str">
        <f aca="false">IF(EC151="","",IF(AND(ABS(EC151)&lt;=0.25,$E151="Bottom",DR151="LL"),"EQL",IF(AND(ABS(EC151)&lt;=0.25,$E151="Peak",DR151="HH"),"EQH","")))</f>
        <v/>
      </c>
      <c r="EO151" s="2" t="str">
        <f aca="false">IF(ED151="","",IF(AND(ABS(ED151)&lt;=0.25,$E151="Bottom",DS151="LL"),"EQL",IF(AND(ABS(ED151)&lt;=0.25,$E151="Peak",DS151="HH"),"EQH","")))</f>
        <v/>
      </c>
      <c r="EP151" s="2" t="str">
        <f aca="false">IF(EE151="","",IF(AND(ABS(EE151)&lt;=0.25,$E151="Bottom",DT151="LL"),"EQL",IF(AND(ABS(EE151)&lt;=0.25,$E151="Peak",DT151="HH"),"EQH","")))</f>
        <v/>
      </c>
      <c r="EQ151" s="2" t="str">
        <f aca="false">IF(EF151="","",IF(AND(ABS(EF151)&lt;=0.25,$E151="Bottom",DU151="LL"),"EQL",IF(AND(ABS(EF151)&lt;=0.25,$E151="Peak",DU151="HH"),"EQH","")))</f>
        <v/>
      </c>
      <c r="ER151" s="2" t="str">
        <f aca="false">IF(OR(EG151="EQL",EG151="EQH"),G151,"")</f>
        <v/>
      </c>
      <c r="ES151" s="2" t="str">
        <f aca="false">IF(OR(EH151="EQL",EH151="EQH"),H151,"")</f>
        <v/>
      </c>
      <c r="ET151" s="2" t="str">
        <f aca="false">IF(OR(EI151="EQL",EI151="EQH"),I151,"")</f>
        <v/>
      </c>
      <c r="EU151" s="2" t="str">
        <f aca="false">IF(OR(EJ151="EQL",EJ151="EQH"),J151,"")</f>
        <v/>
      </c>
      <c r="EV151" s="2" t="str">
        <f aca="false">IF(OR(EK151="EQL",EK151="EQH"),K151,"")</f>
        <v/>
      </c>
      <c r="EW151" s="2" t="str">
        <f aca="false">IF(OR(EL151="EQL",EL151="EQH"),L151,"")</f>
        <v/>
      </c>
      <c r="EX151" s="2" t="str">
        <f aca="false">IF(OR(EM151="EQL",EM151="EQH"),M151,"")</f>
        <v/>
      </c>
      <c r="EY151" s="2" t="str">
        <f aca="false">IF(OR(EN151="EQL",EN151="EQH"),N151,"")</f>
        <v/>
      </c>
      <c r="EZ151" s="2" t="str">
        <f aca="false">IF(OR(EO151="EQL",EO151="EQH"),O151,"")</f>
        <v/>
      </c>
      <c r="FA151" s="2" t="str">
        <f aca="false">IF(OR(EP151="EQL",EP151="EQH"),P151,"")</f>
        <v/>
      </c>
      <c r="FB151" s="2" t="str">
        <f aca="false">IF(OR(EQ151="EQL",EQ151="EQH"),Q151,"")</f>
        <v/>
      </c>
      <c r="FC151" s="2" t="str">
        <f aca="false">IF(AND(EG151="EQL",OR(AQ151=4,AQ151=5)),"IEQL",IF(AND(EG151="EQH",OR(AQ151=1,AQ151=2)),"IEQH",""))</f>
        <v/>
      </c>
      <c r="FD151" s="2" t="str">
        <f aca="false">IF(AND(EH151="EQL",OR(AR151=4,AR151=5)),"IEQL",IF(AND(EH151="EQH",OR(AR151=1,AR151=2)),"IEQH",""))</f>
        <v/>
      </c>
      <c r="FE151" s="2" t="str">
        <f aca="false">IF(AND(EI151="EQL",OR(AS151=4,AS151=5)),"IEQL",IF(AND(EI151="EQH",OR(AS151=1,AS151=2)),"IEQH",""))</f>
        <v/>
      </c>
      <c r="FF151" s="2" t="str">
        <f aca="false">IF(AND(EJ151="EQL",OR(AT151=4,AT151=5)),"IEQL",IF(AND(EJ151="EQH",OR(AT151=1,AT151=2)),"IEQH",""))</f>
        <v/>
      </c>
      <c r="FG151" s="2" t="str">
        <f aca="false">IF(AND(EK151="EQL",OR(AU151=4,AU151=5)),"IEQL",IF(AND(EK151="EQH",OR(AU151=1,AU151=2)),"IEQH",""))</f>
        <v/>
      </c>
      <c r="FH151" s="2" t="str">
        <f aca="false">IF(AND(EL151="EQL",OR(AV151=4,AV151=5)),"IEQL",IF(AND(EL151="EQH",OR(AV151=1,AV151=2)),"IEQH",""))</f>
        <v/>
      </c>
      <c r="FI151" s="2" t="str">
        <f aca="false">IF(AND(EM151="EQL",OR(AW151=4,AW151=5)),"IEQL",IF(AND(EM151="EQH",OR(AW151=1,AW151=2)),"IEQH",""))</f>
        <v/>
      </c>
      <c r="FJ151" s="2" t="str">
        <f aca="false">IF(AND(EN151="EQL",OR(AX151=4,AX151=5)),"IEQL",IF(AND(EN151="EQH",OR(AX151=1,AX151=2)),"IEQH",""))</f>
        <v/>
      </c>
      <c r="FK151" s="2" t="str">
        <f aca="false">IF(AND(EO151="EQL",OR(AY151=4,AY151=5)),"IEQL",IF(AND(EO151="EQH",OR(AY151=1,AY151=2)),"IEQH",""))</f>
        <v/>
      </c>
      <c r="FL151" s="2" t="str">
        <f aca="false">IF(AND(EP151="EQL",OR(AZ151=4,AZ151=5)),"IEQL",IF(AND(EP151="EQH",OR(AZ151=1,AZ151=2)),"IEQH",""))</f>
        <v/>
      </c>
      <c r="FM151" s="2" t="str">
        <f aca="false">IF(AND(EQ151="EQL",OR(BA151=4,BA151=5)),"IEQL",IF(AND(EQ151="EQH",OR(BA151=1,BA151=2)),"IEQH",""))</f>
        <v/>
      </c>
    </row>
    <row r="152" customFormat="false" ht="14.25" hidden="false" customHeight="false" outlineLevel="0" collapsed="false">
      <c r="A152" s="1" t="n">
        <v>1779459302</v>
      </c>
      <c r="B152" s="1" t="s">
        <v>169</v>
      </c>
      <c r="C152" s="1" t="s">
        <v>170</v>
      </c>
      <c r="D152" s="1" t="n">
        <v>4499.05</v>
      </c>
      <c r="E152" s="1" t="s">
        <v>171</v>
      </c>
      <c r="F152" s="1" t="n">
        <v>4491.93</v>
      </c>
      <c r="G152" s="2" t="n">
        <f aca="false">F150</f>
        <v>4507.44</v>
      </c>
      <c r="H152" s="2" t="n">
        <f aca="false">F148</f>
        <v>4518.56</v>
      </c>
      <c r="I152" s="2" t="n">
        <f aca="false">F146</f>
        <v>4488.72</v>
      </c>
      <c r="J152" s="2" t="n">
        <f aca="false">F144</f>
        <v>4512.06</v>
      </c>
      <c r="K152" s="2" t="n">
        <f aca="false">F142</f>
        <v>4534.63</v>
      </c>
      <c r="L152" s="2" t="n">
        <f aca="false">F140</f>
        <v>4467.07</v>
      </c>
      <c r="M152" s="2" t="n">
        <f aca="false">F138</f>
        <v>4453.69</v>
      </c>
      <c r="N152" s="2" t="n">
        <f aca="false">F136</f>
        <v>4464.78</v>
      </c>
      <c r="O152" s="2" t="n">
        <f aca="false">F134</f>
        <v>4531.31</v>
      </c>
      <c r="P152" s="2" t="n">
        <f aca="false">F132</f>
        <v>4532</v>
      </c>
      <c r="Q152" s="2" t="n">
        <f aca="false">F130</f>
        <v>4530.01</v>
      </c>
      <c r="R152" s="1" t="n">
        <v>-44.9</v>
      </c>
      <c r="S152" s="2" t="n">
        <f aca="false">R150</f>
        <v>-26.72</v>
      </c>
      <c r="T152" s="2" t="n">
        <f aca="false">R148</f>
        <v>-40.72</v>
      </c>
      <c r="U152" s="2" t="n">
        <f aca="false">R146</f>
        <v>-53.98</v>
      </c>
      <c r="V152" s="2" t="n">
        <f aca="false">R144</f>
        <v>-58.93</v>
      </c>
      <c r="W152" s="2" t="n">
        <f aca="false">R142</f>
        <v>-18.08</v>
      </c>
      <c r="X152" s="2" t="n">
        <f aca="false">R140</f>
        <v>-38.87</v>
      </c>
      <c r="Y152" s="2" t="n">
        <f aca="false">R138</f>
        <v>-55.12</v>
      </c>
      <c r="Z152" s="2" t="n">
        <f aca="false">R136</f>
        <v>-94.6</v>
      </c>
      <c r="AA152" s="2" t="n">
        <f aca="false">R134</f>
        <v>-58.05</v>
      </c>
      <c r="AB152" s="2" t="n">
        <f aca="false">R132</f>
        <v>-52.14</v>
      </c>
      <c r="AC152" s="2" t="n">
        <f aca="false">R130</f>
        <v>-29.94</v>
      </c>
      <c r="AD152" s="1" t="n">
        <v>-0.99</v>
      </c>
      <c r="AE152" s="2" t="n">
        <f aca="false">AD150</f>
        <v>-0.59</v>
      </c>
      <c r="AF152" s="2" t="n">
        <f aca="false">AD148</f>
        <v>-0.89</v>
      </c>
      <c r="AG152" s="2" t="n">
        <f aca="false">AD146</f>
        <v>-1.19</v>
      </c>
      <c r="AH152" s="2" t="n">
        <f aca="false">AD144</f>
        <v>-1.29</v>
      </c>
      <c r="AI152" s="2" t="n">
        <f aca="false">AD142</f>
        <v>-0.4</v>
      </c>
      <c r="AJ152" s="2" t="n">
        <f aca="false">AD140</f>
        <v>-0.86</v>
      </c>
      <c r="AK152" s="2" t="n">
        <f aca="false">AD138</f>
        <v>-1.22</v>
      </c>
      <c r="AL152" s="2" t="n">
        <f aca="false">AD136</f>
        <v>-2.07</v>
      </c>
      <c r="AM152" s="2" t="n">
        <f aca="false">AD134</f>
        <v>-1.26</v>
      </c>
      <c r="AN152" s="2" t="n">
        <f aca="false">AD132</f>
        <v>-1.14</v>
      </c>
      <c r="AO152" s="2" t="n">
        <f aca="false">AD130</f>
        <v>-0.66</v>
      </c>
      <c r="AP152" s="1" t="n">
        <v>3</v>
      </c>
      <c r="AQ152" s="2" t="n">
        <f aca="false">AP150</f>
        <v>3</v>
      </c>
      <c r="AR152" s="2" t="n">
        <f aca="false">AP148</f>
        <v>3</v>
      </c>
      <c r="AS152" s="2" t="n">
        <f aca="false">AP146</f>
        <v>3</v>
      </c>
      <c r="AT152" s="2" t="n">
        <f aca="false">AP144</f>
        <v>3</v>
      </c>
      <c r="AU152" s="2" t="n">
        <f aca="false">AP142</f>
        <v>3</v>
      </c>
      <c r="AV152" s="2" t="n">
        <f aca="false">AP140</f>
        <v>3</v>
      </c>
      <c r="AW152" s="2" t="n">
        <f aca="false">AP138</f>
        <v>3</v>
      </c>
      <c r="AX152" s="2" t="n">
        <f aca="false">AP136</f>
        <v>4</v>
      </c>
      <c r="AY152" s="2" t="n">
        <f aca="false">AP134</f>
        <v>3</v>
      </c>
      <c r="AZ152" s="2" t="n">
        <f aca="false">AP132</f>
        <v>3</v>
      </c>
      <c r="BA152" s="2" t="n">
        <f aca="false">AP130</f>
        <v>3</v>
      </c>
      <c r="BB152" s="1" t="n">
        <v>17</v>
      </c>
      <c r="BC152" s="2" t="n">
        <f aca="false">BB150</f>
        <v>1</v>
      </c>
      <c r="BD152" s="2" t="n">
        <f aca="false">BB148</f>
        <v>31</v>
      </c>
      <c r="BE152" s="2" t="n">
        <f aca="false">BB146</f>
        <v>16</v>
      </c>
      <c r="BF152" s="2" t="n">
        <f aca="false">BB144</f>
        <v>23</v>
      </c>
      <c r="BG152" s="2" t="n">
        <f aca="false">BB142</f>
        <v>28</v>
      </c>
      <c r="BH152" s="2" t="n">
        <f aca="false">BB140</f>
        <v>4</v>
      </c>
      <c r="BI152" s="2" t="n">
        <f aca="false">BB138</f>
        <v>9</v>
      </c>
      <c r="BJ152" s="2" t="n">
        <f aca="false">BB136</f>
        <v>23</v>
      </c>
      <c r="BK152" s="2" t="n">
        <f aca="false">BB134</f>
        <v>21</v>
      </c>
      <c r="BL152" s="2" t="n">
        <f aca="false">BB132</f>
        <v>5</v>
      </c>
      <c r="BM152" s="2" t="n">
        <f aca="false">BB130</f>
        <v>14</v>
      </c>
      <c r="BN152" s="1" t="n">
        <v>3</v>
      </c>
      <c r="BO152" s="2" t="n">
        <f aca="false">BN150</f>
        <v>3</v>
      </c>
      <c r="BP152" s="2" t="n">
        <f aca="false">BN148</f>
        <v>3</v>
      </c>
      <c r="BQ152" s="2" t="n">
        <f aca="false">BN146</f>
        <v>3</v>
      </c>
      <c r="BR152" s="2" t="n">
        <f aca="false">BN144</f>
        <v>3</v>
      </c>
      <c r="BS152" s="2" t="n">
        <f aca="false">BN142</f>
        <v>3</v>
      </c>
      <c r="BT152" s="2" t="n">
        <f aca="false">BN140</f>
        <v>3</v>
      </c>
      <c r="BU152" s="2" t="n">
        <f aca="false">BN138</f>
        <v>3</v>
      </c>
      <c r="BV152" s="2" t="n">
        <f aca="false">BN136</f>
        <v>3</v>
      </c>
      <c r="BW152" s="2" t="n">
        <f aca="false">BN134</f>
        <v>3</v>
      </c>
      <c r="BX152" s="2" t="n">
        <f aca="false">BN132</f>
        <v>3</v>
      </c>
      <c r="BY152" s="2" t="n">
        <f aca="false">BN130</f>
        <v>3</v>
      </c>
      <c r="BZ152" s="1" t="n">
        <v>-2.64118</v>
      </c>
      <c r="CA152" s="2" t="n">
        <f aca="false">BZ150</f>
        <v>-26.72</v>
      </c>
      <c r="CB152" s="2" t="n">
        <f aca="false">BZ148</f>
        <v>-1.31355</v>
      </c>
      <c r="CC152" s="2" t="n">
        <f aca="false">BZ146</f>
        <v>-3.37375</v>
      </c>
      <c r="CD152" s="2" t="n">
        <f aca="false">BZ144</f>
        <v>-2.56217</v>
      </c>
      <c r="CE152" s="2" t="n">
        <f aca="false">BZ142</f>
        <v>-0.64571</v>
      </c>
      <c r="CF152" s="2" t="n">
        <f aca="false">BZ140</f>
        <v>-9.7175</v>
      </c>
      <c r="CG152" s="2" t="n">
        <f aca="false">BZ138</f>
        <v>-6.12444</v>
      </c>
      <c r="CH152" s="2" t="n">
        <f aca="false">BZ136</f>
        <v>-4.11304</v>
      </c>
      <c r="CI152" s="2" t="n">
        <f aca="false">BZ134</f>
        <v>-2.76429</v>
      </c>
      <c r="CJ152" s="2" t="n">
        <f aca="false">BZ132</f>
        <v>-10.428</v>
      </c>
      <c r="CK152" s="2" t="n">
        <f aca="false">BZ130</f>
        <v>-2.13857</v>
      </c>
      <c r="CL152" s="1" t="n">
        <v>3</v>
      </c>
      <c r="CM152" s="2" t="n">
        <f aca="false">CL150</f>
        <v>5</v>
      </c>
      <c r="CN152" s="2" t="n">
        <f aca="false">CL148</f>
        <v>3</v>
      </c>
      <c r="CO152" s="2" t="n">
        <f aca="false">CL146</f>
        <v>3</v>
      </c>
      <c r="CP152" s="2" t="n">
        <f aca="false">CL144</f>
        <v>3</v>
      </c>
      <c r="CQ152" s="2" t="n">
        <f aca="false">CL142</f>
        <v>3</v>
      </c>
      <c r="CR152" s="2" t="n">
        <f aca="false">CL140</f>
        <v>4</v>
      </c>
      <c r="CS152" s="2" t="n">
        <f aca="false">CL138</f>
        <v>3</v>
      </c>
      <c r="CT152" s="2" t="n">
        <f aca="false">CL136</f>
        <v>3</v>
      </c>
      <c r="CU152" s="2" t="n">
        <f aca="false">CL134</f>
        <v>3</v>
      </c>
      <c r="CV152" s="2" t="n">
        <f aca="false">CL132</f>
        <v>4</v>
      </c>
      <c r="CW152" s="2" t="n">
        <f aca="false">CL130</f>
        <v>3</v>
      </c>
      <c r="CX152" s="1" t="n">
        <v>-69.2624</v>
      </c>
      <c r="CY152" s="2" t="n">
        <f aca="false">CX150</f>
        <v>-87.8567</v>
      </c>
      <c r="CZ152" s="2" t="n">
        <f aca="false">CX148</f>
        <v>-52.7181</v>
      </c>
      <c r="DA152" s="2" t="n">
        <f aca="false">CX146</f>
        <v>-73.4899</v>
      </c>
      <c r="DB152" s="2" t="n">
        <f aca="false">CX144</f>
        <v>-68.6796</v>
      </c>
      <c r="DC152" s="2" t="n">
        <f aca="false">CX142</f>
        <v>-32.8509</v>
      </c>
      <c r="DD152" s="2" t="n">
        <f aca="false">CX140</f>
        <v>-84.1245</v>
      </c>
      <c r="DE152" s="2" t="n">
        <f aca="false">CX138</f>
        <v>-80.7266</v>
      </c>
      <c r="DF152" s="2" t="n">
        <f aca="false">CX136</f>
        <v>-76.3349</v>
      </c>
      <c r="DG152" s="2" t="n">
        <f aca="false">CX134</f>
        <v>-70.112</v>
      </c>
      <c r="DH152" s="2" t="n">
        <f aca="false">CX132</f>
        <v>-84.5223</v>
      </c>
      <c r="DI152" s="2" t="n">
        <f aca="false">CX130</f>
        <v>-64.9391</v>
      </c>
      <c r="DJ152" s="1" t="s">
        <v>172</v>
      </c>
      <c r="DK152" s="2" t="str">
        <f aca="false">DJ150</f>
        <v>LL</v>
      </c>
      <c r="DL152" s="2" t="str">
        <f aca="false">DJ148</f>
        <v>HL</v>
      </c>
      <c r="DM152" s="2" t="str">
        <f aca="false">DJ146</f>
        <v>LL</v>
      </c>
      <c r="DN152" s="2" t="str">
        <f aca="false">DJ144</f>
        <v>LL</v>
      </c>
      <c r="DO152" s="2" t="str">
        <f aca="false">DJ142</f>
        <v>HL</v>
      </c>
      <c r="DP152" s="2" t="str">
        <f aca="false">DJ140</f>
        <v>HL</v>
      </c>
      <c r="DQ152" s="2" t="str">
        <f aca="false">DJ138</f>
        <v>LL</v>
      </c>
      <c r="DR152" s="2" t="str">
        <f aca="false">DJ136</f>
        <v>LL</v>
      </c>
      <c r="DS152" s="2" t="str">
        <f aca="false">DJ134</f>
        <v>LL</v>
      </c>
      <c r="DT152" s="2" t="str">
        <f aca="false">DJ132</f>
        <v>HL</v>
      </c>
      <c r="DU152" s="2" t="str">
        <f aca="false">DJ130</f>
        <v>HL</v>
      </c>
      <c r="DV152" s="2" t="n">
        <f aca="false">IFERROR((G152-$F152)/$F152*100,"")</f>
        <v>0.345285879343608</v>
      </c>
      <c r="DW152" s="2" t="n">
        <f aca="false">IFERROR((H152-$F152)/$F152*100,"")</f>
        <v>0.592840939195404</v>
      </c>
      <c r="DX152" s="2" t="n">
        <f aca="false">IFERROR((I152-$F152)/$F152*100,"")</f>
        <v>-0.0714614876010988</v>
      </c>
      <c r="DY152" s="2" t="n">
        <f aca="false">IFERROR((J152-$F152)/$F152*100,"")</f>
        <v>0.448136992339598</v>
      </c>
      <c r="DZ152" s="2" t="n">
        <f aca="false">IFERROR((K152-$F152)/$F152*100,"")</f>
        <v>0.95059362011429</v>
      </c>
      <c r="EA152" s="2" t="n">
        <f aca="false">IFERROR((L152-$F152)/$F152*100,"")</f>
        <v>-0.553436941359295</v>
      </c>
      <c r="EB152" s="2" t="n">
        <f aca="false">IFERROR((M152-$F152)/$F152*100,"")</f>
        <v>-0.851304450425556</v>
      </c>
      <c r="EC152" s="2" t="n">
        <f aca="false">IFERROR((N152-$F152)/$F152*100,"")</f>
        <v>-0.604417254943878</v>
      </c>
      <c r="ED152" s="2" t="n">
        <f aca="false">IFERROR((O152-$F152)/$F152*100,"")</f>
        <v>0.876683296489485</v>
      </c>
      <c r="EE152" s="2" t="n">
        <f aca="false">IFERROR((P152-$F152)/$F152*100,"")</f>
        <v>0.892044177001861</v>
      </c>
      <c r="EF152" s="2" t="n">
        <f aca="false">IFERROR((Q152-$F152)/$F152*100,"")</f>
        <v>0.847742507118319</v>
      </c>
      <c r="EG152" s="2" t="str">
        <f aca="false">IF(DV152="","",IF(AND(ABS(DV152)&lt;=0.25,$E152="Bottom",DK152="LL"),"EQL",IF(AND(ABS(DV152)&lt;=0.25,$E152="Peak",DK152="HH"),"EQH","")))</f>
        <v/>
      </c>
      <c r="EH152" s="2" t="str">
        <f aca="false">IF(DW152="","",IF(AND(ABS(DW152)&lt;=0.25,$E152="Bottom",DL152="LL"),"EQL",IF(AND(ABS(DW152)&lt;=0.25,$E152="Peak",DL152="HH"),"EQH","")))</f>
        <v/>
      </c>
      <c r="EI152" s="2" t="str">
        <f aca="false">IF(DX152="","",IF(AND(ABS(DX152)&lt;=0.25,$E152="Bottom",DM152="LL"),"EQL",IF(AND(ABS(DX152)&lt;=0.25,$E152="Peak",DM152="HH"),"EQH","")))</f>
        <v>EQL</v>
      </c>
      <c r="EJ152" s="2" t="str">
        <f aca="false">IF(DY152="","",IF(AND(ABS(DY152)&lt;=0.25,$E152="Bottom",DN152="LL"),"EQL",IF(AND(ABS(DY152)&lt;=0.25,$E152="Peak",DN152="HH"),"EQH","")))</f>
        <v/>
      </c>
      <c r="EK152" s="2" t="str">
        <f aca="false">IF(DZ152="","",IF(AND(ABS(DZ152)&lt;=0.25,$E152="Bottom",DO152="LL"),"EQL",IF(AND(ABS(DZ152)&lt;=0.25,$E152="Peak",DO152="HH"),"EQH","")))</f>
        <v/>
      </c>
      <c r="EL152" s="2" t="str">
        <f aca="false">IF(EA152="","",IF(AND(ABS(EA152)&lt;=0.25,$E152="Bottom",DP152="LL"),"EQL",IF(AND(ABS(EA152)&lt;=0.25,$E152="Peak",DP152="HH"),"EQH","")))</f>
        <v/>
      </c>
      <c r="EM152" s="2" t="str">
        <f aca="false">IF(EB152="","",IF(AND(ABS(EB152)&lt;=0.25,$E152="Bottom",DQ152="LL"),"EQL",IF(AND(ABS(EB152)&lt;=0.25,$E152="Peak",DQ152="HH"),"EQH","")))</f>
        <v/>
      </c>
      <c r="EN152" s="2" t="str">
        <f aca="false">IF(EC152="","",IF(AND(ABS(EC152)&lt;=0.25,$E152="Bottom",DR152="LL"),"EQL",IF(AND(ABS(EC152)&lt;=0.25,$E152="Peak",DR152="HH"),"EQH","")))</f>
        <v/>
      </c>
      <c r="EO152" s="2" t="str">
        <f aca="false">IF(ED152="","",IF(AND(ABS(ED152)&lt;=0.25,$E152="Bottom",DS152="LL"),"EQL",IF(AND(ABS(ED152)&lt;=0.25,$E152="Peak",DS152="HH"),"EQH","")))</f>
        <v/>
      </c>
      <c r="EP152" s="2" t="str">
        <f aca="false">IF(EE152="","",IF(AND(ABS(EE152)&lt;=0.25,$E152="Bottom",DT152="LL"),"EQL",IF(AND(ABS(EE152)&lt;=0.25,$E152="Peak",DT152="HH"),"EQH","")))</f>
        <v/>
      </c>
      <c r="EQ152" s="2" t="str">
        <f aca="false">IF(EF152="","",IF(AND(ABS(EF152)&lt;=0.25,$E152="Bottom",DU152="LL"),"EQL",IF(AND(ABS(EF152)&lt;=0.25,$E152="Peak",DU152="HH"),"EQH","")))</f>
        <v/>
      </c>
      <c r="ER152" s="2" t="str">
        <f aca="false">IF(OR(EG152="EQL",EG152="EQH"),G152,"")</f>
        <v/>
      </c>
      <c r="ES152" s="2" t="str">
        <f aca="false">IF(OR(EH152="EQL",EH152="EQH"),H152,"")</f>
        <v/>
      </c>
      <c r="ET152" s="2" t="n">
        <f aca="false">IF(OR(EI152="EQL",EI152="EQH"),I152,"")</f>
        <v>4488.72</v>
      </c>
      <c r="EU152" s="2" t="str">
        <f aca="false">IF(OR(EJ152="EQL",EJ152="EQH"),J152,"")</f>
        <v/>
      </c>
      <c r="EV152" s="2" t="str">
        <f aca="false">IF(OR(EK152="EQL",EK152="EQH"),K152,"")</f>
        <v/>
      </c>
      <c r="EW152" s="2" t="str">
        <f aca="false">IF(OR(EL152="EQL",EL152="EQH"),L152,"")</f>
        <v/>
      </c>
      <c r="EX152" s="2" t="str">
        <f aca="false">IF(OR(EM152="EQL",EM152="EQH"),M152,"")</f>
        <v/>
      </c>
      <c r="EY152" s="2" t="str">
        <f aca="false">IF(OR(EN152="EQL",EN152="EQH"),N152,"")</f>
        <v/>
      </c>
      <c r="EZ152" s="2" t="str">
        <f aca="false">IF(OR(EO152="EQL",EO152="EQH"),O152,"")</f>
        <v/>
      </c>
      <c r="FA152" s="2" t="str">
        <f aca="false">IF(OR(EP152="EQL",EP152="EQH"),P152,"")</f>
        <v/>
      </c>
      <c r="FB152" s="2" t="str">
        <f aca="false">IF(OR(EQ152="EQL",EQ152="EQH"),Q152,"")</f>
        <v/>
      </c>
      <c r="FC152" s="2" t="str">
        <f aca="false">IF(AND(EG152="EQL",OR(AQ152=4,AQ152=5)),"IEQL",IF(AND(EG152="EQH",OR(AQ152=1,AQ152=2)),"IEQH",""))</f>
        <v/>
      </c>
      <c r="FD152" s="2" t="str">
        <f aca="false">IF(AND(EH152="EQL",OR(AR152=4,AR152=5)),"IEQL",IF(AND(EH152="EQH",OR(AR152=1,AR152=2)),"IEQH",""))</f>
        <v/>
      </c>
      <c r="FE152" s="2" t="str">
        <f aca="false">IF(AND(EI152="EQL",OR(AS152=4,AS152=5)),"IEQL",IF(AND(EI152="EQH",OR(AS152=1,AS152=2)),"IEQH",""))</f>
        <v/>
      </c>
      <c r="FF152" s="2" t="str">
        <f aca="false">IF(AND(EJ152="EQL",OR(AT152=4,AT152=5)),"IEQL",IF(AND(EJ152="EQH",OR(AT152=1,AT152=2)),"IEQH",""))</f>
        <v/>
      </c>
      <c r="FG152" s="2" t="str">
        <f aca="false">IF(AND(EK152="EQL",OR(AU152=4,AU152=5)),"IEQL",IF(AND(EK152="EQH",OR(AU152=1,AU152=2)),"IEQH",""))</f>
        <v/>
      </c>
      <c r="FH152" s="2" t="str">
        <f aca="false">IF(AND(EL152="EQL",OR(AV152=4,AV152=5)),"IEQL",IF(AND(EL152="EQH",OR(AV152=1,AV152=2)),"IEQH",""))</f>
        <v/>
      </c>
      <c r="FI152" s="2" t="str">
        <f aca="false">IF(AND(EM152="EQL",OR(AW152=4,AW152=5)),"IEQL",IF(AND(EM152="EQH",OR(AW152=1,AW152=2)),"IEQH",""))</f>
        <v/>
      </c>
      <c r="FJ152" s="2" t="str">
        <f aca="false">IF(AND(EN152="EQL",OR(AX152=4,AX152=5)),"IEQL",IF(AND(EN152="EQH",OR(AX152=1,AX152=2)),"IEQH",""))</f>
        <v/>
      </c>
      <c r="FK152" s="2" t="str">
        <f aca="false">IF(AND(EO152="EQL",OR(AY152=4,AY152=5)),"IEQL",IF(AND(EO152="EQH",OR(AY152=1,AY152=2)),"IEQH",""))</f>
        <v/>
      </c>
      <c r="FL152" s="2" t="str">
        <f aca="false">IF(AND(EP152="EQL",OR(AZ152=4,AZ152=5)),"IEQL",IF(AND(EP152="EQH",OR(AZ152=1,AZ152=2)),"IEQH",""))</f>
        <v/>
      </c>
      <c r="FM152" s="2" t="str">
        <f aca="false">IF(AND(EQ152="EQL",OR(BA152=4,BA152=5)),"IEQL",IF(AND(EQ152="EQH",OR(BA152=1,BA152=2)),"IEQH",""))</f>
        <v/>
      </c>
    </row>
    <row r="153" customFormat="false" ht="14.25" hidden="false" customHeight="false" outlineLevel="0" collapsed="false">
      <c r="A153" s="1" t="n">
        <v>1779471002</v>
      </c>
      <c r="B153" s="1" t="s">
        <v>169</v>
      </c>
      <c r="C153" s="1" t="s">
        <v>170</v>
      </c>
      <c r="D153" s="1" t="n">
        <v>4522.2</v>
      </c>
      <c r="E153" s="1" t="s">
        <v>173</v>
      </c>
      <c r="F153" s="1" t="n">
        <v>4527.75</v>
      </c>
      <c r="G153" s="2" t="n">
        <f aca="false">F151</f>
        <v>4536.83</v>
      </c>
      <c r="H153" s="2" t="n">
        <f aca="false">F149</f>
        <v>4534.16</v>
      </c>
      <c r="I153" s="2" t="n">
        <f aca="false">F147</f>
        <v>4559.28</v>
      </c>
      <c r="J153" s="2" t="n">
        <f aca="false">F145</f>
        <v>4542.7</v>
      </c>
      <c r="K153" s="2" t="n">
        <f aca="false">F143</f>
        <v>4570.99</v>
      </c>
      <c r="L153" s="2" t="n">
        <f aca="false">F141</f>
        <v>4552.71</v>
      </c>
      <c r="M153" s="2" t="n">
        <f aca="false">F139</f>
        <v>4505.94</v>
      </c>
      <c r="N153" s="2" t="n">
        <f aca="false">F137</f>
        <v>4508.81</v>
      </c>
      <c r="O153" s="2" t="n">
        <f aca="false">F135</f>
        <v>4559.38</v>
      </c>
      <c r="P153" s="2" t="n">
        <f aca="false">F133</f>
        <v>4589.36</v>
      </c>
      <c r="Q153" s="2" t="n">
        <f aca="false">F131</f>
        <v>4584.14</v>
      </c>
      <c r="R153" s="1" t="n">
        <v>35.82</v>
      </c>
      <c r="S153" s="2" t="n">
        <f aca="false">R151</f>
        <v>29.39</v>
      </c>
      <c r="T153" s="2" t="n">
        <f aca="false">R149</f>
        <v>15.6</v>
      </c>
      <c r="U153" s="2" t="n">
        <f aca="false">R147</f>
        <v>70.56</v>
      </c>
      <c r="V153" s="2" t="n">
        <f aca="false">R145</f>
        <v>30.64</v>
      </c>
      <c r="W153" s="2" t="n">
        <f aca="false">R143</f>
        <v>36.36</v>
      </c>
      <c r="X153" s="2" t="n">
        <f aca="false">R141</f>
        <v>85.64</v>
      </c>
      <c r="Y153" s="2" t="n">
        <f aca="false">R139</f>
        <v>52.25</v>
      </c>
      <c r="Z153" s="2" t="n">
        <f aca="false">R137</f>
        <v>44.03</v>
      </c>
      <c r="AA153" s="2" t="n">
        <f aca="false">R135</f>
        <v>28.07</v>
      </c>
      <c r="AB153" s="2" t="n">
        <f aca="false">R133</f>
        <v>57.36</v>
      </c>
      <c r="AC153" s="2" t="n">
        <f aca="false">R131</f>
        <v>54.13</v>
      </c>
      <c r="AD153" s="1" t="n">
        <v>0.8</v>
      </c>
      <c r="AE153" s="2" t="n">
        <f aca="false">AD151</f>
        <v>0.65</v>
      </c>
      <c r="AF153" s="2" t="n">
        <f aca="false">AD149</f>
        <v>0.35</v>
      </c>
      <c r="AG153" s="2" t="n">
        <f aca="false">AD147</f>
        <v>1.57</v>
      </c>
      <c r="AH153" s="2" t="n">
        <f aca="false">AD145</f>
        <v>0.68</v>
      </c>
      <c r="AI153" s="2" t="n">
        <f aca="false">AD143</f>
        <v>0.8</v>
      </c>
      <c r="AJ153" s="2" t="n">
        <f aca="false">AD141</f>
        <v>1.92</v>
      </c>
      <c r="AK153" s="2" t="n">
        <f aca="false">AD139</f>
        <v>1.17</v>
      </c>
      <c r="AL153" s="2" t="n">
        <f aca="false">AD137</f>
        <v>0.99</v>
      </c>
      <c r="AM153" s="2" t="n">
        <f aca="false">AD135</f>
        <v>0.62</v>
      </c>
      <c r="AN153" s="2" t="n">
        <f aca="false">AD133</f>
        <v>1.27</v>
      </c>
      <c r="AO153" s="2" t="n">
        <f aca="false">AD131</f>
        <v>1.19</v>
      </c>
      <c r="AP153" s="1" t="n">
        <v>0</v>
      </c>
      <c r="AQ153" s="2" t="n">
        <f aca="false">AP151</f>
        <v>0</v>
      </c>
      <c r="AR153" s="2" t="n">
        <f aca="false">AP149</f>
        <v>0</v>
      </c>
      <c r="AS153" s="2" t="n">
        <f aca="false">AP147</f>
        <v>0</v>
      </c>
      <c r="AT153" s="2" t="n">
        <f aca="false">AP145</f>
        <v>0</v>
      </c>
      <c r="AU153" s="2" t="n">
        <f aca="false">AP143</f>
        <v>0</v>
      </c>
      <c r="AV153" s="2" t="n">
        <f aca="false">AP141</f>
        <v>1</v>
      </c>
      <c r="AW153" s="2" t="n">
        <f aca="false">AP139</f>
        <v>0</v>
      </c>
      <c r="AX153" s="2" t="n">
        <f aca="false">AP137</f>
        <v>0</v>
      </c>
      <c r="AY153" s="2" t="n">
        <f aca="false">AP135</f>
        <v>0</v>
      </c>
      <c r="AZ153" s="2" t="n">
        <f aca="false">AP133</f>
        <v>0</v>
      </c>
      <c r="BA153" s="2" t="n">
        <f aca="false">AP131</f>
        <v>0</v>
      </c>
      <c r="BB153" s="1" t="n">
        <v>13</v>
      </c>
      <c r="BC153" s="2" t="n">
        <f aca="false">BB151</f>
        <v>17</v>
      </c>
      <c r="BD153" s="2" t="n">
        <f aca="false">BB149</f>
        <v>12</v>
      </c>
      <c r="BE153" s="2" t="n">
        <f aca="false">BB147</f>
        <v>17</v>
      </c>
      <c r="BF153" s="2" t="n">
        <f aca="false">BB145</f>
        <v>9</v>
      </c>
      <c r="BG153" s="2" t="n">
        <f aca="false">BB143</f>
        <v>9</v>
      </c>
      <c r="BH153" s="2" t="n">
        <f aca="false">BB141</f>
        <v>5</v>
      </c>
      <c r="BI153" s="2" t="n">
        <f aca="false">BB139</f>
        <v>40</v>
      </c>
      <c r="BJ153" s="2" t="n">
        <f aca="false">BB137</f>
        <v>41</v>
      </c>
      <c r="BK153" s="2" t="n">
        <f aca="false">BB135</f>
        <v>10</v>
      </c>
      <c r="BL153" s="2" t="n">
        <f aca="false">BB133</f>
        <v>32</v>
      </c>
      <c r="BM153" s="2" t="n">
        <f aca="false">BB131</f>
        <v>11</v>
      </c>
      <c r="BN153" s="1" t="n">
        <v>0</v>
      </c>
      <c r="BO153" s="2" t="n">
        <f aca="false">BN151</f>
        <v>0</v>
      </c>
      <c r="BP153" s="2" t="n">
        <f aca="false">BN149</f>
        <v>0</v>
      </c>
      <c r="BQ153" s="2" t="n">
        <f aca="false">BN147</f>
        <v>0</v>
      </c>
      <c r="BR153" s="2" t="n">
        <f aca="false">BN145</f>
        <v>0</v>
      </c>
      <c r="BS153" s="2" t="n">
        <f aca="false">BN143</f>
        <v>0</v>
      </c>
      <c r="BT153" s="2" t="n">
        <f aca="false">BN141</f>
        <v>0</v>
      </c>
      <c r="BU153" s="2" t="n">
        <f aca="false">BN139</f>
        <v>2</v>
      </c>
      <c r="BV153" s="2" t="n">
        <f aca="false">BN137</f>
        <v>2</v>
      </c>
      <c r="BW153" s="2" t="n">
        <f aca="false">BN135</f>
        <v>0</v>
      </c>
      <c r="BX153" s="2" t="n">
        <f aca="false">BN133</f>
        <v>1</v>
      </c>
      <c r="BY153" s="2" t="n">
        <f aca="false">BN131</f>
        <v>0</v>
      </c>
      <c r="BZ153" s="1" t="n">
        <v>2.75538</v>
      </c>
      <c r="CA153" s="2" t="n">
        <f aca="false">BZ151</f>
        <v>1.72882</v>
      </c>
      <c r="CB153" s="2" t="n">
        <f aca="false">BZ149</f>
        <v>1.3</v>
      </c>
      <c r="CC153" s="2" t="n">
        <f aca="false">BZ147</f>
        <v>4.15059</v>
      </c>
      <c r="CD153" s="2" t="n">
        <f aca="false">BZ145</f>
        <v>3.40444</v>
      </c>
      <c r="CE153" s="2" t="n">
        <f aca="false">BZ143</f>
        <v>4.04</v>
      </c>
      <c r="CF153" s="2" t="n">
        <f aca="false">BZ141</f>
        <v>17.128</v>
      </c>
      <c r="CG153" s="2" t="n">
        <f aca="false">BZ139</f>
        <v>1.30625</v>
      </c>
      <c r="CH153" s="2" t="n">
        <f aca="false">BZ137</f>
        <v>1.0739</v>
      </c>
      <c r="CI153" s="2" t="n">
        <f aca="false">BZ135</f>
        <v>2.807</v>
      </c>
      <c r="CJ153" s="2" t="n">
        <f aca="false">BZ133</f>
        <v>1.7925</v>
      </c>
      <c r="CK153" s="2" t="n">
        <f aca="false">BZ131</f>
        <v>4.92091</v>
      </c>
      <c r="CL153" s="1" t="n">
        <v>0</v>
      </c>
      <c r="CM153" s="2" t="n">
        <f aca="false">CL151</f>
        <v>0</v>
      </c>
      <c r="CN153" s="2" t="n">
        <f aca="false">CL149</f>
        <v>0</v>
      </c>
      <c r="CO153" s="2" t="n">
        <f aca="false">CL147</f>
        <v>0</v>
      </c>
      <c r="CP153" s="2" t="n">
        <f aca="false">CL145</f>
        <v>0</v>
      </c>
      <c r="CQ153" s="2" t="n">
        <f aca="false">CL143</f>
        <v>0</v>
      </c>
      <c r="CR153" s="2" t="n">
        <f aca="false">CL141</f>
        <v>2</v>
      </c>
      <c r="CS153" s="2" t="n">
        <f aca="false">CL139</f>
        <v>0</v>
      </c>
      <c r="CT153" s="2" t="n">
        <f aca="false">CL137</f>
        <v>0</v>
      </c>
      <c r="CU153" s="2" t="n">
        <f aca="false">CL135</f>
        <v>0</v>
      </c>
      <c r="CV153" s="2" t="n">
        <f aca="false">CL133</f>
        <v>0</v>
      </c>
      <c r="CW153" s="2" t="n">
        <f aca="false">CL131</f>
        <v>0</v>
      </c>
      <c r="CX153" s="1" t="n">
        <v>70.0529</v>
      </c>
      <c r="CY153" s="2" t="n">
        <f aca="false">CX151</f>
        <v>59.9537</v>
      </c>
      <c r="CZ153" s="2" t="n">
        <f aca="false">CX149</f>
        <v>52.4314</v>
      </c>
      <c r="DA153" s="2" t="n">
        <f aca="false">CX147</f>
        <v>76.4539</v>
      </c>
      <c r="DB153" s="2" t="n">
        <f aca="false">CX145</f>
        <v>73.6307</v>
      </c>
      <c r="DC153" s="2" t="n">
        <f aca="false">CX143</f>
        <v>76.0973</v>
      </c>
      <c r="DD153" s="2" t="n">
        <f aca="false">CX141</f>
        <v>86.6586</v>
      </c>
      <c r="DE153" s="2" t="n">
        <f aca="false">CX139</f>
        <v>52.5641</v>
      </c>
      <c r="DF153" s="2" t="n">
        <f aca="false">CX137</f>
        <v>47.0408</v>
      </c>
      <c r="DG153" s="2" t="n">
        <f aca="false">CX135</f>
        <v>70.3914</v>
      </c>
      <c r="DH153" s="2" t="n">
        <f aca="false">CX133</f>
        <v>60.8437</v>
      </c>
      <c r="DI153" s="2" t="n">
        <f aca="false">CX131</f>
        <v>78.5131</v>
      </c>
      <c r="DJ153" s="1" t="s">
        <v>174</v>
      </c>
      <c r="DK153" s="2" t="str">
        <f aca="false">DJ151</f>
        <v>HH</v>
      </c>
      <c r="DL153" s="2" t="str">
        <f aca="false">DJ149</f>
        <v>LH</v>
      </c>
      <c r="DM153" s="2" t="str">
        <f aca="false">DJ147</f>
        <v>HH</v>
      </c>
      <c r="DN153" s="2" t="str">
        <f aca="false">DJ145</f>
        <v>LH</v>
      </c>
      <c r="DO153" s="2" t="str">
        <f aca="false">DJ143</f>
        <v>HH</v>
      </c>
      <c r="DP153" s="2" t="str">
        <f aca="false">DJ141</f>
        <v>HH</v>
      </c>
      <c r="DQ153" s="2" t="str">
        <f aca="false">DJ139</f>
        <v>LH</v>
      </c>
      <c r="DR153" s="2" t="str">
        <f aca="false">DJ137</f>
        <v>LH</v>
      </c>
      <c r="DS153" s="2" t="str">
        <f aca="false">DJ135</f>
        <v>LH</v>
      </c>
      <c r="DT153" s="2" t="str">
        <f aca="false">DJ133</f>
        <v>HH</v>
      </c>
      <c r="DU153" s="2" t="str">
        <f aca="false">DJ131</f>
        <v>HH</v>
      </c>
      <c r="DV153" s="2" t="n">
        <f aca="false">IFERROR((G153-$F153)/$F153*100,"")</f>
        <v>0.200541107614156</v>
      </c>
      <c r="DW153" s="2" t="n">
        <f aca="false">IFERROR((H153-$F153)/$F153*100,"")</f>
        <v>0.141571420683559</v>
      </c>
      <c r="DX153" s="2" t="n">
        <f aca="false">IFERROR((I153-$F153)/$F153*100,"")</f>
        <v>0.696372370382635</v>
      </c>
      <c r="DY153" s="2" t="n">
        <f aca="false">IFERROR((J153-$F153)/$F153*100,"")</f>
        <v>0.330186074761191</v>
      </c>
      <c r="DZ153" s="2" t="n">
        <f aca="false">IFERROR((K153-$F153)/$F153*100,"")</f>
        <v>0.954999723924682</v>
      </c>
      <c r="EA153" s="2" t="n">
        <f aca="false">IFERROR((L153-$F153)/$F153*100,"")</f>
        <v>0.551267185688257</v>
      </c>
      <c r="EB153" s="2" t="n">
        <f aca="false">IFERROR((M153-$F153)/$F153*100,"")</f>
        <v>-0.481696206725203</v>
      </c>
      <c r="EC153" s="2" t="n">
        <f aca="false">IFERROR((N153-$F153)/$F153*100,"")</f>
        <v>-0.418309314781063</v>
      </c>
      <c r="ED153" s="2" t="n">
        <f aca="false">IFERROR((O153-$F153)/$F153*100,"")</f>
        <v>0.698580972889407</v>
      </c>
      <c r="EE153" s="2" t="n">
        <f aca="false">IFERROR((P153-$F153)/$F153*100,"")</f>
        <v>1.3607200044172</v>
      </c>
      <c r="EF153" s="2" t="n">
        <f aca="false">IFERROR((Q153-$F153)/$F153*100,"")</f>
        <v>1.24543095356414</v>
      </c>
      <c r="EG153" s="2" t="str">
        <f aca="false">IF(DV153="","",IF(AND(ABS(DV153)&lt;=0.25,$E153="Bottom",DK153="LL"),"EQL",IF(AND(ABS(DV153)&lt;=0.25,$E153="Peak",DK153="HH"),"EQH","")))</f>
        <v>EQH</v>
      </c>
      <c r="EH153" s="2" t="str">
        <f aca="false">IF(DW153="","",IF(AND(ABS(DW153)&lt;=0.25,$E153="Bottom",DL153="LL"),"EQL",IF(AND(ABS(DW153)&lt;=0.25,$E153="Peak",DL153="HH"),"EQH","")))</f>
        <v/>
      </c>
      <c r="EI153" s="2" t="str">
        <f aca="false">IF(DX153="","",IF(AND(ABS(DX153)&lt;=0.25,$E153="Bottom",DM153="LL"),"EQL",IF(AND(ABS(DX153)&lt;=0.25,$E153="Peak",DM153="HH"),"EQH","")))</f>
        <v/>
      </c>
      <c r="EJ153" s="2" t="str">
        <f aca="false">IF(DY153="","",IF(AND(ABS(DY153)&lt;=0.25,$E153="Bottom",DN153="LL"),"EQL",IF(AND(ABS(DY153)&lt;=0.25,$E153="Peak",DN153="HH"),"EQH","")))</f>
        <v/>
      </c>
      <c r="EK153" s="2" t="str">
        <f aca="false">IF(DZ153="","",IF(AND(ABS(DZ153)&lt;=0.25,$E153="Bottom",DO153="LL"),"EQL",IF(AND(ABS(DZ153)&lt;=0.25,$E153="Peak",DO153="HH"),"EQH","")))</f>
        <v/>
      </c>
      <c r="EL153" s="2" t="str">
        <f aca="false">IF(EA153="","",IF(AND(ABS(EA153)&lt;=0.25,$E153="Bottom",DP153="LL"),"EQL",IF(AND(ABS(EA153)&lt;=0.25,$E153="Peak",DP153="HH"),"EQH","")))</f>
        <v/>
      </c>
      <c r="EM153" s="2" t="str">
        <f aca="false">IF(EB153="","",IF(AND(ABS(EB153)&lt;=0.25,$E153="Bottom",DQ153="LL"),"EQL",IF(AND(ABS(EB153)&lt;=0.25,$E153="Peak",DQ153="HH"),"EQH","")))</f>
        <v/>
      </c>
      <c r="EN153" s="2" t="str">
        <f aca="false">IF(EC153="","",IF(AND(ABS(EC153)&lt;=0.25,$E153="Bottom",DR153="LL"),"EQL",IF(AND(ABS(EC153)&lt;=0.25,$E153="Peak",DR153="HH"),"EQH","")))</f>
        <v/>
      </c>
      <c r="EO153" s="2" t="str">
        <f aca="false">IF(ED153="","",IF(AND(ABS(ED153)&lt;=0.25,$E153="Bottom",DS153="LL"),"EQL",IF(AND(ABS(ED153)&lt;=0.25,$E153="Peak",DS153="HH"),"EQH","")))</f>
        <v/>
      </c>
      <c r="EP153" s="2" t="str">
        <f aca="false">IF(EE153="","",IF(AND(ABS(EE153)&lt;=0.25,$E153="Bottom",DT153="LL"),"EQL",IF(AND(ABS(EE153)&lt;=0.25,$E153="Peak",DT153="HH"),"EQH","")))</f>
        <v/>
      </c>
      <c r="EQ153" s="2" t="str">
        <f aca="false">IF(EF153="","",IF(AND(ABS(EF153)&lt;=0.25,$E153="Bottom",DU153="LL"),"EQL",IF(AND(ABS(EF153)&lt;=0.25,$E153="Peak",DU153="HH"),"EQH","")))</f>
        <v/>
      </c>
      <c r="ER153" s="2" t="n">
        <f aca="false">IF(OR(EG153="EQL",EG153="EQH"),G153,"")</f>
        <v>4536.83</v>
      </c>
      <c r="ES153" s="2" t="str">
        <f aca="false">IF(OR(EH153="EQL",EH153="EQH"),H153,"")</f>
        <v/>
      </c>
      <c r="ET153" s="2" t="str">
        <f aca="false">IF(OR(EI153="EQL",EI153="EQH"),I153,"")</f>
        <v/>
      </c>
      <c r="EU153" s="2" t="str">
        <f aca="false">IF(OR(EJ153="EQL",EJ153="EQH"),J153,"")</f>
        <v/>
      </c>
      <c r="EV153" s="2" t="str">
        <f aca="false">IF(OR(EK153="EQL",EK153="EQH"),K153,"")</f>
        <v/>
      </c>
      <c r="EW153" s="2" t="str">
        <f aca="false">IF(OR(EL153="EQL",EL153="EQH"),L153,"")</f>
        <v/>
      </c>
      <c r="EX153" s="2" t="str">
        <f aca="false">IF(OR(EM153="EQL",EM153="EQH"),M153,"")</f>
        <v/>
      </c>
      <c r="EY153" s="2" t="str">
        <f aca="false">IF(OR(EN153="EQL",EN153="EQH"),N153,"")</f>
        <v/>
      </c>
      <c r="EZ153" s="2" t="str">
        <f aca="false">IF(OR(EO153="EQL",EO153="EQH"),O153,"")</f>
        <v/>
      </c>
      <c r="FA153" s="2" t="str">
        <f aca="false">IF(OR(EP153="EQL",EP153="EQH"),P153,"")</f>
        <v/>
      </c>
      <c r="FB153" s="2" t="str">
        <f aca="false">IF(OR(EQ153="EQL",EQ153="EQH"),Q153,"")</f>
        <v/>
      </c>
      <c r="FC153" s="2" t="str">
        <f aca="false">IF(AND(EG153="EQL",OR(AQ153=4,AQ153=5)),"IEQL",IF(AND(EG153="EQH",OR(AQ153=1,AQ153=2)),"IEQH",""))</f>
        <v/>
      </c>
      <c r="FD153" s="2" t="str">
        <f aca="false">IF(AND(EH153="EQL",OR(AR153=4,AR153=5)),"IEQL",IF(AND(EH153="EQH",OR(AR153=1,AR153=2)),"IEQH",""))</f>
        <v/>
      </c>
      <c r="FE153" s="2" t="str">
        <f aca="false">IF(AND(EI153="EQL",OR(AS153=4,AS153=5)),"IEQL",IF(AND(EI153="EQH",OR(AS153=1,AS153=2)),"IEQH",""))</f>
        <v/>
      </c>
      <c r="FF153" s="2" t="str">
        <f aca="false">IF(AND(EJ153="EQL",OR(AT153=4,AT153=5)),"IEQL",IF(AND(EJ153="EQH",OR(AT153=1,AT153=2)),"IEQH",""))</f>
        <v/>
      </c>
      <c r="FG153" s="2" t="str">
        <f aca="false">IF(AND(EK153="EQL",OR(AU153=4,AU153=5)),"IEQL",IF(AND(EK153="EQH",OR(AU153=1,AU153=2)),"IEQH",""))</f>
        <v/>
      </c>
      <c r="FH153" s="2" t="str">
        <f aca="false">IF(AND(EL153="EQL",OR(AV153=4,AV153=5)),"IEQL",IF(AND(EL153="EQH",OR(AV153=1,AV153=2)),"IEQH",""))</f>
        <v/>
      </c>
      <c r="FI153" s="2" t="str">
        <f aca="false">IF(AND(EM153="EQL",OR(AW153=4,AW153=5)),"IEQL",IF(AND(EM153="EQH",OR(AW153=1,AW153=2)),"IEQH",""))</f>
        <v/>
      </c>
      <c r="FJ153" s="2" t="str">
        <f aca="false">IF(AND(EN153="EQL",OR(AX153=4,AX153=5)),"IEQL",IF(AND(EN153="EQH",OR(AX153=1,AX153=2)),"IEQH",""))</f>
        <v/>
      </c>
      <c r="FK153" s="2" t="str">
        <f aca="false">IF(AND(EO153="EQL",OR(AY153=4,AY153=5)),"IEQL",IF(AND(EO153="EQH",OR(AY153=1,AY153=2)),"IEQH",""))</f>
        <v/>
      </c>
      <c r="FL153" s="2" t="str">
        <f aca="false">IF(AND(EP153="EQL",OR(AZ153=4,AZ153=5)),"IEQL",IF(AND(EP153="EQH",OR(AZ153=1,AZ153=2)),"IEQH",""))</f>
        <v/>
      </c>
      <c r="FM153" s="2" t="str">
        <f aca="false">IF(AND(EQ153="EQL",OR(BA153=4,BA153=5)),"IEQL",IF(AND(EQ153="EQH",OR(BA153=1,BA153=2)),"IEQH",""))</f>
        <v/>
      </c>
    </row>
    <row r="154" customFormat="false" ht="14.25" hidden="false" customHeight="false" outlineLevel="0" collapsed="false">
      <c r="A154" s="1" t="n">
        <v>1779478202</v>
      </c>
      <c r="B154" s="1" t="s">
        <v>169</v>
      </c>
      <c r="C154" s="1" t="s">
        <v>170</v>
      </c>
      <c r="D154" s="1" t="n">
        <v>4509.65</v>
      </c>
      <c r="E154" s="1" t="s">
        <v>171</v>
      </c>
      <c r="F154" s="1" t="n">
        <v>4504.39</v>
      </c>
      <c r="G154" s="2" t="n">
        <f aca="false">F152</f>
        <v>4491.93</v>
      </c>
      <c r="H154" s="2" t="n">
        <f aca="false">F150</f>
        <v>4507.44</v>
      </c>
      <c r="I154" s="2" t="n">
        <f aca="false">F148</f>
        <v>4518.56</v>
      </c>
      <c r="J154" s="2" t="n">
        <f aca="false">F146</f>
        <v>4488.72</v>
      </c>
      <c r="K154" s="2" t="n">
        <f aca="false">F144</f>
        <v>4512.06</v>
      </c>
      <c r="L154" s="2" t="n">
        <f aca="false">F142</f>
        <v>4534.63</v>
      </c>
      <c r="M154" s="2" t="n">
        <f aca="false">F140</f>
        <v>4467.07</v>
      </c>
      <c r="N154" s="2" t="n">
        <f aca="false">F138</f>
        <v>4453.69</v>
      </c>
      <c r="O154" s="2" t="n">
        <f aca="false">F136</f>
        <v>4464.78</v>
      </c>
      <c r="P154" s="2" t="n">
        <f aca="false">F134</f>
        <v>4531.31</v>
      </c>
      <c r="Q154" s="2" t="n">
        <f aca="false">F132</f>
        <v>4532</v>
      </c>
      <c r="R154" s="1" t="n">
        <v>-23.36</v>
      </c>
      <c r="S154" s="2" t="n">
        <f aca="false">R152</f>
        <v>-44.9</v>
      </c>
      <c r="T154" s="2" t="n">
        <f aca="false">R150</f>
        <v>-26.72</v>
      </c>
      <c r="U154" s="2" t="n">
        <f aca="false">R148</f>
        <v>-40.72</v>
      </c>
      <c r="V154" s="2" t="n">
        <f aca="false">R146</f>
        <v>-53.98</v>
      </c>
      <c r="W154" s="2" t="n">
        <f aca="false">R144</f>
        <v>-58.93</v>
      </c>
      <c r="X154" s="2" t="n">
        <f aca="false">R142</f>
        <v>-18.08</v>
      </c>
      <c r="Y154" s="2" t="n">
        <f aca="false">R140</f>
        <v>-38.87</v>
      </c>
      <c r="Z154" s="2" t="n">
        <f aca="false">R138</f>
        <v>-55.12</v>
      </c>
      <c r="AA154" s="2" t="n">
        <f aca="false">R136</f>
        <v>-94.6</v>
      </c>
      <c r="AB154" s="2" t="n">
        <f aca="false">R134</f>
        <v>-58.05</v>
      </c>
      <c r="AC154" s="2" t="n">
        <f aca="false">R132</f>
        <v>-52.14</v>
      </c>
      <c r="AD154" s="1" t="n">
        <v>-0.52</v>
      </c>
      <c r="AE154" s="2" t="n">
        <f aca="false">AD152</f>
        <v>-0.99</v>
      </c>
      <c r="AF154" s="2" t="n">
        <f aca="false">AD150</f>
        <v>-0.59</v>
      </c>
      <c r="AG154" s="2" t="n">
        <f aca="false">AD148</f>
        <v>-0.89</v>
      </c>
      <c r="AH154" s="2" t="n">
        <f aca="false">AD146</f>
        <v>-1.19</v>
      </c>
      <c r="AI154" s="2" t="n">
        <f aca="false">AD144</f>
        <v>-1.29</v>
      </c>
      <c r="AJ154" s="2" t="n">
        <f aca="false">AD142</f>
        <v>-0.4</v>
      </c>
      <c r="AK154" s="2" t="n">
        <f aca="false">AD140</f>
        <v>-0.86</v>
      </c>
      <c r="AL154" s="2" t="n">
        <f aca="false">AD138</f>
        <v>-1.22</v>
      </c>
      <c r="AM154" s="2" t="n">
        <f aca="false">AD136</f>
        <v>-2.07</v>
      </c>
      <c r="AN154" s="2" t="n">
        <f aca="false">AD134</f>
        <v>-1.26</v>
      </c>
      <c r="AO154" s="2" t="n">
        <f aca="false">AD132</f>
        <v>-1.14</v>
      </c>
      <c r="AP154" s="1" t="n">
        <v>3</v>
      </c>
      <c r="AQ154" s="2" t="n">
        <f aca="false">AP152</f>
        <v>3</v>
      </c>
      <c r="AR154" s="2" t="n">
        <f aca="false">AP150</f>
        <v>3</v>
      </c>
      <c r="AS154" s="2" t="n">
        <f aca="false">AP148</f>
        <v>3</v>
      </c>
      <c r="AT154" s="2" t="n">
        <f aca="false">AP146</f>
        <v>3</v>
      </c>
      <c r="AU154" s="2" t="n">
        <f aca="false">AP144</f>
        <v>3</v>
      </c>
      <c r="AV154" s="2" t="n">
        <f aca="false">AP142</f>
        <v>3</v>
      </c>
      <c r="AW154" s="2" t="n">
        <f aca="false">AP140</f>
        <v>3</v>
      </c>
      <c r="AX154" s="2" t="n">
        <f aca="false">AP138</f>
        <v>3</v>
      </c>
      <c r="AY154" s="2" t="n">
        <f aca="false">AP136</f>
        <v>4</v>
      </c>
      <c r="AZ154" s="2" t="n">
        <f aca="false">AP134</f>
        <v>3</v>
      </c>
      <c r="BA154" s="2" t="n">
        <f aca="false">AP132</f>
        <v>3</v>
      </c>
      <c r="BB154" s="1" t="n">
        <v>8</v>
      </c>
      <c r="BC154" s="2" t="n">
        <f aca="false">BB152</f>
        <v>17</v>
      </c>
      <c r="BD154" s="2" t="n">
        <f aca="false">BB150</f>
        <v>1</v>
      </c>
      <c r="BE154" s="2" t="n">
        <f aca="false">BB148</f>
        <v>31</v>
      </c>
      <c r="BF154" s="2" t="n">
        <f aca="false">BB146</f>
        <v>16</v>
      </c>
      <c r="BG154" s="2" t="n">
        <f aca="false">BB144</f>
        <v>23</v>
      </c>
      <c r="BH154" s="2" t="n">
        <f aca="false">BB142</f>
        <v>28</v>
      </c>
      <c r="BI154" s="2" t="n">
        <f aca="false">BB140</f>
        <v>4</v>
      </c>
      <c r="BJ154" s="2" t="n">
        <f aca="false">BB138</f>
        <v>9</v>
      </c>
      <c r="BK154" s="2" t="n">
        <f aca="false">BB136</f>
        <v>23</v>
      </c>
      <c r="BL154" s="2" t="n">
        <f aca="false">BB134</f>
        <v>21</v>
      </c>
      <c r="BM154" s="2" t="n">
        <f aca="false">BB132</f>
        <v>5</v>
      </c>
      <c r="BN154" s="1" t="n">
        <v>3</v>
      </c>
      <c r="BO154" s="2" t="n">
        <f aca="false">BN152</f>
        <v>3</v>
      </c>
      <c r="BP154" s="2" t="n">
        <f aca="false">BN150</f>
        <v>3</v>
      </c>
      <c r="BQ154" s="2" t="n">
        <f aca="false">BN148</f>
        <v>3</v>
      </c>
      <c r="BR154" s="2" t="n">
        <f aca="false">BN146</f>
        <v>3</v>
      </c>
      <c r="BS154" s="2" t="n">
        <f aca="false">BN144</f>
        <v>3</v>
      </c>
      <c r="BT154" s="2" t="n">
        <f aca="false">BN142</f>
        <v>3</v>
      </c>
      <c r="BU154" s="2" t="n">
        <f aca="false">BN140</f>
        <v>3</v>
      </c>
      <c r="BV154" s="2" t="n">
        <f aca="false">BN138</f>
        <v>3</v>
      </c>
      <c r="BW154" s="2" t="n">
        <f aca="false">BN136</f>
        <v>3</v>
      </c>
      <c r="BX154" s="2" t="n">
        <f aca="false">BN134</f>
        <v>3</v>
      </c>
      <c r="BY154" s="2" t="n">
        <f aca="false">BN132</f>
        <v>3</v>
      </c>
      <c r="BZ154" s="1" t="n">
        <v>-2.92</v>
      </c>
      <c r="CA154" s="2" t="n">
        <f aca="false">BZ152</f>
        <v>-2.64118</v>
      </c>
      <c r="CB154" s="2" t="n">
        <f aca="false">BZ150</f>
        <v>-26.72</v>
      </c>
      <c r="CC154" s="2" t="n">
        <f aca="false">BZ148</f>
        <v>-1.31355</v>
      </c>
      <c r="CD154" s="2" t="n">
        <f aca="false">BZ146</f>
        <v>-3.37375</v>
      </c>
      <c r="CE154" s="2" t="n">
        <f aca="false">BZ144</f>
        <v>-2.56217</v>
      </c>
      <c r="CF154" s="2" t="n">
        <f aca="false">BZ142</f>
        <v>-0.64571</v>
      </c>
      <c r="CG154" s="2" t="n">
        <f aca="false">BZ140</f>
        <v>-9.7175</v>
      </c>
      <c r="CH154" s="2" t="n">
        <f aca="false">BZ138</f>
        <v>-6.12444</v>
      </c>
      <c r="CI154" s="2" t="n">
        <f aca="false">BZ136</f>
        <v>-4.11304</v>
      </c>
      <c r="CJ154" s="2" t="n">
        <f aca="false">BZ134</f>
        <v>-2.76429</v>
      </c>
      <c r="CK154" s="2" t="n">
        <f aca="false">BZ132</f>
        <v>-10.428</v>
      </c>
      <c r="CL154" s="1" t="n">
        <v>3</v>
      </c>
      <c r="CM154" s="2" t="n">
        <f aca="false">CL152</f>
        <v>3</v>
      </c>
      <c r="CN154" s="2" t="n">
        <f aca="false">CL150</f>
        <v>5</v>
      </c>
      <c r="CO154" s="2" t="n">
        <f aca="false">CL148</f>
        <v>3</v>
      </c>
      <c r="CP154" s="2" t="n">
        <f aca="false">CL146</f>
        <v>3</v>
      </c>
      <c r="CQ154" s="2" t="n">
        <f aca="false">CL144</f>
        <v>3</v>
      </c>
      <c r="CR154" s="2" t="n">
        <f aca="false">CL142</f>
        <v>3</v>
      </c>
      <c r="CS154" s="2" t="n">
        <f aca="false">CL140</f>
        <v>4</v>
      </c>
      <c r="CT154" s="2" t="n">
        <f aca="false">CL138</f>
        <v>3</v>
      </c>
      <c r="CU154" s="2" t="n">
        <f aca="false">CL136</f>
        <v>3</v>
      </c>
      <c r="CV154" s="2" t="n">
        <f aca="false">CL134</f>
        <v>3</v>
      </c>
      <c r="CW154" s="2" t="n">
        <f aca="false">CL132</f>
        <v>4</v>
      </c>
      <c r="CX154" s="1" t="n">
        <v>-71.0954</v>
      </c>
      <c r="CY154" s="2" t="n">
        <f aca="false">CX152</f>
        <v>-69.2624</v>
      </c>
      <c r="CZ154" s="2" t="n">
        <f aca="false">CX150</f>
        <v>-87.8567</v>
      </c>
      <c r="DA154" s="2" t="n">
        <f aca="false">CX148</f>
        <v>-52.7181</v>
      </c>
      <c r="DB154" s="2" t="n">
        <f aca="false">CX146</f>
        <v>-73.4899</v>
      </c>
      <c r="DC154" s="2" t="n">
        <f aca="false">CX144</f>
        <v>-68.6796</v>
      </c>
      <c r="DD154" s="2" t="n">
        <f aca="false">CX142</f>
        <v>-32.8509</v>
      </c>
      <c r="DE154" s="2" t="n">
        <f aca="false">CX140</f>
        <v>-84.1245</v>
      </c>
      <c r="DF154" s="2" t="n">
        <f aca="false">CX138</f>
        <v>-80.7266</v>
      </c>
      <c r="DG154" s="2" t="n">
        <f aca="false">CX136</f>
        <v>-76.3349</v>
      </c>
      <c r="DH154" s="2" t="n">
        <f aca="false">CX134</f>
        <v>-70.112</v>
      </c>
      <c r="DI154" s="2" t="n">
        <f aca="false">CX132</f>
        <v>-84.5223</v>
      </c>
      <c r="DJ154" s="1" t="s">
        <v>175</v>
      </c>
      <c r="DK154" s="2" t="str">
        <f aca="false">DJ152</f>
        <v>LL</v>
      </c>
      <c r="DL154" s="2" t="str">
        <f aca="false">DJ150</f>
        <v>LL</v>
      </c>
      <c r="DM154" s="2" t="str">
        <f aca="false">DJ148</f>
        <v>HL</v>
      </c>
      <c r="DN154" s="2" t="str">
        <f aca="false">DJ146</f>
        <v>LL</v>
      </c>
      <c r="DO154" s="2" t="str">
        <f aca="false">DJ144</f>
        <v>LL</v>
      </c>
      <c r="DP154" s="2" t="str">
        <f aca="false">DJ142</f>
        <v>HL</v>
      </c>
      <c r="DQ154" s="2" t="str">
        <f aca="false">DJ140</f>
        <v>HL</v>
      </c>
      <c r="DR154" s="2" t="str">
        <f aca="false">DJ138</f>
        <v>LL</v>
      </c>
      <c r="DS154" s="2" t="str">
        <f aca="false">DJ136</f>
        <v>LL</v>
      </c>
      <c r="DT154" s="2" t="str">
        <f aca="false">DJ134</f>
        <v>LL</v>
      </c>
      <c r="DU154" s="2" t="str">
        <f aca="false">DJ132</f>
        <v>HL</v>
      </c>
      <c r="DV154" s="2" t="n">
        <f aca="false">IFERROR((G154-$F154)/$F154*100,"")</f>
        <v>-0.276619031655786</v>
      </c>
      <c r="DW154" s="2" t="n">
        <f aca="false">IFERROR((H154-$F154)/$F154*100,"")</f>
        <v>0.0677117212319376</v>
      </c>
      <c r="DX154" s="2" t="n">
        <f aca="false">IFERROR((I154-$F154)/$F154*100,"")</f>
        <v>0.314581996674357</v>
      </c>
      <c r="DY154" s="2" t="n">
        <f aca="false">IFERROR((J154-$F154)/$F154*100,"")</f>
        <v>-0.347882843181875</v>
      </c>
      <c r="DZ154" s="2" t="n">
        <f aca="false">IFERROR((K154-$F154)/$F154*100,"")</f>
        <v>0.170278328475111</v>
      </c>
      <c r="EA154" s="2" t="n">
        <f aca="false">IFERROR((L154-$F154)/$F154*100,"")</f>
        <v>0.671345065591562</v>
      </c>
      <c r="EB154" s="2" t="n">
        <f aca="false">IFERROR((M154-$F154)/$F154*100,"")</f>
        <v>-0.828525061107067</v>
      </c>
      <c r="EC154" s="2" t="n">
        <f aca="false">IFERROR((N154-$F154)/$F154*100,"")</f>
        <v>-1.12556861195413</v>
      </c>
      <c r="ED154" s="2" t="n">
        <f aca="false">IFERROR((O154-$F154)/$F154*100,"")</f>
        <v>-0.879364353441877</v>
      </c>
      <c r="EE154" s="2" t="n">
        <f aca="false">IFERROR((P154-$F154)/$F154*100,"")</f>
        <v>0.597639191988262</v>
      </c>
      <c r="EF154" s="2" t="n">
        <f aca="false">IFERROR((Q154-$F154)/$F154*100,"")</f>
        <v>0.612957581381711</v>
      </c>
      <c r="EG154" s="2" t="str">
        <f aca="false">IF(DV154="","",IF(AND(ABS(DV154)&lt;=0.25,$E154="Bottom",DK154="LL"),"EQL",IF(AND(ABS(DV154)&lt;=0.25,$E154="Peak",DK154="HH"),"EQH","")))</f>
        <v/>
      </c>
      <c r="EH154" s="2" t="str">
        <f aca="false">IF(DW154="","",IF(AND(ABS(DW154)&lt;=0.25,$E154="Bottom",DL154="LL"),"EQL",IF(AND(ABS(DW154)&lt;=0.25,$E154="Peak",DL154="HH"),"EQH","")))</f>
        <v>EQL</v>
      </c>
      <c r="EI154" s="2" t="str">
        <f aca="false">IF(DX154="","",IF(AND(ABS(DX154)&lt;=0.25,$E154="Bottom",DM154="LL"),"EQL",IF(AND(ABS(DX154)&lt;=0.25,$E154="Peak",DM154="HH"),"EQH","")))</f>
        <v/>
      </c>
      <c r="EJ154" s="2" t="str">
        <f aca="false">IF(DY154="","",IF(AND(ABS(DY154)&lt;=0.25,$E154="Bottom",DN154="LL"),"EQL",IF(AND(ABS(DY154)&lt;=0.25,$E154="Peak",DN154="HH"),"EQH","")))</f>
        <v/>
      </c>
      <c r="EK154" s="2" t="str">
        <f aca="false">IF(DZ154="","",IF(AND(ABS(DZ154)&lt;=0.25,$E154="Bottom",DO154="LL"),"EQL",IF(AND(ABS(DZ154)&lt;=0.25,$E154="Peak",DO154="HH"),"EQH","")))</f>
        <v>EQL</v>
      </c>
      <c r="EL154" s="2" t="str">
        <f aca="false">IF(EA154="","",IF(AND(ABS(EA154)&lt;=0.25,$E154="Bottom",DP154="LL"),"EQL",IF(AND(ABS(EA154)&lt;=0.25,$E154="Peak",DP154="HH"),"EQH","")))</f>
        <v/>
      </c>
      <c r="EM154" s="2" t="str">
        <f aca="false">IF(EB154="","",IF(AND(ABS(EB154)&lt;=0.25,$E154="Bottom",DQ154="LL"),"EQL",IF(AND(ABS(EB154)&lt;=0.25,$E154="Peak",DQ154="HH"),"EQH","")))</f>
        <v/>
      </c>
      <c r="EN154" s="2" t="str">
        <f aca="false">IF(EC154="","",IF(AND(ABS(EC154)&lt;=0.25,$E154="Bottom",DR154="LL"),"EQL",IF(AND(ABS(EC154)&lt;=0.25,$E154="Peak",DR154="HH"),"EQH","")))</f>
        <v/>
      </c>
      <c r="EO154" s="2" t="str">
        <f aca="false">IF(ED154="","",IF(AND(ABS(ED154)&lt;=0.25,$E154="Bottom",DS154="LL"),"EQL",IF(AND(ABS(ED154)&lt;=0.25,$E154="Peak",DS154="HH"),"EQH","")))</f>
        <v/>
      </c>
      <c r="EP154" s="2" t="str">
        <f aca="false">IF(EE154="","",IF(AND(ABS(EE154)&lt;=0.25,$E154="Bottom",DT154="LL"),"EQL",IF(AND(ABS(EE154)&lt;=0.25,$E154="Peak",DT154="HH"),"EQH","")))</f>
        <v/>
      </c>
      <c r="EQ154" s="2" t="str">
        <f aca="false">IF(EF154="","",IF(AND(ABS(EF154)&lt;=0.25,$E154="Bottom",DU154="LL"),"EQL",IF(AND(ABS(EF154)&lt;=0.25,$E154="Peak",DU154="HH"),"EQH","")))</f>
        <v/>
      </c>
      <c r="ER154" s="2" t="str">
        <f aca="false">IF(OR(EG154="EQL",EG154="EQH"),G154,"")</f>
        <v/>
      </c>
      <c r="ES154" s="2" t="n">
        <f aca="false">IF(OR(EH154="EQL",EH154="EQH"),H154,"")</f>
        <v>4507.44</v>
      </c>
      <c r="ET154" s="2" t="str">
        <f aca="false">IF(OR(EI154="EQL",EI154="EQH"),I154,"")</f>
        <v/>
      </c>
      <c r="EU154" s="2" t="str">
        <f aca="false">IF(OR(EJ154="EQL",EJ154="EQH"),J154,"")</f>
        <v/>
      </c>
      <c r="EV154" s="2" t="n">
        <f aca="false">IF(OR(EK154="EQL",EK154="EQH"),K154,"")</f>
        <v>4512.06</v>
      </c>
      <c r="EW154" s="2" t="str">
        <f aca="false">IF(OR(EL154="EQL",EL154="EQH"),L154,"")</f>
        <v/>
      </c>
      <c r="EX154" s="2" t="str">
        <f aca="false">IF(OR(EM154="EQL",EM154="EQH"),M154,"")</f>
        <v/>
      </c>
      <c r="EY154" s="2" t="str">
        <f aca="false">IF(OR(EN154="EQL",EN154="EQH"),N154,"")</f>
        <v/>
      </c>
      <c r="EZ154" s="2" t="str">
        <f aca="false">IF(OR(EO154="EQL",EO154="EQH"),O154,"")</f>
        <v/>
      </c>
      <c r="FA154" s="2" t="str">
        <f aca="false">IF(OR(EP154="EQL",EP154="EQH"),P154,"")</f>
        <v/>
      </c>
      <c r="FB154" s="2" t="str">
        <f aca="false">IF(OR(EQ154="EQL",EQ154="EQH"),Q154,"")</f>
        <v/>
      </c>
      <c r="FC154" s="2" t="str">
        <f aca="false">IF(AND(EG154="EQL",OR(AQ154=4,AQ154=5)),"IEQL",IF(AND(EG154="EQH",OR(AQ154=1,AQ154=2)),"IEQH",""))</f>
        <v/>
      </c>
      <c r="FD154" s="2" t="str">
        <f aca="false">IF(AND(EH154="EQL",OR(AR154=4,AR154=5)),"IEQL",IF(AND(EH154="EQH",OR(AR154=1,AR154=2)),"IEQH",""))</f>
        <v/>
      </c>
      <c r="FE154" s="2" t="str">
        <f aca="false">IF(AND(EI154="EQL",OR(AS154=4,AS154=5)),"IEQL",IF(AND(EI154="EQH",OR(AS154=1,AS154=2)),"IEQH",""))</f>
        <v/>
      </c>
      <c r="FF154" s="2" t="str">
        <f aca="false">IF(AND(EJ154="EQL",OR(AT154=4,AT154=5)),"IEQL",IF(AND(EJ154="EQH",OR(AT154=1,AT154=2)),"IEQH",""))</f>
        <v/>
      </c>
      <c r="FG154" s="2" t="str">
        <f aca="false">IF(AND(EK154="EQL",OR(AU154=4,AU154=5)),"IEQL",IF(AND(EK154="EQH",OR(AU154=1,AU154=2)),"IEQH",""))</f>
        <v/>
      </c>
      <c r="FH154" s="2" t="str">
        <f aca="false">IF(AND(EL154="EQL",OR(AV154=4,AV154=5)),"IEQL",IF(AND(EL154="EQH",OR(AV154=1,AV154=2)),"IEQH",""))</f>
        <v/>
      </c>
      <c r="FI154" s="2" t="str">
        <f aca="false">IF(AND(EM154="EQL",OR(AW154=4,AW154=5)),"IEQL",IF(AND(EM154="EQH",OR(AW154=1,AW154=2)),"IEQH",""))</f>
        <v/>
      </c>
      <c r="FJ154" s="2" t="str">
        <f aca="false">IF(AND(EN154="EQL",OR(AX154=4,AX154=5)),"IEQL",IF(AND(EN154="EQH",OR(AX154=1,AX154=2)),"IEQH",""))</f>
        <v/>
      </c>
      <c r="FK154" s="2" t="str">
        <f aca="false">IF(AND(EO154="EQL",OR(AY154=4,AY154=5)),"IEQL",IF(AND(EO154="EQH",OR(AY154=1,AY154=2)),"IEQH",""))</f>
        <v/>
      </c>
      <c r="FL154" s="2" t="str">
        <f aca="false">IF(AND(EP154="EQL",OR(AZ154=4,AZ154=5)),"IEQL",IF(AND(EP154="EQH",OR(AZ154=1,AZ154=2)),"IEQH",""))</f>
        <v/>
      </c>
      <c r="FM154" s="2" t="str">
        <f aca="false">IF(AND(EQ154="EQL",OR(BA154=4,BA154=5)),"IEQL",IF(AND(EQ154="EQH",OR(BA154=1,BA154=2)),"IEQH",""))</f>
        <v/>
      </c>
    </row>
    <row r="155" customFormat="false" ht="14.25" hidden="false" customHeight="false" outlineLevel="0" collapsed="false">
      <c r="A155" s="1" t="n">
        <v>1779665402</v>
      </c>
      <c r="B155" s="1" t="s">
        <v>169</v>
      </c>
      <c r="C155" s="1" t="s">
        <v>170</v>
      </c>
      <c r="D155" s="1" t="n">
        <v>4577.25</v>
      </c>
      <c r="E155" s="1" t="s">
        <v>173</v>
      </c>
      <c r="F155" s="1" t="n">
        <v>4579.98</v>
      </c>
      <c r="G155" s="2" t="n">
        <f aca="false">F153</f>
        <v>4527.75</v>
      </c>
      <c r="H155" s="2" t="n">
        <f aca="false">F151</f>
        <v>4536.83</v>
      </c>
      <c r="I155" s="2" t="n">
        <f aca="false">F149</f>
        <v>4534.16</v>
      </c>
      <c r="J155" s="2" t="n">
        <f aca="false">F147</f>
        <v>4559.28</v>
      </c>
      <c r="K155" s="2" t="n">
        <f aca="false">F145</f>
        <v>4542.7</v>
      </c>
      <c r="L155" s="2" t="n">
        <f aca="false">F143</f>
        <v>4570.99</v>
      </c>
      <c r="M155" s="2" t="n">
        <f aca="false">F141</f>
        <v>4552.71</v>
      </c>
      <c r="N155" s="2" t="n">
        <f aca="false">F139</f>
        <v>4505.94</v>
      </c>
      <c r="O155" s="2" t="n">
        <f aca="false">F137</f>
        <v>4508.81</v>
      </c>
      <c r="P155" s="2" t="n">
        <f aca="false">F135</f>
        <v>4559.38</v>
      </c>
      <c r="Q155" s="2" t="n">
        <f aca="false">F133</f>
        <v>4589.36</v>
      </c>
      <c r="R155" s="1" t="n">
        <v>75.59</v>
      </c>
      <c r="S155" s="2" t="n">
        <f aca="false">R153</f>
        <v>35.82</v>
      </c>
      <c r="T155" s="2" t="n">
        <f aca="false">R151</f>
        <v>29.39</v>
      </c>
      <c r="U155" s="2" t="n">
        <f aca="false">R149</f>
        <v>15.6</v>
      </c>
      <c r="V155" s="2" t="n">
        <f aca="false">R147</f>
        <v>70.56</v>
      </c>
      <c r="W155" s="2" t="n">
        <f aca="false">R145</f>
        <v>30.64</v>
      </c>
      <c r="X155" s="2" t="n">
        <f aca="false">R143</f>
        <v>36.36</v>
      </c>
      <c r="Y155" s="2" t="n">
        <f aca="false">R141</f>
        <v>85.64</v>
      </c>
      <c r="Z155" s="2" t="n">
        <f aca="false">R139</f>
        <v>52.25</v>
      </c>
      <c r="AA155" s="2" t="n">
        <f aca="false">R137</f>
        <v>44.03</v>
      </c>
      <c r="AB155" s="2" t="n">
        <f aca="false">R135</f>
        <v>28.07</v>
      </c>
      <c r="AC155" s="2" t="n">
        <f aca="false">R133</f>
        <v>57.36</v>
      </c>
      <c r="AD155" s="1" t="n">
        <v>1.68</v>
      </c>
      <c r="AE155" s="2" t="n">
        <f aca="false">AD153</f>
        <v>0.8</v>
      </c>
      <c r="AF155" s="2" t="n">
        <f aca="false">AD151</f>
        <v>0.65</v>
      </c>
      <c r="AG155" s="2" t="n">
        <f aca="false">AD149</f>
        <v>0.35</v>
      </c>
      <c r="AH155" s="2" t="n">
        <f aca="false">AD147</f>
        <v>1.57</v>
      </c>
      <c r="AI155" s="2" t="n">
        <f aca="false">AD145</f>
        <v>0.68</v>
      </c>
      <c r="AJ155" s="2" t="n">
        <f aca="false">AD143</f>
        <v>0.8</v>
      </c>
      <c r="AK155" s="2" t="n">
        <f aca="false">AD141</f>
        <v>1.92</v>
      </c>
      <c r="AL155" s="2" t="n">
        <f aca="false">AD139</f>
        <v>1.17</v>
      </c>
      <c r="AM155" s="2" t="n">
        <f aca="false">AD137</f>
        <v>0.99</v>
      </c>
      <c r="AN155" s="2" t="n">
        <f aca="false">AD135</f>
        <v>0.62</v>
      </c>
      <c r="AO155" s="2" t="n">
        <f aca="false">AD133</f>
        <v>1.27</v>
      </c>
      <c r="AP155" s="1" t="n">
        <v>0</v>
      </c>
      <c r="AQ155" s="2" t="n">
        <f aca="false">AP153</f>
        <v>0</v>
      </c>
      <c r="AR155" s="2" t="n">
        <f aca="false">AP151</f>
        <v>0</v>
      </c>
      <c r="AS155" s="2" t="n">
        <f aca="false">AP149</f>
        <v>0</v>
      </c>
      <c r="AT155" s="2" t="n">
        <f aca="false">AP147</f>
        <v>0</v>
      </c>
      <c r="AU155" s="2" t="n">
        <f aca="false">AP145</f>
        <v>0</v>
      </c>
      <c r="AV155" s="2" t="n">
        <f aca="false">AP143</f>
        <v>0</v>
      </c>
      <c r="AW155" s="2" t="n">
        <f aca="false">AP141</f>
        <v>1</v>
      </c>
      <c r="AX155" s="2" t="n">
        <f aca="false">AP139</f>
        <v>0</v>
      </c>
      <c r="AY155" s="2" t="n">
        <f aca="false">AP137</f>
        <v>0</v>
      </c>
      <c r="AZ155" s="2" t="n">
        <f aca="false">AP135</f>
        <v>0</v>
      </c>
      <c r="BA155" s="2" t="n">
        <f aca="false">AP133</f>
        <v>0</v>
      </c>
      <c r="BB155" s="1" t="n">
        <v>12</v>
      </c>
      <c r="BC155" s="2" t="n">
        <f aca="false">BB153</f>
        <v>13</v>
      </c>
      <c r="BD155" s="2" t="n">
        <f aca="false">BB151</f>
        <v>17</v>
      </c>
      <c r="BE155" s="2" t="n">
        <f aca="false">BB149</f>
        <v>12</v>
      </c>
      <c r="BF155" s="2" t="n">
        <f aca="false">BB147</f>
        <v>17</v>
      </c>
      <c r="BG155" s="2" t="n">
        <f aca="false">BB145</f>
        <v>9</v>
      </c>
      <c r="BH155" s="2" t="n">
        <f aca="false">BB143</f>
        <v>9</v>
      </c>
      <c r="BI155" s="2" t="n">
        <f aca="false">BB141</f>
        <v>5</v>
      </c>
      <c r="BJ155" s="2" t="n">
        <f aca="false">BB139</f>
        <v>40</v>
      </c>
      <c r="BK155" s="2" t="n">
        <f aca="false">BB137</f>
        <v>41</v>
      </c>
      <c r="BL155" s="2" t="n">
        <f aca="false">BB135</f>
        <v>10</v>
      </c>
      <c r="BM155" s="2" t="n">
        <f aca="false">BB133</f>
        <v>32</v>
      </c>
      <c r="BN155" s="1" t="n">
        <v>0</v>
      </c>
      <c r="BO155" s="2" t="n">
        <f aca="false">BN153</f>
        <v>0</v>
      </c>
      <c r="BP155" s="2" t="n">
        <f aca="false">BN151</f>
        <v>0</v>
      </c>
      <c r="BQ155" s="2" t="n">
        <f aca="false">BN149</f>
        <v>0</v>
      </c>
      <c r="BR155" s="2" t="n">
        <f aca="false">BN147</f>
        <v>0</v>
      </c>
      <c r="BS155" s="2" t="n">
        <f aca="false">BN145</f>
        <v>0</v>
      </c>
      <c r="BT155" s="2" t="n">
        <f aca="false">BN143</f>
        <v>0</v>
      </c>
      <c r="BU155" s="2" t="n">
        <f aca="false">BN141</f>
        <v>0</v>
      </c>
      <c r="BV155" s="2" t="n">
        <f aca="false">BN139</f>
        <v>2</v>
      </c>
      <c r="BW155" s="2" t="n">
        <f aca="false">BN137</f>
        <v>2</v>
      </c>
      <c r="BX155" s="2" t="n">
        <f aca="false">BN135</f>
        <v>0</v>
      </c>
      <c r="BY155" s="2" t="n">
        <f aca="false">BN133</f>
        <v>1</v>
      </c>
      <c r="BZ155" s="1" t="n">
        <v>6.29917</v>
      </c>
      <c r="CA155" s="2" t="n">
        <f aca="false">BZ153</f>
        <v>2.75538</v>
      </c>
      <c r="CB155" s="2" t="n">
        <f aca="false">BZ151</f>
        <v>1.72882</v>
      </c>
      <c r="CC155" s="2" t="n">
        <f aca="false">BZ149</f>
        <v>1.3</v>
      </c>
      <c r="CD155" s="2" t="n">
        <f aca="false">BZ147</f>
        <v>4.15059</v>
      </c>
      <c r="CE155" s="2" t="n">
        <f aca="false">BZ145</f>
        <v>3.40444</v>
      </c>
      <c r="CF155" s="2" t="n">
        <f aca="false">BZ143</f>
        <v>4.04</v>
      </c>
      <c r="CG155" s="2" t="n">
        <f aca="false">BZ141</f>
        <v>17.128</v>
      </c>
      <c r="CH155" s="2" t="n">
        <f aca="false">BZ139</f>
        <v>1.30625</v>
      </c>
      <c r="CI155" s="2" t="n">
        <f aca="false">BZ137</f>
        <v>1.0739</v>
      </c>
      <c r="CJ155" s="2" t="n">
        <f aca="false">BZ135</f>
        <v>2.807</v>
      </c>
      <c r="CK155" s="2" t="n">
        <f aca="false">BZ133</f>
        <v>1.7925</v>
      </c>
      <c r="CL155" s="1" t="n">
        <v>0</v>
      </c>
      <c r="CM155" s="2" t="n">
        <f aca="false">CL153</f>
        <v>0</v>
      </c>
      <c r="CN155" s="2" t="n">
        <f aca="false">CL151</f>
        <v>0</v>
      </c>
      <c r="CO155" s="2" t="n">
        <f aca="false">CL149</f>
        <v>0</v>
      </c>
      <c r="CP155" s="2" t="n">
        <f aca="false">CL147</f>
        <v>0</v>
      </c>
      <c r="CQ155" s="2" t="n">
        <f aca="false">CL145</f>
        <v>0</v>
      </c>
      <c r="CR155" s="2" t="n">
        <f aca="false">CL143</f>
        <v>0</v>
      </c>
      <c r="CS155" s="2" t="n">
        <f aca="false">CL141</f>
        <v>2</v>
      </c>
      <c r="CT155" s="2" t="n">
        <f aca="false">CL139</f>
        <v>0</v>
      </c>
      <c r="CU155" s="2" t="n">
        <f aca="false">CL137</f>
        <v>0</v>
      </c>
      <c r="CV155" s="2" t="n">
        <f aca="false">CL135</f>
        <v>0</v>
      </c>
      <c r="CW155" s="2" t="n">
        <f aca="false">CL133</f>
        <v>0</v>
      </c>
      <c r="CX155" s="1" t="n">
        <v>80.9795</v>
      </c>
      <c r="CY155" s="2" t="n">
        <f aca="false">CX153</f>
        <v>70.0529</v>
      </c>
      <c r="CZ155" s="2" t="n">
        <f aca="false">CX151</f>
        <v>59.9537</v>
      </c>
      <c r="DA155" s="2" t="n">
        <f aca="false">CX149</f>
        <v>52.4314</v>
      </c>
      <c r="DB155" s="2" t="n">
        <f aca="false">CX147</f>
        <v>76.4539</v>
      </c>
      <c r="DC155" s="2" t="n">
        <f aca="false">CX145</f>
        <v>73.6307</v>
      </c>
      <c r="DD155" s="2" t="n">
        <f aca="false">CX143</f>
        <v>76.0973</v>
      </c>
      <c r="DE155" s="2" t="n">
        <f aca="false">CX141</f>
        <v>86.6586</v>
      </c>
      <c r="DF155" s="2" t="n">
        <f aca="false">CX139</f>
        <v>52.5641</v>
      </c>
      <c r="DG155" s="2" t="n">
        <f aca="false">CX137</f>
        <v>47.0408</v>
      </c>
      <c r="DH155" s="2" t="n">
        <f aca="false">CX135</f>
        <v>70.3914</v>
      </c>
      <c r="DI155" s="2" t="n">
        <f aca="false">CX133</f>
        <v>60.8437</v>
      </c>
      <c r="DJ155" s="1" t="s">
        <v>176</v>
      </c>
      <c r="DK155" s="2" t="str">
        <f aca="false">DJ153</f>
        <v>LH</v>
      </c>
      <c r="DL155" s="2" t="str">
        <f aca="false">DJ151</f>
        <v>HH</v>
      </c>
      <c r="DM155" s="2" t="str">
        <f aca="false">DJ149</f>
        <v>LH</v>
      </c>
      <c r="DN155" s="2" t="str">
        <f aca="false">DJ147</f>
        <v>HH</v>
      </c>
      <c r="DO155" s="2" t="str">
        <f aca="false">DJ145</f>
        <v>LH</v>
      </c>
      <c r="DP155" s="2" t="str">
        <f aca="false">DJ143</f>
        <v>HH</v>
      </c>
      <c r="DQ155" s="2" t="str">
        <f aca="false">DJ141</f>
        <v>HH</v>
      </c>
      <c r="DR155" s="2" t="str">
        <f aca="false">DJ139</f>
        <v>LH</v>
      </c>
      <c r="DS155" s="2" t="str">
        <f aca="false">DJ137</f>
        <v>LH</v>
      </c>
      <c r="DT155" s="2" t="str">
        <f aca="false">DJ135</f>
        <v>LH</v>
      </c>
      <c r="DU155" s="2" t="str">
        <f aca="false">DJ133</f>
        <v>HH</v>
      </c>
      <c r="DV155" s="2" t="n">
        <f aca="false">IFERROR((G155-$F155)/$F155*100,"")</f>
        <v>-1.14039799300433</v>
      </c>
      <c r="DW155" s="2" t="n">
        <f aca="false">IFERROR((H155-$F155)/$F155*100,"")</f>
        <v>-0.942143852156552</v>
      </c>
      <c r="DX155" s="2" t="n">
        <f aca="false">IFERROR((I155-$F155)/$F155*100,"")</f>
        <v>-1.00044104996091</v>
      </c>
      <c r="DY155" s="2" t="n">
        <f aca="false">IFERROR((J155-$F155)/$F155*100,"")</f>
        <v>-0.451967039157372</v>
      </c>
      <c r="DZ155" s="2" t="n">
        <f aca="false">IFERROR((K155-$F155)/$F155*100,"")</f>
        <v>-0.813977353612892</v>
      </c>
      <c r="EA155" s="2" t="n">
        <f aca="false">IFERROR((L155-$F155)/$F155*100,"")</f>
        <v>-0.196289066764479</v>
      </c>
      <c r="EB155" s="2" t="n">
        <f aca="false">IFERROR((M155-$F155)/$F155*100,"")</f>
        <v>-0.595417447237751</v>
      </c>
      <c r="EC155" s="2" t="n">
        <f aca="false">IFERROR((N155-$F155)/$F155*100,"")</f>
        <v>-1.61660094585566</v>
      </c>
      <c r="ED155" s="2" t="n">
        <f aca="false">IFERROR((O155-$F155)/$F155*100,"")</f>
        <v>-1.55393691675508</v>
      </c>
      <c r="EE155" s="2" t="n">
        <f aca="false">IFERROR((P155-$F155)/$F155*100,"")</f>
        <v>-0.449783623509261</v>
      </c>
      <c r="EF155" s="2" t="n">
        <f aca="false">IFERROR((Q155-$F155)/$F155*100,"")</f>
        <v>0.204804387792089</v>
      </c>
      <c r="EG155" s="2" t="str">
        <f aca="false">IF(DV155="","",IF(AND(ABS(DV155)&lt;=0.25,$E155="Bottom",DK155="LL"),"EQL",IF(AND(ABS(DV155)&lt;=0.25,$E155="Peak",DK155="HH"),"EQH","")))</f>
        <v/>
      </c>
      <c r="EH155" s="2" t="str">
        <f aca="false">IF(DW155="","",IF(AND(ABS(DW155)&lt;=0.25,$E155="Bottom",DL155="LL"),"EQL",IF(AND(ABS(DW155)&lt;=0.25,$E155="Peak",DL155="HH"),"EQH","")))</f>
        <v/>
      </c>
      <c r="EI155" s="2" t="str">
        <f aca="false">IF(DX155="","",IF(AND(ABS(DX155)&lt;=0.25,$E155="Bottom",DM155="LL"),"EQL",IF(AND(ABS(DX155)&lt;=0.25,$E155="Peak",DM155="HH"),"EQH","")))</f>
        <v/>
      </c>
      <c r="EJ155" s="2" t="str">
        <f aca="false">IF(DY155="","",IF(AND(ABS(DY155)&lt;=0.25,$E155="Bottom",DN155="LL"),"EQL",IF(AND(ABS(DY155)&lt;=0.25,$E155="Peak",DN155="HH"),"EQH","")))</f>
        <v/>
      </c>
      <c r="EK155" s="2" t="str">
        <f aca="false">IF(DZ155="","",IF(AND(ABS(DZ155)&lt;=0.25,$E155="Bottom",DO155="LL"),"EQL",IF(AND(ABS(DZ155)&lt;=0.25,$E155="Peak",DO155="HH"),"EQH","")))</f>
        <v/>
      </c>
      <c r="EL155" s="2" t="str">
        <f aca="false">IF(EA155="","",IF(AND(ABS(EA155)&lt;=0.25,$E155="Bottom",DP155="LL"),"EQL",IF(AND(ABS(EA155)&lt;=0.25,$E155="Peak",DP155="HH"),"EQH","")))</f>
        <v>EQH</v>
      </c>
      <c r="EM155" s="2" t="str">
        <f aca="false">IF(EB155="","",IF(AND(ABS(EB155)&lt;=0.25,$E155="Bottom",DQ155="LL"),"EQL",IF(AND(ABS(EB155)&lt;=0.25,$E155="Peak",DQ155="HH"),"EQH","")))</f>
        <v/>
      </c>
      <c r="EN155" s="2" t="str">
        <f aca="false">IF(EC155="","",IF(AND(ABS(EC155)&lt;=0.25,$E155="Bottom",DR155="LL"),"EQL",IF(AND(ABS(EC155)&lt;=0.25,$E155="Peak",DR155="HH"),"EQH","")))</f>
        <v/>
      </c>
      <c r="EO155" s="2" t="str">
        <f aca="false">IF(ED155="","",IF(AND(ABS(ED155)&lt;=0.25,$E155="Bottom",DS155="LL"),"EQL",IF(AND(ABS(ED155)&lt;=0.25,$E155="Peak",DS155="HH"),"EQH","")))</f>
        <v/>
      </c>
      <c r="EP155" s="2" t="str">
        <f aca="false">IF(EE155="","",IF(AND(ABS(EE155)&lt;=0.25,$E155="Bottom",DT155="LL"),"EQL",IF(AND(ABS(EE155)&lt;=0.25,$E155="Peak",DT155="HH"),"EQH","")))</f>
        <v/>
      </c>
      <c r="EQ155" s="2" t="str">
        <f aca="false">IF(EF155="","",IF(AND(ABS(EF155)&lt;=0.25,$E155="Bottom",DU155="LL"),"EQL",IF(AND(ABS(EF155)&lt;=0.25,$E155="Peak",DU155="HH"),"EQH","")))</f>
        <v>EQH</v>
      </c>
      <c r="ER155" s="2" t="str">
        <f aca="false">IF(OR(EG155="EQL",EG155="EQH"),G155,"")</f>
        <v/>
      </c>
      <c r="ES155" s="2" t="str">
        <f aca="false">IF(OR(EH155="EQL",EH155="EQH"),H155,"")</f>
        <v/>
      </c>
      <c r="ET155" s="2" t="str">
        <f aca="false">IF(OR(EI155="EQL",EI155="EQH"),I155,"")</f>
        <v/>
      </c>
      <c r="EU155" s="2" t="str">
        <f aca="false">IF(OR(EJ155="EQL",EJ155="EQH"),J155,"")</f>
        <v/>
      </c>
      <c r="EV155" s="2" t="str">
        <f aca="false">IF(OR(EK155="EQL",EK155="EQH"),K155,"")</f>
        <v/>
      </c>
      <c r="EW155" s="2" t="n">
        <f aca="false">IF(OR(EL155="EQL",EL155="EQH"),L155,"")</f>
        <v>4570.99</v>
      </c>
      <c r="EX155" s="2" t="str">
        <f aca="false">IF(OR(EM155="EQL",EM155="EQH"),M155,"")</f>
        <v/>
      </c>
      <c r="EY155" s="2" t="str">
        <f aca="false">IF(OR(EN155="EQL",EN155="EQH"),N155,"")</f>
        <v/>
      </c>
      <c r="EZ155" s="2" t="str">
        <f aca="false">IF(OR(EO155="EQL",EO155="EQH"),O155,"")</f>
        <v/>
      </c>
      <c r="FA155" s="2" t="str">
        <f aca="false">IF(OR(EP155="EQL",EP155="EQH"),P155,"")</f>
        <v/>
      </c>
      <c r="FB155" s="2" t="n">
        <f aca="false">IF(OR(EQ155="EQL",EQ155="EQH"),Q155,"")</f>
        <v>4589.36</v>
      </c>
      <c r="FC155" s="2" t="str">
        <f aca="false">IF(AND(EG155="EQL",OR(AQ155=4,AQ155=5)),"IEQL",IF(AND(EG155="EQH",OR(AQ155=1,AQ155=2)),"IEQH",""))</f>
        <v/>
      </c>
      <c r="FD155" s="2" t="str">
        <f aca="false">IF(AND(EH155="EQL",OR(AR155=4,AR155=5)),"IEQL",IF(AND(EH155="EQH",OR(AR155=1,AR155=2)),"IEQH",""))</f>
        <v/>
      </c>
      <c r="FE155" s="2" t="str">
        <f aca="false">IF(AND(EI155="EQL",OR(AS155=4,AS155=5)),"IEQL",IF(AND(EI155="EQH",OR(AS155=1,AS155=2)),"IEQH",""))</f>
        <v/>
      </c>
      <c r="FF155" s="2" t="str">
        <f aca="false">IF(AND(EJ155="EQL",OR(AT155=4,AT155=5)),"IEQL",IF(AND(EJ155="EQH",OR(AT155=1,AT155=2)),"IEQH",""))</f>
        <v/>
      </c>
      <c r="FG155" s="2" t="str">
        <f aca="false">IF(AND(EK155="EQL",OR(AU155=4,AU155=5)),"IEQL",IF(AND(EK155="EQH",OR(AU155=1,AU155=2)),"IEQH",""))</f>
        <v/>
      </c>
      <c r="FH155" s="2" t="str">
        <f aca="false">IF(AND(EL155="EQL",OR(AV155=4,AV155=5)),"IEQL",IF(AND(EL155="EQH",OR(AV155=1,AV155=2)),"IEQH",""))</f>
        <v/>
      </c>
      <c r="FI155" s="2" t="str">
        <f aca="false">IF(AND(EM155="EQL",OR(AW155=4,AW155=5)),"IEQL",IF(AND(EM155="EQH",OR(AW155=1,AW155=2)),"IEQH",""))</f>
        <v/>
      </c>
      <c r="FJ155" s="2" t="str">
        <f aca="false">IF(AND(EN155="EQL",OR(AX155=4,AX155=5)),"IEQL",IF(AND(EN155="EQH",OR(AX155=1,AX155=2)),"IEQH",""))</f>
        <v/>
      </c>
      <c r="FK155" s="2" t="str">
        <f aca="false">IF(AND(EO155="EQL",OR(AY155=4,AY155=5)),"IEQL",IF(AND(EO155="EQH",OR(AY155=1,AY155=2)),"IEQH",""))</f>
        <v/>
      </c>
      <c r="FL155" s="2" t="str">
        <f aca="false">IF(AND(EP155="EQL",OR(AZ155=4,AZ155=5)),"IEQL",IF(AND(EP155="EQH",OR(AZ155=1,AZ155=2)),"IEQH",""))</f>
        <v/>
      </c>
      <c r="FM155" s="2" t="str">
        <f aca="false">IF(AND(EQ155="EQL",OR(BA155=4,BA155=5)),"IEQL",IF(AND(EQ155="EQH",OR(BA155=1,BA155=2)),"IEQH",""))</f>
        <v/>
      </c>
    </row>
    <row r="156" customFormat="false" ht="14.25" hidden="false" customHeight="false" outlineLevel="0" collapsed="false">
      <c r="A156" s="1" t="n">
        <v>1779688802</v>
      </c>
      <c r="B156" s="1" t="s">
        <v>169</v>
      </c>
      <c r="C156" s="1" t="s">
        <v>170</v>
      </c>
      <c r="D156" s="1" t="n">
        <v>4553.81</v>
      </c>
      <c r="E156" s="1" t="s">
        <v>171</v>
      </c>
      <c r="F156" s="1" t="n">
        <v>4550.48</v>
      </c>
      <c r="G156" s="2" t="n">
        <f aca="false">F154</f>
        <v>4504.39</v>
      </c>
      <c r="H156" s="2" t="n">
        <f aca="false">F152</f>
        <v>4491.93</v>
      </c>
      <c r="I156" s="2" t="n">
        <f aca="false">F150</f>
        <v>4507.44</v>
      </c>
      <c r="J156" s="2" t="n">
        <f aca="false">F148</f>
        <v>4518.56</v>
      </c>
      <c r="K156" s="2" t="n">
        <f aca="false">F146</f>
        <v>4488.72</v>
      </c>
      <c r="L156" s="2" t="n">
        <f aca="false">F144</f>
        <v>4512.06</v>
      </c>
      <c r="M156" s="2" t="n">
        <f aca="false">F142</f>
        <v>4534.63</v>
      </c>
      <c r="N156" s="2" t="n">
        <f aca="false">F140</f>
        <v>4467.07</v>
      </c>
      <c r="O156" s="2" t="n">
        <f aca="false">F138</f>
        <v>4453.69</v>
      </c>
      <c r="P156" s="2" t="n">
        <f aca="false">F136</f>
        <v>4464.78</v>
      </c>
      <c r="Q156" s="2" t="n">
        <f aca="false">F134</f>
        <v>4531.31</v>
      </c>
      <c r="R156" s="1" t="n">
        <v>-29.5</v>
      </c>
      <c r="S156" s="2" t="n">
        <f aca="false">R154</f>
        <v>-23.36</v>
      </c>
      <c r="T156" s="2" t="n">
        <f aca="false">R152</f>
        <v>-44.9</v>
      </c>
      <c r="U156" s="2" t="n">
        <f aca="false">R150</f>
        <v>-26.72</v>
      </c>
      <c r="V156" s="2" t="n">
        <f aca="false">R148</f>
        <v>-40.72</v>
      </c>
      <c r="W156" s="2" t="n">
        <f aca="false">R146</f>
        <v>-53.98</v>
      </c>
      <c r="X156" s="2" t="n">
        <f aca="false">R144</f>
        <v>-58.93</v>
      </c>
      <c r="Y156" s="2" t="n">
        <f aca="false">R142</f>
        <v>-18.08</v>
      </c>
      <c r="Z156" s="2" t="n">
        <f aca="false">R140</f>
        <v>-38.87</v>
      </c>
      <c r="AA156" s="2" t="n">
        <f aca="false">R138</f>
        <v>-55.12</v>
      </c>
      <c r="AB156" s="2" t="n">
        <f aca="false">R136</f>
        <v>-94.6</v>
      </c>
      <c r="AC156" s="2" t="n">
        <f aca="false">R134</f>
        <v>-58.05</v>
      </c>
      <c r="AD156" s="1" t="n">
        <v>-0.64</v>
      </c>
      <c r="AE156" s="2" t="n">
        <f aca="false">AD154</f>
        <v>-0.52</v>
      </c>
      <c r="AF156" s="2" t="n">
        <f aca="false">AD152</f>
        <v>-0.99</v>
      </c>
      <c r="AG156" s="2" t="n">
        <f aca="false">AD150</f>
        <v>-0.59</v>
      </c>
      <c r="AH156" s="2" t="n">
        <f aca="false">AD148</f>
        <v>-0.89</v>
      </c>
      <c r="AI156" s="2" t="n">
        <f aca="false">AD146</f>
        <v>-1.19</v>
      </c>
      <c r="AJ156" s="2" t="n">
        <f aca="false">AD144</f>
        <v>-1.29</v>
      </c>
      <c r="AK156" s="2" t="n">
        <f aca="false">AD142</f>
        <v>-0.4</v>
      </c>
      <c r="AL156" s="2" t="n">
        <f aca="false">AD140</f>
        <v>-0.86</v>
      </c>
      <c r="AM156" s="2" t="n">
        <f aca="false">AD138</f>
        <v>-1.22</v>
      </c>
      <c r="AN156" s="2" t="n">
        <f aca="false">AD136</f>
        <v>-2.07</v>
      </c>
      <c r="AO156" s="2" t="n">
        <f aca="false">AD134</f>
        <v>-1.26</v>
      </c>
      <c r="AP156" s="1" t="n">
        <v>3</v>
      </c>
      <c r="AQ156" s="2" t="n">
        <f aca="false">AP154</f>
        <v>3</v>
      </c>
      <c r="AR156" s="2" t="n">
        <f aca="false">AP152</f>
        <v>3</v>
      </c>
      <c r="AS156" s="2" t="n">
        <f aca="false">AP150</f>
        <v>3</v>
      </c>
      <c r="AT156" s="2" t="n">
        <f aca="false">AP148</f>
        <v>3</v>
      </c>
      <c r="AU156" s="2" t="n">
        <f aca="false">AP146</f>
        <v>3</v>
      </c>
      <c r="AV156" s="2" t="n">
        <f aca="false">AP144</f>
        <v>3</v>
      </c>
      <c r="AW156" s="2" t="n">
        <f aca="false">AP142</f>
        <v>3</v>
      </c>
      <c r="AX156" s="2" t="n">
        <f aca="false">AP140</f>
        <v>3</v>
      </c>
      <c r="AY156" s="2" t="n">
        <f aca="false">AP138</f>
        <v>3</v>
      </c>
      <c r="AZ156" s="2" t="n">
        <f aca="false">AP136</f>
        <v>4</v>
      </c>
      <c r="BA156" s="2" t="n">
        <f aca="false">AP134</f>
        <v>3</v>
      </c>
      <c r="BB156" s="1" t="n">
        <v>26</v>
      </c>
      <c r="BC156" s="2" t="n">
        <f aca="false">BB154</f>
        <v>8</v>
      </c>
      <c r="BD156" s="2" t="n">
        <f aca="false">BB152</f>
        <v>17</v>
      </c>
      <c r="BE156" s="2" t="n">
        <f aca="false">BB150</f>
        <v>1</v>
      </c>
      <c r="BF156" s="2" t="n">
        <f aca="false">BB148</f>
        <v>31</v>
      </c>
      <c r="BG156" s="2" t="n">
        <f aca="false">BB146</f>
        <v>16</v>
      </c>
      <c r="BH156" s="2" t="n">
        <f aca="false">BB144</f>
        <v>23</v>
      </c>
      <c r="BI156" s="2" t="n">
        <f aca="false">BB142</f>
        <v>28</v>
      </c>
      <c r="BJ156" s="2" t="n">
        <f aca="false">BB140</f>
        <v>4</v>
      </c>
      <c r="BK156" s="2" t="n">
        <f aca="false">BB138</f>
        <v>9</v>
      </c>
      <c r="BL156" s="2" t="n">
        <f aca="false">BB136</f>
        <v>23</v>
      </c>
      <c r="BM156" s="2" t="n">
        <f aca="false">BB134</f>
        <v>21</v>
      </c>
      <c r="BN156" s="1" t="n">
        <v>3</v>
      </c>
      <c r="BO156" s="2" t="n">
        <f aca="false">BN154</f>
        <v>3</v>
      </c>
      <c r="BP156" s="2" t="n">
        <f aca="false">BN152</f>
        <v>3</v>
      </c>
      <c r="BQ156" s="2" t="n">
        <f aca="false">BN150</f>
        <v>3</v>
      </c>
      <c r="BR156" s="2" t="n">
        <f aca="false">BN148</f>
        <v>3</v>
      </c>
      <c r="BS156" s="2" t="n">
        <f aca="false">BN146</f>
        <v>3</v>
      </c>
      <c r="BT156" s="2" t="n">
        <f aca="false">BN144</f>
        <v>3</v>
      </c>
      <c r="BU156" s="2" t="n">
        <f aca="false">BN142</f>
        <v>3</v>
      </c>
      <c r="BV156" s="2" t="n">
        <f aca="false">BN140</f>
        <v>3</v>
      </c>
      <c r="BW156" s="2" t="n">
        <f aca="false">BN138</f>
        <v>3</v>
      </c>
      <c r="BX156" s="2" t="n">
        <f aca="false">BN136</f>
        <v>3</v>
      </c>
      <c r="BY156" s="2" t="n">
        <f aca="false">BN134</f>
        <v>3</v>
      </c>
      <c r="BZ156" s="1" t="n">
        <v>-1.13462</v>
      </c>
      <c r="CA156" s="2" t="n">
        <f aca="false">BZ154</f>
        <v>-2.92</v>
      </c>
      <c r="CB156" s="2" t="n">
        <f aca="false">BZ152</f>
        <v>-2.64118</v>
      </c>
      <c r="CC156" s="2" t="n">
        <f aca="false">BZ150</f>
        <v>-26.72</v>
      </c>
      <c r="CD156" s="2" t="n">
        <f aca="false">BZ148</f>
        <v>-1.31355</v>
      </c>
      <c r="CE156" s="2" t="n">
        <f aca="false">BZ146</f>
        <v>-3.37375</v>
      </c>
      <c r="CF156" s="2" t="n">
        <f aca="false">BZ144</f>
        <v>-2.56217</v>
      </c>
      <c r="CG156" s="2" t="n">
        <f aca="false">BZ142</f>
        <v>-0.64571</v>
      </c>
      <c r="CH156" s="2" t="n">
        <f aca="false">BZ140</f>
        <v>-9.7175</v>
      </c>
      <c r="CI156" s="2" t="n">
        <f aca="false">BZ138</f>
        <v>-6.12444</v>
      </c>
      <c r="CJ156" s="2" t="n">
        <f aca="false">BZ136</f>
        <v>-4.11304</v>
      </c>
      <c r="CK156" s="2" t="n">
        <f aca="false">BZ134</f>
        <v>-2.76429</v>
      </c>
      <c r="CL156" s="1" t="n">
        <v>3</v>
      </c>
      <c r="CM156" s="2" t="n">
        <f aca="false">CL154</f>
        <v>3</v>
      </c>
      <c r="CN156" s="2" t="n">
        <f aca="false">CL152</f>
        <v>3</v>
      </c>
      <c r="CO156" s="2" t="n">
        <f aca="false">CL150</f>
        <v>5</v>
      </c>
      <c r="CP156" s="2" t="n">
        <f aca="false">CL148</f>
        <v>3</v>
      </c>
      <c r="CQ156" s="2" t="n">
        <f aca="false">CL146</f>
        <v>3</v>
      </c>
      <c r="CR156" s="2" t="n">
        <f aca="false">CL144</f>
        <v>3</v>
      </c>
      <c r="CS156" s="2" t="n">
        <f aca="false">CL142</f>
        <v>3</v>
      </c>
      <c r="CT156" s="2" t="n">
        <f aca="false">CL140</f>
        <v>4</v>
      </c>
      <c r="CU156" s="2" t="n">
        <f aca="false">CL138</f>
        <v>3</v>
      </c>
      <c r="CV156" s="2" t="n">
        <f aca="false">CL136</f>
        <v>3</v>
      </c>
      <c r="CW156" s="2" t="n">
        <f aca="false">CL134</f>
        <v>3</v>
      </c>
      <c r="CX156" s="1" t="n">
        <v>-48.6085</v>
      </c>
      <c r="CY156" s="2" t="n">
        <f aca="false">CX154</f>
        <v>-71.0954</v>
      </c>
      <c r="CZ156" s="2" t="n">
        <f aca="false">CX152</f>
        <v>-69.2624</v>
      </c>
      <c r="DA156" s="2" t="n">
        <f aca="false">CX150</f>
        <v>-87.8567</v>
      </c>
      <c r="DB156" s="2" t="n">
        <f aca="false">CX148</f>
        <v>-52.7181</v>
      </c>
      <c r="DC156" s="2" t="n">
        <f aca="false">CX146</f>
        <v>-73.4899</v>
      </c>
      <c r="DD156" s="2" t="n">
        <f aca="false">CX144</f>
        <v>-68.6796</v>
      </c>
      <c r="DE156" s="2" t="n">
        <f aca="false">CX142</f>
        <v>-32.8509</v>
      </c>
      <c r="DF156" s="2" t="n">
        <f aca="false">CX140</f>
        <v>-84.1245</v>
      </c>
      <c r="DG156" s="2" t="n">
        <f aca="false">CX138</f>
        <v>-80.7266</v>
      </c>
      <c r="DH156" s="2" t="n">
        <f aca="false">CX136</f>
        <v>-76.3349</v>
      </c>
      <c r="DI156" s="2" t="n">
        <f aca="false">CX134</f>
        <v>-70.112</v>
      </c>
      <c r="DJ156" s="1" t="s">
        <v>175</v>
      </c>
      <c r="DK156" s="2" t="str">
        <f aca="false">DJ154</f>
        <v>HL</v>
      </c>
      <c r="DL156" s="2" t="str">
        <f aca="false">DJ152</f>
        <v>LL</v>
      </c>
      <c r="DM156" s="2" t="str">
        <f aca="false">DJ150</f>
        <v>LL</v>
      </c>
      <c r="DN156" s="2" t="str">
        <f aca="false">DJ148</f>
        <v>HL</v>
      </c>
      <c r="DO156" s="2" t="str">
        <f aca="false">DJ146</f>
        <v>LL</v>
      </c>
      <c r="DP156" s="2" t="str">
        <f aca="false">DJ144</f>
        <v>LL</v>
      </c>
      <c r="DQ156" s="2" t="str">
        <f aca="false">DJ142</f>
        <v>HL</v>
      </c>
      <c r="DR156" s="2" t="str">
        <f aca="false">DJ140</f>
        <v>HL</v>
      </c>
      <c r="DS156" s="2" t="str">
        <f aca="false">DJ138</f>
        <v>LL</v>
      </c>
      <c r="DT156" s="2" t="str">
        <f aca="false">DJ136</f>
        <v>LL</v>
      </c>
      <c r="DU156" s="2" t="str">
        <f aca="false">DJ134</f>
        <v>LL</v>
      </c>
      <c r="DV156" s="2" t="n">
        <f aca="false">IFERROR((G156-$F156)/$F156*100,"")</f>
        <v>-1.012860181783</v>
      </c>
      <c r="DW156" s="2" t="n">
        <f aca="false">IFERROR((H156-$F156)/$F156*100,"")</f>
        <v>-1.28667744941191</v>
      </c>
      <c r="DX156" s="2" t="n">
        <f aca="false">IFERROR((I156-$F156)/$F156*100,"")</f>
        <v>-0.945834285613825</v>
      </c>
      <c r="DY156" s="2" t="n">
        <f aca="false">IFERROR((J156-$F156)/$F156*100,"")</f>
        <v>-0.701464460892019</v>
      </c>
      <c r="DZ156" s="2" t="n">
        <f aca="false">IFERROR((K156-$F156)/$F156*100,"")</f>
        <v>-1.35721945816704</v>
      </c>
      <c r="EA156" s="2" t="n">
        <f aca="false">IFERROR((L156-$F156)/$F156*100,"")</f>
        <v>-0.844306534695223</v>
      </c>
      <c r="EB156" s="2" t="n">
        <f aca="false">IFERROR((M156-$F156)/$F156*100,"")</f>
        <v>-0.348314903043184</v>
      </c>
      <c r="EC156" s="2" t="n">
        <f aca="false">IFERROR((N156-$F156)/$F156*100,"")</f>
        <v>-1.83299344245002</v>
      </c>
      <c r="ED156" s="2" t="n">
        <f aca="false">IFERROR((O156-$F156)/$F156*100,"")</f>
        <v>-2.127028357448</v>
      </c>
      <c r="EE156" s="2" t="n">
        <f aca="false">IFERROR((P156-$F156)/$F156*100,"")</f>
        <v>-1.88331780383608</v>
      </c>
      <c r="EF156" s="2" t="n">
        <f aca="false">IFERROR((Q156-$F156)/$F156*100,"")</f>
        <v>-0.421274239201121</v>
      </c>
      <c r="EG156" s="2" t="str">
        <f aca="false">IF(DV156="","",IF(AND(ABS(DV156)&lt;=0.25,$E156="Bottom",DK156="LL"),"EQL",IF(AND(ABS(DV156)&lt;=0.25,$E156="Peak",DK156="HH"),"EQH","")))</f>
        <v/>
      </c>
      <c r="EH156" s="2" t="str">
        <f aca="false">IF(DW156="","",IF(AND(ABS(DW156)&lt;=0.25,$E156="Bottom",DL156="LL"),"EQL",IF(AND(ABS(DW156)&lt;=0.25,$E156="Peak",DL156="HH"),"EQH","")))</f>
        <v/>
      </c>
      <c r="EI156" s="2" t="str">
        <f aca="false">IF(DX156="","",IF(AND(ABS(DX156)&lt;=0.25,$E156="Bottom",DM156="LL"),"EQL",IF(AND(ABS(DX156)&lt;=0.25,$E156="Peak",DM156="HH"),"EQH","")))</f>
        <v/>
      </c>
      <c r="EJ156" s="2" t="str">
        <f aca="false">IF(DY156="","",IF(AND(ABS(DY156)&lt;=0.25,$E156="Bottom",DN156="LL"),"EQL",IF(AND(ABS(DY156)&lt;=0.25,$E156="Peak",DN156="HH"),"EQH","")))</f>
        <v/>
      </c>
      <c r="EK156" s="2" t="str">
        <f aca="false">IF(DZ156="","",IF(AND(ABS(DZ156)&lt;=0.25,$E156="Bottom",DO156="LL"),"EQL",IF(AND(ABS(DZ156)&lt;=0.25,$E156="Peak",DO156="HH"),"EQH","")))</f>
        <v/>
      </c>
      <c r="EL156" s="2" t="str">
        <f aca="false">IF(EA156="","",IF(AND(ABS(EA156)&lt;=0.25,$E156="Bottom",DP156="LL"),"EQL",IF(AND(ABS(EA156)&lt;=0.25,$E156="Peak",DP156="HH"),"EQH","")))</f>
        <v/>
      </c>
      <c r="EM156" s="2" t="str">
        <f aca="false">IF(EB156="","",IF(AND(ABS(EB156)&lt;=0.25,$E156="Bottom",DQ156="LL"),"EQL",IF(AND(ABS(EB156)&lt;=0.25,$E156="Peak",DQ156="HH"),"EQH","")))</f>
        <v/>
      </c>
      <c r="EN156" s="2" t="str">
        <f aca="false">IF(EC156="","",IF(AND(ABS(EC156)&lt;=0.25,$E156="Bottom",DR156="LL"),"EQL",IF(AND(ABS(EC156)&lt;=0.25,$E156="Peak",DR156="HH"),"EQH","")))</f>
        <v/>
      </c>
      <c r="EO156" s="2" t="str">
        <f aca="false">IF(ED156="","",IF(AND(ABS(ED156)&lt;=0.25,$E156="Bottom",DS156="LL"),"EQL",IF(AND(ABS(ED156)&lt;=0.25,$E156="Peak",DS156="HH"),"EQH","")))</f>
        <v/>
      </c>
      <c r="EP156" s="2" t="str">
        <f aca="false">IF(EE156="","",IF(AND(ABS(EE156)&lt;=0.25,$E156="Bottom",DT156="LL"),"EQL",IF(AND(ABS(EE156)&lt;=0.25,$E156="Peak",DT156="HH"),"EQH","")))</f>
        <v/>
      </c>
      <c r="EQ156" s="2" t="str">
        <f aca="false">IF(EF156="","",IF(AND(ABS(EF156)&lt;=0.25,$E156="Bottom",DU156="LL"),"EQL",IF(AND(ABS(EF156)&lt;=0.25,$E156="Peak",DU156="HH"),"EQH","")))</f>
        <v/>
      </c>
      <c r="ER156" s="2" t="str">
        <f aca="false">IF(OR(EG156="EQL",EG156="EQH"),G156,"")</f>
        <v/>
      </c>
      <c r="ES156" s="2" t="str">
        <f aca="false">IF(OR(EH156="EQL",EH156="EQH"),H156,"")</f>
        <v/>
      </c>
      <c r="ET156" s="2" t="str">
        <f aca="false">IF(OR(EI156="EQL",EI156="EQH"),I156,"")</f>
        <v/>
      </c>
      <c r="EU156" s="2" t="str">
        <f aca="false">IF(OR(EJ156="EQL",EJ156="EQH"),J156,"")</f>
        <v/>
      </c>
      <c r="EV156" s="2" t="str">
        <f aca="false">IF(OR(EK156="EQL",EK156="EQH"),K156,"")</f>
        <v/>
      </c>
      <c r="EW156" s="2" t="str">
        <f aca="false">IF(OR(EL156="EQL",EL156="EQH"),L156,"")</f>
        <v/>
      </c>
      <c r="EX156" s="2" t="str">
        <f aca="false">IF(OR(EM156="EQL",EM156="EQH"),M156,"")</f>
        <v/>
      </c>
      <c r="EY156" s="2" t="str">
        <f aca="false">IF(OR(EN156="EQL",EN156="EQH"),N156,"")</f>
        <v/>
      </c>
      <c r="EZ156" s="2" t="str">
        <f aca="false">IF(OR(EO156="EQL",EO156="EQH"),O156,"")</f>
        <v/>
      </c>
      <c r="FA156" s="2" t="str">
        <f aca="false">IF(OR(EP156="EQL",EP156="EQH"),P156,"")</f>
        <v/>
      </c>
      <c r="FB156" s="2" t="str">
        <f aca="false">IF(OR(EQ156="EQL",EQ156="EQH"),Q156,"")</f>
        <v/>
      </c>
      <c r="FC156" s="2" t="str">
        <f aca="false">IF(AND(EG156="EQL",OR(AQ156=4,AQ156=5)),"IEQL",IF(AND(EG156="EQH",OR(AQ156=1,AQ156=2)),"IEQH",""))</f>
        <v/>
      </c>
      <c r="FD156" s="2" t="str">
        <f aca="false">IF(AND(EH156="EQL",OR(AR156=4,AR156=5)),"IEQL",IF(AND(EH156="EQH",OR(AR156=1,AR156=2)),"IEQH",""))</f>
        <v/>
      </c>
      <c r="FE156" s="2" t="str">
        <f aca="false">IF(AND(EI156="EQL",OR(AS156=4,AS156=5)),"IEQL",IF(AND(EI156="EQH",OR(AS156=1,AS156=2)),"IEQH",""))</f>
        <v/>
      </c>
      <c r="FF156" s="2" t="str">
        <f aca="false">IF(AND(EJ156="EQL",OR(AT156=4,AT156=5)),"IEQL",IF(AND(EJ156="EQH",OR(AT156=1,AT156=2)),"IEQH",""))</f>
        <v/>
      </c>
      <c r="FG156" s="2" t="str">
        <f aca="false">IF(AND(EK156="EQL",OR(AU156=4,AU156=5)),"IEQL",IF(AND(EK156="EQH",OR(AU156=1,AU156=2)),"IEQH",""))</f>
        <v/>
      </c>
      <c r="FH156" s="2" t="str">
        <f aca="false">IF(AND(EL156="EQL",OR(AV156=4,AV156=5)),"IEQL",IF(AND(EL156="EQH",OR(AV156=1,AV156=2)),"IEQH",""))</f>
        <v/>
      </c>
      <c r="FI156" s="2" t="str">
        <f aca="false">IF(AND(EM156="EQL",OR(AW156=4,AW156=5)),"IEQL",IF(AND(EM156="EQH",OR(AW156=1,AW156=2)),"IEQH",""))</f>
        <v/>
      </c>
      <c r="FJ156" s="2" t="str">
        <f aca="false">IF(AND(EN156="EQL",OR(AX156=4,AX156=5)),"IEQL",IF(AND(EN156="EQH",OR(AX156=1,AX156=2)),"IEQH",""))</f>
        <v/>
      </c>
      <c r="FK156" s="2" t="str">
        <f aca="false">IF(AND(EO156="EQL",OR(AY156=4,AY156=5)),"IEQL",IF(AND(EO156="EQH",OR(AY156=1,AY156=2)),"IEQH",""))</f>
        <v/>
      </c>
      <c r="FL156" s="2" t="str">
        <f aca="false">IF(AND(EP156="EQL",OR(AZ156=4,AZ156=5)),"IEQL",IF(AND(EP156="EQH",OR(AZ156=1,AZ156=2)),"IEQH",""))</f>
        <v/>
      </c>
      <c r="FM156" s="2" t="str">
        <f aca="false">IF(AND(EQ156="EQL",OR(BA156=4,BA156=5)),"IEQL",IF(AND(EQ156="EQH",OR(BA156=1,BA156=2)),"IEQH",""))</f>
        <v/>
      </c>
    </row>
    <row r="157" customFormat="false" ht="14.25" hidden="false" customHeight="false" outlineLevel="0" collapsed="false">
      <c r="A157" s="1" t="n">
        <v>1779709502</v>
      </c>
      <c r="B157" s="1" t="s">
        <v>169</v>
      </c>
      <c r="C157" s="1" t="s">
        <v>170</v>
      </c>
      <c r="D157" s="1" t="n">
        <v>4569.45</v>
      </c>
      <c r="E157" s="1" t="s">
        <v>173</v>
      </c>
      <c r="F157" s="1" t="n">
        <v>4577.02</v>
      </c>
      <c r="G157" s="2" t="n">
        <f aca="false">F155</f>
        <v>4579.98</v>
      </c>
      <c r="H157" s="2" t="n">
        <f aca="false">F153</f>
        <v>4527.75</v>
      </c>
      <c r="I157" s="2" t="n">
        <f aca="false">F151</f>
        <v>4536.83</v>
      </c>
      <c r="J157" s="2" t="n">
        <f aca="false">F149</f>
        <v>4534.16</v>
      </c>
      <c r="K157" s="2" t="n">
        <f aca="false">F147</f>
        <v>4559.28</v>
      </c>
      <c r="L157" s="2" t="n">
        <f aca="false">F145</f>
        <v>4542.7</v>
      </c>
      <c r="M157" s="2" t="n">
        <f aca="false">F143</f>
        <v>4570.99</v>
      </c>
      <c r="N157" s="2" t="n">
        <f aca="false">F141</f>
        <v>4552.71</v>
      </c>
      <c r="O157" s="2" t="n">
        <f aca="false">F139</f>
        <v>4505.94</v>
      </c>
      <c r="P157" s="2" t="n">
        <f aca="false">F137</f>
        <v>4508.81</v>
      </c>
      <c r="Q157" s="2" t="n">
        <f aca="false">F135</f>
        <v>4559.38</v>
      </c>
      <c r="R157" s="1" t="n">
        <v>26.54</v>
      </c>
      <c r="S157" s="2" t="n">
        <f aca="false">R155</f>
        <v>75.59</v>
      </c>
      <c r="T157" s="2" t="n">
        <f aca="false">R153</f>
        <v>35.82</v>
      </c>
      <c r="U157" s="2" t="n">
        <f aca="false">R151</f>
        <v>29.39</v>
      </c>
      <c r="V157" s="2" t="n">
        <f aca="false">R149</f>
        <v>15.6</v>
      </c>
      <c r="W157" s="2" t="n">
        <f aca="false">R147</f>
        <v>70.56</v>
      </c>
      <c r="X157" s="2" t="n">
        <f aca="false">R145</f>
        <v>30.64</v>
      </c>
      <c r="Y157" s="2" t="n">
        <f aca="false">R143</f>
        <v>36.36</v>
      </c>
      <c r="Z157" s="2" t="n">
        <f aca="false">R141</f>
        <v>85.64</v>
      </c>
      <c r="AA157" s="2" t="n">
        <f aca="false">R139</f>
        <v>52.25</v>
      </c>
      <c r="AB157" s="2" t="n">
        <f aca="false">R137</f>
        <v>44.03</v>
      </c>
      <c r="AC157" s="2" t="n">
        <f aca="false">R135</f>
        <v>28.07</v>
      </c>
      <c r="AD157" s="1" t="n">
        <v>0.58</v>
      </c>
      <c r="AE157" s="2" t="n">
        <f aca="false">AD155</f>
        <v>1.68</v>
      </c>
      <c r="AF157" s="2" t="n">
        <f aca="false">AD153</f>
        <v>0.8</v>
      </c>
      <c r="AG157" s="2" t="n">
        <f aca="false">AD151</f>
        <v>0.65</v>
      </c>
      <c r="AH157" s="2" t="n">
        <f aca="false">AD149</f>
        <v>0.35</v>
      </c>
      <c r="AI157" s="2" t="n">
        <f aca="false">AD147</f>
        <v>1.57</v>
      </c>
      <c r="AJ157" s="2" t="n">
        <f aca="false">AD145</f>
        <v>0.68</v>
      </c>
      <c r="AK157" s="2" t="n">
        <f aca="false">AD143</f>
        <v>0.8</v>
      </c>
      <c r="AL157" s="2" t="n">
        <f aca="false">AD141</f>
        <v>1.92</v>
      </c>
      <c r="AM157" s="2" t="n">
        <f aca="false">AD139</f>
        <v>1.17</v>
      </c>
      <c r="AN157" s="2" t="n">
        <f aca="false">AD137</f>
        <v>0.99</v>
      </c>
      <c r="AO157" s="2" t="n">
        <f aca="false">AD135</f>
        <v>0.62</v>
      </c>
      <c r="AP157" s="1" t="n">
        <v>0</v>
      </c>
      <c r="AQ157" s="2" t="n">
        <f aca="false">AP155</f>
        <v>0</v>
      </c>
      <c r="AR157" s="2" t="n">
        <f aca="false">AP153</f>
        <v>0</v>
      </c>
      <c r="AS157" s="2" t="n">
        <f aca="false">AP151</f>
        <v>0</v>
      </c>
      <c r="AT157" s="2" t="n">
        <f aca="false">AP149</f>
        <v>0</v>
      </c>
      <c r="AU157" s="2" t="n">
        <f aca="false">AP147</f>
        <v>0</v>
      </c>
      <c r="AV157" s="2" t="n">
        <f aca="false">AP145</f>
        <v>0</v>
      </c>
      <c r="AW157" s="2" t="n">
        <f aca="false">AP143</f>
        <v>0</v>
      </c>
      <c r="AX157" s="2" t="n">
        <f aca="false">AP141</f>
        <v>1</v>
      </c>
      <c r="AY157" s="2" t="n">
        <f aca="false">AP139</f>
        <v>0</v>
      </c>
      <c r="AZ157" s="2" t="n">
        <f aca="false">AP137</f>
        <v>0</v>
      </c>
      <c r="BA157" s="2" t="n">
        <f aca="false">AP135</f>
        <v>0</v>
      </c>
      <c r="BB157" s="1" t="n">
        <v>23</v>
      </c>
      <c r="BC157" s="2" t="n">
        <f aca="false">BB155</f>
        <v>12</v>
      </c>
      <c r="BD157" s="2" t="n">
        <f aca="false">BB153</f>
        <v>13</v>
      </c>
      <c r="BE157" s="2" t="n">
        <f aca="false">BB151</f>
        <v>17</v>
      </c>
      <c r="BF157" s="2" t="n">
        <f aca="false">BB149</f>
        <v>12</v>
      </c>
      <c r="BG157" s="2" t="n">
        <f aca="false">BB147</f>
        <v>17</v>
      </c>
      <c r="BH157" s="2" t="n">
        <f aca="false">BB145</f>
        <v>9</v>
      </c>
      <c r="BI157" s="2" t="n">
        <f aca="false">BB143</f>
        <v>9</v>
      </c>
      <c r="BJ157" s="2" t="n">
        <f aca="false">BB141</f>
        <v>5</v>
      </c>
      <c r="BK157" s="2" t="n">
        <f aca="false">BB139</f>
        <v>40</v>
      </c>
      <c r="BL157" s="2" t="n">
        <f aca="false">BB137</f>
        <v>41</v>
      </c>
      <c r="BM157" s="2" t="n">
        <f aca="false">BB135</f>
        <v>10</v>
      </c>
      <c r="BN157" s="1" t="n">
        <v>0</v>
      </c>
      <c r="BO157" s="2" t="n">
        <f aca="false">BN155</f>
        <v>0</v>
      </c>
      <c r="BP157" s="2" t="n">
        <f aca="false">BN153</f>
        <v>0</v>
      </c>
      <c r="BQ157" s="2" t="n">
        <f aca="false">BN151</f>
        <v>0</v>
      </c>
      <c r="BR157" s="2" t="n">
        <f aca="false">BN149</f>
        <v>0</v>
      </c>
      <c r="BS157" s="2" t="n">
        <f aca="false">BN147</f>
        <v>0</v>
      </c>
      <c r="BT157" s="2" t="n">
        <f aca="false">BN145</f>
        <v>0</v>
      </c>
      <c r="BU157" s="2" t="n">
        <f aca="false">BN143</f>
        <v>0</v>
      </c>
      <c r="BV157" s="2" t="n">
        <f aca="false">BN141</f>
        <v>0</v>
      </c>
      <c r="BW157" s="2" t="n">
        <f aca="false">BN139</f>
        <v>2</v>
      </c>
      <c r="BX157" s="2" t="n">
        <f aca="false">BN137</f>
        <v>2</v>
      </c>
      <c r="BY157" s="2" t="n">
        <f aca="false">BN135</f>
        <v>0</v>
      </c>
      <c r="BZ157" s="1" t="n">
        <v>1.15391</v>
      </c>
      <c r="CA157" s="2" t="n">
        <f aca="false">BZ155</f>
        <v>6.29917</v>
      </c>
      <c r="CB157" s="2" t="n">
        <f aca="false">BZ153</f>
        <v>2.75538</v>
      </c>
      <c r="CC157" s="2" t="n">
        <f aca="false">BZ151</f>
        <v>1.72882</v>
      </c>
      <c r="CD157" s="2" t="n">
        <f aca="false">BZ149</f>
        <v>1.3</v>
      </c>
      <c r="CE157" s="2" t="n">
        <f aca="false">BZ147</f>
        <v>4.15059</v>
      </c>
      <c r="CF157" s="2" t="n">
        <f aca="false">BZ145</f>
        <v>3.40444</v>
      </c>
      <c r="CG157" s="2" t="n">
        <f aca="false">BZ143</f>
        <v>4.04</v>
      </c>
      <c r="CH157" s="2" t="n">
        <f aca="false">BZ141</f>
        <v>17.128</v>
      </c>
      <c r="CI157" s="2" t="n">
        <f aca="false">BZ139</f>
        <v>1.30625</v>
      </c>
      <c r="CJ157" s="2" t="n">
        <f aca="false">BZ137</f>
        <v>1.0739</v>
      </c>
      <c r="CK157" s="2" t="n">
        <f aca="false">BZ135</f>
        <v>2.807</v>
      </c>
      <c r="CL157" s="1" t="n">
        <v>0</v>
      </c>
      <c r="CM157" s="2" t="n">
        <f aca="false">CL155</f>
        <v>0</v>
      </c>
      <c r="CN157" s="2" t="n">
        <f aca="false">CL153</f>
        <v>0</v>
      </c>
      <c r="CO157" s="2" t="n">
        <f aca="false">CL151</f>
        <v>0</v>
      </c>
      <c r="CP157" s="2" t="n">
        <f aca="false">CL149</f>
        <v>0</v>
      </c>
      <c r="CQ157" s="2" t="n">
        <f aca="false">CL147</f>
        <v>0</v>
      </c>
      <c r="CR157" s="2" t="n">
        <f aca="false">CL145</f>
        <v>0</v>
      </c>
      <c r="CS157" s="2" t="n">
        <f aca="false">CL143</f>
        <v>0</v>
      </c>
      <c r="CT157" s="2" t="n">
        <f aca="false">CL141</f>
        <v>2</v>
      </c>
      <c r="CU157" s="2" t="n">
        <f aca="false">CL139</f>
        <v>0</v>
      </c>
      <c r="CV157" s="2" t="n">
        <f aca="false">CL137</f>
        <v>0</v>
      </c>
      <c r="CW157" s="2" t="n">
        <f aca="false">CL135</f>
        <v>0</v>
      </c>
      <c r="CX157" s="1" t="n">
        <v>49.0873</v>
      </c>
      <c r="CY157" s="2" t="n">
        <f aca="false">CX155</f>
        <v>80.9795</v>
      </c>
      <c r="CZ157" s="2" t="n">
        <f aca="false">CX153</f>
        <v>70.0529</v>
      </c>
      <c r="DA157" s="2" t="n">
        <f aca="false">CX151</f>
        <v>59.9537</v>
      </c>
      <c r="DB157" s="2" t="n">
        <f aca="false">CX149</f>
        <v>52.4314</v>
      </c>
      <c r="DC157" s="2" t="n">
        <f aca="false">CX147</f>
        <v>76.4539</v>
      </c>
      <c r="DD157" s="2" t="n">
        <f aca="false">CX145</f>
        <v>73.6307</v>
      </c>
      <c r="DE157" s="2" t="n">
        <f aca="false">CX143</f>
        <v>76.0973</v>
      </c>
      <c r="DF157" s="2" t="n">
        <f aca="false">CX141</f>
        <v>86.6586</v>
      </c>
      <c r="DG157" s="2" t="n">
        <f aca="false">CX139</f>
        <v>52.5641</v>
      </c>
      <c r="DH157" s="2" t="n">
        <f aca="false">CX137</f>
        <v>47.0408</v>
      </c>
      <c r="DI157" s="2" t="n">
        <f aca="false">CX135</f>
        <v>70.3914</v>
      </c>
      <c r="DJ157" s="1" t="s">
        <v>174</v>
      </c>
      <c r="DK157" s="2" t="str">
        <f aca="false">DJ155</f>
        <v>HH</v>
      </c>
      <c r="DL157" s="2" t="str">
        <f aca="false">DJ153</f>
        <v>LH</v>
      </c>
      <c r="DM157" s="2" t="str">
        <f aca="false">DJ151</f>
        <v>HH</v>
      </c>
      <c r="DN157" s="2" t="str">
        <f aca="false">DJ149</f>
        <v>LH</v>
      </c>
      <c r="DO157" s="2" t="str">
        <f aca="false">DJ147</f>
        <v>HH</v>
      </c>
      <c r="DP157" s="2" t="str">
        <f aca="false">DJ145</f>
        <v>LH</v>
      </c>
      <c r="DQ157" s="2" t="str">
        <f aca="false">DJ143</f>
        <v>HH</v>
      </c>
      <c r="DR157" s="2" t="str">
        <f aca="false">DJ141</f>
        <v>HH</v>
      </c>
      <c r="DS157" s="2" t="str">
        <f aca="false">DJ139</f>
        <v>LH</v>
      </c>
      <c r="DT157" s="2" t="str">
        <f aca="false">DJ137</f>
        <v>LH</v>
      </c>
      <c r="DU157" s="2" t="str">
        <f aca="false">DJ135</f>
        <v>LH</v>
      </c>
      <c r="DV157" s="2" t="n">
        <f aca="false">IFERROR((G157-$F157)/$F157*100,"")</f>
        <v>0.0646708994061448</v>
      </c>
      <c r="DW157" s="2" t="n">
        <f aca="false">IFERROR((H157-$F157)/$F157*100,"")</f>
        <v>-1.07646459923707</v>
      </c>
      <c r="DX157" s="2" t="n">
        <f aca="false">IFERROR((I157-$F157)/$F157*100,"")</f>
        <v>-0.878082245653296</v>
      </c>
      <c r="DY157" s="2" t="n">
        <f aca="false">IFERROR((J157-$F157)/$F157*100,"")</f>
        <v>-0.936417144779804</v>
      </c>
      <c r="DZ157" s="2" t="n">
        <f aca="false">IFERROR((K157-$F157)/$F157*100,"")</f>
        <v>-0.38758843090047</v>
      </c>
      <c r="EA157" s="2" t="n">
        <f aca="false">IFERROR((L157-$F157)/$F157*100,"")</f>
        <v>-0.749832860682291</v>
      </c>
      <c r="EB157" s="2" t="n">
        <f aca="false">IFERROR((M157-$F157)/$F157*100,"")</f>
        <v>-0.131745109263247</v>
      </c>
      <c r="EC157" s="2" t="n">
        <f aca="false">IFERROR((N157-$F157)/$F157*100,"")</f>
        <v>-0.531131609649956</v>
      </c>
      <c r="ED157" s="2" t="n">
        <f aca="false">IFERROR((O157-$F157)/$F157*100,"")</f>
        <v>-1.55297551682101</v>
      </c>
      <c r="EE157" s="2" t="n">
        <f aca="false">IFERROR((P157-$F157)/$F157*100,"")</f>
        <v>-1.4902709623292</v>
      </c>
      <c r="EF157" s="2" t="n">
        <f aca="false">IFERROR((Q157-$F157)/$F157*100,"")</f>
        <v>-0.385403603217821</v>
      </c>
      <c r="EG157" s="2" t="str">
        <f aca="false">IF(DV157="","",IF(AND(ABS(DV157)&lt;=0.25,$E157="Bottom",DK157="LL"),"EQL",IF(AND(ABS(DV157)&lt;=0.25,$E157="Peak",DK157="HH"),"EQH","")))</f>
        <v>EQH</v>
      </c>
      <c r="EH157" s="2" t="str">
        <f aca="false">IF(DW157="","",IF(AND(ABS(DW157)&lt;=0.25,$E157="Bottom",DL157="LL"),"EQL",IF(AND(ABS(DW157)&lt;=0.25,$E157="Peak",DL157="HH"),"EQH","")))</f>
        <v/>
      </c>
      <c r="EI157" s="2" t="str">
        <f aca="false">IF(DX157="","",IF(AND(ABS(DX157)&lt;=0.25,$E157="Bottom",DM157="LL"),"EQL",IF(AND(ABS(DX157)&lt;=0.25,$E157="Peak",DM157="HH"),"EQH","")))</f>
        <v/>
      </c>
      <c r="EJ157" s="2" t="str">
        <f aca="false">IF(DY157="","",IF(AND(ABS(DY157)&lt;=0.25,$E157="Bottom",DN157="LL"),"EQL",IF(AND(ABS(DY157)&lt;=0.25,$E157="Peak",DN157="HH"),"EQH","")))</f>
        <v/>
      </c>
      <c r="EK157" s="2" t="str">
        <f aca="false">IF(DZ157="","",IF(AND(ABS(DZ157)&lt;=0.25,$E157="Bottom",DO157="LL"),"EQL",IF(AND(ABS(DZ157)&lt;=0.25,$E157="Peak",DO157="HH"),"EQH","")))</f>
        <v/>
      </c>
      <c r="EL157" s="2" t="str">
        <f aca="false">IF(EA157="","",IF(AND(ABS(EA157)&lt;=0.25,$E157="Bottom",DP157="LL"),"EQL",IF(AND(ABS(EA157)&lt;=0.25,$E157="Peak",DP157="HH"),"EQH","")))</f>
        <v/>
      </c>
      <c r="EM157" s="2" t="str">
        <f aca="false">IF(EB157="","",IF(AND(ABS(EB157)&lt;=0.25,$E157="Bottom",DQ157="LL"),"EQL",IF(AND(ABS(EB157)&lt;=0.25,$E157="Peak",DQ157="HH"),"EQH","")))</f>
        <v>EQH</v>
      </c>
      <c r="EN157" s="2" t="str">
        <f aca="false">IF(EC157="","",IF(AND(ABS(EC157)&lt;=0.25,$E157="Bottom",DR157="LL"),"EQL",IF(AND(ABS(EC157)&lt;=0.25,$E157="Peak",DR157="HH"),"EQH","")))</f>
        <v/>
      </c>
      <c r="EO157" s="2" t="str">
        <f aca="false">IF(ED157="","",IF(AND(ABS(ED157)&lt;=0.25,$E157="Bottom",DS157="LL"),"EQL",IF(AND(ABS(ED157)&lt;=0.25,$E157="Peak",DS157="HH"),"EQH","")))</f>
        <v/>
      </c>
      <c r="EP157" s="2" t="str">
        <f aca="false">IF(EE157="","",IF(AND(ABS(EE157)&lt;=0.25,$E157="Bottom",DT157="LL"),"EQL",IF(AND(ABS(EE157)&lt;=0.25,$E157="Peak",DT157="HH"),"EQH","")))</f>
        <v/>
      </c>
      <c r="EQ157" s="2" t="str">
        <f aca="false">IF(EF157="","",IF(AND(ABS(EF157)&lt;=0.25,$E157="Bottom",DU157="LL"),"EQL",IF(AND(ABS(EF157)&lt;=0.25,$E157="Peak",DU157="HH"),"EQH","")))</f>
        <v/>
      </c>
      <c r="ER157" s="2" t="n">
        <f aca="false">IF(OR(EG157="EQL",EG157="EQH"),G157,"")</f>
        <v>4579.98</v>
      </c>
      <c r="ES157" s="2" t="str">
        <f aca="false">IF(OR(EH157="EQL",EH157="EQH"),H157,"")</f>
        <v/>
      </c>
      <c r="ET157" s="2" t="str">
        <f aca="false">IF(OR(EI157="EQL",EI157="EQH"),I157,"")</f>
        <v/>
      </c>
      <c r="EU157" s="2" t="str">
        <f aca="false">IF(OR(EJ157="EQL",EJ157="EQH"),J157,"")</f>
        <v/>
      </c>
      <c r="EV157" s="2" t="str">
        <f aca="false">IF(OR(EK157="EQL",EK157="EQH"),K157,"")</f>
        <v/>
      </c>
      <c r="EW157" s="2" t="str">
        <f aca="false">IF(OR(EL157="EQL",EL157="EQH"),L157,"")</f>
        <v/>
      </c>
      <c r="EX157" s="2" t="n">
        <f aca="false">IF(OR(EM157="EQL",EM157="EQH"),M157,"")</f>
        <v>4570.99</v>
      </c>
      <c r="EY157" s="2" t="str">
        <f aca="false">IF(OR(EN157="EQL",EN157="EQH"),N157,"")</f>
        <v/>
      </c>
      <c r="EZ157" s="2" t="str">
        <f aca="false">IF(OR(EO157="EQL",EO157="EQH"),O157,"")</f>
        <v/>
      </c>
      <c r="FA157" s="2" t="str">
        <f aca="false">IF(OR(EP157="EQL",EP157="EQH"),P157,"")</f>
        <v/>
      </c>
      <c r="FB157" s="2" t="str">
        <f aca="false">IF(OR(EQ157="EQL",EQ157="EQH"),Q157,"")</f>
        <v/>
      </c>
      <c r="FC157" s="2" t="str">
        <f aca="false">IF(AND(EG157="EQL",OR(AQ157=4,AQ157=5)),"IEQL",IF(AND(EG157="EQH",OR(AQ157=1,AQ157=2)),"IEQH",""))</f>
        <v/>
      </c>
      <c r="FD157" s="2" t="str">
        <f aca="false">IF(AND(EH157="EQL",OR(AR157=4,AR157=5)),"IEQL",IF(AND(EH157="EQH",OR(AR157=1,AR157=2)),"IEQH",""))</f>
        <v/>
      </c>
      <c r="FE157" s="2" t="str">
        <f aca="false">IF(AND(EI157="EQL",OR(AS157=4,AS157=5)),"IEQL",IF(AND(EI157="EQH",OR(AS157=1,AS157=2)),"IEQH",""))</f>
        <v/>
      </c>
      <c r="FF157" s="2" t="str">
        <f aca="false">IF(AND(EJ157="EQL",OR(AT157=4,AT157=5)),"IEQL",IF(AND(EJ157="EQH",OR(AT157=1,AT157=2)),"IEQH",""))</f>
        <v/>
      </c>
      <c r="FG157" s="2" t="str">
        <f aca="false">IF(AND(EK157="EQL",OR(AU157=4,AU157=5)),"IEQL",IF(AND(EK157="EQH",OR(AU157=1,AU157=2)),"IEQH",""))</f>
        <v/>
      </c>
      <c r="FH157" s="2" t="str">
        <f aca="false">IF(AND(EL157="EQL",OR(AV157=4,AV157=5)),"IEQL",IF(AND(EL157="EQH",OR(AV157=1,AV157=2)),"IEQH",""))</f>
        <v/>
      </c>
      <c r="FI157" s="2" t="str">
        <f aca="false">IF(AND(EM157="EQL",OR(AW157=4,AW157=5)),"IEQL",IF(AND(EM157="EQH",OR(AW157=1,AW157=2)),"IEQH",""))</f>
        <v/>
      </c>
      <c r="FJ157" s="2" t="str">
        <f aca="false">IF(AND(EN157="EQL",OR(AX157=4,AX157=5)),"IEQL",IF(AND(EN157="EQH",OR(AX157=1,AX157=2)),"IEQH",""))</f>
        <v/>
      </c>
      <c r="FK157" s="2" t="str">
        <f aca="false">IF(AND(EO157="EQL",OR(AY157=4,AY157=5)),"IEQL",IF(AND(EO157="EQH",OR(AY157=1,AY157=2)),"IEQH",""))</f>
        <v/>
      </c>
      <c r="FL157" s="2" t="str">
        <f aca="false">IF(AND(EP157="EQL",OR(AZ157=4,AZ157=5)),"IEQL",IF(AND(EP157="EQH",OR(AZ157=1,AZ157=2)),"IEQH",""))</f>
        <v/>
      </c>
      <c r="FM157" s="2" t="str">
        <f aca="false">IF(AND(EQ157="EQL",OR(BA157=4,BA157=5)),"IEQL",IF(AND(EQ157="EQH",OR(BA157=1,BA157=2)),"IEQH",""))</f>
        <v/>
      </c>
    </row>
    <row r="158" customFormat="false" ht="14.25" hidden="false" customHeight="false" outlineLevel="0" collapsed="false">
      <c r="A158" s="1" t="n">
        <v>1779711302</v>
      </c>
      <c r="B158" s="1" t="s">
        <v>169</v>
      </c>
      <c r="C158" s="1" t="s">
        <v>170</v>
      </c>
      <c r="D158" s="1" t="n">
        <v>4560.54</v>
      </c>
      <c r="E158" s="1" t="s">
        <v>171</v>
      </c>
      <c r="F158" s="1" t="n">
        <v>4552.93</v>
      </c>
      <c r="G158" s="2" t="n">
        <f aca="false">F156</f>
        <v>4550.48</v>
      </c>
      <c r="H158" s="2" t="n">
        <f aca="false">F154</f>
        <v>4504.39</v>
      </c>
      <c r="I158" s="2" t="n">
        <f aca="false">F152</f>
        <v>4491.93</v>
      </c>
      <c r="J158" s="2" t="n">
        <f aca="false">F150</f>
        <v>4507.44</v>
      </c>
      <c r="K158" s="2" t="n">
        <f aca="false">F148</f>
        <v>4518.56</v>
      </c>
      <c r="L158" s="2" t="n">
        <f aca="false">F146</f>
        <v>4488.72</v>
      </c>
      <c r="M158" s="2" t="n">
        <f aca="false">F144</f>
        <v>4512.06</v>
      </c>
      <c r="N158" s="2" t="n">
        <f aca="false">F142</f>
        <v>4534.63</v>
      </c>
      <c r="O158" s="2" t="n">
        <f aca="false">F140</f>
        <v>4467.07</v>
      </c>
      <c r="P158" s="2" t="n">
        <f aca="false">F138</f>
        <v>4453.69</v>
      </c>
      <c r="Q158" s="2" t="n">
        <f aca="false">F136</f>
        <v>4464.78</v>
      </c>
      <c r="R158" s="1" t="n">
        <v>-24.09</v>
      </c>
      <c r="S158" s="2" t="n">
        <f aca="false">R156</f>
        <v>-29.5</v>
      </c>
      <c r="T158" s="2" t="n">
        <f aca="false">R154</f>
        <v>-23.36</v>
      </c>
      <c r="U158" s="2" t="n">
        <f aca="false">R152</f>
        <v>-44.9</v>
      </c>
      <c r="V158" s="2" t="n">
        <f aca="false">R150</f>
        <v>-26.72</v>
      </c>
      <c r="W158" s="2" t="n">
        <f aca="false">R148</f>
        <v>-40.72</v>
      </c>
      <c r="X158" s="2" t="n">
        <f aca="false">R146</f>
        <v>-53.98</v>
      </c>
      <c r="Y158" s="2" t="n">
        <f aca="false">R144</f>
        <v>-58.93</v>
      </c>
      <c r="Z158" s="2" t="n">
        <f aca="false">R142</f>
        <v>-18.08</v>
      </c>
      <c r="AA158" s="2" t="n">
        <f aca="false">R140</f>
        <v>-38.87</v>
      </c>
      <c r="AB158" s="2" t="n">
        <f aca="false">R138</f>
        <v>-55.12</v>
      </c>
      <c r="AC158" s="2" t="n">
        <f aca="false">R136</f>
        <v>-94.6</v>
      </c>
      <c r="AD158" s="1" t="n">
        <v>-0.53</v>
      </c>
      <c r="AE158" s="2" t="n">
        <f aca="false">AD156</f>
        <v>-0.64</v>
      </c>
      <c r="AF158" s="2" t="n">
        <f aca="false">AD154</f>
        <v>-0.52</v>
      </c>
      <c r="AG158" s="2" t="n">
        <f aca="false">AD152</f>
        <v>-0.99</v>
      </c>
      <c r="AH158" s="2" t="n">
        <f aca="false">AD150</f>
        <v>-0.59</v>
      </c>
      <c r="AI158" s="2" t="n">
        <f aca="false">AD148</f>
        <v>-0.89</v>
      </c>
      <c r="AJ158" s="2" t="n">
        <f aca="false">AD146</f>
        <v>-1.19</v>
      </c>
      <c r="AK158" s="2" t="n">
        <f aca="false">AD144</f>
        <v>-1.29</v>
      </c>
      <c r="AL158" s="2" t="n">
        <f aca="false">AD142</f>
        <v>-0.4</v>
      </c>
      <c r="AM158" s="2" t="n">
        <f aca="false">AD140</f>
        <v>-0.86</v>
      </c>
      <c r="AN158" s="2" t="n">
        <f aca="false">AD138</f>
        <v>-1.22</v>
      </c>
      <c r="AO158" s="2" t="n">
        <f aca="false">AD136</f>
        <v>-2.07</v>
      </c>
      <c r="AP158" s="1" t="n">
        <v>3</v>
      </c>
      <c r="AQ158" s="2" t="n">
        <f aca="false">AP156</f>
        <v>3</v>
      </c>
      <c r="AR158" s="2" t="n">
        <f aca="false">AP154</f>
        <v>3</v>
      </c>
      <c r="AS158" s="2" t="n">
        <f aca="false">AP152</f>
        <v>3</v>
      </c>
      <c r="AT158" s="2" t="n">
        <f aca="false">AP150</f>
        <v>3</v>
      </c>
      <c r="AU158" s="2" t="n">
        <f aca="false">AP148</f>
        <v>3</v>
      </c>
      <c r="AV158" s="2" t="n">
        <f aca="false">AP146</f>
        <v>3</v>
      </c>
      <c r="AW158" s="2" t="n">
        <f aca="false">AP144</f>
        <v>3</v>
      </c>
      <c r="AX158" s="2" t="n">
        <f aca="false">AP142</f>
        <v>3</v>
      </c>
      <c r="AY158" s="2" t="n">
        <f aca="false">AP140</f>
        <v>3</v>
      </c>
      <c r="AZ158" s="2" t="n">
        <f aca="false">AP138</f>
        <v>3</v>
      </c>
      <c r="BA158" s="2" t="n">
        <f aca="false">AP136</f>
        <v>4</v>
      </c>
      <c r="BB158" s="1" t="n">
        <v>2</v>
      </c>
      <c r="BC158" s="2" t="n">
        <f aca="false">BB156</f>
        <v>26</v>
      </c>
      <c r="BD158" s="2" t="n">
        <f aca="false">BB154</f>
        <v>8</v>
      </c>
      <c r="BE158" s="2" t="n">
        <f aca="false">BB152</f>
        <v>17</v>
      </c>
      <c r="BF158" s="2" t="n">
        <f aca="false">BB150</f>
        <v>1</v>
      </c>
      <c r="BG158" s="2" t="n">
        <f aca="false">BB148</f>
        <v>31</v>
      </c>
      <c r="BH158" s="2" t="n">
        <f aca="false">BB146</f>
        <v>16</v>
      </c>
      <c r="BI158" s="2" t="n">
        <f aca="false">BB144</f>
        <v>23</v>
      </c>
      <c r="BJ158" s="2" t="n">
        <f aca="false">BB142</f>
        <v>28</v>
      </c>
      <c r="BK158" s="2" t="n">
        <f aca="false">BB140</f>
        <v>4</v>
      </c>
      <c r="BL158" s="2" t="n">
        <f aca="false">BB138</f>
        <v>9</v>
      </c>
      <c r="BM158" s="2" t="n">
        <f aca="false">BB136</f>
        <v>23</v>
      </c>
      <c r="BN158" s="1" t="n">
        <v>3</v>
      </c>
      <c r="BO158" s="2" t="n">
        <f aca="false">BN156</f>
        <v>3</v>
      </c>
      <c r="BP158" s="2" t="n">
        <f aca="false">BN154</f>
        <v>3</v>
      </c>
      <c r="BQ158" s="2" t="n">
        <f aca="false">BN152</f>
        <v>3</v>
      </c>
      <c r="BR158" s="2" t="n">
        <f aca="false">BN150</f>
        <v>3</v>
      </c>
      <c r="BS158" s="2" t="n">
        <f aca="false">BN148</f>
        <v>3</v>
      </c>
      <c r="BT158" s="2" t="n">
        <f aca="false">BN146</f>
        <v>3</v>
      </c>
      <c r="BU158" s="2" t="n">
        <f aca="false">BN144</f>
        <v>3</v>
      </c>
      <c r="BV158" s="2" t="n">
        <f aca="false">BN142</f>
        <v>3</v>
      </c>
      <c r="BW158" s="2" t="n">
        <f aca="false">BN140</f>
        <v>3</v>
      </c>
      <c r="BX158" s="2" t="n">
        <f aca="false">BN138</f>
        <v>3</v>
      </c>
      <c r="BY158" s="2" t="n">
        <f aca="false">BN136</f>
        <v>3</v>
      </c>
      <c r="BZ158" s="1" t="n">
        <v>-12.045</v>
      </c>
      <c r="CA158" s="2" t="n">
        <f aca="false">BZ156</f>
        <v>-1.13462</v>
      </c>
      <c r="CB158" s="2" t="n">
        <f aca="false">BZ154</f>
        <v>-2.92</v>
      </c>
      <c r="CC158" s="2" t="n">
        <f aca="false">BZ152</f>
        <v>-2.64118</v>
      </c>
      <c r="CD158" s="2" t="n">
        <f aca="false">BZ150</f>
        <v>-26.72</v>
      </c>
      <c r="CE158" s="2" t="n">
        <f aca="false">BZ148</f>
        <v>-1.31355</v>
      </c>
      <c r="CF158" s="2" t="n">
        <f aca="false">BZ146</f>
        <v>-3.37375</v>
      </c>
      <c r="CG158" s="2" t="n">
        <f aca="false">BZ144</f>
        <v>-2.56217</v>
      </c>
      <c r="CH158" s="2" t="n">
        <f aca="false">BZ142</f>
        <v>-0.64571</v>
      </c>
      <c r="CI158" s="2" t="n">
        <f aca="false">BZ140</f>
        <v>-9.7175</v>
      </c>
      <c r="CJ158" s="2" t="n">
        <f aca="false">BZ138</f>
        <v>-6.12444</v>
      </c>
      <c r="CK158" s="2" t="n">
        <f aca="false">BZ136</f>
        <v>-4.11304</v>
      </c>
      <c r="CL158" s="1" t="n">
        <v>4</v>
      </c>
      <c r="CM158" s="2" t="n">
        <f aca="false">CL156</f>
        <v>3</v>
      </c>
      <c r="CN158" s="2" t="n">
        <f aca="false">CL154</f>
        <v>3</v>
      </c>
      <c r="CO158" s="2" t="n">
        <f aca="false">CL152</f>
        <v>3</v>
      </c>
      <c r="CP158" s="2" t="n">
        <f aca="false">CL150</f>
        <v>5</v>
      </c>
      <c r="CQ158" s="2" t="n">
        <f aca="false">CL148</f>
        <v>3</v>
      </c>
      <c r="CR158" s="2" t="n">
        <f aca="false">CL146</f>
        <v>3</v>
      </c>
      <c r="CS158" s="2" t="n">
        <f aca="false">CL144</f>
        <v>3</v>
      </c>
      <c r="CT158" s="2" t="n">
        <f aca="false">CL142</f>
        <v>3</v>
      </c>
      <c r="CU158" s="2" t="n">
        <f aca="false">CL140</f>
        <v>4</v>
      </c>
      <c r="CV158" s="2" t="n">
        <f aca="false">CL138</f>
        <v>3</v>
      </c>
      <c r="CW158" s="2" t="n">
        <f aca="false">CL136</f>
        <v>3</v>
      </c>
      <c r="CX158" s="1" t="n">
        <v>-85.2541</v>
      </c>
      <c r="CY158" s="2" t="n">
        <f aca="false">CX156</f>
        <v>-48.6085</v>
      </c>
      <c r="CZ158" s="2" t="n">
        <f aca="false">CX154</f>
        <v>-71.0954</v>
      </c>
      <c r="DA158" s="2" t="n">
        <f aca="false">CX152</f>
        <v>-69.2624</v>
      </c>
      <c r="DB158" s="2" t="n">
        <f aca="false">CX150</f>
        <v>-87.8567</v>
      </c>
      <c r="DC158" s="2" t="n">
        <f aca="false">CX148</f>
        <v>-52.7181</v>
      </c>
      <c r="DD158" s="2" t="n">
        <f aca="false">CX146</f>
        <v>-73.4899</v>
      </c>
      <c r="DE158" s="2" t="n">
        <f aca="false">CX144</f>
        <v>-68.6796</v>
      </c>
      <c r="DF158" s="2" t="n">
        <f aca="false">CX142</f>
        <v>-32.8509</v>
      </c>
      <c r="DG158" s="2" t="n">
        <f aca="false">CX140</f>
        <v>-84.1245</v>
      </c>
      <c r="DH158" s="2" t="n">
        <f aca="false">CX138</f>
        <v>-80.7266</v>
      </c>
      <c r="DI158" s="2" t="n">
        <f aca="false">CX136</f>
        <v>-76.3349</v>
      </c>
      <c r="DJ158" s="1" t="s">
        <v>175</v>
      </c>
      <c r="DK158" s="2" t="str">
        <f aca="false">DJ156</f>
        <v>HL</v>
      </c>
      <c r="DL158" s="2" t="str">
        <f aca="false">DJ154</f>
        <v>HL</v>
      </c>
      <c r="DM158" s="2" t="str">
        <f aca="false">DJ152</f>
        <v>LL</v>
      </c>
      <c r="DN158" s="2" t="str">
        <f aca="false">DJ150</f>
        <v>LL</v>
      </c>
      <c r="DO158" s="2" t="str">
        <f aca="false">DJ148</f>
        <v>HL</v>
      </c>
      <c r="DP158" s="2" t="str">
        <f aca="false">DJ146</f>
        <v>LL</v>
      </c>
      <c r="DQ158" s="2" t="str">
        <f aca="false">DJ144</f>
        <v>LL</v>
      </c>
      <c r="DR158" s="2" t="str">
        <f aca="false">DJ142</f>
        <v>HL</v>
      </c>
      <c r="DS158" s="2" t="str">
        <f aca="false">DJ140</f>
        <v>HL</v>
      </c>
      <c r="DT158" s="2" t="str">
        <f aca="false">DJ138</f>
        <v>LL</v>
      </c>
      <c r="DU158" s="2" t="str">
        <f aca="false">DJ136</f>
        <v>LL</v>
      </c>
      <c r="DV158" s="2" t="n">
        <f aca="false">IFERROR((G158-$F158)/$F158*100,"")</f>
        <v>-0.0538115016044773</v>
      </c>
      <c r="DW158" s="2" t="n">
        <f aca="false">IFERROR((H158-$F158)/$F158*100,"")</f>
        <v>-1.06612664811451</v>
      </c>
      <c r="DX158" s="2" t="n">
        <f aca="false">IFERROR((I158-$F158)/$F158*100,"")</f>
        <v>-1.33979657056006</v>
      </c>
      <c r="DY158" s="2" t="n">
        <f aca="false">IFERROR((J158-$F158)/$F158*100,"")</f>
        <v>-0.999136819586523</v>
      </c>
      <c r="DZ158" s="2" t="n">
        <f aca="false">IFERROR((K158-$F158)/$F158*100,"")</f>
        <v>-0.754898493936869</v>
      </c>
      <c r="EA158" s="2" t="n">
        <f aca="false">IFERROR((L158-$F158)/$F158*100,"")</f>
        <v>-1.41030061960101</v>
      </c>
      <c r="EB158" s="2" t="n">
        <f aca="false">IFERROR((M158-$F158)/$F158*100,"")</f>
        <v>-0.897663702275236</v>
      </c>
      <c r="EC158" s="2" t="n">
        <f aca="false">IFERROR((N158-$F158)/$F158*100,"")</f>
        <v>-0.401938971168021</v>
      </c>
      <c r="ED158" s="2" t="n">
        <f aca="false">IFERROR((O158-$F158)/$F158*100,"")</f>
        <v>-1.88581858275881</v>
      </c>
      <c r="EE158" s="2" t="n">
        <f aca="false">IFERROR((P158-$F158)/$F158*100,"")</f>
        <v>-2.17969527315379</v>
      </c>
      <c r="EF158" s="2" t="n">
        <f aca="false">IFERROR((Q158-$F158)/$F158*100,"")</f>
        <v>-1.93611586385032</v>
      </c>
      <c r="EG158" s="2" t="str">
        <f aca="false">IF(DV158="","",IF(AND(ABS(DV158)&lt;=0.25,$E158="Bottom",DK158="LL"),"EQL",IF(AND(ABS(DV158)&lt;=0.25,$E158="Peak",DK158="HH"),"EQH","")))</f>
        <v/>
      </c>
      <c r="EH158" s="2" t="str">
        <f aca="false">IF(DW158="","",IF(AND(ABS(DW158)&lt;=0.25,$E158="Bottom",DL158="LL"),"EQL",IF(AND(ABS(DW158)&lt;=0.25,$E158="Peak",DL158="HH"),"EQH","")))</f>
        <v/>
      </c>
      <c r="EI158" s="2" t="str">
        <f aca="false">IF(DX158="","",IF(AND(ABS(DX158)&lt;=0.25,$E158="Bottom",DM158="LL"),"EQL",IF(AND(ABS(DX158)&lt;=0.25,$E158="Peak",DM158="HH"),"EQH","")))</f>
        <v/>
      </c>
      <c r="EJ158" s="2" t="str">
        <f aca="false">IF(DY158="","",IF(AND(ABS(DY158)&lt;=0.25,$E158="Bottom",DN158="LL"),"EQL",IF(AND(ABS(DY158)&lt;=0.25,$E158="Peak",DN158="HH"),"EQH","")))</f>
        <v/>
      </c>
      <c r="EK158" s="2" t="str">
        <f aca="false">IF(DZ158="","",IF(AND(ABS(DZ158)&lt;=0.25,$E158="Bottom",DO158="LL"),"EQL",IF(AND(ABS(DZ158)&lt;=0.25,$E158="Peak",DO158="HH"),"EQH","")))</f>
        <v/>
      </c>
      <c r="EL158" s="2" t="str">
        <f aca="false">IF(EA158="","",IF(AND(ABS(EA158)&lt;=0.25,$E158="Bottom",DP158="LL"),"EQL",IF(AND(ABS(EA158)&lt;=0.25,$E158="Peak",DP158="HH"),"EQH","")))</f>
        <v/>
      </c>
      <c r="EM158" s="2" t="str">
        <f aca="false">IF(EB158="","",IF(AND(ABS(EB158)&lt;=0.25,$E158="Bottom",DQ158="LL"),"EQL",IF(AND(ABS(EB158)&lt;=0.25,$E158="Peak",DQ158="HH"),"EQH","")))</f>
        <v/>
      </c>
      <c r="EN158" s="2" t="str">
        <f aca="false">IF(EC158="","",IF(AND(ABS(EC158)&lt;=0.25,$E158="Bottom",DR158="LL"),"EQL",IF(AND(ABS(EC158)&lt;=0.25,$E158="Peak",DR158="HH"),"EQH","")))</f>
        <v/>
      </c>
      <c r="EO158" s="2" t="str">
        <f aca="false">IF(ED158="","",IF(AND(ABS(ED158)&lt;=0.25,$E158="Bottom",DS158="LL"),"EQL",IF(AND(ABS(ED158)&lt;=0.25,$E158="Peak",DS158="HH"),"EQH","")))</f>
        <v/>
      </c>
      <c r="EP158" s="2" t="str">
        <f aca="false">IF(EE158="","",IF(AND(ABS(EE158)&lt;=0.25,$E158="Bottom",DT158="LL"),"EQL",IF(AND(ABS(EE158)&lt;=0.25,$E158="Peak",DT158="HH"),"EQH","")))</f>
        <v/>
      </c>
      <c r="EQ158" s="2" t="str">
        <f aca="false">IF(EF158="","",IF(AND(ABS(EF158)&lt;=0.25,$E158="Bottom",DU158="LL"),"EQL",IF(AND(ABS(EF158)&lt;=0.25,$E158="Peak",DU158="HH"),"EQH","")))</f>
        <v/>
      </c>
      <c r="ER158" s="2" t="str">
        <f aca="false">IF(OR(EG158="EQL",EG158="EQH"),G158,"")</f>
        <v/>
      </c>
      <c r="ES158" s="2" t="str">
        <f aca="false">IF(OR(EH158="EQL",EH158="EQH"),H158,"")</f>
        <v/>
      </c>
      <c r="ET158" s="2" t="str">
        <f aca="false">IF(OR(EI158="EQL",EI158="EQH"),I158,"")</f>
        <v/>
      </c>
      <c r="EU158" s="2" t="str">
        <f aca="false">IF(OR(EJ158="EQL",EJ158="EQH"),J158,"")</f>
        <v/>
      </c>
      <c r="EV158" s="2" t="str">
        <f aca="false">IF(OR(EK158="EQL",EK158="EQH"),K158,"")</f>
        <v/>
      </c>
      <c r="EW158" s="2" t="str">
        <f aca="false">IF(OR(EL158="EQL",EL158="EQH"),L158,"")</f>
        <v/>
      </c>
      <c r="EX158" s="2" t="str">
        <f aca="false">IF(OR(EM158="EQL",EM158="EQH"),M158,"")</f>
        <v/>
      </c>
      <c r="EY158" s="2" t="str">
        <f aca="false">IF(OR(EN158="EQL",EN158="EQH"),N158,"")</f>
        <v/>
      </c>
      <c r="EZ158" s="2" t="str">
        <f aca="false">IF(OR(EO158="EQL",EO158="EQH"),O158,"")</f>
        <v/>
      </c>
      <c r="FA158" s="2" t="str">
        <f aca="false">IF(OR(EP158="EQL",EP158="EQH"),P158,"")</f>
        <v/>
      </c>
      <c r="FB158" s="2" t="str">
        <f aca="false">IF(OR(EQ158="EQL",EQ158="EQH"),Q158,"")</f>
        <v/>
      </c>
      <c r="FC158" s="2" t="str">
        <f aca="false">IF(AND(EG158="EQL",OR(AQ158=4,AQ158=5)),"IEQL",IF(AND(EG158="EQH",OR(AQ158=1,AQ158=2)),"IEQH",""))</f>
        <v/>
      </c>
      <c r="FD158" s="2" t="str">
        <f aca="false">IF(AND(EH158="EQL",OR(AR158=4,AR158=5)),"IEQL",IF(AND(EH158="EQH",OR(AR158=1,AR158=2)),"IEQH",""))</f>
        <v/>
      </c>
      <c r="FE158" s="2" t="str">
        <f aca="false">IF(AND(EI158="EQL",OR(AS158=4,AS158=5)),"IEQL",IF(AND(EI158="EQH",OR(AS158=1,AS158=2)),"IEQH",""))</f>
        <v/>
      </c>
      <c r="FF158" s="2" t="str">
        <f aca="false">IF(AND(EJ158="EQL",OR(AT158=4,AT158=5)),"IEQL",IF(AND(EJ158="EQH",OR(AT158=1,AT158=2)),"IEQH",""))</f>
        <v/>
      </c>
      <c r="FG158" s="2" t="str">
        <f aca="false">IF(AND(EK158="EQL",OR(AU158=4,AU158=5)),"IEQL",IF(AND(EK158="EQH",OR(AU158=1,AU158=2)),"IEQH",""))</f>
        <v/>
      </c>
      <c r="FH158" s="2" t="str">
        <f aca="false">IF(AND(EL158="EQL",OR(AV158=4,AV158=5)),"IEQL",IF(AND(EL158="EQH",OR(AV158=1,AV158=2)),"IEQH",""))</f>
        <v/>
      </c>
      <c r="FI158" s="2" t="str">
        <f aca="false">IF(AND(EM158="EQL",OR(AW158=4,AW158=5)),"IEQL",IF(AND(EM158="EQH",OR(AW158=1,AW158=2)),"IEQH",""))</f>
        <v/>
      </c>
      <c r="FJ158" s="2" t="str">
        <f aca="false">IF(AND(EN158="EQL",OR(AX158=4,AX158=5)),"IEQL",IF(AND(EN158="EQH",OR(AX158=1,AX158=2)),"IEQH",""))</f>
        <v/>
      </c>
      <c r="FK158" s="2" t="str">
        <f aca="false">IF(AND(EO158="EQL",OR(AY158=4,AY158=5)),"IEQL",IF(AND(EO158="EQH",OR(AY158=1,AY158=2)),"IEQH",""))</f>
        <v/>
      </c>
      <c r="FL158" s="2" t="str">
        <f aca="false">IF(AND(EP158="EQL",OR(AZ158=4,AZ158=5)),"IEQL",IF(AND(EP158="EQH",OR(AZ158=1,AZ158=2)),"IEQH",""))</f>
        <v/>
      </c>
      <c r="FM158" s="2" t="str">
        <f aca="false">IF(AND(EQ158="EQL",OR(BA158=4,BA158=5)),"IEQL",IF(AND(EQ158="EQH",OR(BA158=1,BA158=2)),"IEQH",""))</f>
        <v/>
      </c>
    </row>
    <row r="159" customFormat="false" ht="14.25" hidden="false" customHeight="false" outlineLevel="0" collapsed="false">
      <c r="A159" s="1" t="n">
        <v>1779728402</v>
      </c>
      <c r="B159" s="1" t="s">
        <v>169</v>
      </c>
      <c r="C159" s="1" t="s">
        <v>170</v>
      </c>
      <c r="D159" s="1" t="n">
        <v>4574.24</v>
      </c>
      <c r="E159" s="1" t="s">
        <v>173</v>
      </c>
      <c r="F159" s="1" t="n">
        <v>4577.8</v>
      </c>
      <c r="G159" s="2" t="n">
        <f aca="false">F157</f>
        <v>4577.02</v>
      </c>
      <c r="H159" s="2" t="n">
        <f aca="false">F155</f>
        <v>4579.98</v>
      </c>
      <c r="I159" s="2" t="n">
        <f aca="false">F153</f>
        <v>4527.75</v>
      </c>
      <c r="J159" s="2" t="n">
        <f aca="false">F151</f>
        <v>4536.83</v>
      </c>
      <c r="K159" s="2" t="n">
        <f aca="false">F149</f>
        <v>4534.16</v>
      </c>
      <c r="L159" s="2" t="n">
        <f aca="false">F147</f>
        <v>4559.28</v>
      </c>
      <c r="M159" s="2" t="n">
        <f aca="false">F145</f>
        <v>4542.7</v>
      </c>
      <c r="N159" s="2" t="n">
        <f aca="false">F143</f>
        <v>4570.99</v>
      </c>
      <c r="O159" s="2" t="n">
        <f aca="false">F141</f>
        <v>4552.71</v>
      </c>
      <c r="P159" s="2" t="n">
        <f aca="false">F139</f>
        <v>4505.94</v>
      </c>
      <c r="Q159" s="2" t="n">
        <f aca="false">F137</f>
        <v>4508.81</v>
      </c>
      <c r="R159" s="1" t="n">
        <v>24.87</v>
      </c>
      <c r="S159" s="2" t="n">
        <f aca="false">R157</f>
        <v>26.54</v>
      </c>
      <c r="T159" s="2" t="n">
        <f aca="false">R155</f>
        <v>75.59</v>
      </c>
      <c r="U159" s="2" t="n">
        <f aca="false">R153</f>
        <v>35.82</v>
      </c>
      <c r="V159" s="2" t="n">
        <f aca="false">R151</f>
        <v>29.39</v>
      </c>
      <c r="W159" s="2" t="n">
        <f aca="false">R149</f>
        <v>15.6</v>
      </c>
      <c r="X159" s="2" t="n">
        <f aca="false">R147</f>
        <v>70.56</v>
      </c>
      <c r="Y159" s="2" t="n">
        <f aca="false">R145</f>
        <v>30.64</v>
      </c>
      <c r="Z159" s="2" t="n">
        <f aca="false">R143</f>
        <v>36.36</v>
      </c>
      <c r="AA159" s="2" t="n">
        <f aca="false">R141</f>
        <v>85.64</v>
      </c>
      <c r="AB159" s="2" t="n">
        <f aca="false">R139</f>
        <v>52.25</v>
      </c>
      <c r="AC159" s="2" t="n">
        <f aca="false">R137</f>
        <v>44.03</v>
      </c>
      <c r="AD159" s="1" t="n">
        <v>0.55</v>
      </c>
      <c r="AE159" s="2" t="n">
        <f aca="false">AD157</f>
        <v>0.58</v>
      </c>
      <c r="AF159" s="2" t="n">
        <f aca="false">AD155</f>
        <v>1.68</v>
      </c>
      <c r="AG159" s="2" t="n">
        <f aca="false">AD153</f>
        <v>0.8</v>
      </c>
      <c r="AH159" s="2" t="n">
        <f aca="false">AD151</f>
        <v>0.65</v>
      </c>
      <c r="AI159" s="2" t="n">
        <f aca="false">AD149</f>
        <v>0.35</v>
      </c>
      <c r="AJ159" s="2" t="n">
        <f aca="false">AD147</f>
        <v>1.57</v>
      </c>
      <c r="AK159" s="2" t="n">
        <f aca="false">AD145</f>
        <v>0.68</v>
      </c>
      <c r="AL159" s="2" t="n">
        <f aca="false">AD143</f>
        <v>0.8</v>
      </c>
      <c r="AM159" s="2" t="n">
        <f aca="false">AD141</f>
        <v>1.92</v>
      </c>
      <c r="AN159" s="2" t="n">
        <f aca="false">AD139</f>
        <v>1.17</v>
      </c>
      <c r="AO159" s="2" t="n">
        <f aca="false">AD137</f>
        <v>0.99</v>
      </c>
      <c r="AP159" s="1" t="n">
        <v>0</v>
      </c>
      <c r="AQ159" s="2" t="n">
        <f aca="false">AP157</f>
        <v>0</v>
      </c>
      <c r="AR159" s="2" t="n">
        <f aca="false">AP155</f>
        <v>0</v>
      </c>
      <c r="AS159" s="2" t="n">
        <f aca="false">AP153</f>
        <v>0</v>
      </c>
      <c r="AT159" s="2" t="n">
        <f aca="false">AP151</f>
        <v>0</v>
      </c>
      <c r="AU159" s="2" t="n">
        <f aca="false">AP149</f>
        <v>0</v>
      </c>
      <c r="AV159" s="2" t="n">
        <f aca="false">AP147</f>
        <v>0</v>
      </c>
      <c r="AW159" s="2" t="n">
        <f aca="false">AP145</f>
        <v>0</v>
      </c>
      <c r="AX159" s="2" t="n">
        <f aca="false">AP143</f>
        <v>0</v>
      </c>
      <c r="AY159" s="2" t="n">
        <f aca="false">AP141</f>
        <v>1</v>
      </c>
      <c r="AZ159" s="2" t="n">
        <f aca="false">AP139</f>
        <v>0</v>
      </c>
      <c r="BA159" s="2" t="n">
        <f aca="false">AP137</f>
        <v>0</v>
      </c>
      <c r="BB159" s="1" t="n">
        <v>19</v>
      </c>
      <c r="BC159" s="2" t="n">
        <f aca="false">BB157</f>
        <v>23</v>
      </c>
      <c r="BD159" s="2" t="n">
        <f aca="false">BB155</f>
        <v>12</v>
      </c>
      <c r="BE159" s="2" t="n">
        <f aca="false">BB153</f>
        <v>13</v>
      </c>
      <c r="BF159" s="2" t="n">
        <f aca="false">BB151</f>
        <v>17</v>
      </c>
      <c r="BG159" s="2" t="n">
        <f aca="false">BB149</f>
        <v>12</v>
      </c>
      <c r="BH159" s="2" t="n">
        <f aca="false">BB147</f>
        <v>17</v>
      </c>
      <c r="BI159" s="2" t="n">
        <f aca="false">BB145</f>
        <v>9</v>
      </c>
      <c r="BJ159" s="2" t="n">
        <f aca="false">BB143</f>
        <v>9</v>
      </c>
      <c r="BK159" s="2" t="n">
        <f aca="false">BB141</f>
        <v>5</v>
      </c>
      <c r="BL159" s="2" t="n">
        <f aca="false">BB139</f>
        <v>40</v>
      </c>
      <c r="BM159" s="2" t="n">
        <f aca="false">BB137</f>
        <v>41</v>
      </c>
      <c r="BN159" s="1" t="n">
        <v>0</v>
      </c>
      <c r="BO159" s="2" t="n">
        <f aca="false">BN157</f>
        <v>0</v>
      </c>
      <c r="BP159" s="2" t="n">
        <f aca="false">BN155</f>
        <v>0</v>
      </c>
      <c r="BQ159" s="2" t="n">
        <f aca="false">BN153</f>
        <v>0</v>
      </c>
      <c r="BR159" s="2" t="n">
        <f aca="false">BN151</f>
        <v>0</v>
      </c>
      <c r="BS159" s="2" t="n">
        <f aca="false">BN149</f>
        <v>0</v>
      </c>
      <c r="BT159" s="2" t="n">
        <f aca="false">BN147</f>
        <v>0</v>
      </c>
      <c r="BU159" s="2" t="n">
        <f aca="false">BN145</f>
        <v>0</v>
      </c>
      <c r="BV159" s="2" t="n">
        <f aca="false">BN143</f>
        <v>0</v>
      </c>
      <c r="BW159" s="2" t="n">
        <f aca="false">BN141</f>
        <v>0</v>
      </c>
      <c r="BX159" s="2" t="n">
        <f aca="false">BN139</f>
        <v>2</v>
      </c>
      <c r="BY159" s="2" t="n">
        <f aca="false">BN137</f>
        <v>2</v>
      </c>
      <c r="BZ159" s="1" t="n">
        <v>1.30895</v>
      </c>
      <c r="CA159" s="2" t="n">
        <f aca="false">BZ157</f>
        <v>1.15391</v>
      </c>
      <c r="CB159" s="2" t="n">
        <f aca="false">BZ155</f>
        <v>6.29917</v>
      </c>
      <c r="CC159" s="2" t="n">
        <f aca="false">BZ153</f>
        <v>2.75538</v>
      </c>
      <c r="CD159" s="2" t="n">
        <f aca="false">BZ151</f>
        <v>1.72882</v>
      </c>
      <c r="CE159" s="2" t="n">
        <f aca="false">BZ149</f>
        <v>1.3</v>
      </c>
      <c r="CF159" s="2" t="n">
        <f aca="false">BZ147</f>
        <v>4.15059</v>
      </c>
      <c r="CG159" s="2" t="n">
        <f aca="false">BZ145</f>
        <v>3.40444</v>
      </c>
      <c r="CH159" s="2" t="n">
        <f aca="false">BZ143</f>
        <v>4.04</v>
      </c>
      <c r="CI159" s="2" t="n">
        <f aca="false">BZ141</f>
        <v>17.128</v>
      </c>
      <c r="CJ159" s="2" t="n">
        <f aca="false">BZ139</f>
        <v>1.30625</v>
      </c>
      <c r="CK159" s="2" t="n">
        <f aca="false">BZ137</f>
        <v>1.0739</v>
      </c>
      <c r="CL159" s="1" t="n">
        <v>0</v>
      </c>
      <c r="CM159" s="2" t="n">
        <f aca="false">CL157</f>
        <v>0</v>
      </c>
      <c r="CN159" s="2" t="n">
        <f aca="false">CL155</f>
        <v>0</v>
      </c>
      <c r="CO159" s="2" t="n">
        <f aca="false">CL153</f>
        <v>0</v>
      </c>
      <c r="CP159" s="2" t="n">
        <f aca="false">CL151</f>
        <v>0</v>
      </c>
      <c r="CQ159" s="2" t="n">
        <f aca="false">CL149</f>
        <v>0</v>
      </c>
      <c r="CR159" s="2" t="n">
        <f aca="false">CL147</f>
        <v>0</v>
      </c>
      <c r="CS159" s="2" t="n">
        <f aca="false">CL145</f>
        <v>0</v>
      </c>
      <c r="CT159" s="2" t="n">
        <f aca="false">CL143</f>
        <v>0</v>
      </c>
      <c r="CU159" s="2" t="n">
        <f aca="false">CL141</f>
        <v>2</v>
      </c>
      <c r="CV159" s="2" t="n">
        <f aca="false">CL139</f>
        <v>0</v>
      </c>
      <c r="CW159" s="2" t="n">
        <f aca="false">CL137</f>
        <v>0</v>
      </c>
      <c r="CX159" s="1" t="n">
        <v>52.6212</v>
      </c>
      <c r="CY159" s="2" t="n">
        <f aca="false">CX157</f>
        <v>49.0873</v>
      </c>
      <c r="CZ159" s="2" t="n">
        <f aca="false">CX155</f>
        <v>80.9795</v>
      </c>
      <c r="DA159" s="2" t="n">
        <f aca="false">CX153</f>
        <v>70.0529</v>
      </c>
      <c r="DB159" s="2" t="n">
        <f aca="false">CX151</f>
        <v>59.9537</v>
      </c>
      <c r="DC159" s="2" t="n">
        <f aca="false">CX149</f>
        <v>52.4314</v>
      </c>
      <c r="DD159" s="2" t="n">
        <f aca="false">CX147</f>
        <v>76.4539</v>
      </c>
      <c r="DE159" s="2" t="n">
        <f aca="false">CX145</f>
        <v>73.6307</v>
      </c>
      <c r="DF159" s="2" t="n">
        <f aca="false">CX143</f>
        <v>76.0973</v>
      </c>
      <c r="DG159" s="2" t="n">
        <f aca="false">CX141</f>
        <v>86.6586</v>
      </c>
      <c r="DH159" s="2" t="n">
        <f aca="false">CX139</f>
        <v>52.5641</v>
      </c>
      <c r="DI159" s="2" t="n">
        <f aca="false">CX137</f>
        <v>47.0408</v>
      </c>
      <c r="DJ159" s="1" t="s">
        <v>176</v>
      </c>
      <c r="DK159" s="2" t="str">
        <f aca="false">DJ157</f>
        <v>LH</v>
      </c>
      <c r="DL159" s="2" t="str">
        <f aca="false">DJ155</f>
        <v>HH</v>
      </c>
      <c r="DM159" s="2" t="str">
        <f aca="false">DJ153</f>
        <v>LH</v>
      </c>
      <c r="DN159" s="2" t="str">
        <f aca="false">DJ151</f>
        <v>HH</v>
      </c>
      <c r="DO159" s="2" t="str">
        <f aca="false">DJ149</f>
        <v>LH</v>
      </c>
      <c r="DP159" s="2" t="str">
        <f aca="false">DJ147</f>
        <v>HH</v>
      </c>
      <c r="DQ159" s="2" t="str">
        <f aca="false">DJ145</f>
        <v>LH</v>
      </c>
      <c r="DR159" s="2" t="str">
        <f aca="false">DJ143</f>
        <v>HH</v>
      </c>
      <c r="DS159" s="2" t="str">
        <f aca="false">DJ141</f>
        <v>HH</v>
      </c>
      <c r="DT159" s="2" t="str">
        <f aca="false">DJ139</f>
        <v>LH</v>
      </c>
      <c r="DU159" s="2" t="str">
        <f aca="false">DJ137</f>
        <v>LH</v>
      </c>
      <c r="DV159" s="2" t="n">
        <f aca="false">IFERROR((G159-$F159)/$F159*100,"")</f>
        <v>-0.0170387522390612</v>
      </c>
      <c r="DW159" s="2" t="n">
        <f aca="false">IFERROR((H159-$F159)/$F159*100,"")</f>
        <v>0.0476211280527629</v>
      </c>
      <c r="DX159" s="2" t="n">
        <f aca="false">IFERROR((I159-$F159)/$F159*100,"")</f>
        <v>-1.09331993534012</v>
      </c>
      <c r="DY159" s="2" t="n">
        <f aca="false">IFERROR((J159-$F159)/$F159*100,"")</f>
        <v>-0.894971383634066</v>
      </c>
      <c r="DZ159" s="2" t="n">
        <f aca="false">IFERROR((K159-$F159)/$F159*100,"")</f>
        <v>-0.953296343221642</v>
      </c>
      <c r="EA159" s="2" t="n">
        <f aca="false">IFERROR((L159-$F159)/$F159*100,"")</f>
        <v>-0.404561142907083</v>
      </c>
      <c r="EB159" s="2" t="n">
        <f aca="false">IFERROR((M159-$F159)/$F159*100,"")</f>
        <v>-0.766743850758014</v>
      </c>
      <c r="EC159" s="2" t="n">
        <f aca="false">IFERROR((N159-$F159)/$F159*100,"")</f>
        <v>-0.148761413779554</v>
      </c>
      <c r="ED159" s="2" t="n">
        <f aca="false">IFERROR((O159-$F159)/$F159*100,"")</f>
        <v>-0.548079863689985</v>
      </c>
      <c r="EE159" s="2" t="n">
        <f aca="false">IFERROR((P159-$F159)/$F159*100,"")</f>
        <v>-1.56974966140942</v>
      </c>
      <c r="EF159" s="2" t="n">
        <f aca="false">IFERROR((Q159-$F159)/$F159*100,"")</f>
        <v>-1.5070557909913</v>
      </c>
      <c r="EG159" s="2" t="str">
        <f aca="false">IF(DV159="","",IF(AND(ABS(DV159)&lt;=0.25,$E159="Bottom",DK159="LL"),"EQL",IF(AND(ABS(DV159)&lt;=0.25,$E159="Peak",DK159="HH"),"EQH","")))</f>
        <v/>
      </c>
      <c r="EH159" s="2" t="str">
        <f aca="false">IF(DW159="","",IF(AND(ABS(DW159)&lt;=0.25,$E159="Bottom",DL159="LL"),"EQL",IF(AND(ABS(DW159)&lt;=0.25,$E159="Peak",DL159="HH"),"EQH","")))</f>
        <v>EQH</v>
      </c>
      <c r="EI159" s="2" t="str">
        <f aca="false">IF(DX159="","",IF(AND(ABS(DX159)&lt;=0.25,$E159="Bottom",DM159="LL"),"EQL",IF(AND(ABS(DX159)&lt;=0.25,$E159="Peak",DM159="HH"),"EQH","")))</f>
        <v/>
      </c>
      <c r="EJ159" s="2" t="str">
        <f aca="false">IF(DY159="","",IF(AND(ABS(DY159)&lt;=0.25,$E159="Bottom",DN159="LL"),"EQL",IF(AND(ABS(DY159)&lt;=0.25,$E159="Peak",DN159="HH"),"EQH","")))</f>
        <v/>
      </c>
      <c r="EK159" s="2" t="str">
        <f aca="false">IF(DZ159="","",IF(AND(ABS(DZ159)&lt;=0.25,$E159="Bottom",DO159="LL"),"EQL",IF(AND(ABS(DZ159)&lt;=0.25,$E159="Peak",DO159="HH"),"EQH","")))</f>
        <v/>
      </c>
      <c r="EL159" s="2" t="str">
        <f aca="false">IF(EA159="","",IF(AND(ABS(EA159)&lt;=0.25,$E159="Bottom",DP159="LL"),"EQL",IF(AND(ABS(EA159)&lt;=0.25,$E159="Peak",DP159="HH"),"EQH","")))</f>
        <v/>
      </c>
      <c r="EM159" s="2" t="str">
        <f aca="false">IF(EB159="","",IF(AND(ABS(EB159)&lt;=0.25,$E159="Bottom",DQ159="LL"),"EQL",IF(AND(ABS(EB159)&lt;=0.25,$E159="Peak",DQ159="HH"),"EQH","")))</f>
        <v/>
      </c>
      <c r="EN159" s="2" t="str">
        <f aca="false">IF(EC159="","",IF(AND(ABS(EC159)&lt;=0.25,$E159="Bottom",DR159="LL"),"EQL",IF(AND(ABS(EC159)&lt;=0.25,$E159="Peak",DR159="HH"),"EQH","")))</f>
        <v>EQH</v>
      </c>
      <c r="EO159" s="2" t="str">
        <f aca="false">IF(ED159="","",IF(AND(ABS(ED159)&lt;=0.25,$E159="Bottom",DS159="LL"),"EQL",IF(AND(ABS(ED159)&lt;=0.25,$E159="Peak",DS159="HH"),"EQH","")))</f>
        <v/>
      </c>
      <c r="EP159" s="2" t="str">
        <f aca="false">IF(EE159="","",IF(AND(ABS(EE159)&lt;=0.25,$E159="Bottom",DT159="LL"),"EQL",IF(AND(ABS(EE159)&lt;=0.25,$E159="Peak",DT159="HH"),"EQH","")))</f>
        <v/>
      </c>
      <c r="EQ159" s="2" t="str">
        <f aca="false">IF(EF159="","",IF(AND(ABS(EF159)&lt;=0.25,$E159="Bottom",DU159="LL"),"EQL",IF(AND(ABS(EF159)&lt;=0.25,$E159="Peak",DU159="HH"),"EQH","")))</f>
        <v/>
      </c>
      <c r="ER159" s="2" t="str">
        <f aca="false">IF(OR(EG159="EQL",EG159="EQH"),G159,"")</f>
        <v/>
      </c>
      <c r="ES159" s="2" t="n">
        <f aca="false">IF(OR(EH159="EQL",EH159="EQH"),H159,"")</f>
        <v>4579.98</v>
      </c>
      <c r="ET159" s="2" t="str">
        <f aca="false">IF(OR(EI159="EQL",EI159="EQH"),I159,"")</f>
        <v/>
      </c>
      <c r="EU159" s="2" t="str">
        <f aca="false">IF(OR(EJ159="EQL",EJ159="EQH"),J159,"")</f>
        <v/>
      </c>
      <c r="EV159" s="2" t="str">
        <f aca="false">IF(OR(EK159="EQL",EK159="EQH"),K159,"")</f>
        <v/>
      </c>
      <c r="EW159" s="2" t="str">
        <f aca="false">IF(OR(EL159="EQL",EL159="EQH"),L159,"")</f>
        <v/>
      </c>
      <c r="EX159" s="2" t="str">
        <f aca="false">IF(OR(EM159="EQL",EM159="EQH"),M159,"")</f>
        <v/>
      </c>
      <c r="EY159" s="2" t="n">
        <f aca="false">IF(OR(EN159="EQL",EN159="EQH"),N159,"")</f>
        <v>4570.99</v>
      </c>
      <c r="EZ159" s="2" t="str">
        <f aca="false">IF(OR(EO159="EQL",EO159="EQH"),O159,"")</f>
        <v/>
      </c>
      <c r="FA159" s="2" t="str">
        <f aca="false">IF(OR(EP159="EQL",EP159="EQH"),P159,"")</f>
        <v/>
      </c>
      <c r="FB159" s="2" t="str">
        <f aca="false">IF(OR(EQ159="EQL",EQ159="EQH"),Q159,"")</f>
        <v/>
      </c>
      <c r="FC159" s="2" t="str">
        <f aca="false">IF(AND(EG159="EQL",OR(AQ159=4,AQ159=5)),"IEQL",IF(AND(EG159="EQH",OR(AQ159=1,AQ159=2)),"IEQH",""))</f>
        <v/>
      </c>
      <c r="FD159" s="2" t="str">
        <f aca="false">IF(AND(EH159="EQL",OR(AR159=4,AR159=5)),"IEQL",IF(AND(EH159="EQH",OR(AR159=1,AR159=2)),"IEQH",""))</f>
        <v/>
      </c>
      <c r="FE159" s="2" t="str">
        <f aca="false">IF(AND(EI159="EQL",OR(AS159=4,AS159=5)),"IEQL",IF(AND(EI159="EQH",OR(AS159=1,AS159=2)),"IEQH",""))</f>
        <v/>
      </c>
      <c r="FF159" s="2" t="str">
        <f aca="false">IF(AND(EJ159="EQL",OR(AT159=4,AT159=5)),"IEQL",IF(AND(EJ159="EQH",OR(AT159=1,AT159=2)),"IEQH",""))</f>
        <v/>
      </c>
      <c r="FG159" s="2" t="str">
        <f aca="false">IF(AND(EK159="EQL",OR(AU159=4,AU159=5)),"IEQL",IF(AND(EK159="EQH",OR(AU159=1,AU159=2)),"IEQH",""))</f>
        <v/>
      </c>
      <c r="FH159" s="2" t="str">
        <f aca="false">IF(AND(EL159="EQL",OR(AV159=4,AV159=5)),"IEQL",IF(AND(EL159="EQH",OR(AV159=1,AV159=2)),"IEQH",""))</f>
        <v/>
      </c>
      <c r="FI159" s="2" t="str">
        <f aca="false">IF(AND(EM159="EQL",OR(AW159=4,AW159=5)),"IEQL",IF(AND(EM159="EQH",OR(AW159=1,AW159=2)),"IEQH",""))</f>
        <v/>
      </c>
      <c r="FJ159" s="2" t="str">
        <f aca="false">IF(AND(EN159="EQL",OR(AX159=4,AX159=5)),"IEQL",IF(AND(EN159="EQH",OR(AX159=1,AX159=2)),"IEQH",""))</f>
        <v/>
      </c>
      <c r="FK159" s="2" t="str">
        <f aca="false">IF(AND(EO159="EQL",OR(AY159=4,AY159=5)),"IEQL",IF(AND(EO159="EQH",OR(AY159=1,AY159=2)),"IEQH",""))</f>
        <v/>
      </c>
      <c r="FL159" s="2" t="str">
        <f aca="false">IF(AND(EP159="EQL",OR(AZ159=4,AZ159=5)),"IEQL",IF(AND(EP159="EQH",OR(AZ159=1,AZ159=2)),"IEQH",""))</f>
        <v/>
      </c>
      <c r="FM159" s="2" t="str">
        <f aca="false">IF(AND(EQ159="EQL",OR(BA159=4,BA159=5)),"IEQL",IF(AND(EQ159="EQH",OR(BA159=1,BA159=2)),"IEQH",""))</f>
        <v/>
      </c>
    </row>
    <row r="160" customFormat="false" ht="14.25" hidden="false" customHeight="false" outlineLevel="0" collapsed="false">
      <c r="A160" s="1" t="n">
        <v>1779731102</v>
      </c>
      <c r="B160" s="1" t="s">
        <v>169</v>
      </c>
      <c r="C160" s="1" t="s">
        <v>170</v>
      </c>
      <c r="D160" s="1" t="n">
        <v>4565.14</v>
      </c>
      <c r="E160" s="1" t="s">
        <v>171</v>
      </c>
      <c r="F160" s="1" t="n">
        <v>4563.4</v>
      </c>
      <c r="G160" s="2" t="n">
        <f aca="false">F158</f>
        <v>4552.93</v>
      </c>
      <c r="H160" s="2" t="n">
        <f aca="false">F156</f>
        <v>4550.48</v>
      </c>
      <c r="I160" s="2" t="n">
        <f aca="false">F154</f>
        <v>4504.39</v>
      </c>
      <c r="J160" s="2" t="n">
        <f aca="false">F152</f>
        <v>4491.93</v>
      </c>
      <c r="K160" s="2" t="n">
        <f aca="false">F150</f>
        <v>4507.44</v>
      </c>
      <c r="L160" s="2" t="n">
        <f aca="false">F148</f>
        <v>4518.56</v>
      </c>
      <c r="M160" s="2" t="n">
        <f aca="false">F146</f>
        <v>4488.72</v>
      </c>
      <c r="N160" s="2" t="n">
        <f aca="false">F144</f>
        <v>4512.06</v>
      </c>
      <c r="O160" s="2" t="n">
        <f aca="false">F142</f>
        <v>4534.63</v>
      </c>
      <c r="P160" s="2" t="n">
        <f aca="false">F140</f>
        <v>4467.07</v>
      </c>
      <c r="Q160" s="2" t="n">
        <f aca="false">F138</f>
        <v>4453.69</v>
      </c>
      <c r="R160" s="1" t="n">
        <v>-14.4</v>
      </c>
      <c r="S160" s="2" t="n">
        <f aca="false">R158</f>
        <v>-24.09</v>
      </c>
      <c r="T160" s="2" t="n">
        <f aca="false">R156</f>
        <v>-29.5</v>
      </c>
      <c r="U160" s="2" t="n">
        <f aca="false">R154</f>
        <v>-23.36</v>
      </c>
      <c r="V160" s="2" t="n">
        <f aca="false">R152</f>
        <v>-44.9</v>
      </c>
      <c r="W160" s="2" t="n">
        <f aca="false">R150</f>
        <v>-26.72</v>
      </c>
      <c r="X160" s="2" t="n">
        <f aca="false">R148</f>
        <v>-40.72</v>
      </c>
      <c r="Y160" s="2" t="n">
        <f aca="false">R146</f>
        <v>-53.98</v>
      </c>
      <c r="Z160" s="2" t="n">
        <f aca="false">R144</f>
        <v>-58.93</v>
      </c>
      <c r="AA160" s="2" t="n">
        <f aca="false">R142</f>
        <v>-18.08</v>
      </c>
      <c r="AB160" s="2" t="n">
        <f aca="false">R140</f>
        <v>-38.87</v>
      </c>
      <c r="AC160" s="2" t="n">
        <f aca="false">R138</f>
        <v>-55.12</v>
      </c>
      <c r="AD160" s="1" t="n">
        <v>-0.31</v>
      </c>
      <c r="AE160" s="2" t="n">
        <f aca="false">AD158</f>
        <v>-0.53</v>
      </c>
      <c r="AF160" s="2" t="n">
        <f aca="false">AD156</f>
        <v>-0.64</v>
      </c>
      <c r="AG160" s="2" t="n">
        <f aca="false">AD154</f>
        <v>-0.52</v>
      </c>
      <c r="AH160" s="2" t="n">
        <f aca="false">AD152</f>
        <v>-0.99</v>
      </c>
      <c r="AI160" s="2" t="n">
        <f aca="false">AD150</f>
        <v>-0.59</v>
      </c>
      <c r="AJ160" s="2" t="n">
        <f aca="false">AD148</f>
        <v>-0.89</v>
      </c>
      <c r="AK160" s="2" t="n">
        <f aca="false">AD146</f>
        <v>-1.19</v>
      </c>
      <c r="AL160" s="2" t="n">
        <f aca="false">AD144</f>
        <v>-1.29</v>
      </c>
      <c r="AM160" s="2" t="n">
        <f aca="false">AD142</f>
        <v>-0.4</v>
      </c>
      <c r="AN160" s="2" t="n">
        <f aca="false">AD140</f>
        <v>-0.86</v>
      </c>
      <c r="AO160" s="2" t="n">
        <f aca="false">AD138</f>
        <v>-1.22</v>
      </c>
      <c r="AP160" s="1" t="n">
        <v>3</v>
      </c>
      <c r="AQ160" s="2" t="n">
        <f aca="false">AP158</f>
        <v>3</v>
      </c>
      <c r="AR160" s="2" t="n">
        <f aca="false">AP156</f>
        <v>3</v>
      </c>
      <c r="AS160" s="2" t="n">
        <f aca="false">AP154</f>
        <v>3</v>
      </c>
      <c r="AT160" s="2" t="n">
        <f aca="false">AP152</f>
        <v>3</v>
      </c>
      <c r="AU160" s="2" t="n">
        <f aca="false">AP150</f>
        <v>3</v>
      </c>
      <c r="AV160" s="2" t="n">
        <f aca="false">AP148</f>
        <v>3</v>
      </c>
      <c r="AW160" s="2" t="n">
        <f aca="false">AP146</f>
        <v>3</v>
      </c>
      <c r="AX160" s="2" t="n">
        <f aca="false">AP144</f>
        <v>3</v>
      </c>
      <c r="AY160" s="2" t="n">
        <f aca="false">AP142</f>
        <v>3</v>
      </c>
      <c r="AZ160" s="2" t="n">
        <f aca="false">AP140</f>
        <v>3</v>
      </c>
      <c r="BA160" s="2" t="n">
        <f aca="false">AP138</f>
        <v>3</v>
      </c>
      <c r="BB160" s="1" t="n">
        <v>3</v>
      </c>
      <c r="BC160" s="2" t="n">
        <f aca="false">BB158</f>
        <v>2</v>
      </c>
      <c r="BD160" s="2" t="n">
        <f aca="false">BB156</f>
        <v>26</v>
      </c>
      <c r="BE160" s="2" t="n">
        <f aca="false">BB154</f>
        <v>8</v>
      </c>
      <c r="BF160" s="2" t="n">
        <f aca="false">BB152</f>
        <v>17</v>
      </c>
      <c r="BG160" s="2" t="n">
        <f aca="false">BB150</f>
        <v>1</v>
      </c>
      <c r="BH160" s="2" t="n">
        <f aca="false">BB148</f>
        <v>31</v>
      </c>
      <c r="BI160" s="2" t="n">
        <f aca="false">BB146</f>
        <v>16</v>
      </c>
      <c r="BJ160" s="2" t="n">
        <f aca="false">BB144</f>
        <v>23</v>
      </c>
      <c r="BK160" s="2" t="n">
        <f aca="false">BB142</f>
        <v>28</v>
      </c>
      <c r="BL160" s="2" t="n">
        <f aca="false">BB140</f>
        <v>4</v>
      </c>
      <c r="BM160" s="2" t="n">
        <f aca="false">BB138</f>
        <v>9</v>
      </c>
      <c r="BN160" s="1" t="n">
        <v>3</v>
      </c>
      <c r="BO160" s="2" t="n">
        <f aca="false">BN158</f>
        <v>3</v>
      </c>
      <c r="BP160" s="2" t="n">
        <f aca="false">BN156</f>
        <v>3</v>
      </c>
      <c r="BQ160" s="2" t="n">
        <f aca="false">BN154</f>
        <v>3</v>
      </c>
      <c r="BR160" s="2" t="n">
        <f aca="false">BN152</f>
        <v>3</v>
      </c>
      <c r="BS160" s="2" t="n">
        <f aca="false">BN150</f>
        <v>3</v>
      </c>
      <c r="BT160" s="2" t="n">
        <f aca="false">BN148</f>
        <v>3</v>
      </c>
      <c r="BU160" s="2" t="n">
        <f aca="false">BN146</f>
        <v>3</v>
      </c>
      <c r="BV160" s="2" t="n">
        <f aca="false">BN144</f>
        <v>3</v>
      </c>
      <c r="BW160" s="2" t="n">
        <f aca="false">BN142</f>
        <v>3</v>
      </c>
      <c r="BX160" s="2" t="n">
        <f aca="false">BN140</f>
        <v>3</v>
      </c>
      <c r="BY160" s="2" t="n">
        <f aca="false">BN138</f>
        <v>3</v>
      </c>
      <c r="BZ160" s="1" t="n">
        <v>-4.8</v>
      </c>
      <c r="CA160" s="2" t="n">
        <f aca="false">BZ158</f>
        <v>-12.045</v>
      </c>
      <c r="CB160" s="2" t="n">
        <f aca="false">BZ156</f>
        <v>-1.13462</v>
      </c>
      <c r="CC160" s="2" t="n">
        <f aca="false">BZ154</f>
        <v>-2.92</v>
      </c>
      <c r="CD160" s="2" t="n">
        <f aca="false">BZ152</f>
        <v>-2.64118</v>
      </c>
      <c r="CE160" s="2" t="n">
        <f aca="false">BZ150</f>
        <v>-26.72</v>
      </c>
      <c r="CF160" s="2" t="n">
        <f aca="false">BZ148</f>
        <v>-1.31355</v>
      </c>
      <c r="CG160" s="2" t="n">
        <f aca="false">BZ146</f>
        <v>-3.37375</v>
      </c>
      <c r="CH160" s="2" t="n">
        <f aca="false">BZ144</f>
        <v>-2.56217</v>
      </c>
      <c r="CI160" s="2" t="n">
        <f aca="false">BZ142</f>
        <v>-0.64571</v>
      </c>
      <c r="CJ160" s="2" t="n">
        <f aca="false">BZ140</f>
        <v>-9.7175</v>
      </c>
      <c r="CK160" s="2" t="n">
        <f aca="false">BZ138</f>
        <v>-6.12444</v>
      </c>
      <c r="CL160" s="1" t="n">
        <v>3</v>
      </c>
      <c r="CM160" s="2" t="n">
        <f aca="false">CL158</f>
        <v>4</v>
      </c>
      <c r="CN160" s="2" t="n">
        <f aca="false">CL156</f>
        <v>3</v>
      </c>
      <c r="CO160" s="2" t="n">
        <f aca="false">CL154</f>
        <v>3</v>
      </c>
      <c r="CP160" s="2" t="n">
        <f aca="false">CL152</f>
        <v>3</v>
      </c>
      <c r="CQ160" s="2" t="n">
        <f aca="false">CL150</f>
        <v>5</v>
      </c>
      <c r="CR160" s="2" t="n">
        <f aca="false">CL148</f>
        <v>3</v>
      </c>
      <c r="CS160" s="2" t="n">
        <f aca="false">CL146</f>
        <v>3</v>
      </c>
      <c r="CT160" s="2" t="n">
        <f aca="false">CL144</f>
        <v>3</v>
      </c>
      <c r="CU160" s="2" t="n">
        <f aca="false">CL142</f>
        <v>3</v>
      </c>
      <c r="CV160" s="2" t="n">
        <f aca="false">CL140</f>
        <v>4</v>
      </c>
      <c r="CW160" s="2" t="n">
        <f aca="false">CL138</f>
        <v>3</v>
      </c>
      <c r="CX160" s="1" t="n">
        <v>-78.2317</v>
      </c>
      <c r="CY160" s="2" t="n">
        <f aca="false">CX158</f>
        <v>-85.2541</v>
      </c>
      <c r="CZ160" s="2" t="n">
        <f aca="false">CX156</f>
        <v>-48.6085</v>
      </c>
      <c r="DA160" s="2" t="n">
        <f aca="false">CX154</f>
        <v>-71.0954</v>
      </c>
      <c r="DB160" s="2" t="n">
        <f aca="false">CX152</f>
        <v>-69.2624</v>
      </c>
      <c r="DC160" s="2" t="n">
        <f aca="false">CX150</f>
        <v>-87.8567</v>
      </c>
      <c r="DD160" s="2" t="n">
        <f aca="false">CX148</f>
        <v>-52.7181</v>
      </c>
      <c r="DE160" s="2" t="n">
        <f aca="false">CX146</f>
        <v>-73.4899</v>
      </c>
      <c r="DF160" s="2" t="n">
        <f aca="false">CX144</f>
        <v>-68.6796</v>
      </c>
      <c r="DG160" s="2" t="n">
        <f aca="false">CX142</f>
        <v>-32.8509</v>
      </c>
      <c r="DH160" s="2" t="n">
        <f aca="false">CX140</f>
        <v>-84.1245</v>
      </c>
      <c r="DI160" s="2" t="n">
        <f aca="false">CX138</f>
        <v>-80.7266</v>
      </c>
      <c r="DJ160" s="1" t="s">
        <v>175</v>
      </c>
      <c r="DK160" s="2" t="str">
        <f aca="false">DJ158</f>
        <v>HL</v>
      </c>
      <c r="DL160" s="2" t="str">
        <f aca="false">DJ156</f>
        <v>HL</v>
      </c>
      <c r="DM160" s="2" t="str">
        <f aca="false">DJ154</f>
        <v>HL</v>
      </c>
      <c r="DN160" s="2" t="str">
        <f aca="false">DJ152</f>
        <v>LL</v>
      </c>
      <c r="DO160" s="2" t="str">
        <f aca="false">DJ150</f>
        <v>LL</v>
      </c>
      <c r="DP160" s="2" t="str">
        <f aca="false">DJ148</f>
        <v>HL</v>
      </c>
      <c r="DQ160" s="2" t="str">
        <f aca="false">DJ146</f>
        <v>LL</v>
      </c>
      <c r="DR160" s="2" t="str">
        <f aca="false">DJ144</f>
        <v>LL</v>
      </c>
      <c r="DS160" s="2" t="str">
        <f aca="false">DJ142</f>
        <v>HL</v>
      </c>
      <c r="DT160" s="2" t="str">
        <f aca="false">DJ140</f>
        <v>HL</v>
      </c>
      <c r="DU160" s="2" t="str">
        <f aca="false">DJ138</f>
        <v>LL</v>
      </c>
      <c r="DV160" s="2" t="n">
        <f aca="false">IFERROR((G160-$F160)/$F160*100,"")</f>
        <v>-0.229434193802852</v>
      </c>
      <c r="DW160" s="2" t="n">
        <f aca="false">IFERROR((H160-$F160)/$F160*100,"")</f>
        <v>-0.28312223342245</v>
      </c>
      <c r="DX160" s="2" t="n">
        <f aca="false">IFERROR((I160-$F160)/$F160*100,"")</f>
        <v>-1.29311478283734</v>
      </c>
      <c r="DY160" s="2" t="n">
        <f aca="false">IFERROR((J160-$F160)/$F160*100,"")</f>
        <v>-1.56615681290265</v>
      </c>
      <c r="DZ160" s="2" t="n">
        <f aca="false">IFERROR((K160-$F160)/$F160*100,"")</f>
        <v>-1.22627865188237</v>
      </c>
      <c r="EA160" s="2" t="n">
        <f aca="false">IFERROR((L160-$F160)/$F160*100,"")</f>
        <v>-0.982600692466127</v>
      </c>
      <c r="EB160" s="2" t="n">
        <f aca="false">IFERROR((M160-$F160)/$F160*100,"")</f>
        <v>-1.63649910154708</v>
      </c>
      <c r="EC160" s="2" t="n">
        <f aca="false">IFERROR((N160-$F160)/$F160*100,"")</f>
        <v>-1.12503834859971</v>
      </c>
      <c r="ED160" s="2" t="n">
        <f aca="false">IFERROR((O160-$F160)/$F160*100,"")</f>
        <v>-0.630450979532794</v>
      </c>
      <c r="EE160" s="2" t="n">
        <f aca="false">IFERROR((P160-$F160)/$F160*100,"")</f>
        <v>-2.11092606389972</v>
      </c>
      <c r="EF160" s="2" t="n">
        <f aca="false">IFERROR((Q160-$F160)/$F160*100,"")</f>
        <v>-2.40412850067932</v>
      </c>
      <c r="EG160" s="2" t="str">
        <f aca="false">IF(DV160="","",IF(AND(ABS(DV160)&lt;=0.25,$E160="Bottom",DK160="LL"),"EQL",IF(AND(ABS(DV160)&lt;=0.25,$E160="Peak",DK160="HH"),"EQH","")))</f>
        <v/>
      </c>
      <c r="EH160" s="2" t="str">
        <f aca="false">IF(DW160="","",IF(AND(ABS(DW160)&lt;=0.25,$E160="Bottom",DL160="LL"),"EQL",IF(AND(ABS(DW160)&lt;=0.25,$E160="Peak",DL160="HH"),"EQH","")))</f>
        <v/>
      </c>
      <c r="EI160" s="2" t="str">
        <f aca="false">IF(DX160="","",IF(AND(ABS(DX160)&lt;=0.25,$E160="Bottom",DM160="LL"),"EQL",IF(AND(ABS(DX160)&lt;=0.25,$E160="Peak",DM160="HH"),"EQH","")))</f>
        <v/>
      </c>
      <c r="EJ160" s="2" t="str">
        <f aca="false">IF(DY160="","",IF(AND(ABS(DY160)&lt;=0.25,$E160="Bottom",DN160="LL"),"EQL",IF(AND(ABS(DY160)&lt;=0.25,$E160="Peak",DN160="HH"),"EQH","")))</f>
        <v/>
      </c>
      <c r="EK160" s="2" t="str">
        <f aca="false">IF(DZ160="","",IF(AND(ABS(DZ160)&lt;=0.25,$E160="Bottom",DO160="LL"),"EQL",IF(AND(ABS(DZ160)&lt;=0.25,$E160="Peak",DO160="HH"),"EQH","")))</f>
        <v/>
      </c>
      <c r="EL160" s="2" t="str">
        <f aca="false">IF(EA160="","",IF(AND(ABS(EA160)&lt;=0.25,$E160="Bottom",DP160="LL"),"EQL",IF(AND(ABS(EA160)&lt;=0.25,$E160="Peak",DP160="HH"),"EQH","")))</f>
        <v/>
      </c>
      <c r="EM160" s="2" t="str">
        <f aca="false">IF(EB160="","",IF(AND(ABS(EB160)&lt;=0.25,$E160="Bottom",DQ160="LL"),"EQL",IF(AND(ABS(EB160)&lt;=0.25,$E160="Peak",DQ160="HH"),"EQH","")))</f>
        <v/>
      </c>
      <c r="EN160" s="2" t="str">
        <f aca="false">IF(EC160="","",IF(AND(ABS(EC160)&lt;=0.25,$E160="Bottom",DR160="LL"),"EQL",IF(AND(ABS(EC160)&lt;=0.25,$E160="Peak",DR160="HH"),"EQH","")))</f>
        <v/>
      </c>
      <c r="EO160" s="2" t="str">
        <f aca="false">IF(ED160="","",IF(AND(ABS(ED160)&lt;=0.25,$E160="Bottom",DS160="LL"),"EQL",IF(AND(ABS(ED160)&lt;=0.25,$E160="Peak",DS160="HH"),"EQH","")))</f>
        <v/>
      </c>
      <c r="EP160" s="2" t="str">
        <f aca="false">IF(EE160="","",IF(AND(ABS(EE160)&lt;=0.25,$E160="Bottom",DT160="LL"),"EQL",IF(AND(ABS(EE160)&lt;=0.25,$E160="Peak",DT160="HH"),"EQH","")))</f>
        <v/>
      </c>
      <c r="EQ160" s="2" t="str">
        <f aca="false">IF(EF160="","",IF(AND(ABS(EF160)&lt;=0.25,$E160="Bottom",DU160="LL"),"EQL",IF(AND(ABS(EF160)&lt;=0.25,$E160="Peak",DU160="HH"),"EQH","")))</f>
        <v/>
      </c>
      <c r="ER160" s="2" t="str">
        <f aca="false">IF(OR(EG160="EQL",EG160="EQH"),G160,"")</f>
        <v/>
      </c>
      <c r="ES160" s="2" t="str">
        <f aca="false">IF(OR(EH160="EQL",EH160="EQH"),H160,"")</f>
        <v/>
      </c>
      <c r="ET160" s="2" t="str">
        <f aca="false">IF(OR(EI160="EQL",EI160="EQH"),I160,"")</f>
        <v/>
      </c>
      <c r="EU160" s="2" t="str">
        <f aca="false">IF(OR(EJ160="EQL",EJ160="EQH"),J160,"")</f>
        <v/>
      </c>
      <c r="EV160" s="2" t="str">
        <f aca="false">IF(OR(EK160="EQL",EK160="EQH"),K160,"")</f>
        <v/>
      </c>
      <c r="EW160" s="2" t="str">
        <f aca="false">IF(OR(EL160="EQL",EL160="EQH"),L160,"")</f>
        <v/>
      </c>
      <c r="EX160" s="2" t="str">
        <f aca="false">IF(OR(EM160="EQL",EM160="EQH"),M160,"")</f>
        <v/>
      </c>
      <c r="EY160" s="2" t="str">
        <f aca="false">IF(OR(EN160="EQL",EN160="EQH"),N160,"")</f>
        <v/>
      </c>
      <c r="EZ160" s="2" t="str">
        <f aca="false">IF(OR(EO160="EQL",EO160="EQH"),O160,"")</f>
        <v/>
      </c>
      <c r="FA160" s="2" t="str">
        <f aca="false">IF(OR(EP160="EQL",EP160="EQH"),P160,"")</f>
        <v/>
      </c>
      <c r="FB160" s="2" t="str">
        <f aca="false">IF(OR(EQ160="EQL",EQ160="EQH"),Q160,"")</f>
        <v/>
      </c>
      <c r="FC160" s="2" t="str">
        <f aca="false">IF(AND(EG160="EQL",OR(AQ160=4,AQ160=5)),"IEQL",IF(AND(EG160="EQH",OR(AQ160=1,AQ160=2)),"IEQH",""))</f>
        <v/>
      </c>
      <c r="FD160" s="2" t="str">
        <f aca="false">IF(AND(EH160="EQL",OR(AR160=4,AR160=5)),"IEQL",IF(AND(EH160="EQH",OR(AR160=1,AR160=2)),"IEQH",""))</f>
        <v/>
      </c>
      <c r="FE160" s="2" t="str">
        <f aca="false">IF(AND(EI160="EQL",OR(AS160=4,AS160=5)),"IEQL",IF(AND(EI160="EQH",OR(AS160=1,AS160=2)),"IEQH",""))</f>
        <v/>
      </c>
      <c r="FF160" s="2" t="str">
        <f aca="false">IF(AND(EJ160="EQL",OR(AT160=4,AT160=5)),"IEQL",IF(AND(EJ160="EQH",OR(AT160=1,AT160=2)),"IEQH",""))</f>
        <v/>
      </c>
      <c r="FG160" s="2" t="str">
        <f aca="false">IF(AND(EK160="EQL",OR(AU160=4,AU160=5)),"IEQL",IF(AND(EK160="EQH",OR(AU160=1,AU160=2)),"IEQH",""))</f>
        <v/>
      </c>
      <c r="FH160" s="2" t="str">
        <f aca="false">IF(AND(EL160="EQL",OR(AV160=4,AV160=5)),"IEQL",IF(AND(EL160="EQH",OR(AV160=1,AV160=2)),"IEQH",""))</f>
        <v/>
      </c>
      <c r="FI160" s="2" t="str">
        <f aca="false">IF(AND(EM160="EQL",OR(AW160=4,AW160=5)),"IEQL",IF(AND(EM160="EQH",OR(AW160=1,AW160=2)),"IEQH",""))</f>
        <v/>
      </c>
      <c r="FJ160" s="2" t="str">
        <f aca="false">IF(AND(EN160="EQL",OR(AX160=4,AX160=5)),"IEQL",IF(AND(EN160="EQH",OR(AX160=1,AX160=2)),"IEQH",""))</f>
        <v/>
      </c>
      <c r="FK160" s="2" t="str">
        <f aca="false">IF(AND(EO160="EQL",OR(AY160=4,AY160=5)),"IEQL",IF(AND(EO160="EQH",OR(AY160=1,AY160=2)),"IEQH",""))</f>
        <v/>
      </c>
      <c r="FL160" s="2" t="str">
        <f aca="false">IF(AND(EP160="EQL",OR(AZ160=4,AZ160=5)),"IEQL",IF(AND(EP160="EQH",OR(AZ160=1,AZ160=2)),"IEQH",""))</f>
        <v/>
      </c>
      <c r="FM160" s="2" t="str">
        <f aca="false">IF(AND(EQ160="EQL",OR(BA160=4,BA160=5)),"IEQL",IF(AND(EQ160="EQH",OR(BA160=1,BA160=2)),"IEQH",""))</f>
        <v/>
      </c>
    </row>
    <row r="161" customFormat="false" ht="14.25" hidden="false" customHeight="false" outlineLevel="0" collapsed="false">
      <c r="A161" s="1" t="n">
        <v>1779750902</v>
      </c>
      <c r="B161" s="1" t="s">
        <v>169</v>
      </c>
      <c r="C161" s="1" t="s">
        <v>170</v>
      </c>
      <c r="D161" s="1" t="n">
        <v>4568.14</v>
      </c>
      <c r="E161" s="1" t="s">
        <v>173</v>
      </c>
      <c r="F161" s="1" t="n">
        <v>4580.28</v>
      </c>
      <c r="G161" s="2" t="n">
        <f aca="false">F159</f>
        <v>4577.8</v>
      </c>
      <c r="H161" s="2" t="n">
        <f aca="false">F157</f>
        <v>4577.02</v>
      </c>
      <c r="I161" s="2" t="n">
        <f aca="false">F155</f>
        <v>4579.98</v>
      </c>
      <c r="J161" s="2" t="n">
        <f aca="false">F153</f>
        <v>4527.75</v>
      </c>
      <c r="K161" s="2" t="n">
        <f aca="false">F151</f>
        <v>4536.83</v>
      </c>
      <c r="L161" s="2" t="n">
        <f aca="false">F149</f>
        <v>4534.16</v>
      </c>
      <c r="M161" s="2" t="n">
        <f aca="false">F147</f>
        <v>4559.28</v>
      </c>
      <c r="N161" s="2" t="n">
        <f aca="false">F145</f>
        <v>4542.7</v>
      </c>
      <c r="O161" s="2" t="n">
        <f aca="false">F143</f>
        <v>4570.99</v>
      </c>
      <c r="P161" s="2" t="n">
        <f aca="false">F141</f>
        <v>4552.71</v>
      </c>
      <c r="Q161" s="2" t="n">
        <f aca="false">F139</f>
        <v>4505.94</v>
      </c>
      <c r="R161" s="1" t="n">
        <v>16.88</v>
      </c>
      <c r="S161" s="2" t="n">
        <f aca="false">R159</f>
        <v>24.87</v>
      </c>
      <c r="T161" s="2" t="n">
        <f aca="false">R157</f>
        <v>26.54</v>
      </c>
      <c r="U161" s="2" t="n">
        <f aca="false">R155</f>
        <v>75.59</v>
      </c>
      <c r="V161" s="2" t="n">
        <f aca="false">R153</f>
        <v>35.82</v>
      </c>
      <c r="W161" s="2" t="n">
        <f aca="false">R151</f>
        <v>29.39</v>
      </c>
      <c r="X161" s="2" t="n">
        <f aca="false">R149</f>
        <v>15.6</v>
      </c>
      <c r="Y161" s="2" t="n">
        <f aca="false">R147</f>
        <v>70.56</v>
      </c>
      <c r="Z161" s="2" t="n">
        <f aca="false">R145</f>
        <v>30.64</v>
      </c>
      <c r="AA161" s="2" t="n">
        <f aca="false">R143</f>
        <v>36.36</v>
      </c>
      <c r="AB161" s="2" t="n">
        <f aca="false">R141</f>
        <v>85.64</v>
      </c>
      <c r="AC161" s="2" t="n">
        <f aca="false">R139</f>
        <v>52.25</v>
      </c>
      <c r="AD161" s="1" t="n">
        <v>0.37</v>
      </c>
      <c r="AE161" s="2" t="n">
        <f aca="false">AD159</f>
        <v>0.55</v>
      </c>
      <c r="AF161" s="2" t="n">
        <f aca="false">AD157</f>
        <v>0.58</v>
      </c>
      <c r="AG161" s="2" t="n">
        <f aca="false">AD155</f>
        <v>1.68</v>
      </c>
      <c r="AH161" s="2" t="n">
        <f aca="false">AD153</f>
        <v>0.8</v>
      </c>
      <c r="AI161" s="2" t="n">
        <f aca="false">AD151</f>
        <v>0.65</v>
      </c>
      <c r="AJ161" s="2" t="n">
        <f aca="false">AD149</f>
        <v>0.35</v>
      </c>
      <c r="AK161" s="2" t="n">
        <f aca="false">AD147</f>
        <v>1.57</v>
      </c>
      <c r="AL161" s="2" t="n">
        <f aca="false">AD145</f>
        <v>0.68</v>
      </c>
      <c r="AM161" s="2" t="n">
        <f aca="false">AD143</f>
        <v>0.8</v>
      </c>
      <c r="AN161" s="2" t="n">
        <f aca="false">AD141</f>
        <v>1.92</v>
      </c>
      <c r="AO161" s="2" t="n">
        <f aca="false">AD139</f>
        <v>1.17</v>
      </c>
      <c r="AP161" s="1" t="n">
        <v>0</v>
      </c>
      <c r="AQ161" s="2" t="n">
        <f aca="false">AP159</f>
        <v>0</v>
      </c>
      <c r="AR161" s="2" t="n">
        <f aca="false">AP157</f>
        <v>0</v>
      </c>
      <c r="AS161" s="2" t="n">
        <f aca="false">AP155</f>
        <v>0</v>
      </c>
      <c r="AT161" s="2" t="n">
        <f aca="false">AP153</f>
        <v>0</v>
      </c>
      <c r="AU161" s="2" t="n">
        <f aca="false">AP151</f>
        <v>0</v>
      </c>
      <c r="AV161" s="2" t="n">
        <f aca="false">AP149</f>
        <v>0</v>
      </c>
      <c r="AW161" s="2" t="n">
        <f aca="false">AP147</f>
        <v>0</v>
      </c>
      <c r="AX161" s="2" t="n">
        <f aca="false">AP145</f>
        <v>0</v>
      </c>
      <c r="AY161" s="2" t="n">
        <f aca="false">AP143</f>
        <v>0</v>
      </c>
      <c r="AZ161" s="2" t="n">
        <f aca="false">AP141</f>
        <v>1</v>
      </c>
      <c r="BA161" s="2" t="n">
        <f aca="false">AP139</f>
        <v>0</v>
      </c>
      <c r="BB161" s="1" t="n">
        <v>8</v>
      </c>
      <c r="BC161" s="2" t="n">
        <f aca="false">BB159</f>
        <v>19</v>
      </c>
      <c r="BD161" s="2" t="n">
        <f aca="false">BB157</f>
        <v>23</v>
      </c>
      <c r="BE161" s="2" t="n">
        <f aca="false">BB155</f>
        <v>12</v>
      </c>
      <c r="BF161" s="2" t="n">
        <f aca="false">BB153</f>
        <v>13</v>
      </c>
      <c r="BG161" s="2" t="n">
        <f aca="false">BB151</f>
        <v>17</v>
      </c>
      <c r="BH161" s="2" t="n">
        <f aca="false">BB149</f>
        <v>12</v>
      </c>
      <c r="BI161" s="2" t="n">
        <f aca="false">BB147</f>
        <v>17</v>
      </c>
      <c r="BJ161" s="2" t="n">
        <f aca="false">BB145</f>
        <v>9</v>
      </c>
      <c r="BK161" s="2" t="n">
        <f aca="false">BB143</f>
        <v>9</v>
      </c>
      <c r="BL161" s="2" t="n">
        <f aca="false">BB141</f>
        <v>5</v>
      </c>
      <c r="BM161" s="2" t="n">
        <f aca="false">BB139</f>
        <v>40</v>
      </c>
      <c r="BN161" s="1" t="n">
        <v>0</v>
      </c>
      <c r="BO161" s="2" t="n">
        <f aca="false">BN159</f>
        <v>0</v>
      </c>
      <c r="BP161" s="2" t="n">
        <f aca="false">BN157</f>
        <v>0</v>
      </c>
      <c r="BQ161" s="2" t="n">
        <f aca="false">BN155</f>
        <v>0</v>
      </c>
      <c r="BR161" s="2" t="n">
        <f aca="false">BN153</f>
        <v>0</v>
      </c>
      <c r="BS161" s="2" t="n">
        <f aca="false">BN151</f>
        <v>0</v>
      </c>
      <c r="BT161" s="2" t="n">
        <f aca="false">BN149</f>
        <v>0</v>
      </c>
      <c r="BU161" s="2" t="n">
        <f aca="false">BN147</f>
        <v>0</v>
      </c>
      <c r="BV161" s="2" t="n">
        <f aca="false">BN145</f>
        <v>0</v>
      </c>
      <c r="BW161" s="2" t="n">
        <f aca="false">BN143</f>
        <v>0</v>
      </c>
      <c r="BX161" s="2" t="n">
        <f aca="false">BN141</f>
        <v>0</v>
      </c>
      <c r="BY161" s="2" t="n">
        <f aca="false">BN139</f>
        <v>2</v>
      </c>
      <c r="BZ161" s="1" t="n">
        <v>2.11</v>
      </c>
      <c r="CA161" s="2" t="n">
        <f aca="false">BZ159</f>
        <v>1.30895</v>
      </c>
      <c r="CB161" s="2" t="n">
        <f aca="false">BZ157</f>
        <v>1.15391</v>
      </c>
      <c r="CC161" s="2" t="n">
        <f aca="false">BZ155</f>
        <v>6.29917</v>
      </c>
      <c r="CD161" s="2" t="n">
        <f aca="false">BZ153</f>
        <v>2.75538</v>
      </c>
      <c r="CE161" s="2" t="n">
        <f aca="false">BZ151</f>
        <v>1.72882</v>
      </c>
      <c r="CF161" s="2" t="n">
        <f aca="false">BZ149</f>
        <v>1.3</v>
      </c>
      <c r="CG161" s="2" t="n">
        <f aca="false">BZ147</f>
        <v>4.15059</v>
      </c>
      <c r="CH161" s="2" t="n">
        <f aca="false">BZ145</f>
        <v>3.40444</v>
      </c>
      <c r="CI161" s="2" t="n">
        <f aca="false">BZ143</f>
        <v>4.04</v>
      </c>
      <c r="CJ161" s="2" t="n">
        <f aca="false">BZ141</f>
        <v>17.128</v>
      </c>
      <c r="CK161" s="2" t="n">
        <f aca="false">BZ139</f>
        <v>1.30625</v>
      </c>
      <c r="CL161" s="1" t="n">
        <v>0</v>
      </c>
      <c r="CM161" s="2" t="n">
        <f aca="false">CL159</f>
        <v>0</v>
      </c>
      <c r="CN161" s="2" t="n">
        <f aca="false">CL157</f>
        <v>0</v>
      </c>
      <c r="CO161" s="2" t="n">
        <f aca="false">CL155</f>
        <v>0</v>
      </c>
      <c r="CP161" s="2" t="n">
        <f aca="false">CL153</f>
        <v>0</v>
      </c>
      <c r="CQ161" s="2" t="n">
        <f aca="false">CL151</f>
        <v>0</v>
      </c>
      <c r="CR161" s="2" t="n">
        <f aca="false">CL149</f>
        <v>0</v>
      </c>
      <c r="CS161" s="2" t="n">
        <f aca="false">CL147</f>
        <v>0</v>
      </c>
      <c r="CT161" s="2" t="n">
        <f aca="false">CL145</f>
        <v>0</v>
      </c>
      <c r="CU161" s="2" t="n">
        <f aca="false">CL143</f>
        <v>0</v>
      </c>
      <c r="CV161" s="2" t="n">
        <f aca="false">CL141</f>
        <v>2</v>
      </c>
      <c r="CW161" s="2" t="n">
        <f aca="false">CL139</f>
        <v>0</v>
      </c>
      <c r="CX161" s="1" t="n">
        <v>64.6422</v>
      </c>
      <c r="CY161" s="2" t="n">
        <f aca="false">CX159</f>
        <v>52.6212</v>
      </c>
      <c r="CZ161" s="2" t="n">
        <f aca="false">CX157</f>
        <v>49.0873</v>
      </c>
      <c r="DA161" s="2" t="n">
        <f aca="false">CX155</f>
        <v>80.9795</v>
      </c>
      <c r="DB161" s="2" t="n">
        <f aca="false">CX153</f>
        <v>70.0529</v>
      </c>
      <c r="DC161" s="2" t="n">
        <f aca="false">CX151</f>
        <v>59.9537</v>
      </c>
      <c r="DD161" s="2" t="n">
        <f aca="false">CX149</f>
        <v>52.4314</v>
      </c>
      <c r="DE161" s="2" t="n">
        <f aca="false">CX147</f>
        <v>76.4539</v>
      </c>
      <c r="DF161" s="2" t="n">
        <f aca="false">CX145</f>
        <v>73.6307</v>
      </c>
      <c r="DG161" s="2" t="n">
        <f aca="false">CX143</f>
        <v>76.0973</v>
      </c>
      <c r="DH161" s="2" t="n">
        <f aca="false">CX141</f>
        <v>86.6586</v>
      </c>
      <c r="DI161" s="2" t="n">
        <f aca="false">CX139</f>
        <v>52.5641</v>
      </c>
      <c r="DJ161" s="1" t="s">
        <v>176</v>
      </c>
      <c r="DK161" s="2" t="str">
        <f aca="false">DJ159</f>
        <v>HH</v>
      </c>
      <c r="DL161" s="2" t="str">
        <f aca="false">DJ157</f>
        <v>LH</v>
      </c>
      <c r="DM161" s="2" t="str">
        <f aca="false">DJ155</f>
        <v>HH</v>
      </c>
      <c r="DN161" s="2" t="str">
        <f aca="false">DJ153</f>
        <v>LH</v>
      </c>
      <c r="DO161" s="2" t="str">
        <f aca="false">DJ151</f>
        <v>HH</v>
      </c>
      <c r="DP161" s="2" t="str">
        <f aca="false">DJ149</f>
        <v>LH</v>
      </c>
      <c r="DQ161" s="2" t="str">
        <f aca="false">DJ147</f>
        <v>HH</v>
      </c>
      <c r="DR161" s="2" t="str">
        <f aca="false">DJ145</f>
        <v>LH</v>
      </c>
      <c r="DS161" s="2" t="str">
        <f aca="false">DJ143</f>
        <v>HH</v>
      </c>
      <c r="DT161" s="2" t="str">
        <f aca="false">DJ141</f>
        <v>HH</v>
      </c>
      <c r="DU161" s="2" t="str">
        <f aca="false">DJ139</f>
        <v>LH</v>
      </c>
      <c r="DV161" s="2" t="n">
        <f aca="false">IFERROR((G161-$F161)/$F161*100,"")</f>
        <v>-0.0541451614311694</v>
      </c>
      <c r="DW161" s="2" t="n">
        <f aca="false">IFERROR((H161-$F161)/$F161*100,"")</f>
        <v>-0.0711746880103249</v>
      </c>
      <c r="DX161" s="2" t="n">
        <f aca="false">IFERROR((I161-$F161)/$F161*100,"")</f>
        <v>-0.00654981791506593</v>
      </c>
      <c r="DY161" s="2" t="n">
        <f aca="false">IFERROR((J161-$F161)/$F161*100,"")</f>
        <v>-1.14687311692734</v>
      </c>
      <c r="DZ161" s="2" t="n">
        <f aca="false">IFERROR((K161-$F161)/$F161*100,"")</f>
        <v>-0.948631961364804</v>
      </c>
      <c r="EA161" s="2" t="n">
        <f aca="false">IFERROR((L161-$F161)/$F161*100,"")</f>
        <v>-1.00692534080886</v>
      </c>
      <c r="EB161" s="2" t="n">
        <f aca="false">IFERROR((M161-$F161)/$F161*100,"")</f>
        <v>-0.458487254054337</v>
      </c>
      <c r="EC161" s="2" t="n">
        <f aca="false">IFERROR((N161-$F161)/$F161*100,"")</f>
        <v>-0.820473857493427</v>
      </c>
      <c r="ED161" s="2" t="n">
        <f aca="false">IFERROR((O161-$F161)/$F161*100,"")</f>
        <v>-0.202826028103085</v>
      </c>
      <c r="EE161" s="2" t="n">
        <f aca="false">IFERROR((P161-$F161)/$F161*100,"")</f>
        <v>-0.601928266394188</v>
      </c>
      <c r="EF161" s="2" t="n">
        <f aca="false">IFERROR((Q161-$F161)/$F161*100,"")</f>
        <v>-1.62304487935236</v>
      </c>
      <c r="EG161" s="2" t="str">
        <f aca="false">IF(DV161="","",IF(AND(ABS(DV161)&lt;=0.25,$E161="Bottom",DK161="LL"),"EQL",IF(AND(ABS(DV161)&lt;=0.25,$E161="Peak",DK161="HH"),"EQH","")))</f>
        <v>EQH</v>
      </c>
      <c r="EH161" s="2" t="str">
        <f aca="false">IF(DW161="","",IF(AND(ABS(DW161)&lt;=0.25,$E161="Bottom",DL161="LL"),"EQL",IF(AND(ABS(DW161)&lt;=0.25,$E161="Peak",DL161="HH"),"EQH","")))</f>
        <v/>
      </c>
      <c r="EI161" s="2" t="str">
        <f aca="false">IF(DX161="","",IF(AND(ABS(DX161)&lt;=0.25,$E161="Bottom",DM161="LL"),"EQL",IF(AND(ABS(DX161)&lt;=0.25,$E161="Peak",DM161="HH"),"EQH","")))</f>
        <v>EQH</v>
      </c>
      <c r="EJ161" s="2" t="str">
        <f aca="false">IF(DY161="","",IF(AND(ABS(DY161)&lt;=0.25,$E161="Bottom",DN161="LL"),"EQL",IF(AND(ABS(DY161)&lt;=0.25,$E161="Peak",DN161="HH"),"EQH","")))</f>
        <v/>
      </c>
      <c r="EK161" s="2" t="str">
        <f aca="false">IF(DZ161="","",IF(AND(ABS(DZ161)&lt;=0.25,$E161="Bottom",DO161="LL"),"EQL",IF(AND(ABS(DZ161)&lt;=0.25,$E161="Peak",DO161="HH"),"EQH","")))</f>
        <v/>
      </c>
      <c r="EL161" s="2" t="str">
        <f aca="false">IF(EA161="","",IF(AND(ABS(EA161)&lt;=0.25,$E161="Bottom",DP161="LL"),"EQL",IF(AND(ABS(EA161)&lt;=0.25,$E161="Peak",DP161="HH"),"EQH","")))</f>
        <v/>
      </c>
      <c r="EM161" s="2" t="str">
        <f aca="false">IF(EB161="","",IF(AND(ABS(EB161)&lt;=0.25,$E161="Bottom",DQ161="LL"),"EQL",IF(AND(ABS(EB161)&lt;=0.25,$E161="Peak",DQ161="HH"),"EQH","")))</f>
        <v/>
      </c>
      <c r="EN161" s="2" t="str">
        <f aca="false">IF(EC161="","",IF(AND(ABS(EC161)&lt;=0.25,$E161="Bottom",DR161="LL"),"EQL",IF(AND(ABS(EC161)&lt;=0.25,$E161="Peak",DR161="HH"),"EQH","")))</f>
        <v/>
      </c>
      <c r="EO161" s="2" t="str">
        <f aca="false">IF(ED161="","",IF(AND(ABS(ED161)&lt;=0.25,$E161="Bottom",DS161="LL"),"EQL",IF(AND(ABS(ED161)&lt;=0.25,$E161="Peak",DS161="HH"),"EQH","")))</f>
        <v>EQH</v>
      </c>
      <c r="EP161" s="2" t="str">
        <f aca="false">IF(EE161="","",IF(AND(ABS(EE161)&lt;=0.25,$E161="Bottom",DT161="LL"),"EQL",IF(AND(ABS(EE161)&lt;=0.25,$E161="Peak",DT161="HH"),"EQH","")))</f>
        <v/>
      </c>
      <c r="EQ161" s="2" t="str">
        <f aca="false">IF(EF161="","",IF(AND(ABS(EF161)&lt;=0.25,$E161="Bottom",DU161="LL"),"EQL",IF(AND(ABS(EF161)&lt;=0.25,$E161="Peak",DU161="HH"),"EQH","")))</f>
        <v/>
      </c>
      <c r="ER161" s="2" t="n">
        <f aca="false">IF(OR(EG161="EQL",EG161="EQH"),G161,"")</f>
        <v>4577.8</v>
      </c>
      <c r="ES161" s="2" t="str">
        <f aca="false">IF(OR(EH161="EQL",EH161="EQH"),H161,"")</f>
        <v/>
      </c>
      <c r="ET161" s="2" t="n">
        <f aca="false">IF(OR(EI161="EQL",EI161="EQH"),I161,"")</f>
        <v>4579.98</v>
      </c>
      <c r="EU161" s="2" t="str">
        <f aca="false">IF(OR(EJ161="EQL",EJ161="EQH"),J161,"")</f>
        <v/>
      </c>
      <c r="EV161" s="2" t="str">
        <f aca="false">IF(OR(EK161="EQL",EK161="EQH"),K161,"")</f>
        <v/>
      </c>
      <c r="EW161" s="2" t="str">
        <f aca="false">IF(OR(EL161="EQL",EL161="EQH"),L161,"")</f>
        <v/>
      </c>
      <c r="EX161" s="2" t="str">
        <f aca="false">IF(OR(EM161="EQL",EM161="EQH"),M161,"")</f>
        <v/>
      </c>
      <c r="EY161" s="2" t="str">
        <f aca="false">IF(OR(EN161="EQL",EN161="EQH"),N161,"")</f>
        <v/>
      </c>
      <c r="EZ161" s="2" t="n">
        <f aca="false">IF(OR(EO161="EQL",EO161="EQH"),O161,"")</f>
        <v>4570.99</v>
      </c>
      <c r="FA161" s="2" t="str">
        <f aca="false">IF(OR(EP161="EQL",EP161="EQH"),P161,"")</f>
        <v/>
      </c>
      <c r="FB161" s="2" t="str">
        <f aca="false">IF(OR(EQ161="EQL",EQ161="EQH"),Q161,"")</f>
        <v/>
      </c>
      <c r="FC161" s="2" t="str">
        <f aca="false">IF(AND(EG161="EQL",OR(AQ161=4,AQ161=5)),"IEQL",IF(AND(EG161="EQH",OR(AQ161=1,AQ161=2)),"IEQH",""))</f>
        <v/>
      </c>
      <c r="FD161" s="2" t="str">
        <f aca="false">IF(AND(EH161="EQL",OR(AR161=4,AR161=5)),"IEQL",IF(AND(EH161="EQH",OR(AR161=1,AR161=2)),"IEQH",""))</f>
        <v/>
      </c>
      <c r="FE161" s="2" t="str">
        <f aca="false">IF(AND(EI161="EQL",OR(AS161=4,AS161=5)),"IEQL",IF(AND(EI161="EQH",OR(AS161=1,AS161=2)),"IEQH",""))</f>
        <v/>
      </c>
      <c r="FF161" s="2" t="str">
        <f aca="false">IF(AND(EJ161="EQL",OR(AT161=4,AT161=5)),"IEQL",IF(AND(EJ161="EQH",OR(AT161=1,AT161=2)),"IEQH",""))</f>
        <v/>
      </c>
      <c r="FG161" s="2" t="str">
        <f aca="false">IF(AND(EK161="EQL",OR(AU161=4,AU161=5)),"IEQL",IF(AND(EK161="EQH",OR(AU161=1,AU161=2)),"IEQH",""))</f>
        <v/>
      </c>
      <c r="FH161" s="2" t="str">
        <f aca="false">IF(AND(EL161="EQL",OR(AV161=4,AV161=5)),"IEQL",IF(AND(EL161="EQH",OR(AV161=1,AV161=2)),"IEQH",""))</f>
        <v/>
      </c>
      <c r="FI161" s="2" t="str">
        <f aca="false">IF(AND(EM161="EQL",OR(AW161=4,AW161=5)),"IEQL",IF(AND(EM161="EQH",OR(AW161=1,AW161=2)),"IEQH",""))</f>
        <v/>
      </c>
      <c r="FJ161" s="2" t="str">
        <f aca="false">IF(AND(EN161="EQL",OR(AX161=4,AX161=5)),"IEQL",IF(AND(EN161="EQH",OR(AX161=1,AX161=2)),"IEQH",""))</f>
        <v/>
      </c>
      <c r="FK161" s="2" t="str">
        <f aca="false">IF(AND(EO161="EQL",OR(AY161=4,AY161=5)),"IEQL",IF(AND(EO161="EQH",OR(AY161=1,AY161=2)),"IEQH",""))</f>
        <v/>
      </c>
      <c r="FL161" s="2" t="str">
        <f aca="false">IF(AND(EP161="EQL",OR(AZ161=4,AZ161=5)),"IEQL",IF(AND(EP161="EQH",OR(AZ161=1,AZ161=2)),"IEQH",""))</f>
        <v/>
      </c>
      <c r="FM161" s="2" t="str">
        <f aca="false">IF(AND(EQ161="EQL",OR(BA161=4,BA161=5)),"IEQL",IF(AND(EQ161="EQH",OR(BA161=1,BA161=2)),"IEQH",""))</f>
        <v/>
      </c>
    </row>
    <row r="162" customFormat="false" ht="14.25" hidden="false" customHeight="false" outlineLevel="0" collapsed="false">
      <c r="A162" s="1" t="n">
        <v>1779780602</v>
      </c>
      <c r="B162" s="1" t="s">
        <v>169</v>
      </c>
      <c r="C162" s="1" t="s">
        <v>170</v>
      </c>
      <c r="D162" s="1" t="n">
        <v>4526.72</v>
      </c>
      <c r="E162" s="1" t="s">
        <v>171</v>
      </c>
      <c r="F162" s="1" t="n">
        <v>4521.72</v>
      </c>
      <c r="G162" s="2" t="n">
        <f aca="false">F160</f>
        <v>4563.4</v>
      </c>
      <c r="H162" s="2" t="n">
        <f aca="false">F158</f>
        <v>4552.93</v>
      </c>
      <c r="I162" s="2" t="n">
        <f aca="false">F156</f>
        <v>4550.48</v>
      </c>
      <c r="J162" s="2" t="n">
        <f aca="false">F154</f>
        <v>4504.39</v>
      </c>
      <c r="K162" s="2" t="n">
        <f aca="false">F152</f>
        <v>4491.93</v>
      </c>
      <c r="L162" s="2" t="n">
        <f aca="false">F150</f>
        <v>4507.44</v>
      </c>
      <c r="M162" s="2" t="n">
        <f aca="false">F148</f>
        <v>4518.56</v>
      </c>
      <c r="N162" s="2" t="n">
        <f aca="false">F146</f>
        <v>4488.72</v>
      </c>
      <c r="O162" s="2" t="n">
        <f aca="false">F144</f>
        <v>4512.06</v>
      </c>
      <c r="P162" s="2" t="n">
        <f aca="false">F142</f>
        <v>4534.63</v>
      </c>
      <c r="Q162" s="2" t="n">
        <f aca="false">F140</f>
        <v>4467.07</v>
      </c>
      <c r="R162" s="1" t="n">
        <v>-58.56</v>
      </c>
      <c r="S162" s="2" t="n">
        <f aca="false">R160</f>
        <v>-14.4</v>
      </c>
      <c r="T162" s="2" t="n">
        <f aca="false">R158</f>
        <v>-24.09</v>
      </c>
      <c r="U162" s="2" t="n">
        <f aca="false">R156</f>
        <v>-29.5</v>
      </c>
      <c r="V162" s="2" t="n">
        <f aca="false">R154</f>
        <v>-23.36</v>
      </c>
      <c r="W162" s="2" t="n">
        <f aca="false">R152</f>
        <v>-44.9</v>
      </c>
      <c r="X162" s="2" t="n">
        <f aca="false">R150</f>
        <v>-26.72</v>
      </c>
      <c r="Y162" s="2" t="n">
        <f aca="false">R148</f>
        <v>-40.72</v>
      </c>
      <c r="Z162" s="2" t="n">
        <f aca="false">R146</f>
        <v>-53.98</v>
      </c>
      <c r="AA162" s="2" t="n">
        <f aca="false">R144</f>
        <v>-58.93</v>
      </c>
      <c r="AB162" s="2" t="n">
        <f aca="false">R142</f>
        <v>-18.08</v>
      </c>
      <c r="AC162" s="2" t="n">
        <f aca="false">R140</f>
        <v>-38.87</v>
      </c>
      <c r="AD162" s="1" t="n">
        <v>-1.28</v>
      </c>
      <c r="AE162" s="2" t="n">
        <f aca="false">AD160</f>
        <v>-0.31</v>
      </c>
      <c r="AF162" s="2" t="n">
        <f aca="false">AD158</f>
        <v>-0.53</v>
      </c>
      <c r="AG162" s="2" t="n">
        <f aca="false">AD156</f>
        <v>-0.64</v>
      </c>
      <c r="AH162" s="2" t="n">
        <f aca="false">AD154</f>
        <v>-0.52</v>
      </c>
      <c r="AI162" s="2" t="n">
        <f aca="false">AD152</f>
        <v>-0.99</v>
      </c>
      <c r="AJ162" s="2" t="n">
        <f aca="false">AD150</f>
        <v>-0.59</v>
      </c>
      <c r="AK162" s="2" t="n">
        <f aca="false">AD148</f>
        <v>-0.89</v>
      </c>
      <c r="AL162" s="2" t="n">
        <f aca="false">AD146</f>
        <v>-1.19</v>
      </c>
      <c r="AM162" s="2" t="n">
        <f aca="false">AD144</f>
        <v>-1.29</v>
      </c>
      <c r="AN162" s="2" t="n">
        <f aca="false">AD142</f>
        <v>-0.4</v>
      </c>
      <c r="AO162" s="2" t="n">
        <f aca="false">AD140</f>
        <v>-0.86</v>
      </c>
      <c r="AP162" s="1" t="n">
        <v>3</v>
      </c>
      <c r="AQ162" s="2" t="n">
        <f aca="false">AP160</f>
        <v>3</v>
      </c>
      <c r="AR162" s="2" t="n">
        <f aca="false">AP158</f>
        <v>3</v>
      </c>
      <c r="AS162" s="2" t="n">
        <f aca="false">AP156</f>
        <v>3</v>
      </c>
      <c r="AT162" s="2" t="n">
        <f aca="false">AP154</f>
        <v>3</v>
      </c>
      <c r="AU162" s="2" t="n">
        <f aca="false">AP152</f>
        <v>3</v>
      </c>
      <c r="AV162" s="2" t="n">
        <f aca="false">AP150</f>
        <v>3</v>
      </c>
      <c r="AW162" s="2" t="n">
        <f aca="false">AP148</f>
        <v>3</v>
      </c>
      <c r="AX162" s="2" t="n">
        <f aca="false">AP146</f>
        <v>3</v>
      </c>
      <c r="AY162" s="2" t="n">
        <f aca="false">AP144</f>
        <v>3</v>
      </c>
      <c r="AZ162" s="2" t="n">
        <f aca="false">AP142</f>
        <v>3</v>
      </c>
      <c r="BA162" s="2" t="n">
        <f aca="false">AP140</f>
        <v>3</v>
      </c>
      <c r="BB162" s="1" t="n">
        <v>33</v>
      </c>
      <c r="BC162" s="2" t="n">
        <f aca="false">BB160</f>
        <v>3</v>
      </c>
      <c r="BD162" s="2" t="n">
        <f aca="false">BB158</f>
        <v>2</v>
      </c>
      <c r="BE162" s="2" t="n">
        <f aca="false">BB156</f>
        <v>26</v>
      </c>
      <c r="BF162" s="2" t="n">
        <f aca="false">BB154</f>
        <v>8</v>
      </c>
      <c r="BG162" s="2" t="n">
        <f aca="false">BB152</f>
        <v>17</v>
      </c>
      <c r="BH162" s="2" t="n">
        <f aca="false">BB150</f>
        <v>1</v>
      </c>
      <c r="BI162" s="2" t="n">
        <f aca="false">BB148</f>
        <v>31</v>
      </c>
      <c r="BJ162" s="2" t="n">
        <f aca="false">BB146</f>
        <v>16</v>
      </c>
      <c r="BK162" s="2" t="n">
        <f aca="false">BB144</f>
        <v>23</v>
      </c>
      <c r="BL162" s="2" t="n">
        <f aca="false">BB142</f>
        <v>28</v>
      </c>
      <c r="BM162" s="2" t="n">
        <f aca="false">BB140</f>
        <v>4</v>
      </c>
      <c r="BN162" s="1" t="n">
        <v>4</v>
      </c>
      <c r="BO162" s="2" t="n">
        <f aca="false">BN160</f>
        <v>3</v>
      </c>
      <c r="BP162" s="2" t="n">
        <f aca="false">BN158</f>
        <v>3</v>
      </c>
      <c r="BQ162" s="2" t="n">
        <f aca="false">BN156</f>
        <v>3</v>
      </c>
      <c r="BR162" s="2" t="n">
        <f aca="false">BN154</f>
        <v>3</v>
      </c>
      <c r="BS162" s="2" t="n">
        <f aca="false">BN152</f>
        <v>3</v>
      </c>
      <c r="BT162" s="2" t="n">
        <f aca="false">BN150</f>
        <v>3</v>
      </c>
      <c r="BU162" s="2" t="n">
        <f aca="false">BN148</f>
        <v>3</v>
      </c>
      <c r="BV162" s="2" t="n">
        <f aca="false">BN146</f>
        <v>3</v>
      </c>
      <c r="BW162" s="2" t="n">
        <f aca="false">BN144</f>
        <v>3</v>
      </c>
      <c r="BX162" s="2" t="n">
        <f aca="false">BN142</f>
        <v>3</v>
      </c>
      <c r="BY162" s="2" t="n">
        <f aca="false">BN140</f>
        <v>3</v>
      </c>
      <c r="BZ162" s="1" t="n">
        <v>-1.77455</v>
      </c>
      <c r="CA162" s="2" t="n">
        <f aca="false">BZ160</f>
        <v>-4.8</v>
      </c>
      <c r="CB162" s="2" t="n">
        <f aca="false">BZ158</f>
        <v>-12.045</v>
      </c>
      <c r="CC162" s="2" t="n">
        <f aca="false">BZ156</f>
        <v>-1.13462</v>
      </c>
      <c r="CD162" s="2" t="n">
        <f aca="false">BZ154</f>
        <v>-2.92</v>
      </c>
      <c r="CE162" s="2" t="n">
        <f aca="false">BZ152</f>
        <v>-2.64118</v>
      </c>
      <c r="CF162" s="2" t="n">
        <f aca="false">BZ150</f>
        <v>-26.72</v>
      </c>
      <c r="CG162" s="2" t="n">
        <f aca="false">BZ148</f>
        <v>-1.31355</v>
      </c>
      <c r="CH162" s="2" t="n">
        <f aca="false">BZ146</f>
        <v>-3.37375</v>
      </c>
      <c r="CI162" s="2" t="n">
        <f aca="false">BZ144</f>
        <v>-2.56217</v>
      </c>
      <c r="CJ162" s="2" t="n">
        <f aca="false">BZ142</f>
        <v>-0.64571</v>
      </c>
      <c r="CK162" s="2" t="n">
        <f aca="false">BZ140</f>
        <v>-9.7175</v>
      </c>
      <c r="CL162" s="1" t="n">
        <v>3</v>
      </c>
      <c r="CM162" s="2" t="n">
        <f aca="false">CL160</f>
        <v>3</v>
      </c>
      <c r="CN162" s="2" t="n">
        <f aca="false">CL158</f>
        <v>4</v>
      </c>
      <c r="CO162" s="2" t="n">
        <f aca="false">CL156</f>
        <v>3</v>
      </c>
      <c r="CP162" s="2" t="n">
        <f aca="false">CL154</f>
        <v>3</v>
      </c>
      <c r="CQ162" s="2" t="n">
        <f aca="false">CL152</f>
        <v>3</v>
      </c>
      <c r="CR162" s="2" t="n">
        <f aca="false">CL150</f>
        <v>5</v>
      </c>
      <c r="CS162" s="2" t="n">
        <f aca="false">CL148</f>
        <v>3</v>
      </c>
      <c r="CT162" s="2" t="n">
        <f aca="false">CL146</f>
        <v>3</v>
      </c>
      <c r="CU162" s="2" t="n">
        <f aca="false">CL144</f>
        <v>3</v>
      </c>
      <c r="CV162" s="2" t="n">
        <f aca="false">CL142</f>
        <v>3</v>
      </c>
      <c r="CW162" s="2" t="n">
        <f aca="false">CL140</f>
        <v>4</v>
      </c>
      <c r="CX162" s="1" t="n">
        <v>-60.5977</v>
      </c>
      <c r="CY162" s="2" t="n">
        <f aca="false">CX160</f>
        <v>-78.2317</v>
      </c>
      <c r="CZ162" s="2" t="n">
        <f aca="false">CX158</f>
        <v>-85.2541</v>
      </c>
      <c r="DA162" s="2" t="n">
        <f aca="false">CX156</f>
        <v>-48.6085</v>
      </c>
      <c r="DB162" s="2" t="n">
        <f aca="false">CX154</f>
        <v>-71.0954</v>
      </c>
      <c r="DC162" s="2" t="n">
        <f aca="false">CX152</f>
        <v>-69.2624</v>
      </c>
      <c r="DD162" s="2" t="n">
        <f aca="false">CX150</f>
        <v>-87.8567</v>
      </c>
      <c r="DE162" s="2" t="n">
        <f aca="false">CX148</f>
        <v>-52.7181</v>
      </c>
      <c r="DF162" s="2" t="n">
        <f aca="false">CX146</f>
        <v>-73.4899</v>
      </c>
      <c r="DG162" s="2" t="n">
        <f aca="false">CX144</f>
        <v>-68.6796</v>
      </c>
      <c r="DH162" s="2" t="n">
        <f aca="false">CX142</f>
        <v>-32.8509</v>
      </c>
      <c r="DI162" s="2" t="n">
        <f aca="false">CX140</f>
        <v>-84.1245</v>
      </c>
      <c r="DJ162" s="1" t="s">
        <v>172</v>
      </c>
      <c r="DK162" s="2" t="str">
        <f aca="false">DJ160</f>
        <v>HL</v>
      </c>
      <c r="DL162" s="2" t="str">
        <f aca="false">DJ158</f>
        <v>HL</v>
      </c>
      <c r="DM162" s="2" t="str">
        <f aca="false">DJ156</f>
        <v>HL</v>
      </c>
      <c r="DN162" s="2" t="str">
        <f aca="false">DJ154</f>
        <v>HL</v>
      </c>
      <c r="DO162" s="2" t="str">
        <f aca="false">DJ152</f>
        <v>LL</v>
      </c>
      <c r="DP162" s="2" t="str">
        <f aca="false">DJ150</f>
        <v>LL</v>
      </c>
      <c r="DQ162" s="2" t="str">
        <f aca="false">DJ148</f>
        <v>HL</v>
      </c>
      <c r="DR162" s="2" t="str">
        <f aca="false">DJ146</f>
        <v>LL</v>
      </c>
      <c r="DS162" s="2" t="str">
        <f aca="false">DJ144</f>
        <v>LL</v>
      </c>
      <c r="DT162" s="2" t="str">
        <f aca="false">DJ142</f>
        <v>HL</v>
      </c>
      <c r="DU162" s="2" t="str">
        <f aca="false">DJ140</f>
        <v>HL</v>
      </c>
      <c r="DV162" s="2" t="n">
        <f aca="false">IFERROR((G162-$F162)/$F162*100,"")</f>
        <v>0.921773130578616</v>
      </c>
      <c r="DW162" s="2" t="n">
        <f aca="false">IFERROR((H162-$F162)/$F162*100,"")</f>
        <v>0.690224074024929</v>
      </c>
      <c r="DX162" s="2" t="n">
        <f aca="false">IFERROR((I162-$F162)/$F162*100,"")</f>
        <v>0.636041152481784</v>
      </c>
      <c r="DY162" s="2" t="n">
        <f aca="false">IFERROR((J162-$F162)/$F162*100,"")</f>
        <v>-0.383261236874462</v>
      </c>
      <c r="DZ162" s="2" t="n">
        <f aca="false">IFERROR((K162-$F162)/$F162*100,"")</f>
        <v>-0.658820095008093</v>
      </c>
      <c r="EA162" s="2" t="n">
        <f aca="false">IFERROR((L162-$F162)/$F162*100,"")</f>
        <v>-0.315809028422827</v>
      </c>
      <c r="EB162" s="2" t="n">
        <f aca="false">IFERROR((M162-$F162)/$F162*100,"")</f>
        <v>-0.0698849110515435</v>
      </c>
      <c r="EC162" s="2" t="n">
        <f aca="false">IFERROR((N162-$F162)/$F162*100,"")</f>
        <v>-0.729810779968685</v>
      </c>
      <c r="ED162" s="2" t="n">
        <f aca="false">IFERROR((O162-$F162)/$F162*100,"")</f>
        <v>-0.213635519227193</v>
      </c>
      <c r="EE162" s="2" t="n">
        <f aca="false">IFERROR((P162-$F162)/$F162*100,"")</f>
        <v>0.285510823315019</v>
      </c>
      <c r="EF162" s="2" t="n">
        <f aca="false">IFERROR((Q162-$F162)/$F162*100,"")</f>
        <v>-1.20861088258452</v>
      </c>
      <c r="EG162" s="2" t="str">
        <f aca="false">IF(DV162="","",IF(AND(ABS(DV162)&lt;=0.25,$E162="Bottom",DK162="LL"),"EQL",IF(AND(ABS(DV162)&lt;=0.25,$E162="Peak",DK162="HH"),"EQH","")))</f>
        <v/>
      </c>
      <c r="EH162" s="2" t="str">
        <f aca="false">IF(DW162="","",IF(AND(ABS(DW162)&lt;=0.25,$E162="Bottom",DL162="LL"),"EQL",IF(AND(ABS(DW162)&lt;=0.25,$E162="Peak",DL162="HH"),"EQH","")))</f>
        <v/>
      </c>
      <c r="EI162" s="2" t="str">
        <f aca="false">IF(DX162="","",IF(AND(ABS(DX162)&lt;=0.25,$E162="Bottom",DM162="LL"),"EQL",IF(AND(ABS(DX162)&lt;=0.25,$E162="Peak",DM162="HH"),"EQH","")))</f>
        <v/>
      </c>
      <c r="EJ162" s="2" t="str">
        <f aca="false">IF(DY162="","",IF(AND(ABS(DY162)&lt;=0.25,$E162="Bottom",DN162="LL"),"EQL",IF(AND(ABS(DY162)&lt;=0.25,$E162="Peak",DN162="HH"),"EQH","")))</f>
        <v/>
      </c>
      <c r="EK162" s="2" t="str">
        <f aca="false">IF(DZ162="","",IF(AND(ABS(DZ162)&lt;=0.25,$E162="Bottom",DO162="LL"),"EQL",IF(AND(ABS(DZ162)&lt;=0.25,$E162="Peak",DO162="HH"),"EQH","")))</f>
        <v/>
      </c>
      <c r="EL162" s="2" t="str">
        <f aca="false">IF(EA162="","",IF(AND(ABS(EA162)&lt;=0.25,$E162="Bottom",DP162="LL"),"EQL",IF(AND(ABS(EA162)&lt;=0.25,$E162="Peak",DP162="HH"),"EQH","")))</f>
        <v/>
      </c>
      <c r="EM162" s="2" t="str">
        <f aca="false">IF(EB162="","",IF(AND(ABS(EB162)&lt;=0.25,$E162="Bottom",DQ162="LL"),"EQL",IF(AND(ABS(EB162)&lt;=0.25,$E162="Peak",DQ162="HH"),"EQH","")))</f>
        <v/>
      </c>
      <c r="EN162" s="2" t="str">
        <f aca="false">IF(EC162="","",IF(AND(ABS(EC162)&lt;=0.25,$E162="Bottom",DR162="LL"),"EQL",IF(AND(ABS(EC162)&lt;=0.25,$E162="Peak",DR162="HH"),"EQH","")))</f>
        <v/>
      </c>
      <c r="EO162" s="2" t="str">
        <f aca="false">IF(ED162="","",IF(AND(ABS(ED162)&lt;=0.25,$E162="Bottom",DS162="LL"),"EQL",IF(AND(ABS(ED162)&lt;=0.25,$E162="Peak",DS162="HH"),"EQH","")))</f>
        <v>EQL</v>
      </c>
      <c r="EP162" s="2" t="str">
        <f aca="false">IF(EE162="","",IF(AND(ABS(EE162)&lt;=0.25,$E162="Bottom",DT162="LL"),"EQL",IF(AND(ABS(EE162)&lt;=0.25,$E162="Peak",DT162="HH"),"EQH","")))</f>
        <v/>
      </c>
      <c r="EQ162" s="2" t="str">
        <f aca="false">IF(EF162="","",IF(AND(ABS(EF162)&lt;=0.25,$E162="Bottom",DU162="LL"),"EQL",IF(AND(ABS(EF162)&lt;=0.25,$E162="Peak",DU162="HH"),"EQH","")))</f>
        <v/>
      </c>
      <c r="ER162" s="2" t="str">
        <f aca="false">IF(OR(EG162="EQL",EG162="EQH"),G162,"")</f>
        <v/>
      </c>
      <c r="ES162" s="2" t="str">
        <f aca="false">IF(OR(EH162="EQL",EH162="EQH"),H162,"")</f>
        <v/>
      </c>
      <c r="ET162" s="2" t="str">
        <f aca="false">IF(OR(EI162="EQL",EI162="EQH"),I162,"")</f>
        <v/>
      </c>
      <c r="EU162" s="2" t="str">
        <f aca="false">IF(OR(EJ162="EQL",EJ162="EQH"),J162,"")</f>
        <v/>
      </c>
      <c r="EV162" s="2" t="str">
        <f aca="false">IF(OR(EK162="EQL",EK162="EQH"),K162,"")</f>
        <v/>
      </c>
      <c r="EW162" s="2" t="str">
        <f aca="false">IF(OR(EL162="EQL",EL162="EQH"),L162,"")</f>
        <v/>
      </c>
      <c r="EX162" s="2" t="str">
        <f aca="false">IF(OR(EM162="EQL",EM162="EQH"),M162,"")</f>
        <v/>
      </c>
      <c r="EY162" s="2" t="str">
        <f aca="false">IF(OR(EN162="EQL",EN162="EQH"),N162,"")</f>
        <v/>
      </c>
      <c r="EZ162" s="2" t="n">
        <f aca="false">IF(OR(EO162="EQL",EO162="EQH"),O162,"")</f>
        <v>4512.06</v>
      </c>
      <c r="FA162" s="2" t="str">
        <f aca="false">IF(OR(EP162="EQL",EP162="EQH"),P162,"")</f>
        <v/>
      </c>
      <c r="FB162" s="2" t="str">
        <f aca="false">IF(OR(EQ162="EQL",EQ162="EQH"),Q162,"")</f>
        <v/>
      </c>
      <c r="FC162" s="2" t="str">
        <f aca="false">IF(AND(EG162="EQL",OR(AQ162=4,AQ162=5)),"IEQL",IF(AND(EG162="EQH",OR(AQ162=1,AQ162=2)),"IEQH",""))</f>
        <v/>
      </c>
      <c r="FD162" s="2" t="str">
        <f aca="false">IF(AND(EH162="EQL",OR(AR162=4,AR162=5)),"IEQL",IF(AND(EH162="EQH",OR(AR162=1,AR162=2)),"IEQH",""))</f>
        <v/>
      </c>
      <c r="FE162" s="2" t="str">
        <f aca="false">IF(AND(EI162="EQL",OR(AS162=4,AS162=5)),"IEQL",IF(AND(EI162="EQH",OR(AS162=1,AS162=2)),"IEQH",""))</f>
        <v/>
      </c>
      <c r="FF162" s="2" t="str">
        <f aca="false">IF(AND(EJ162="EQL",OR(AT162=4,AT162=5)),"IEQL",IF(AND(EJ162="EQH",OR(AT162=1,AT162=2)),"IEQH",""))</f>
        <v/>
      </c>
      <c r="FG162" s="2" t="str">
        <f aca="false">IF(AND(EK162="EQL",OR(AU162=4,AU162=5)),"IEQL",IF(AND(EK162="EQH",OR(AU162=1,AU162=2)),"IEQH",""))</f>
        <v/>
      </c>
      <c r="FH162" s="2" t="str">
        <f aca="false">IF(AND(EL162="EQL",OR(AV162=4,AV162=5)),"IEQL",IF(AND(EL162="EQH",OR(AV162=1,AV162=2)),"IEQH",""))</f>
        <v/>
      </c>
      <c r="FI162" s="2" t="str">
        <f aca="false">IF(AND(EM162="EQL",OR(AW162=4,AW162=5)),"IEQL",IF(AND(EM162="EQH",OR(AW162=1,AW162=2)),"IEQH",""))</f>
        <v/>
      </c>
      <c r="FJ162" s="2" t="str">
        <f aca="false">IF(AND(EN162="EQL",OR(AX162=4,AX162=5)),"IEQL",IF(AND(EN162="EQH",OR(AX162=1,AX162=2)),"IEQH",""))</f>
        <v/>
      </c>
      <c r="FK162" s="2" t="str">
        <f aca="false">IF(AND(EO162="EQL",OR(AY162=4,AY162=5)),"IEQL",IF(AND(EO162="EQH",OR(AY162=1,AY162=2)),"IEQH",""))</f>
        <v/>
      </c>
      <c r="FL162" s="2" t="str">
        <f aca="false">IF(AND(EP162="EQL",OR(AZ162=4,AZ162=5)),"IEQL",IF(AND(EP162="EQH",OR(AZ162=1,AZ162=2)),"IEQH",""))</f>
        <v/>
      </c>
      <c r="FM162" s="2" t="str">
        <f aca="false">IF(AND(EQ162="EQL",OR(BA162=4,BA162=5)),"IEQL",IF(AND(EQ162="EQH",OR(BA162=1,BA162=2)),"IEQH",""))</f>
        <v/>
      </c>
    </row>
    <row r="163" customFormat="false" ht="14.25" hidden="false" customHeight="false" outlineLevel="0" collapsed="false">
      <c r="A163" s="1" t="n">
        <v>1779781502</v>
      </c>
      <c r="B163" s="1" t="s">
        <v>169</v>
      </c>
      <c r="C163" s="1" t="s">
        <v>170</v>
      </c>
      <c r="D163" s="1" t="n">
        <v>4538.23</v>
      </c>
      <c r="E163" s="1" t="s">
        <v>173</v>
      </c>
      <c r="F163" s="1" t="n">
        <v>4539.01</v>
      </c>
      <c r="G163" s="2" t="n">
        <f aca="false">F161</f>
        <v>4580.28</v>
      </c>
      <c r="H163" s="2" t="n">
        <f aca="false">F159</f>
        <v>4577.8</v>
      </c>
      <c r="I163" s="2" t="n">
        <f aca="false">F157</f>
        <v>4577.02</v>
      </c>
      <c r="J163" s="2" t="n">
        <f aca="false">F155</f>
        <v>4579.98</v>
      </c>
      <c r="K163" s="2" t="n">
        <f aca="false">F153</f>
        <v>4527.75</v>
      </c>
      <c r="L163" s="2" t="n">
        <f aca="false">F151</f>
        <v>4536.83</v>
      </c>
      <c r="M163" s="2" t="n">
        <f aca="false">F149</f>
        <v>4534.16</v>
      </c>
      <c r="N163" s="2" t="n">
        <f aca="false">F147</f>
        <v>4559.28</v>
      </c>
      <c r="O163" s="2" t="n">
        <f aca="false">F145</f>
        <v>4542.7</v>
      </c>
      <c r="P163" s="2" t="n">
        <f aca="false">F143</f>
        <v>4570.99</v>
      </c>
      <c r="Q163" s="2" t="n">
        <f aca="false">F141</f>
        <v>4552.71</v>
      </c>
      <c r="R163" s="1" t="n">
        <v>17.29</v>
      </c>
      <c r="S163" s="2" t="n">
        <f aca="false">R161</f>
        <v>16.88</v>
      </c>
      <c r="T163" s="2" t="n">
        <f aca="false">R159</f>
        <v>24.87</v>
      </c>
      <c r="U163" s="2" t="n">
        <f aca="false">R157</f>
        <v>26.54</v>
      </c>
      <c r="V163" s="2" t="n">
        <f aca="false">R155</f>
        <v>75.59</v>
      </c>
      <c r="W163" s="2" t="n">
        <f aca="false">R153</f>
        <v>35.82</v>
      </c>
      <c r="X163" s="2" t="n">
        <f aca="false">R151</f>
        <v>29.39</v>
      </c>
      <c r="Y163" s="2" t="n">
        <f aca="false">R149</f>
        <v>15.6</v>
      </c>
      <c r="Z163" s="2" t="n">
        <f aca="false">R147</f>
        <v>70.56</v>
      </c>
      <c r="AA163" s="2" t="n">
        <f aca="false">R145</f>
        <v>30.64</v>
      </c>
      <c r="AB163" s="2" t="n">
        <f aca="false">R143</f>
        <v>36.36</v>
      </c>
      <c r="AC163" s="2" t="n">
        <f aca="false">R141</f>
        <v>85.64</v>
      </c>
      <c r="AD163" s="1" t="n">
        <v>0.38</v>
      </c>
      <c r="AE163" s="2" t="n">
        <f aca="false">AD161</f>
        <v>0.37</v>
      </c>
      <c r="AF163" s="2" t="n">
        <f aca="false">AD159</f>
        <v>0.55</v>
      </c>
      <c r="AG163" s="2" t="n">
        <f aca="false">AD157</f>
        <v>0.58</v>
      </c>
      <c r="AH163" s="2" t="n">
        <f aca="false">AD155</f>
        <v>1.68</v>
      </c>
      <c r="AI163" s="2" t="n">
        <f aca="false">AD153</f>
        <v>0.8</v>
      </c>
      <c r="AJ163" s="2" t="n">
        <f aca="false">AD151</f>
        <v>0.65</v>
      </c>
      <c r="AK163" s="2" t="n">
        <f aca="false">AD149</f>
        <v>0.35</v>
      </c>
      <c r="AL163" s="2" t="n">
        <f aca="false">AD147</f>
        <v>1.57</v>
      </c>
      <c r="AM163" s="2" t="n">
        <f aca="false">AD145</f>
        <v>0.68</v>
      </c>
      <c r="AN163" s="2" t="n">
        <f aca="false">AD143</f>
        <v>0.8</v>
      </c>
      <c r="AO163" s="2" t="n">
        <f aca="false">AD141</f>
        <v>1.92</v>
      </c>
      <c r="AP163" s="1" t="n">
        <v>0</v>
      </c>
      <c r="AQ163" s="2" t="n">
        <f aca="false">AP161</f>
        <v>0</v>
      </c>
      <c r="AR163" s="2" t="n">
        <f aca="false">AP159</f>
        <v>0</v>
      </c>
      <c r="AS163" s="2" t="n">
        <f aca="false">AP157</f>
        <v>0</v>
      </c>
      <c r="AT163" s="2" t="n">
        <f aca="false">AP155</f>
        <v>0</v>
      </c>
      <c r="AU163" s="2" t="n">
        <f aca="false">AP153</f>
        <v>0</v>
      </c>
      <c r="AV163" s="2" t="n">
        <f aca="false">AP151</f>
        <v>0</v>
      </c>
      <c r="AW163" s="2" t="n">
        <f aca="false">AP149</f>
        <v>0</v>
      </c>
      <c r="AX163" s="2" t="n">
        <f aca="false">AP147</f>
        <v>0</v>
      </c>
      <c r="AY163" s="2" t="n">
        <f aca="false">AP145</f>
        <v>0</v>
      </c>
      <c r="AZ163" s="2" t="n">
        <f aca="false">AP143</f>
        <v>0</v>
      </c>
      <c r="BA163" s="2" t="n">
        <f aca="false">AP141</f>
        <v>1</v>
      </c>
      <c r="BB163" s="1" t="n">
        <v>1</v>
      </c>
      <c r="BC163" s="2" t="n">
        <f aca="false">BB161</f>
        <v>8</v>
      </c>
      <c r="BD163" s="2" t="n">
        <f aca="false">BB159</f>
        <v>19</v>
      </c>
      <c r="BE163" s="2" t="n">
        <f aca="false">BB157</f>
        <v>23</v>
      </c>
      <c r="BF163" s="2" t="n">
        <f aca="false">BB155</f>
        <v>12</v>
      </c>
      <c r="BG163" s="2" t="n">
        <f aca="false">BB153</f>
        <v>13</v>
      </c>
      <c r="BH163" s="2" t="n">
        <f aca="false">BB151</f>
        <v>17</v>
      </c>
      <c r="BI163" s="2" t="n">
        <f aca="false">BB149</f>
        <v>12</v>
      </c>
      <c r="BJ163" s="2" t="n">
        <f aca="false">BB147</f>
        <v>17</v>
      </c>
      <c r="BK163" s="2" t="n">
        <f aca="false">BB145</f>
        <v>9</v>
      </c>
      <c r="BL163" s="2" t="n">
        <f aca="false">BB143</f>
        <v>9</v>
      </c>
      <c r="BM163" s="2" t="n">
        <f aca="false">BB141</f>
        <v>5</v>
      </c>
      <c r="BN163" s="1" t="n">
        <v>0</v>
      </c>
      <c r="BO163" s="2" t="n">
        <f aca="false">BN161</f>
        <v>0</v>
      </c>
      <c r="BP163" s="2" t="n">
        <f aca="false">BN159</f>
        <v>0</v>
      </c>
      <c r="BQ163" s="2" t="n">
        <f aca="false">BN157</f>
        <v>0</v>
      </c>
      <c r="BR163" s="2" t="n">
        <f aca="false">BN155</f>
        <v>0</v>
      </c>
      <c r="BS163" s="2" t="n">
        <f aca="false">BN153</f>
        <v>0</v>
      </c>
      <c r="BT163" s="2" t="n">
        <f aca="false">BN151</f>
        <v>0</v>
      </c>
      <c r="BU163" s="2" t="n">
        <f aca="false">BN149</f>
        <v>0</v>
      </c>
      <c r="BV163" s="2" t="n">
        <f aca="false">BN147</f>
        <v>0</v>
      </c>
      <c r="BW163" s="2" t="n">
        <f aca="false">BN145</f>
        <v>0</v>
      </c>
      <c r="BX163" s="2" t="n">
        <f aca="false">BN143</f>
        <v>0</v>
      </c>
      <c r="BY163" s="2" t="n">
        <f aca="false">BN141</f>
        <v>0</v>
      </c>
      <c r="BZ163" s="1" t="n">
        <v>17.29</v>
      </c>
      <c r="CA163" s="2" t="n">
        <f aca="false">BZ161</f>
        <v>2.11</v>
      </c>
      <c r="CB163" s="2" t="n">
        <f aca="false">BZ159</f>
        <v>1.30895</v>
      </c>
      <c r="CC163" s="2" t="n">
        <f aca="false">BZ157</f>
        <v>1.15391</v>
      </c>
      <c r="CD163" s="2" t="n">
        <f aca="false">BZ155</f>
        <v>6.29917</v>
      </c>
      <c r="CE163" s="2" t="n">
        <f aca="false">BZ153</f>
        <v>2.75538</v>
      </c>
      <c r="CF163" s="2" t="n">
        <f aca="false">BZ151</f>
        <v>1.72882</v>
      </c>
      <c r="CG163" s="2" t="n">
        <f aca="false">BZ149</f>
        <v>1.3</v>
      </c>
      <c r="CH163" s="2" t="n">
        <f aca="false">BZ147</f>
        <v>4.15059</v>
      </c>
      <c r="CI163" s="2" t="n">
        <f aca="false">BZ145</f>
        <v>3.40444</v>
      </c>
      <c r="CJ163" s="2" t="n">
        <f aca="false">BZ143</f>
        <v>4.04</v>
      </c>
      <c r="CK163" s="2" t="n">
        <f aca="false">BZ141</f>
        <v>17.128</v>
      </c>
      <c r="CL163" s="1" t="n">
        <v>2</v>
      </c>
      <c r="CM163" s="2" t="n">
        <f aca="false">CL161</f>
        <v>0</v>
      </c>
      <c r="CN163" s="2" t="n">
        <f aca="false">CL159</f>
        <v>0</v>
      </c>
      <c r="CO163" s="2" t="n">
        <f aca="false">CL157</f>
        <v>0</v>
      </c>
      <c r="CP163" s="2" t="n">
        <f aca="false">CL155</f>
        <v>0</v>
      </c>
      <c r="CQ163" s="2" t="n">
        <f aca="false">CL153</f>
        <v>0</v>
      </c>
      <c r="CR163" s="2" t="n">
        <f aca="false">CL151</f>
        <v>0</v>
      </c>
      <c r="CS163" s="2" t="n">
        <f aca="false">CL149</f>
        <v>0</v>
      </c>
      <c r="CT163" s="2" t="n">
        <f aca="false">CL147</f>
        <v>0</v>
      </c>
      <c r="CU163" s="2" t="n">
        <f aca="false">CL145</f>
        <v>0</v>
      </c>
      <c r="CV163" s="2" t="n">
        <f aca="false">CL143</f>
        <v>0</v>
      </c>
      <c r="CW163" s="2" t="n">
        <f aca="false">CL141</f>
        <v>2</v>
      </c>
      <c r="CX163" s="1" t="n">
        <v>86.6899</v>
      </c>
      <c r="CY163" s="2" t="n">
        <f aca="false">CX161</f>
        <v>64.6422</v>
      </c>
      <c r="CZ163" s="2" t="n">
        <f aca="false">CX159</f>
        <v>52.6212</v>
      </c>
      <c r="DA163" s="2" t="n">
        <f aca="false">CX157</f>
        <v>49.0873</v>
      </c>
      <c r="DB163" s="2" t="n">
        <f aca="false">CX155</f>
        <v>80.9795</v>
      </c>
      <c r="DC163" s="2" t="n">
        <f aca="false">CX153</f>
        <v>70.0529</v>
      </c>
      <c r="DD163" s="2" t="n">
        <f aca="false">CX151</f>
        <v>59.9537</v>
      </c>
      <c r="DE163" s="2" t="n">
        <f aca="false">CX149</f>
        <v>52.4314</v>
      </c>
      <c r="DF163" s="2" t="n">
        <f aca="false">CX147</f>
        <v>76.4539</v>
      </c>
      <c r="DG163" s="2" t="n">
        <f aca="false">CX145</f>
        <v>73.6307</v>
      </c>
      <c r="DH163" s="2" t="n">
        <f aca="false">CX143</f>
        <v>76.0973</v>
      </c>
      <c r="DI163" s="2" t="n">
        <f aca="false">CX141</f>
        <v>86.6586</v>
      </c>
      <c r="DJ163" s="1" t="s">
        <v>174</v>
      </c>
      <c r="DK163" s="2" t="str">
        <f aca="false">DJ161</f>
        <v>HH</v>
      </c>
      <c r="DL163" s="2" t="str">
        <f aca="false">DJ159</f>
        <v>HH</v>
      </c>
      <c r="DM163" s="2" t="str">
        <f aca="false">DJ157</f>
        <v>LH</v>
      </c>
      <c r="DN163" s="2" t="str">
        <f aca="false">DJ155</f>
        <v>HH</v>
      </c>
      <c r="DO163" s="2" t="str">
        <f aca="false">DJ153</f>
        <v>LH</v>
      </c>
      <c r="DP163" s="2" t="str">
        <f aca="false">DJ151</f>
        <v>HH</v>
      </c>
      <c r="DQ163" s="2" t="str">
        <f aca="false">DJ149</f>
        <v>LH</v>
      </c>
      <c r="DR163" s="2" t="str">
        <f aca="false">DJ147</f>
        <v>HH</v>
      </c>
      <c r="DS163" s="2" t="str">
        <f aca="false">DJ145</f>
        <v>LH</v>
      </c>
      <c r="DT163" s="2" t="str">
        <f aca="false">DJ143</f>
        <v>HH</v>
      </c>
      <c r="DU163" s="2" t="str">
        <f aca="false">DJ141</f>
        <v>HH</v>
      </c>
      <c r="DV163" s="2" t="n">
        <f aca="false">IFERROR((G163-$F163)/$F163*100,"")</f>
        <v>0.909229105025094</v>
      </c>
      <c r="DW163" s="2" t="n">
        <f aca="false">IFERROR((H163-$F163)/$F163*100,"")</f>
        <v>0.85459164002723</v>
      </c>
      <c r="DX163" s="2" t="n">
        <f aca="false">IFERROR((I163-$F163)/$F163*100,"")</f>
        <v>0.837407276035969</v>
      </c>
      <c r="DY163" s="2" t="n">
        <f aca="false">IFERROR((J163-$F163)/$F163*100,"")</f>
        <v>0.902619734259218</v>
      </c>
      <c r="DZ163" s="2" t="n">
        <f aca="false">IFERROR((K163-$F163)/$F163*100,"")</f>
        <v>-0.248071716079062</v>
      </c>
      <c r="EA163" s="2" t="n">
        <f aca="false">IFERROR((L163-$F163)/$F163*100,"")</f>
        <v>-0.0480280942320085</v>
      </c>
      <c r="EB163" s="2" t="n">
        <f aca="false">IFERROR((M163-$F163)/$F163*100,"")</f>
        <v>-0.10685149404827</v>
      </c>
      <c r="EC163" s="2" t="n">
        <f aca="false">IFERROR((N163-$F163)/$F163*100,"")</f>
        <v>0.446573151414064</v>
      </c>
      <c r="ED163" s="2" t="n">
        <f aca="false">IFERROR((O163-$F163)/$F163*100,"")</f>
        <v>0.081295260420215</v>
      </c>
      <c r="EE163" s="2" t="n">
        <f aca="false">IFERROR((P163-$F163)/$F163*100,"")</f>
        <v>0.70455892364193</v>
      </c>
      <c r="EF163" s="2" t="n">
        <f aca="false">IFERROR((Q163-$F163)/$F163*100,"")</f>
        <v>0.301827931641477</v>
      </c>
      <c r="EG163" s="2" t="str">
        <f aca="false">IF(DV163="","",IF(AND(ABS(DV163)&lt;=0.25,$E163="Bottom",DK163="LL"),"EQL",IF(AND(ABS(DV163)&lt;=0.25,$E163="Peak",DK163="HH"),"EQH","")))</f>
        <v/>
      </c>
      <c r="EH163" s="2" t="str">
        <f aca="false">IF(DW163="","",IF(AND(ABS(DW163)&lt;=0.25,$E163="Bottom",DL163="LL"),"EQL",IF(AND(ABS(DW163)&lt;=0.25,$E163="Peak",DL163="HH"),"EQH","")))</f>
        <v/>
      </c>
      <c r="EI163" s="2" t="str">
        <f aca="false">IF(DX163="","",IF(AND(ABS(DX163)&lt;=0.25,$E163="Bottom",DM163="LL"),"EQL",IF(AND(ABS(DX163)&lt;=0.25,$E163="Peak",DM163="HH"),"EQH","")))</f>
        <v/>
      </c>
      <c r="EJ163" s="2" t="str">
        <f aca="false">IF(DY163="","",IF(AND(ABS(DY163)&lt;=0.25,$E163="Bottom",DN163="LL"),"EQL",IF(AND(ABS(DY163)&lt;=0.25,$E163="Peak",DN163="HH"),"EQH","")))</f>
        <v/>
      </c>
      <c r="EK163" s="2" t="str">
        <f aca="false">IF(DZ163="","",IF(AND(ABS(DZ163)&lt;=0.25,$E163="Bottom",DO163="LL"),"EQL",IF(AND(ABS(DZ163)&lt;=0.25,$E163="Peak",DO163="HH"),"EQH","")))</f>
        <v/>
      </c>
      <c r="EL163" s="2" t="str">
        <f aca="false">IF(EA163="","",IF(AND(ABS(EA163)&lt;=0.25,$E163="Bottom",DP163="LL"),"EQL",IF(AND(ABS(EA163)&lt;=0.25,$E163="Peak",DP163="HH"),"EQH","")))</f>
        <v>EQH</v>
      </c>
      <c r="EM163" s="2" t="str">
        <f aca="false">IF(EB163="","",IF(AND(ABS(EB163)&lt;=0.25,$E163="Bottom",DQ163="LL"),"EQL",IF(AND(ABS(EB163)&lt;=0.25,$E163="Peak",DQ163="HH"),"EQH","")))</f>
        <v/>
      </c>
      <c r="EN163" s="2" t="str">
        <f aca="false">IF(EC163="","",IF(AND(ABS(EC163)&lt;=0.25,$E163="Bottom",DR163="LL"),"EQL",IF(AND(ABS(EC163)&lt;=0.25,$E163="Peak",DR163="HH"),"EQH","")))</f>
        <v/>
      </c>
      <c r="EO163" s="2" t="str">
        <f aca="false">IF(ED163="","",IF(AND(ABS(ED163)&lt;=0.25,$E163="Bottom",DS163="LL"),"EQL",IF(AND(ABS(ED163)&lt;=0.25,$E163="Peak",DS163="HH"),"EQH","")))</f>
        <v/>
      </c>
      <c r="EP163" s="2" t="str">
        <f aca="false">IF(EE163="","",IF(AND(ABS(EE163)&lt;=0.25,$E163="Bottom",DT163="LL"),"EQL",IF(AND(ABS(EE163)&lt;=0.25,$E163="Peak",DT163="HH"),"EQH","")))</f>
        <v/>
      </c>
      <c r="EQ163" s="2" t="str">
        <f aca="false">IF(EF163="","",IF(AND(ABS(EF163)&lt;=0.25,$E163="Bottom",DU163="LL"),"EQL",IF(AND(ABS(EF163)&lt;=0.25,$E163="Peak",DU163="HH"),"EQH","")))</f>
        <v/>
      </c>
      <c r="ER163" s="2" t="str">
        <f aca="false">IF(OR(EG163="EQL",EG163="EQH"),G163,"")</f>
        <v/>
      </c>
      <c r="ES163" s="2" t="str">
        <f aca="false">IF(OR(EH163="EQL",EH163="EQH"),H163,"")</f>
        <v/>
      </c>
      <c r="ET163" s="2" t="str">
        <f aca="false">IF(OR(EI163="EQL",EI163="EQH"),I163,"")</f>
        <v/>
      </c>
      <c r="EU163" s="2" t="str">
        <f aca="false">IF(OR(EJ163="EQL",EJ163="EQH"),J163,"")</f>
        <v/>
      </c>
      <c r="EV163" s="2" t="str">
        <f aca="false">IF(OR(EK163="EQL",EK163="EQH"),K163,"")</f>
        <v/>
      </c>
      <c r="EW163" s="2" t="n">
        <f aca="false">IF(OR(EL163="EQL",EL163="EQH"),L163,"")</f>
        <v>4536.83</v>
      </c>
      <c r="EX163" s="2" t="str">
        <f aca="false">IF(OR(EM163="EQL",EM163="EQH"),M163,"")</f>
        <v/>
      </c>
      <c r="EY163" s="2" t="str">
        <f aca="false">IF(OR(EN163="EQL",EN163="EQH"),N163,"")</f>
        <v/>
      </c>
      <c r="EZ163" s="2" t="str">
        <f aca="false">IF(OR(EO163="EQL",EO163="EQH"),O163,"")</f>
        <v/>
      </c>
      <c r="FA163" s="2" t="str">
        <f aca="false">IF(OR(EP163="EQL",EP163="EQH"),P163,"")</f>
        <v/>
      </c>
      <c r="FB163" s="2" t="str">
        <f aca="false">IF(OR(EQ163="EQL",EQ163="EQH"),Q163,"")</f>
        <v/>
      </c>
      <c r="FC163" s="2" t="str">
        <f aca="false">IF(AND(EG163="EQL",OR(AQ163=4,AQ163=5)),"IEQL",IF(AND(EG163="EQH",OR(AQ163=1,AQ163=2)),"IEQH",""))</f>
        <v/>
      </c>
      <c r="FD163" s="2" t="str">
        <f aca="false">IF(AND(EH163="EQL",OR(AR163=4,AR163=5)),"IEQL",IF(AND(EH163="EQH",OR(AR163=1,AR163=2)),"IEQH",""))</f>
        <v/>
      </c>
      <c r="FE163" s="2" t="str">
        <f aca="false">IF(AND(EI163="EQL",OR(AS163=4,AS163=5)),"IEQL",IF(AND(EI163="EQH",OR(AS163=1,AS163=2)),"IEQH",""))</f>
        <v/>
      </c>
      <c r="FF163" s="2" t="str">
        <f aca="false">IF(AND(EJ163="EQL",OR(AT163=4,AT163=5)),"IEQL",IF(AND(EJ163="EQH",OR(AT163=1,AT163=2)),"IEQH",""))</f>
        <v/>
      </c>
      <c r="FG163" s="2" t="str">
        <f aca="false">IF(AND(EK163="EQL",OR(AU163=4,AU163=5)),"IEQL",IF(AND(EK163="EQH",OR(AU163=1,AU163=2)),"IEQH",""))</f>
        <v/>
      </c>
      <c r="FH163" s="2" t="str">
        <f aca="false">IF(AND(EL163="EQL",OR(AV163=4,AV163=5)),"IEQL",IF(AND(EL163="EQH",OR(AV163=1,AV163=2)),"IEQH",""))</f>
        <v/>
      </c>
      <c r="FI163" s="2" t="str">
        <f aca="false">IF(AND(EM163="EQL",OR(AW163=4,AW163=5)),"IEQL",IF(AND(EM163="EQH",OR(AW163=1,AW163=2)),"IEQH",""))</f>
        <v/>
      </c>
      <c r="FJ163" s="2" t="str">
        <f aca="false">IF(AND(EN163="EQL",OR(AX163=4,AX163=5)),"IEQL",IF(AND(EN163="EQH",OR(AX163=1,AX163=2)),"IEQH",""))</f>
        <v/>
      </c>
      <c r="FK163" s="2" t="str">
        <f aca="false">IF(AND(EO163="EQL",OR(AY163=4,AY163=5)),"IEQL",IF(AND(EO163="EQH",OR(AY163=1,AY163=2)),"IEQH",""))</f>
        <v/>
      </c>
      <c r="FL163" s="2" t="str">
        <f aca="false">IF(AND(EP163="EQL",OR(AZ163=4,AZ163=5)),"IEQL",IF(AND(EP163="EQH",OR(AZ163=1,AZ163=2)),"IEQH",""))</f>
        <v/>
      </c>
      <c r="FM163" s="2" t="str">
        <f aca="false">IF(AND(EQ163="EQL",OR(BA163=4,BA163=5)),"IEQL",IF(AND(EQ163="EQH",OR(BA163=1,BA163=2)),"IEQH",""))</f>
        <v/>
      </c>
    </row>
    <row r="164" customFormat="false" ht="14.25" hidden="false" customHeight="false" outlineLevel="0" collapsed="false">
      <c r="A164" s="1" t="n">
        <v>1779787802</v>
      </c>
      <c r="B164" s="1" t="s">
        <v>169</v>
      </c>
      <c r="C164" s="1" t="s">
        <v>170</v>
      </c>
      <c r="D164" s="1" t="n">
        <v>4513.24</v>
      </c>
      <c r="E164" s="1" t="s">
        <v>171</v>
      </c>
      <c r="F164" s="1" t="n">
        <v>4512.11</v>
      </c>
      <c r="G164" s="2" t="n">
        <f aca="false">F162</f>
        <v>4521.72</v>
      </c>
      <c r="H164" s="2" t="n">
        <f aca="false">F160</f>
        <v>4563.4</v>
      </c>
      <c r="I164" s="2" t="n">
        <f aca="false">F158</f>
        <v>4552.93</v>
      </c>
      <c r="J164" s="2" t="n">
        <f aca="false">F156</f>
        <v>4550.48</v>
      </c>
      <c r="K164" s="2" t="n">
        <f aca="false">F154</f>
        <v>4504.39</v>
      </c>
      <c r="L164" s="2" t="n">
        <f aca="false">F152</f>
        <v>4491.93</v>
      </c>
      <c r="M164" s="2" t="n">
        <f aca="false">F150</f>
        <v>4507.44</v>
      </c>
      <c r="N164" s="2" t="n">
        <f aca="false">F148</f>
        <v>4518.56</v>
      </c>
      <c r="O164" s="2" t="n">
        <f aca="false">F146</f>
        <v>4488.72</v>
      </c>
      <c r="P164" s="2" t="n">
        <f aca="false">F144</f>
        <v>4512.06</v>
      </c>
      <c r="Q164" s="2" t="n">
        <f aca="false">F142</f>
        <v>4534.63</v>
      </c>
      <c r="R164" s="1" t="n">
        <v>-26.9</v>
      </c>
      <c r="S164" s="2" t="n">
        <f aca="false">R162</f>
        <v>-58.56</v>
      </c>
      <c r="T164" s="2" t="n">
        <f aca="false">R160</f>
        <v>-14.4</v>
      </c>
      <c r="U164" s="2" t="n">
        <f aca="false">R158</f>
        <v>-24.09</v>
      </c>
      <c r="V164" s="2" t="n">
        <f aca="false">R156</f>
        <v>-29.5</v>
      </c>
      <c r="W164" s="2" t="n">
        <f aca="false">R154</f>
        <v>-23.36</v>
      </c>
      <c r="X164" s="2" t="n">
        <f aca="false">R152</f>
        <v>-44.9</v>
      </c>
      <c r="Y164" s="2" t="n">
        <f aca="false">R150</f>
        <v>-26.72</v>
      </c>
      <c r="Z164" s="2" t="n">
        <f aca="false">R148</f>
        <v>-40.72</v>
      </c>
      <c r="AA164" s="2" t="n">
        <f aca="false">R146</f>
        <v>-53.98</v>
      </c>
      <c r="AB164" s="2" t="n">
        <f aca="false">R144</f>
        <v>-58.93</v>
      </c>
      <c r="AC164" s="2" t="n">
        <f aca="false">R142</f>
        <v>-18.08</v>
      </c>
      <c r="AD164" s="1" t="n">
        <v>-0.59</v>
      </c>
      <c r="AE164" s="2" t="n">
        <f aca="false">AD162</f>
        <v>-1.28</v>
      </c>
      <c r="AF164" s="2" t="n">
        <f aca="false">AD160</f>
        <v>-0.31</v>
      </c>
      <c r="AG164" s="2" t="n">
        <f aca="false">AD158</f>
        <v>-0.53</v>
      </c>
      <c r="AH164" s="2" t="n">
        <f aca="false">AD156</f>
        <v>-0.64</v>
      </c>
      <c r="AI164" s="2" t="n">
        <f aca="false">AD154</f>
        <v>-0.52</v>
      </c>
      <c r="AJ164" s="2" t="n">
        <f aca="false">AD152</f>
        <v>-0.99</v>
      </c>
      <c r="AK164" s="2" t="n">
        <f aca="false">AD150</f>
        <v>-0.59</v>
      </c>
      <c r="AL164" s="2" t="n">
        <f aca="false">AD148</f>
        <v>-0.89</v>
      </c>
      <c r="AM164" s="2" t="n">
        <f aca="false">AD146</f>
        <v>-1.19</v>
      </c>
      <c r="AN164" s="2" t="n">
        <f aca="false">AD144</f>
        <v>-1.29</v>
      </c>
      <c r="AO164" s="2" t="n">
        <f aca="false">AD142</f>
        <v>-0.4</v>
      </c>
      <c r="AP164" s="1" t="n">
        <v>3</v>
      </c>
      <c r="AQ164" s="2" t="n">
        <f aca="false">AP162</f>
        <v>3</v>
      </c>
      <c r="AR164" s="2" t="n">
        <f aca="false">AP160</f>
        <v>3</v>
      </c>
      <c r="AS164" s="2" t="n">
        <f aca="false">AP158</f>
        <v>3</v>
      </c>
      <c r="AT164" s="2" t="n">
        <f aca="false">AP156</f>
        <v>3</v>
      </c>
      <c r="AU164" s="2" t="n">
        <f aca="false">AP154</f>
        <v>3</v>
      </c>
      <c r="AV164" s="2" t="n">
        <f aca="false">AP152</f>
        <v>3</v>
      </c>
      <c r="AW164" s="2" t="n">
        <f aca="false">AP150</f>
        <v>3</v>
      </c>
      <c r="AX164" s="2" t="n">
        <f aca="false">AP148</f>
        <v>3</v>
      </c>
      <c r="AY164" s="2" t="n">
        <f aca="false">AP146</f>
        <v>3</v>
      </c>
      <c r="AZ164" s="2" t="n">
        <f aca="false">AP144</f>
        <v>3</v>
      </c>
      <c r="BA164" s="2" t="n">
        <f aca="false">AP142</f>
        <v>3</v>
      </c>
      <c r="BB164" s="1" t="n">
        <v>7</v>
      </c>
      <c r="BC164" s="2" t="n">
        <f aca="false">BB162</f>
        <v>33</v>
      </c>
      <c r="BD164" s="2" t="n">
        <f aca="false">BB160</f>
        <v>3</v>
      </c>
      <c r="BE164" s="2" t="n">
        <f aca="false">BB158</f>
        <v>2</v>
      </c>
      <c r="BF164" s="2" t="n">
        <f aca="false">BB156</f>
        <v>26</v>
      </c>
      <c r="BG164" s="2" t="n">
        <f aca="false">BB154</f>
        <v>8</v>
      </c>
      <c r="BH164" s="2" t="n">
        <f aca="false">BB152</f>
        <v>17</v>
      </c>
      <c r="BI164" s="2" t="n">
        <f aca="false">BB150</f>
        <v>1</v>
      </c>
      <c r="BJ164" s="2" t="n">
        <f aca="false">BB148</f>
        <v>31</v>
      </c>
      <c r="BK164" s="2" t="n">
        <f aca="false">BB146</f>
        <v>16</v>
      </c>
      <c r="BL164" s="2" t="n">
        <f aca="false">BB144</f>
        <v>23</v>
      </c>
      <c r="BM164" s="2" t="n">
        <f aca="false">BB142</f>
        <v>28</v>
      </c>
      <c r="BN164" s="1" t="n">
        <v>3</v>
      </c>
      <c r="BO164" s="2" t="n">
        <f aca="false">BN162</f>
        <v>4</v>
      </c>
      <c r="BP164" s="2" t="n">
        <f aca="false">BN160</f>
        <v>3</v>
      </c>
      <c r="BQ164" s="2" t="n">
        <f aca="false">BN158</f>
        <v>3</v>
      </c>
      <c r="BR164" s="2" t="n">
        <f aca="false">BN156</f>
        <v>3</v>
      </c>
      <c r="BS164" s="2" t="n">
        <f aca="false">BN154</f>
        <v>3</v>
      </c>
      <c r="BT164" s="2" t="n">
        <f aca="false">BN152</f>
        <v>3</v>
      </c>
      <c r="BU164" s="2" t="n">
        <f aca="false">BN150</f>
        <v>3</v>
      </c>
      <c r="BV164" s="2" t="n">
        <f aca="false">BN148</f>
        <v>3</v>
      </c>
      <c r="BW164" s="2" t="n">
        <f aca="false">BN146</f>
        <v>3</v>
      </c>
      <c r="BX164" s="2" t="n">
        <f aca="false">BN144</f>
        <v>3</v>
      </c>
      <c r="BY164" s="2" t="n">
        <f aca="false">BN142</f>
        <v>3</v>
      </c>
      <c r="BZ164" s="1" t="n">
        <v>-3.84286</v>
      </c>
      <c r="CA164" s="2" t="n">
        <f aca="false">BZ162</f>
        <v>-1.77455</v>
      </c>
      <c r="CB164" s="2" t="n">
        <f aca="false">BZ160</f>
        <v>-4.8</v>
      </c>
      <c r="CC164" s="2" t="n">
        <f aca="false">BZ158</f>
        <v>-12.045</v>
      </c>
      <c r="CD164" s="2" t="n">
        <f aca="false">BZ156</f>
        <v>-1.13462</v>
      </c>
      <c r="CE164" s="2" t="n">
        <f aca="false">BZ154</f>
        <v>-2.92</v>
      </c>
      <c r="CF164" s="2" t="n">
        <f aca="false">BZ152</f>
        <v>-2.64118</v>
      </c>
      <c r="CG164" s="2" t="n">
        <f aca="false">BZ150</f>
        <v>-26.72</v>
      </c>
      <c r="CH164" s="2" t="n">
        <f aca="false">BZ148</f>
        <v>-1.31355</v>
      </c>
      <c r="CI164" s="2" t="n">
        <f aca="false">BZ146</f>
        <v>-3.37375</v>
      </c>
      <c r="CJ164" s="2" t="n">
        <f aca="false">BZ144</f>
        <v>-2.56217</v>
      </c>
      <c r="CK164" s="2" t="n">
        <f aca="false">BZ142</f>
        <v>-0.64571</v>
      </c>
      <c r="CL164" s="1" t="n">
        <v>3</v>
      </c>
      <c r="CM164" s="2" t="n">
        <f aca="false">CL162</f>
        <v>3</v>
      </c>
      <c r="CN164" s="2" t="n">
        <f aca="false">CL160</f>
        <v>3</v>
      </c>
      <c r="CO164" s="2" t="n">
        <f aca="false">CL158</f>
        <v>4</v>
      </c>
      <c r="CP164" s="2" t="n">
        <f aca="false">CL156</f>
        <v>3</v>
      </c>
      <c r="CQ164" s="2" t="n">
        <f aca="false">CL154</f>
        <v>3</v>
      </c>
      <c r="CR164" s="2" t="n">
        <f aca="false">CL152</f>
        <v>3</v>
      </c>
      <c r="CS164" s="2" t="n">
        <f aca="false">CL150</f>
        <v>5</v>
      </c>
      <c r="CT164" s="2" t="n">
        <f aca="false">CL148</f>
        <v>3</v>
      </c>
      <c r="CU164" s="2" t="n">
        <f aca="false">CL146</f>
        <v>3</v>
      </c>
      <c r="CV164" s="2" t="n">
        <f aca="false">CL144</f>
        <v>3</v>
      </c>
      <c r="CW164" s="2" t="n">
        <f aca="false">CL142</f>
        <v>3</v>
      </c>
      <c r="CX164" s="1" t="n">
        <v>-75.4138</v>
      </c>
      <c r="CY164" s="2" t="n">
        <f aca="false">CX162</f>
        <v>-60.5977</v>
      </c>
      <c r="CZ164" s="2" t="n">
        <f aca="false">CX160</f>
        <v>-78.2317</v>
      </c>
      <c r="DA164" s="2" t="n">
        <f aca="false">CX158</f>
        <v>-85.2541</v>
      </c>
      <c r="DB164" s="2" t="n">
        <f aca="false">CX156</f>
        <v>-48.6085</v>
      </c>
      <c r="DC164" s="2" t="n">
        <f aca="false">CX154</f>
        <v>-71.0954</v>
      </c>
      <c r="DD164" s="2" t="n">
        <f aca="false">CX152</f>
        <v>-69.2624</v>
      </c>
      <c r="DE164" s="2" t="n">
        <f aca="false">CX150</f>
        <v>-87.8567</v>
      </c>
      <c r="DF164" s="2" t="n">
        <f aca="false">CX148</f>
        <v>-52.7181</v>
      </c>
      <c r="DG164" s="2" t="n">
        <f aca="false">CX146</f>
        <v>-73.4899</v>
      </c>
      <c r="DH164" s="2" t="n">
        <f aca="false">CX144</f>
        <v>-68.6796</v>
      </c>
      <c r="DI164" s="2" t="n">
        <f aca="false">CX142</f>
        <v>-32.8509</v>
      </c>
      <c r="DJ164" s="1" t="s">
        <v>172</v>
      </c>
      <c r="DK164" s="2" t="str">
        <f aca="false">DJ162</f>
        <v>LL</v>
      </c>
      <c r="DL164" s="2" t="str">
        <f aca="false">DJ160</f>
        <v>HL</v>
      </c>
      <c r="DM164" s="2" t="str">
        <f aca="false">DJ158</f>
        <v>HL</v>
      </c>
      <c r="DN164" s="2" t="str">
        <f aca="false">DJ156</f>
        <v>HL</v>
      </c>
      <c r="DO164" s="2" t="str">
        <f aca="false">DJ154</f>
        <v>HL</v>
      </c>
      <c r="DP164" s="2" t="str">
        <f aca="false">DJ152</f>
        <v>LL</v>
      </c>
      <c r="DQ164" s="2" t="str">
        <f aca="false">DJ150</f>
        <v>LL</v>
      </c>
      <c r="DR164" s="2" t="str">
        <f aca="false">DJ148</f>
        <v>HL</v>
      </c>
      <c r="DS164" s="2" t="str">
        <f aca="false">DJ146</f>
        <v>LL</v>
      </c>
      <c r="DT164" s="2" t="str">
        <f aca="false">DJ144</f>
        <v>LL</v>
      </c>
      <c r="DU164" s="2" t="str">
        <f aca="false">DJ142</f>
        <v>HL</v>
      </c>
      <c r="DV164" s="2" t="n">
        <f aca="false">IFERROR((G164-$F164)/$F164*100,"")</f>
        <v>0.212982396262515</v>
      </c>
      <c r="DW164" s="2" t="n">
        <f aca="false">IFERROR((H164-$F164)/$F164*100,"")</f>
        <v>1.13671874134274</v>
      </c>
      <c r="DX164" s="2" t="n">
        <f aca="false">IFERROR((I164-$F164)/$F164*100,"")</f>
        <v>0.904676526059884</v>
      </c>
      <c r="DY164" s="2" t="n">
        <f aca="false">IFERROR((J164-$F164)/$F164*100,"")</f>
        <v>0.850378204432071</v>
      </c>
      <c r="DZ164" s="2" t="n">
        <f aca="false">IFERROR((K164-$F164)/$F164*100,"")</f>
        <v>-0.171095119578187</v>
      </c>
      <c r="EA164" s="2" t="n">
        <f aca="false">IFERROR((L164-$F164)/$F164*100,"")</f>
        <v>-0.447240869570985</v>
      </c>
      <c r="EB164" s="2" t="n">
        <f aca="false">IFERROR((M164-$F164)/$F164*100,"")</f>
        <v>-0.10349924979666</v>
      </c>
      <c r="EC164" s="2" t="n">
        <f aca="false">IFERROR((N164-$F164)/$F164*100,"")</f>
        <v>0.142948642652788</v>
      </c>
      <c r="ED164" s="2" t="n">
        <f aca="false">IFERROR((O164-$F164)/$F164*100,"")</f>
        <v>-0.518382752193529</v>
      </c>
      <c r="EE164" s="2" t="n">
        <f aca="false">IFERROR((P164-$F164)/$F164*100,"")</f>
        <v>-0.00110812901279606</v>
      </c>
      <c r="EF164" s="2" t="n">
        <f aca="false">IFERROR((Q164-$F164)/$F164*100,"")</f>
        <v>0.499101307370619</v>
      </c>
      <c r="EG164" s="2" t="str">
        <f aca="false">IF(DV164="","",IF(AND(ABS(DV164)&lt;=0.25,$E164="Bottom",DK164="LL"),"EQL",IF(AND(ABS(DV164)&lt;=0.25,$E164="Peak",DK164="HH"),"EQH","")))</f>
        <v>EQL</v>
      </c>
      <c r="EH164" s="2" t="str">
        <f aca="false">IF(DW164="","",IF(AND(ABS(DW164)&lt;=0.25,$E164="Bottom",DL164="LL"),"EQL",IF(AND(ABS(DW164)&lt;=0.25,$E164="Peak",DL164="HH"),"EQH","")))</f>
        <v/>
      </c>
      <c r="EI164" s="2" t="str">
        <f aca="false">IF(DX164="","",IF(AND(ABS(DX164)&lt;=0.25,$E164="Bottom",DM164="LL"),"EQL",IF(AND(ABS(DX164)&lt;=0.25,$E164="Peak",DM164="HH"),"EQH","")))</f>
        <v/>
      </c>
      <c r="EJ164" s="2" t="str">
        <f aca="false">IF(DY164="","",IF(AND(ABS(DY164)&lt;=0.25,$E164="Bottom",DN164="LL"),"EQL",IF(AND(ABS(DY164)&lt;=0.25,$E164="Peak",DN164="HH"),"EQH","")))</f>
        <v/>
      </c>
      <c r="EK164" s="2" t="str">
        <f aca="false">IF(DZ164="","",IF(AND(ABS(DZ164)&lt;=0.25,$E164="Bottom",DO164="LL"),"EQL",IF(AND(ABS(DZ164)&lt;=0.25,$E164="Peak",DO164="HH"),"EQH","")))</f>
        <v/>
      </c>
      <c r="EL164" s="2" t="str">
        <f aca="false">IF(EA164="","",IF(AND(ABS(EA164)&lt;=0.25,$E164="Bottom",DP164="LL"),"EQL",IF(AND(ABS(EA164)&lt;=0.25,$E164="Peak",DP164="HH"),"EQH","")))</f>
        <v/>
      </c>
      <c r="EM164" s="2" t="str">
        <f aca="false">IF(EB164="","",IF(AND(ABS(EB164)&lt;=0.25,$E164="Bottom",DQ164="LL"),"EQL",IF(AND(ABS(EB164)&lt;=0.25,$E164="Peak",DQ164="HH"),"EQH","")))</f>
        <v>EQL</v>
      </c>
      <c r="EN164" s="2" t="str">
        <f aca="false">IF(EC164="","",IF(AND(ABS(EC164)&lt;=0.25,$E164="Bottom",DR164="LL"),"EQL",IF(AND(ABS(EC164)&lt;=0.25,$E164="Peak",DR164="HH"),"EQH","")))</f>
        <v/>
      </c>
      <c r="EO164" s="2" t="str">
        <f aca="false">IF(ED164="","",IF(AND(ABS(ED164)&lt;=0.25,$E164="Bottom",DS164="LL"),"EQL",IF(AND(ABS(ED164)&lt;=0.25,$E164="Peak",DS164="HH"),"EQH","")))</f>
        <v/>
      </c>
      <c r="EP164" s="2" t="str">
        <f aca="false">IF(EE164="","",IF(AND(ABS(EE164)&lt;=0.25,$E164="Bottom",DT164="LL"),"EQL",IF(AND(ABS(EE164)&lt;=0.25,$E164="Peak",DT164="HH"),"EQH","")))</f>
        <v>EQL</v>
      </c>
      <c r="EQ164" s="2" t="str">
        <f aca="false">IF(EF164="","",IF(AND(ABS(EF164)&lt;=0.25,$E164="Bottom",DU164="LL"),"EQL",IF(AND(ABS(EF164)&lt;=0.25,$E164="Peak",DU164="HH"),"EQH","")))</f>
        <v/>
      </c>
      <c r="ER164" s="2" t="n">
        <f aca="false">IF(OR(EG164="EQL",EG164="EQH"),G164,"")</f>
        <v>4521.72</v>
      </c>
      <c r="ES164" s="2" t="str">
        <f aca="false">IF(OR(EH164="EQL",EH164="EQH"),H164,"")</f>
        <v/>
      </c>
      <c r="ET164" s="2" t="str">
        <f aca="false">IF(OR(EI164="EQL",EI164="EQH"),I164,"")</f>
        <v/>
      </c>
      <c r="EU164" s="2" t="str">
        <f aca="false">IF(OR(EJ164="EQL",EJ164="EQH"),J164,"")</f>
        <v/>
      </c>
      <c r="EV164" s="2" t="str">
        <f aca="false">IF(OR(EK164="EQL",EK164="EQH"),K164,"")</f>
        <v/>
      </c>
      <c r="EW164" s="2" t="str">
        <f aca="false">IF(OR(EL164="EQL",EL164="EQH"),L164,"")</f>
        <v/>
      </c>
      <c r="EX164" s="2" t="n">
        <f aca="false">IF(OR(EM164="EQL",EM164="EQH"),M164,"")</f>
        <v>4507.44</v>
      </c>
      <c r="EY164" s="2" t="str">
        <f aca="false">IF(OR(EN164="EQL",EN164="EQH"),N164,"")</f>
        <v/>
      </c>
      <c r="EZ164" s="2" t="str">
        <f aca="false">IF(OR(EO164="EQL",EO164="EQH"),O164,"")</f>
        <v/>
      </c>
      <c r="FA164" s="2" t="n">
        <f aca="false">IF(OR(EP164="EQL",EP164="EQH"),P164,"")</f>
        <v>4512.06</v>
      </c>
      <c r="FB164" s="2" t="str">
        <f aca="false">IF(OR(EQ164="EQL",EQ164="EQH"),Q164,"")</f>
        <v/>
      </c>
      <c r="FC164" s="2" t="str">
        <f aca="false">IF(AND(EG164="EQL",OR(AQ164=4,AQ164=5)),"IEQL",IF(AND(EG164="EQH",OR(AQ164=1,AQ164=2)),"IEQH",""))</f>
        <v/>
      </c>
      <c r="FD164" s="2" t="str">
        <f aca="false">IF(AND(EH164="EQL",OR(AR164=4,AR164=5)),"IEQL",IF(AND(EH164="EQH",OR(AR164=1,AR164=2)),"IEQH",""))</f>
        <v/>
      </c>
      <c r="FE164" s="2" t="str">
        <f aca="false">IF(AND(EI164="EQL",OR(AS164=4,AS164=5)),"IEQL",IF(AND(EI164="EQH",OR(AS164=1,AS164=2)),"IEQH",""))</f>
        <v/>
      </c>
      <c r="FF164" s="2" t="str">
        <f aca="false">IF(AND(EJ164="EQL",OR(AT164=4,AT164=5)),"IEQL",IF(AND(EJ164="EQH",OR(AT164=1,AT164=2)),"IEQH",""))</f>
        <v/>
      </c>
      <c r="FG164" s="2" t="str">
        <f aca="false">IF(AND(EK164="EQL",OR(AU164=4,AU164=5)),"IEQL",IF(AND(EK164="EQH",OR(AU164=1,AU164=2)),"IEQH",""))</f>
        <v/>
      </c>
      <c r="FH164" s="2" t="str">
        <f aca="false">IF(AND(EL164="EQL",OR(AV164=4,AV164=5)),"IEQL",IF(AND(EL164="EQH",OR(AV164=1,AV164=2)),"IEQH",""))</f>
        <v/>
      </c>
      <c r="FI164" s="2" t="str">
        <f aca="false">IF(AND(EM164="EQL",OR(AW164=4,AW164=5)),"IEQL",IF(AND(EM164="EQH",OR(AW164=1,AW164=2)),"IEQH",""))</f>
        <v/>
      </c>
      <c r="FJ164" s="2" t="str">
        <f aca="false">IF(AND(EN164="EQL",OR(AX164=4,AX164=5)),"IEQL",IF(AND(EN164="EQH",OR(AX164=1,AX164=2)),"IEQH",""))</f>
        <v/>
      </c>
      <c r="FK164" s="2" t="str">
        <f aca="false">IF(AND(EO164="EQL",OR(AY164=4,AY164=5)),"IEQL",IF(AND(EO164="EQH",OR(AY164=1,AY164=2)),"IEQH",""))</f>
        <v/>
      </c>
      <c r="FL164" s="2" t="str">
        <f aca="false">IF(AND(EP164="EQL",OR(AZ164=4,AZ164=5)),"IEQL",IF(AND(EP164="EQH",OR(AZ164=1,AZ164=2)),"IEQH",""))</f>
        <v/>
      </c>
      <c r="FM164" s="2" t="str">
        <f aca="false">IF(AND(EQ164="EQL",OR(BA164=4,BA164=5)),"IEQL",IF(AND(EQ164="EQH",OR(BA164=1,BA164=2)),"IEQH",""))</f>
        <v/>
      </c>
    </row>
    <row r="165" customFormat="false" ht="14.25" hidden="false" customHeight="false" outlineLevel="0" collapsed="false">
      <c r="A165" s="1" t="n">
        <v>1779792302</v>
      </c>
      <c r="B165" s="1" t="s">
        <v>169</v>
      </c>
      <c r="C165" s="1" t="s">
        <v>170</v>
      </c>
      <c r="D165" s="1" t="n">
        <v>4534.48</v>
      </c>
      <c r="E165" s="1" t="s">
        <v>173</v>
      </c>
      <c r="F165" s="1" t="n">
        <v>4540.53</v>
      </c>
      <c r="G165" s="2" t="n">
        <f aca="false">F163</f>
        <v>4539.01</v>
      </c>
      <c r="H165" s="2" t="n">
        <f aca="false">F161</f>
        <v>4580.28</v>
      </c>
      <c r="I165" s="2" t="n">
        <f aca="false">F159</f>
        <v>4577.8</v>
      </c>
      <c r="J165" s="2" t="n">
        <f aca="false">F157</f>
        <v>4577.02</v>
      </c>
      <c r="K165" s="2" t="n">
        <f aca="false">F155</f>
        <v>4579.98</v>
      </c>
      <c r="L165" s="2" t="n">
        <f aca="false">F153</f>
        <v>4527.75</v>
      </c>
      <c r="M165" s="2" t="n">
        <f aca="false">F151</f>
        <v>4536.83</v>
      </c>
      <c r="N165" s="2" t="n">
        <f aca="false">F149</f>
        <v>4534.16</v>
      </c>
      <c r="O165" s="2" t="n">
        <f aca="false">F147</f>
        <v>4559.28</v>
      </c>
      <c r="P165" s="2" t="n">
        <f aca="false">F145</f>
        <v>4542.7</v>
      </c>
      <c r="Q165" s="2" t="n">
        <f aca="false">F143</f>
        <v>4570.99</v>
      </c>
      <c r="R165" s="1" t="n">
        <v>28.42</v>
      </c>
      <c r="S165" s="2" t="n">
        <f aca="false">R163</f>
        <v>17.29</v>
      </c>
      <c r="T165" s="2" t="n">
        <f aca="false">R161</f>
        <v>16.88</v>
      </c>
      <c r="U165" s="2" t="n">
        <f aca="false">R159</f>
        <v>24.87</v>
      </c>
      <c r="V165" s="2" t="n">
        <f aca="false">R157</f>
        <v>26.54</v>
      </c>
      <c r="W165" s="2" t="n">
        <f aca="false">R155</f>
        <v>75.59</v>
      </c>
      <c r="X165" s="2" t="n">
        <f aca="false">R153</f>
        <v>35.82</v>
      </c>
      <c r="Y165" s="2" t="n">
        <f aca="false">R151</f>
        <v>29.39</v>
      </c>
      <c r="Z165" s="2" t="n">
        <f aca="false">R149</f>
        <v>15.6</v>
      </c>
      <c r="AA165" s="2" t="n">
        <f aca="false">R147</f>
        <v>70.56</v>
      </c>
      <c r="AB165" s="2" t="n">
        <f aca="false">R145</f>
        <v>30.64</v>
      </c>
      <c r="AC165" s="2" t="n">
        <f aca="false">R143</f>
        <v>36.36</v>
      </c>
      <c r="AD165" s="1" t="n">
        <v>0.63</v>
      </c>
      <c r="AE165" s="2" t="n">
        <f aca="false">AD163</f>
        <v>0.38</v>
      </c>
      <c r="AF165" s="2" t="n">
        <f aca="false">AD161</f>
        <v>0.37</v>
      </c>
      <c r="AG165" s="2" t="n">
        <f aca="false">AD159</f>
        <v>0.55</v>
      </c>
      <c r="AH165" s="2" t="n">
        <f aca="false">AD157</f>
        <v>0.58</v>
      </c>
      <c r="AI165" s="2" t="n">
        <f aca="false">AD155</f>
        <v>1.68</v>
      </c>
      <c r="AJ165" s="2" t="n">
        <f aca="false">AD153</f>
        <v>0.8</v>
      </c>
      <c r="AK165" s="2" t="n">
        <f aca="false">AD151</f>
        <v>0.65</v>
      </c>
      <c r="AL165" s="2" t="n">
        <f aca="false">AD149</f>
        <v>0.35</v>
      </c>
      <c r="AM165" s="2" t="n">
        <f aca="false">AD147</f>
        <v>1.57</v>
      </c>
      <c r="AN165" s="2" t="n">
        <f aca="false">AD145</f>
        <v>0.68</v>
      </c>
      <c r="AO165" s="2" t="n">
        <f aca="false">AD143</f>
        <v>0.8</v>
      </c>
      <c r="AP165" s="1" t="n">
        <v>0</v>
      </c>
      <c r="AQ165" s="2" t="n">
        <f aca="false">AP163</f>
        <v>0</v>
      </c>
      <c r="AR165" s="2" t="n">
        <f aca="false">AP161</f>
        <v>0</v>
      </c>
      <c r="AS165" s="2" t="n">
        <f aca="false">AP159</f>
        <v>0</v>
      </c>
      <c r="AT165" s="2" t="n">
        <f aca="false">AP157</f>
        <v>0</v>
      </c>
      <c r="AU165" s="2" t="n">
        <f aca="false">AP155</f>
        <v>0</v>
      </c>
      <c r="AV165" s="2" t="n">
        <f aca="false">AP153</f>
        <v>0</v>
      </c>
      <c r="AW165" s="2" t="n">
        <f aca="false">AP151</f>
        <v>0</v>
      </c>
      <c r="AX165" s="2" t="n">
        <f aca="false">AP149</f>
        <v>0</v>
      </c>
      <c r="AY165" s="2" t="n">
        <f aca="false">AP147</f>
        <v>0</v>
      </c>
      <c r="AZ165" s="2" t="n">
        <f aca="false">AP145</f>
        <v>0</v>
      </c>
      <c r="BA165" s="2" t="n">
        <f aca="false">AP143</f>
        <v>0</v>
      </c>
      <c r="BB165" s="1" t="n">
        <v>5</v>
      </c>
      <c r="BC165" s="2" t="n">
        <f aca="false">BB163</f>
        <v>1</v>
      </c>
      <c r="BD165" s="2" t="n">
        <f aca="false">BB161</f>
        <v>8</v>
      </c>
      <c r="BE165" s="2" t="n">
        <f aca="false">BB159</f>
        <v>19</v>
      </c>
      <c r="BF165" s="2" t="n">
        <f aca="false">BB157</f>
        <v>23</v>
      </c>
      <c r="BG165" s="2" t="n">
        <f aca="false">BB155</f>
        <v>12</v>
      </c>
      <c r="BH165" s="2" t="n">
        <f aca="false">BB153</f>
        <v>13</v>
      </c>
      <c r="BI165" s="2" t="n">
        <f aca="false">BB151</f>
        <v>17</v>
      </c>
      <c r="BJ165" s="2" t="n">
        <f aca="false">BB149</f>
        <v>12</v>
      </c>
      <c r="BK165" s="2" t="n">
        <f aca="false">BB147</f>
        <v>17</v>
      </c>
      <c r="BL165" s="2" t="n">
        <f aca="false">BB145</f>
        <v>9</v>
      </c>
      <c r="BM165" s="2" t="n">
        <f aca="false">BB143</f>
        <v>9</v>
      </c>
      <c r="BN165" s="1" t="n">
        <v>0</v>
      </c>
      <c r="BO165" s="2" t="n">
        <f aca="false">BN163</f>
        <v>0</v>
      </c>
      <c r="BP165" s="2" t="n">
        <f aca="false">BN161</f>
        <v>0</v>
      </c>
      <c r="BQ165" s="2" t="n">
        <f aca="false">BN159</f>
        <v>0</v>
      </c>
      <c r="BR165" s="2" t="n">
        <f aca="false">BN157</f>
        <v>0</v>
      </c>
      <c r="BS165" s="2" t="n">
        <f aca="false">BN155</f>
        <v>0</v>
      </c>
      <c r="BT165" s="2" t="n">
        <f aca="false">BN153</f>
        <v>0</v>
      </c>
      <c r="BU165" s="2" t="n">
        <f aca="false">BN151</f>
        <v>0</v>
      </c>
      <c r="BV165" s="2" t="n">
        <f aca="false">BN149</f>
        <v>0</v>
      </c>
      <c r="BW165" s="2" t="n">
        <f aca="false">BN147</f>
        <v>0</v>
      </c>
      <c r="BX165" s="2" t="n">
        <f aca="false">BN145</f>
        <v>0</v>
      </c>
      <c r="BY165" s="2" t="n">
        <f aca="false">BN143</f>
        <v>0</v>
      </c>
      <c r="BZ165" s="1" t="n">
        <v>5.684</v>
      </c>
      <c r="CA165" s="2" t="n">
        <f aca="false">BZ163</f>
        <v>17.29</v>
      </c>
      <c r="CB165" s="2" t="n">
        <f aca="false">BZ161</f>
        <v>2.11</v>
      </c>
      <c r="CC165" s="2" t="n">
        <f aca="false">BZ159</f>
        <v>1.30895</v>
      </c>
      <c r="CD165" s="2" t="n">
        <f aca="false">BZ157</f>
        <v>1.15391</v>
      </c>
      <c r="CE165" s="2" t="n">
        <f aca="false">BZ155</f>
        <v>6.29917</v>
      </c>
      <c r="CF165" s="2" t="n">
        <f aca="false">BZ153</f>
        <v>2.75538</v>
      </c>
      <c r="CG165" s="2" t="n">
        <f aca="false">BZ151</f>
        <v>1.72882</v>
      </c>
      <c r="CH165" s="2" t="n">
        <f aca="false">BZ149</f>
        <v>1.3</v>
      </c>
      <c r="CI165" s="2" t="n">
        <f aca="false">BZ147</f>
        <v>4.15059</v>
      </c>
      <c r="CJ165" s="2" t="n">
        <f aca="false">BZ145</f>
        <v>3.40444</v>
      </c>
      <c r="CK165" s="2" t="n">
        <f aca="false">BZ143</f>
        <v>4.04</v>
      </c>
      <c r="CL165" s="1" t="n">
        <v>0</v>
      </c>
      <c r="CM165" s="2" t="n">
        <f aca="false">CL163</f>
        <v>2</v>
      </c>
      <c r="CN165" s="2" t="n">
        <f aca="false">CL161</f>
        <v>0</v>
      </c>
      <c r="CO165" s="2" t="n">
        <f aca="false">CL159</f>
        <v>0</v>
      </c>
      <c r="CP165" s="2" t="n">
        <f aca="false">CL157</f>
        <v>0</v>
      </c>
      <c r="CQ165" s="2" t="n">
        <f aca="false">CL155</f>
        <v>0</v>
      </c>
      <c r="CR165" s="2" t="n">
        <f aca="false">CL153</f>
        <v>0</v>
      </c>
      <c r="CS165" s="2" t="n">
        <f aca="false">CL151</f>
        <v>0</v>
      </c>
      <c r="CT165" s="2" t="n">
        <f aca="false">CL149</f>
        <v>0</v>
      </c>
      <c r="CU165" s="2" t="n">
        <f aca="false">CL147</f>
        <v>0</v>
      </c>
      <c r="CV165" s="2" t="n">
        <f aca="false">CL145</f>
        <v>0</v>
      </c>
      <c r="CW165" s="2" t="n">
        <f aca="false">CL143</f>
        <v>0</v>
      </c>
      <c r="CX165" s="1" t="n">
        <v>80.0219</v>
      </c>
      <c r="CY165" s="2" t="n">
        <f aca="false">CX163</f>
        <v>86.6899</v>
      </c>
      <c r="CZ165" s="2" t="n">
        <f aca="false">CX161</f>
        <v>64.6422</v>
      </c>
      <c r="DA165" s="2" t="n">
        <f aca="false">CX159</f>
        <v>52.6212</v>
      </c>
      <c r="DB165" s="2" t="n">
        <f aca="false">CX157</f>
        <v>49.0873</v>
      </c>
      <c r="DC165" s="2" t="n">
        <f aca="false">CX155</f>
        <v>80.9795</v>
      </c>
      <c r="DD165" s="2" t="n">
        <f aca="false">CX153</f>
        <v>70.0529</v>
      </c>
      <c r="DE165" s="2" t="n">
        <f aca="false">CX151</f>
        <v>59.9537</v>
      </c>
      <c r="DF165" s="2" t="n">
        <f aca="false">CX149</f>
        <v>52.4314</v>
      </c>
      <c r="DG165" s="2" t="n">
        <f aca="false">CX147</f>
        <v>76.4539</v>
      </c>
      <c r="DH165" s="2" t="n">
        <f aca="false">CX145</f>
        <v>73.6307</v>
      </c>
      <c r="DI165" s="2" t="n">
        <f aca="false">CX143</f>
        <v>76.0973</v>
      </c>
      <c r="DJ165" s="1" t="s">
        <v>176</v>
      </c>
      <c r="DK165" s="2" t="str">
        <f aca="false">DJ163</f>
        <v>LH</v>
      </c>
      <c r="DL165" s="2" t="str">
        <f aca="false">DJ161</f>
        <v>HH</v>
      </c>
      <c r="DM165" s="2" t="str">
        <f aca="false">DJ159</f>
        <v>HH</v>
      </c>
      <c r="DN165" s="2" t="str">
        <f aca="false">DJ157</f>
        <v>LH</v>
      </c>
      <c r="DO165" s="2" t="str">
        <f aca="false">DJ155</f>
        <v>HH</v>
      </c>
      <c r="DP165" s="2" t="str">
        <f aca="false">DJ153</f>
        <v>LH</v>
      </c>
      <c r="DQ165" s="2" t="str">
        <f aca="false">DJ151</f>
        <v>HH</v>
      </c>
      <c r="DR165" s="2" t="str">
        <f aca="false">DJ149</f>
        <v>LH</v>
      </c>
      <c r="DS165" s="2" t="str">
        <f aca="false">DJ147</f>
        <v>HH</v>
      </c>
      <c r="DT165" s="2" t="str">
        <f aca="false">DJ145</f>
        <v>LH</v>
      </c>
      <c r="DU165" s="2" t="str">
        <f aca="false">DJ143</f>
        <v>HH</v>
      </c>
      <c r="DV165" s="2" t="n">
        <f aca="false">IFERROR((G165-$F165)/$F165*100,"")</f>
        <v>-0.0334762681889455</v>
      </c>
      <c r="DW165" s="2" t="n">
        <f aca="false">IFERROR((H165-$F165)/$F165*100,"")</f>
        <v>0.875448460862499</v>
      </c>
      <c r="DX165" s="2" t="n">
        <f aca="false">IFERROR((I165-$F165)/$F165*100,"")</f>
        <v>0.820829286448948</v>
      </c>
      <c r="DY165" s="2" t="n">
        <f aca="false">IFERROR((J165-$F165)/$F165*100,"")</f>
        <v>0.803650675141464</v>
      </c>
      <c r="DZ165" s="2" t="n">
        <f aca="false">IFERROR((K165-$F165)/$F165*100,"")</f>
        <v>0.868841302667306</v>
      </c>
      <c r="EA165" s="2" t="n">
        <f aca="false">IFERROR((L165-$F165)/$F165*100,"")</f>
        <v>-0.281464939115032</v>
      </c>
      <c r="EB165" s="2" t="n">
        <f aca="false">IFERROR((M165-$F165)/$F165*100,"")</f>
        <v>-0.0814882844073229</v>
      </c>
      <c r="EC165" s="2" t="n">
        <f aca="false">IFERROR((N165-$F165)/$F165*100,"")</f>
        <v>-0.140291992344504</v>
      </c>
      <c r="ED165" s="2" t="n">
        <f aca="false">IFERROR((O165-$F165)/$F165*100,"")</f>
        <v>0.412947387199292</v>
      </c>
      <c r="EE165" s="2" t="n">
        <f aca="false">IFERROR((P165-$F165)/$F165*100,"")</f>
        <v>0.0477917776118663</v>
      </c>
      <c r="EF165" s="2" t="n">
        <f aca="false">IFERROR((Q165-$F165)/$F165*100,"")</f>
        <v>0.670846795418157</v>
      </c>
      <c r="EG165" s="2" t="str">
        <f aca="false">IF(DV165="","",IF(AND(ABS(DV165)&lt;=0.25,$E165="Bottom",DK165="LL"),"EQL",IF(AND(ABS(DV165)&lt;=0.25,$E165="Peak",DK165="HH"),"EQH","")))</f>
        <v/>
      </c>
      <c r="EH165" s="2" t="str">
        <f aca="false">IF(DW165="","",IF(AND(ABS(DW165)&lt;=0.25,$E165="Bottom",DL165="LL"),"EQL",IF(AND(ABS(DW165)&lt;=0.25,$E165="Peak",DL165="HH"),"EQH","")))</f>
        <v/>
      </c>
      <c r="EI165" s="2" t="str">
        <f aca="false">IF(DX165="","",IF(AND(ABS(DX165)&lt;=0.25,$E165="Bottom",DM165="LL"),"EQL",IF(AND(ABS(DX165)&lt;=0.25,$E165="Peak",DM165="HH"),"EQH","")))</f>
        <v/>
      </c>
      <c r="EJ165" s="2" t="str">
        <f aca="false">IF(DY165="","",IF(AND(ABS(DY165)&lt;=0.25,$E165="Bottom",DN165="LL"),"EQL",IF(AND(ABS(DY165)&lt;=0.25,$E165="Peak",DN165="HH"),"EQH","")))</f>
        <v/>
      </c>
      <c r="EK165" s="2" t="str">
        <f aca="false">IF(DZ165="","",IF(AND(ABS(DZ165)&lt;=0.25,$E165="Bottom",DO165="LL"),"EQL",IF(AND(ABS(DZ165)&lt;=0.25,$E165="Peak",DO165="HH"),"EQH","")))</f>
        <v/>
      </c>
      <c r="EL165" s="2" t="str">
        <f aca="false">IF(EA165="","",IF(AND(ABS(EA165)&lt;=0.25,$E165="Bottom",DP165="LL"),"EQL",IF(AND(ABS(EA165)&lt;=0.25,$E165="Peak",DP165="HH"),"EQH","")))</f>
        <v/>
      </c>
      <c r="EM165" s="2" t="str">
        <f aca="false">IF(EB165="","",IF(AND(ABS(EB165)&lt;=0.25,$E165="Bottom",DQ165="LL"),"EQL",IF(AND(ABS(EB165)&lt;=0.25,$E165="Peak",DQ165="HH"),"EQH","")))</f>
        <v>EQH</v>
      </c>
      <c r="EN165" s="2" t="str">
        <f aca="false">IF(EC165="","",IF(AND(ABS(EC165)&lt;=0.25,$E165="Bottom",DR165="LL"),"EQL",IF(AND(ABS(EC165)&lt;=0.25,$E165="Peak",DR165="HH"),"EQH","")))</f>
        <v/>
      </c>
      <c r="EO165" s="2" t="str">
        <f aca="false">IF(ED165="","",IF(AND(ABS(ED165)&lt;=0.25,$E165="Bottom",DS165="LL"),"EQL",IF(AND(ABS(ED165)&lt;=0.25,$E165="Peak",DS165="HH"),"EQH","")))</f>
        <v/>
      </c>
      <c r="EP165" s="2" t="str">
        <f aca="false">IF(EE165="","",IF(AND(ABS(EE165)&lt;=0.25,$E165="Bottom",DT165="LL"),"EQL",IF(AND(ABS(EE165)&lt;=0.25,$E165="Peak",DT165="HH"),"EQH","")))</f>
        <v/>
      </c>
      <c r="EQ165" s="2" t="str">
        <f aca="false">IF(EF165="","",IF(AND(ABS(EF165)&lt;=0.25,$E165="Bottom",DU165="LL"),"EQL",IF(AND(ABS(EF165)&lt;=0.25,$E165="Peak",DU165="HH"),"EQH","")))</f>
        <v/>
      </c>
      <c r="ER165" s="2" t="str">
        <f aca="false">IF(OR(EG165="EQL",EG165="EQH"),G165,"")</f>
        <v/>
      </c>
      <c r="ES165" s="2" t="str">
        <f aca="false">IF(OR(EH165="EQL",EH165="EQH"),H165,"")</f>
        <v/>
      </c>
      <c r="ET165" s="2" t="str">
        <f aca="false">IF(OR(EI165="EQL",EI165="EQH"),I165,"")</f>
        <v/>
      </c>
      <c r="EU165" s="2" t="str">
        <f aca="false">IF(OR(EJ165="EQL",EJ165="EQH"),J165,"")</f>
        <v/>
      </c>
      <c r="EV165" s="2" t="str">
        <f aca="false">IF(OR(EK165="EQL",EK165="EQH"),K165,"")</f>
        <v/>
      </c>
      <c r="EW165" s="2" t="str">
        <f aca="false">IF(OR(EL165="EQL",EL165="EQH"),L165,"")</f>
        <v/>
      </c>
      <c r="EX165" s="2" t="n">
        <f aca="false">IF(OR(EM165="EQL",EM165="EQH"),M165,"")</f>
        <v>4536.83</v>
      </c>
      <c r="EY165" s="2" t="str">
        <f aca="false">IF(OR(EN165="EQL",EN165="EQH"),N165,"")</f>
        <v/>
      </c>
      <c r="EZ165" s="2" t="str">
        <f aca="false">IF(OR(EO165="EQL",EO165="EQH"),O165,"")</f>
        <v/>
      </c>
      <c r="FA165" s="2" t="str">
        <f aca="false">IF(OR(EP165="EQL",EP165="EQH"),P165,"")</f>
        <v/>
      </c>
      <c r="FB165" s="2" t="str">
        <f aca="false">IF(OR(EQ165="EQL",EQ165="EQH"),Q165,"")</f>
        <v/>
      </c>
      <c r="FC165" s="2" t="str">
        <f aca="false">IF(AND(EG165="EQL",OR(AQ165=4,AQ165=5)),"IEQL",IF(AND(EG165="EQH",OR(AQ165=1,AQ165=2)),"IEQH",""))</f>
        <v/>
      </c>
      <c r="FD165" s="2" t="str">
        <f aca="false">IF(AND(EH165="EQL",OR(AR165=4,AR165=5)),"IEQL",IF(AND(EH165="EQH",OR(AR165=1,AR165=2)),"IEQH",""))</f>
        <v/>
      </c>
      <c r="FE165" s="2" t="str">
        <f aca="false">IF(AND(EI165="EQL",OR(AS165=4,AS165=5)),"IEQL",IF(AND(EI165="EQH",OR(AS165=1,AS165=2)),"IEQH",""))</f>
        <v/>
      </c>
      <c r="FF165" s="2" t="str">
        <f aca="false">IF(AND(EJ165="EQL",OR(AT165=4,AT165=5)),"IEQL",IF(AND(EJ165="EQH",OR(AT165=1,AT165=2)),"IEQH",""))</f>
        <v/>
      </c>
      <c r="FG165" s="2" t="str">
        <f aca="false">IF(AND(EK165="EQL",OR(AU165=4,AU165=5)),"IEQL",IF(AND(EK165="EQH",OR(AU165=1,AU165=2)),"IEQH",""))</f>
        <v/>
      </c>
      <c r="FH165" s="2" t="str">
        <f aca="false">IF(AND(EL165="EQL",OR(AV165=4,AV165=5)),"IEQL",IF(AND(EL165="EQH",OR(AV165=1,AV165=2)),"IEQH",""))</f>
        <v/>
      </c>
      <c r="FI165" s="2" t="str">
        <f aca="false">IF(AND(EM165="EQL",OR(AW165=4,AW165=5)),"IEQL",IF(AND(EM165="EQH",OR(AW165=1,AW165=2)),"IEQH",""))</f>
        <v/>
      </c>
      <c r="FJ165" s="2" t="str">
        <f aca="false">IF(AND(EN165="EQL",OR(AX165=4,AX165=5)),"IEQL",IF(AND(EN165="EQH",OR(AX165=1,AX165=2)),"IEQH",""))</f>
        <v/>
      </c>
      <c r="FK165" s="2" t="str">
        <f aca="false">IF(AND(EO165="EQL",OR(AY165=4,AY165=5)),"IEQL",IF(AND(EO165="EQH",OR(AY165=1,AY165=2)),"IEQH",""))</f>
        <v/>
      </c>
      <c r="FL165" s="2" t="str">
        <f aca="false">IF(AND(EP165="EQL",OR(AZ165=4,AZ165=5)),"IEQL",IF(AND(EP165="EQH",OR(AZ165=1,AZ165=2)),"IEQH",""))</f>
        <v/>
      </c>
      <c r="FM165" s="2" t="str">
        <f aca="false">IF(AND(EQ165="EQL",OR(BA165=4,BA165=5)),"IEQL",IF(AND(EQ165="EQH",OR(BA165=1,BA165=2)),"IEQH",""))</f>
        <v/>
      </c>
    </row>
    <row r="166" customFormat="false" ht="14.25" hidden="false" customHeight="false" outlineLevel="0" collapsed="false">
      <c r="A166" s="1" t="n">
        <v>1779818402</v>
      </c>
      <c r="B166" s="1" t="s">
        <v>169</v>
      </c>
      <c r="C166" s="1" t="s">
        <v>170</v>
      </c>
      <c r="D166" s="1" t="n">
        <v>4487.11</v>
      </c>
      <c r="E166" s="1" t="s">
        <v>171</v>
      </c>
      <c r="F166" s="1" t="n">
        <v>4482.74</v>
      </c>
      <c r="G166" s="2" t="n">
        <f aca="false">F164</f>
        <v>4512.11</v>
      </c>
      <c r="H166" s="2" t="n">
        <f aca="false">F162</f>
        <v>4521.72</v>
      </c>
      <c r="I166" s="2" t="n">
        <f aca="false">F160</f>
        <v>4563.4</v>
      </c>
      <c r="J166" s="2" t="n">
        <f aca="false">F158</f>
        <v>4552.93</v>
      </c>
      <c r="K166" s="2" t="n">
        <f aca="false">F156</f>
        <v>4550.48</v>
      </c>
      <c r="L166" s="2" t="n">
        <f aca="false">F154</f>
        <v>4504.39</v>
      </c>
      <c r="M166" s="2" t="n">
        <f aca="false">F152</f>
        <v>4491.93</v>
      </c>
      <c r="N166" s="2" t="n">
        <f aca="false">F150</f>
        <v>4507.44</v>
      </c>
      <c r="O166" s="2" t="n">
        <f aca="false">F148</f>
        <v>4518.56</v>
      </c>
      <c r="P166" s="2" t="n">
        <f aca="false">F146</f>
        <v>4488.72</v>
      </c>
      <c r="Q166" s="2" t="n">
        <f aca="false">F144</f>
        <v>4512.06</v>
      </c>
      <c r="R166" s="1" t="n">
        <v>-57.79</v>
      </c>
      <c r="S166" s="2" t="n">
        <f aca="false">R164</f>
        <v>-26.9</v>
      </c>
      <c r="T166" s="2" t="n">
        <f aca="false">R162</f>
        <v>-58.56</v>
      </c>
      <c r="U166" s="2" t="n">
        <f aca="false">R160</f>
        <v>-14.4</v>
      </c>
      <c r="V166" s="2" t="n">
        <f aca="false">R158</f>
        <v>-24.09</v>
      </c>
      <c r="W166" s="2" t="n">
        <f aca="false">R156</f>
        <v>-29.5</v>
      </c>
      <c r="X166" s="2" t="n">
        <f aca="false">R154</f>
        <v>-23.36</v>
      </c>
      <c r="Y166" s="2" t="n">
        <f aca="false">R152</f>
        <v>-44.9</v>
      </c>
      <c r="Z166" s="2" t="n">
        <f aca="false">R150</f>
        <v>-26.72</v>
      </c>
      <c r="AA166" s="2" t="n">
        <f aca="false">R148</f>
        <v>-40.72</v>
      </c>
      <c r="AB166" s="2" t="n">
        <f aca="false">R146</f>
        <v>-53.98</v>
      </c>
      <c r="AC166" s="2" t="n">
        <f aca="false">R144</f>
        <v>-58.93</v>
      </c>
      <c r="AD166" s="1" t="n">
        <v>-1.27</v>
      </c>
      <c r="AE166" s="2" t="n">
        <f aca="false">AD164</f>
        <v>-0.59</v>
      </c>
      <c r="AF166" s="2" t="n">
        <f aca="false">AD162</f>
        <v>-1.28</v>
      </c>
      <c r="AG166" s="2" t="n">
        <f aca="false">AD160</f>
        <v>-0.31</v>
      </c>
      <c r="AH166" s="2" t="n">
        <f aca="false">AD158</f>
        <v>-0.53</v>
      </c>
      <c r="AI166" s="2" t="n">
        <f aca="false">AD156</f>
        <v>-0.64</v>
      </c>
      <c r="AJ166" s="2" t="n">
        <f aca="false">AD154</f>
        <v>-0.52</v>
      </c>
      <c r="AK166" s="2" t="n">
        <f aca="false">AD152</f>
        <v>-0.99</v>
      </c>
      <c r="AL166" s="2" t="n">
        <f aca="false">AD150</f>
        <v>-0.59</v>
      </c>
      <c r="AM166" s="2" t="n">
        <f aca="false">AD148</f>
        <v>-0.89</v>
      </c>
      <c r="AN166" s="2" t="n">
        <f aca="false">AD146</f>
        <v>-1.19</v>
      </c>
      <c r="AO166" s="2" t="n">
        <f aca="false">AD144</f>
        <v>-1.29</v>
      </c>
      <c r="AP166" s="1" t="n">
        <v>3</v>
      </c>
      <c r="AQ166" s="2" t="n">
        <f aca="false">AP164</f>
        <v>3</v>
      </c>
      <c r="AR166" s="2" t="n">
        <f aca="false">AP162</f>
        <v>3</v>
      </c>
      <c r="AS166" s="2" t="n">
        <f aca="false">AP160</f>
        <v>3</v>
      </c>
      <c r="AT166" s="2" t="n">
        <f aca="false">AP158</f>
        <v>3</v>
      </c>
      <c r="AU166" s="2" t="n">
        <f aca="false">AP156</f>
        <v>3</v>
      </c>
      <c r="AV166" s="2" t="n">
        <f aca="false">AP154</f>
        <v>3</v>
      </c>
      <c r="AW166" s="2" t="n">
        <f aca="false">AP152</f>
        <v>3</v>
      </c>
      <c r="AX166" s="2" t="n">
        <f aca="false">AP150</f>
        <v>3</v>
      </c>
      <c r="AY166" s="2" t="n">
        <f aca="false">AP148</f>
        <v>3</v>
      </c>
      <c r="AZ166" s="2" t="n">
        <f aca="false">AP146</f>
        <v>3</v>
      </c>
      <c r="BA166" s="2" t="n">
        <f aca="false">AP144</f>
        <v>3</v>
      </c>
      <c r="BB166" s="1" t="n">
        <v>29</v>
      </c>
      <c r="BC166" s="2" t="n">
        <f aca="false">BB164</f>
        <v>7</v>
      </c>
      <c r="BD166" s="2" t="n">
        <f aca="false">BB162</f>
        <v>33</v>
      </c>
      <c r="BE166" s="2" t="n">
        <f aca="false">BB160</f>
        <v>3</v>
      </c>
      <c r="BF166" s="2" t="n">
        <f aca="false">BB158</f>
        <v>2</v>
      </c>
      <c r="BG166" s="2" t="n">
        <f aca="false">BB156</f>
        <v>26</v>
      </c>
      <c r="BH166" s="2" t="n">
        <f aca="false">BB154</f>
        <v>8</v>
      </c>
      <c r="BI166" s="2" t="n">
        <f aca="false">BB152</f>
        <v>17</v>
      </c>
      <c r="BJ166" s="2" t="n">
        <f aca="false">BB150</f>
        <v>1</v>
      </c>
      <c r="BK166" s="2" t="n">
        <f aca="false">BB148</f>
        <v>31</v>
      </c>
      <c r="BL166" s="2" t="n">
        <f aca="false">BB146</f>
        <v>16</v>
      </c>
      <c r="BM166" s="2" t="n">
        <f aca="false">BB144</f>
        <v>23</v>
      </c>
      <c r="BN166" s="1" t="n">
        <v>3</v>
      </c>
      <c r="BO166" s="2" t="n">
        <f aca="false">BN164</f>
        <v>3</v>
      </c>
      <c r="BP166" s="2" t="n">
        <f aca="false">BN162</f>
        <v>4</v>
      </c>
      <c r="BQ166" s="2" t="n">
        <f aca="false">BN160</f>
        <v>3</v>
      </c>
      <c r="BR166" s="2" t="n">
        <f aca="false">BN158</f>
        <v>3</v>
      </c>
      <c r="BS166" s="2" t="n">
        <f aca="false">BN156</f>
        <v>3</v>
      </c>
      <c r="BT166" s="2" t="n">
        <f aca="false">BN154</f>
        <v>3</v>
      </c>
      <c r="BU166" s="2" t="n">
        <f aca="false">BN152</f>
        <v>3</v>
      </c>
      <c r="BV166" s="2" t="n">
        <f aca="false">BN150</f>
        <v>3</v>
      </c>
      <c r="BW166" s="2" t="n">
        <f aca="false">BN148</f>
        <v>3</v>
      </c>
      <c r="BX166" s="2" t="n">
        <f aca="false">BN146</f>
        <v>3</v>
      </c>
      <c r="BY166" s="2" t="n">
        <f aca="false">BN144</f>
        <v>3</v>
      </c>
      <c r="BZ166" s="1" t="n">
        <v>-1.99276</v>
      </c>
      <c r="CA166" s="2" t="n">
        <f aca="false">BZ164</f>
        <v>-3.84286</v>
      </c>
      <c r="CB166" s="2" t="n">
        <f aca="false">BZ162</f>
        <v>-1.77455</v>
      </c>
      <c r="CC166" s="2" t="n">
        <f aca="false">BZ160</f>
        <v>-4.8</v>
      </c>
      <c r="CD166" s="2" t="n">
        <f aca="false">BZ158</f>
        <v>-12.045</v>
      </c>
      <c r="CE166" s="2" t="n">
        <f aca="false">BZ156</f>
        <v>-1.13462</v>
      </c>
      <c r="CF166" s="2" t="n">
        <f aca="false">BZ154</f>
        <v>-2.92</v>
      </c>
      <c r="CG166" s="2" t="n">
        <f aca="false">BZ152</f>
        <v>-2.64118</v>
      </c>
      <c r="CH166" s="2" t="n">
        <f aca="false">BZ150</f>
        <v>-26.72</v>
      </c>
      <c r="CI166" s="2" t="n">
        <f aca="false">BZ148</f>
        <v>-1.31355</v>
      </c>
      <c r="CJ166" s="2" t="n">
        <f aca="false">BZ146</f>
        <v>-3.37375</v>
      </c>
      <c r="CK166" s="2" t="n">
        <f aca="false">BZ144</f>
        <v>-2.56217</v>
      </c>
      <c r="CL166" s="1" t="n">
        <v>3</v>
      </c>
      <c r="CM166" s="2" t="n">
        <f aca="false">CL164</f>
        <v>3</v>
      </c>
      <c r="CN166" s="2" t="n">
        <f aca="false">CL162</f>
        <v>3</v>
      </c>
      <c r="CO166" s="2" t="n">
        <f aca="false">CL160</f>
        <v>3</v>
      </c>
      <c r="CP166" s="2" t="n">
        <f aca="false">CL158</f>
        <v>4</v>
      </c>
      <c r="CQ166" s="2" t="n">
        <f aca="false">CL156</f>
        <v>3</v>
      </c>
      <c r="CR166" s="2" t="n">
        <f aca="false">CL154</f>
        <v>3</v>
      </c>
      <c r="CS166" s="2" t="n">
        <f aca="false">CL152</f>
        <v>3</v>
      </c>
      <c r="CT166" s="2" t="n">
        <f aca="false">CL150</f>
        <v>5</v>
      </c>
      <c r="CU166" s="2" t="n">
        <f aca="false">CL148</f>
        <v>3</v>
      </c>
      <c r="CV166" s="2" t="n">
        <f aca="false">CL146</f>
        <v>3</v>
      </c>
      <c r="CW166" s="2" t="n">
        <f aca="false">CL144</f>
        <v>3</v>
      </c>
      <c r="CX166" s="1" t="n">
        <v>-63.3517</v>
      </c>
      <c r="CY166" s="2" t="n">
        <f aca="false">CX164</f>
        <v>-75.4138</v>
      </c>
      <c r="CZ166" s="2" t="n">
        <f aca="false">CX162</f>
        <v>-60.5977</v>
      </c>
      <c r="DA166" s="2" t="n">
        <f aca="false">CX160</f>
        <v>-78.2317</v>
      </c>
      <c r="DB166" s="2" t="n">
        <f aca="false">CX158</f>
        <v>-85.2541</v>
      </c>
      <c r="DC166" s="2" t="n">
        <f aca="false">CX156</f>
        <v>-48.6085</v>
      </c>
      <c r="DD166" s="2" t="n">
        <f aca="false">CX154</f>
        <v>-71.0954</v>
      </c>
      <c r="DE166" s="2" t="n">
        <f aca="false">CX152</f>
        <v>-69.2624</v>
      </c>
      <c r="DF166" s="2" t="n">
        <f aca="false">CX150</f>
        <v>-87.8567</v>
      </c>
      <c r="DG166" s="2" t="n">
        <f aca="false">CX148</f>
        <v>-52.7181</v>
      </c>
      <c r="DH166" s="2" t="n">
        <f aca="false">CX146</f>
        <v>-73.4899</v>
      </c>
      <c r="DI166" s="2" t="n">
        <f aca="false">CX144</f>
        <v>-68.6796</v>
      </c>
      <c r="DJ166" s="1" t="s">
        <v>172</v>
      </c>
      <c r="DK166" s="2" t="str">
        <f aca="false">DJ164</f>
        <v>LL</v>
      </c>
      <c r="DL166" s="2" t="str">
        <f aca="false">DJ162</f>
        <v>LL</v>
      </c>
      <c r="DM166" s="2" t="str">
        <f aca="false">DJ160</f>
        <v>HL</v>
      </c>
      <c r="DN166" s="2" t="str">
        <f aca="false">DJ158</f>
        <v>HL</v>
      </c>
      <c r="DO166" s="2" t="str">
        <f aca="false">DJ156</f>
        <v>HL</v>
      </c>
      <c r="DP166" s="2" t="str">
        <f aca="false">DJ154</f>
        <v>HL</v>
      </c>
      <c r="DQ166" s="2" t="str">
        <f aca="false">DJ152</f>
        <v>LL</v>
      </c>
      <c r="DR166" s="2" t="str">
        <f aca="false">DJ150</f>
        <v>LL</v>
      </c>
      <c r="DS166" s="2" t="str">
        <f aca="false">DJ148</f>
        <v>HL</v>
      </c>
      <c r="DT166" s="2" t="str">
        <f aca="false">DJ146</f>
        <v>LL</v>
      </c>
      <c r="DU166" s="2" t="str">
        <f aca="false">DJ144</f>
        <v>LL</v>
      </c>
      <c r="DV166" s="2" t="n">
        <f aca="false">IFERROR((G166-$F166)/$F166*100,"")</f>
        <v>0.655179644592367</v>
      </c>
      <c r="DW166" s="2" t="n">
        <f aca="false">IFERROR((H166-$F166)/$F166*100,"")</f>
        <v>0.86955745816176</v>
      </c>
      <c r="DX166" s="2" t="n">
        <f aca="false">IFERROR((I166-$F166)/$F166*100,"")</f>
        <v>1.79934593574465</v>
      </c>
      <c r="DY166" s="2" t="n">
        <f aca="false">IFERROR((J166-$F166)/$F166*100,"")</f>
        <v>1.5657834271004</v>
      </c>
      <c r="DZ166" s="2" t="n">
        <f aca="false">IFERROR((K166-$F166)/$F166*100,"")</f>
        <v>1.51112935392193</v>
      </c>
      <c r="EA166" s="2" t="n">
        <f aca="false">IFERROR((L166-$F166)/$F166*100,"")</f>
        <v>0.482963544617813</v>
      </c>
      <c r="EB166" s="2" t="n">
        <f aca="false">IFERROR((M166-$F166)/$F166*100,"")</f>
        <v>0.205008543881655</v>
      </c>
      <c r="EC166" s="2" t="n">
        <f aca="false">IFERROR((N166-$F166)/$F166*100,"")</f>
        <v>0.551002288778734</v>
      </c>
      <c r="ED166" s="2" t="n">
        <f aca="false">IFERROR((O166-$F166)/$F166*100,"")</f>
        <v>0.799064857654038</v>
      </c>
      <c r="EE166" s="2" t="n">
        <f aca="false">IFERROR((P166-$F166)/$F166*100,"")</f>
        <v>0.133400554125389</v>
      </c>
      <c r="EF166" s="2" t="n">
        <f aca="false">IFERROR((Q166-$F166)/$F166*100,"")</f>
        <v>0.654064255343844</v>
      </c>
      <c r="EG166" s="2" t="str">
        <f aca="false">IF(DV166="","",IF(AND(ABS(DV166)&lt;=0.25,$E166="Bottom",DK166="LL"),"EQL",IF(AND(ABS(DV166)&lt;=0.25,$E166="Peak",DK166="HH"),"EQH","")))</f>
        <v/>
      </c>
      <c r="EH166" s="2" t="str">
        <f aca="false">IF(DW166="","",IF(AND(ABS(DW166)&lt;=0.25,$E166="Bottom",DL166="LL"),"EQL",IF(AND(ABS(DW166)&lt;=0.25,$E166="Peak",DL166="HH"),"EQH","")))</f>
        <v/>
      </c>
      <c r="EI166" s="2" t="str">
        <f aca="false">IF(DX166="","",IF(AND(ABS(DX166)&lt;=0.25,$E166="Bottom",DM166="LL"),"EQL",IF(AND(ABS(DX166)&lt;=0.25,$E166="Peak",DM166="HH"),"EQH","")))</f>
        <v/>
      </c>
      <c r="EJ166" s="2" t="str">
        <f aca="false">IF(DY166="","",IF(AND(ABS(DY166)&lt;=0.25,$E166="Bottom",DN166="LL"),"EQL",IF(AND(ABS(DY166)&lt;=0.25,$E166="Peak",DN166="HH"),"EQH","")))</f>
        <v/>
      </c>
      <c r="EK166" s="2" t="str">
        <f aca="false">IF(DZ166="","",IF(AND(ABS(DZ166)&lt;=0.25,$E166="Bottom",DO166="LL"),"EQL",IF(AND(ABS(DZ166)&lt;=0.25,$E166="Peak",DO166="HH"),"EQH","")))</f>
        <v/>
      </c>
      <c r="EL166" s="2" t="str">
        <f aca="false">IF(EA166="","",IF(AND(ABS(EA166)&lt;=0.25,$E166="Bottom",DP166="LL"),"EQL",IF(AND(ABS(EA166)&lt;=0.25,$E166="Peak",DP166="HH"),"EQH","")))</f>
        <v/>
      </c>
      <c r="EM166" s="2" t="str">
        <f aca="false">IF(EB166="","",IF(AND(ABS(EB166)&lt;=0.25,$E166="Bottom",DQ166="LL"),"EQL",IF(AND(ABS(EB166)&lt;=0.25,$E166="Peak",DQ166="HH"),"EQH","")))</f>
        <v>EQL</v>
      </c>
      <c r="EN166" s="2" t="str">
        <f aca="false">IF(EC166="","",IF(AND(ABS(EC166)&lt;=0.25,$E166="Bottom",DR166="LL"),"EQL",IF(AND(ABS(EC166)&lt;=0.25,$E166="Peak",DR166="HH"),"EQH","")))</f>
        <v/>
      </c>
      <c r="EO166" s="2" t="str">
        <f aca="false">IF(ED166="","",IF(AND(ABS(ED166)&lt;=0.25,$E166="Bottom",DS166="LL"),"EQL",IF(AND(ABS(ED166)&lt;=0.25,$E166="Peak",DS166="HH"),"EQH","")))</f>
        <v/>
      </c>
      <c r="EP166" s="2" t="str">
        <f aca="false">IF(EE166="","",IF(AND(ABS(EE166)&lt;=0.25,$E166="Bottom",DT166="LL"),"EQL",IF(AND(ABS(EE166)&lt;=0.25,$E166="Peak",DT166="HH"),"EQH","")))</f>
        <v>EQL</v>
      </c>
      <c r="EQ166" s="2" t="str">
        <f aca="false">IF(EF166="","",IF(AND(ABS(EF166)&lt;=0.25,$E166="Bottom",DU166="LL"),"EQL",IF(AND(ABS(EF166)&lt;=0.25,$E166="Peak",DU166="HH"),"EQH","")))</f>
        <v/>
      </c>
      <c r="ER166" s="2" t="str">
        <f aca="false">IF(OR(EG166="EQL",EG166="EQH"),G166,"")</f>
        <v/>
      </c>
      <c r="ES166" s="2" t="str">
        <f aca="false">IF(OR(EH166="EQL",EH166="EQH"),H166,"")</f>
        <v/>
      </c>
      <c r="ET166" s="2" t="str">
        <f aca="false">IF(OR(EI166="EQL",EI166="EQH"),I166,"")</f>
        <v/>
      </c>
      <c r="EU166" s="2" t="str">
        <f aca="false">IF(OR(EJ166="EQL",EJ166="EQH"),J166,"")</f>
        <v/>
      </c>
      <c r="EV166" s="2" t="str">
        <f aca="false">IF(OR(EK166="EQL",EK166="EQH"),K166,"")</f>
        <v/>
      </c>
      <c r="EW166" s="2" t="str">
        <f aca="false">IF(OR(EL166="EQL",EL166="EQH"),L166,"")</f>
        <v/>
      </c>
      <c r="EX166" s="2" t="n">
        <f aca="false">IF(OR(EM166="EQL",EM166="EQH"),M166,"")</f>
        <v>4491.93</v>
      </c>
      <c r="EY166" s="2" t="str">
        <f aca="false">IF(OR(EN166="EQL",EN166="EQH"),N166,"")</f>
        <v/>
      </c>
      <c r="EZ166" s="2" t="str">
        <f aca="false">IF(OR(EO166="EQL",EO166="EQH"),O166,"")</f>
        <v/>
      </c>
      <c r="FA166" s="2" t="n">
        <f aca="false">IF(OR(EP166="EQL",EP166="EQH"),P166,"")</f>
        <v>4488.72</v>
      </c>
      <c r="FB166" s="2" t="str">
        <f aca="false">IF(OR(EQ166="EQL",EQ166="EQH"),Q166,"")</f>
        <v/>
      </c>
      <c r="FC166" s="2" t="str">
        <f aca="false">IF(AND(EG166="EQL",OR(AQ166=4,AQ166=5)),"IEQL",IF(AND(EG166="EQH",OR(AQ166=1,AQ166=2)),"IEQH",""))</f>
        <v/>
      </c>
      <c r="FD166" s="2" t="str">
        <f aca="false">IF(AND(EH166="EQL",OR(AR166=4,AR166=5)),"IEQL",IF(AND(EH166="EQH",OR(AR166=1,AR166=2)),"IEQH",""))</f>
        <v/>
      </c>
      <c r="FE166" s="2" t="str">
        <f aca="false">IF(AND(EI166="EQL",OR(AS166=4,AS166=5)),"IEQL",IF(AND(EI166="EQH",OR(AS166=1,AS166=2)),"IEQH",""))</f>
        <v/>
      </c>
      <c r="FF166" s="2" t="str">
        <f aca="false">IF(AND(EJ166="EQL",OR(AT166=4,AT166=5)),"IEQL",IF(AND(EJ166="EQH",OR(AT166=1,AT166=2)),"IEQH",""))</f>
        <v/>
      </c>
      <c r="FG166" s="2" t="str">
        <f aca="false">IF(AND(EK166="EQL",OR(AU166=4,AU166=5)),"IEQL",IF(AND(EK166="EQH",OR(AU166=1,AU166=2)),"IEQH",""))</f>
        <v/>
      </c>
      <c r="FH166" s="2" t="str">
        <f aca="false">IF(AND(EL166="EQL",OR(AV166=4,AV166=5)),"IEQL",IF(AND(EL166="EQH",OR(AV166=1,AV166=2)),"IEQH",""))</f>
        <v/>
      </c>
      <c r="FI166" s="2" t="str">
        <f aca="false">IF(AND(EM166="EQL",OR(AW166=4,AW166=5)),"IEQL",IF(AND(EM166="EQH",OR(AW166=1,AW166=2)),"IEQH",""))</f>
        <v/>
      </c>
      <c r="FJ166" s="2" t="str">
        <f aca="false">IF(AND(EN166="EQL",OR(AX166=4,AX166=5)),"IEQL",IF(AND(EN166="EQH",OR(AX166=1,AX166=2)),"IEQH",""))</f>
        <v/>
      </c>
      <c r="FK166" s="2" t="str">
        <f aca="false">IF(AND(EO166="EQL",OR(AY166=4,AY166=5)),"IEQL",IF(AND(EO166="EQH",OR(AY166=1,AY166=2)),"IEQH",""))</f>
        <v/>
      </c>
      <c r="FL166" s="2" t="str">
        <f aca="false">IF(AND(EP166="EQL",OR(AZ166=4,AZ166=5)),"IEQL",IF(AND(EP166="EQH",OR(AZ166=1,AZ166=2)),"IEQH",""))</f>
        <v/>
      </c>
      <c r="FM166" s="2" t="str">
        <f aca="false">IF(AND(EQ166="EQL",OR(BA166=4,BA166=5)),"IEQL",IF(AND(EQ166="EQH",OR(BA166=1,BA166=2)),"IEQH",""))</f>
        <v/>
      </c>
    </row>
    <row r="167" customFormat="false" ht="14.25" hidden="false" customHeight="false" outlineLevel="0" collapsed="false">
      <c r="A167" s="1" t="n">
        <v>1779832802</v>
      </c>
      <c r="B167" s="1" t="s">
        <v>169</v>
      </c>
      <c r="C167" s="1" t="s">
        <v>170</v>
      </c>
      <c r="D167" s="1" t="n">
        <v>4504.89</v>
      </c>
      <c r="E167" s="1" t="s">
        <v>173</v>
      </c>
      <c r="F167" s="1" t="n">
        <v>4537.84</v>
      </c>
      <c r="G167" s="2" t="n">
        <f aca="false">F165</f>
        <v>4540.53</v>
      </c>
      <c r="H167" s="2" t="n">
        <f aca="false">F163</f>
        <v>4539.01</v>
      </c>
      <c r="I167" s="2" t="n">
        <f aca="false">F161</f>
        <v>4580.28</v>
      </c>
      <c r="J167" s="2" t="n">
        <f aca="false">F159</f>
        <v>4577.8</v>
      </c>
      <c r="K167" s="2" t="n">
        <f aca="false">F157</f>
        <v>4577.02</v>
      </c>
      <c r="L167" s="2" t="n">
        <f aca="false">F155</f>
        <v>4579.98</v>
      </c>
      <c r="M167" s="2" t="n">
        <f aca="false">F153</f>
        <v>4527.75</v>
      </c>
      <c r="N167" s="2" t="n">
        <f aca="false">F151</f>
        <v>4536.83</v>
      </c>
      <c r="O167" s="2" t="n">
        <f aca="false">F149</f>
        <v>4534.16</v>
      </c>
      <c r="P167" s="2" t="n">
        <f aca="false">F147</f>
        <v>4559.28</v>
      </c>
      <c r="Q167" s="2" t="n">
        <f aca="false">F145</f>
        <v>4542.7</v>
      </c>
      <c r="R167" s="1" t="n">
        <v>55.1</v>
      </c>
      <c r="S167" s="2" t="n">
        <f aca="false">R165</f>
        <v>28.42</v>
      </c>
      <c r="T167" s="2" t="n">
        <f aca="false">R163</f>
        <v>17.29</v>
      </c>
      <c r="U167" s="2" t="n">
        <f aca="false">R161</f>
        <v>16.88</v>
      </c>
      <c r="V167" s="2" t="n">
        <f aca="false">R159</f>
        <v>24.87</v>
      </c>
      <c r="W167" s="2" t="n">
        <f aca="false">R157</f>
        <v>26.54</v>
      </c>
      <c r="X167" s="2" t="n">
        <f aca="false">R155</f>
        <v>75.59</v>
      </c>
      <c r="Y167" s="2" t="n">
        <f aca="false">R153</f>
        <v>35.82</v>
      </c>
      <c r="Z167" s="2" t="n">
        <f aca="false">R151</f>
        <v>29.39</v>
      </c>
      <c r="AA167" s="2" t="n">
        <f aca="false">R149</f>
        <v>15.6</v>
      </c>
      <c r="AB167" s="2" t="n">
        <f aca="false">R147</f>
        <v>70.56</v>
      </c>
      <c r="AC167" s="2" t="n">
        <f aca="false">R145</f>
        <v>30.64</v>
      </c>
      <c r="AD167" s="1" t="n">
        <v>1.23</v>
      </c>
      <c r="AE167" s="2" t="n">
        <f aca="false">AD165</f>
        <v>0.63</v>
      </c>
      <c r="AF167" s="2" t="n">
        <f aca="false">AD163</f>
        <v>0.38</v>
      </c>
      <c r="AG167" s="2" t="n">
        <f aca="false">AD161</f>
        <v>0.37</v>
      </c>
      <c r="AH167" s="2" t="n">
        <f aca="false">AD159</f>
        <v>0.55</v>
      </c>
      <c r="AI167" s="2" t="n">
        <f aca="false">AD157</f>
        <v>0.58</v>
      </c>
      <c r="AJ167" s="2" t="n">
        <f aca="false">AD155</f>
        <v>1.68</v>
      </c>
      <c r="AK167" s="2" t="n">
        <f aca="false">AD153</f>
        <v>0.8</v>
      </c>
      <c r="AL167" s="2" t="n">
        <f aca="false">AD151</f>
        <v>0.65</v>
      </c>
      <c r="AM167" s="2" t="n">
        <f aca="false">AD149</f>
        <v>0.35</v>
      </c>
      <c r="AN167" s="2" t="n">
        <f aca="false">AD147</f>
        <v>1.57</v>
      </c>
      <c r="AO167" s="2" t="n">
        <f aca="false">AD145</f>
        <v>0.68</v>
      </c>
      <c r="AP167" s="1" t="n">
        <v>0</v>
      </c>
      <c r="AQ167" s="2" t="n">
        <f aca="false">AP165</f>
        <v>0</v>
      </c>
      <c r="AR167" s="2" t="n">
        <f aca="false">AP163</f>
        <v>0</v>
      </c>
      <c r="AS167" s="2" t="n">
        <f aca="false">AP161</f>
        <v>0</v>
      </c>
      <c r="AT167" s="2" t="n">
        <f aca="false">AP159</f>
        <v>0</v>
      </c>
      <c r="AU167" s="2" t="n">
        <f aca="false">AP157</f>
        <v>0</v>
      </c>
      <c r="AV167" s="2" t="n">
        <f aca="false">AP155</f>
        <v>0</v>
      </c>
      <c r="AW167" s="2" t="n">
        <f aca="false">AP153</f>
        <v>0</v>
      </c>
      <c r="AX167" s="2" t="n">
        <f aca="false">AP151</f>
        <v>0</v>
      </c>
      <c r="AY167" s="2" t="n">
        <f aca="false">AP149</f>
        <v>0</v>
      </c>
      <c r="AZ167" s="2" t="n">
        <f aca="false">AP147</f>
        <v>0</v>
      </c>
      <c r="BA167" s="2" t="n">
        <f aca="false">AP145</f>
        <v>0</v>
      </c>
      <c r="BB167" s="1" t="n">
        <v>12</v>
      </c>
      <c r="BC167" s="2" t="n">
        <f aca="false">BB165</f>
        <v>5</v>
      </c>
      <c r="BD167" s="2" t="n">
        <f aca="false">BB163</f>
        <v>1</v>
      </c>
      <c r="BE167" s="2" t="n">
        <f aca="false">BB161</f>
        <v>8</v>
      </c>
      <c r="BF167" s="2" t="n">
        <f aca="false">BB159</f>
        <v>19</v>
      </c>
      <c r="BG167" s="2" t="n">
        <f aca="false">BB157</f>
        <v>23</v>
      </c>
      <c r="BH167" s="2" t="n">
        <f aca="false">BB155</f>
        <v>12</v>
      </c>
      <c r="BI167" s="2" t="n">
        <f aca="false">BB153</f>
        <v>13</v>
      </c>
      <c r="BJ167" s="2" t="n">
        <f aca="false">BB151</f>
        <v>17</v>
      </c>
      <c r="BK167" s="2" t="n">
        <f aca="false">BB149</f>
        <v>12</v>
      </c>
      <c r="BL167" s="2" t="n">
        <f aca="false">BB147</f>
        <v>17</v>
      </c>
      <c r="BM167" s="2" t="n">
        <f aca="false">BB145</f>
        <v>9</v>
      </c>
      <c r="BN167" s="1" t="n">
        <v>0</v>
      </c>
      <c r="BO167" s="2" t="n">
        <f aca="false">BN165</f>
        <v>0</v>
      </c>
      <c r="BP167" s="2" t="n">
        <f aca="false">BN163</f>
        <v>0</v>
      </c>
      <c r="BQ167" s="2" t="n">
        <f aca="false">BN161</f>
        <v>0</v>
      </c>
      <c r="BR167" s="2" t="n">
        <f aca="false">BN159</f>
        <v>0</v>
      </c>
      <c r="BS167" s="2" t="n">
        <f aca="false">BN157</f>
        <v>0</v>
      </c>
      <c r="BT167" s="2" t="n">
        <f aca="false">BN155</f>
        <v>0</v>
      </c>
      <c r="BU167" s="2" t="n">
        <f aca="false">BN153</f>
        <v>0</v>
      </c>
      <c r="BV167" s="2" t="n">
        <f aca="false">BN151</f>
        <v>0</v>
      </c>
      <c r="BW167" s="2" t="n">
        <f aca="false">BN149</f>
        <v>0</v>
      </c>
      <c r="BX167" s="2" t="n">
        <f aca="false">BN147</f>
        <v>0</v>
      </c>
      <c r="BY167" s="2" t="n">
        <f aca="false">BN145</f>
        <v>0</v>
      </c>
      <c r="BZ167" s="1" t="n">
        <v>4.59167</v>
      </c>
      <c r="CA167" s="2" t="n">
        <f aca="false">BZ165</f>
        <v>5.684</v>
      </c>
      <c r="CB167" s="2" t="n">
        <f aca="false">BZ163</f>
        <v>17.29</v>
      </c>
      <c r="CC167" s="2" t="n">
        <f aca="false">BZ161</f>
        <v>2.11</v>
      </c>
      <c r="CD167" s="2" t="n">
        <f aca="false">BZ159</f>
        <v>1.30895</v>
      </c>
      <c r="CE167" s="2" t="n">
        <f aca="false">BZ157</f>
        <v>1.15391</v>
      </c>
      <c r="CF167" s="2" t="n">
        <f aca="false">BZ155</f>
        <v>6.29917</v>
      </c>
      <c r="CG167" s="2" t="n">
        <f aca="false">BZ153</f>
        <v>2.75538</v>
      </c>
      <c r="CH167" s="2" t="n">
        <f aca="false">BZ151</f>
        <v>1.72882</v>
      </c>
      <c r="CI167" s="2" t="n">
        <f aca="false">BZ149</f>
        <v>1.3</v>
      </c>
      <c r="CJ167" s="2" t="n">
        <f aca="false">BZ147</f>
        <v>4.15059</v>
      </c>
      <c r="CK167" s="2" t="n">
        <f aca="false">BZ145</f>
        <v>3.40444</v>
      </c>
      <c r="CL167" s="1" t="n">
        <v>0</v>
      </c>
      <c r="CM167" s="2" t="n">
        <f aca="false">CL165</f>
        <v>0</v>
      </c>
      <c r="CN167" s="2" t="n">
        <f aca="false">CL163</f>
        <v>2</v>
      </c>
      <c r="CO167" s="2" t="n">
        <f aca="false">CL161</f>
        <v>0</v>
      </c>
      <c r="CP167" s="2" t="n">
        <f aca="false">CL159</f>
        <v>0</v>
      </c>
      <c r="CQ167" s="2" t="n">
        <f aca="false">CL157</f>
        <v>0</v>
      </c>
      <c r="CR167" s="2" t="n">
        <f aca="false">CL155</f>
        <v>0</v>
      </c>
      <c r="CS167" s="2" t="n">
        <f aca="false">CL153</f>
        <v>0</v>
      </c>
      <c r="CT167" s="2" t="n">
        <f aca="false">CL151</f>
        <v>0</v>
      </c>
      <c r="CU167" s="2" t="n">
        <f aca="false">CL149</f>
        <v>0</v>
      </c>
      <c r="CV167" s="2" t="n">
        <f aca="false">CL147</f>
        <v>0</v>
      </c>
      <c r="CW167" s="2" t="n">
        <f aca="false">CL145</f>
        <v>0</v>
      </c>
      <c r="CX167" s="1" t="n">
        <v>77.7136</v>
      </c>
      <c r="CY167" s="2" t="n">
        <f aca="false">CX165</f>
        <v>80.0219</v>
      </c>
      <c r="CZ167" s="2" t="n">
        <f aca="false">CX163</f>
        <v>86.6899</v>
      </c>
      <c r="DA167" s="2" t="n">
        <f aca="false">CX161</f>
        <v>64.6422</v>
      </c>
      <c r="DB167" s="2" t="n">
        <f aca="false">CX159</f>
        <v>52.6212</v>
      </c>
      <c r="DC167" s="2" t="n">
        <f aca="false">CX157</f>
        <v>49.0873</v>
      </c>
      <c r="DD167" s="2" t="n">
        <f aca="false">CX155</f>
        <v>80.9795</v>
      </c>
      <c r="DE167" s="2" t="n">
        <f aca="false">CX153</f>
        <v>70.0529</v>
      </c>
      <c r="DF167" s="2" t="n">
        <f aca="false">CX151</f>
        <v>59.9537</v>
      </c>
      <c r="DG167" s="2" t="n">
        <f aca="false">CX149</f>
        <v>52.4314</v>
      </c>
      <c r="DH167" s="2" t="n">
        <f aca="false">CX147</f>
        <v>76.4539</v>
      </c>
      <c r="DI167" s="2" t="n">
        <f aca="false">CX145</f>
        <v>73.6307</v>
      </c>
      <c r="DJ167" s="1" t="s">
        <v>174</v>
      </c>
      <c r="DK167" s="2" t="str">
        <f aca="false">DJ165</f>
        <v>HH</v>
      </c>
      <c r="DL167" s="2" t="str">
        <f aca="false">DJ163</f>
        <v>LH</v>
      </c>
      <c r="DM167" s="2" t="str">
        <f aca="false">DJ161</f>
        <v>HH</v>
      </c>
      <c r="DN167" s="2" t="str">
        <f aca="false">DJ159</f>
        <v>HH</v>
      </c>
      <c r="DO167" s="2" t="str">
        <f aca="false">DJ157</f>
        <v>LH</v>
      </c>
      <c r="DP167" s="2" t="str">
        <f aca="false">DJ155</f>
        <v>HH</v>
      </c>
      <c r="DQ167" s="2" t="str">
        <f aca="false">DJ153</f>
        <v>LH</v>
      </c>
      <c r="DR167" s="2" t="str">
        <f aca="false">DJ151</f>
        <v>HH</v>
      </c>
      <c r="DS167" s="2" t="str">
        <f aca="false">DJ149</f>
        <v>LH</v>
      </c>
      <c r="DT167" s="2" t="str">
        <f aca="false">DJ147</f>
        <v>HH</v>
      </c>
      <c r="DU167" s="2" t="str">
        <f aca="false">DJ145</f>
        <v>LH</v>
      </c>
      <c r="DV167" s="2" t="n">
        <f aca="false">IFERROR((G167-$F167)/$F167*100,"")</f>
        <v>0.0592793046912099</v>
      </c>
      <c r="DW167" s="2" t="n">
        <f aca="false">IFERROR((H167-$F167)/$F167*100,"")</f>
        <v>0.0257831920032454</v>
      </c>
      <c r="DX167" s="2" t="n">
        <f aca="false">IFERROR((I167-$F167)/$F167*100,"")</f>
        <v>0.935246725314238</v>
      </c>
      <c r="DY167" s="2" t="n">
        <f aca="false">IFERROR((J167-$F167)/$F167*100,"")</f>
        <v>0.880595173033867</v>
      </c>
      <c r="DZ167" s="2" t="n">
        <f aca="false">IFERROR((K167-$F167)/$F167*100,"")</f>
        <v>0.863406378365044</v>
      </c>
      <c r="EA167" s="2" t="n">
        <f aca="false">IFERROR((L167-$F167)/$F167*100,"")</f>
        <v>0.928635650441607</v>
      </c>
      <c r="EB167" s="2" t="n">
        <f aca="false">IFERROR((M167-$F167)/$F167*100,"")</f>
        <v>-0.222352484882679</v>
      </c>
      <c r="EC167" s="2" t="n">
        <f aca="false">IFERROR((N167-$F167)/$F167*100,"")</f>
        <v>-0.0222572854045144</v>
      </c>
      <c r="ED167" s="2" t="n">
        <f aca="false">IFERROR((O167-$F167)/$F167*100,"")</f>
        <v>-0.081095851770893</v>
      </c>
      <c r="EE167" s="2" t="n">
        <f aca="false">IFERROR((P167-$F167)/$F167*100,"")</f>
        <v>0.472471484230374</v>
      </c>
      <c r="EF167" s="2" t="n">
        <f aca="false">IFERROR((Q167-$F167)/$F167*100,"")</f>
        <v>0.107099412936544</v>
      </c>
      <c r="EG167" s="2" t="str">
        <f aca="false">IF(DV167="","",IF(AND(ABS(DV167)&lt;=0.25,$E167="Bottom",DK167="LL"),"EQL",IF(AND(ABS(DV167)&lt;=0.25,$E167="Peak",DK167="HH"),"EQH","")))</f>
        <v>EQH</v>
      </c>
      <c r="EH167" s="2" t="str">
        <f aca="false">IF(DW167="","",IF(AND(ABS(DW167)&lt;=0.25,$E167="Bottom",DL167="LL"),"EQL",IF(AND(ABS(DW167)&lt;=0.25,$E167="Peak",DL167="HH"),"EQH","")))</f>
        <v/>
      </c>
      <c r="EI167" s="2" t="str">
        <f aca="false">IF(DX167="","",IF(AND(ABS(DX167)&lt;=0.25,$E167="Bottom",DM167="LL"),"EQL",IF(AND(ABS(DX167)&lt;=0.25,$E167="Peak",DM167="HH"),"EQH","")))</f>
        <v/>
      </c>
      <c r="EJ167" s="2" t="str">
        <f aca="false">IF(DY167="","",IF(AND(ABS(DY167)&lt;=0.25,$E167="Bottom",DN167="LL"),"EQL",IF(AND(ABS(DY167)&lt;=0.25,$E167="Peak",DN167="HH"),"EQH","")))</f>
        <v/>
      </c>
      <c r="EK167" s="2" t="str">
        <f aca="false">IF(DZ167="","",IF(AND(ABS(DZ167)&lt;=0.25,$E167="Bottom",DO167="LL"),"EQL",IF(AND(ABS(DZ167)&lt;=0.25,$E167="Peak",DO167="HH"),"EQH","")))</f>
        <v/>
      </c>
      <c r="EL167" s="2" t="str">
        <f aca="false">IF(EA167="","",IF(AND(ABS(EA167)&lt;=0.25,$E167="Bottom",DP167="LL"),"EQL",IF(AND(ABS(EA167)&lt;=0.25,$E167="Peak",DP167="HH"),"EQH","")))</f>
        <v/>
      </c>
      <c r="EM167" s="2" t="str">
        <f aca="false">IF(EB167="","",IF(AND(ABS(EB167)&lt;=0.25,$E167="Bottom",DQ167="LL"),"EQL",IF(AND(ABS(EB167)&lt;=0.25,$E167="Peak",DQ167="HH"),"EQH","")))</f>
        <v/>
      </c>
      <c r="EN167" s="2" t="str">
        <f aca="false">IF(EC167="","",IF(AND(ABS(EC167)&lt;=0.25,$E167="Bottom",DR167="LL"),"EQL",IF(AND(ABS(EC167)&lt;=0.25,$E167="Peak",DR167="HH"),"EQH","")))</f>
        <v>EQH</v>
      </c>
      <c r="EO167" s="2" t="str">
        <f aca="false">IF(ED167="","",IF(AND(ABS(ED167)&lt;=0.25,$E167="Bottom",DS167="LL"),"EQL",IF(AND(ABS(ED167)&lt;=0.25,$E167="Peak",DS167="HH"),"EQH","")))</f>
        <v/>
      </c>
      <c r="EP167" s="2" t="str">
        <f aca="false">IF(EE167="","",IF(AND(ABS(EE167)&lt;=0.25,$E167="Bottom",DT167="LL"),"EQL",IF(AND(ABS(EE167)&lt;=0.25,$E167="Peak",DT167="HH"),"EQH","")))</f>
        <v/>
      </c>
      <c r="EQ167" s="2" t="str">
        <f aca="false">IF(EF167="","",IF(AND(ABS(EF167)&lt;=0.25,$E167="Bottom",DU167="LL"),"EQL",IF(AND(ABS(EF167)&lt;=0.25,$E167="Peak",DU167="HH"),"EQH","")))</f>
        <v/>
      </c>
      <c r="ER167" s="2" t="n">
        <f aca="false">IF(OR(EG167="EQL",EG167="EQH"),G167,"")</f>
        <v>4540.53</v>
      </c>
      <c r="ES167" s="2" t="str">
        <f aca="false">IF(OR(EH167="EQL",EH167="EQH"),H167,"")</f>
        <v/>
      </c>
      <c r="ET167" s="2" t="str">
        <f aca="false">IF(OR(EI167="EQL",EI167="EQH"),I167,"")</f>
        <v/>
      </c>
      <c r="EU167" s="2" t="str">
        <f aca="false">IF(OR(EJ167="EQL",EJ167="EQH"),J167,"")</f>
        <v/>
      </c>
      <c r="EV167" s="2" t="str">
        <f aca="false">IF(OR(EK167="EQL",EK167="EQH"),K167,"")</f>
        <v/>
      </c>
      <c r="EW167" s="2" t="str">
        <f aca="false">IF(OR(EL167="EQL",EL167="EQH"),L167,"")</f>
        <v/>
      </c>
      <c r="EX167" s="2" t="str">
        <f aca="false">IF(OR(EM167="EQL",EM167="EQH"),M167,"")</f>
        <v/>
      </c>
      <c r="EY167" s="2" t="n">
        <f aca="false">IF(OR(EN167="EQL",EN167="EQH"),N167,"")</f>
        <v>4536.83</v>
      </c>
      <c r="EZ167" s="2" t="str">
        <f aca="false">IF(OR(EO167="EQL",EO167="EQH"),O167,"")</f>
        <v/>
      </c>
      <c r="FA167" s="2" t="str">
        <f aca="false">IF(OR(EP167="EQL",EP167="EQH"),P167,"")</f>
        <v/>
      </c>
      <c r="FB167" s="2" t="str">
        <f aca="false">IF(OR(EQ167="EQL",EQ167="EQH"),Q167,"")</f>
        <v/>
      </c>
      <c r="FC167" s="2" t="str">
        <f aca="false">IF(AND(EG167="EQL",OR(AQ167=4,AQ167=5)),"IEQL",IF(AND(EG167="EQH",OR(AQ167=1,AQ167=2)),"IEQH",""))</f>
        <v/>
      </c>
      <c r="FD167" s="2" t="str">
        <f aca="false">IF(AND(EH167="EQL",OR(AR167=4,AR167=5)),"IEQL",IF(AND(EH167="EQH",OR(AR167=1,AR167=2)),"IEQH",""))</f>
        <v/>
      </c>
      <c r="FE167" s="2" t="str">
        <f aca="false">IF(AND(EI167="EQL",OR(AS167=4,AS167=5)),"IEQL",IF(AND(EI167="EQH",OR(AS167=1,AS167=2)),"IEQH",""))</f>
        <v/>
      </c>
      <c r="FF167" s="2" t="str">
        <f aca="false">IF(AND(EJ167="EQL",OR(AT167=4,AT167=5)),"IEQL",IF(AND(EJ167="EQH",OR(AT167=1,AT167=2)),"IEQH",""))</f>
        <v/>
      </c>
      <c r="FG167" s="2" t="str">
        <f aca="false">IF(AND(EK167="EQL",OR(AU167=4,AU167=5)),"IEQL",IF(AND(EK167="EQH",OR(AU167=1,AU167=2)),"IEQH",""))</f>
        <v/>
      </c>
      <c r="FH167" s="2" t="str">
        <f aca="false">IF(AND(EL167="EQL",OR(AV167=4,AV167=5)),"IEQL",IF(AND(EL167="EQH",OR(AV167=1,AV167=2)),"IEQH",""))</f>
        <v/>
      </c>
      <c r="FI167" s="2" t="str">
        <f aca="false">IF(AND(EM167="EQL",OR(AW167=4,AW167=5)),"IEQL",IF(AND(EM167="EQH",OR(AW167=1,AW167=2)),"IEQH",""))</f>
        <v/>
      </c>
      <c r="FJ167" s="2" t="str">
        <f aca="false">IF(AND(EN167="EQL",OR(AX167=4,AX167=5)),"IEQL",IF(AND(EN167="EQH",OR(AX167=1,AX167=2)),"IEQH",""))</f>
        <v/>
      </c>
      <c r="FK167" s="2" t="str">
        <f aca="false">IF(AND(EO167="EQL",OR(AY167=4,AY167=5)),"IEQL",IF(AND(EO167="EQH",OR(AY167=1,AY167=2)),"IEQH",""))</f>
        <v/>
      </c>
      <c r="FL167" s="2" t="str">
        <f aca="false">IF(AND(EP167="EQL",OR(AZ167=4,AZ167=5)),"IEQL",IF(AND(EP167="EQH",OR(AZ167=1,AZ167=2)),"IEQH",""))</f>
        <v/>
      </c>
      <c r="FM167" s="2" t="str">
        <f aca="false">IF(AND(EQ167="EQL",OR(BA167=4,BA167=5)),"IEQL",IF(AND(EQ167="EQH",OR(BA167=1,BA167=2)),"IEQH",""))</f>
        <v/>
      </c>
    </row>
    <row r="168" customFormat="false" ht="14.25" hidden="false" customHeight="false" outlineLevel="0" collapsed="false">
      <c r="A168" s="1" t="n">
        <v>1779854402</v>
      </c>
      <c r="B168" s="1" t="s">
        <v>169</v>
      </c>
      <c r="C168" s="1" t="s">
        <v>170</v>
      </c>
      <c r="D168" s="1" t="n">
        <v>4503.18</v>
      </c>
      <c r="E168" s="1" t="s">
        <v>171</v>
      </c>
      <c r="F168" s="1" t="n">
        <v>4495.97</v>
      </c>
      <c r="G168" s="2" t="n">
        <f aca="false">F166</f>
        <v>4482.74</v>
      </c>
      <c r="H168" s="2" t="n">
        <f aca="false">F164</f>
        <v>4512.11</v>
      </c>
      <c r="I168" s="2" t="n">
        <f aca="false">F162</f>
        <v>4521.72</v>
      </c>
      <c r="J168" s="2" t="n">
        <f aca="false">F160</f>
        <v>4563.4</v>
      </c>
      <c r="K168" s="2" t="n">
        <f aca="false">F158</f>
        <v>4552.93</v>
      </c>
      <c r="L168" s="2" t="n">
        <f aca="false">F156</f>
        <v>4550.48</v>
      </c>
      <c r="M168" s="2" t="n">
        <f aca="false">F154</f>
        <v>4504.39</v>
      </c>
      <c r="N168" s="2" t="n">
        <f aca="false">F152</f>
        <v>4491.93</v>
      </c>
      <c r="O168" s="2" t="n">
        <f aca="false">F150</f>
        <v>4507.44</v>
      </c>
      <c r="P168" s="2" t="n">
        <f aca="false">F148</f>
        <v>4518.56</v>
      </c>
      <c r="Q168" s="2" t="n">
        <f aca="false">F146</f>
        <v>4488.72</v>
      </c>
      <c r="R168" s="1" t="n">
        <v>-41.87</v>
      </c>
      <c r="S168" s="2" t="n">
        <f aca="false">R166</f>
        <v>-57.79</v>
      </c>
      <c r="T168" s="2" t="n">
        <f aca="false">R164</f>
        <v>-26.9</v>
      </c>
      <c r="U168" s="2" t="n">
        <f aca="false">R162</f>
        <v>-58.56</v>
      </c>
      <c r="V168" s="2" t="n">
        <f aca="false">R160</f>
        <v>-14.4</v>
      </c>
      <c r="W168" s="2" t="n">
        <f aca="false">R158</f>
        <v>-24.09</v>
      </c>
      <c r="X168" s="2" t="n">
        <f aca="false">R156</f>
        <v>-29.5</v>
      </c>
      <c r="Y168" s="2" t="n">
        <f aca="false">R154</f>
        <v>-23.36</v>
      </c>
      <c r="Z168" s="2" t="n">
        <f aca="false">R152</f>
        <v>-44.9</v>
      </c>
      <c r="AA168" s="2" t="n">
        <f aca="false">R150</f>
        <v>-26.72</v>
      </c>
      <c r="AB168" s="2" t="n">
        <f aca="false">R148</f>
        <v>-40.72</v>
      </c>
      <c r="AC168" s="2" t="n">
        <f aca="false">R146</f>
        <v>-53.98</v>
      </c>
      <c r="AD168" s="1" t="n">
        <v>-0.92</v>
      </c>
      <c r="AE168" s="2" t="n">
        <f aca="false">AD166</f>
        <v>-1.27</v>
      </c>
      <c r="AF168" s="2" t="n">
        <f aca="false">AD164</f>
        <v>-0.59</v>
      </c>
      <c r="AG168" s="2" t="n">
        <f aca="false">AD162</f>
        <v>-1.28</v>
      </c>
      <c r="AH168" s="2" t="n">
        <f aca="false">AD160</f>
        <v>-0.31</v>
      </c>
      <c r="AI168" s="2" t="n">
        <f aca="false">AD158</f>
        <v>-0.53</v>
      </c>
      <c r="AJ168" s="2" t="n">
        <f aca="false">AD156</f>
        <v>-0.64</v>
      </c>
      <c r="AK168" s="2" t="n">
        <f aca="false">AD154</f>
        <v>-0.52</v>
      </c>
      <c r="AL168" s="2" t="n">
        <f aca="false">AD152</f>
        <v>-0.99</v>
      </c>
      <c r="AM168" s="2" t="n">
        <f aca="false">AD150</f>
        <v>-0.59</v>
      </c>
      <c r="AN168" s="2" t="n">
        <f aca="false">AD148</f>
        <v>-0.89</v>
      </c>
      <c r="AO168" s="2" t="n">
        <f aca="false">AD146</f>
        <v>-1.19</v>
      </c>
      <c r="AP168" s="1" t="n">
        <v>3</v>
      </c>
      <c r="AQ168" s="2" t="n">
        <f aca="false">AP166</f>
        <v>3</v>
      </c>
      <c r="AR168" s="2" t="n">
        <f aca="false">AP164</f>
        <v>3</v>
      </c>
      <c r="AS168" s="2" t="n">
        <f aca="false">AP162</f>
        <v>3</v>
      </c>
      <c r="AT168" s="2" t="n">
        <f aca="false">AP160</f>
        <v>3</v>
      </c>
      <c r="AU168" s="2" t="n">
        <f aca="false">AP158</f>
        <v>3</v>
      </c>
      <c r="AV168" s="2" t="n">
        <f aca="false">AP156</f>
        <v>3</v>
      </c>
      <c r="AW168" s="2" t="n">
        <f aca="false">AP154</f>
        <v>3</v>
      </c>
      <c r="AX168" s="2" t="n">
        <f aca="false">AP152</f>
        <v>3</v>
      </c>
      <c r="AY168" s="2" t="n">
        <f aca="false">AP150</f>
        <v>3</v>
      </c>
      <c r="AZ168" s="2" t="n">
        <f aca="false">AP148</f>
        <v>3</v>
      </c>
      <c r="BA168" s="2" t="n">
        <f aca="false">AP146</f>
        <v>3</v>
      </c>
      <c r="BB168" s="1" t="n">
        <v>24</v>
      </c>
      <c r="BC168" s="2" t="n">
        <f aca="false">BB166</f>
        <v>29</v>
      </c>
      <c r="BD168" s="2" t="n">
        <f aca="false">BB164</f>
        <v>7</v>
      </c>
      <c r="BE168" s="2" t="n">
        <f aca="false">BB162</f>
        <v>33</v>
      </c>
      <c r="BF168" s="2" t="n">
        <f aca="false">BB160</f>
        <v>3</v>
      </c>
      <c r="BG168" s="2" t="n">
        <f aca="false">BB158</f>
        <v>2</v>
      </c>
      <c r="BH168" s="2" t="n">
        <f aca="false">BB156</f>
        <v>26</v>
      </c>
      <c r="BI168" s="2" t="n">
        <f aca="false">BB154</f>
        <v>8</v>
      </c>
      <c r="BJ168" s="2" t="n">
        <f aca="false">BB152</f>
        <v>17</v>
      </c>
      <c r="BK168" s="2" t="n">
        <f aca="false">BB150</f>
        <v>1</v>
      </c>
      <c r="BL168" s="2" t="n">
        <f aca="false">BB148</f>
        <v>31</v>
      </c>
      <c r="BM168" s="2" t="n">
        <f aca="false">BB146</f>
        <v>16</v>
      </c>
      <c r="BN168" s="1" t="n">
        <v>3</v>
      </c>
      <c r="BO168" s="2" t="n">
        <f aca="false">BN166</f>
        <v>3</v>
      </c>
      <c r="BP168" s="2" t="n">
        <f aca="false">BN164</f>
        <v>3</v>
      </c>
      <c r="BQ168" s="2" t="n">
        <f aca="false">BN162</f>
        <v>4</v>
      </c>
      <c r="BR168" s="2" t="n">
        <f aca="false">BN160</f>
        <v>3</v>
      </c>
      <c r="BS168" s="2" t="n">
        <f aca="false">BN158</f>
        <v>3</v>
      </c>
      <c r="BT168" s="2" t="n">
        <f aca="false">BN156</f>
        <v>3</v>
      </c>
      <c r="BU168" s="2" t="n">
        <f aca="false">BN154</f>
        <v>3</v>
      </c>
      <c r="BV168" s="2" t="n">
        <f aca="false">BN152</f>
        <v>3</v>
      </c>
      <c r="BW168" s="2" t="n">
        <f aca="false">BN150</f>
        <v>3</v>
      </c>
      <c r="BX168" s="2" t="n">
        <f aca="false">BN148</f>
        <v>3</v>
      </c>
      <c r="BY168" s="2" t="n">
        <f aca="false">BN146</f>
        <v>3</v>
      </c>
      <c r="BZ168" s="1" t="n">
        <v>-1.74458</v>
      </c>
      <c r="CA168" s="2" t="n">
        <f aca="false">BZ166</f>
        <v>-1.99276</v>
      </c>
      <c r="CB168" s="2" t="n">
        <f aca="false">BZ164</f>
        <v>-3.84286</v>
      </c>
      <c r="CC168" s="2" t="n">
        <f aca="false">BZ162</f>
        <v>-1.77455</v>
      </c>
      <c r="CD168" s="2" t="n">
        <f aca="false">BZ160</f>
        <v>-4.8</v>
      </c>
      <c r="CE168" s="2" t="n">
        <f aca="false">BZ158</f>
        <v>-12.045</v>
      </c>
      <c r="CF168" s="2" t="n">
        <f aca="false">BZ156</f>
        <v>-1.13462</v>
      </c>
      <c r="CG168" s="2" t="n">
        <f aca="false">BZ154</f>
        <v>-2.92</v>
      </c>
      <c r="CH168" s="2" t="n">
        <f aca="false">BZ152</f>
        <v>-2.64118</v>
      </c>
      <c r="CI168" s="2" t="n">
        <f aca="false">BZ150</f>
        <v>-26.72</v>
      </c>
      <c r="CJ168" s="2" t="n">
        <f aca="false">BZ148</f>
        <v>-1.31355</v>
      </c>
      <c r="CK168" s="2" t="n">
        <f aca="false">BZ146</f>
        <v>-3.37375</v>
      </c>
      <c r="CL168" s="1" t="n">
        <v>3</v>
      </c>
      <c r="CM168" s="2" t="n">
        <f aca="false">CL166</f>
        <v>3</v>
      </c>
      <c r="CN168" s="2" t="n">
        <f aca="false">CL164</f>
        <v>3</v>
      </c>
      <c r="CO168" s="2" t="n">
        <f aca="false">CL162</f>
        <v>3</v>
      </c>
      <c r="CP168" s="2" t="n">
        <f aca="false">CL160</f>
        <v>3</v>
      </c>
      <c r="CQ168" s="2" t="n">
        <f aca="false">CL158</f>
        <v>4</v>
      </c>
      <c r="CR168" s="2" t="n">
        <f aca="false">CL156</f>
        <v>3</v>
      </c>
      <c r="CS168" s="2" t="n">
        <f aca="false">CL154</f>
        <v>3</v>
      </c>
      <c r="CT168" s="2" t="n">
        <f aca="false">CL152</f>
        <v>3</v>
      </c>
      <c r="CU168" s="2" t="n">
        <f aca="false">CL150</f>
        <v>5</v>
      </c>
      <c r="CV168" s="2" t="n">
        <f aca="false">CL148</f>
        <v>3</v>
      </c>
      <c r="CW168" s="2" t="n">
        <f aca="false">CL146</f>
        <v>3</v>
      </c>
      <c r="CX168" s="1" t="n">
        <v>-60.1785</v>
      </c>
      <c r="CY168" s="2" t="n">
        <f aca="false">CX166</f>
        <v>-63.3517</v>
      </c>
      <c r="CZ168" s="2" t="n">
        <f aca="false">CX164</f>
        <v>-75.4138</v>
      </c>
      <c r="DA168" s="2" t="n">
        <f aca="false">CX162</f>
        <v>-60.5977</v>
      </c>
      <c r="DB168" s="2" t="n">
        <f aca="false">CX160</f>
        <v>-78.2317</v>
      </c>
      <c r="DC168" s="2" t="n">
        <f aca="false">CX158</f>
        <v>-85.2541</v>
      </c>
      <c r="DD168" s="2" t="n">
        <f aca="false">CX156</f>
        <v>-48.6085</v>
      </c>
      <c r="DE168" s="2" t="n">
        <f aca="false">CX154</f>
        <v>-71.0954</v>
      </c>
      <c r="DF168" s="2" t="n">
        <f aca="false">CX152</f>
        <v>-69.2624</v>
      </c>
      <c r="DG168" s="2" t="n">
        <f aca="false">CX150</f>
        <v>-87.8567</v>
      </c>
      <c r="DH168" s="2" t="n">
        <f aca="false">CX148</f>
        <v>-52.7181</v>
      </c>
      <c r="DI168" s="2" t="n">
        <f aca="false">CX146</f>
        <v>-73.4899</v>
      </c>
      <c r="DJ168" s="1" t="s">
        <v>175</v>
      </c>
      <c r="DK168" s="2" t="str">
        <f aca="false">DJ166</f>
        <v>LL</v>
      </c>
      <c r="DL168" s="2" t="str">
        <f aca="false">DJ164</f>
        <v>LL</v>
      </c>
      <c r="DM168" s="2" t="str">
        <f aca="false">DJ162</f>
        <v>LL</v>
      </c>
      <c r="DN168" s="2" t="str">
        <f aca="false">DJ160</f>
        <v>HL</v>
      </c>
      <c r="DO168" s="2" t="str">
        <f aca="false">DJ158</f>
        <v>HL</v>
      </c>
      <c r="DP168" s="2" t="str">
        <f aca="false">DJ156</f>
        <v>HL</v>
      </c>
      <c r="DQ168" s="2" t="str">
        <f aca="false">DJ154</f>
        <v>HL</v>
      </c>
      <c r="DR168" s="2" t="str">
        <f aca="false">DJ152</f>
        <v>LL</v>
      </c>
      <c r="DS168" s="2" t="str">
        <f aca="false">DJ150</f>
        <v>LL</v>
      </c>
      <c r="DT168" s="2" t="str">
        <f aca="false">DJ148</f>
        <v>HL</v>
      </c>
      <c r="DU168" s="2" t="str">
        <f aca="false">DJ146</f>
        <v>LL</v>
      </c>
      <c r="DV168" s="2" t="n">
        <f aca="false">IFERROR((G168-$F168)/$F168*100,"")</f>
        <v>-0.294263529338507</v>
      </c>
      <c r="DW168" s="2" t="n">
        <f aca="false">IFERROR((H168-$F168)/$F168*100,"")</f>
        <v>0.358988160508175</v>
      </c>
      <c r="DX168" s="2" t="n">
        <f aca="false">IFERROR((I168-$F168)/$F168*100,"")</f>
        <v>0.57273513835724</v>
      </c>
      <c r="DY168" s="2" t="n">
        <f aca="false">IFERROR((J168-$F168)/$F168*100,"")</f>
        <v>1.49978758755061</v>
      </c>
      <c r="DZ168" s="2" t="n">
        <f aca="false">IFERROR((K168-$F168)/$F168*100,"")</f>
        <v>1.26691236818751</v>
      </c>
      <c r="EA168" s="2" t="n">
        <f aca="false">IFERROR((L168-$F168)/$F168*100,"")</f>
        <v>1.2124191220137</v>
      </c>
      <c r="EB168" s="2" t="n">
        <f aca="false">IFERROR((M168-$F168)/$F168*100,"")</f>
        <v>0.187278829707495</v>
      </c>
      <c r="EC168" s="2" t="n">
        <f aca="false">IFERROR((N168-$F168)/$F168*100,"")</f>
        <v>-0.0898582508335234</v>
      </c>
      <c r="ED168" s="2" t="n">
        <f aca="false">IFERROR((O168-$F168)/$F168*100,"")</f>
        <v>0.255117360658531</v>
      </c>
      <c r="EE168" s="2" t="n">
        <f aca="false">IFERROR((P168-$F168)/$F168*100,"")</f>
        <v>0.502449971863695</v>
      </c>
      <c r="EF168" s="2" t="n">
        <f aca="false">IFERROR((Q168-$F168)/$F168*100,"")</f>
        <v>-0.161255524391844</v>
      </c>
      <c r="EG168" s="2" t="str">
        <f aca="false">IF(DV168="","",IF(AND(ABS(DV168)&lt;=0.25,$E168="Bottom",DK168="LL"),"EQL",IF(AND(ABS(DV168)&lt;=0.25,$E168="Peak",DK168="HH"),"EQH","")))</f>
        <v/>
      </c>
      <c r="EH168" s="2" t="str">
        <f aca="false">IF(DW168="","",IF(AND(ABS(DW168)&lt;=0.25,$E168="Bottom",DL168="LL"),"EQL",IF(AND(ABS(DW168)&lt;=0.25,$E168="Peak",DL168="HH"),"EQH","")))</f>
        <v/>
      </c>
      <c r="EI168" s="2" t="str">
        <f aca="false">IF(DX168="","",IF(AND(ABS(DX168)&lt;=0.25,$E168="Bottom",DM168="LL"),"EQL",IF(AND(ABS(DX168)&lt;=0.25,$E168="Peak",DM168="HH"),"EQH","")))</f>
        <v/>
      </c>
      <c r="EJ168" s="2" t="str">
        <f aca="false">IF(DY168="","",IF(AND(ABS(DY168)&lt;=0.25,$E168="Bottom",DN168="LL"),"EQL",IF(AND(ABS(DY168)&lt;=0.25,$E168="Peak",DN168="HH"),"EQH","")))</f>
        <v/>
      </c>
      <c r="EK168" s="2" t="str">
        <f aca="false">IF(DZ168="","",IF(AND(ABS(DZ168)&lt;=0.25,$E168="Bottom",DO168="LL"),"EQL",IF(AND(ABS(DZ168)&lt;=0.25,$E168="Peak",DO168="HH"),"EQH","")))</f>
        <v/>
      </c>
      <c r="EL168" s="2" t="str">
        <f aca="false">IF(EA168="","",IF(AND(ABS(EA168)&lt;=0.25,$E168="Bottom",DP168="LL"),"EQL",IF(AND(ABS(EA168)&lt;=0.25,$E168="Peak",DP168="HH"),"EQH","")))</f>
        <v/>
      </c>
      <c r="EM168" s="2" t="str">
        <f aca="false">IF(EB168="","",IF(AND(ABS(EB168)&lt;=0.25,$E168="Bottom",DQ168="LL"),"EQL",IF(AND(ABS(EB168)&lt;=0.25,$E168="Peak",DQ168="HH"),"EQH","")))</f>
        <v/>
      </c>
      <c r="EN168" s="2" t="str">
        <f aca="false">IF(EC168="","",IF(AND(ABS(EC168)&lt;=0.25,$E168="Bottom",DR168="LL"),"EQL",IF(AND(ABS(EC168)&lt;=0.25,$E168="Peak",DR168="HH"),"EQH","")))</f>
        <v>EQL</v>
      </c>
      <c r="EO168" s="2" t="str">
        <f aca="false">IF(ED168="","",IF(AND(ABS(ED168)&lt;=0.25,$E168="Bottom",DS168="LL"),"EQL",IF(AND(ABS(ED168)&lt;=0.25,$E168="Peak",DS168="HH"),"EQH","")))</f>
        <v/>
      </c>
      <c r="EP168" s="2" t="str">
        <f aca="false">IF(EE168="","",IF(AND(ABS(EE168)&lt;=0.25,$E168="Bottom",DT168="LL"),"EQL",IF(AND(ABS(EE168)&lt;=0.25,$E168="Peak",DT168="HH"),"EQH","")))</f>
        <v/>
      </c>
      <c r="EQ168" s="2" t="str">
        <f aca="false">IF(EF168="","",IF(AND(ABS(EF168)&lt;=0.25,$E168="Bottom",DU168="LL"),"EQL",IF(AND(ABS(EF168)&lt;=0.25,$E168="Peak",DU168="HH"),"EQH","")))</f>
        <v>EQL</v>
      </c>
      <c r="ER168" s="2" t="str">
        <f aca="false">IF(OR(EG168="EQL",EG168="EQH"),G168,"")</f>
        <v/>
      </c>
      <c r="ES168" s="2" t="str">
        <f aca="false">IF(OR(EH168="EQL",EH168="EQH"),H168,"")</f>
        <v/>
      </c>
      <c r="ET168" s="2" t="str">
        <f aca="false">IF(OR(EI168="EQL",EI168="EQH"),I168,"")</f>
        <v/>
      </c>
      <c r="EU168" s="2" t="str">
        <f aca="false">IF(OR(EJ168="EQL",EJ168="EQH"),J168,"")</f>
        <v/>
      </c>
      <c r="EV168" s="2" t="str">
        <f aca="false">IF(OR(EK168="EQL",EK168="EQH"),K168,"")</f>
        <v/>
      </c>
      <c r="EW168" s="2" t="str">
        <f aca="false">IF(OR(EL168="EQL",EL168="EQH"),L168,"")</f>
        <v/>
      </c>
      <c r="EX168" s="2" t="str">
        <f aca="false">IF(OR(EM168="EQL",EM168="EQH"),M168,"")</f>
        <v/>
      </c>
      <c r="EY168" s="2" t="n">
        <f aca="false">IF(OR(EN168="EQL",EN168="EQH"),N168,"")</f>
        <v>4491.93</v>
      </c>
      <c r="EZ168" s="2" t="str">
        <f aca="false">IF(OR(EO168="EQL",EO168="EQH"),O168,"")</f>
        <v/>
      </c>
      <c r="FA168" s="2" t="str">
        <f aca="false">IF(OR(EP168="EQL",EP168="EQH"),P168,"")</f>
        <v/>
      </c>
      <c r="FB168" s="2" t="n">
        <f aca="false">IF(OR(EQ168="EQL",EQ168="EQH"),Q168,"")</f>
        <v>4488.72</v>
      </c>
      <c r="FC168" s="2" t="str">
        <f aca="false">IF(AND(EG168="EQL",OR(AQ168=4,AQ168=5)),"IEQL",IF(AND(EG168="EQH",OR(AQ168=1,AQ168=2)),"IEQH",""))</f>
        <v/>
      </c>
      <c r="FD168" s="2" t="str">
        <f aca="false">IF(AND(EH168="EQL",OR(AR168=4,AR168=5)),"IEQL",IF(AND(EH168="EQH",OR(AR168=1,AR168=2)),"IEQH",""))</f>
        <v/>
      </c>
      <c r="FE168" s="2" t="str">
        <f aca="false">IF(AND(EI168="EQL",OR(AS168=4,AS168=5)),"IEQL",IF(AND(EI168="EQH",OR(AS168=1,AS168=2)),"IEQH",""))</f>
        <v/>
      </c>
      <c r="FF168" s="2" t="str">
        <f aca="false">IF(AND(EJ168="EQL",OR(AT168=4,AT168=5)),"IEQL",IF(AND(EJ168="EQH",OR(AT168=1,AT168=2)),"IEQH",""))</f>
        <v/>
      </c>
      <c r="FG168" s="2" t="str">
        <f aca="false">IF(AND(EK168="EQL",OR(AU168=4,AU168=5)),"IEQL",IF(AND(EK168="EQH",OR(AU168=1,AU168=2)),"IEQH",""))</f>
        <v/>
      </c>
      <c r="FH168" s="2" t="str">
        <f aca="false">IF(AND(EL168="EQL",OR(AV168=4,AV168=5)),"IEQL",IF(AND(EL168="EQH",OR(AV168=1,AV168=2)),"IEQH",""))</f>
        <v/>
      </c>
      <c r="FI168" s="2" t="str">
        <f aca="false">IF(AND(EM168="EQL",OR(AW168=4,AW168=5)),"IEQL",IF(AND(EM168="EQH",OR(AW168=1,AW168=2)),"IEQH",""))</f>
        <v/>
      </c>
      <c r="FJ168" s="2" t="str">
        <f aca="false">IF(AND(EN168="EQL",OR(AX168=4,AX168=5)),"IEQL",IF(AND(EN168="EQH",OR(AX168=1,AX168=2)),"IEQH",""))</f>
        <v/>
      </c>
      <c r="FK168" s="2" t="str">
        <f aca="false">IF(AND(EO168="EQL",OR(AY168=4,AY168=5)),"IEQL",IF(AND(EO168="EQH",OR(AY168=1,AY168=2)),"IEQH",""))</f>
        <v/>
      </c>
      <c r="FL168" s="2" t="str">
        <f aca="false">IF(AND(EP168="EQL",OR(AZ168=4,AZ168=5)),"IEQL",IF(AND(EP168="EQH",OR(AZ168=1,AZ168=2)),"IEQH",""))</f>
        <v/>
      </c>
      <c r="FM168" s="2" t="str">
        <f aca="false">IF(AND(EQ168="EQL",OR(BA168=4,BA168=5)),"IEQL",IF(AND(EQ168="EQH",OR(BA168=1,BA168=2)),"IEQH",""))</f>
        <v/>
      </c>
    </row>
    <row r="169" customFormat="false" ht="14.25" hidden="false" customHeight="false" outlineLevel="0" collapsed="false">
      <c r="A169" s="1" t="n">
        <v>1779857102</v>
      </c>
      <c r="B169" s="1" t="s">
        <v>169</v>
      </c>
      <c r="C169" s="1" t="s">
        <v>170</v>
      </c>
      <c r="D169" s="1" t="n">
        <v>4510.11</v>
      </c>
      <c r="E169" s="1" t="s">
        <v>173</v>
      </c>
      <c r="F169" s="1" t="n">
        <v>4517.18</v>
      </c>
      <c r="G169" s="2" t="n">
        <f aca="false">F167</f>
        <v>4537.84</v>
      </c>
      <c r="H169" s="2" t="n">
        <f aca="false">F165</f>
        <v>4540.53</v>
      </c>
      <c r="I169" s="2" t="n">
        <f aca="false">F163</f>
        <v>4539.01</v>
      </c>
      <c r="J169" s="2" t="n">
        <f aca="false">F161</f>
        <v>4580.28</v>
      </c>
      <c r="K169" s="2" t="n">
        <f aca="false">F159</f>
        <v>4577.8</v>
      </c>
      <c r="L169" s="2" t="n">
        <f aca="false">F157</f>
        <v>4577.02</v>
      </c>
      <c r="M169" s="2" t="n">
        <f aca="false">F155</f>
        <v>4579.98</v>
      </c>
      <c r="N169" s="2" t="n">
        <f aca="false">F153</f>
        <v>4527.75</v>
      </c>
      <c r="O169" s="2" t="n">
        <f aca="false">F151</f>
        <v>4536.83</v>
      </c>
      <c r="P169" s="2" t="n">
        <f aca="false">F149</f>
        <v>4534.16</v>
      </c>
      <c r="Q169" s="2" t="n">
        <f aca="false">F147</f>
        <v>4559.28</v>
      </c>
      <c r="R169" s="1" t="n">
        <v>21.21</v>
      </c>
      <c r="S169" s="2" t="n">
        <f aca="false">R167</f>
        <v>55.1</v>
      </c>
      <c r="T169" s="2" t="n">
        <f aca="false">R165</f>
        <v>28.42</v>
      </c>
      <c r="U169" s="2" t="n">
        <f aca="false">R163</f>
        <v>17.29</v>
      </c>
      <c r="V169" s="2" t="n">
        <f aca="false">R161</f>
        <v>16.88</v>
      </c>
      <c r="W169" s="2" t="n">
        <f aca="false">R159</f>
        <v>24.87</v>
      </c>
      <c r="X169" s="2" t="n">
        <f aca="false">R157</f>
        <v>26.54</v>
      </c>
      <c r="Y169" s="2" t="n">
        <f aca="false">R155</f>
        <v>75.59</v>
      </c>
      <c r="Z169" s="2" t="n">
        <f aca="false">R153</f>
        <v>35.82</v>
      </c>
      <c r="AA169" s="2" t="n">
        <f aca="false">R151</f>
        <v>29.39</v>
      </c>
      <c r="AB169" s="2" t="n">
        <f aca="false">R149</f>
        <v>15.6</v>
      </c>
      <c r="AC169" s="2" t="n">
        <f aca="false">R147</f>
        <v>70.56</v>
      </c>
      <c r="AD169" s="1" t="n">
        <v>0.47</v>
      </c>
      <c r="AE169" s="2" t="n">
        <f aca="false">AD167</f>
        <v>1.23</v>
      </c>
      <c r="AF169" s="2" t="n">
        <f aca="false">AD165</f>
        <v>0.63</v>
      </c>
      <c r="AG169" s="2" t="n">
        <f aca="false">AD163</f>
        <v>0.38</v>
      </c>
      <c r="AH169" s="2" t="n">
        <f aca="false">AD161</f>
        <v>0.37</v>
      </c>
      <c r="AI169" s="2" t="n">
        <f aca="false">AD159</f>
        <v>0.55</v>
      </c>
      <c r="AJ169" s="2" t="n">
        <f aca="false">AD157</f>
        <v>0.58</v>
      </c>
      <c r="AK169" s="2" t="n">
        <f aca="false">AD155</f>
        <v>1.68</v>
      </c>
      <c r="AL169" s="2" t="n">
        <f aca="false">AD153</f>
        <v>0.8</v>
      </c>
      <c r="AM169" s="2" t="n">
        <f aca="false">AD151</f>
        <v>0.65</v>
      </c>
      <c r="AN169" s="2" t="n">
        <f aca="false">AD149</f>
        <v>0.35</v>
      </c>
      <c r="AO169" s="2" t="n">
        <f aca="false">AD147</f>
        <v>1.57</v>
      </c>
      <c r="AP169" s="1" t="n">
        <v>0</v>
      </c>
      <c r="AQ169" s="2" t="n">
        <f aca="false">AP167</f>
        <v>0</v>
      </c>
      <c r="AR169" s="2" t="n">
        <f aca="false">AP165</f>
        <v>0</v>
      </c>
      <c r="AS169" s="2" t="n">
        <f aca="false">AP163</f>
        <v>0</v>
      </c>
      <c r="AT169" s="2" t="n">
        <f aca="false">AP161</f>
        <v>0</v>
      </c>
      <c r="AU169" s="2" t="n">
        <f aca="false">AP159</f>
        <v>0</v>
      </c>
      <c r="AV169" s="2" t="n">
        <f aca="false">AP157</f>
        <v>0</v>
      </c>
      <c r="AW169" s="2" t="n">
        <f aca="false">AP155</f>
        <v>0</v>
      </c>
      <c r="AX169" s="2" t="n">
        <f aca="false">AP153</f>
        <v>0</v>
      </c>
      <c r="AY169" s="2" t="n">
        <f aca="false">AP151</f>
        <v>0</v>
      </c>
      <c r="AZ169" s="2" t="n">
        <f aca="false">AP149</f>
        <v>0</v>
      </c>
      <c r="BA169" s="2" t="n">
        <f aca="false">AP147</f>
        <v>0</v>
      </c>
      <c r="BB169" s="1" t="n">
        <v>3</v>
      </c>
      <c r="BC169" s="2" t="n">
        <f aca="false">BB167</f>
        <v>12</v>
      </c>
      <c r="BD169" s="2" t="n">
        <f aca="false">BB165</f>
        <v>5</v>
      </c>
      <c r="BE169" s="2" t="n">
        <f aca="false">BB163</f>
        <v>1</v>
      </c>
      <c r="BF169" s="2" t="n">
        <f aca="false">BB161</f>
        <v>8</v>
      </c>
      <c r="BG169" s="2" t="n">
        <f aca="false">BB159</f>
        <v>19</v>
      </c>
      <c r="BH169" s="2" t="n">
        <f aca="false">BB157</f>
        <v>23</v>
      </c>
      <c r="BI169" s="2" t="n">
        <f aca="false">BB155</f>
        <v>12</v>
      </c>
      <c r="BJ169" s="2" t="n">
        <f aca="false">BB153</f>
        <v>13</v>
      </c>
      <c r="BK169" s="2" t="n">
        <f aca="false">BB151</f>
        <v>17</v>
      </c>
      <c r="BL169" s="2" t="n">
        <f aca="false">BB149</f>
        <v>12</v>
      </c>
      <c r="BM169" s="2" t="n">
        <f aca="false">BB147</f>
        <v>17</v>
      </c>
      <c r="BN169" s="1" t="n">
        <v>0</v>
      </c>
      <c r="BO169" s="2" t="n">
        <f aca="false">BN167</f>
        <v>0</v>
      </c>
      <c r="BP169" s="2" t="n">
        <f aca="false">BN165</f>
        <v>0</v>
      </c>
      <c r="BQ169" s="2" t="n">
        <f aca="false">BN163</f>
        <v>0</v>
      </c>
      <c r="BR169" s="2" t="n">
        <f aca="false">BN161</f>
        <v>0</v>
      </c>
      <c r="BS169" s="2" t="n">
        <f aca="false">BN159</f>
        <v>0</v>
      </c>
      <c r="BT169" s="2" t="n">
        <f aca="false">BN157</f>
        <v>0</v>
      </c>
      <c r="BU169" s="2" t="n">
        <f aca="false">BN155</f>
        <v>0</v>
      </c>
      <c r="BV169" s="2" t="n">
        <f aca="false">BN153</f>
        <v>0</v>
      </c>
      <c r="BW169" s="2" t="n">
        <f aca="false">BN151</f>
        <v>0</v>
      </c>
      <c r="BX169" s="2" t="n">
        <f aca="false">BN149</f>
        <v>0</v>
      </c>
      <c r="BY169" s="2" t="n">
        <f aca="false">BN147</f>
        <v>0</v>
      </c>
      <c r="BZ169" s="1" t="n">
        <v>7.07</v>
      </c>
      <c r="CA169" s="2" t="n">
        <f aca="false">BZ167</f>
        <v>4.59167</v>
      </c>
      <c r="CB169" s="2" t="n">
        <f aca="false">BZ165</f>
        <v>5.684</v>
      </c>
      <c r="CC169" s="2" t="n">
        <f aca="false">BZ163</f>
        <v>17.29</v>
      </c>
      <c r="CD169" s="2" t="n">
        <f aca="false">BZ161</f>
        <v>2.11</v>
      </c>
      <c r="CE169" s="2" t="n">
        <f aca="false">BZ159</f>
        <v>1.30895</v>
      </c>
      <c r="CF169" s="2" t="n">
        <f aca="false">BZ157</f>
        <v>1.15391</v>
      </c>
      <c r="CG169" s="2" t="n">
        <f aca="false">BZ155</f>
        <v>6.29917</v>
      </c>
      <c r="CH169" s="2" t="n">
        <f aca="false">BZ153</f>
        <v>2.75538</v>
      </c>
      <c r="CI169" s="2" t="n">
        <f aca="false">BZ151</f>
        <v>1.72882</v>
      </c>
      <c r="CJ169" s="2" t="n">
        <f aca="false">BZ149</f>
        <v>1.3</v>
      </c>
      <c r="CK169" s="2" t="n">
        <f aca="false">BZ147</f>
        <v>4.15059</v>
      </c>
      <c r="CL169" s="1" t="n">
        <v>0</v>
      </c>
      <c r="CM169" s="2" t="n">
        <f aca="false">CL167</f>
        <v>0</v>
      </c>
      <c r="CN169" s="2" t="n">
        <f aca="false">CL165</f>
        <v>0</v>
      </c>
      <c r="CO169" s="2" t="n">
        <f aca="false">CL163</f>
        <v>2</v>
      </c>
      <c r="CP169" s="2" t="n">
        <f aca="false">CL161</f>
        <v>0</v>
      </c>
      <c r="CQ169" s="2" t="n">
        <f aca="false">CL159</f>
        <v>0</v>
      </c>
      <c r="CR169" s="2" t="n">
        <f aca="false">CL157</f>
        <v>0</v>
      </c>
      <c r="CS169" s="2" t="n">
        <f aca="false">CL155</f>
        <v>0</v>
      </c>
      <c r="CT169" s="2" t="n">
        <f aca="false">CL153</f>
        <v>0</v>
      </c>
      <c r="CU169" s="2" t="n">
        <f aca="false">CL151</f>
        <v>0</v>
      </c>
      <c r="CV169" s="2" t="n">
        <f aca="false">CL149</f>
        <v>0</v>
      </c>
      <c r="CW169" s="2" t="n">
        <f aca="false">CL147</f>
        <v>0</v>
      </c>
      <c r="CX169" s="1" t="n">
        <v>81.9493</v>
      </c>
      <c r="CY169" s="2" t="n">
        <f aca="false">CX167</f>
        <v>77.7136</v>
      </c>
      <c r="CZ169" s="2" t="n">
        <f aca="false">CX165</f>
        <v>80.0219</v>
      </c>
      <c r="DA169" s="2" t="n">
        <f aca="false">CX163</f>
        <v>86.6899</v>
      </c>
      <c r="DB169" s="2" t="n">
        <f aca="false">CX161</f>
        <v>64.6422</v>
      </c>
      <c r="DC169" s="2" t="n">
        <f aca="false">CX159</f>
        <v>52.6212</v>
      </c>
      <c r="DD169" s="2" t="n">
        <f aca="false">CX157</f>
        <v>49.0873</v>
      </c>
      <c r="DE169" s="2" t="n">
        <f aca="false">CX155</f>
        <v>80.9795</v>
      </c>
      <c r="DF169" s="2" t="n">
        <f aca="false">CX153</f>
        <v>70.0529</v>
      </c>
      <c r="DG169" s="2" t="n">
        <f aca="false">CX151</f>
        <v>59.9537</v>
      </c>
      <c r="DH169" s="2" t="n">
        <f aca="false">CX149</f>
        <v>52.4314</v>
      </c>
      <c r="DI169" s="2" t="n">
        <f aca="false">CX147</f>
        <v>76.4539</v>
      </c>
      <c r="DJ169" s="1" t="s">
        <v>174</v>
      </c>
      <c r="DK169" s="2" t="str">
        <f aca="false">DJ167</f>
        <v>LH</v>
      </c>
      <c r="DL169" s="2" t="str">
        <f aca="false">DJ165</f>
        <v>HH</v>
      </c>
      <c r="DM169" s="2" t="str">
        <f aca="false">DJ163</f>
        <v>LH</v>
      </c>
      <c r="DN169" s="2" t="str">
        <f aca="false">DJ161</f>
        <v>HH</v>
      </c>
      <c r="DO169" s="2" t="str">
        <f aca="false">DJ159</f>
        <v>HH</v>
      </c>
      <c r="DP169" s="2" t="str">
        <f aca="false">DJ157</f>
        <v>LH</v>
      </c>
      <c r="DQ169" s="2" t="str">
        <f aca="false">DJ155</f>
        <v>HH</v>
      </c>
      <c r="DR169" s="2" t="str">
        <f aca="false">DJ153</f>
        <v>LH</v>
      </c>
      <c r="DS169" s="2" t="str">
        <f aca="false">DJ151</f>
        <v>HH</v>
      </c>
      <c r="DT169" s="2" t="str">
        <f aca="false">DJ149</f>
        <v>LH</v>
      </c>
      <c r="DU169" s="2" t="str">
        <f aca="false">DJ147</f>
        <v>HH</v>
      </c>
      <c r="DV169" s="2" t="n">
        <f aca="false">IFERROR((G169-$F169)/$F169*100,"")</f>
        <v>0.457364993203721</v>
      </c>
      <c r="DW169" s="2" t="n">
        <f aca="false">IFERROR((H169-$F169)/$F169*100,"")</f>
        <v>0.516915420682803</v>
      </c>
      <c r="DX169" s="2" t="n">
        <f aca="false">IFERROR((I169-$F169)/$F169*100,"")</f>
        <v>0.48326610850132</v>
      </c>
      <c r="DY169" s="2" t="n">
        <f aca="false">IFERROR((J169-$F169)/$F169*100,"")</f>
        <v>1.39688920963963</v>
      </c>
      <c r="DZ169" s="2" t="n">
        <f aca="false">IFERROR((K169-$F169)/$F169*100,"")</f>
        <v>1.34198770029089</v>
      </c>
      <c r="EA169" s="2" t="n">
        <f aca="false">IFERROR((L169-$F169)/$F169*100,"")</f>
        <v>1.32472029009249</v>
      </c>
      <c r="EB169" s="2" t="n">
        <f aca="false">IFERROR((M169-$F169)/$F169*100,"")</f>
        <v>1.39024789802486</v>
      </c>
      <c r="EC169" s="2" t="n">
        <f aca="false">IFERROR((N169-$F169)/$F169*100,"")</f>
        <v>0.233995545893671</v>
      </c>
      <c r="ED169" s="2" t="n">
        <f aca="false">IFERROR((O169-$F169)/$F169*100,"")</f>
        <v>0.435005910767329</v>
      </c>
      <c r="EE169" s="2" t="n">
        <f aca="false">IFERROR((P169-$F169)/$F169*100,"")</f>
        <v>0.375898237395888</v>
      </c>
      <c r="EF169" s="2" t="n">
        <f aca="false">IFERROR((Q169-$F169)/$F169*100,"")</f>
        <v>0.931997396605835</v>
      </c>
      <c r="EG169" s="2" t="str">
        <f aca="false">IF(DV169="","",IF(AND(ABS(DV169)&lt;=0.25,$E169="Bottom",DK169="LL"),"EQL",IF(AND(ABS(DV169)&lt;=0.25,$E169="Peak",DK169="HH"),"EQH","")))</f>
        <v/>
      </c>
      <c r="EH169" s="2" t="str">
        <f aca="false">IF(DW169="","",IF(AND(ABS(DW169)&lt;=0.25,$E169="Bottom",DL169="LL"),"EQL",IF(AND(ABS(DW169)&lt;=0.25,$E169="Peak",DL169="HH"),"EQH","")))</f>
        <v/>
      </c>
      <c r="EI169" s="2" t="str">
        <f aca="false">IF(DX169="","",IF(AND(ABS(DX169)&lt;=0.25,$E169="Bottom",DM169="LL"),"EQL",IF(AND(ABS(DX169)&lt;=0.25,$E169="Peak",DM169="HH"),"EQH","")))</f>
        <v/>
      </c>
      <c r="EJ169" s="2" t="str">
        <f aca="false">IF(DY169="","",IF(AND(ABS(DY169)&lt;=0.25,$E169="Bottom",DN169="LL"),"EQL",IF(AND(ABS(DY169)&lt;=0.25,$E169="Peak",DN169="HH"),"EQH","")))</f>
        <v/>
      </c>
      <c r="EK169" s="2" t="str">
        <f aca="false">IF(DZ169="","",IF(AND(ABS(DZ169)&lt;=0.25,$E169="Bottom",DO169="LL"),"EQL",IF(AND(ABS(DZ169)&lt;=0.25,$E169="Peak",DO169="HH"),"EQH","")))</f>
        <v/>
      </c>
      <c r="EL169" s="2" t="str">
        <f aca="false">IF(EA169="","",IF(AND(ABS(EA169)&lt;=0.25,$E169="Bottom",DP169="LL"),"EQL",IF(AND(ABS(EA169)&lt;=0.25,$E169="Peak",DP169="HH"),"EQH","")))</f>
        <v/>
      </c>
      <c r="EM169" s="2" t="str">
        <f aca="false">IF(EB169="","",IF(AND(ABS(EB169)&lt;=0.25,$E169="Bottom",DQ169="LL"),"EQL",IF(AND(ABS(EB169)&lt;=0.25,$E169="Peak",DQ169="HH"),"EQH","")))</f>
        <v/>
      </c>
      <c r="EN169" s="2" t="str">
        <f aca="false">IF(EC169="","",IF(AND(ABS(EC169)&lt;=0.25,$E169="Bottom",DR169="LL"),"EQL",IF(AND(ABS(EC169)&lt;=0.25,$E169="Peak",DR169="HH"),"EQH","")))</f>
        <v/>
      </c>
      <c r="EO169" s="2" t="str">
        <f aca="false">IF(ED169="","",IF(AND(ABS(ED169)&lt;=0.25,$E169="Bottom",DS169="LL"),"EQL",IF(AND(ABS(ED169)&lt;=0.25,$E169="Peak",DS169="HH"),"EQH","")))</f>
        <v/>
      </c>
      <c r="EP169" s="2" t="str">
        <f aca="false">IF(EE169="","",IF(AND(ABS(EE169)&lt;=0.25,$E169="Bottom",DT169="LL"),"EQL",IF(AND(ABS(EE169)&lt;=0.25,$E169="Peak",DT169="HH"),"EQH","")))</f>
        <v/>
      </c>
      <c r="EQ169" s="2" t="str">
        <f aca="false">IF(EF169="","",IF(AND(ABS(EF169)&lt;=0.25,$E169="Bottom",DU169="LL"),"EQL",IF(AND(ABS(EF169)&lt;=0.25,$E169="Peak",DU169="HH"),"EQH","")))</f>
        <v/>
      </c>
      <c r="ER169" s="2" t="str">
        <f aca="false">IF(OR(EG169="EQL",EG169="EQH"),G169,"")</f>
        <v/>
      </c>
      <c r="ES169" s="2" t="str">
        <f aca="false">IF(OR(EH169="EQL",EH169="EQH"),H169,"")</f>
        <v/>
      </c>
      <c r="ET169" s="2" t="str">
        <f aca="false">IF(OR(EI169="EQL",EI169="EQH"),I169,"")</f>
        <v/>
      </c>
      <c r="EU169" s="2" t="str">
        <f aca="false">IF(OR(EJ169="EQL",EJ169="EQH"),J169,"")</f>
        <v/>
      </c>
      <c r="EV169" s="2" t="str">
        <f aca="false">IF(OR(EK169="EQL",EK169="EQH"),K169,"")</f>
        <v/>
      </c>
      <c r="EW169" s="2" t="str">
        <f aca="false">IF(OR(EL169="EQL",EL169="EQH"),L169,"")</f>
        <v/>
      </c>
      <c r="EX169" s="2" t="str">
        <f aca="false">IF(OR(EM169="EQL",EM169="EQH"),M169,"")</f>
        <v/>
      </c>
      <c r="EY169" s="2" t="str">
        <f aca="false">IF(OR(EN169="EQL",EN169="EQH"),N169,"")</f>
        <v/>
      </c>
      <c r="EZ169" s="2" t="str">
        <f aca="false">IF(OR(EO169="EQL",EO169="EQH"),O169,"")</f>
        <v/>
      </c>
      <c r="FA169" s="2" t="str">
        <f aca="false">IF(OR(EP169="EQL",EP169="EQH"),P169,"")</f>
        <v/>
      </c>
      <c r="FB169" s="2" t="str">
        <f aca="false">IF(OR(EQ169="EQL",EQ169="EQH"),Q169,"")</f>
        <v/>
      </c>
      <c r="FC169" s="2" t="str">
        <f aca="false">IF(AND(EG169="EQL",OR(AQ169=4,AQ169=5)),"IEQL",IF(AND(EG169="EQH",OR(AQ169=1,AQ169=2)),"IEQH",""))</f>
        <v/>
      </c>
      <c r="FD169" s="2" t="str">
        <f aca="false">IF(AND(EH169="EQL",OR(AR169=4,AR169=5)),"IEQL",IF(AND(EH169="EQH",OR(AR169=1,AR169=2)),"IEQH",""))</f>
        <v/>
      </c>
      <c r="FE169" s="2" t="str">
        <f aca="false">IF(AND(EI169="EQL",OR(AS169=4,AS169=5)),"IEQL",IF(AND(EI169="EQH",OR(AS169=1,AS169=2)),"IEQH",""))</f>
        <v/>
      </c>
      <c r="FF169" s="2" t="str">
        <f aca="false">IF(AND(EJ169="EQL",OR(AT169=4,AT169=5)),"IEQL",IF(AND(EJ169="EQH",OR(AT169=1,AT169=2)),"IEQH",""))</f>
        <v/>
      </c>
      <c r="FG169" s="2" t="str">
        <f aca="false">IF(AND(EK169="EQL",OR(AU169=4,AU169=5)),"IEQL",IF(AND(EK169="EQH",OR(AU169=1,AU169=2)),"IEQH",""))</f>
        <v/>
      </c>
      <c r="FH169" s="2" t="str">
        <f aca="false">IF(AND(EL169="EQL",OR(AV169=4,AV169=5)),"IEQL",IF(AND(EL169="EQH",OR(AV169=1,AV169=2)),"IEQH",""))</f>
        <v/>
      </c>
      <c r="FI169" s="2" t="str">
        <f aca="false">IF(AND(EM169="EQL",OR(AW169=4,AW169=5)),"IEQL",IF(AND(EM169="EQH",OR(AW169=1,AW169=2)),"IEQH",""))</f>
        <v/>
      </c>
      <c r="FJ169" s="2" t="str">
        <f aca="false">IF(AND(EN169="EQL",OR(AX169=4,AX169=5)),"IEQL",IF(AND(EN169="EQH",OR(AX169=1,AX169=2)),"IEQH",""))</f>
        <v/>
      </c>
      <c r="FK169" s="2" t="str">
        <f aca="false">IF(AND(EO169="EQL",OR(AY169=4,AY169=5)),"IEQL",IF(AND(EO169="EQH",OR(AY169=1,AY169=2)),"IEQH",""))</f>
        <v/>
      </c>
      <c r="FL169" s="2" t="str">
        <f aca="false">IF(AND(EP169="EQL",OR(AZ169=4,AZ169=5)),"IEQL",IF(AND(EP169="EQH",OR(AZ169=1,AZ169=2)),"IEQH",""))</f>
        <v/>
      </c>
      <c r="FM169" s="2" t="str">
        <f aca="false">IF(AND(EQ169="EQL",OR(BA169=4,BA169=5)),"IEQL",IF(AND(EQ169="EQH",OR(BA169=1,BA169=2)),"IEQH",""))</f>
        <v/>
      </c>
    </row>
    <row r="170" customFormat="false" ht="14.25" hidden="false" customHeight="false" outlineLevel="0" collapsed="false">
      <c r="A170" s="1" t="n">
        <v>1779887702</v>
      </c>
      <c r="B170" s="1" t="s">
        <v>169</v>
      </c>
      <c r="C170" s="1" t="s">
        <v>170</v>
      </c>
      <c r="D170" s="1" t="n">
        <v>4404.89</v>
      </c>
      <c r="E170" s="1" t="s">
        <v>171</v>
      </c>
      <c r="F170" s="1" t="n">
        <v>4401.5</v>
      </c>
      <c r="G170" s="2" t="n">
        <f aca="false">F168</f>
        <v>4495.97</v>
      </c>
      <c r="H170" s="2" t="n">
        <f aca="false">F166</f>
        <v>4482.74</v>
      </c>
      <c r="I170" s="2" t="n">
        <f aca="false">F164</f>
        <v>4512.11</v>
      </c>
      <c r="J170" s="2" t="n">
        <f aca="false">F162</f>
        <v>4521.72</v>
      </c>
      <c r="K170" s="2" t="n">
        <f aca="false">F160</f>
        <v>4563.4</v>
      </c>
      <c r="L170" s="2" t="n">
        <f aca="false">F158</f>
        <v>4552.93</v>
      </c>
      <c r="M170" s="2" t="n">
        <f aca="false">F156</f>
        <v>4550.48</v>
      </c>
      <c r="N170" s="2" t="n">
        <f aca="false">F154</f>
        <v>4504.39</v>
      </c>
      <c r="O170" s="2" t="n">
        <f aca="false">F152</f>
        <v>4491.93</v>
      </c>
      <c r="P170" s="2" t="n">
        <f aca="false">F150</f>
        <v>4507.44</v>
      </c>
      <c r="Q170" s="2" t="n">
        <f aca="false">F148</f>
        <v>4518.56</v>
      </c>
      <c r="R170" s="1" t="n">
        <v>-115.68</v>
      </c>
      <c r="S170" s="2" t="n">
        <f aca="false">R168</f>
        <v>-41.87</v>
      </c>
      <c r="T170" s="2" t="n">
        <f aca="false">R166</f>
        <v>-57.79</v>
      </c>
      <c r="U170" s="2" t="n">
        <f aca="false">R164</f>
        <v>-26.9</v>
      </c>
      <c r="V170" s="2" t="n">
        <f aca="false">R162</f>
        <v>-58.56</v>
      </c>
      <c r="W170" s="2" t="n">
        <f aca="false">R160</f>
        <v>-14.4</v>
      </c>
      <c r="X170" s="2" t="n">
        <f aca="false">R158</f>
        <v>-24.09</v>
      </c>
      <c r="Y170" s="2" t="n">
        <f aca="false">R156</f>
        <v>-29.5</v>
      </c>
      <c r="Z170" s="2" t="n">
        <f aca="false">R154</f>
        <v>-23.36</v>
      </c>
      <c r="AA170" s="2" t="n">
        <f aca="false">R152</f>
        <v>-44.9</v>
      </c>
      <c r="AB170" s="2" t="n">
        <f aca="false">R150</f>
        <v>-26.72</v>
      </c>
      <c r="AC170" s="2" t="n">
        <f aca="false">R148</f>
        <v>-40.72</v>
      </c>
      <c r="AD170" s="1" t="n">
        <v>-2.56</v>
      </c>
      <c r="AE170" s="2" t="n">
        <f aca="false">AD168</f>
        <v>-0.92</v>
      </c>
      <c r="AF170" s="2" t="n">
        <f aca="false">AD166</f>
        <v>-1.27</v>
      </c>
      <c r="AG170" s="2" t="n">
        <f aca="false">AD164</f>
        <v>-0.59</v>
      </c>
      <c r="AH170" s="2" t="n">
        <f aca="false">AD162</f>
        <v>-1.28</v>
      </c>
      <c r="AI170" s="2" t="n">
        <f aca="false">AD160</f>
        <v>-0.31</v>
      </c>
      <c r="AJ170" s="2" t="n">
        <f aca="false">AD158</f>
        <v>-0.53</v>
      </c>
      <c r="AK170" s="2" t="n">
        <f aca="false">AD156</f>
        <v>-0.64</v>
      </c>
      <c r="AL170" s="2" t="n">
        <f aca="false">AD154</f>
        <v>-0.52</v>
      </c>
      <c r="AM170" s="2" t="n">
        <f aca="false">AD152</f>
        <v>-0.99</v>
      </c>
      <c r="AN170" s="2" t="n">
        <f aca="false">AD150</f>
        <v>-0.59</v>
      </c>
      <c r="AO170" s="2" t="n">
        <f aca="false">AD148</f>
        <v>-0.89</v>
      </c>
      <c r="AP170" s="1" t="n">
        <v>5</v>
      </c>
      <c r="AQ170" s="2" t="n">
        <f aca="false">AP168</f>
        <v>3</v>
      </c>
      <c r="AR170" s="2" t="n">
        <f aca="false">AP166</f>
        <v>3</v>
      </c>
      <c r="AS170" s="2" t="n">
        <f aca="false">AP164</f>
        <v>3</v>
      </c>
      <c r="AT170" s="2" t="n">
        <f aca="false">AP162</f>
        <v>3</v>
      </c>
      <c r="AU170" s="2" t="n">
        <f aca="false">AP160</f>
        <v>3</v>
      </c>
      <c r="AV170" s="2" t="n">
        <f aca="false">AP158</f>
        <v>3</v>
      </c>
      <c r="AW170" s="2" t="n">
        <f aca="false">AP156</f>
        <v>3</v>
      </c>
      <c r="AX170" s="2" t="n">
        <f aca="false">AP154</f>
        <v>3</v>
      </c>
      <c r="AY170" s="2" t="n">
        <f aca="false">AP152</f>
        <v>3</v>
      </c>
      <c r="AZ170" s="2" t="n">
        <f aca="false">AP150</f>
        <v>3</v>
      </c>
      <c r="BA170" s="2" t="n">
        <f aca="false">AP148</f>
        <v>3</v>
      </c>
      <c r="BB170" s="1" t="n">
        <v>34</v>
      </c>
      <c r="BC170" s="2" t="n">
        <f aca="false">BB168</f>
        <v>24</v>
      </c>
      <c r="BD170" s="2" t="n">
        <f aca="false">BB166</f>
        <v>29</v>
      </c>
      <c r="BE170" s="2" t="n">
        <f aca="false">BB164</f>
        <v>7</v>
      </c>
      <c r="BF170" s="2" t="n">
        <f aca="false">BB162</f>
        <v>33</v>
      </c>
      <c r="BG170" s="2" t="n">
        <f aca="false">BB160</f>
        <v>3</v>
      </c>
      <c r="BH170" s="2" t="n">
        <f aca="false">BB158</f>
        <v>2</v>
      </c>
      <c r="BI170" s="2" t="n">
        <f aca="false">BB156</f>
        <v>26</v>
      </c>
      <c r="BJ170" s="2" t="n">
        <f aca="false">BB154</f>
        <v>8</v>
      </c>
      <c r="BK170" s="2" t="n">
        <f aca="false">BB152</f>
        <v>17</v>
      </c>
      <c r="BL170" s="2" t="n">
        <f aca="false">BB150</f>
        <v>1</v>
      </c>
      <c r="BM170" s="2" t="n">
        <f aca="false">BB148</f>
        <v>31</v>
      </c>
      <c r="BN170" s="1" t="n">
        <v>4</v>
      </c>
      <c r="BO170" s="2" t="n">
        <f aca="false">BN168</f>
        <v>3</v>
      </c>
      <c r="BP170" s="2" t="n">
        <f aca="false">BN166</f>
        <v>3</v>
      </c>
      <c r="BQ170" s="2" t="n">
        <f aca="false">BN164</f>
        <v>3</v>
      </c>
      <c r="BR170" s="2" t="n">
        <f aca="false">BN162</f>
        <v>4</v>
      </c>
      <c r="BS170" s="2" t="n">
        <f aca="false">BN160</f>
        <v>3</v>
      </c>
      <c r="BT170" s="2" t="n">
        <f aca="false">BN158</f>
        <v>3</v>
      </c>
      <c r="BU170" s="2" t="n">
        <f aca="false">BN156</f>
        <v>3</v>
      </c>
      <c r="BV170" s="2" t="n">
        <f aca="false">BN154</f>
        <v>3</v>
      </c>
      <c r="BW170" s="2" t="n">
        <f aca="false">BN152</f>
        <v>3</v>
      </c>
      <c r="BX170" s="2" t="n">
        <f aca="false">BN150</f>
        <v>3</v>
      </c>
      <c r="BY170" s="2" t="n">
        <f aca="false">BN148</f>
        <v>3</v>
      </c>
      <c r="BZ170" s="1" t="n">
        <v>-3.40235</v>
      </c>
      <c r="CA170" s="2" t="n">
        <f aca="false">BZ168</f>
        <v>-1.74458</v>
      </c>
      <c r="CB170" s="2" t="n">
        <f aca="false">BZ166</f>
        <v>-1.99276</v>
      </c>
      <c r="CC170" s="2" t="n">
        <f aca="false">BZ164</f>
        <v>-3.84286</v>
      </c>
      <c r="CD170" s="2" t="n">
        <f aca="false">BZ162</f>
        <v>-1.77455</v>
      </c>
      <c r="CE170" s="2" t="n">
        <f aca="false">BZ160</f>
        <v>-4.8</v>
      </c>
      <c r="CF170" s="2" t="n">
        <f aca="false">BZ158</f>
        <v>-12.045</v>
      </c>
      <c r="CG170" s="2" t="n">
        <f aca="false">BZ156</f>
        <v>-1.13462</v>
      </c>
      <c r="CH170" s="2" t="n">
        <f aca="false">BZ154</f>
        <v>-2.92</v>
      </c>
      <c r="CI170" s="2" t="n">
        <f aca="false">BZ152</f>
        <v>-2.64118</v>
      </c>
      <c r="CJ170" s="2" t="n">
        <f aca="false">BZ150</f>
        <v>-26.72</v>
      </c>
      <c r="CK170" s="2" t="n">
        <f aca="false">BZ148</f>
        <v>-1.31355</v>
      </c>
      <c r="CL170" s="1" t="n">
        <v>3</v>
      </c>
      <c r="CM170" s="2" t="n">
        <f aca="false">CL168</f>
        <v>3</v>
      </c>
      <c r="CN170" s="2" t="n">
        <f aca="false">CL166</f>
        <v>3</v>
      </c>
      <c r="CO170" s="2" t="n">
        <f aca="false">CL164</f>
        <v>3</v>
      </c>
      <c r="CP170" s="2" t="n">
        <f aca="false">CL162</f>
        <v>3</v>
      </c>
      <c r="CQ170" s="2" t="n">
        <f aca="false">CL160</f>
        <v>3</v>
      </c>
      <c r="CR170" s="2" t="n">
        <f aca="false">CL158</f>
        <v>4</v>
      </c>
      <c r="CS170" s="2" t="n">
        <f aca="false">CL156</f>
        <v>3</v>
      </c>
      <c r="CT170" s="2" t="n">
        <f aca="false">CL154</f>
        <v>3</v>
      </c>
      <c r="CU170" s="2" t="n">
        <f aca="false">CL152</f>
        <v>3</v>
      </c>
      <c r="CV170" s="2" t="n">
        <f aca="false">CL150</f>
        <v>5</v>
      </c>
      <c r="CW170" s="2" t="n">
        <f aca="false">CL148</f>
        <v>3</v>
      </c>
      <c r="CX170" s="1" t="n">
        <v>-73.6212</v>
      </c>
      <c r="CY170" s="2" t="n">
        <f aca="false">CX168</f>
        <v>-60.1785</v>
      </c>
      <c r="CZ170" s="2" t="n">
        <f aca="false">CX166</f>
        <v>-63.3517</v>
      </c>
      <c r="DA170" s="2" t="n">
        <f aca="false">CX164</f>
        <v>-75.4138</v>
      </c>
      <c r="DB170" s="2" t="n">
        <f aca="false">CX162</f>
        <v>-60.5977</v>
      </c>
      <c r="DC170" s="2" t="n">
        <f aca="false">CX160</f>
        <v>-78.2317</v>
      </c>
      <c r="DD170" s="2" t="n">
        <f aca="false">CX158</f>
        <v>-85.2541</v>
      </c>
      <c r="DE170" s="2" t="n">
        <f aca="false">CX156</f>
        <v>-48.6085</v>
      </c>
      <c r="DF170" s="2" t="n">
        <f aca="false">CX154</f>
        <v>-71.0954</v>
      </c>
      <c r="DG170" s="2" t="n">
        <f aca="false">CX152</f>
        <v>-69.2624</v>
      </c>
      <c r="DH170" s="2" t="n">
        <f aca="false">CX150</f>
        <v>-87.8567</v>
      </c>
      <c r="DI170" s="2" t="n">
        <f aca="false">CX148</f>
        <v>-52.7181</v>
      </c>
      <c r="DJ170" s="1" t="s">
        <v>172</v>
      </c>
      <c r="DK170" s="2" t="str">
        <f aca="false">DJ168</f>
        <v>HL</v>
      </c>
      <c r="DL170" s="2" t="str">
        <f aca="false">DJ166</f>
        <v>LL</v>
      </c>
      <c r="DM170" s="2" t="str">
        <f aca="false">DJ164</f>
        <v>LL</v>
      </c>
      <c r="DN170" s="2" t="str">
        <f aca="false">DJ162</f>
        <v>LL</v>
      </c>
      <c r="DO170" s="2" t="str">
        <f aca="false">DJ160</f>
        <v>HL</v>
      </c>
      <c r="DP170" s="2" t="str">
        <f aca="false">DJ158</f>
        <v>HL</v>
      </c>
      <c r="DQ170" s="2" t="str">
        <f aca="false">DJ156</f>
        <v>HL</v>
      </c>
      <c r="DR170" s="2" t="str">
        <f aca="false">DJ154</f>
        <v>HL</v>
      </c>
      <c r="DS170" s="2" t="str">
        <f aca="false">DJ152</f>
        <v>LL</v>
      </c>
      <c r="DT170" s="2" t="str">
        <f aca="false">DJ150</f>
        <v>LL</v>
      </c>
      <c r="DU170" s="2" t="str">
        <f aca="false">DJ148</f>
        <v>HL</v>
      </c>
      <c r="DV170" s="2" t="n">
        <f aca="false">IFERROR((G170-$F170)/$F170*100,"")</f>
        <v>2.14631375667387</v>
      </c>
      <c r="DW170" s="2" t="n">
        <f aca="false">IFERROR((H170-$F170)/$F170*100,"")</f>
        <v>1.84573440872429</v>
      </c>
      <c r="DX170" s="2" t="n">
        <f aca="false">IFERROR((I170-$F170)/$F170*100,"")</f>
        <v>2.51300692945586</v>
      </c>
      <c r="DY170" s="2" t="n">
        <f aca="false">IFERROR((J170-$F170)/$F170*100,"")</f>
        <v>2.73134158809497</v>
      </c>
      <c r="DZ170" s="2" t="n">
        <f aca="false">IFERROR((K170-$F170)/$F170*100,"")</f>
        <v>3.67829149153697</v>
      </c>
      <c r="EA170" s="2" t="n">
        <f aca="false">IFERROR((L170-$F170)/$F170*100,"")</f>
        <v>3.44041803930479</v>
      </c>
      <c r="EB170" s="2" t="n">
        <f aca="false">IFERROR((M170-$F170)/$F170*100,"")</f>
        <v>3.38475519709189</v>
      </c>
      <c r="EC170" s="2" t="n">
        <f aca="false">IFERROR((N170-$F170)/$F170*100,"")</f>
        <v>2.33761217766671</v>
      </c>
      <c r="ED170" s="2" t="n">
        <f aca="false">IFERROR((O170-$F170)/$F170*100,"")</f>
        <v>2.0545268658412</v>
      </c>
      <c r="EE170" s="2" t="n">
        <f aca="false">IFERROR((P170-$F170)/$F170*100,"")</f>
        <v>2.40690673633988</v>
      </c>
      <c r="EF170" s="2" t="n">
        <f aca="false">IFERROR((Q170-$F170)/$F170*100,"")</f>
        <v>2.65954788140408</v>
      </c>
      <c r="EG170" s="2" t="str">
        <f aca="false">IF(DV170="","",IF(AND(ABS(DV170)&lt;=0.25,$E170="Bottom",DK170="LL"),"EQL",IF(AND(ABS(DV170)&lt;=0.25,$E170="Peak",DK170="HH"),"EQH","")))</f>
        <v/>
      </c>
      <c r="EH170" s="2" t="str">
        <f aca="false">IF(DW170="","",IF(AND(ABS(DW170)&lt;=0.25,$E170="Bottom",DL170="LL"),"EQL",IF(AND(ABS(DW170)&lt;=0.25,$E170="Peak",DL170="HH"),"EQH","")))</f>
        <v/>
      </c>
      <c r="EI170" s="2" t="str">
        <f aca="false">IF(DX170="","",IF(AND(ABS(DX170)&lt;=0.25,$E170="Bottom",DM170="LL"),"EQL",IF(AND(ABS(DX170)&lt;=0.25,$E170="Peak",DM170="HH"),"EQH","")))</f>
        <v/>
      </c>
      <c r="EJ170" s="2" t="str">
        <f aca="false">IF(DY170="","",IF(AND(ABS(DY170)&lt;=0.25,$E170="Bottom",DN170="LL"),"EQL",IF(AND(ABS(DY170)&lt;=0.25,$E170="Peak",DN170="HH"),"EQH","")))</f>
        <v/>
      </c>
      <c r="EK170" s="2" t="str">
        <f aca="false">IF(DZ170="","",IF(AND(ABS(DZ170)&lt;=0.25,$E170="Bottom",DO170="LL"),"EQL",IF(AND(ABS(DZ170)&lt;=0.25,$E170="Peak",DO170="HH"),"EQH","")))</f>
        <v/>
      </c>
      <c r="EL170" s="2" t="str">
        <f aca="false">IF(EA170="","",IF(AND(ABS(EA170)&lt;=0.25,$E170="Bottom",DP170="LL"),"EQL",IF(AND(ABS(EA170)&lt;=0.25,$E170="Peak",DP170="HH"),"EQH","")))</f>
        <v/>
      </c>
      <c r="EM170" s="2" t="str">
        <f aca="false">IF(EB170="","",IF(AND(ABS(EB170)&lt;=0.25,$E170="Bottom",DQ170="LL"),"EQL",IF(AND(ABS(EB170)&lt;=0.25,$E170="Peak",DQ170="HH"),"EQH","")))</f>
        <v/>
      </c>
      <c r="EN170" s="2" t="str">
        <f aca="false">IF(EC170="","",IF(AND(ABS(EC170)&lt;=0.25,$E170="Bottom",DR170="LL"),"EQL",IF(AND(ABS(EC170)&lt;=0.25,$E170="Peak",DR170="HH"),"EQH","")))</f>
        <v/>
      </c>
      <c r="EO170" s="2" t="str">
        <f aca="false">IF(ED170="","",IF(AND(ABS(ED170)&lt;=0.25,$E170="Bottom",DS170="LL"),"EQL",IF(AND(ABS(ED170)&lt;=0.25,$E170="Peak",DS170="HH"),"EQH","")))</f>
        <v/>
      </c>
      <c r="EP170" s="2" t="str">
        <f aca="false">IF(EE170="","",IF(AND(ABS(EE170)&lt;=0.25,$E170="Bottom",DT170="LL"),"EQL",IF(AND(ABS(EE170)&lt;=0.25,$E170="Peak",DT170="HH"),"EQH","")))</f>
        <v/>
      </c>
      <c r="EQ170" s="2" t="str">
        <f aca="false">IF(EF170="","",IF(AND(ABS(EF170)&lt;=0.25,$E170="Bottom",DU170="LL"),"EQL",IF(AND(ABS(EF170)&lt;=0.25,$E170="Peak",DU170="HH"),"EQH","")))</f>
        <v/>
      </c>
      <c r="ER170" s="2" t="str">
        <f aca="false">IF(OR(EG170="EQL",EG170="EQH"),G170,"")</f>
        <v/>
      </c>
      <c r="ES170" s="2" t="str">
        <f aca="false">IF(OR(EH170="EQL",EH170="EQH"),H170,"")</f>
        <v/>
      </c>
      <c r="ET170" s="2" t="str">
        <f aca="false">IF(OR(EI170="EQL",EI170="EQH"),I170,"")</f>
        <v/>
      </c>
      <c r="EU170" s="2" t="str">
        <f aca="false">IF(OR(EJ170="EQL",EJ170="EQH"),J170,"")</f>
        <v/>
      </c>
      <c r="EV170" s="2" t="str">
        <f aca="false">IF(OR(EK170="EQL",EK170="EQH"),K170,"")</f>
        <v/>
      </c>
      <c r="EW170" s="2" t="str">
        <f aca="false">IF(OR(EL170="EQL",EL170="EQH"),L170,"")</f>
        <v/>
      </c>
      <c r="EX170" s="2" t="str">
        <f aca="false">IF(OR(EM170="EQL",EM170="EQH"),M170,"")</f>
        <v/>
      </c>
      <c r="EY170" s="2" t="str">
        <f aca="false">IF(OR(EN170="EQL",EN170="EQH"),N170,"")</f>
        <v/>
      </c>
      <c r="EZ170" s="2" t="str">
        <f aca="false">IF(OR(EO170="EQL",EO170="EQH"),O170,"")</f>
        <v/>
      </c>
      <c r="FA170" s="2" t="str">
        <f aca="false">IF(OR(EP170="EQL",EP170="EQH"),P170,"")</f>
        <v/>
      </c>
      <c r="FB170" s="2" t="str">
        <f aca="false">IF(OR(EQ170="EQL",EQ170="EQH"),Q170,"")</f>
        <v/>
      </c>
      <c r="FC170" s="2" t="str">
        <f aca="false">IF(AND(EG170="EQL",OR(AQ170=4,AQ170=5)),"IEQL",IF(AND(EG170="EQH",OR(AQ170=1,AQ170=2)),"IEQH",""))</f>
        <v/>
      </c>
      <c r="FD170" s="2" t="str">
        <f aca="false">IF(AND(EH170="EQL",OR(AR170=4,AR170=5)),"IEQL",IF(AND(EH170="EQH",OR(AR170=1,AR170=2)),"IEQH",""))</f>
        <v/>
      </c>
      <c r="FE170" s="2" t="str">
        <f aca="false">IF(AND(EI170="EQL",OR(AS170=4,AS170=5)),"IEQL",IF(AND(EI170="EQH",OR(AS170=1,AS170=2)),"IEQH",""))</f>
        <v/>
      </c>
      <c r="FF170" s="2" t="str">
        <f aca="false">IF(AND(EJ170="EQL",OR(AT170=4,AT170=5)),"IEQL",IF(AND(EJ170="EQH",OR(AT170=1,AT170=2)),"IEQH",""))</f>
        <v/>
      </c>
      <c r="FG170" s="2" t="str">
        <f aca="false">IF(AND(EK170="EQL",OR(AU170=4,AU170=5)),"IEQL",IF(AND(EK170="EQH",OR(AU170=1,AU170=2)),"IEQH",""))</f>
        <v/>
      </c>
      <c r="FH170" s="2" t="str">
        <f aca="false">IF(AND(EL170="EQL",OR(AV170=4,AV170=5)),"IEQL",IF(AND(EL170="EQH",OR(AV170=1,AV170=2)),"IEQH",""))</f>
        <v/>
      </c>
      <c r="FI170" s="2" t="str">
        <f aca="false">IF(AND(EM170="EQL",OR(AW170=4,AW170=5)),"IEQL",IF(AND(EM170="EQH",OR(AW170=1,AW170=2)),"IEQH",""))</f>
        <v/>
      </c>
      <c r="FJ170" s="2" t="str">
        <f aca="false">IF(AND(EN170="EQL",OR(AX170=4,AX170=5)),"IEQL",IF(AND(EN170="EQH",OR(AX170=1,AX170=2)),"IEQH",""))</f>
        <v/>
      </c>
      <c r="FK170" s="2" t="str">
        <f aca="false">IF(AND(EO170="EQL",OR(AY170=4,AY170=5)),"IEQL",IF(AND(EO170="EQH",OR(AY170=1,AY170=2)),"IEQH",""))</f>
        <v/>
      </c>
      <c r="FL170" s="2" t="str">
        <f aca="false">IF(AND(EP170="EQL",OR(AZ170=4,AZ170=5)),"IEQL",IF(AND(EP170="EQH",OR(AZ170=1,AZ170=2)),"IEQH",""))</f>
        <v/>
      </c>
      <c r="FM170" s="2" t="str">
        <f aca="false">IF(AND(EQ170="EQL",OR(BA170=4,BA170=5)),"IEQL",IF(AND(EQ170="EQH",OR(BA170=1,BA170=2)),"IEQH",""))</f>
        <v/>
      </c>
    </row>
    <row r="171" customFormat="false" ht="14.25" hidden="false" customHeight="false" outlineLevel="0" collapsed="false">
      <c r="A171" s="1" t="n">
        <v>1779919202</v>
      </c>
      <c r="B171" s="1" t="s">
        <v>169</v>
      </c>
      <c r="C171" s="1" t="s">
        <v>170</v>
      </c>
      <c r="D171" s="1" t="n">
        <v>4457.94</v>
      </c>
      <c r="E171" s="1" t="s">
        <v>173</v>
      </c>
      <c r="F171" s="1" t="n">
        <v>4465.92</v>
      </c>
      <c r="G171" s="2" t="n">
        <f aca="false">F169</f>
        <v>4517.18</v>
      </c>
      <c r="H171" s="2" t="n">
        <f aca="false">F167</f>
        <v>4537.84</v>
      </c>
      <c r="I171" s="2" t="n">
        <f aca="false">F165</f>
        <v>4540.53</v>
      </c>
      <c r="J171" s="2" t="n">
        <f aca="false">F163</f>
        <v>4539.01</v>
      </c>
      <c r="K171" s="2" t="n">
        <f aca="false">F161</f>
        <v>4580.28</v>
      </c>
      <c r="L171" s="2" t="n">
        <f aca="false">F159</f>
        <v>4577.8</v>
      </c>
      <c r="M171" s="2" t="n">
        <f aca="false">F157</f>
        <v>4577.02</v>
      </c>
      <c r="N171" s="2" t="n">
        <f aca="false">F155</f>
        <v>4579.98</v>
      </c>
      <c r="O171" s="2" t="n">
        <f aca="false">F153</f>
        <v>4527.75</v>
      </c>
      <c r="P171" s="2" t="n">
        <f aca="false">F151</f>
        <v>4536.83</v>
      </c>
      <c r="Q171" s="2" t="n">
        <f aca="false">F149</f>
        <v>4534.16</v>
      </c>
      <c r="R171" s="1" t="n">
        <v>64.42</v>
      </c>
      <c r="S171" s="2" t="n">
        <f aca="false">R169</f>
        <v>21.21</v>
      </c>
      <c r="T171" s="2" t="n">
        <f aca="false">R167</f>
        <v>55.1</v>
      </c>
      <c r="U171" s="2" t="n">
        <f aca="false">R165</f>
        <v>28.42</v>
      </c>
      <c r="V171" s="2" t="n">
        <f aca="false">R163</f>
        <v>17.29</v>
      </c>
      <c r="W171" s="2" t="n">
        <f aca="false">R161</f>
        <v>16.88</v>
      </c>
      <c r="X171" s="2" t="n">
        <f aca="false">R159</f>
        <v>24.87</v>
      </c>
      <c r="Y171" s="2" t="n">
        <f aca="false">R157</f>
        <v>26.54</v>
      </c>
      <c r="Z171" s="2" t="n">
        <f aca="false">R155</f>
        <v>75.59</v>
      </c>
      <c r="AA171" s="2" t="n">
        <f aca="false">R153</f>
        <v>35.82</v>
      </c>
      <c r="AB171" s="2" t="n">
        <f aca="false">R151</f>
        <v>29.39</v>
      </c>
      <c r="AC171" s="2" t="n">
        <f aca="false">R149</f>
        <v>15.6</v>
      </c>
      <c r="AD171" s="1" t="n">
        <v>1.46</v>
      </c>
      <c r="AE171" s="2" t="n">
        <f aca="false">AD169</f>
        <v>0.47</v>
      </c>
      <c r="AF171" s="2" t="n">
        <f aca="false">AD167</f>
        <v>1.23</v>
      </c>
      <c r="AG171" s="2" t="n">
        <f aca="false">AD165</f>
        <v>0.63</v>
      </c>
      <c r="AH171" s="2" t="n">
        <f aca="false">AD163</f>
        <v>0.38</v>
      </c>
      <c r="AI171" s="2" t="n">
        <f aca="false">AD161</f>
        <v>0.37</v>
      </c>
      <c r="AJ171" s="2" t="n">
        <f aca="false">AD159</f>
        <v>0.55</v>
      </c>
      <c r="AK171" s="2" t="n">
        <f aca="false">AD157</f>
        <v>0.58</v>
      </c>
      <c r="AL171" s="2" t="n">
        <f aca="false">AD155</f>
        <v>1.68</v>
      </c>
      <c r="AM171" s="2" t="n">
        <f aca="false">AD153</f>
        <v>0.8</v>
      </c>
      <c r="AN171" s="2" t="n">
        <f aca="false">AD151</f>
        <v>0.65</v>
      </c>
      <c r="AO171" s="2" t="n">
        <f aca="false">AD149</f>
        <v>0.35</v>
      </c>
      <c r="AP171" s="1" t="n">
        <v>0</v>
      </c>
      <c r="AQ171" s="2" t="n">
        <f aca="false">AP169</f>
        <v>0</v>
      </c>
      <c r="AR171" s="2" t="n">
        <f aca="false">AP167</f>
        <v>0</v>
      </c>
      <c r="AS171" s="2" t="n">
        <f aca="false">AP165</f>
        <v>0</v>
      </c>
      <c r="AT171" s="2" t="n">
        <f aca="false">AP163</f>
        <v>0</v>
      </c>
      <c r="AU171" s="2" t="n">
        <f aca="false">AP161</f>
        <v>0</v>
      </c>
      <c r="AV171" s="2" t="n">
        <f aca="false">AP159</f>
        <v>0</v>
      </c>
      <c r="AW171" s="2" t="n">
        <f aca="false">AP157</f>
        <v>0</v>
      </c>
      <c r="AX171" s="2" t="n">
        <f aca="false">AP155</f>
        <v>0</v>
      </c>
      <c r="AY171" s="2" t="n">
        <f aca="false">AP153</f>
        <v>0</v>
      </c>
      <c r="AZ171" s="2" t="n">
        <f aca="false">AP151</f>
        <v>0</v>
      </c>
      <c r="BA171" s="2" t="n">
        <f aca="false">AP149</f>
        <v>0</v>
      </c>
      <c r="BB171" s="1" t="n">
        <v>31</v>
      </c>
      <c r="BC171" s="2" t="n">
        <f aca="false">BB169</f>
        <v>3</v>
      </c>
      <c r="BD171" s="2" t="n">
        <f aca="false">BB167</f>
        <v>12</v>
      </c>
      <c r="BE171" s="2" t="n">
        <f aca="false">BB165</f>
        <v>5</v>
      </c>
      <c r="BF171" s="2" t="n">
        <f aca="false">BB163</f>
        <v>1</v>
      </c>
      <c r="BG171" s="2" t="n">
        <f aca="false">BB161</f>
        <v>8</v>
      </c>
      <c r="BH171" s="2" t="n">
        <f aca="false">BB159</f>
        <v>19</v>
      </c>
      <c r="BI171" s="2" t="n">
        <f aca="false">BB157</f>
        <v>23</v>
      </c>
      <c r="BJ171" s="2" t="n">
        <f aca="false">BB155</f>
        <v>12</v>
      </c>
      <c r="BK171" s="2" t="n">
        <f aca="false">BB153</f>
        <v>13</v>
      </c>
      <c r="BL171" s="2" t="n">
        <f aca="false">BB151</f>
        <v>17</v>
      </c>
      <c r="BM171" s="2" t="n">
        <f aca="false">BB149</f>
        <v>12</v>
      </c>
      <c r="BN171" s="1" t="n">
        <v>0</v>
      </c>
      <c r="BO171" s="2" t="n">
        <f aca="false">BN169</f>
        <v>0</v>
      </c>
      <c r="BP171" s="2" t="n">
        <f aca="false">BN167</f>
        <v>0</v>
      </c>
      <c r="BQ171" s="2" t="n">
        <f aca="false">BN165</f>
        <v>0</v>
      </c>
      <c r="BR171" s="2" t="n">
        <f aca="false">BN163</f>
        <v>0</v>
      </c>
      <c r="BS171" s="2" t="n">
        <f aca="false">BN161</f>
        <v>0</v>
      </c>
      <c r="BT171" s="2" t="n">
        <f aca="false">BN159</f>
        <v>0</v>
      </c>
      <c r="BU171" s="2" t="n">
        <f aca="false">BN157</f>
        <v>0</v>
      </c>
      <c r="BV171" s="2" t="n">
        <f aca="false">BN155</f>
        <v>0</v>
      </c>
      <c r="BW171" s="2" t="n">
        <f aca="false">BN153</f>
        <v>0</v>
      </c>
      <c r="BX171" s="2" t="n">
        <f aca="false">BN151</f>
        <v>0</v>
      </c>
      <c r="BY171" s="2" t="n">
        <f aca="false">BN149</f>
        <v>0</v>
      </c>
      <c r="BZ171" s="1" t="n">
        <v>2.07806</v>
      </c>
      <c r="CA171" s="2" t="n">
        <f aca="false">BZ169</f>
        <v>7.07</v>
      </c>
      <c r="CB171" s="2" t="n">
        <f aca="false">BZ167</f>
        <v>4.59167</v>
      </c>
      <c r="CC171" s="2" t="n">
        <f aca="false">BZ165</f>
        <v>5.684</v>
      </c>
      <c r="CD171" s="2" t="n">
        <f aca="false">BZ163</f>
        <v>17.29</v>
      </c>
      <c r="CE171" s="2" t="n">
        <f aca="false">BZ161</f>
        <v>2.11</v>
      </c>
      <c r="CF171" s="2" t="n">
        <f aca="false">BZ159</f>
        <v>1.30895</v>
      </c>
      <c r="CG171" s="2" t="n">
        <f aca="false">BZ157</f>
        <v>1.15391</v>
      </c>
      <c r="CH171" s="2" t="n">
        <f aca="false">BZ155</f>
        <v>6.29917</v>
      </c>
      <c r="CI171" s="2" t="n">
        <f aca="false">BZ153</f>
        <v>2.75538</v>
      </c>
      <c r="CJ171" s="2" t="n">
        <f aca="false">BZ151</f>
        <v>1.72882</v>
      </c>
      <c r="CK171" s="2" t="n">
        <f aca="false">BZ149</f>
        <v>1.3</v>
      </c>
      <c r="CL171" s="1" t="n">
        <v>0</v>
      </c>
      <c r="CM171" s="2" t="n">
        <f aca="false">CL169</f>
        <v>0</v>
      </c>
      <c r="CN171" s="2" t="n">
        <f aca="false">CL167</f>
        <v>0</v>
      </c>
      <c r="CO171" s="2" t="n">
        <f aca="false">CL165</f>
        <v>0</v>
      </c>
      <c r="CP171" s="2" t="n">
        <f aca="false">CL163</f>
        <v>2</v>
      </c>
      <c r="CQ171" s="2" t="n">
        <f aca="false">CL161</f>
        <v>0</v>
      </c>
      <c r="CR171" s="2" t="n">
        <f aca="false">CL159</f>
        <v>0</v>
      </c>
      <c r="CS171" s="2" t="n">
        <f aca="false">CL157</f>
        <v>0</v>
      </c>
      <c r="CT171" s="2" t="n">
        <f aca="false">CL155</f>
        <v>0</v>
      </c>
      <c r="CU171" s="2" t="n">
        <f aca="false">CL153</f>
        <v>0</v>
      </c>
      <c r="CV171" s="2" t="n">
        <f aca="false">CL151</f>
        <v>0</v>
      </c>
      <c r="CW171" s="2" t="n">
        <f aca="false">CL149</f>
        <v>0</v>
      </c>
      <c r="CX171" s="1" t="n">
        <v>64.3023</v>
      </c>
      <c r="CY171" s="2" t="n">
        <f aca="false">CX169</f>
        <v>81.9493</v>
      </c>
      <c r="CZ171" s="2" t="n">
        <f aca="false">CX167</f>
        <v>77.7136</v>
      </c>
      <c r="DA171" s="2" t="n">
        <f aca="false">CX165</f>
        <v>80.0219</v>
      </c>
      <c r="DB171" s="2" t="n">
        <f aca="false">CX163</f>
        <v>86.6899</v>
      </c>
      <c r="DC171" s="2" t="n">
        <f aca="false">CX161</f>
        <v>64.6422</v>
      </c>
      <c r="DD171" s="2" t="n">
        <f aca="false">CX159</f>
        <v>52.6212</v>
      </c>
      <c r="DE171" s="2" t="n">
        <f aca="false">CX157</f>
        <v>49.0873</v>
      </c>
      <c r="DF171" s="2" t="n">
        <f aca="false">CX155</f>
        <v>80.9795</v>
      </c>
      <c r="DG171" s="2" t="n">
        <f aca="false">CX153</f>
        <v>70.0529</v>
      </c>
      <c r="DH171" s="2" t="n">
        <f aca="false">CX151</f>
        <v>59.9537</v>
      </c>
      <c r="DI171" s="2" t="n">
        <f aca="false">CX149</f>
        <v>52.4314</v>
      </c>
      <c r="DJ171" s="1" t="s">
        <v>174</v>
      </c>
      <c r="DK171" s="2" t="str">
        <f aca="false">DJ169</f>
        <v>LH</v>
      </c>
      <c r="DL171" s="2" t="str">
        <f aca="false">DJ167</f>
        <v>LH</v>
      </c>
      <c r="DM171" s="2" t="str">
        <f aca="false">DJ165</f>
        <v>HH</v>
      </c>
      <c r="DN171" s="2" t="str">
        <f aca="false">DJ163</f>
        <v>LH</v>
      </c>
      <c r="DO171" s="2" t="str">
        <f aca="false">DJ161</f>
        <v>HH</v>
      </c>
      <c r="DP171" s="2" t="str">
        <f aca="false">DJ159</f>
        <v>HH</v>
      </c>
      <c r="DQ171" s="2" t="str">
        <f aca="false">DJ157</f>
        <v>LH</v>
      </c>
      <c r="DR171" s="2" t="str">
        <f aca="false">DJ155</f>
        <v>HH</v>
      </c>
      <c r="DS171" s="2" t="str">
        <f aca="false">DJ153</f>
        <v>LH</v>
      </c>
      <c r="DT171" s="2" t="str">
        <f aca="false">DJ151</f>
        <v>HH</v>
      </c>
      <c r="DU171" s="2" t="str">
        <f aca="false">DJ149</f>
        <v>LH</v>
      </c>
      <c r="DV171" s="2" t="n">
        <f aca="false">IFERROR((G171-$F171)/$F171*100,"")</f>
        <v>1.14780381198052</v>
      </c>
      <c r="DW171" s="2" t="n">
        <f aca="false">IFERROR((H171-$F171)/$F171*100,"")</f>
        <v>1.61041845801089</v>
      </c>
      <c r="DX171" s="2" t="n">
        <f aca="false">IFERROR((I171-$F171)/$F171*100,"")</f>
        <v>1.67065240756663</v>
      </c>
      <c r="DY171" s="2" t="n">
        <f aca="false">IFERROR((J171-$F171)/$F171*100,"")</f>
        <v>1.63661686729722</v>
      </c>
      <c r="DZ171" s="2" t="n">
        <f aca="false">IFERROR((K171-$F171)/$F171*100,"")</f>
        <v>2.56072656921753</v>
      </c>
      <c r="EA171" s="2" t="n">
        <f aca="false">IFERROR((L171-$F171)/$F171*100,"")</f>
        <v>2.50519489825165</v>
      </c>
      <c r="EB171" s="2" t="n">
        <f aca="false">IFERROR((M171-$F171)/$F171*100,"")</f>
        <v>2.48772929206077</v>
      </c>
      <c r="EC171" s="2" t="n">
        <f aca="false">IFERROR((N171-$F171)/$F171*100,"")</f>
        <v>2.55400902837488</v>
      </c>
      <c r="ED171" s="2" t="n">
        <f aca="false">IFERROR((O171-$F171)/$F171*100,"")</f>
        <v>1.38448516766982</v>
      </c>
      <c r="EE171" s="2" t="n">
        <f aca="false">IFERROR((P171-$F171)/$F171*100,"")</f>
        <v>1.58780273717397</v>
      </c>
      <c r="EF171" s="2" t="n">
        <f aca="false">IFERROR((Q171-$F171)/$F171*100,"")</f>
        <v>1.5280166236744</v>
      </c>
      <c r="EG171" s="2" t="str">
        <f aca="false">IF(DV171="","",IF(AND(ABS(DV171)&lt;=0.25,$E171="Bottom",DK171="LL"),"EQL",IF(AND(ABS(DV171)&lt;=0.25,$E171="Peak",DK171="HH"),"EQH","")))</f>
        <v/>
      </c>
      <c r="EH171" s="2" t="str">
        <f aca="false">IF(DW171="","",IF(AND(ABS(DW171)&lt;=0.25,$E171="Bottom",DL171="LL"),"EQL",IF(AND(ABS(DW171)&lt;=0.25,$E171="Peak",DL171="HH"),"EQH","")))</f>
        <v/>
      </c>
      <c r="EI171" s="2" t="str">
        <f aca="false">IF(DX171="","",IF(AND(ABS(DX171)&lt;=0.25,$E171="Bottom",DM171="LL"),"EQL",IF(AND(ABS(DX171)&lt;=0.25,$E171="Peak",DM171="HH"),"EQH","")))</f>
        <v/>
      </c>
      <c r="EJ171" s="2" t="str">
        <f aca="false">IF(DY171="","",IF(AND(ABS(DY171)&lt;=0.25,$E171="Bottom",DN171="LL"),"EQL",IF(AND(ABS(DY171)&lt;=0.25,$E171="Peak",DN171="HH"),"EQH","")))</f>
        <v/>
      </c>
      <c r="EK171" s="2" t="str">
        <f aca="false">IF(DZ171="","",IF(AND(ABS(DZ171)&lt;=0.25,$E171="Bottom",DO171="LL"),"EQL",IF(AND(ABS(DZ171)&lt;=0.25,$E171="Peak",DO171="HH"),"EQH","")))</f>
        <v/>
      </c>
      <c r="EL171" s="2" t="str">
        <f aca="false">IF(EA171="","",IF(AND(ABS(EA171)&lt;=0.25,$E171="Bottom",DP171="LL"),"EQL",IF(AND(ABS(EA171)&lt;=0.25,$E171="Peak",DP171="HH"),"EQH","")))</f>
        <v/>
      </c>
      <c r="EM171" s="2" t="str">
        <f aca="false">IF(EB171="","",IF(AND(ABS(EB171)&lt;=0.25,$E171="Bottom",DQ171="LL"),"EQL",IF(AND(ABS(EB171)&lt;=0.25,$E171="Peak",DQ171="HH"),"EQH","")))</f>
        <v/>
      </c>
      <c r="EN171" s="2" t="str">
        <f aca="false">IF(EC171="","",IF(AND(ABS(EC171)&lt;=0.25,$E171="Bottom",DR171="LL"),"EQL",IF(AND(ABS(EC171)&lt;=0.25,$E171="Peak",DR171="HH"),"EQH","")))</f>
        <v/>
      </c>
      <c r="EO171" s="2" t="str">
        <f aca="false">IF(ED171="","",IF(AND(ABS(ED171)&lt;=0.25,$E171="Bottom",DS171="LL"),"EQL",IF(AND(ABS(ED171)&lt;=0.25,$E171="Peak",DS171="HH"),"EQH","")))</f>
        <v/>
      </c>
      <c r="EP171" s="2" t="str">
        <f aca="false">IF(EE171="","",IF(AND(ABS(EE171)&lt;=0.25,$E171="Bottom",DT171="LL"),"EQL",IF(AND(ABS(EE171)&lt;=0.25,$E171="Peak",DT171="HH"),"EQH","")))</f>
        <v/>
      </c>
      <c r="EQ171" s="2" t="str">
        <f aca="false">IF(EF171="","",IF(AND(ABS(EF171)&lt;=0.25,$E171="Bottom",DU171="LL"),"EQL",IF(AND(ABS(EF171)&lt;=0.25,$E171="Peak",DU171="HH"),"EQH","")))</f>
        <v/>
      </c>
      <c r="ER171" s="2" t="str">
        <f aca="false">IF(OR(EG171="EQL",EG171="EQH"),G171,"")</f>
        <v/>
      </c>
      <c r="ES171" s="2" t="str">
        <f aca="false">IF(OR(EH171="EQL",EH171="EQH"),H171,"")</f>
        <v/>
      </c>
      <c r="ET171" s="2" t="str">
        <f aca="false">IF(OR(EI171="EQL",EI171="EQH"),I171,"")</f>
        <v/>
      </c>
      <c r="EU171" s="2" t="str">
        <f aca="false">IF(OR(EJ171="EQL",EJ171="EQH"),J171,"")</f>
        <v/>
      </c>
      <c r="EV171" s="2" t="str">
        <f aca="false">IF(OR(EK171="EQL",EK171="EQH"),K171,"")</f>
        <v/>
      </c>
      <c r="EW171" s="2" t="str">
        <f aca="false">IF(OR(EL171="EQL",EL171="EQH"),L171,"")</f>
        <v/>
      </c>
      <c r="EX171" s="2" t="str">
        <f aca="false">IF(OR(EM171="EQL",EM171="EQH"),M171,"")</f>
        <v/>
      </c>
      <c r="EY171" s="2" t="str">
        <f aca="false">IF(OR(EN171="EQL",EN171="EQH"),N171,"")</f>
        <v/>
      </c>
      <c r="EZ171" s="2" t="str">
        <f aca="false">IF(OR(EO171="EQL",EO171="EQH"),O171,"")</f>
        <v/>
      </c>
      <c r="FA171" s="2" t="str">
        <f aca="false">IF(OR(EP171="EQL",EP171="EQH"),P171,"")</f>
        <v/>
      </c>
      <c r="FB171" s="2" t="str">
        <f aca="false">IF(OR(EQ171="EQL",EQ171="EQH"),Q171,"")</f>
        <v/>
      </c>
      <c r="FC171" s="2" t="str">
        <f aca="false">IF(AND(EG171="EQL",OR(AQ171=4,AQ171=5)),"IEQL",IF(AND(EG171="EQH",OR(AQ171=1,AQ171=2)),"IEQH",""))</f>
        <v/>
      </c>
      <c r="FD171" s="2" t="str">
        <f aca="false">IF(AND(EH171="EQL",OR(AR171=4,AR171=5)),"IEQL",IF(AND(EH171="EQH",OR(AR171=1,AR171=2)),"IEQH",""))</f>
        <v/>
      </c>
      <c r="FE171" s="2" t="str">
        <f aca="false">IF(AND(EI171="EQL",OR(AS171=4,AS171=5)),"IEQL",IF(AND(EI171="EQH",OR(AS171=1,AS171=2)),"IEQH",""))</f>
        <v/>
      </c>
      <c r="FF171" s="2" t="str">
        <f aca="false">IF(AND(EJ171="EQL",OR(AT171=4,AT171=5)),"IEQL",IF(AND(EJ171="EQH",OR(AT171=1,AT171=2)),"IEQH",""))</f>
        <v/>
      </c>
      <c r="FG171" s="2" t="str">
        <f aca="false">IF(AND(EK171="EQL",OR(AU171=4,AU171=5)),"IEQL",IF(AND(EK171="EQH",OR(AU171=1,AU171=2)),"IEQH",""))</f>
        <v/>
      </c>
      <c r="FH171" s="2" t="str">
        <f aca="false">IF(AND(EL171="EQL",OR(AV171=4,AV171=5)),"IEQL",IF(AND(EL171="EQH",OR(AV171=1,AV171=2)),"IEQH",""))</f>
        <v/>
      </c>
      <c r="FI171" s="2" t="str">
        <f aca="false">IF(AND(EM171="EQL",OR(AW171=4,AW171=5)),"IEQL",IF(AND(EM171="EQH",OR(AW171=1,AW171=2)),"IEQH",""))</f>
        <v/>
      </c>
      <c r="FJ171" s="2" t="str">
        <f aca="false">IF(AND(EN171="EQL",OR(AX171=4,AX171=5)),"IEQL",IF(AND(EN171="EQH",OR(AX171=1,AX171=2)),"IEQH",""))</f>
        <v/>
      </c>
      <c r="FK171" s="2" t="str">
        <f aca="false">IF(AND(EO171="EQL",OR(AY171=4,AY171=5)),"IEQL",IF(AND(EO171="EQH",OR(AY171=1,AY171=2)),"IEQH",""))</f>
        <v/>
      </c>
      <c r="FL171" s="2" t="str">
        <f aca="false">IF(AND(EP171="EQL",OR(AZ171=4,AZ171=5)),"IEQL",IF(AND(EP171="EQH",OR(AZ171=1,AZ171=2)),"IEQH",""))</f>
        <v/>
      </c>
      <c r="FM171" s="2" t="str">
        <f aca="false">IF(AND(EQ171="EQL",OR(BA171=4,BA171=5)),"IEQL",IF(AND(EQ171="EQH",OR(BA171=1,BA171=2)),"IEQH",""))</f>
        <v/>
      </c>
    </row>
    <row r="172" customFormat="false" ht="14.25" hidden="false" customHeight="false" outlineLevel="0" collapsed="false">
      <c r="A172" s="1" t="n">
        <v>1779941702</v>
      </c>
      <c r="B172" s="1" t="s">
        <v>169</v>
      </c>
      <c r="C172" s="1" t="s">
        <v>170</v>
      </c>
      <c r="D172" s="1" t="n">
        <v>4368.47</v>
      </c>
      <c r="E172" s="1" t="s">
        <v>171</v>
      </c>
      <c r="F172" s="1" t="n">
        <v>4366.32</v>
      </c>
      <c r="G172" s="2" t="n">
        <f aca="false">F170</f>
        <v>4401.5</v>
      </c>
      <c r="H172" s="2" t="n">
        <f aca="false">F168</f>
        <v>4495.97</v>
      </c>
      <c r="I172" s="2" t="n">
        <f aca="false">F166</f>
        <v>4482.74</v>
      </c>
      <c r="J172" s="2" t="n">
        <f aca="false">F164</f>
        <v>4512.11</v>
      </c>
      <c r="K172" s="2" t="n">
        <f aca="false">F162</f>
        <v>4521.72</v>
      </c>
      <c r="L172" s="2" t="n">
        <f aca="false">F160</f>
        <v>4563.4</v>
      </c>
      <c r="M172" s="2" t="n">
        <f aca="false">F158</f>
        <v>4552.93</v>
      </c>
      <c r="N172" s="2" t="n">
        <f aca="false">F156</f>
        <v>4550.48</v>
      </c>
      <c r="O172" s="2" t="n">
        <f aca="false">F154</f>
        <v>4504.39</v>
      </c>
      <c r="P172" s="2" t="n">
        <f aca="false">F152</f>
        <v>4491.93</v>
      </c>
      <c r="Q172" s="2" t="n">
        <f aca="false">F150</f>
        <v>4507.44</v>
      </c>
      <c r="R172" s="1" t="n">
        <v>-99.6</v>
      </c>
      <c r="S172" s="2" t="n">
        <f aca="false">R170</f>
        <v>-115.68</v>
      </c>
      <c r="T172" s="2" t="n">
        <f aca="false">R168</f>
        <v>-41.87</v>
      </c>
      <c r="U172" s="2" t="n">
        <f aca="false">R166</f>
        <v>-57.79</v>
      </c>
      <c r="V172" s="2" t="n">
        <f aca="false">R164</f>
        <v>-26.9</v>
      </c>
      <c r="W172" s="2" t="n">
        <f aca="false">R162</f>
        <v>-58.56</v>
      </c>
      <c r="X172" s="2" t="n">
        <f aca="false">R160</f>
        <v>-14.4</v>
      </c>
      <c r="Y172" s="2" t="n">
        <f aca="false">R158</f>
        <v>-24.09</v>
      </c>
      <c r="Z172" s="2" t="n">
        <f aca="false">R156</f>
        <v>-29.5</v>
      </c>
      <c r="AA172" s="2" t="n">
        <f aca="false">R154</f>
        <v>-23.36</v>
      </c>
      <c r="AB172" s="2" t="n">
        <f aca="false">R152</f>
        <v>-44.9</v>
      </c>
      <c r="AC172" s="2" t="n">
        <f aca="false">R150</f>
        <v>-26.72</v>
      </c>
      <c r="AD172" s="1" t="n">
        <v>-2.23</v>
      </c>
      <c r="AE172" s="2" t="n">
        <f aca="false">AD170</f>
        <v>-2.56</v>
      </c>
      <c r="AF172" s="2" t="n">
        <f aca="false">AD168</f>
        <v>-0.92</v>
      </c>
      <c r="AG172" s="2" t="n">
        <f aca="false">AD166</f>
        <v>-1.27</v>
      </c>
      <c r="AH172" s="2" t="n">
        <f aca="false">AD164</f>
        <v>-0.59</v>
      </c>
      <c r="AI172" s="2" t="n">
        <f aca="false">AD162</f>
        <v>-1.28</v>
      </c>
      <c r="AJ172" s="2" t="n">
        <f aca="false">AD160</f>
        <v>-0.31</v>
      </c>
      <c r="AK172" s="2" t="n">
        <f aca="false">AD158</f>
        <v>-0.53</v>
      </c>
      <c r="AL172" s="2" t="n">
        <f aca="false">AD156</f>
        <v>-0.64</v>
      </c>
      <c r="AM172" s="2" t="n">
        <f aca="false">AD154</f>
        <v>-0.52</v>
      </c>
      <c r="AN172" s="2" t="n">
        <f aca="false">AD152</f>
        <v>-0.99</v>
      </c>
      <c r="AO172" s="2" t="n">
        <f aca="false">AD150</f>
        <v>-0.59</v>
      </c>
      <c r="AP172" s="1" t="n">
        <v>5</v>
      </c>
      <c r="AQ172" s="2" t="n">
        <f aca="false">AP170</f>
        <v>5</v>
      </c>
      <c r="AR172" s="2" t="n">
        <f aca="false">AP168</f>
        <v>3</v>
      </c>
      <c r="AS172" s="2" t="n">
        <f aca="false">AP166</f>
        <v>3</v>
      </c>
      <c r="AT172" s="2" t="n">
        <f aca="false">AP164</f>
        <v>3</v>
      </c>
      <c r="AU172" s="2" t="n">
        <f aca="false">AP162</f>
        <v>3</v>
      </c>
      <c r="AV172" s="2" t="n">
        <f aca="false">AP160</f>
        <v>3</v>
      </c>
      <c r="AW172" s="2" t="n">
        <f aca="false">AP158</f>
        <v>3</v>
      </c>
      <c r="AX172" s="2" t="n">
        <f aca="false">AP156</f>
        <v>3</v>
      </c>
      <c r="AY172" s="2" t="n">
        <f aca="false">AP154</f>
        <v>3</v>
      </c>
      <c r="AZ172" s="2" t="n">
        <f aca="false">AP152</f>
        <v>3</v>
      </c>
      <c r="BA172" s="2" t="n">
        <f aca="false">AP150</f>
        <v>3</v>
      </c>
      <c r="BB172" s="1" t="n">
        <v>25</v>
      </c>
      <c r="BC172" s="2" t="n">
        <f aca="false">BB170</f>
        <v>34</v>
      </c>
      <c r="BD172" s="2" t="n">
        <f aca="false">BB168</f>
        <v>24</v>
      </c>
      <c r="BE172" s="2" t="n">
        <f aca="false">BB166</f>
        <v>29</v>
      </c>
      <c r="BF172" s="2" t="n">
        <f aca="false">BB164</f>
        <v>7</v>
      </c>
      <c r="BG172" s="2" t="n">
        <f aca="false">BB162</f>
        <v>33</v>
      </c>
      <c r="BH172" s="2" t="n">
        <f aca="false">BB160</f>
        <v>3</v>
      </c>
      <c r="BI172" s="2" t="n">
        <f aca="false">BB158</f>
        <v>2</v>
      </c>
      <c r="BJ172" s="2" t="n">
        <f aca="false">BB156</f>
        <v>26</v>
      </c>
      <c r="BK172" s="2" t="n">
        <f aca="false">BB154</f>
        <v>8</v>
      </c>
      <c r="BL172" s="2" t="n">
        <f aca="false">BB152</f>
        <v>17</v>
      </c>
      <c r="BM172" s="2" t="n">
        <f aca="false">BB150</f>
        <v>1</v>
      </c>
      <c r="BN172" s="1" t="n">
        <v>3</v>
      </c>
      <c r="BO172" s="2" t="n">
        <f aca="false">BN170</f>
        <v>4</v>
      </c>
      <c r="BP172" s="2" t="n">
        <f aca="false">BN168</f>
        <v>3</v>
      </c>
      <c r="BQ172" s="2" t="n">
        <f aca="false">BN166</f>
        <v>3</v>
      </c>
      <c r="BR172" s="2" t="n">
        <f aca="false">BN164</f>
        <v>3</v>
      </c>
      <c r="BS172" s="2" t="n">
        <f aca="false">BN162</f>
        <v>4</v>
      </c>
      <c r="BT172" s="2" t="n">
        <f aca="false">BN160</f>
        <v>3</v>
      </c>
      <c r="BU172" s="2" t="n">
        <f aca="false">BN158</f>
        <v>3</v>
      </c>
      <c r="BV172" s="2" t="n">
        <f aca="false">BN156</f>
        <v>3</v>
      </c>
      <c r="BW172" s="2" t="n">
        <f aca="false">BN154</f>
        <v>3</v>
      </c>
      <c r="BX172" s="2" t="n">
        <f aca="false">BN152</f>
        <v>3</v>
      </c>
      <c r="BY172" s="2" t="n">
        <f aca="false">BN150</f>
        <v>3</v>
      </c>
      <c r="BZ172" s="1" t="n">
        <v>-3.984</v>
      </c>
      <c r="CA172" s="2" t="n">
        <f aca="false">BZ170</f>
        <v>-3.40235</v>
      </c>
      <c r="CB172" s="2" t="n">
        <f aca="false">BZ168</f>
        <v>-1.74458</v>
      </c>
      <c r="CC172" s="2" t="n">
        <f aca="false">BZ166</f>
        <v>-1.99276</v>
      </c>
      <c r="CD172" s="2" t="n">
        <f aca="false">BZ164</f>
        <v>-3.84286</v>
      </c>
      <c r="CE172" s="2" t="n">
        <f aca="false">BZ162</f>
        <v>-1.77455</v>
      </c>
      <c r="CF172" s="2" t="n">
        <f aca="false">BZ160</f>
        <v>-4.8</v>
      </c>
      <c r="CG172" s="2" t="n">
        <f aca="false">BZ158</f>
        <v>-12.045</v>
      </c>
      <c r="CH172" s="2" t="n">
        <f aca="false">BZ156</f>
        <v>-1.13462</v>
      </c>
      <c r="CI172" s="2" t="n">
        <f aca="false">BZ154</f>
        <v>-2.92</v>
      </c>
      <c r="CJ172" s="2" t="n">
        <f aca="false">BZ152</f>
        <v>-2.64118</v>
      </c>
      <c r="CK172" s="2" t="n">
        <f aca="false">BZ150</f>
        <v>-26.72</v>
      </c>
      <c r="CL172" s="1" t="n">
        <v>3</v>
      </c>
      <c r="CM172" s="2" t="n">
        <f aca="false">CL170</f>
        <v>3</v>
      </c>
      <c r="CN172" s="2" t="n">
        <f aca="false">CL168</f>
        <v>3</v>
      </c>
      <c r="CO172" s="2" t="n">
        <f aca="false">CL166</f>
        <v>3</v>
      </c>
      <c r="CP172" s="2" t="n">
        <f aca="false">CL164</f>
        <v>3</v>
      </c>
      <c r="CQ172" s="2" t="n">
        <f aca="false">CL162</f>
        <v>3</v>
      </c>
      <c r="CR172" s="2" t="n">
        <f aca="false">CL160</f>
        <v>3</v>
      </c>
      <c r="CS172" s="2" t="n">
        <f aca="false">CL158</f>
        <v>4</v>
      </c>
      <c r="CT172" s="2" t="n">
        <f aca="false">CL156</f>
        <v>3</v>
      </c>
      <c r="CU172" s="2" t="n">
        <f aca="false">CL154</f>
        <v>3</v>
      </c>
      <c r="CV172" s="2" t="n">
        <f aca="false">CL152</f>
        <v>3</v>
      </c>
      <c r="CW172" s="2" t="n">
        <f aca="false">CL150</f>
        <v>5</v>
      </c>
      <c r="CX172" s="1" t="n">
        <v>-75.9096</v>
      </c>
      <c r="CY172" s="2" t="n">
        <f aca="false">CX170</f>
        <v>-73.6212</v>
      </c>
      <c r="CZ172" s="2" t="n">
        <f aca="false">CX168</f>
        <v>-60.1785</v>
      </c>
      <c r="DA172" s="2" t="n">
        <f aca="false">CX166</f>
        <v>-63.3517</v>
      </c>
      <c r="DB172" s="2" t="n">
        <f aca="false">CX164</f>
        <v>-75.4138</v>
      </c>
      <c r="DC172" s="2" t="n">
        <f aca="false">CX162</f>
        <v>-60.5977</v>
      </c>
      <c r="DD172" s="2" t="n">
        <f aca="false">CX160</f>
        <v>-78.2317</v>
      </c>
      <c r="DE172" s="2" t="n">
        <f aca="false">CX158</f>
        <v>-85.2541</v>
      </c>
      <c r="DF172" s="2" t="n">
        <f aca="false">CX156</f>
        <v>-48.6085</v>
      </c>
      <c r="DG172" s="2" t="n">
        <f aca="false">CX154</f>
        <v>-71.0954</v>
      </c>
      <c r="DH172" s="2" t="n">
        <f aca="false">CX152</f>
        <v>-69.2624</v>
      </c>
      <c r="DI172" s="2" t="n">
        <f aca="false">CX150</f>
        <v>-87.8567</v>
      </c>
      <c r="DJ172" s="1" t="s">
        <v>172</v>
      </c>
      <c r="DK172" s="2" t="str">
        <f aca="false">DJ170</f>
        <v>LL</v>
      </c>
      <c r="DL172" s="2" t="str">
        <f aca="false">DJ168</f>
        <v>HL</v>
      </c>
      <c r="DM172" s="2" t="str">
        <f aca="false">DJ166</f>
        <v>LL</v>
      </c>
      <c r="DN172" s="2" t="str">
        <f aca="false">DJ164</f>
        <v>LL</v>
      </c>
      <c r="DO172" s="2" t="str">
        <f aca="false">DJ162</f>
        <v>LL</v>
      </c>
      <c r="DP172" s="2" t="str">
        <f aca="false">DJ160</f>
        <v>HL</v>
      </c>
      <c r="DQ172" s="2" t="str">
        <f aca="false">DJ158</f>
        <v>HL</v>
      </c>
      <c r="DR172" s="2" t="str">
        <f aca="false">DJ156</f>
        <v>HL</v>
      </c>
      <c r="DS172" s="2" t="str">
        <f aca="false">DJ154</f>
        <v>HL</v>
      </c>
      <c r="DT172" s="2" t="str">
        <f aca="false">DJ152</f>
        <v>LL</v>
      </c>
      <c r="DU172" s="2" t="str">
        <f aca="false">DJ150</f>
        <v>LL</v>
      </c>
      <c r="DV172" s="2" t="n">
        <f aca="false">IFERROR((G172-$F172)/$F172*100,"")</f>
        <v>0.805712819949071</v>
      </c>
      <c r="DW172" s="2" t="n">
        <f aca="false">IFERROR((H172-$F172)/$F172*100,"")</f>
        <v>2.96931970171679</v>
      </c>
      <c r="DX172" s="2" t="n">
        <f aca="false">IFERROR((I172-$F172)/$F172*100,"")</f>
        <v>2.66631854742667</v>
      </c>
      <c r="DY172" s="2" t="n">
        <f aca="false">IFERROR((J172-$F172)/$F172*100,"")</f>
        <v>3.33896736840177</v>
      </c>
      <c r="DZ172" s="2" t="n">
        <f aca="false">IFERROR((K172-$F172)/$F172*100,"")</f>
        <v>3.55906117737593</v>
      </c>
      <c r="EA172" s="2" t="n">
        <f aca="false">IFERROR((L172-$F172)/$F172*100,"")</f>
        <v>4.51364077758845</v>
      </c>
      <c r="EB172" s="2" t="n">
        <f aca="false">IFERROR((M172-$F172)/$F172*100,"")</f>
        <v>4.27385074845638</v>
      </c>
      <c r="EC172" s="2" t="n">
        <f aca="false">IFERROR((N172-$F172)/$F172*100,"")</f>
        <v>4.21773942358782</v>
      </c>
      <c r="ED172" s="2" t="n">
        <f aca="false">IFERROR((O172-$F172)/$F172*100,"")</f>
        <v>3.16215943861193</v>
      </c>
      <c r="EE172" s="2" t="n">
        <f aca="false">IFERROR((P172-$F172)/$F172*100,"")</f>
        <v>2.87679327213765</v>
      </c>
      <c r="EF172" s="2" t="n">
        <f aca="false">IFERROR((Q172-$F172)/$F172*100,"")</f>
        <v>3.23201231242785</v>
      </c>
      <c r="EG172" s="2" t="str">
        <f aca="false">IF(DV172="","",IF(AND(ABS(DV172)&lt;=0.25,$E172="Bottom",DK172="LL"),"EQL",IF(AND(ABS(DV172)&lt;=0.25,$E172="Peak",DK172="HH"),"EQH","")))</f>
        <v/>
      </c>
      <c r="EH172" s="2" t="str">
        <f aca="false">IF(DW172="","",IF(AND(ABS(DW172)&lt;=0.25,$E172="Bottom",DL172="LL"),"EQL",IF(AND(ABS(DW172)&lt;=0.25,$E172="Peak",DL172="HH"),"EQH","")))</f>
        <v/>
      </c>
      <c r="EI172" s="2" t="str">
        <f aca="false">IF(DX172="","",IF(AND(ABS(DX172)&lt;=0.25,$E172="Bottom",DM172="LL"),"EQL",IF(AND(ABS(DX172)&lt;=0.25,$E172="Peak",DM172="HH"),"EQH","")))</f>
        <v/>
      </c>
      <c r="EJ172" s="2" t="str">
        <f aca="false">IF(DY172="","",IF(AND(ABS(DY172)&lt;=0.25,$E172="Bottom",DN172="LL"),"EQL",IF(AND(ABS(DY172)&lt;=0.25,$E172="Peak",DN172="HH"),"EQH","")))</f>
        <v/>
      </c>
      <c r="EK172" s="2" t="str">
        <f aca="false">IF(DZ172="","",IF(AND(ABS(DZ172)&lt;=0.25,$E172="Bottom",DO172="LL"),"EQL",IF(AND(ABS(DZ172)&lt;=0.25,$E172="Peak",DO172="HH"),"EQH","")))</f>
        <v/>
      </c>
      <c r="EL172" s="2" t="str">
        <f aca="false">IF(EA172="","",IF(AND(ABS(EA172)&lt;=0.25,$E172="Bottom",DP172="LL"),"EQL",IF(AND(ABS(EA172)&lt;=0.25,$E172="Peak",DP172="HH"),"EQH","")))</f>
        <v/>
      </c>
      <c r="EM172" s="2" t="str">
        <f aca="false">IF(EB172="","",IF(AND(ABS(EB172)&lt;=0.25,$E172="Bottom",DQ172="LL"),"EQL",IF(AND(ABS(EB172)&lt;=0.25,$E172="Peak",DQ172="HH"),"EQH","")))</f>
        <v/>
      </c>
      <c r="EN172" s="2" t="str">
        <f aca="false">IF(EC172="","",IF(AND(ABS(EC172)&lt;=0.25,$E172="Bottom",DR172="LL"),"EQL",IF(AND(ABS(EC172)&lt;=0.25,$E172="Peak",DR172="HH"),"EQH","")))</f>
        <v/>
      </c>
      <c r="EO172" s="2" t="str">
        <f aca="false">IF(ED172="","",IF(AND(ABS(ED172)&lt;=0.25,$E172="Bottom",DS172="LL"),"EQL",IF(AND(ABS(ED172)&lt;=0.25,$E172="Peak",DS172="HH"),"EQH","")))</f>
        <v/>
      </c>
      <c r="EP172" s="2" t="str">
        <f aca="false">IF(EE172="","",IF(AND(ABS(EE172)&lt;=0.25,$E172="Bottom",DT172="LL"),"EQL",IF(AND(ABS(EE172)&lt;=0.25,$E172="Peak",DT172="HH"),"EQH","")))</f>
        <v/>
      </c>
      <c r="EQ172" s="2" t="str">
        <f aca="false">IF(EF172="","",IF(AND(ABS(EF172)&lt;=0.25,$E172="Bottom",DU172="LL"),"EQL",IF(AND(ABS(EF172)&lt;=0.25,$E172="Peak",DU172="HH"),"EQH","")))</f>
        <v/>
      </c>
      <c r="ER172" s="2" t="str">
        <f aca="false">IF(OR(EG172="EQL",EG172="EQH"),G172,"")</f>
        <v/>
      </c>
      <c r="ES172" s="2" t="str">
        <f aca="false">IF(OR(EH172="EQL",EH172="EQH"),H172,"")</f>
        <v/>
      </c>
      <c r="ET172" s="2" t="str">
        <f aca="false">IF(OR(EI172="EQL",EI172="EQH"),I172,"")</f>
        <v/>
      </c>
      <c r="EU172" s="2" t="str">
        <f aca="false">IF(OR(EJ172="EQL",EJ172="EQH"),J172,"")</f>
        <v/>
      </c>
      <c r="EV172" s="2" t="str">
        <f aca="false">IF(OR(EK172="EQL",EK172="EQH"),K172,"")</f>
        <v/>
      </c>
      <c r="EW172" s="2" t="str">
        <f aca="false">IF(OR(EL172="EQL",EL172="EQH"),L172,"")</f>
        <v/>
      </c>
      <c r="EX172" s="2" t="str">
        <f aca="false">IF(OR(EM172="EQL",EM172="EQH"),M172,"")</f>
        <v/>
      </c>
      <c r="EY172" s="2" t="str">
        <f aca="false">IF(OR(EN172="EQL",EN172="EQH"),N172,"")</f>
        <v/>
      </c>
      <c r="EZ172" s="2" t="str">
        <f aca="false">IF(OR(EO172="EQL",EO172="EQH"),O172,"")</f>
        <v/>
      </c>
      <c r="FA172" s="2" t="str">
        <f aca="false">IF(OR(EP172="EQL",EP172="EQH"),P172,"")</f>
        <v/>
      </c>
      <c r="FB172" s="2" t="str">
        <f aca="false">IF(OR(EQ172="EQL",EQ172="EQH"),Q172,"")</f>
        <v/>
      </c>
      <c r="FC172" s="2" t="str">
        <f aca="false">IF(AND(EG172="EQL",OR(AQ172=4,AQ172=5)),"IEQL",IF(AND(EG172="EQH",OR(AQ172=1,AQ172=2)),"IEQH",""))</f>
        <v/>
      </c>
      <c r="FD172" s="2" t="str">
        <f aca="false">IF(AND(EH172="EQL",OR(AR172=4,AR172=5)),"IEQL",IF(AND(EH172="EQH",OR(AR172=1,AR172=2)),"IEQH",""))</f>
        <v/>
      </c>
      <c r="FE172" s="2" t="str">
        <f aca="false">IF(AND(EI172="EQL",OR(AS172=4,AS172=5)),"IEQL",IF(AND(EI172="EQH",OR(AS172=1,AS172=2)),"IEQH",""))</f>
        <v/>
      </c>
      <c r="FF172" s="2" t="str">
        <f aca="false">IF(AND(EJ172="EQL",OR(AT172=4,AT172=5)),"IEQL",IF(AND(EJ172="EQH",OR(AT172=1,AT172=2)),"IEQH",""))</f>
        <v/>
      </c>
      <c r="FG172" s="2" t="str">
        <f aca="false">IF(AND(EK172="EQL",OR(AU172=4,AU172=5)),"IEQL",IF(AND(EK172="EQH",OR(AU172=1,AU172=2)),"IEQH",""))</f>
        <v/>
      </c>
      <c r="FH172" s="2" t="str">
        <f aca="false">IF(AND(EL172="EQL",OR(AV172=4,AV172=5)),"IEQL",IF(AND(EL172="EQH",OR(AV172=1,AV172=2)),"IEQH",""))</f>
        <v/>
      </c>
      <c r="FI172" s="2" t="str">
        <f aca="false">IF(AND(EM172="EQL",OR(AW172=4,AW172=5)),"IEQL",IF(AND(EM172="EQH",OR(AW172=1,AW172=2)),"IEQH",""))</f>
        <v/>
      </c>
      <c r="FJ172" s="2" t="str">
        <f aca="false">IF(AND(EN172="EQL",OR(AX172=4,AX172=5)),"IEQL",IF(AND(EN172="EQH",OR(AX172=1,AX172=2)),"IEQH",""))</f>
        <v/>
      </c>
      <c r="FK172" s="2" t="str">
        <f aca="false">IF(AND(EO172="EQL",OR(AY172=4,AY172=5)),"IEQL",IF(AND(EO172="EQH",OR(AY172=1,AY172=2)),"IEQH",""))</f>
        <v/>
      </c>
      <c r="FL172" s="2" t="str">
        <f aca="false">IF(AND(EP172="EQL",OR(AZ172=4,AZ172=5)),"IEQL",IF(AND(EP172="EQH",OR(AZ172=1,AZ172=2)),"IEQH",""))</f>
        <v/>
      </c>
      <c r="FM172" s="2" t="str">
        <f aca="false">IF(AND(EQ172="EQL",OR(BA172=4,BA172=5)),"IEQL",IF(AND(EQ172="EQH",OR(BA172=1,BA172=2)),"IEQH",""))</f>
        <v/>
      </c>
    </row>
    <row r="173" customFormat="false" ht="14.25" hidden="false" customHeight="false" outlineLevel="0" collapsed="false">
      <c r="A173" s="1" t="n">
        <v>1779962402</v>
      </c>
      <c r="B173" s="1" t="s">
        <v>169</v>
      </c>
      <c r="C173" s="1" t="s">
        <v>170</v>
      </c>
      <c r="D173" s="1" t="n">
        <v>4399.34</v>
      </c>
      <c r="E173" s="1" t="s">
        <v>173</v>
      </c>
      <c r="F173" s="1" t="n">
        <v>4404.43</v>
      </c>
      <c r="G173" s="2" t="n">
        <f aca="false">F171</f>
        <v>4465.92</v>
      </c>
      <c r="H173" s="2" t="n">
        <f aca="false">F169</f>
        <v>4517.18</v>
      </c>
      <c r="I173" s="2" t="n">
        <f aca="false">F167</f>
        <v>4537.84</v>
      </c>
      <c r="J173" s="2" t="n">
        <f aca="false">F165</f>
        <v>4540.53</v>
      </c>
      <c r="K173" s="2" t="n">
        <f aca="false">F163</f>
        <v>4539.01</v>
      </c>
      <c r="L173" s="2" t="n">
        <f aca="false">F161</f>
        <v>4580.28</v>
      </c>
      <c r="M173" s="2" t="n">
        <f aca="false">F159</f>
        <v>4577.8</v>
      </c>
      <c r="N173" s="2" t="n">
        <f aca="false">F157</f>
        <v>4577.02</v>
      </c>
      <c r="O173" s="2" t="n">
        <f aca="false">F155</f>
        <v>4579.98</v>
      </c>
      <c r="P173" s="2" t="n">
        <f aca="false">F153</f>
        <v>4527.75</v>
      </c>
      <c r="Q173" s="2" t="n">
        <f aca="false">F151</f>
        <v>4536.83</v>
      </c>
      <c r="R173" s="1" t="n">
        <v>38.11</v>
      </c>
      <c r="S173" s="2" t="n">
        <f aca="false">R171</f>
        <v>64.42</v>
      </c>
      <c r="T173" s="2" t="n">
        <f aca="false">R169</f>
        <v>21.21</v>
      </c>
      <c r="U173" s="2" t="n">
        <f aca="false">R167</f>
        <v>55.1</v>
      </c>
      <c r="V173" s="2" t="n">
        <f aca="false">R165</f>
        <v>28.42</v>
      </c>
      <c r="W173" s="2" t="n">
        <f aca="false">R163</f>
        <v>17.29</v>
      </c>
      <c r="X173" s="2" t="n">
        <f aca="false">R161</f>
        <v>16.88</v>
      </c>
      <c r="Y173" s="2" t="n">
        <f aca="false">R159</f>
        <v>24.87</v>
      </c>
      <c r="Z173" s="2" t="n">
        <f aca="false">R157</f>
        <v>26.54</v>
      </c>
      <c r="AA173" s="2" t="n">
        <f aca="false">R155</f>
        <v>75.59</v>
      </c>
      <c r="AB173" s="2" t="n">
        <f aca="false">R153</f>
        <v>35.82</v>
      </c>
      <c r="AC173" s="2" t="n">
        <f aca="false">R151</f>
        <v>29.39</v>
      </c>
      <c r="AD173" s="1" t="n">
        <v>0.87</v>
      </c>
      <c r="AE173" s="2" t="n">
        <f aca="false">AD171</f>
        <v>1.46</v>
      </c>
      <c r="AF173" s="2" t="n">
        <f aca="false">AD169</f>
        <v>0.47</v>
      </c>
      <c r="AG173" s="2" t="n">
        <f aca="false">AD167</f>
        <v>1.23</v>
      </c>
      <c r="AH173" s="2" t="n">
        <f aca="false">AD165</f>
        <v>0.63</v>
      </c>
      <c r="AI173" s="2" t="n">
        <f aca="false">AD163</f>
        <v>0.38</v>
      </c>
      <c r="AJ173" s="2" t="n">
        <f aca="false">AD161</f>
        <v>0.37</v>
      </c>
      <c r="AK173" s="2" t="n">
        <f aca="false">AD159</f>
        <v>0.55</v>
      </c>
      <c r="AL173" s="2" t="n">
        <f aca="false">AD157</f>
        <v>0.58</v>
      </c>
      <c r="AM173" s="2" t="n">
        <f aca="false">AD155</f>
        <v>1.68</v>
      </c>
      <c r="AN173" s="2" t="n">
        <f aca="false">AD153</f>
        <v>0.8</v>
      </c>
      <c r="AO173" s="2" t="n">
        <f aca="false">AD151</f>
        <v>0.65</v>
      </c>
      <c r="AP173" s="1" t="n">
        <v>0</v>
      </c>
      <c r="AQ173" s="2" t="n">
        <f aca="false">AP171</f>
        <v>0</v>
      </c>
      <c r="AR173" s="2" t="n">
        <f aca="false">AP169</f>
        <v>0</v>
      </c>
      <c r="AS173" s="2" t="n">
        <f aca="false">AP167</f>
        <v>0</v>
      </c>
      <c r="AT173" s="2" t="n">
        <f aca="false">AP165</f>
        <v>0</v>
      </c>
      <c r="AU173" s="2" t="n">
        <f aca="false">AP163</f>
        <v>0</v>
      </c>
      <c r="AV173" s="2" t="n">
        <f aca="false">AP161</f>
        <v>0</v>
      </c>
      <c r="AW173" s="2" t="n">
        <f aca="false">AP159</f>
        <v>0</v>
      </c>
      <c r="AX173" s="2" t="n">
        <f aca="false">AP157</f>
        <v>0</v>
      </c>
      <c r="AY173" s="2" t="n">
        <f aca="false">AP155</f>
        <v>0</v>
      </c>
      <c r="AZ173" s="2" t="n">
        <f aca="false">AP153</f>
        <v>0</v>
      </c>
      <c r="BA173" s="2" t="n">
        <f aca="false">AP151</f>
        <v>0</v>
      </c>
      <c r="BB173" s="1" t="n">
        <v>23</v>
      </c>
      <c r="BC173" s="2" t="n">
        <f aca="false">BB171</f>
        <v>31</v>
      </c>
      <c r="BD173" s="2" t="n">
        <f aca="false">BB169</f>
        <v>3</v>
      </c>
      <c r="BE173" s="2" t="n">
        <f aca="false">BB167</f>
        <v>12</v>
      </c>
      <c r="BF173" s="2" t="n">
        <f aca="false">BB165</f>
        <v>5</v>
      </c>
      <c r="BG173" s="2" t="n">
        <f aca="false">BB163</f>
        <v>1</v>
      </c>
      <c r="BH173" s="2" t="n">
        <f aca="false">BB161</f>
        <v>8</v>
      </c>
      <c r="BI173" s="2" t="n">
        <f aca="false">BB159</f>
        <v>19</v>
      </c>
      <c r="BJ173" s="2" t="n">
        <f aca="false">BB157</f>
        <v>23</v>
      </c>
      <c r="BK173" s="2" t="n">
        <f aca="false">BB155</f>
        <v>12</v>
      </c>
      <c r="BL173" s="2" t="n">
        <f aca="false">BB153</f>
        <v>13</v>
      </c>
      <c r="BM173" s="2" t="n">
        <f aca="false">BB151</f>
        <v>17</v>
      </c>
      <c r="BN173" s="1" t="n">
        <v>0</v>
      </c>
      <c r="BO173" s="2" t="n">
        <f aca="false">BN171</f>
        <v>0</v>
      </c>
      <c r="BP173" s="2" t="n">
        <f aca="false">BN169</f>
        <v>0</v>
      </c>
      <c r="BQ173" s="2" t="n">
        <f aca="false">BN167</f>
        <v>0</v>
      </c>
      <c r="BR173" s="2" t="n">
        <f aca="false">BN165</f>
        <v>0</v>
      </c>
      <c r="BS173" s="2" t="n">
        <f aca="false">BN163</f>
        <v>0</v>
      </c>
      <c r="BT173" s="2" t="n">
        <f aca="false">BN161</f>
        <v>0</v>
      </c>
      <c r="BU173" s="2" t="n">
        <f aca="false">BN159</f>
        <v>0</v>
      </c>
      <c r="BV173" s="2" t="n">
        <f aca="false">BN157</f>
        <v>0</v>
      </c>
      <c r="BW173" s="2" t="n">
        <f aca="false">BN155</f>
        <v>0</v>
      </c>
      <c r="BX173" s="2" t="n">
        <f aca="false">BN153</f>
        <v>0</v>
      </c>
      <c r="BY173" s="2" t="n">
        <f aca="false">BN151</f>
        <v>0</v>
      </c>
      <c r="BZ173" s="1" t="n">
        <v>1.65696</v>
      </c>
      <c r="CA173" s="2" t="n">
        <f aca="false">BZ171</f>
        <v>2.07806</v>
      </c>
      <c r="CB173" s="2" t="n">
        <f aca="false">BZ169</f>
        <v>7.07</v>
      </c>
      <c r="CC173" s="2" t="n">
        <f aca="false">BZ167</f>
        <v>4.59167</v>
      </c>
      <c r="CD173" s="2" t="n">
        <f aca="false">BZ165</f>
        <v>5.684</v>
      </c>
      <c r="CE173" s="2" t="n">
        <f aca="false">BZ163</f>
        <v>17.29</v>
      </c>
      <c r="CF173" s="2" t="n">
        <f aca="false">BZ161</f>
        <v>2.11</v>
      </c>
      <c r="CG173" s="2" t="n">
        <f aca="false">BZ159</f>
        <v>1.30895</v>
      </c>
      <c r="CH173" s="2" t="n">
        <f aca="false">BZ157</f>
        <v>1.15391</v>
      </c>
      <c r="CI173" s="2" t="n">
        <f aca="false">BZ155</f>
        <v>6.29917</v>
      </c>
      <c r="CJ173" s="2" t="n">
        <f aca="false">BZ153</f>
        <v>2.75538</v>
      </c>
      <c r="CK173" s="2" t="n">
        <f aca="false">BZ151</f>
        <v>1.72882</v>
      </c>
      <c r="CL173" s="1" t="n">
        <v>0</v>
      </c>
      <c r="CM173" s="2" t="n">
        <f aca="false">CL171</f>
        <v>0</v>
      </c>
      <c r="CN173" s="2" t="n">
        <f aca="false">CL169</f>
        <v>0</v>
      </c>
      <c r="CO173" s="2" t="n">
        <f aca="false">CL167</f>
        <v>0</v>
      </c>
      <c r="CP173" s="2" t="n">
        <f aca="false">CL165</f>
        <v>0</v>
      </c>
      <c r="CQ173" s="2" t="n">
        <f aca="false">CL163</f>
        <v>2</v>
      </c>
      <c r="CR173" s="2" t="n">
        <f aca="false">CL161</f>
        <v>0</v>
      </c>
      <c r="CS173" s="2" t="n">
        <f aca="false">CL159</f>
        <v>0</v>
      </c>
      <c r="CT173" s="2" t="n">
        <f aca="false">CL157</f>
        <v>0</v>
      </c>
      <c r="CU173" s="2" t="n">
        <f aca="false">CL155</f>
        <v>0</v>
      </c>
      <c r="CV173" s="2" t="n">
        <f aca="false">CL153</f>
        <v>0</v>
      </c>
      <c r="CW173" s="2" t="n">
        <f aca="false">CL151</f>
        <v>0</v>
      </c>
      <c r="CX173" s="1" t="n">
        <v>58.8883</v>
      </c>
      <c r="CY173" s="2" t="n">
        <f aca="false">CX171</f>
        <v>64.3023</v>
      </c>
      <c r="CZ173" s="2" t="n">
        <f aca="false">CX169</f>
        <v>81.9493</v>
      </c>
      <c r="DA173" s="2" t="n">
        <f aca="false">CX167</f>
        <v>77.7136</v>
      </c>
      <c r="DB173" s="2" t="n">
        <f aca="false">CX165</f>
        <v>80.0219</v>
      </c>
      <c r="DC173" s="2" t="n">
        <f aca="false">CX163</f>
        <v>86.6899</v>
      </c>
      <c r="DD173" s="2" t="n">
        <f aca="false">CX161</f>
        <v>64.6422</v>
      </c>
      <c r="DE173" s="2" t="n">
        <f aca="false">CX159</f>
        <v>52.6212</v>
      </c>
      <c r="DF173" s="2" t="n">
        <f aca="false">CX157</f>
        <v>49.0873</v>
      </c>
      <c r="DG173" s="2" t="n">
        <f aca="false">CX155</f>
        <v>80.9795</v>
      </c>
      <c r="DH173" s="2" t="n">
        <f aca="false">CX153</f>
        <v>70.0529</v>
      </c>
      <c r="DI173" s="2" t="n">
        <f aca="false">CX151</f>
        <v>59.9537</v>
      </c>
      <c r="DJ173" s="1" t="s">
        <v>174</v>
      </c>
      <c r="DK173" s="2" t="str">
        <f aca="false">DJ171</f>
        <v>LH</v>
      </c>
      <c r="DL173" s="2" t="str">
        <f aca="false">DJ169</f>
        <v>LH</v>
      </c>
      <c r="DM173" s="2" t="str">
        <f aca="false">DJ167</f>
        <v>LH</v>
      </c>
      <c r="DN173" s="2" t="str">
        <f aca="false">DJ165</f>
        <v>HH</v>
      </c>
      <c r="DO173" s="2" t="str">
        <f aca="false">DJ163</f>
        <v>LH</v>
      </c>
      <c r="DP173" s="2" t="str">
        <f aca="false">DJ161</f>
        <v>HH</v>
      </c>
      <c r="DQ173" s="2" t="str">
        <f aca="false">DJ159</f>
        <v>HH</v>
      </c>
      <c r="DR173" s="2" t="str">
        <f aca="false">DJ157</f>
        <v>LH</v>
      </c>
      <c r="DS173" s="2" t="str">
        <f aca="false">DJ155</f>
        <v>HH</v>
      </c>
      <c r="DT173" s="2" t="str">
        <f aca="false">DJ153</f>
        <v>LH</v>
      </c>
      <c r="DU173" s="2" t="str">
        <f aca="false">DJ151</f>
        <v>HH</v>
      </c>
      <c r="DV173" s="2" t="n">
        <f aca="false">IFERROR((G173-$F173)/$F173*100,"")</f>
        <v>1.39609438678784</v>
      </c>
      <c r="DW173" s="2" t="n">
        <f aca="false">IFERROR((H173-$F173)/$F173*100,"")</f>
        <v>2.55992262335875</v>
      </c>
      <c r="DX173" s="2" t="n">
        <f aca="false">IFERROR((I173-$F173)/$F173*100,"")</f>
        <v>3.02899580649482</v>
      </c>
      <c r="DY173" s="2" t="n">
        <f aca="false">IFERROR((J173-$F173)/$F173*100,"")</f>
        <v>3.09007067883925</v>
      </c>
      <c r="DZ173" s="2" t="n">
        <f aca="false">IFERROR((K173-$F173)/$F173*100,"")</f>
        <v>3.05555997030263</v>
      </c>
      <c r="EA173" s="2" t="n">
        <f aca="false">IFERROR((L173-$F173)/$F173*100,"")</f>
        <v>3.99257111589921</v>
      </c>
      <c r="EB173" s="2" t="n">
        <f aca="false">IFERROR((M173-$F173)/$F173*100,"")</f>
        <v>3.93626417039208</v>
      </c>
      <c r="EC173" s="2" t="n">
        <f aca="false">IFERROR((N173-$F173)/$F173*100,"")</f>
        <v>3.91855472785355</v>
      </c>
      <c r="ED173" s="2" t="n">
        <f aca="false">IFERROR((O173-$F173)/$F173*100,"")</f>
        <v>3.98575979184592</v>
      </c>
      <c r="EE173" s="2" t="n">
        <f aca="false">IFERROR((P173-$F173)/$F173*100,"")</f>
        <v>2.79990827416941</v>
      </c>
      <c r="EF173" s="2" t="n">
        <f aca="false">IFERROR((Q173-$F173)/$F173*100,"")</f>
        <v>3.00606434884876</v>
      </c>
      <c r="EG173" s="2" t="str">
        <f aca="false">IF(DV173="","",IF(AND(ABS(DV173)&lt;=0.25,$E173="Bottom",DK173="LL"),"EQL",IF(AND(ABS(DV173)&lt;=0.25,$E173="Peak",DK173="HH"),"EQH","")))</f>
        <v/>
      </c>
      <c r="EH173" s="2" t="str">
        <f aca="false">IF(DW173="","",IF(AND(ABS(DW173)&lt;=0.25,$E173="Bottom",DL173="LL"),"EQL",IF(AND(ABS(DW173)&lt;=0.25,$E173="Peak",DL173="HH"),"EQH","")))</f>
        <v/>
      </c>
      <c r="EI173" s="2" t="str">
        <f aca="false">IF(DX173="","",IF(AND(ABS(DX173)&lt;=0.25,$E173="Bottom",DM173="LL"),"EQL",IF(AND(ABS(DX173)&lt;=0.25,$E173="Peak",DM173="HH"),"EQH","")))</f>
        <v/>
      </c>
      <c r="EJ173" s="2" t="str">
        <f aca="false">IF(DY173="","",IF(AND(ABS(DY173)&lt;=0.25,$E173="Bottom",DN173="LL"),"EQL",IF(AND(ABS(DY173)&lt;=0.25,$E173="Peak",DN173="HH"),"EQH","")))</f>
        <v/>
      </c>
      <c r="EK173" s="2" t="str">
        <f aca="false">IF(DZ173="","",IF(AND(ABS(DZ173)&lt;=0.25,$E173="Bottom",DO173="LL"),"EQL",IF(AND(ABS(DZ173)&lt;=0.25,$E173="Peak",DO173="HH"),"EQH","")))</f>
        <v/>
      </c>
      <c r="EL173" s="2" t="str">
        <f aca="false">IF(EA173="","",IF(AND(ABS(EA173)&lt;=0.25,$E173="Bottom",DP173="LL"),"EQL",IF(AND(ABS(EA173)&lt;=0.25,$E173="Peak",DP173="HH"),"EQH","")))</f>
        <v/>
      </c>
      <c r="EM173" s="2" t="str">
        <f aca="false">IF(EB173="","",IF(AND(ABS(EB173)&lt;=0.25,$E173="Bottom",DQ173="LL"),"EQL",IF(AND(ABS(EB173)&lt;=0.25,$E173="Peak",DQ173="HH"),"EQH","")))</f>
        <v/>
      </c>
      <c r="EN173" s="2" t="str">
        <f aca="false">IF(EC173="","",IF(AND(ABS(EC173)&lt;=0.25,$E173="Bottom",DR173="LL"),"EQL",IF(AND(ABS(EC173)&lt;=0.25,$E173="Peak",DR173="HH"),"EQH","")))</f>
        <v/>
      </c>
      <c r="EO173" s="2" t="str">
        <f aca="false">IF(ED173="","",IF(AND(ABS(ED173)&lt;=0.25,$E173="Bottom",DS173="LL"),"EQL",IF(AND(ABS(ED173)&lt;=0.25,$E173="Peak",DS173="HH"),"EQH","")))</f>
        <v/>
      </c>
      <c r="EP173" s="2" t="str">
        <f aca="false">IF(EE173="","",IF(AND(ABS(EE173)&lt;=0.25,$E173="Bottom",DT173="LL"),"EQL",IF(AND(ABS(EE173)&lt;=0.25,$E173="Peak",DT173="HH"),"EQH","")))</f>
        <v/>
      </c>
      <c r="EQ173" s="2" t="str">
        <f aca="false">IF(EF173="","",IF(AND(ABS(EF173)&lt;=0.25,$E173="Bottom",DU173="LL"),"EQL",IF(AND(ABS(EF173)&lt;=0.25,$E173="Peak",DU173="HH"),"EQH","")))</f>
        <v/>
      </c>
      <c r="ER173" s="2" t="str">
        <f aca="false">IF(OR(EG173="EQL",EG173="EQH"),G173,"")</f>
        <v/>
      </c>
      <c r="ES173" s="2" t="str">
        <f aca="false">IF(OR(EH173="EQL",EH173="EQH"),H173,"")</f>
        <v/>
      </c>
      <c r="ET173" s="2" t="str">
        <f aca="false">IF(OR(EI173="EQL",EI173="EQH"),I173,"")</f>
        <v/>
      </c>
      <c r="EU173" s="2" t="str">
        <f aca="false">IF(OR(EJ173="EQL",EJ173="EQH"),J173,"")</f>
        <v/>
      </c>
      <c r="EV173" s="2" t="str">
        <f aca="false">IF(OR(EK173="EQL",EK173="EQH"),K173,"")</f>
        <v/>
      </c>
      <c r="EW173" s="2" t="str">
        <f aca="false">IF(OR(EL173="EQL",EL173="EQH"),L173,"")</f>
        <v/>
      </c>
      <c r="EX173" s="2" t="str">
        <f aca="false">IF(OR(EM173="EQL",EM173="EQH"),M173,"")</f>
        <v/>
      </c>
      <c r="EY173" s="2" t="str">
        <f aca="false">IF(OR(EN173="EQL",EN173="EQH"),N173,"")</f>
        <v/>
      </c>
      <c r="EZ173" s="2" t="str">
        <f aca="false">IF(OR(EO173="EQL",EO173="EQH"),O173,"")</f>
        <v/>
      </c>
      <c r="FA173" s="2" t="str">
        <f aca="false">IF(OR(EP173="EQL",EP173="EQH"),P173,"")</f>
        <v/>
      </c>
      <c r="FB173" s="2" t="str">
        <f aca="false">IF(OR(EQ173="EQL",EQ173="EQH"),Q173,"")</f>
        <v/>
      </c>
      <c r="FC173" s="2" t="str">
        <f aca="false">IF(AND(EG173="EQL",OR(AQ173=4,AQ173=5)),"IEQL",IF(AND(EG173="EQH",OR(AQ173=1,AQ173=2)),"IEQH",""))</f>
        <v/>
      </c>
      <c r="FD173" s="2" t="str">
        <f aca="false">IF(AND(EH173="EQL",OR(AR173=4,AR173=5)),"IEQL",IF(AND(EH173="EQH",OR(AR173=1,AR173=2)),"IEQH",""))</f>
        <v/>
      </c>
      <c r="FE173" s="2" t="str">
        <f aca="false">IF(AND(EI173="EQL",OR(AS173=4,AS173=5)),"IEQL",IF(AND(EI173="EQH",OR(AS173=1,AS173=2)),"IEQH",""))</f>
        <v/>
      </c>
      <c r="FF173" s="2" t="str">
        <f aca="false">IF(AND(EJ173="EQL",OR(AT173=4,AT173=5)),"IEQL",IF(AND(EJ173="EQH",OR(AT173=1,AT173=2)),"IEQH",""))</f>
        <v/>
      </c>
      <c r="FG173" s="2" t="str">
        <f aca="false">IF(AND(EK173="EQL",OR(AU173=4,AU173=5)),"IEQL",IF(AND(EK173="EQH",OR(AU173=1,AU173=2)),"IEQH",""))</f>
        <v/>
      </c>
      <c r="FH173" s="2" t="str">
        <f aca="false">IF(AND(EL173="EQL",OR(AV173=4,AV173=5)),"IEQL",IF(AND(EL173="EQH",OR(AV173=1,AV173=2)),"IEQH",""))</f>
        <v/>
      </c>
      <c r="FI173" s="2" t="str">
        <f aca="false">IF(AND(EM173="EQL",OR(AW173=4,AW173=5)),"IEQL",IF(AND(EM173="EQH",OR(AW173=1,AW173=2)),"IEQH",""))</f>
        <v/>
      </c>
      <c r="FJ173" s="2" t="str">
        <f aca="false">IF(AND(EN173="EQL",OR(AX173=4,AX173=5)),"IEQL",IF(AND(EN173="EQH",OR(AX173=1,AX173=2)),"IEQH",""))</f>
        <v/>
      </c>
      <c r="FK173" s="2" t="str">
        <f aca="false">IF(AND(EO173="EQL",OR(AY173=4,AY173=5)),"IEQL",IF(AND(EO173="EQH",OR(AY173=1,AY173=2)),"IEQH",""))</f>
        <v/>
      </c>
      <c r="FL173" s="2" t="str">
        <f aca="false">IF(AND(EP173="EQL",OR(AZ173=4,AZ173=5)),"IEQL",IF(AND(EP173="EQH",OR(AZ173=1,AZ173=2)),"IEQH",""))</f>
        <v/>
      </c>
      <c r="FM173" s="2" t="str">
        <f aca="false">IF(AND(EQ173="EQL",OR(BA173=4,BA173=5)),"IEQL",IF(AND(EQ173="EQH",OR(BA173=1,BA173=2)),"IEQH",""))</f>
        <v/>
      </c>
    </row>
    <row r="174" customFormat="false" ht="14.25" hidden="false" customHeight="false" outlineLevel="0" collapsed="false">
      <c r="A174" s="1" t="n">
        <v>1779965102</v>
      </c>
      <c r="B174" s="1" t="s">
        <v>169</v>
      </c>
      <c r="C174" s="1" t="s">
        <v>170</v>
      </c>
      <c r="D174" s="1" t="n">
        <v>4382.96</v>
      </c>
      <c r="E174" s="1" t="s">
        <v>171</v>
      </c>
      <c r="F174" s="1" t="n">
        <v>4375.47</v>
      </c>
      <c r="G174" s="2" t="n">
        <f aca="false">F172</f>
        <v>4366.32</v>
      </c>
      <c r="H174" s="2" t="n">
        <f aca="false">F170</f>
        <v>4401.5</v>
      </c>
      <c r="I174" s="2" t="n">
        <f aca="false">F168</f>
        <v>4495.97</v>
      </c>
      <c r="J174" s="2" t="n">
        <f aca="false">F166</f>
        <v>4482.74</v>
      </c>
      <c r="K174" s="2" t="n">
        <f aca="false">F164</f>
        <v>4512.11</v>
      </c>
      <c r="L174" s="2" t="n">
        <f aca="false">F162</f>
        <v>4521.72</v>
      </c>
      <c r="M174" s="2" t="n">
        <f aca="false">F160</f>
        <v>4563.4</v>
      </c>
      <c r="N174" s="2" t="n">
        <f aca="false">F158</f>
        <v>4552.93</v>
      </c>
      <c r="O174" s="2" t="n">
        <f aca="false">F156</f>
        <v>4550.48</v>
      </c>
      <c r="P174" s="2" t="n">
        <f aca="false">F154</f>
        <v>4504.39</v>
      </c>
      <c r="Q174" s="2" t="n">
        <f aca="false">F152</f>
        <v>4491.93</v>
      </c>
      <c r="R174" s="1" t="n">
        <v>-28.96</v>
      </c>
      <c r="S174" s="2" t="n">
        <f aca="false">R172</f>
        <v>-99.6</v>
      </c>
      <c r="T174" s="2" t="n">
        <f aca="false">R170</f>
        <v>-115.68</v>
      </c>
      <c r="U174" s="2" t="n">
        <f aca="false">R168</f>
        <v>-41.87</v>
      </c>
      <c r="V174" s="2" t="n">
        <f aca="false">R166</f>
        <v>-57.79</v>
      </c>
      <c r="W174" s="2" t="n">
        <f aca="false">R164</f>
        <v>-26.9</v>
      </c>
      <c r="X174" s="2" t="n">
        <f aca="false">R162</f>
        <v>-58.56</v>
      </c>
      <c r="Y174" s="2" t="n">
        <f aca="false">R160</f>
        <v>-14.4</v>
      </c>
      <c r="Z174" s="2" t="n">
        <f aca="false">R158</f>
        <v>-24.09</v>
      </c>
      <c r="AA174" s="2" t="n">
        <f aca="false">R156</f>
        <v>-29.5</v>
      </c>
      <c r="AB174" s="2" t="n">
        <f aca="false">R154</f>
        <v>-23.36</v>
      </c>
      <c r="AC174" s="2" t="n">
        <f aca="false">R152</f>
        <v>-44.9</v>
      </c>
      <c r="AD174" s="1" t="n">
        <v>-0.66</v>
      </c>
      <c r="AE174" s="2" t="n">
        <f aca="false">AD172</f>
        <v>-2.23</v>
      </c>
      <c r="AF174" s="2" t="n">
        <f aca="false">AD170</f>
        <v>-2.56</v>
      </c>
      <c r="AG174" s="2" t="n">
        <f aca="false">AD168</f>
        <v>-0.92</v>
      </c>
      <c r="AH174" s="2" t="n">
        <f aca="false">AD166</f>
        <v>-1.27</v>
      </c>
      <c r="AI174" s="2" t="n">
        <f aca="false">AD164</f>
        <v>-0.59</v>
      </c>
      <c r="AJ174" s="2" t="n">
        <f aca="false">AD162</f>
        <v>-1.28</v>
      </c>
      <c r="AK174" s="2" t="n">
        <f aca="false">AD160</f>
        <v>-0.31</v>
      </c>
      <c r="AL174" s="2" t="n">
        <f aca="false">AD158</f>
        <v>-0.53</v>
      </c>
      <c r="AM174" s="2" t="n">
        <f aca="false">AD156</f>
        <v>-0.64</v>
      </c>
      <c r="AN174" s="2" t="n">
        <f aca="false">AD154</f>
        <v>-0.52</v>
      </c>
      <c r="AO174" s="2" t="n">
        <f aca="false">AD152</f>
        <v>-0.99</v>
      </c>
      <c r="AP174" s="1" t="n">
        <v>3</v>
      </c>
      <c r="AQ174" s="2" t="n">
        <f aca="false">AP172</f>
        <v>5</v>
      </c>
      <c r="AR174" s="2" t="n">
        <f aca="false">AP170</f>
        <v>5</v>
      </c>
      <c r="AS174" s="2" t="n">
        <f aca="false">AP168</f>
        <v>3</v>
      </c>
      <c r="AT174" s="2" t="n">
        <f aca="false">AP166</f>
        <v>3</v>
      </c>
      <c r="AU174" s="2" t="n">
        <f aca="false">AP164</f>
        <v>3</v>
      </c>
      <c r="AV174" s="2" t="n">
        <f aca="false">AP162</f>
        <v>3</v>
      </c>
      <c r="AW174" s="2" t="n">
        <f aca="false">AP160</f>
        <v>3</v>
      </c>
      <c r="AX174" s="2" t="n">
        <f aca="false">AP158</f>
        <v>3</v>
      </c>
      <c r="AY174" s="2" t="n">
        <f aca="false">AP156</f>
        <v>3</v>
      </c>
      <c r="AZ174" s="2" t="n">
        <f aca="false">AP154</f>
        <v>3</v>
      </c>
      <c r="BA174" s="2" t="n">
        <f aca="false">AP152</f>
        <v>3</v>
      </c>
      <c r="BB174" s="1" t="n">
        <v>3</v>
      </c>
      <c r="BC174" s="2" t="n">
        <f aca="false">BB172</f>
        <v>25</v>
      </c>
      <c r="BD174" s="2" t="n">
        <f aca="false">BB170</f>
        <v>34</v>
      </c>
      <c r="BE174" s="2" t="n">
        <f aca="false">BB168</f>
        <v>24</v>
      </c>
      <c r="BF174" s="2" t="n">
        <f aca="false">BB166</f>
        <v>29</v>
      </c>
      <c r="BG174" s="2" t="n">
        <f aca="false">BB164</f>
        <v>7</v>
      </c>
      <c r="BH174" s="2" t="n">
        <f aca="false">BB162</f>
        <v>33</v>
      </c>
      <c r="BI174" s="2" t="n">
        <f aca="false">BB160</f>
        <v>3</v>
      </c>
      <c r="BJ174" s="2" t="n">
        <f aca="false">BB158</f>
        <v>2</v>
      </c>
      <c r="BK174" s="2" t="n">
        <f aca="false">BB156</f>
        <v>26</v>
      </c>
      <c r="BL174" s="2" t="n">
        <f aca="false">BB154</f>
        <v>8</v>
      </c>
      <c r="BM174" s="2" t="n">
        <f aca="false">BB152</f>
        <v>17</v>
      </c>
      <c r="BN174" s="1" t="n">
        <v>3</v>
      </c>
      <c r="BO174" s="2" t="n">
        <f aca="false">BN172</f>
        <v>3</v>
      </c>
      <c r="BP174" s="2" t="n">
        <f aca="false">BN170</f>
        <v>4</v>
      </c>
      <c r="BQ174" s="2" t="n">
        <f aca="false">BN168</f>
        <v>3</v>
      </c>
      <c r="BR174" s="2" t="n">
        <f aca="false">BN166</f>
        <v>3</v>
      </c>
      <c r="BS174" s="2" t="n">
        <f aca="false">BN164</f>
        <v>3</v>
      </c>
      <c r="BT174" s="2" t="n">
        <f aca="false">BN162</f>
        <v>4</v>
      </c>
      <c r="BU174" s="2" t="n">
        <f aca="false">BN160</f>
        <v>3</v>
      </c>
      <c r="BV174" s="2" t="n">
        <f aca="false">BN158</f>
        <v>3</v>
      </c>
      <c r="BW174" s="2" t="n">
        <f aca="false">BN156</f>
        <v>3</v>
      </c>
      <c r="BX174" s="2" t="n">
        <f aca="false">BN154</f>
        <v>3</v>
      </c>
      <c r="BY174" s="2" t="n">
        <f aca="false">BN152</f>
        <v>3</v>
      </c>
      <c r="BZ174" s="1" t="n">
        <v>-9.65333</v>
      </c>
      <c r="CA174" s="2" t="n">
        <f aca="false">BZ172</f>
        <v>-3.984</v>
      </c>
      <c r="CB174" s="2" t="n">
        <f aca="false">BZ170</f>
        <v>-3.40235</v>
      </c>
      <c r="CC174" s="2" t="n">
        <f aca="false">BZ168</f>
        <v>-1.74458</v>
      </c>
      <c r="CD174" s="2" t="n">
        <f aca="false">BZ166</f>
        <v>-1.99276</v>
      </c>
      <c r="CE174" s="2" t="n">
        <f aca="false">BZ164</f>
        <v>-3.84286</v>
      </c>
      <c r="CF174" s="2" t="n">
        <f aca="false">BZ162</f>
        <v>-1.77455</v>
      </c>
      <c r="CG174" s="2" t="n">
        <f aca="false">BZ160</f>
        <v>-4.8</v>
      </c>
      <c r="CH174" s="2" t="n">
        <f aca="false">BZ158</f>
        <v>-12.045</v>
      </c>
      <c r="CI174" s="2" t="n">
        <f aca="false">BZ156</f>
        <v>-1.13462</v>
      </c>
      <c r="CJ174" s="2" t="n">
        <f aca="false">BZ154</f>
        <v>-2.92</v>
      </c>
      <c r="CK174" s="2" t="n">
        <f aca="false">BZ152</f>
        <v>-2.64118</v>
      </c>
      <c r="CL174" s="1" t="n">
        <v>3</v>
      </c>
      <c r="CM174" s="2" t="n">
        <f aca="false">CL172</f>
        <v>3</v>
      </c>
      <c r="CN174" s="2" t="n">
        <f aca="false">CL170</f>
        <v>3</v>
      </c>
      <c r="CO174" s="2" t="n">
        <f aca="false">CL168</f>
        <v>3</v>
      </c>
      <c r="CP174" s="2" t="n">
        <f aca="false">CL166</f>
        <v>3</v>
      </c>
      <c r="CQ174" s="2" t="n">
        <f aca="false">CL164</f>
        <v>3</v>
      </c>
      <c r="CR174" s="2" t="n">
        <f aca="false">CL162</f>
        <v>3</v>
      </c>
      <c r="CS174" s="2" t="n">
        <f aca="false">CL160</f>
        <v>3</v>
      </c>
      <c r="CT174" s="2" t="n">
        <f aca="false">CL158</f>
        <v>4</v>
      </c>
      <c r="CU174" s="2" t="n">
        <f aca="false">CL156</f>
        <v>3</v>
      </c>
      <c r="CV174" s="2" t="n">
        <f aca="false">CL154</f>
        <v>3</v>
      </c>
      <c r="CW174" s="2" t="n">
        <f aca="false">CL152</f>
        <v>3</v>
      </c>
      <c r="CX174" s="1" t="n">
        <v>-84.0858</v>
      </c>
      <c r="CY174" s="2" t="n">
        <f aca="false">CX172</f>
        <v>-75.9096</v>
      </c>
      <c r="CZ174" s="2" t="n">
        <f aca="false">CX170</f>
        <v>-73.6212</v>
      </c>
      <c r="DA174" s="2" t="n">
        <f aca="false">CX168</f>
        <v>-60.1785</v>
      </c>
      <c r="DB174" s="2" t="n">
        <f aca="false">CX166</f>
        <v>-63.3517</v>
      </c>
      <c r="DC174" s="2" t="n">
        <f aca="false">CX164</f>
        <v>-75.4138</v>
      </c>
      <c r="DD174" s="2" t="n">
        <f aca="false">CX162</f>
        <v>-60.5977</v>
      </c>
      <c r="DE174" s="2" t="n">
        <f aca="false">CX160</f>
        <v>-78.2317</v>
      </c>
      <c r="DF174" s="2" t="n">
        <f aca="false">CX158</f>
        <v>-85.2541</v>
      </c>
      <c r="DG174" s="2" t="n">
        <f aca="false">CX156</f>
        <v>-48.6085</v>
      </c>
      <c r="DH174" s="2" t="n">
        <f aca="false">CX154</f>
        <v>-71.0954</v>
      </c>
      <c r="DI174" s="2" t="n">
        <f aca="false">CX152</f>
        <v>-69.2624</v>
      </c>
      <c r="DJ174" s="1" t="s">
        <v>175</v>
      </c>
      <c r="DK174" s="2" t="str">
        <f aca="false">DJ172</f>
        <v>LL</v>
      </c>
      <c r="DL174" s="2" t="str">
        <f aca="false">DJ170</f>
        <v>LL</v>
      </c>
      <c r="DM174" s="2" t="str">
        <f aca="false">DJ168</f>
        <v>HL</v>
      </c>
      <c r="DN174" s="2" t="str">
        <f aca="false">DJ166</f>
        <v>LL</v>
      </c>
      <c r="DO174" s="2" t="str">
        <f aca="false">DJ164</f>
        <v>LL</v>
      </c>
      <c r="DP174" s="2" t="str">
        <f aca="false">DJ162</f>
        <v>LL</v>
      </c>
      <c r="DQ174" s="2" t="str">
        <f aca="false">DJ160</f>
        <v>HL</v>
      </c>
      <c r="DR174" s="2" t="str">
        <f aca="false">DJ158</f>
        <v>HL</v>
      </c>
      <c r="DS174" s="2" t="str">
        <f aca="false">DJ156</f>
        <v>HL</v>
      </c>
      <c r="DT174" s="2" t="str">
        <f aca="false">DJ154</f>
        <v>HL</v>
      </c>
      <c r="DU174" s="2" t="str">
        <f aca="false">DJ152</f>
        <v>LL</v>
      </c>
      <c r="DV174" s="2" t="n">
        <f aca="false">IFERROR((G174-$F174)/$F174*100,"")</f>
        <v>-0.209120391637939</v>
      </c>
      <c r="DW174" s="2" t="n">
        <f aca="false">IFERROR((H174-$F174)/$F174*100,"")</f>
        <v>0.594907518506577</v>
      </c>
      <c r="DX174" s="2" t="n">
        <f aca="false">IFERROR((I174-$F174)/$F174*100,"")</f>
        <v>2.75398985708964</v>
      </c>
      <c r="DY174" s="2" t="n">
        <f aca="false">IFERROR((J174-$F174)/$F174*100,"")</f>
        <v>2.45162234000003</v>
      </c>
      <c r="DZ174" s="2" t="n">
        <f aca="false">IFERROR((K174-$F174)/$F174*100,"")</f>
        <v>3.12286451512636</v>
      </c>
      <c r="EA174" s="2" t="n">
        <f aca="false">IFERROR((L174-$F174)/$F174*100,"")</f>
        <v>3.34249806306522</v>
      </c>
      <c r="EB174" s="2" t="n">
        <f aca="false">IFERROR((M174-$F174)/$F174*100,"")</f>
        <v>4.29508144267929</v>
      </c>
      <c r="EC174" s="2" t="n">
        <f aca="false">IFERROR((N174-$F174)/$F174*100,"")</f>
        <v>4.05579286339525</v>
      </c>
      <c r="ED174" s="2" t="n">
        <f aca="false">IFERROR((O174-$F174)/$F174*100,"")</f>
        <v>3.99979887874901</v>
      </c>
      <c r="EE174" s="2" t="n">
        <f aca="false">IFERROR((P174-$F174)/$F174*100,"")</f>
        <v>2.94642632677175</v>
      </c>
      <c r="EF174" s="2" t="n">
        <f aca="false">IFERROR((Q174-$F174)/$F174*100,"")</f>
        <v>2.6616569191424</v>
      </c>
      <c r="EG174" s="2" t="str">
        <f aca="false">IF(DV174="","",IF(AND(ABS(DV174)&lt;=0.25,$E174="Bottom",DK174="LL"),"EQL",IF(AND(ABS(DV174)&lt;=0.25,$E174="Peak",DK174="HH"),"EQH","")))</f>
        <v>EQL</v>
      </c>
      <c r="EH174" s="2" t="str">
        <f aca="false">IF(DW174="","",IF(AND(ABS(DW174)&lt;=0.25,$E174="Bottom",DL174="LL"),"EQL",IF(AND(ABS(DW174)&lt;=0.25,$E174="Peak",DL174="HH"),"EQH","")))</f>
        <v/>
      </c>
      <c r="EI174" s="2" t="str">
        <f aca="false">IF(DX174="","",IF(AND(ABS(DX174)&lt;=0.25,$E174="Bottom",DM174="LL"),"EQL",IF(AND(ABS(DX174)&lt;=0.25,$E174="Peak",DM174="HH"),"EQH","")))</f>
        <v/>
      </c>
      <c r="EJ174" s="2" t="str">
        <f aca="false">IF(DY174="","",IF(AND(ABS(DY174)&lt;=0.25,$E174="Bottom",DN174="LL"),"EQL",IF(AND(ABS(DY174)&lt;=0.25,$E174="Peak",DN174="HH"),"EQH","")))</f>
        <v/>
      </c>
      <c r="EK174" s="2" t="str">
        <f aca="false">IF(DZ174="","",IF(AND(ABS(DZ174)&lt;=0.25,$E174="Bottom",DO174="LL"),"EQL",IF(AND(ABS(DZ174)&lt;=0.25,$E174="Peak",DO174="HH"),"EQH","")))</f>
        <v/>
      </c>
      <c r="EL174" s="2" t="str">
        <f aca="false">IF(EA174="","",IF(AND(ABS(EA174)&lt;=0.25,$E174="Bottom",DP174="LL"),"EQL",IF(AND(ABS(EA174)&lt;=0.25,$E174="Peak",DP174="HH"),"EQH","")))</f>
        <v/>
      </c>
      <c r="EM174" s="2" t="str">
        <f aca="false">IF(EB174="","",IF(AND(ABS(EB174)&lt;=0.25,$E174="Bottom",DQ174="LL"),"EQL",IF(AND(ABS(EB174)&lt;=0.25,$E174="Peak",DQ174="HH"),"EQH","")))</f>
        <v/>
      </c>
      <c r="EN174" s="2" t="str">
        <f aca="false">IF(EC174="","",IF(AND(ABS(EC174)&lt;=0.25,$E174="Bottom",DR174="LL"),"EQL",IF(AND(ABS(EC174)&lt;=0.25,$E174="Peak",DR174="HH"),"EQH","")))</f>
        <v/>
      </c>
      <c r="EO174" s="2" t="str">
        <f aca="false">IF(ED174="","",IF(AND(ABS(ED174)&lt;=0.25,$E174="Bottom",DS174="LL"),"EQL",IF(AND(ABS(ED174)&lt;=0.25,$E174="Peak",DS174="HH"),"EQH","")))</f>
        <v/>
      </c>
      <c r="EP174" s="2" t="str">
        <f aca="false">IF(EE174="","",IF(AND(ABS(EE174)&lt;=0.25,$E174="Bottom",DT174="LL"),"EQL",IF(AND(ABS(EE174)&lt;=0.25,$E174="Peak",DT174="HH"),"EQH","")))</f>
        <v/>
      </c>
      <c r="EQ174" s="2" t="str">
        <f aca="false">IF(EF174="","",IF(AND(ABS(EF174)&lt;=0.25,$E174="Bottom",DU174="LL"),"EQL",IF(AND(ABS(EF174)&lt;=0.25,$E174="Peak",DU174="HH"),"EQH","")))</f>
        <v/>
      </c>
      <c r="ER174" s="2" t="n">
        <f aca="false">IF(OR(EG174="EQL",EG174="EQH"),G174,"")</f>
        <v>4366.32</v>
      </c>
      <c r="ES174" s="2" t="str">
        <f aca="false">IF(OR(EH174="EQL",EH174="EQH"),H174,"")</f>
        <v/>
      </c>
      <c r="ET174" s="2" t="str">
        <f aca="false">IF(OR(EI174="EQL",EI174="EQH"),I174,"")</f>
        <v/>
      </c>
      <c r="EU174" s="2" t="str">
        <f aca="false">IF(OR(EJ174="EQL",EJ174="EQH"),J174,"")</f>
        <v/>
      </c>
      <c r="EV174" s="2" t="str">
        <f aca="false">IF(OR(EK174="EQL",EK174="EQH"),K174,"")</f>
        <v/>
      </c>
      <c r="EW174" s="2" t="str">
        <f aca="false">IF(OR(EL174="EQL",EL174="EQH"),L174,"")</f>
        <v/>
      </c>
      <c r="EX174" s="2" t="str">
        <f aca="false">IF(OR(EM174="EQL",EM174="EQH"),M174,"")</f>
        <v/>
      </c>
      <c r="EY174" s="2" t="str">
        <f aca="false">IF(OR(EN174="EQL",EN174="EQH"),N174,"")</f>
        <v/>
      </c>
      <c r="EZ174" s="2" t="str">
        <f aca="false">IF(OR(EO174="EQL",EO174="EQH"),O174,"")</f>
        <v/>
      </c>
      <c r="FA174" s="2" t="str">
        <f aca="false">IF(OR(EP174="EQL",EP174="EQH"),P174,"")</f>
        <v/>
      </c>
      <c r="FB174" s="2" t="str">
        <f aca="false">IF(OR(EQ174="EQL",EQ174="EQH"),Q174,"")</f>
        <v/>
      </c>
      <c r="FC174" s="2" t="str">
        <f aca="false">IF(AND(EG174="EQL",OR(AQ174=4,AQ174=5)),"IEQL",IF(AND(EG174="EQH",OR(AQ174=1,AQ174=2)),"IEQH",""))</f>
        <v>IEQL</v>
      </c>
      <c r="FD174" s="2" t="str">
        <f aca="false">IF(AND(EH174="EQL",OR(AR174=4,AR174=5)),"IEQL",IF(AND(EH174="EQH",OR(AR174=1,AR174=2)),"IEQH",""))</f>
        <v/>
      </c>
      <c r="FE174" s="2" t="str">
        <f aca="false">IF(AND(EI174="EQL",OR(AS174=4,AS174=5)),"IEQL",IF(AND(EI174="EQH",OR(AS174=1,AS174=2)),"IEQH",""))</f>
        <v/>
      </c>
      <c r="FF174" s="2" t="str">
        <f aca="false">IF(AND(EJ174="EQL",OR(AT174=4,AT174=5)),"IEQL",IF(AND(EJ174="EQH",OR(AT174=1,AT174=2)),"IEQH",""))</f>
        <v/>
      </c>
      <c r="FG174" s="2" t="str">
        <f aca="false">IF(AND(EK174="EQL",OR(AU174=4,AU174=5)),"IEQL",IF(AND(EK174="EQH",OR(AU174=1,AU174=2)),"IEQH",""))</f>
        <v/>
      </c>
      <c r="FH174" s="2" t="str">
        <f aca="false">IF(AND(EL174="EQL",OR(AV174=4,AV174=5)),"IEQL",IF(AND(EL174="EQH",OR(AV174=1,AV174=2)),"IEQH",""))</f>
        <v/>
      </c>
      <c r="FI174" s="2" t="str">
        <f aca="false">IF(AND(EM174="EQL",OR(AW174=4,AW174=5)),"IEQL",IF(AND(EM174="EQH",OR(AW174=1,AW174=2)),"IEQH",""))</f>
        <v/>
      </c>
      <c r="FJ174" s="2" t="str">
        <f aca="false">IF(AND(EN174="EQL",OR(AX174=4,AX174=5)),"IEQL",IF(AND(EN174="EQH",OR(AX174=1,AX174=2)),"IEQH",""))</f>
        <v/>
      </c>
      <c r="FK174" s="2" t="str">
        <f aca="false">IF(AND(EO174="EQL",OR(AY174=4,AY174=5)),"IEQL",IF(AND(EO174="EQH",OR(AY174=1,AY174=2)),"IEQH",""))</f>
        <v/>
      </c>
      <c r="FL174" s="2" t="str">
        <f aca="false">IF(AND(EP174="EQL",OR(AZ174=4,AZ174=5)),"IEQL",IF(AND(EP174="EQH",OR(AZ174=1,AZ174=2)),"IEQH",""))</f>
        <v/>
      </c>
      <c r="FM174" s="2" t="str">
        <f aca="false">IF(AND(EQ174="EQL",OR(BA174=4,BA174=5)),"IEQL",IF(AND(EQ174="EQH",OR(BA174=1,BA174=2)),"IEQH",""))</f>
        <v/>
      </c>
    </row>
    <row r="175" customFormat="false" ht="14.25" hidden="false" customHeight="false" outlineLevel="0" collapsed="false">
      <c r="A175" s="1" t="n">
        <v>1779991202</v>
      </c>
      <c r="B175" s="1" t="s">
        <v>169</v>
      </c>
      <c r="C175" s="1" t="s">
        <v>170</v>
      </c>
      <c r="D175" s="1" t="n">
        <v>4507.69</v>
      </c>
      <c r="E175" s="1" t="s">
        <v>173</v>
      </c>
      <c r="F175" s="1" t="n">
        <v>4516.57</v>
      </c>
      <c r="G175" s="2" t="n">
        <f aca="false">F173</f>
        <v>4404.43</v>
      </c>
      <c r="H175" s="2" t="n">
        <f aca="false">F171</f>
        <v>4465.92</v>
      </c>
      <c r="I175" s="2" t="n">
        <f aca="false">F169</f>
        <v>4517.18</v>
      </c>
      <c r="J175" s="2" t="n">
        <f aca="false">F167</f>
        <v>4537.84</v>
      </c>
      <c r="K175" s="2" t="n">
        <f aca="false">F165</f>
        <v>4540.53</v>
      </c>
      <c r="L175" s="2" t="n">
        <f aca="false">F163</f>
        <v>4539.01</v>
      </c>
      <c r="M175" s="2" t="n">
        <f aca="false">F161</f>
        <v>4580.28</v>
      </c>
      <c r="N175" s="2" t="n">
        <f aca="false">F159</f>
        <v>4577.8</v>
      </c>
      <c r="O175" s="2" t="n">
        <f aca="false">F157</f>
        <v>4577.02</v>
      </c>
      <c r="P175" s="2" t="n">
        <f aca="false">F155</f>
        <v>4579.98</v>
      </c>
      <c r="Q175" s="2" t="n">
        <f aca="false">F153</f>
        <v>4527.75</v>
      </c>
      <c r="R175" s="1" t="n">
        <v>141.1</v>
      </c>
      <c r="S175" s="2" t="n">
        <f aca="false">R173</f>
        <v>38.11</v>
      </c>
      <c r="T175" s="2" t="n">
        <f aca="false">R171</f>
        <v>64.42</v>
      </c>
      <c r="U175" s="2" t="n">
        <f aca="false">R169</f>
        <v>21.21</v>
      </c>
      <c r="V175" s="2" t="n">
        <f aca="false">R167</f>
        <v>55.1</v>
      </c>
      <c r="W175" s="2" t="n">
        <f aca="false">R165</f>
        <v>28.42</v>
      </c>
      <c r="X175" s="2" t="n">
        <f aca="false">R163</f>
        <v>17.29</v>
      </c>
      <c r="Y175" s="2" t="n">
        <f aca="false">R161</f>
        <v>16.88</v>
      </c>
      <c r="Z175" s="2" t="n">
        <f aca="false">R159</f>
        <v>24.87</v>
      </c>
      <c r="AA175" s="2" t="n">
        <f aca="false">R157</f>
        <v>26.54</v>
      </c>
      <c r="AB175" s="2" t="n">
        <f aca="false">R155</f>
        <v>75.59</v>
      </c>
      <c r="AC175" s="2" t="n">
        <f aca="false">R153</f>
        <v>35.82</v>
      </c>
      <c r="AD175" s="1" t="n">
        <v>3.22</v>
      </c>
      <c r="AE175" s="2" t="n">
        <f aca="false">AD173</f>
        <v>0.87</v>
      </c>
      <c r="AF175" s="2" t="n">
        <f aca="false">AD171</f>
        <v>1.46</v>
      </c>
      <c r="AG175" s="2" t="n">
        <f aca="false">AD169</f>
        <v>0.47</v>
      </c>
      <c r="AH175" s="2" t="n">
        <f aca="false">AD167</f>
        <v>1.23</v>
      </c>
      <c r="AI175" s="2" t="n">
        <f aca="false">AD165</f>
        <v>0.63</v>
      </c>
      <c r="AJ175" s="2" t="n">
        <f aca="false">AD163</f>
        <v>0.38</v>
      </c>
      <c r="AK175" s="2" t="n">
        <f aca="false">AD161</f>
        <v>0.37</v>
      </c>
      <c r="AL175" s="2" t="n">
        <f aca="false">AD159</f>
        <v>0.55</v>
      </c>
      <c r="AM175" s="2" t="n">
        <f aca="false">AD157</f>
        <v>0.58</v>
      </c>
      <c r="AN175" s="2" t="n">
        <f aca="false">AD155</f>
        <v>1.68</v>
      </c>
      <c r="AO175" s="2" t="n">
        <f aca="false">AD153</f>
        <v>0.8</v>
      </c>
      <c r="AP175" s="1" t="n">
        <v>2</v>
      </c>
      <c r="AQ175" s="2" t="n">
        <f aca="false">AP173</f>
        <v>0</v>
      </c>
      <c r="AR175" s="2" t="n">
        <f aca="false">AP171</f>
        <v>0</v>
      </c>
      <c r="AS175" s="2" t="n">
        <f aca="false">AP169</f>
        <v>0</v>
      </c>
      <c r="AT175" s="2" t="n">
        <f aca="false">AP167</f>
        <v>0</v>
      </c>
      <c r="AU175" s="2" t="n">
        <f aca="false">AP165</f>
        <v>0</v>
      </c>
      <c r="AV175" s="2" t="n">
        <f aca="false">AP163</f>
        <v>0</v>
      </c>
      <c r="AW175" s="2" t="n">
        <f aca="false">AP161</f>
        <v>0</v>
      </c>
      <c r="AX175" s="2" t="n">
        <f aca="false">AP159</f>
        <v>0</v>
      </c>
      <c r="AY175" s="2" t="n">
        <f aca="false">AP157</f>
        <v>0</v>
      </c>
      <c r="AZ175" s="2" t="n">
        <f aca="false">AP155</f>
        <v>0</v>
      </c>
      <c r="BA175" s="2" t="n">
        <f aca="false">AP153</f>
        <v>0</v>
      </c>
      <c r="BB175" s="1" t="n">
        <v>29</v>
      </c>
      <c r="BC175" s="2" t="n">
        <f aca="false">BB173</f>
        <v>23</v>
      </c>
      <c r="BD175" s="2" t="n">
        <f aca="false">BB171</f>
        <v>31</v>
      </c>
      <c r="BE175" s="2" t="n">
        <f aca="false">BB169</f>
        <v>3</v>
      </c>
      <c r="BF175" s="2" t="n">
        <f aca="false">BB167</f>
        <v>12</v>
      </c>
      <c r="BG175" s="2" t="n">
        <f aca="false">BB165</f>
        <v>5</v>
      </c>
      <c r="BH175" s="2" t="n">
        <f aca="false">BB163</f>
        <v>1</v>
      </c>
      <c r="BI175" s="2" t="n">
        <f aca="false">BB161</f>
        <v>8</v>
      </c>
      <c r="BJ175" s="2" t="n">
        <f aca="false">BB159</f>
        <v>19</v>
      </c>
      <c r="BK175" s="2" t="n">
        <f aca="false">BB157</f>
        <v>23</v>
      </c>
      <c r="BL175" s="2" t="n">
        <f aca="false">BB155</f>
        <v>12</v>
      </c>
      <c r="BM175" s="2" t="n">
        <f aca="false">BB153</f>
        <v>13</v>
      </c>
      <c r="BN175" s="1" t="n">
        <v>0</v>
      </c>
      <c r="BO175" s="2" t="n">
        <f aca="false">BN173</f>
        <v>0</v>
      </c>
      <c r="BP175" s="2" t="n">
        <f aca="false">BN171</f>
        <v>0</v>
      </c>
      <c r="BQ175" s="2" t="n">
        <f aca="false">BN169</f>
        <v>0</v>
      </c>
      <c r="BR175" s="2" t="n">
        <f aca="false">BN167</f>
        <v>0</v>
      </c>
      <c r="BS175" s="2" t="n">
        <f aca="false">BN165</f>
        <v>0</v>
      </c>
      <c r="BT175" s="2" t="n">
        <f aca="false">BN163</f>
        <v>0</v>
      </c>
      <c r="BU175" s="2" t="n">
        <f aca="false">BN161</f>
        <v>0</v>
      </c>
      <c r="BV175" s="2" t="n">
        <f aca="false">BN159</f>
        <v>0</v>
      </c>
      <c r="BW175" s="2" t="n">
        <f aca="false">BN157</f>
        <v>0</v>
      </c>
      <c r="BX175" s="2" t="n">
        <f aca="false">BN155</f>
        <v>0</v>
      </c>
      <c r="BY175" s="2" t="n">
        <f aca="false">BN153</f>
        <v>0</v>
      </c>
      <c r="BZ175" s="1" t="n">
        <v>4.86552</v>
      </c>
      <c r="CA175" s="2" t="n">
        <f aca="false">BZ173</f>
        <v>1.65696</v>
      </c>
      <c r="CB175" s="2" t="n">
        <f aca="false">BZ171</f>
        <v>2.07806</v>
      </c>
      <c r="CC175" s="2" t="n">
        <f aca="false">BZ169</f>
        <v>7.07</v>
      </c>
      <c r="CD175" s="2" t="n">
        <f aca="false">BZ167</f>
        <v>4.59167</v>
      </c>
      <c r="CE175" s="2" t="n">
        <f aca="false">BZ165</f>
        <v>5.684</v>
      </c>
      <c r="CF175" s="2" t="n">
        <f aca="false">BZ163</f>
        <v>17.29</v>
      </c>
      <c r="CG175" s="2" t="n">
        <f aca="false">BZ161</f>
        <v>2.11</v>
      </c>
      <c r="CH175" s="2" t="n">
        <f aca="false">BZ159</f>
        <v>1.30895</v>
      </c>
      <c r="CI175" s="2" t="n">
        <f aca="false">BZ157</f>
        <v>1.15391</v>
      </c>
      <c r="CJ175" s="2" t="n">
        <f aca="false">BZ155</f>
        <v>6.29917</v>
      </c>
      <c r="CK175" s="2" t="n">
        <f aca="false">BZ153</f>
        <v>2.75538</v>
      </c>
      <c r="CL175" s="1" t="n">
        <v>0</v>
      </c>
      <c r="CM175" s="2" t="n">
        <f aca="false">CL173</f>
        <v>0</v>
      </c>
      <c r="CN175" s="2" t="n">
        <f aca="false">CL171</f>
        <v>0</v>
      </c>
      <c r="CO175" s="2" t="n">
        <f aca="false">CL169</f>
        <v>0</v>
      </c>
      <c r="CP175" s="2" t="n">
        <f aca="false">CL167</f>
        <v>0</v>
      </c>
      <c r="CQ175" s="2" t="n">
        <f aca="false">CL165</f>
        <v>0</v>
      </c>
      <c r="CR175" s="2" t="n">
        <f aca="false">CL163</f>
        <v>2</v>
      </c>
      <c r="CS175" s="2" t="n">
        <f aca="false">CL161</f>
        <v>0</v>
      </c>
      <c r="CT175" s="2" t="n">
        <f aca="false">CL159</f>
        <v>0</v>
      </c>
      <c r="CU175" s="2" t="n">
        <f aca="false">CL157</f>
        <v>0</v>
      </c>
      <c r="CV175" s="2" t="n">
        <f aca="false">CL155</f>
        <v>0</v>
      </c>
      <c r="CW175" s="2" t="n">
        <f aca="false">CL153</f>
        <v>0</v>
      </c>
      <c r="CX175" s="1" t="n">
        <v>78.3858</v>
      </c>
      <c r="CY175" s="2" t="n">
        <f aca="false">CX173</f>
        <v>58.8883</v>
      </c>
      <c r="CZ175" s="2" t="n">
        <f aca="false">CX171</f>
        <v>64.3023</v>
      </c>
      <c r="DA175" s="2" t="n">
        <f aca="false">CX169</f>
        <v>81.9493</v>
      </c>
      <c r="DB175" s="2" t="n">
        <f aca="false">CX167</f>
        <v>77.7136</v>
      </c>
      <c r="DC175" s="2" t="n">
        <f aca="false">CX165</f>
        <v>80.0219</v>
      </c>
      <c r="DD175" s="2" t="n">
        <f aca="false">CX163</f>
        <v>86.6899</v>
      </c>
      <c r="DE175" s="2" t="n">
        <f aca="false">CX161</f>
        <v>64.6422</v>
      </c>
      <c r="DF175" s="2" t="n">
        <f aca="false">CX159</f>
        <v>52.6212</v>
      </c>
      <c r="DG175" s="2" t="n">
        <f aca="false">CX157</f>
        <v>49.0873</v>
      </c>
      <c r="DH175" s="2" t="n">
        <f aca="false">CX155</f>
        <v>80.9795</v>
      </c>
      <c r="DI175" s="2" t="n">
        <f aca="false">CX153</f>
        <v>70.0529</v>
      </c>
      <c r="DJ175" s="1" t="s">
        <v>176</v>
      </c>
      <c r="DK175" s="2" t="str">
        <f aca="false">DJ173</f>
        <v>LH</v>
      </c>
      <c r="DL175" s="2" t="str">
        <f aca="false">DJ171</f>
        <v>LH</v>
      </c>
      <c r="DM175" s="2" t="str">
        <f aca="false">DJ169</f>
        <v>LH</v>
      </c>
      <c r="DN175" s="2" t="str">
        <f aca="false">DJ167</f>
        <v>LH</v>
      </c>
      <c r="DO175" s="2" t="str">
        <f aca="false">DJ165</f>
        <v>HH</v>
      </c>
      <c r="DP175" s="2" t="str">
        <f aca="false">DJ163</f>
        <v>LH</v>
      </c>
      <c r="DQ175" s="2" t="str">
        <f aca="false">DJ161</f>
        <v>HH</v>
      </c>
      <c r="DR175" s="2" t="str">
        <f aca="false">DJ159</f>
        <v>HH</v>
      </c>
      <c r="DS175" s="2" t="str">
        <f aca="false">DJ157</f>
        <v>LH</v>
      </c>
      <c r="DT175" s="2" t="str">
        <f aca="false">DJ155</f>
        <v>HH</v>
      </c>
      <c r="DU175" s="2" t="str">
        <f aca="false">DJ153</f>
        <v>LH</v>
      </c>
      <c r="DV175" s="2" t="n">
        <f aca="false">IFERROR((G175-$F175)/$F175*100,"")</f>
        <v>-2.4828575666933</v>
      </c>
      <c r="DW175" s="2" t="n">
        <f aca="false">IFERROR((H175-$F175)/$F175*100,"")</f>
        <v>-1.121426215026</v>
      </c>
      <c r="DX175" s="2" t="n">
        <f aca="false">IFERROR((I175-$F175)/$F175*100,"")</f>
        <v>0.0135058241099016</v>
      </c>
      <c r="DY175" s="2" t="n">
        <f aca="false">IFERROR((J175-$F175)/$F175*100,"")</f>
        <v>0.470932588225145</v>
      </c>
      <c r="DZ175" s="2" t="n">
        <f aca="false">IFERROR((K175-$F175)/$F175*100,"")</f>
        <v>0.530491058480219</v>
      </c>
      <c r="EA175" s="2" t="n">
        <f aca="false">IFERROR((L175-$F175)/$F175*100,"")</f>
        <v>0.496837201681819</v>
      </c>
      <c r="EB175" s="2" t="n">
        <f aca="false">IFERROR((M175-$F175)/$F175*100,"")</f>
        <v>1.4105836951492</v>
      </c>
      <c r="EC175" s="2" t="n">
        <f aca="false">IFERROR((N175-$F175)/$F175*100,"")</f>
        <v>1.35567477089917</v>
      </c>
      <c r="ED175" s="2" t="n">
        <f aca="false">IFERROR((O175-$F175)/$F175*100,"")</f>
        <v>1.33840502859472</v>
      </c>
      <c r="EE175" s="2" t="n">
        <f aca="false">IFERROR((P175-$F175)/$F175*100,"")</f>
        <v>1.40394148657056</v>
      </c>
      <c r="EF175" s="2" t="n">
        <f aca="false">IFERROR((Q175-$F175)/$F175*100,"")</f>
        <v>0.247532973030426</v>
      </c>
      <c r="EG175" s="2" t="str">
        <f aca="false">IF(DV175="","",IF(AND(ABS(DV175)&lt;=0.25,$E175="Bottom",DK175="LL"),"EQL",IF(AND(ABS(DV175)&lt;=0.25,$E175="Peak",DK175="HH"),"EQH","")))</f>
        <v/>
      </c>
      <c r="EH175" s="2" t="str">
        <f aca="false">IF(DW175="","",IF(AND(ABS(DW175)&lt;=0.25,$E175="Bottom",DL175="LL"),"EQL",IF(AND(ABS(DW175)&lt;=0.25,$E175="Peak",DL175="HH"),"EQH","")))</f>
        <v/>
      </c>
      <c r="EI175" s="2" t="str">
        <f aca="false">IF(DX175="","",IF(AND(ABS(DX175)&lt;=0.25,$E175="Bottom",DM175="LL"),"EQL",IF(AND(ABS(DX175)&lt;=0.25,$E175="Peak",DM175="HH"),"EQH","")))</f>
        <v/>
      </c>
      <c r="EJ175" s="2" t="str">
        <f aca="false">IF(DY175="","",IF(AND(ABS(DY175)&lt;=0.25,$E175="Bottom",DN175="LL"),"EQL",IF(AND(ABS(DY175)&lt;=0.25,$E175="Peak",DN175="HH"),"EQH","")))</f>
        <v/>
      </c>
      <c r="EK175" s="2" t="str">
        <f aca="false">IF(DZ175="","",IF(AND(ABS(DZ175)&lt;=0.25,$E175="Bottom",DO175="LL"),"EQL",IF(AND(ABS(DZ175)&lt;=0.25,$E175="Peak",DO175="HH"),"EQH","")))</f>
        <v/>
      </c>
      <c r="EL175" s="2" t="str">
        <f aca="false">IF(EA175="","",IF(AND(ABS(EA175)&lt;=0.25,$E175="Bottom",DP175="LL"),"EQL",IF(AND(ABS(EA175)&lt;=0.25,$E175="Peak",DP175="HH"),"EQH","")))</f>
        <v/>
      </c>
      <c r="EM175" s="2" t="str">
        <f aca="false">IF(EB175="","",IF(AND(ABS(EB175)&lt;=0.25,$E175="Bottom",DQ175="LL"),"EQL",IF(AND(ABS(EB175)&lt;=0.25,$E175="Peak",DQ175="HH"),"EQH","")))</f>
        <v/>
      </c>
      <c r="EN175" s="2" t="str">
        <f aca="false">IF(EC175="","",IF(AND(ABS(EC175)&lt;=0.25,$E175="Bottom",DR175="LL"),"EQL",IF(AND(ABS(EC175)&lt;=0.25,$E175="Peak",DR175="HH"),"EQH","")))</f>
        <v/>
      </c>
      <c r="EO175" s="2" t="str">
        <f aca="false">IF(ED175="","",IF(AND(ABS(ED175)&lt;=0.25,$E175="Bottom",DS175="LL"),"EQL",IF(AND(ABS(ED175)&lt;=0.25,$E175="Peak",DS175="HH"),"EQH","")))</f>
        <v/>
      </c>
      <c r="EP175" s="2" t="str">
        <f aca="false">IF(EE175="","",IF(AND(ABS(EE175)&lt;=0.25,$E175="Bottom",DT175="LL"),"EQL",IF(AND(ABS(EE175)&lt;=0.25,$E175="Peak",DT175="HH"),"EQH","")))</f>
        <v/>
      </c>
      <c r="EQ175" s="2" t="str">
        <f aca="false">IF(EF175="","",IF(AND(ABS(EF175)&lt;=0.25,$E175="Bottom",DU175="LL"),"EQL",IF(AND(ABS(EF175)&lt;=0.25,$E175="Peak",DU175="HH"),"EQH","")))</f>
        <v/>
      </c>
      <c r="ER175" s="2" t="str">
        <f aca="false">IF(OR(EG175="EQL",EG175="EQH"),G175,"")</f>
        <v/>
      </c>
      <c r="ES175" s="2" t="str">
        <f aca="false">IF(OR(EH175="EQL",EH175="EQH"),H175,"")</f>
        <v/>
      </c>
      <c r="ET175" s="2" t="str">
        <f aca="false">IF(OR(EI175="EQL",EI175="EQH"),I175,"")</f>
        <v/>
      </c>
      <c r="EU175" s="2" t="str">
        <f aca="false">IF(OR(EJ175="EQL",EJ175="EQH"),J175,"")</f>
        <v/>
      </c>
      <c r="EV175" s="2" t="str">
        <f aca="false">IF(OR(EK175="EQL",EK175="EQH"),K175,"")</f>
        <v/>
      </c>
      <c r="EW175" s="2" t="str">
        <f aca="false">IF(OR(EL175="EQL",EL175="EQH"),L175,"")</f>
        <v/>
      </c>
      <c r="EX175" s="2" t="str">
        <f aca="false">IF(OR(EM175="EQL",EM175="EQH"),M175,"")</f>
        <v/>
      </c>
      <c r="EY175" s="2" t="str">
        <f aca="false">IF(OR(EN175="EQL",EN175="EQH"),N175,"")</f>
        <v/>
      </c>
      <c r="EZ175" s="2" t="str">
        <f aca="false">IF(OR(EO175="EQL",EO175="EQH"),O175,"")</f>
        <v/>
      </c>
      <c r="FA175" s="2" t="str">
        <f aca="false">IF(OR(EP175="EQL",EP175="EQH"),P175,"")</f>
        <v/>
      </c>
      <c r="FB175" s="2" t="str">
        <f aca="false">IF(OR(EQ175="EQL",EQ175="EQH"),Q175,"")</f>
        <v/>
      </c>
      <c r="FC175" s="2" t="str">
        <f aca="false">IF(AND(EG175="EQL",OR(AQ175=4,AQ175=5)),"IEQL",IF(AND(EG175="EQH",OR(AQ175=1,AQ175=2)),"IEQH",""))</f>
        <v/>
      </c>
      <c r="FD175" s="2" t="str">
        <f aca="false">IF(AND(EH175="EQL",OR(AR175=4,AR175=5)),"IEQL",IF(AND(EH175="EQH",OR(AR175=1,AR175=2)),"IEQH",""))</f>
        <v/>
      </c>
      <c r="FE175" s="2" t="str">
        <f aca="false">IF(AND(EI175="EQL",OR(AS175=4,AS175=5)),"IEQL",IF(AND(EI175="EQH",OR(AS175=1,AS175=2)),"IEQH",""))</f>
        <v/>
      </c>
      <c r="FF175" s="2" t="str">
        <f aca="false">IF(AND(EJ175="EQL",OR(AT175=4,AT175=5)),"IEQL",IF(AND(EJ175="EQH",OR(AT175=1,AT175=2)),"IEQH",""))</f>
        <v/>
      </c>
      <c r="FG175" s="2" t="str">
        <f aca="false">IF(AND(EK175="EQL",OR(AU175=4,AU175=5)),"IEQL",IF(AND(EK175="EQH",OR(AU175=1,AU175=2)),"IEQH",""))</f>
        <v/>
      </c>
      <c r="FH175" s="2" t="str">
        <f aca="false">IF(AND(EL175="EQL",OR(AV175=4,AV175=5)),"IEQL",IF(AND(EL175="EQH",OR(AV175=1,AV175=2)),"IEQH",""))</f>
        <v/>
      </c>
      <c r="FI175" s="2" t="str">
        <f aca="false">IF(AND(EM175="EQL",OR(AW175=4,AW175=5)),"IEQL",IF(AND(EM175="EQH",OR(AW175=1,AW175=2)),"IEQH",""))</f>
        <v/>
      </c>
      <c r="FJ175" s="2" t="str">
        <f aca="false">IF(AND(EN175="EQL",OR(AX175=4,AX175=5)),"IEQL",IF(AND(EN175="EQH",OR(AX175=1,AX175=2)),"IEQH",""))</f>
        <v/>
      </c>
      <c r="FK175" s="2" t="str">
        <f aca="false">IF(AND(EO175="EQL",OR(AY175=4,AY175=5)),"IEQL",IF(AND(EO175="EQH",OR(AY175=1,AY175=2)),"IEQH",""))</f>
        <v/>
      </c>
      <c r="FL175" s="2" t="str">
        <f aca="false">IF(AND(EP175="EQL",OR(AZ175=4,AZ175=5)),"IEQL",IF(AND(EP175="EQH",OR(AZ175=1,AZ175=2)),"IEQH",""))</f>
        <v/>
      </c>
      <c r="FM175" s="2" t="str">
        <f aca="false">IF(AND(EQ175="EQL",OR(BA175=4,BA175=5)),"IEQL",IF(AND(EQ175="EQH",OR(BA175=1,BA175=2)),"IEQH",""))</f>
        <v/>
      </c>
    </row>
    <row r="176" customFormat="false" ht="14.25" hidden="false" customHeight="false" outlineLevel="0" collapsed="false">
      <c r="A176" s="1" t="n">
        <v>1780011902</v>
      </c>
      <c r="B176" s="1" t="s">
        <v>169</v>
      </c>
      <c r="C176" s="1" t="s">
        <v>170</v>
      </c>
      <c r="D176" s="1" t="n">
        <v>4495.24</v>
      </c>
      <c r="E176" s="1" t="s">
        <v>171</v>
      </c>
      <c r="F176" s="1" t="n">
        <v>4489.19</v>
      </c>
      <c r="G176" s="2" t="n">
        <f aca="false">F174</f>
        <v>4375.47</v>
      </c>
      <c r="H176" s="2" t="n">
        <f aca="false">F172</f>
        <v>4366.32</v>
      </c>
      <c r="I176" s="2" t="n">
        <f aca="false">F170</f>
        <v>4401.5</v>
      </c>
      <c r="J176" s="2" t="n">
        <f aca="false">F168</f>
        <v>4495.97</v>
      </c>
      <c r="K176" s="2" t="n">
        <f aca="false">F166</f>
        <v>4482.74</v>
      </c>
      <c r="L176" s="2" t="n">
        <f aca="false">F164</f>
        <v>4512.11</v>
      </c>
      <c r="M176" s="2" t="n">
        <f aca="false">F162</f>
        <v>4521.72</v>
      </c>
      <c r="N176" s="2" t="n">
        <f aca="false">F160</f>
        <v>4563.4</v>
      </c>
      <c r="O176" s="2" t="n">
        <f aca="false">F158</f>
        <v>4552.93</v>
      </c>
      <c r="P176" s="2" t="n">
        <f aca="false">F156</f>
        <v>4550.48</v>
      </c>
      <c r="Q176" s="2" t="n">
        <f aca="false">F154</f>
        <v>4504.39</v>
      </c>
      <c r="R176" s="1" t="n">
        <v>-27.38</v>
      </c>
      <c r="S176" s="2" t="n">
        <f aca="false">R174</f>
        <v>-28.96</v>
      </c>
      <c r="T176" s="2" t="n">
        <f aca="false">R172</f>
        <v>-99.6</v>
      </c>
      <c r="U176" s="2" t="n">
        <f aca="false">R170</f>
        <v>-115.68</v>
      </c>
      <c r="V176" s="2" t="n">
        <f aca="false">R168</f>
        <v>-41.87</v>
      </c>
      <c r="W176" s="2" t="n">
        <f aca="false">R166</f>
        <v>-57.79</v>
      </c>
      <c r="X176" s="2" t="n">
        <f aca="false">R164</f>
        <v>-26.9</v>
      </c>
      <c r="Y176" s="2" t="n">
        <f aca="false">R162</f>
        <v>-58.56</v>
      </c>
      <c r="Z176" s="2" t="n">
        <f aca="false">R160</f>
        <v>-14.4</v>
      </c>
      <c r="AA176" s="2" t="n">
        <f aca="false">R158</f>
        <v>-24.09</v>
      </c>
      <c r="AB176" s="2" t="n">
        <f aca="false">R156</f>
        <v>-29.5</v>
      </c>
      <c r="AC176" s="2" t="n">
        <f aca="false">R154</f>
        <v>-23.36</v>
      </c>
      <c r="AD176" s="1" t="n">
        <v>-0.61</v>
      </c>
      <c r="AE176" s="2" t="n">
        <f aca="false">AD174</f>
        <v>-0.66</v>
      </c>
      <c r="AF176" s="2" t="n">
        <f aca="false">AD172</f>
        <v>-2.23</v>
      </c>
      <c r="AG176" s="2" t="n">
        <f aca="false">AD170</f>
        <v>-2.56</v>
      </c>
      <c r="AH176" s="2" t="n">
        <f aca="false">AD168</f>
        <v>-0.92</v>
      </c>
      <c r="AI176" s="2" t="n">
        <f aca="false">AD166</f>
        <v>-1.27</v>
      </c>
      <c r="AJ176" s="2" t="n">
        <f aca="false">AD164</f>
        <v>-0.59</v>
      </c>
      <c r="AK176" s="2" t="n">
        <f aca="false">AD162</f>
        <v>-1.28</v>
      </c>
      <c r="AL176" s="2" t="n">
        <f aca="false">AD160</f>
        <v>-0.31</v>
      </c>
      <c r="AM176" s="2" t="n">
        <f aca="false">AD158</f>
        <v>-0.53</v>
      </c>
      <c r="AN176" s="2" t="n">
        <f aca="false">AD156</f>
        <v>-0.64</v>
      </c>
      <c r="AO176" s="2" t="n">
        <f aca="false">AD154</f>
        <v>-0.52</v>
      </c>
      <c r="AP176" s="1" t="n">
        <v>3</v>
      </c>
      <c r="AQ176" s="2" t="n">
        <f aca="false">AP174</f>
        <v>3</v>
      </c>
      <c r="AR176" s="2" t="n">
        <f aca="false">AP172</f>
        <v>5</v>
      </c>
      <c r="AS176" s="2" t="n">
        <f aca="false">AP170</f>
        <v>5</v>
      </c>
      <c r="AT176" s="2" t="n">
        <f aca="false">AP168</f>
        <v>3</v>
      </c>
      <c r="AU176" s="2" t="n">
        <f aca="false">AP166</f>
        <v>3</v>
      </c>
      <c r="AV176" s="2" t="n">
        <f aca="false">AP164</f>
        <v>3</v>
      </c>
      <c r="AW176" s="2" t="n">
        <f aca="false">AP162</f>
        <v>3</v>
      </c>
      <c r="AX176" s="2" t="n">
        <f aca="false">AP160</f>
        <v>3</v>
      </c>
      <c r="AY176" s="2" t="n">
        <f aca="false">AP158</f>
        <v>3</v>
      </c>
      <c r="AZ176" s="2" t="n">
        <f aca="false">AP156</f>
        <v>3</v>
      </c>
      <c r="BA176" s="2" t="n">
        <f aca="false">AP154</f>
        <v>3</v>
      </c>
      <c r="BB176" s="1" t="n">
        <v>19</v>
      </c>
      <c r="BC176" s="2" t="n">
        <f aca="false">BB174</f>
        <v>3</v>
      </c>
      <c r="BD176" s="2" t="n">
        <f aca="false">BB172</f>
        <v>25</v>
      </c>
      <c r="BE176" s="2" t="n">
        <f aca="false">BB170</f>
        <v>34</v>
      </c>
      <c r="BF176" s="2" t="n">
        <f aca="false">BB168</f>
        <v>24</v>
      </c>
      <c r="BG176" s="2" t="n">
        <f aca="false">BB166</f>
        <v>29</v>
      </c>
      <c r="BH176" s="2" t="n">
        <f aca="false">BB164</f>
        <v>7</v>
      </c>
      <c r="BI176" s="2" t="n">
        <f aca="false">BB162</f>
        <v>33</v>
      </c>
      <c r="BJ176" s="2" t="n">
        <f aca="false">BB160</f>
        <v>3</v>
      </c>
      <c r="BK176" s="2" t="n">
        <f aca="false">BB158</f>
        <v>2</v>
      </c>
      <c r="BL176" s="2" t="n">
        <f aca="false">BB156</f>
        <v>26</v>
      </c>
      <c r="BM176" s="2" t="n">
        <f aca="false">BB154</f>
        <v>8</v>
      </c>
      <c r="BN176" s="1" t="n">
        <v>3</v>
      </c>
      <c r="BO176" s="2" t="n">
        <f aca="false">BN174</f>
        <v>3</v>
      </c>
      <c r="BP176" s="2" t="n">
        <f aca="false">BN172</f>
        <v>3</v>
      </c>
      <c r="BQ176" s="2" t="n">
        <f aca="false">BN170</f>
        <v>4</v>
      </c>
      <c r="BR176" s="2" t="n">
        <f aca="false">BN168</f>
        <v>3</v>
      </c>
      <c r="BS176" s="2" t="n">
        <f aca="false">BN166</f>
        <v>3</v>
      </c>
      <c r="BT176" s="2" t="n">
        <f aca="false">BN164</f>
        <v>3</v>
      </c>
      <c r="BU176" s="2" t="n">
        <f aca="false">BN162</f>
        <v>4</v>
      </c>
      <c r="BV176" s="2" t="n">
        <f aca="false">BN160</f>
        <v>3</v>
      </c>
      <c r="BW176" s="2" t="n">
        <f aca="false">BN158</f>
        <v>3</v>
      </c>
      <c r="BX176" s="2" t="n">
        <f aca="false">BN156</f>
        <v>3</v>
      </c>
      <c r="BY176" s="2" t="n">
        <f aca="false">BN154</f>
        <v>3</v>
      </c>
      <c r="BZ176" s="1" t="n">
        <v>-1.44105</v>
      </c>
      <c r="CA176" s="2" t="n">
        <f aca="false">BZ174</f>
        <v>-9.65333</v>
      </c>
      <c r="CB176" s="2" t="n">
        <f aca="false">BZ172</f>
        <v>-3.984</v>
      </c>
      <c r="CC176" s="2" t="n">
        <f aca="false">BZ170</f>
        <v>-3.40235</v>
      </c>
      <c r="CD176" s="2" t="n">
        <f aca="false">BZ168</f>
        <v>-1.74458</v>
      </c>
      <c r="CE176" s="2" t="n">
        <f aca="false">BZ166</f>
        <v>-1.99276</v>
      </c>
      <c r="CF176" s="2" t="n">
        <f aca="false">BZ164</f>
        <v>-3.84286</v>
      </c>
      <c r="CG176" s="2" t="n">
        <f aca="false">BZ162</f>
        <v>-1.77455</v>
      </c>
      <c r="CH176" s="2" t="n">
        <f aca="false">BZ160</f>
        <v>-4.8</v>
      </c>
      <c r="CI176" s="2" t="n">
        <f aca="false">BZ158</f>
        <v>-12.045</v>
      </c>
      <c r="CJ176" s="2" t="n">
        <f aca="false">BZ156</f>
        <v>-1.13462</v>
      </c>
      <c r="CK176" s="2" t="n">
        <f aca="false">BZ154</f>
        <v>-2.92</v>
      </c>
      <c r="CL176" s="1" t="n">
        <v>3</v>
      </c>
      <c r="CM176" s="2" t="n">
        <f aca="false">CL174</f>
        <v>3</v>
      </c>
      <c r="CN176" s="2" t="n">
        <f aca="false">CL172</f>
        <v>3</v>
      </c>
      <c r="CO176" s="2" t="n">
        <f aca="false">CL170</f>
        <v>3</v>
      </c>
      <c r="CP176" s="2" t="n">
        <f aca="false">CL168</f>
        <v>3</v>
      </c>
      <c r="CQ176" s="2" t="n">
        <f aca="false">CL166</f>
        <v>3</v>
      </c>
      <c r="CR176" s="2" t="n">
        <f aca="false">CL164</f>
        <v>3</v>
      </c>
      <c r="CS176" s="2" t="n">
        <f aca="false">CL162</f>
        <v>3</v>
      </c>
      <c r="CT176" s="2" t="n">
        <f aca="false">CL160</f>
        <v>3</v>
      </c>
      <c r="CU176" s="2" t="n">
        <f aca="false">CL158</f>
        <v>4</v>
      </c>
      <c r="CV176" s="2" t="n">
        <f aca="false">CL156</f>
        <v>3</v>
      </c>
      <c r="CW176" s="2" t="n">
        <f aca="false">CL154</f>
        <v>3</v>
      </c>
      <c r="CX176" s="1" t="n">
        <v>-55.2418</v>
      </c>
      <c r="CY176" s="2" t="n">
        <f aca="false">CX174</f>
        <v>-84.0858</v>
      </c>
      <c r="CZ176" s="2" t="n">
        <f aca="false">CX172</f>
        <v>-75.9096</v>
      </c>
      <c r="DA176" s="2" t="n">
        <f aca="false">CX170</f>
        <v>-73.6212</v>
      </c>
      <c r="DB176" s="2" t="n">
        <f aca="false">CX168</f>
        <v>-60.1785</v>
      </c>
      <c r="DC176" s="2" t="n">
        <f aca="false">CX166</f>
        <v>-63.3517</v>
      </c>
      <c r="DD176" s="2" t="n">
        <f aca="false">CX164</f>
        <v>-75.4138</v>
      </c>
      <c r="DE176" s="2" t="n">
        <f aca="false">CX162</f>
        <v>-60.5977</v>
      </c>
      <c r="DF176" s="2" t="n">
        <f aca="false">CX160</f>
        <v>-78.2317</v>
      </c>
      <c r="DG176" s="2" t="n">
        <f aca="false">CX158</f>
        <v>-85.2541</v>
      </c>
      <c r="DH176" s="2" t="n">
        <f aca="false">CX156</f>
        <v>-48.6085</v>
      </c>
      <c r="DI176" s="2" t="n">
        <f aca="false">CX154</f>
        <v>-71.0954</v>
      </c>
      <c r="DJ176" s="1" t="s">
        <v>175</v>
      </c>
      <c r="DK176" s="2" t="str">
        <f aca="false">DJ174</f>
        <v>HL</v>
      </c>
      <c r="DL176" s="2" t="str">
        <f aca="false">DJ172</f>
        <v>LL</v>
      </c>
      <c r="DM176" s="2" t="str">
        <f aca="false">DJ170</f>
        <v>LL</v>
      </c>
      <c r="DN176" s="2" t="str">
        <f aca="false">DJ168</f>
        <v>HL</v>
      </c>
      <c r="DO176" s="2" t="str">
        <f aca="false">DJ166</f>
        <v>LL</v>
      </c>
      <c r="DP176" s="2" t="str">
        <f aca="false">DJ164</f>
        <v>LL</v>
      </c>
      <c r="DQ176" s="2" t="str">
        <f aca="false">DJ162</f>
        <v>LL</v>
      </c>
      <c r="DR176" s="2" t="str">
        <f aca="false">DJ160</f>
        <v>HL</v>
      </c>
      <c r="DS176" s="2" t="str">
        <f aca="false">DJ158</f>
        <v>HL</v>
      </c>
      <c r="DT176" s="2" t="str">
        <f aca="false">DJ156</f>
        <v>HL</v>
      </c>
      <c r="DU176" s="2" t="str">
        <f aca="false">DJ154</f>
        <v>HL</v>
      </c>
      <c r="DV176" s="2" t="n">
        <f aca="false">IFERROR((G176-$F176)/$F176*100,"")</f>
        <v>-2.53319641182484</v>
      </c>
      <c r="DW176" s="2" t="n">
        <f aca="false">IFERROR((H176-$F176)/$F176*100,"")</f>
        <v>-2.73701937320541</v>
      </c>
      <c r="DX176" s="2" t="n">
        <f aca="false">IFERROR((I176-$F176)/$F176*100,"")</f>
        <v>-1.95335906923074</v>
      </c>
      <c r="DY176" s="2" t="n">
        <f aca="false">IFERROR((J176-$F176)/$F176*100,"")</f>
        <v>0.151029473022988</v>
      </c>
      <c r="DZ176" s="2" t="n">
        <f aca="false">IFERROR((K176-$F176)/$F176*100,"")</f>
        <v>-0.143678480973178</v>
      </c>
      <c r="EA176" s="2" t="n">
        <f aca="false">IFERROR((L176-$F176)/$F176*100,"")</f>
        <v>0.510559811458193</v>
      </c>
      <c r="EB176" s="2" t="n">
        <f aca="false">IFERROR((M176-$F176)/$F176*100,"")</f>
        <v>0.724629610241506</v>
      </c>
      <c r="EC176" s="2" t="n">
        <f aca="false">IFERROR((N176-$F176)/$F176*100,"")</f>
        <v>1.65308218186354</v>
      </c>
      <c r="ED176" s="2" t="n">
        <f aca="false">IFERROR((O176-$F176)/$F176*100,"")</f>
        <v>1.41985525228384</v>
      </c>
      <c r="EE176" s="2" t="n">
        <f aca="false">IFERROR((P176-$F176)/$F176*100,"")</f>
        <v>1.36527970524749</v>
      </c>
      <c r="EF176" s="2" t="n">
        <f aca="false">IFERROR((Q176-$F176)/$F176*100,"")</f>
        <v>0.338591148960074</v>
      </c>
      <c r="EG176" s="2" t="str">
        <f aca="false">IF(DV176="","",IF(AND(ABS(DV176)&lt;=0.25,$E176="Bottom",DK176="LL"),"EQL",IF(AND(ABS(DV176)&lt;=0.25,$E176="Peak",DK176="HH"),"EQH","")))</f>
        <v/>
      </c>
      <c r="EH176" s="2" t="str">
        <f aca="false">IF(DW176="","",IF(AND(ABS(DW176)&lt;=0.25,$E176="Bottom",DL176="LL"),"EQL",IF(AND(ABS(DW176)&lt;=0.25,$E176="Peak",DL176="HH"),"EQH","")))</f>
        <v/>
      </c>
      <c r="EI176" s="2" t="str">
        <f aca="false">IF(DX176="","",IF(AND(ABS(DX176)&lt;=0.25,$E176="Bottom",DM176="LL"),"EQL",IF(AND(ABS(DX176)&lt;=0.25,$E176="Peak",DM176="HH"),"EQH","")))</f>
        <v/>
      </c>
      <c r="EJ176" s="2" t="str">
        <f aca="false">IF(DY176="","",IF(AND(ABS(DY176)&lt;=0.25,$E176="Bottom",DN176="LL"),"EQL",IF(AND(ABS(DY176)&lt;=0.25,$E176="Peak",DN176="HH"),"EQH","")))</f>
        <v/>
      </c>
      <c r="EK176" s="2" t="str">
        <f aca="false">IF(DZ176="","",IF(AND(ABS(DZ176)&lt;=0.25,$E176="Bottom",DO176="LL"),"EQL",IF(AND(ABS(DZ176)&lt;=0.25,$E176="Peak",DO176="HH"),"EQH","")))</f>
        <v>EQL</v>
      </c>
      <c r="EL176" s="2" t="str">
        <f aca="false">IF(EA176="","",IF(AND(ABS(EA176)&lt;=0.25,$E176="Bottom",DP176="LL"),"EQL",IF(AND(ABS(EA176)&lt;=0.25,$E176="Peak",DP176="HH"),"EQH","")))</f>
        <v/>
      </c>
      <c r="EM176" s="2" t="str">
        <f aca="false">IF(EB176="","",IF(AND(ABS(EB176)&lt;=0.25,$E176="Bottom",DQ176="LL"),"EQL",IF(AND(ABS(EB176)&lt;=0.25,$E176="Peak",DQ176="HH"),"EQH","")))</f>
        <v/>
      </c>
      <c r="EN176" s="2" t="str">
        <f aca="false">IF(EC176="","",IF(AND(ABS(EC176)&lt;=0.25,$E176="Bottom",DR176="LL"),"EQL",IF(AND(ABS(EC176)&lt;=0.25,$E176="Peak",DR176="HH"),"EQH","")))</f>
        <v/>
      </c>
      <c r="EO176" s="2" t="str">
        <f aca="false">IF(ED176="","",IF(AND(ABS(ED176)&lt;=0.25,$E176="Bottom",DS176="LL"),"EQL",IF(AND(ABS(ED176)&lt;=0.25,$E176="Peak",DS176="HH"),"EQH","")))</f>
        <v/>
      </c>
      <c r="EP176" s="2" t="str">
        <f aca="false">IF(EE176="","",IF(AND(ABS(EE176)&lt;=0.25,$E176="Bottom",DT176="LL"),"EQL",IF(AND(ABS(EE176)&lt;=0.25,$E176="Peak",DT176="HH"),"EQH","")))</f>
        <v/>
      </c>
      <c r="EQ176" s="2" t="str">
        <f aca="false">IF(EF176="","",IF(AND(ABS(EF176)&lt;=0.25,$E176="Bottom",DU176="LL"),"EQL",IF(AND(ABS(EF176)&lt;=0.25,$E176="Peak",DU176="HH"),"EQH","")))</f>
        <v/>
      </c>
      <c r="ER176" s="2" t="str">
        <f aca="false">IF(OR(EG176="EQL",EG176="EQH"),G176,"")</f>
        <v/>
      </c>
      <c r="ES176" s="2" t="str">
        <f aca="false">IF(OR(EH176="EQL",EH176="EQH"),H176,"")</f>
        <v/>
      </c>
      <c r="ET176" s="2" t="str">
        <f aca="false">IF(OR(EI176="EQL",EI176="EQH"),I176,"")</f>
        <v/>
      </c>
      <c r="EU176" s="2" t="str">
        <f aca="false">IF(OR(EJ176="EQL",EJ176="EQH"),J176,"")</f>
        <v/>
      </c>
      <c r="EV176" s="2" t="n">
        <f aca="false">IF(OR(EK176="EQL",EK176="EQH"),K176,"")</f>
        <v>4482.74</v>
      </c>
      <c r="EW176" s="2" t="str">
        <f aca="false">IF(OR(EL176="EQL",EL176="EQH"),L176,"")</f>
        <v/>
      </c>
      <c r="EX176" s="2" t="str">
        <f aca="false">IF(OR(EM176="EQL",EM176="EQH"),M176,"")</f>
        <v/>
      </c>
      <c r="EY176" s="2" t="str">
        <f aca="false">IF(OR(EN176="EQL",EN176="EQH"),N176,"")</f>
        <v/>
      </c>
      <c r="EZ176" s="2" t="str">
        <f aca="false">IF(OR(EO176="EQL",EO176="EQH"),O176,"")</f>
        <v/>
      </c>
      <c r="FA176" s="2" t="str">
        <f aca="false">IF(OR(EP176="EQL",EP176="EQH"),P176,"")</f>
        <v/>
      </c>
      <c r="FB176" s="2" t="str">
        <f aca="false">IF(OR(EQ176="EQL",EQ176="EQH"),Q176,"")</f>
        <v/>
      </c>
      <c r="FC176" s="2" t="str">
        <f aca="false">IF(AND(EG176="EQL",OR(AQ176=4,AQ176=5)),"IEQL",IF(AND(EG176="EQH",OR(AQ176=1,AQ176=2)),"IEQH",""))</f>
        <v/>
      </c>
      <c r="FD176" s="2" t="str">
        <f aca="false">IF(AND(EH176="EQL",OR(AR176=4,AR176=5)),"IEQL",IF(AND(EH176="EQH",OR(AR176=1,AR176=2)),"IEQH",""))</f>
        <v/>
      </c>
      <c r="FE176" s="2" t="str">
        <f aca="false">IF(AND(EI176="EQL",OR(AS176=4,AS176=5)),"IEQL",IF(AND(EI176="EQH",OR(AS176=1,AS176=2)),"IEQH",""))</f>
        <v/>
      </c>
      <c r="FF176" s="2" t="str">
        <f aca="false">IF(AND(EJ176="EQL",OR(AT176=4,AT176=5)),"IEQL",IF(AND(EJ176="EQH",OR(AT176=1,AT176=2)),"IEQH",""))</f>
        <v/>
      </c>
      <c r="FG176" s="2" t="str">
        <f aca="false">IF(AND(EK176="EQL",OR(AU176=4,AU176=5)),"IEQL",IF(AND(EK176="EQH",OR(AU176=1,AU176=2)),"IEQH",""))</f>
        <v/>
      </c>
      <c r="FH176" s="2" t="str">
        <f aca="false">IF(AND(EL176="EQL",OR(AV176=4,AV176=5)),"IEQL",IF(AND(EL176="EQH",OR(AV176=1,AV176=2)),"IEQH",""))</f>
        <v/>
      </c>
      <c r="FI176" s="2" t="str">
        <f aca="false">IF(AND(EM176="EQL",OR(AW176=4,AW176=5)),"IEQL",IF(AND(EM176="EQH",OR(AW176=1,AW176=2)),"IEQH",""))</f>
        <v/>
      </c>
      <c r="FJ176" s="2" t="str">
        <f aca="false">IF(AND(EN176="EQL",OR(AX176=4,AX176=5)),"IEQL",IF(AND(EN176="EQH",OR(AX176=1,AX176=2)),"IEQH",""))</f>
        <v/>
      </c>
      <c r="FK176" s="2" t="str">
        <f aca="false">IF(AND(EO176="EQL",OR(AY176=4,AY176=5)),"IEQL",IF(AND(EO176="EQH",OR(AY176=1,AY176=2)),"IEQH",""))</f>
        <v/>
      </c>
      <c r="FL176" s="2" t="str">
        <f aca="false">IF(AND(EP176="EQL",OR(AZ176=4,AZ176=5)),"IEQL",IF(AND(EP176="EQH",OR(AZ176=1,AZ176=2)),"IEQH",""))</f>
        <v/>
      </c>
      <c r="FM176" s="2" t="str">
        <f aca="false">IF(AND(EQ176="EQL",OR(BA176=4,BA176=5)),"IEQL",IF(AND(EQ176="EQH",OR(BA176=1,BA176=2)),"IEQH",""))</f>
        <v/>
      </c>
    </row>
    <row r="177" customFormat="false" ht="14.25" hidden="false" customHeight="false" outlineLevel="0" collapsed="false">
      <c r="A177" s="1" t="n">
        <v>1780040702</v>
      </c>
      <c r="B177" s="1" t="s">
        <v>169</v>
      </c>
      <c r="C177" s="1" t="s">
        <v>170</v>
      </c>
      <c r="D177" s="1" t="n">
        <v>4524.76</v>
      </c>
      <c r="E177" s="1" t="s">
        <v>173</v>
      </c>
      <c r="F177" s="1" t="n">
        <v>4526.21</v>
      </c>
      <c r="G177" s="2" t="n">
        <f aca="false">F175</f>
        <v>4516.57</v>
      </c>
      <c r="H177" s="2" t="n">
        <f aca="false">F173</f>
        <v>4404.43</v>
      </c>
      <c r="I177" s="2" t="n">
        <f aca="false">F171</f>
        <v>4465.92</v>
      </c>
      <c r="J177" s="2" t="n">
        <f aca="false">F169</f>
        <v>4517.18</v>
      </c>
      <c r="K177" s="2" t="n">
        <f aca="false">F167</f>
        <v>4537.84</v>
      </c>
      <c r="L177" s="2" t="n">
        <f aca="false">F165</f>
        <v>4540.53</v>
      </c>
      <c r="M177" s="2" t="n">
        <f aca="false">F163</f>
        <v>4539.01</v>
      </c>
      <c r="N177" s="2" t="n">
        <f aca="false">F161</f>
        <v>4580.28</v>
      </c>
      <c r="O177" s="2" t="n">
        <f aca="false">F159</f>
        <v>4577.8</v>
      </c>
      <c r="P177" s="2" t="n">
        <f aca="false">F157</f>
        <v>4577.02</v>
      </c>
      <c r="Q177" s="2" t="n">
        <f aca="false">F155</f>
        <v>4579.98</v>
      </c>
      <c r="R177" s="1" t="n">
        <v>37.02</v>
      </c>
      <c r="S177" s="2" t="n">
        <f aca="false">R175</f>
        <v>141.1</v>
      </c>
      <c r="T177" s="2" t="n">
        <f aca="false">R173</f>
        <v>38.11</v>
      </c>
      <c r="U177" s="2" t="n">
        <f aca="false">R171</f>
        <v>64.42</v>
      </c>
      <c r="V177" s="2" t="n">
        <f aca="false">R169</f>
        <v>21.21</v>
      </c>
      <c r="W177" s="2" t="n">
        <f aca="false">R167</f>
        <v>55.1</v>
      </c>
      <c r="X177" s="2" t="n">
        <f aca="false">R165</f>
        <v>28.42</v>
      </c>
      <c r="Y177" s="2" t="n">
        <f aca="false">R163</f>
        <v>17.29</v>
      </c>
      <c r="Z177" s="2" t="n">
        <f aca="false">R161</f>
        <v>16.88</v>
      </c>
      <c r="AA177" s="2" t="n">
        <f aca="false">R159</f>
        <v>24.87</v>
      </c>
      <c r="AB177" s="2" t="n">
        <f aca="false">R157</f>
        <v>26.54</v>
      </c>
      <c r="AC177" s="2" t="n">
        <f aca="false">R155</f>
        <v>75.59</v>
      </c>
      <c r="AD177" s="1" t="n">
        <v>0.82</v>
      </c>
      <c r="AE177" s="2" t="n">
        <f aca="false">AD175</f>
        <v>3.22</v>
      </c>
      <c r="AF177" s="2" t="n">
        <f aca="false">AD173</f>
        <v>0.87</v>
      </c>
      <c r="AG177" s="2" t="n">
        <f aca="false">AD171</f>
        <v>1.46</v>
      </c>
      <c r="AH177" s="2" t="n">
        <f aca="false">AD169</f>
        <v>0.47</v>
      </c>
      <c r="AI177" s="2" t="n">
        <f aca="false">AD167</f>
        <v>1.23</v>
      </c>
      <c r="AJ177" s="2" t="n">
        <f aca="false">AD165</f>
        <v>0.63</v>
      </c>
      <c r="AK177" s="2" t="n">
        <f aca="false">AD163</f>
        <v>0.38</v>
      </c>
      <c r="AL177" s="2" t="n">
        <f aca="false">AD161</f>
        <v>0.37</v>
      </c>
      <c r="AM177" s="2" t="n">
        <f aca="false">AD159</f>
        <v>0.55</v>
      </c>
      <c r="AN177" s="2" t="n">
        <f aca="false">AD157</f>
        <v>0.58</v>
      </c>
      <c r="AO177" s="2" t="n">
        <f aca="false">AD155</f>
        <v>1.68</v>
      </c>
      <c r="AP177" s="1" t="n">
        <v>0</v>
      </c>
      <c r="AQ177" s="2" t="n">
        <f aca="false">AP175</f>
        <v>2</v>
      </c>
      <c r="AR177" s="2" t="n">
        <f aca="false">AP173</f>
        <v>0</v>
      </c>
      <c r="AS177" s="2" t="n">
        <f aca="false">AP171</f>
        <v>0</v>
      </c>
      <c r="AT177" s="2" t="n">
        <f aca="false">AP169</f>
        <v>0</v>
      </c>
      <c r="AU177" s="2" t="n">
        <f aca="false">AP167</f>
        <v>0</v>
      </c>
      <c r="AV177" s="2" t="n">
        <f aca="false">AP165</f>
        <v>0</v>
      </c>
      <c r="AW177" s="2" t="n">
        <f aca="false">AP163</f>
        <v>0</v>
      </c>
      <c r="AX177" s="2" t="n">
        <f aca="false">AP161</f>
        <v>0</v>
      </c>
      <c r="AY177" s="2" t="n">
        <f aca="false">AP159</f>
        <v>0</v>
      </c>
      <c r="AZ177" s="2" t="n">
        <f aca="false">AP157</f>
        <v>0</v>
      </c>
      <c r="BA177" s="2" t="n">
        <f aca="false">AP155</f>
        <v>0</v>
      </c>
      <c r="BB177" s="1" t="n">
        <v>32</v>
      </c>
      <c r="BC177" s="2" t="n">
        <f aca="false">BB175</f>
        <v>29</v>
      </c>
      <c r="BD177" s="2" t="n">
        <f aca="false">BB173</f>
        <v>23</v>
      </c>
      <c r="BE177" s="2" t="n">
        <f aca="false">BB171</f>
        <v>31</v>
      </c>
      <c r="BF177" s="2" t="n">
        <f aca="false">BB169</f>
        <v>3</v>
      </c>
      <c r="BG177" s="2" t="n">
        <f aca="false">BB167</f>
        <v>12</v>
      </c>
      <c r="BH177" s="2" t="n">
        <f aca="false">BB165</f>
        <v>5</v>
      </c>
      <c r="BI177" s="2" t="n">
        <f aca="false">BB163</f>
        <v>1</v>
      </c>
      <c r="BJ177" s="2" t="n">
        <f aca="false">BB161</f>
        <v>8</v>
      </c>
      <c r="BK177" s="2" t="n">
        <f aca="false">BB159</f>
        <v>19</v>
      </c>
      <c r="BL177" s="2" t="n">
        <f aca="false">BB157</f>
        <v>23</v>
      </c>
      <c r="BM177" s="2" t="n">
        <f aca="false">BB155</f>
        <v>12</v>
      </c>
      <c r="BN177" s="1" t="n">
        <v>0</v>
      </c>
      <c r="BO177" s="2" t="n">
        <f aca="false">BN175</f>
        <v>0</v>
      </c>
      <c r="BP177" s="2" t="n">
        <f aca="false">BN173</f>
        <v>0</v>
      </c>
      <c r="BQ177" s="2" t="n">
        <f aca="false">BN171</f>
        <v>0</v>
      </c>
      <c r="BR177" s="2" t="n">
        <f aca="false">BN169</f>
        <v>0</v>
      </c>
      <c r="BS177" s="2" t="n">
        <f aca="false">BN167</f>
        <v>0</v>
      </c>
      <c r="BT177" s="2" t="n">
        <f aca="false">BN165</f>
        <v>0</v>
      </c>
      <c r="BU177" s="2" t="n">
        <f aca="false">BN163</f>
        <v>0</v>
      </c>
      <c r="BV177" s="2" t="n">
        <f aca="false">BN161</f>
        <v>0</v>
      </c>
      <c r="BW177" s="2" t="n">
        <f aca="false">BN159</f>
        <v>0</v>
      </c>
      <c r="BX177" s="2" t="n">
        <f aca="false">BN157</f>
        <v>0</v>
      </c>
      <c r="BY177" s="2" t="n">
        <f aca="false">BN155</f>
        <v>0</v>
      </c>
      <c r="BZ177" s="1" t="n">
        <v>1.15688</v>
      </c>
      <c r="CA177" s="2" t="n">
        <f aca="false">BZ175</f>
        <v>4.86552</v>
      </c>
      <c r="CB177" s="2" t="n">
        <f aca="false">BZ173</f>
        <v>1.65696</v>
      </c>
      <c r="CC177" s="2" t="n">
        <f aca="false">BZ171</f>
        <v>2.07806</v>
      </c>
      <c r="CD177" s="2" t="n">
        <f aca="false">BZ169</f>
        <v>7.07</v>
      </c>
      <c r="CE177" s="2" t="n">
        <f aca="false">BZ167</f>
        <v>4.59167</v>
      </c>
      <c r="CF177" s="2" t="n">
        <f aca="false">BZ165</f>
        <v>5.684</v>
      </c>
      <c r="CG177" s="2" t="n">
        <f aca="false">BZ163</f>
        <v>17.29</v>
      </c>
      <c r="CH177" s="2" t="n">
        <f aca="false">BZ161</f>
        <v>2.11</v>
      </c>
      <c r="CI177" s="2" t="n">
        <f aca="false">BZ159</f>
        <v>1.30895</v>
      </c>
      <c r="CJ177" s="2" t="n">
        <f aca="false">BZ157</f>
        <v>1.15391</v>
      </c>
      <c r="CK177" s="2" t="n">
        <f aca="false">BZ155</f>
        <v>6.29917</v>
      </c>
      <c r="CL177" s="1" t="n">
        <v>0</v>
      </c>
      <c r="CM177" s="2" t="n">
        <f aca="false">CL175</f>
        <v>0</v>
      </c>
      <c r="CN177" s="2" t="n">
        <f aca="false">CL173</f>
        <v>0</v>
      </c>
      <c r="CO177" s="2" t="n">
        <f aca="false">CL171</f>
        <v>0</v>
      </c>
      <c r="CP177" s="2" t="n">
        <f aca="false">CL169</f>
        <v>0</v>
      </c>
      <c r="CQ177" s="2" t="n">
        <f aca="false">CL167</f>
        <v>0</v>
      </c>
      <c r="CR177" s="2" t="n">
        <f aca="false">CL165</f>
        <v>0</v>
      </c>
      <c r="CS177" s="2" t="n">
        <f aca="false">CL163</f>
        <v>2</v>
      </c>
      <c r="CT177" s="2" t="n">
        <f aca="false">CL161</f>
        <v>0</v>
      </c>
      <c r="CU177" s="2" t="n">
        <f aca="false">CL159</f>
        <v>0</v>
      </c>
      <c r="CV177" s="2" t="n">
        <f aca="false">CL157</f>
        <v>0</v>
      </c>
      <c r="CW177" s="2" t="n">
        <f aca="false">CL155</f>
        <v>0</v>
      </c>
      <c r="CX177" s="1" t="n">
        <v>49.1599</v>
      </c>
      <c r="CY177" s="2" t="n">
        <f aca="false">CX175</f>
        <v>78.3858</v>
      </c>
      <c r="CZ177" s="2" t="n">
        <f aca="false">CX173</f>
        <v>58.8883</v>
      </c>
      <c r="DA177" s="2" t="n">
        <f aca="false">CX171</f>
        <v>64.3023</v>
      </c>
      <c r="DB177" s="2" t="n">
        <f aca="false">CX169</f>
        <v>81.9493</v>
      </c>
      <c r="DC177" s="2" t="n">
        <f aca="false">CX167</f>
        <v>77.7136</v>
      </c>
      <c r="DD177" s="2" t="n">
        <f aca="false">CX165</f>
        <v>80.0219</v>
      </c>
      <c r="DE177" s="2" t="n">
        <f aca="false">CX163</f>
        <v>86.6899</v>
      </c>
      <c r="DF177" s="2" t="n">
        <f aca="false">CX161</f>
        <v>64.6422</v>
      </c>
      <c r="DG177" s="2" t="n">
        <f aca="false">CX159</f>
        <v>52.6212</v>
      </c>
      <c r="DH177" s="2" t="n">
        <f aca="false">CX157</f>
        <v>49.0873</v>
      </c>
      <c r="DI177" s="2" t="n">
        <f aca="false">CX155</f>
        <v>80.9795</v>
      </c>
      <c r="DJ177" s="1" t="s">
        <v>176</v>
      </c>
      <c r="DK177" s="2" t="str">
        <f aca="false">DJ175</f>
        <v>HH</v>
      </c>
      <c r="DL177" s="2" t="str">
        <f aca="false">DJ173</f>
        <v>LH</v>
      </c>
      <c r="DM177" s="2" t="str">
        <f aca="false">DJ171</f>
        <v>LH</v>
      </c>
      <c r="DN177" s="2" t="str">
        <f aca="false">DJ169</f>
        <v>LH</v>
      </c>
      <c r="DO177" s="2" t="str">
        <f aca="false">DJ167</f>
        <v>LH</v>
      </c>
      <c r="DP177" s="2" t="str">
        <f aca="false">DJ165</f>
        <v>HH</v>
      </c>
      <c r="DQ177" s="2" t="str">
        <f aca="false">DJ163</f>
        <v>LH</v>
      </c>
      <c r="DR177" s="2" t="str">
        <f aca="false">DJ161</f>
        <v>HH</v>
      </c>
      <c r="DS177" s="2" t="str">
        <f aca="false">DJ159</f>
        <v>HH</v>
      </c>
      <c r="DT177" s="2" t="str">
        <f aca="false">DJ157</f>
        <v>LH</v>
      </c>
      <c r="DU177" s="2" t="str">
        <f aca="false">DJ155</f>
        <v>HH</v>
      </c>
      <c r="DV177" s="2" t="n">
        <f aca="false">IFERROR((G177-$F177)/$F177*100,"")</f>
        <v>-0.212981722014673</v>
      </c>
      <c r="DW177" s="2" t="n">
        <f aca="false">IFERROR((H177-$F177)/$F177*100,"")</f>
        <v>-2.69055125590725</v>
      </c>
      <c r="DX177" s="2" t="n">
        <f aca="false">IFERROR((I177-$F177)/$F177*100,"")</f>
        <v>-1.33201950417678</v>
      </c>
      <c r="DY177" s="2" t="n">
        <f aca="false">IFERROR((J177-$F177)/$F177*100,"")</f>
        <v>-0.199504662841533</v>
      </c>
      <c r="DZ177" s="2" t="n">
        <f aca="false">IFERROR((K177-$F177)/$F177*100,"")</f>
        <v>0.256947865874542</v>
      </c>
      <c r="EA177" s="2" t="n">
        <f aca="false">IFERROR((L177-$F177)/$F177*100,"")</f>
        <v>0.316379487474061</v>
      </c>
      <c r="EB177" s="2" t="n">
        <f aca="false">IFERROR((M177-$F177)/$F177*100,"")</f>
        <v>0.282797307239394</v>
      </c>
      <c r="EC177" s="2" t="n">
        <f aca="false">IFERROR((N177-$F177)/$F177*100,"")</f>
        <v>1.19459768769014</v>
      </c>
      <c r="ED177" s="2" t="n">
        <f aca="false">IFERROR((O177-$F177)/$F177*100,"")</f>
        <v>1.13980570941251</v>
      </c>
      <c r="EE177" s="2" t="n">
        <f aca="false">IFERROR((P177-$F177)/$F177*100,"")</f>
        <v>1.12257274850262</v>
      </c>
      <c r="EF177" s="2" t="n">
        <f aca="false">IFERROR((Q177-$F177)/$F177*100,"")</f>
        <v>1.18796962580171</v>
      </c>
      <c r="EG177" s="2" t="str">
        <f aca="false">IF(DV177="","",IF(AND(ABS(DV177)&lt;=0.25,$E177="Bottom",DK177="LL"),"EQL",IF(AND(ABS(DV177)&lt;=0.25,$E177="Peak",DK177="HH"),"EQH","")))</f>
        <v>EQH</v>
      </c>
      <c r="EH177" s="2" t="str">
        <f aca="false">IF(DW177="","",IF(AND(ABS(DW177)&lt;=0.25,$E177="Bottom",DL177="LL"),"EQL",IF(AND(ABS(DW177)&lt;=0.25,$E177="Peak",DL177="HH"),"EQH","")))</f>
        <v/>
      </c>
      <c r="EI177" s="2" t="str">
        <f aca="false">IF(DX177="","",IF(AND(ABS(DX177)&lt;=0.25,$E177="Bottom",DM177="LL"),"EQL",IF(AND(ABS(DX177)&lt;=0.25,$E177="Peak",DM177="HH"),"EQH","")))</f>
        <v/>
      </c>
      <c r="EJ177" s="2" t="str">
        <f aca="false">IF(DY177="","",IF(AND(ABS(DY177)&lt;=0.25,$E177="Bottom",DN177="LL"),"EQL",IF(AND(ABS(DY177)&lt;=0.25,$E177="Peak",DN177="HH"),"EQH","")))</f>
        <v/>
      </c>
      <c r="EK177" s="2" t="str">
        <f aca="false">IF(DZ177="","",IF(AND(ABS(DZ177)&lt;=0.25,$E177="Bottom",DO177="LL"),"EQL",IF(AND(ABS(DZ177)&lt;=0.25,$E177="Peak",DO177="HH"),"EQH","")))</f>
        <v/>
      </c>
      <c r="EL177" s="2" t="str">
        <f aca="false">IF(EA177="","",IF(AND(ABS(EA177)&lt;=0.25,$E177="Bottom",DP177="LL"),"EQL",IF(AND(ABS(EA177)&lt;=0.25,$E177="Peak",DP177="HH"),"EQH","")))</f>
        <v/>
      </c>
      <c r="EM177" s="2" t="str">
        <f aca="false">IF(EB177="","",IF(AND(ABS(EB177)&lt;=0.25,$E177="Bottom",DQ177="LL"),"EQL",IF(AND(ABS(EB177)&lt;=0.25,$E177="Peak",DQ177="HH"),"EQH","")))</f>
        <v/>
      </c>
      <c r="EN177" s="2" t="str">
        <f aca="false">IF(EC177="","",IF(AND(ABS(EC177)&lt;=0.25,$E177="Bottom",DR177="LL"),"EQL",IF(AND(ABS(EC177)&lt;=0.25,$E177="Peak",DR177="HH"),"EQH","")))</f>
        <v/>
      </c>
      <c r="EO177" s="2" t="str">
        <f aca="false">IF(ED177="","",IF(AND(ABS(ED177)&lt;=0.25,$E177="Bottom",DS177="LL"),"EQL",IF(AND(ABS(ED177)&lt;=0.25,$E177="Peak",DS177="HH"),"EQH","")))</f>
        <v/>
      </c>
      <c r="EP177" s="2" t="str">
        <f aca="false">IF(EE177="","",IF(AND(ABS(EE177)&lt;=0.25,$E177="Bottom",DT177="LL"),"EQL",IF(AND(ABS(EE177)&lt;=0.25,$E177="Peak",DT177="HH"),"EQH","")))</f>
        <v/>
      </c>
      <c r="EQ177" s="2" t="str">
        <f aca="false">IF(EF177="","",IF(AND(ABS(EF177)&lt;=0.25,$E177="Bottom",DU177="LL"),"EQL",IF(AND(ABS(EF177)&lt;=0.25,$E177="Peak",DU177="HH"),"EQH","")))</f>
        <v/>
      </c>
      <c r="ER177" s="2" t="n">
        <f aca="false">IF(OR(EG177="EQL",EG177="EQH"),G177,"")</f>
        <v>4516.57</v>
      </c>
      <c r="ES177" s="2" t="str">
        <f aca="false">IF(OR(EH177="EQL",EH177="EQH"),H177,"")</f>
        <v/>
      </c>
      <c r="ET177" s="2" t="str">
        <f aca="false">IF(OR(EI177="EQL",EI177="EQH"),I177,"")</f>
        <v/>
      </c>
      <c r="EU177" s="2" t="str">
        <f aca="false">IF(OR(EJ177="EQL",EJ177="EQH"),J177,"")</f>
        <v/>
      </c>
      <c r="EV177" s="2" t="str">
        <f aca="false">IF(OR(EK177="EQL",EK177="EQH"),K177,"")</f>
        <v/>
      </c>
      <c r="EW177" s="2" t="str">
        <f aca="false">IF(OR(EL177="EQL",EL177="EQH"),L177,"")</f>
        <v/>
      </c>
      <c r="EX177" s="2" t="str">
        <f aca="false">IF(OR(EM177="EQL",EM177="EQH"),M177,"")</f>
        <v/>
      </c>
      <c r="EY177" s="2" t="str">
        <f aca="false">IF(OR(EN177="EQL",EN177="EQH"),N177,"")</f>
        <v/>
      </c>
      <c r="EZ177" s="2" t="str">
        <f aca="false">IF(OR(EO177="EQL",EO177="EQH"),O177,"")</f>
        <v/>
      </c>
      <c r="FA177" s="2" t="str">
        <f aca="false">IF(OR(EP177="EQL",EP177="EQH"),P177,"")</f>
        <v/>
      </c>
      <c r="FB177" s="2" t="str">
        <f aca="false">IF(OR(EQ177="EQL",EQ177="EQH"),Q177,"")</f>
        <v/>
      </c>
      <c r="FC177" s="2" t="str">
        <f aca="false">IF(AND(EG177="EQL",OR(AQ177=4,AQ177=5)),"IEQL",IF(AND(EG177="EQH",OR(AQ177=1,AQ177=2)),"IEQH",""))</f>
        <v>IEQH</v>
      </c>
      <c r="FD177" s="2" t="str">
        <f aca="false">IF(AND(EH177="EQL",OR(AR177=4,AR177=5)),"IEQL",IF(AND(EH177="EQH",OR(AR177=1,AR177=2)),"IEQH",""))</f>
        <v/>
      </c>
      <c r="FE177" s="2" t="str">
        <f aca="false">IF(AND(EI177="EQL",OR(AS177=4,AS177=5)),"IEQL",IF(AND(EI177="EQH",OR(AS177=1,AS177=2)),"IEQH",""))</f>
        <v/>
      </c>
      <c r="FF177" s="2" t="str">
        <f aca="false">IF(AND(EJ177="EQL",OR(AT177=4,AT177=5)),"IEQL",IF(AND(EJ177="EQH",OR(AT177=1,AT177=2)),"IEQH",""))</f>
        <v/>
      </c>
      <c r="FG177" s="2" t="str">
        <f aca="false">IF(AND(EK177="EQL",OR(AU177=4,AU177=5)),"IEQL",IF(AND(EK177="EQH",OR(AU177=1,AU177=2)),"IEQH",""))</f>
        <v/>
      </c>
      <c r="FH177" s="2" t="str">
        <f aca="false">IF(AND(EL177="EQL",OR(AV177=4,AV177=5)),"IEQL",IF(AND(EL177="EQH",OR(AV177=1,AV177=2)),"IEQH",""))</f>
        <v/>
      </c>
      <c r="FI177" s="2" t="str">
        <f aca="false">IF(AND(EM177="EQL",OR(AW177=4,AW177=5)),"IEQL",IF(AND(EM177="EQH",OR(AW177=1,AW177=2)),"IEQH",""))</f>
        <v/>
      </c>
      <c r="FJ177" s="2" t="str">
        <f aca="false">IF(AND(EN177="EQL",OR(AX177=4,AX177=5)),"IEQL",IF(AND(EN177="EQH",OR(AX177=1,AX177=2)),"IEQH",""))</f>
        <v/>
      </c>
      <c r="FK177" s="2" t="str">
        <f aca="false">IF(AND(EO177="EQL",OR(AY177=4,AY177=5)),"IEQL",IF(AND(EO177="EQH",OR(AY177=1,AY177=2)),"IEQH",""))</f>
        <v/>
      </c>
      <c r="FL177" s="2" t="str">
        <f aca="false">IF(AND(EP177="EQL",OR(AZ177=4,AZ177=5)),"IEQL",IF(AND(EP177="EQH",OR(AZ177=1,AZ177=2)),"IEQH",""))</f>
        <v/>
      </c>
      <c r="FM177" s="2" t="str">
        <f aca="false">IF(AND(EQ177="EQL",OR(BA177=4,BA177=5)),"IEQL",IF(AND(EQ177="EQH",OR(BA177=1,BA177=2)),"IEQH",""))</f>
        <v/>
      </c>
    </row>
    <row r="178" customFormat="false" ht="14.25" hidden="false" customHeight="false" outlineLevel="0" collapsed="false">
      <c r="A178" s="1" t="n">
        <v>1780044302</v>
      </c>
      <c r="B178" s="1" t="s">
        <v>169</v>
      </c>
      <c r="C178" s="1" t="s">
        <v>170</v>
      </c>
      <c r="D178" s="1" t="n">
        <v>4514.88</v>
      </c>
      <c r="E178" s="1" t="s">
        <v>171</v>
      </c>
      <c r="F178" s="1" t="n">
        <v>4510.03</v>
      </c>
      <c r="G178" s="2" t="n">
        <f aca="false">F176</f>
        <v>4489.19</v>
      </c>
      <c r="H178" s="2" t="n">
        <f aca="false">F174</f>
        <v>4375.47</v>
      </c>
      <c r="I178" s="2" t="n">
        <f aca="false">F172</f>
        <v>4366.32</v>
      </c>
      <c r="J178" s="2" t="n">
        <f aca="false">F170</f>
        <v>4401.5</v>
      </c>
      <c r="K178" s="2" t="n">
        <f aca="false">F168</f>
        <v>4495.97</v>
      </c>
      <c r="L178" s="2" t="n">
        <f aca="false">F166</f>
        <v>4482.74</v>
      </c>
      <c r="M178" s="2" t="n">
        <f aca="false">F164</f>
        <v>4512.11</v>
      </c>
      <c r="N178" s="2" t="n">
        <f aca="false">F162</f>
        <v>4521.72</v>
      </c>
      <c r="O178" s="2" t="n">
        <f aca="false">F160</f>
        <v>4563.4</v>
      </c>
      <c r="P178" s="2" t="n">
        <f aca="false">F158</f>
        <v>4552.93</v>
      </c>
      <c r="Q178" s="2" t="n">
        <f aca="false">F156</f>
        <v>4550.48</v>
      </c>
      <c r="R178" s="1" t="n">
        <v>-16.18</v>
      </c>
      <c r="S178" s="2" t="n">
        <f aca="false">R176</f>
        <v>-27.38</v>
      </c>
      <c r="T178" s="2" t="n">
        <f aca="false">R174</f>
        <v>-28.96</v>
      </c>
      <c r="U178" s="2" t="n">
        <f aca="false">R172</f>
        <v>-99.6</v>
      </c>
      <c r="V178" s="2" t="n">
        <f aca="false">R170</f>
        <v>-115.68</v>
      </c>
      <c r="W178" s="2" t="n">
        <f aca="false">R168</f>
        <v>-41.87</v>
      </c>
      <c r="X178" s="2" t="n">
        <f aca="false">R166</f>
        <v>-57.79</v>
      </c>
      <c r="Y178" s="2" t="n">
        <f aca="false">R164</f>
        <v>-26.9</v>
      </c>
      <c r="Z178" s="2" t="n">
        <f aca="false">R162</f>
        <v>-58.56</v>
      </c>
      <c r="AA178" s="2" t="n">
        <f aca="false">R160</f>
        <v>-14.4</v>
      </c>
      <c r="AB178" s="2" t="n">
        <f aca="false">R158</f>
        <v>-24.09</v>
      </c>
      <c r="AC178" s="2" t="n">
        <f aca="false">R156</f>
        <v>-29.5</v>
      </c>
      <c r="AD178" s="1" t="n">
        <v>-0.36</v>
      </c>
      <c r="AE178" s="2" t="n">
        <f aca="false">AD176</f>
        <v>-0.61</v>
      </c>
      <c r="AF178" s="2" t="n">
        <f aca="false">AD174</f>
        <v>-0.66</v>
      </c>
      <c r="AG178" s="2" t="n">
        <f aca="false">AD172</f>
        <v>-2.23</v>
      </c>
      <c r="AH178" s="2" t="n">
        <f aca="false">AD170</f>
        <v>-2.56</v>
      </c>
      <c r="AI178" s="2" t="n">
        <f aca="false">AD168</f>
        <v>-0.92</v>
      </c>
      <c r="AJ178" s="2" t="n">
        <f aca="false">AD166</f>
        <v>-1.27</v>
      </c>
      <c r="AK178" s="2" t="n">
        <f aca="false">AD164</f>
        <v>-0.59</v>
      </c>
      <c r="AL178" s="2" t="n">
        <f aca="false">AD162</f>
        <v>-1.28</v>
      </c>
      <c r="AM178" s="2" t="n">
        <f aca="false">AD160</f>
        <v>-0.31</v>
      </c>
      <c r="AN178" s="2" t="n">
        <f aca="false">AD158</f>
        <v>-0.53</v>
      </c>
      <c r="AO178" s="2" t="n">
        <f aca="false">AD156</f>
        <v>-0.64</v>
      </c>
      <c r="AP178" s="1" t="n">
        <v>3</v>
      </c>
      <c r="AQ178" s="2" t="n">
        <f aca="false">AP176</f>
        <v>3</v>
      </c>
      <c r="AR178" s="2" t="n">
        <f aca="false">AP174</f>
        <v>3</v>
      </c>
      <c r="AS178" s="2" t="n">
        <f aca="false">AP172</f>
        <v>5</v>
      </c>
      <c r="AT178" s="2" t="n">
        <f aca="false">AP170</f>
        <v>5</v>
      </c>
      <c r="AU178" s="2" t="n">
        <f aca="false">AP168</f>
        <v>3</v>
      </c>
      <c r="AV178" s="2" t="n">
        <f aca="false">AP166</f>
        <v>3</v>
      </c>
      <c r="AW178" s="2" t="n">
        <f aca="false">AP164</f>
        <v>3</v>
      </c>
      <c r="AX178" s="2" t="n">
        <f aca="false">AP162</f>
        <v>3</v>
      </c>
      <c r="AY178" s="2" t="n">
        <f aca="false">AP160</f>
        <v>3</v>
      </c>
      <c r="AZ178" s="2" t="n">
        <f aca="false">AP158</f>
        <v>3</v>
      </c>
      <c r="BA178" s="2" t="n">
        <f aca="false">AP156</f>
        <v>3</v>
      </c>
      <c r="BB178" s="1" t="n">
        <v>4</v>
      </c>
      <c r="BC178" s="2" t="n">
        <f aca="false">BB176</f>
        <v>19</v>
      </c>
      <c r="BD178" s="2" t="n">
        <f aca="false">BB174</f>
        <v>3</v>
      </c>
      <c r="BE178" s="2" t="n">
        <f aca="false">BB172</f>
        <v>25</v>
      </c>
      <c r="BF178" s="2" t="n">
        <f aca="false">BB170</f>
        <v>34</v>
      </c>
      <c r="BG178" s="2" t="n">
        <f aca="false">BB168</f>
        <v>24</v>
      </c>
      <c r="BH178" s="2" t="n">
        <f aca="false">BB166</f>
        <v>29</v>
      </c>
      <c r="BI178" s="2" t="n">
        <f aca="false">BB164</f>
        <v>7</v>
      </c>
      <c r="BJ178" s="2" t="n">
        <f aca="false">BB162</f>
        <v>33</v>
      </c>
      <c r="BK178" s="2" t="n">
        <f aca="false">BB160</f>
        <v>3</v>
      </c>
      <c r="BL178" s="2" t="n">
        <f aca="false">BB158</f>
        <v>2</v>
      </c>
      <c r="BM178" s="2" t="n">
        <f aca="false">BB156</f>
        <v>26</v>
      </c>
      <c r="BN178" s="1" t="n">
        <v>3</v>
      </c>
      <c r="BO178" s="2" t="n">
        <f aca="false">BN176</f>
        <v>3</v>
      </c>
      <c r="BP178" s="2" t="n">
        <f aca="false">BN174</f>
        <v>3</v>
      </c>
      <c r="BQ178" s="2" t="n">
        <f aca="false">BN172</f>
        <v>3</v>
      </c>
      <c r="BR178" s="2" t="n">
        <f aca="false">BN170</f>
        <v>4</v>
      </c>
      <c r="BS178" s="2" t="n">
        <f aca="false">BN168</f>
        <v>3</v>
      </c>
      <c r="BT178" s="2" t="n">
        <f aca="false">BN166</f>
        <v>3</v>
      </c>
      <c r="BU178" s="2" t="n">
        <f aca="false">BN164</f>
        <v>3</v>
      </c>
      <c r="BV178" s="2" t="n">
        <f aca="false">BN162</f>
        <v>4</v>
      </c>
      <c r="BW178" s="2" t="n">
        <f aca="false">BN160</f>
        <v>3</v>
      </c>
      <c r="BX178" s="2" t="n">
        <f aca="false">BN158</f>
        <v>3</v>
      </c>
      <c r="BY178" s="2" t="n">
        <f aca="false">BN156</f>
        <v>3</v>
      </c>
      <c r="BZ178" s="1" t="n">
        <v>-4.045</v>
      </c>
      <c r="CA178" s="2" t="n">
        <f aca="false">BZ176</f>
        <v>-1.44105</v>
      </c>
      <c r="CB178" s="2" t="n">
        <f aca="false">BZ174</f>
        <v>-9.65333</v>
      </c>
      <c r="CC178" s="2" t="n">
        <f aca="false">BZ172</f>
        <v>-3.984</v>
      </c>
      <c r="CD178" s="2" t="n">
        <f aca="false">BZ170</f>
        <v>-3.40235</v>
      </c>
      <c r="CE178" s="2" t="n">
        <f aca="false">BZ168</f>
        <v>-1.74458</v>
      </c>
      <c r="CF178" s="2" t="n">
        <f aca="false">BZ166</f>
        <v>-1.99276</v>
      </c>
      <c r="CG178" s="2" t="n">
        <f aca="false">BZ164</f>
        <v>-3.84286</v>
      </c>
      <c r="CH178" s="2" t="n">
        <f aca="false">BZ162</f>
        <v>-1.77455</v>
      </c>
      <c r="CI178" s="2" t="n">
        <f aca="false">BZ160</f>
        <v>-4.8</v>
      </c>
      <c r="CJ178" s="2" t="n">
        <f aca="false">BZ158</f>
        <v>-12.045</v>
      </c>
      <c r="CK178" s="2" t="n">
        <f aca="false">BZ156</f>
        <v>-1.13462</v>
      </c>
      <c r="CL178" s="1" t="n">
        <v>3</v>
      </c>
      <c r="CM178" s="2" t="n">
        <f aca="false">CL176</f>
        <v>3</v>
      </c>
      <c r="CN178" s="2" t="n">
        <f aca="false">CL174</f>
        <v>3</v>
      </c>
      <c r="CO178" s="2" t="n">
        <f aca="false">CL172</f>
        <v>3</v>
      </c>
      <c r="CP178" s="2" t="n">
        <f aca="false">CL170</f>
        <v>3</v>
      </c>
      <c r="CQ178" s="2" t="n">
        <f aca="false">CL168</f>
        <v>3</v>
      </c>
      <c r="CR178" s="2" t="n">
        <f aca="false">CL166</f>
        <v>3</v>
      </c>
      <c r="CS178" s="2" t="n">
        <f aca="false">CL164</f>
        <v>3</v>
      </c>
      <c r="CT178" s="2" t="n">
        <f aca="false">CL162</f>
        <v>3</v>
      </c>
      <c r="CU178" s="2" t="n">
        <f aca="false">CL160</f>
        <v>3</v>
      </c>
      <c r="CV178" s="2" t="n">
        <f aca="false">CL158</f>
        <v>4</v>
      </c>
      <c r="CW178" s="2" t="n">
        <f aca="false">CL156</f>
        <v>3</v>
      </c>
      <c r="CX178" s="1" t="n">
        <v>-76.1138</v>
      </c>
      <c r="CY178" s="2" t="n">
        <f aca="false">CX176</f>
        <v>-55.2418</v>
      </c>
      <c r="CZ178" s="2" t="n">
        <f aca="false">CX174</f>
        <v>-84.0858</v>
      </c>
      <c r="DA178" s="2" t="n">
        <f aca="false">CX172</f>
        <v>-75.9096</v>
      </c>
      <c r="DB178" s="2" t="n">
        <f aca="false">CX170</f>
        <v>-73.6212</v>
      </c>
      <c r="DC178" s="2" t="n">
        <f aca="false">CX168</f>
        <v>-60.1785</v>
      </c>
      <c r="DD178" s="2" t="n">
        <f aca="false">CX166</f>
        <v>-63.3517</v>
      </c>
      <c r="DE178" s="2" t="n">
        <f aca="false">CX164</f>
        <v>-75.4138</v>
      </c>
      <c r="DF178" s="2" t="n">
        <f aca="false">CX162</f>
        <v>-60.5977</v>
      </c>
      <c r="DG178" s="2" t="n">
        <f aca="false">CX160</f>
        <v>-78.2317</v>
      </c>
      <c r="DH178" s="2" t="n">
        <f aca="false">CX158</f>
        <v>-85.2541</v>
      </c>
      <c r="DI178" s="2" t="n">
        <f aca="false">CX156</f>
        <v>-48.6085</v>
      </c>
      <c r="DJ178" s="1" t="s">
        <v>175</v>
      </c>
      <c r="DK178" s="2" t="str">
        <f aca="false">DJ176</f>
        <v>HL</v>
      </c>
      <c r="DL178" s="2" t="str">
        <f aca="false">DJ174</f>
        <v>HL</v>
      </c>
      <c r="DM178" s="2" t="str">
        <f aca="false">DJ172</f>
        <v>LL</v>
      </c>
      <c r="DN178" s="2" t="str">
        <f aca="false">DJ170</f>
        <v>LL</v>
      </c>
      <c r="DO178" s="2" t="str">
        <f aca="false">DJ168</f>
        <v>HL</v>
      </c>
      <c r="DP178" s="2" t="str">
        <f aca="false">DJ166</f>
        <v>LL</v>
      </c>
      <c r="DQ178" s="2" t="str">
        <f aca="false">DJ164</f>
        <v>LL</v>
      </c>
      <c r="DR178" s="2" t="str">
        <f aca="false">DJ162</f>
        <v>LL</v>
      </c>
      <c r="DS178" s="2" t="str">
        <f aca="false">DJ160</f>
        <v>HL</v>
      </c>
      <c r="DT178" s="2" t="str">
        <f aca="false">DJ158</f>
        <v>HL</v>
      </c>
      <c r="DU178" s="2" t="str">
        <f aca="false">DJ156</f>
        <v>HL</v>
      </c>
      <c r="DV178" s="2" t="n">
        <f aca="false">IFERROR((G178-$F178)/$F178*100,"")</f>
        <v>-0.462081183495457</v>
      </c>
      <c r="DW178" s="2" t="n">
        <f aca="false">IFERROR((H178-$F178)/$F178*100,"")</f>
        <v>-2.98357217136027</v>
      </c>
      <c r="DX178" s="2" t="n">
        <f aca="false">IFERROR((I178-$F178)/$F178*100,"")</f>
        <v>-3.18645330518866</v>
      </c>
      <c r="DY178" s="2" t="n">
        <f aca="false">IFERROR((J178-$F178)/$F178*100,"")</f>
        <v>-2.40641414802118</v>
      </c>
      <c r="DZ178" s="2" t="n">
        <f aca="false">IFERROR((K178-$F178)/$F178*100,"")</f>
        <v>-0.311749589248841</v>
      </c>
      <c r="EA178" s="2" t="n">
        <f aca="false">IFERROR((L178-$F178)/$F178*100,"")</f>
        <v>-0.605095753243326</v>
      </c>
      <c r="EB178" s="2" t="n">
        <f aca="false">IFERROR((M178-$F178)/$F178*100,"")</f>
        <v>0.0461194271434985</v>
      </c>
      <c r="EC178" s="2" t="n">
        <f aca="false">IFERROR((N178-$F178)/$F178*100,"")</f>
        <v>0.259200049667087</v>
      </c>
      <c r="ED178" s="2" t="n">
        <f aca="false">IFERROR((O178-$F178)/$F178*100,"")</f>
        <v>1.18336241665798</v>
      </c>
      <c r="EE178" s="2" t="n">
        <f aca="false">IFERROR((P178-$F178)/$F178*100,"")</f>
        <v>0.951213184834703</v>
      </c>
      <c r="EF178" s="2" t="n">
        <f aca="false">IFERROR((Q178-$F178)/$F178*100,"")</f>
        <v>0.896889821132006</v>
      </c>
      <c r="EG178" s="2" t="str">
        <f aca="false">IF(DV178="","",IF(AND(ABS(DV178)&lt;=0.25,$E178="Bottom",DK178="LL"),"EQL",IF(AND(ABS(DV178)&lt;=0.25,$E178="Peak",DK178="HH"),"EQH","")))</f>
        <v/>
      </c>
      <c r="EH178" s="2" t="str">
        <f aca="false">IF(DW178="","",IF(AND(ABS(DW178)&lt;=0.25,$E178="Bottom",DL178="LL"),"EQL",IF(AND(ABS(DW178)&lt;=0.25,$E178="Peak",DL178="HH"),"EQH","")))</f>
        <v/>
      </c>
      <c r="EI178" s="2" t="str">
        <f aca="false">IF(DX178="","",IF(AND(ABS(DX178)&lt;=0.25,$E178="Bottom",DM178="LL"),"EQL",IF(AND(ABS(DX178)&lt;=0.25,$E178="Peak",DM178="HH"),"EQH","")))</f>
        <v/>
      </c>
      <c r="EJ178" s="2" t="str">
        <f aca="false">IF(DY178="","",IF(AND(ABS(DY178)&lt;=0.25,$E178="Bottom",DN178="LL"),"EQL",IF(AND(ABS(DY178)&lt;=0.25,$E178="Peak",DN178="HH"),"EQH","")))</f>
        <v/>
      </c>
      <c r="EK178" s="2" t="str">
        <f aca="false">IF(DZ178="","",IF(AND(ABS(DZ178)&lt;=0.25,$E178="Bottom",DO178="LL"),"EQL",IF(AND(ABS(DZ178)&lt;=0.25,$E178="Peak",DO178="HH"),"EQH","")))</f>
        <v/>
      </c>
      <c r="EL178" s="2" t="str">
        <f aca="false">IF(EA178="","",IF(AND(ABS(EA178)&lt;=0.25,$E178="Bottom",DP178="LL"),"EQL",IF(AND(ABS(EA178)&lt;=0.25,$E178="Peak",DP178="HH"),"EQH","")))</f>
        <v/>
      </c>
      <c r="EM178" s="2" t="str">
        <f aca="false">IF(EB178="","",IF(AND(ABS(EB178)&lt;=0.25,$E178="Bottom",DQ178="LL"),"EQL",IF(AND(ABS(EB178)&lt;=0.25,$E178="Peak",DQ178="HH"),"EQH","")))</f>
        <v>EQL</v>
      </c>
      <c r="EN178" s="2" t="str">
        <f aca="false">IF(EC178="","",IF(AND(ABS(EC178)&lt;=0.25,$E178="Bottom",DR178="LL"),"EQL",IF(AND(ABS(EC178)&lt;=0.25,$E178="Peak",DR178="HH"),"EQH","")))</f>
        <v/>
      </c>
      <c r="EO178" s="2" t="str">
        <f aca="false">IF(ED178="","",IF(AND(ABS(ED178)&lt;=0.25,$E178="Bottom",DS178="LL"),"EQL",IF(AND(ABS(ED178)&lt;=0.25,$E178="Peak",DS178="HH"),"EQH","")))</f>
        <v/>
      </c>
      <c r="EP178" s="2" t="str">
        <f aca="false">IF(EE178="","",IF(AND(ABS(EE178)&lt;=0.25,$E178="Bottom",DT178="LL"),"EQL",IF(AND(ABS(EE178)&lt;=0.25,$E178="Peak",DT178="HH"),"EQH","")))</f>
        <v/>
      </c>
      <c r="EQ178" s="2" t="str">
        <f aca="false">IF(EF178="","",IF(AND(ABS(EF178)&lt;=0.25,$E178="Bottom",DU178="LL"),"EQL",IF(AND(ABS(EF178)&lt;=0.25,$E178="Peak",DU178="HH"),"EQH","")))</f>
        <v/>
      </c>
      <c r="ER178" s="2" t="str">
        <f aca="false">IF(OR(EG178="EQL",EG178="EQH"),G178,"")</f>
        <v/>
      </c>
      <c r="ES178" s="2" t="str">
        <f aca="false">IF(OR(EH178="EQL",EH178="EQH"),H178,"")</f>
        <v/>
      </c>
      <c r="ET178" s="2" t="str">
        <f aca="false">IF(OR(EI178="EQL",EI178="EQH"),I178,"")</f>
        <v/>
      </c>
      <c r="EU178" s="2" t="str">
        <f aca="false">IF(OR(EJ178="EQL",EJ178="EQH"),J178,"")</f>
        <v/>
      </c>
      <c r="EV178" s="2" t="str">
        <f aca="false">IF(OR(EK178="EQL",EK178="EQH"),K178,"")</f>
        <v/>
      </c>
      <c r="EW178" s="2" t="str">
        <f aca="false">IF(OR(EL178="EQL",EL178="EQH"),L178,"")</f>
        <v/>
      </c>
      <c r="EX178" s="2" t="n">
        <f aca="false">IF(OR(EM178="EQL",EM178="EQH"),M178,"")</f>
        <v>4512.11</v>
      </c>
      <c r="EY178" s="2" t="str">
        <f aca="false">IF(OR(EN178="EQL",EN178="EQH"),N178,"")</f>
        <v/>
      </c>
      <c r="EZ178" s="2" t="str">
        <f aca="false">IF(OR(EO178="EQL",EO178="EQH"),O178,"")</f>
        <v/>
      </c>
      <c r="FA178" s="2" t="str">
        <f aca="false">IF(OR(EP178="EQL",EP178="EQH"),P178,"")</f>
        <v/>
      </c>
      <c r="FB178" s="2" t="str">
        <f aca="false">IF(OR(EQ178="EQL",EQ178="EQH"),Q178,"")</f>
        <v/>
      </c>
      <c r="FC178" s="2" t="str">
        <f aca="false">IF(AND(EG178="EQL",OR(AQ178=4,AQ178=5)),"IEQL",IF(AND(EG178="EQH",OR(AQ178=1,AQ178=2)),"IEQH",""))</f>
        <v/>
      </c>
      <c r="FD178" s="2" t="str">
        <f aca="false">IF(AND(EH178="EQL",OR(AR178=4,AR178=5)),"IEQL",IF(AND(EH178="EQH",OR(AR178=1,AR178=2)),"IEQH",""))</f>
        <v/>
      </c>
      <c r="FE178" s="2" t="str">
        <f aca="false">IF(AND(EI178="EQL",OR(AS178=4,AS178=5)),"IEQL",IF(AND(EI178="EQH",OR(AS178=1,AS178=2)),"IEQH",""))</f>
        <v/>
      </c>
      <c r="FF178" s="2" t="str">
        <f aca="false">IF(AND(EJ178="EQL",OR(AT178=4,AT178=5)),"IEQL",IF(AND(EJ178="EQH",OR(AT178=1,AT178=2)),"IEQH",""))</f>
        <v/>
      </c>
      <c r="FG178" s="2" t="str">
        <f aca="false">IF(AND(EK178="EQL",OR(AU178=4,AU178=5)),"IEQL",IF(AND(EK178="EQH",OR(AU178=1,AU178=2)),"IEQH",""))</f>
        <v/>
      </c>
      <c r="FH178" s="2" t="str">
        <f aca="false">IF(AND(EL178="EQL",OR(AV178=4,AV178=5)),"IEQL",IF(AND(EL178="EQH",OR(AV178=1,AV178=2)),"IEQH",""))</f>
        <v/>
      </c>
      <c r="FI178" s="2" t="str">
        <f aca="false">IF(AND(EM178="EQL",OR(AW178=4,AW178=5)),"IEQL",IF(AND(EM178="EQH",OR(AW178=1,AW178=2)),"IEQH",""))</f>
        <v/>
      </c>
      <c r="FJ178" s="2" t="str">
        <f aca="false">IF(AND(EN178="EQL",OR(AX178=4,AX178=5)),"IEQL",IF(AND(EN178="EQH",OR(AX178=1,AX178=2)),"IEQH",""))</f>
        <v/>
      </c>
      <c r="FK178" s="2" t="str">
        <f aca="false">IF(AND(EO178="EQL",OR(AY178=4,AY178=5)),"IEQL",IF(AND(EO178="EQH",OR(AY178=1,AY178=2)),"IEQH",""))</f>
        <v/>
      </c>
      <c r="FL178" s="2" t="str">
        <f aca="false">IF(AND(EP178="EQL",OR(AZ178=4,AZ178=5)),"IEQL",IF(AND(EP178="EQH",OR(AZ178=1,AZ178=2)),"IEQH",""))</f>
        <v/>
      </c>
      <c r="FM178" s="2" t="str">
        <f aca="false">IF(AND(EQ178="EQL",OR(BA178=4,BA178=5)),"IEQL",IF(AND(EQ178="EQH",OR(BA178=1,BA178=2)),"IEQH",""))</f>
        <v/>
      </c>
    </row>
    <row r="179" customFormat="false" ht="14.25" hidden="false" customHeight="false" outlineLevel="0" collapsed="false">
      <c r="A179" s="1" t="n">
        <v>1780050602</v>
      </c>
      <c r="B179" s="1" t="s">
        <v>169</v>
      </c>
      <c r="C179" s="1" t="s">
        <v>170</v>
      </c>
      <c r="D179" s="1" t="n">
        <v>4537.92</v>
      </c>
      <c r="E179" s="1" t="s">
        <v>173</v>
      </c>
      <c r="F179" s="1" t="n">
        <v>4543.31</v>
      </c>
      <c r="G179" s="2" t="n">
        <f aca="false">F177</f>
        <v>4526.21</v>
      </c>
      <c r="H179" s="2" t="n">
        <f aca="false">F175</f>
        <v>4516.57</v>
      </c>
      <c r="I179" s="2" t="n">
        <f aca="false">F173</f>
        <v>4404.43</v>
      </c>
      <c r="J179" s="2" t="n">
        <f aca="false">F171</f>
        <v>4465.92</v>
      </c>
      <c r="K179" s="2" t="n">
        <f aca="false">F169</f>
        <v>4517.18</v>
      </c>
      <c r="L179" s="2" t="n">
        <f aca="false">F167</f>
        <v>4537.84</v>
      </c>
      <c r="M179" s="2" t="n">
        <f aca="false">F165</f>
        <v>4540.53</v>
      </c>
      <c r="N179" s="2" t="n">
        <f aca="false">F163</f>
        <v>4539.01</v>
      </c>
      <c r="O179" s="2" t="n">
        <f aca="false">F161</f>
        <v>4580.28</v>
      </c>
      <c r="P179" s="2" t="n">
        <f aca="false">F159</f>
        <v>4577.8</v>
      </c>
      <c r="Q179" s="2" t="n">
        <f aca="false">F157</f>
        <v>4577.02</v>
      </c>
      <c r="R179" s="1" t="n">
        <v>33.28</v>
      </c>
      <c r="S179" s="2" t="n">
        <f aca="false">R177</f>
        <v>37.02</v>
      </c>
      <c r="T179" s="2" t="n">
        <f aca="false">R175</f>
        <v>141.1</v>
      </c>
      <c r="U179" s="2" t="n">
        <f aca="false">R173</f>
        <v>38.11</v>
      </c>
      <c r="V179" s="2" t="n">
        <f aca="false">R171</f>
        <v>64.42</v>
      </c>
      <c r="W179" s="2" t="n">
        <f aca="false">R169</f>
        <v>21.21</v>
      </c>
      <c r="X179" s="2" t="n">
        <f aca="false">R167</f>
        <v>55.1</v>
      </c>
      <c r="Y179" s="2" t="n">
        <f aca="false">R165</f>
        <v>28.42</v>
      </c>
      <c r="Z179" s="2" t="n">
        <f aca="false">R163</f>
        <v>17.29</v>
      </c>
      <c r="AA179" s="2" t="n">
        <f aca="false">R161</f>
        <v>16.88</v>
      </c>
      <c r="AB179" s="2" t="n">
        <f aca="false">R159</f>
        <v>24.87</v>
      </c>
      <c r="AC179" s="2" t="n">
        <f aca="false">R157</f>
        <v>26.54</v>
      </c>
      <c r="AD179" s="1" t="n">
        <v>0.74</v>
      </c>
      <c r="AE179" s="2" t="n">
        <f aca="false">AD177</f>
        <v>0.82</v>
      </c>
      <c r="AF179" s="2" t="n">
        <f aca="false">AD175</f>
        <v>3.22</v>
      </c>
      <c r="AG179" s="2" t="n">
        <f aca="false">AD173</f>
        <v>0.87</v>
      </c>
      <c r="AH179" s="2" t="n">
        <f aca="false">AD171</f>
        <v>1.46</v>
      </c>
      <c r="AI179" s="2" t="n">
        <f aca="false">AD169</f>
        <v>0.47</v>
      </c>
      <c r="AJ179" s="2" t="n">
        <f aca="false">AD167</f>
        <v>1.23</v>
      </c>
      <c r="AK179" s="2" t="n">
        <f aca="false">AD165</f>
        <v>0.63</v>
      </c>
      <c r="AL179" s="2" t="n">
        <f aca="false">AD163</f>
        <v>0.38</v>
      </c>
      <c r="AM179" s="2" t="n">
        <f aca="false">AD161</f>
        <v>0.37</v>
      </c>
      <c r="AN179" s="2" t="n">
        <f aca="false">AD159</f>
        <v>0.55</v>
      </c>
      <c r="AO179" s="2" t="n">
        <f aca="false">AD157</f>
        <v>0.58</v>
      </c>
      <c r="AP179" s="1" t="n">
        <v>0</v>
      </c>
      <c r="AQ179" s="2" t="n">
        <f aca="false">AP177</f>
        <v>0</v>
      </c>
      <c r="AR179" s="2" t="n">
        <f aca="false">AP175</f>
        <v>2</v>
      </c>
      <c r="AS179" s="2" t="n">
        <f aca="false">AP173</f>
        <v>0</v>
      </c>
      <c r="AT179" s="2" t="n">
        <f aca="false">AP171</f>
        <v>0</v>
      </c>
      <c r="AU179" s="2" t="n">
        <f aca="false">AP169</f>
        <v>0</v>
      </c>
      <c r="AV179" s="2" t="n">
        <f aca="false">AP167</f>
        <v>0</v>
      </c>
      <c r="AW179" s="2" t="n">
        <f aca="false">AP165</f>
        <v>0</v>
      </c>
      <c r="AX179" s="2" t="n">
        <f aca="false">AP163</f>
        <v>0</v>
      </c>
      <c r="AY179" s="2" t="n">
        <f aca="false">AP161</f>
        <v>0</v>
      </c>
      <c r="AZ179" s="2" t="n">
        <f aca="false">AP159</f>
        <v>0</v>
      </c>
      <c r="BA179" s="2" t="n">
        <f aca="false">AP157</f>
        <v>0</v>
      </c>
      <c r="BB179" s="1" t="n">
        <v>7</v>
      </c>
      <c r="BC179" s="2" t="n">
        <f aca="false">BB177</f>
        <v>32</v>
      </c>
      <c r="BD179" s="2" t="n">
        <f aca="false">BB175</f>
        <v>29</v>
      </c>
      <c r="BE179" s="2" t="n">
        <f aca="false">BB173</f>
        <v>23</v>
      </c>
      <c r="BF179" s="2" t="n">
        <f aca="false">BB171</f>
        <v>31</v>
      </c>
      <c r="BG179" s="2" t="n">
        <f aca="false">BB169</f>
        <v>3</v>
      </c>
      <c r="BH179" s="2" t="n">
        <f aca="false">BB167</f>
        <v>12</v>
      </c>
      <c r="BI179" s="2" t="n">
        <f aca="false">BB165</f>
        <v>5</v>
      </c>
      <c r="BJ179" s="2" t="n">
        <f aca="false">BB163</f>
        <v>1</v>
      </c>
      <c r="BK179" s="2" t="n">
        <f aca="false">BB161</f>
        <v>8</v>
      </c>
      <c r="BL179" s="2" t="n">
        <f aca="false">BB159</f>
        <v>19</v>
      </c>
      <c r="BM179" s="2" t="n">
        <f aca="false">BB157</f>
        <v>23</v>
      </c>
      <c r="BN179" s="1" t="n">
        <v>0</v>
      </c>
      <c r="BO179" s="2" t="n">
        <f aca="false">BN177</f>
        <v>0</v>
      </c>
      <c r="BP179" s="2" t="n">
        <f aca="false">BN175</f>
        <v>0</v>
      </c>
      <c r="BQ179" s="2" t="n">
        <f aca="false">BN173</f>
        <v>0</v>
      </c>
      <c r="BR179" s="2" t="n">
        <f aca="false">BN171</f>
        <v>0</v>
      </c>
      <c r="BS179" s="2" t="n">
        <f aca="false">BN169</f>
        <v>0</v>
      </c>
      <c r="BT179" s="2" t="n">
        <f aca="false">BN167</f>
        <v>0</v>
      </c>
      <c r="BU179" s="2" t="n">
        <f aca="false">BN165</f>
        <v>0</v>
      </c>
      <c r="BV179" s="2" t="n">
        <f aca="false">BN163</f>
        <v>0</v>
      </c>
      <c r="BW179" s="2" t="n">
        <f aca="false">BN161</f>
        <v>0</v>
      </c>
      <c r="BX179" s="2" t="n">
        <f aca="false">BN159</f>
        <v>0</v>
      </c>
      <c r="BY179" s="2" t="n">
        <f aca="false">BN157</f>
        <v>0</v>
      </c>
      <c r="BZ179" s="1" t="n">
        <v>4.75429</v>
      </c>
      <c r="CA179" s="2" t="n">
        <f aca="false">BZ177</f>
        <v>1.15688</v>
      </c>
      <c r="CB179" s="2" t="n">
        <f aca="false">BZ175</f>
        <v>4.86552</v>
      </c>
      <c r="CC179" s="2" t="n">
        <f aca="false">BZ173</f>
        <v>1.65696</v>
      </c>
      <c r="CD179" s="2" t="n">
        <f aca="false">BZ171</f>
        <v>2.07806</v>
      </c>
      <c r="CE179" s="2" t="n">
        <f aca="false">BZ169</f>
        <v>7.07</v>
      </c>
      <c r="CF179" s="2" t="n">
        <f aca="false">BZ167</f>
        <v>4.59167</v>
      </c>
      <c r="CG179" s="2" t="n">
        <f aca="false">BZ165</f>
        <v>5.684</v>
      </c>
      <c r="CH179" s="2" t="n">
        <f aca="false">BZ163</f>
        <v>17.29</v>
      </c>
      <c r="CI179" s="2" t="n">
        <f aca="false">BZ161</f>
        <v>2.11</v>
      </c>
      <c r="CJ179" s="2" t="n">
        <f aca="false">BZ159</f>
        <v>1.30895</v>
      </c>
      <c r="CK179" s="2" t="n">
        <f aca="false">BZ157</f>
        <v>1.15391</v>
      </c>
      <c r="CL179" s="1" t="n">
        <v>0</v>
      </c>
      <c r="CM179" s="2" t="n">
        <f aca="false">CL177</f>
        <v>0</v>
      </c>
      <c r="CN179" s="2" t="n">
        <f aca="false">CL175</f>
        <v>0</v>
      </c>
      <c r="CO179" s="2" t="n">
        <f aca="false">CL173</f>
        <v>0</v>
      </c>
      <c r="CP179" s="2" t="n">
        <f aca="false">CL171</f>
        <v>0</v>
      </c>
      <c r="CQ179" s="2" t="n">
        <f aca="false">CL169</f>
        <v>0</v>
      </c>
      <c r="CR179" s="2" t="n">
        <f aca="false">CL167</f>
        <v>0</v>
      </c>
      <c r="CS179" s="2" t="n">
        <f aca="false">CL165</f>
        <v>0</v>
      </c>
      <c r="CT179" s="2" t="n">
        <f aca="false">CL163</f>
        <v>2</v>
      </c>
      <c r="CU179" s="2" t="n">
        <f aca="false">CL161</f>
        <v>0</v>
      </c>
      <c r="CV179" s="2" t="n">
        <f aca="false">CL159</f>
        <v>0</v>
      </c>
      <c r="CW179" s="2" t="n">
        <f aca="false">CL157</f>
        <v>0</v>
      </c>
      <c r="CX179" s="1" t="n">
        <v>78.1218</v>
      </c>
      <c r="CY179" s="2" t="n">
        <f aca="false">CX177</f>
        <v>49.1599</v>
      </c>
      <c r="CZ179" s="2" t="n">
        <f aca="false">CX175</f>
        <v>78.3858</v>
      </c>
      <c r="DA179" s="2" t="n">
        <f aca="false">CX173</f>
        <v>58.8883</v>
      </c>
      <c r="DB179" s="2" t="n">
        <f aca="false">CX171</f>
        <v>64.3023</v>
      </c>
      <c r="DC179" s="2" t="n">
        <f aca="false">CX169</f>
        <v>81.9493</v>
      </c>
      <c r="DD179" s="2" t="n">
        <f aca="false">CX167</f>
        <v>77.7136</v>
      </c>
      <c r="DE179" s="2" t="n">
        <f aca="false">CX165</f>
        <v>80.0219</v>
      </c>
      <c r="DF179" s="2" t="n">
        <f aca="false">CX163</f>
        <v>86.6899</v>
      </c>
      <c r="DG179" s="2" t="n">
        <f aca="false">CX161</f>
        <v>64.6422</v>
      </c>
      <c r="DH179" s="2" t="n">
        <f aca="false">CX159</f>
        <v>52.6212</v>
      </c>
      <c r="DI179" s="2" t="n">
        <f aca="false">CX157</f>
        <v>49.0873</v>
      </c>
      <c r="DJ179" s="1" t="s">
        <v>176</v>
      </c>
      <c r="DK179" s="2" t="str">
        <f aca="false">DJ177</f>
        <v>HH</v>
      </c>
      <c r="DL179" s="2" t="str">
        <f aca="false">DJ175</f>
        <v>HH</v>
      </c>
      <c r="DM179" s="2" t="str">
        <f aca="false">DJ173</f>
        <v>LH</v>
      </c>
      <c r="DN179" s="2" t="str">
        <f aca="false">DJ171</f>
        <v>LH</v>
      </c>
      <c r="DO179" s="2" t="str">
        <f aca="false">DJ169</f>
        <v>LH</v>
      </c>
      <c r="DP179" s="2" t="str">
        <f aca="false">DJ167</f>
        <v>LH</v>
      </c>
      <c r="DQ179" s="2" t="str">
        <f aca="false">DJ165</f>
        <v>HH</v>
      </c>
      <c r="DR179" s="2" t="str">
        <f aca="false">DJ163</f>
        <v>LH</v>
      </c>
      <c r="DS179" s="2" t="str">
        <f aca="false">DJ161</f>
        <v>HH</v>
      </c>
      <c r="DT179" s="2" t="str">
        <f aca="false">DJ159</f>
        <v>HH</v>
      </c>
      <c r="DU179" s="2" t="str">
        <f aca="false">DJ157</f>
        <v>LH</v>
      </c>
      <c r="DV179" s="2" t="n">
        <f aca="false">IFERROR((G179-$F179)/$F179*100,"")</f>
        <v>-0.376377574939865</v>
      </c>
      <c r="DW179" s="2" t="n">
        <f aca="false">IFERROR((H179-$F179)/$F179*100,"")</f>
        <v>-0.588557681514154</v>
      </c>
      <c r="DX179" s="2" t="n">
        <f aca="false">IFERROR((I179-$F179)/$F179*100,"")</f>
        <v>-3.05680219927762</v>
      </c>
      <c r="DY179" s="2" t="n">
        <f aca="false">IFERROR((J179-$F179)/$F179*100,"")</f>
        <v>-1.7033836564091</v>
      </c>
      <c r="DZ179" s="2" t="n">
        <f aca="false">IFERROR((K179-$F179)/$F179*100,"")</f>
        <v>-0.575131346969503</v>
      </c>
      <c r="EA179" s="2" t="n">
        <f aca="false">IFERROR((L179-$F179)/$F179*100,"")</f>
        <v>-0.120396803211761</v>
      </c>
      <c r="EB179" s="2" t="n">
        <f aca="false">IFERROR((M179-$F179)/$F179*100,"")</f>
        <v>-0.0611888689083654</v>
      </c>
      <c r="EC179" s="2" t="n">
        <f aca="false">IFERROR((N179-$F179)/$F179*100,"")</f>
        <v>-0.0946446533474533</v>
      </c>
      <c r="ED179" s="2" t="n">
        <f aca="false">IFERROR((O179-$F179)/$F179*100,"")</f>
        <v>0.813723914943056</v>
      </c>
      <c r="EE179" s="2" t="n">
        <f aca="false">IFERROR((P179-$F179)/$F179*100,"")</f>
        <v>0.759138161384536</v>
      </c>
      <c r="EF179" s="2" t="n">
        <f aca="false">IFERROR((Q179-$F179)/$F179*100,"")</f>
        <v>0.741970061475005</v>
      </c>
      <c r="EG179" s="2" t="str">
        <f aca="false">IF(DV179="","",IF(AND(ABS(DV179)&lt;=0.25,$E179="Bottom",DK179="LL"),"EQL",IF(AND(ABS(DV179)&lt;=0.25,$E179="Peak",DK179="HH"),"EQH","")))</f>
        <v/>
      </c>
      <c r="EH179" s="2" t="str">
        <f aca="false">IF(DW179="","",IF(AND(ABS(DW179)&lt;=0.25,$E179="Bottom",DL179="LL"),"EQL",IF(AND(ABS(DW179)&lt;=0.25,$E179="Peak",DL179="HH"),"EQH","")))</f>
        <v/>
      </c>
      <c r="EI179" s="2" t="str">
        <f aca="false">IF(DX179="","",IF(AND(ABS(DX179)&lt;=0.25,$E179="Bottom",DM179="LL"),"EQL",IF(AND(ABS(DX179)&lt;=0.25,$E179="Peak",DM179="HH"),"EQH","")))</f>
        <v/>
      </c>
      <c r="EJ179" s="2" t="str">
        <f aca="false">IF(DY179="","",IF(AND(ABS(DY179)&lt;=0.25,$E179="Bottom",DN179="LL"),"EQL",IF(AND(ABS(DY179)&lt;=0.25,$E179="Peak",DN179="HH"),"EQH","")))</f>
        <v/>
      </c>
      <c r="EK179" s="2" t="str">
        <f aca="false">IF(DZ179="","",IF(AND(ABS(DZ179)&lt;=0.25,$E179="Bottom",DO179="LL"),"EQL",IF(AND(ABS(DZ179)&lt;=0.25,$E179="Peak",DO179="HH"),"EQH","")))</f>
        <v/>
      </c>
      <c r="EL179" s="2" t="str">
        <f aca="false">IF(EA179="","",IF(AND(ABS(EA179)&lt;=0.25,$E179="Bottom",DP179="LL"),"EQL",IF(AND(ABS(EA179)&lt;=0.25,$E179="Peak",DP179="HH"),"EQH","")))</f>
        <v/>
      </c>
      <c r="EM179" s="2" t="str">
        <f aca="false">IF(EB179="","",IF(AND(ABS(EB179)&lt;=0.25,$E179="Bottom",DQ179="LL"),"EQL",IF(AND(ABS(EB179)&lt;=0.25,$E179="Peak",DQ179="HH"),"EQH","")))</f>
        <v>EQH</v>
      </c>
      <c r="EN179" s="2" t="str">
        <f aca="false">IF(EC179="","",IF(AND(ABS(EC179)&lt;=0.25,$E179="Bottom",DR179="LL"),"EQL",IF(AND(ABS(EC179)&lt;=0.25,$E179="Peak",DR179="HH"),"EQH","")))</f>
        <v/>
      </c>
      <c r="EO179" s="2" t="str">
        <f aca="false">IF(ED179="","",IF(AND(ABS(ED179)&lt;=0.25,$E179="Bottom",DS179="LL"),"EQL",IF(AND(ABS(ED179)&lt;=0.25,$E179="Peak",DS179="HH"),"EQH","")))</f>
        <v/>
      </c>
      <c r="EP179" s="2" t="str">
        <f aca="false">IF(EE179="","",IF(AND(ABS(EE179)&lt;=0.25,$E179="Bottom",DT179="LL"),"EQL",IF(AND(ABS(EE179)&lt;=0.25,$E179="Peak",DT179="HH"),"EQH","")))</f>
        <v/>
      </c>
      <c r="EQ179" s="2" t="str">
        <f aca="false">IF(EF179="","",IF(AND(ABS(EF179)&lt;=0.25,$E179="Bottom",DU179="LL"),"EQL",IF(AND(ABS(EF179)&lt;=0.25,$E179="Peak",DU179="HH"),"EQH","")))</f>
        <v/>
      </c>
      <c r="ER179" s="2" t="str">
        <f aca="false">IF(OR(EG179="EQL",EG179="EQH"),G179,"")</f>
        <v/>
      </c>
      <c r="ES179" s="2" t="str">
        <f aca="false">IF(OR(EH179="EQL",EH179="EQH"),H179,"")</f>
        <v/>
      </c>
      <c r="ET179" s="2" t="str">
        <f aca="false">IF(OR(EI179="EQL",EI179="EQH"),I179,"")</f>
        <v/>
      </c>
      <c r="EU179" s="2" t="str">
        <f aca="false">IF(OR(EJ179="EQL",EJ179="EQH"),J179,"")</f>
        <v/>
      </c>
      <c r="EV179" s="2" t="str">
        <f aca="false">IF(OR(EK179="EQL",EK179="EQH"),K179,"")</f>
        <v/>
      </c>
      <c r="EW179" s="2" t="str">
        <f aca="false">IF(OR(EL179="EQL",EL179="EQH"),L179,"")</f>
        <v/>
      </c>
      <c r="EX179" s="2" t="n">
        <f aca="false">IF(OR(EM179="EQL",EM179="EQH"),M179,"")</f>
        <v>4540.53</v>
      </c>
      <c r="EY179" s="2" t="str">
        <f aca="false">IF(OR(EN179="EQL",EN179="EQH"),N179,"")</f>
        <v/>
      </c>
      <c r="EZ179" s="2" t="str">
        <f aca="false">IF(OR(EO179="EQL",EO179="EQH"),O179,"")</f>
        <v/>
      </c>
      <c r="FA179" s="2" t="str">
        <f aca="false">IF(OR(EP179="EQL",EP179="EQH"),P179,"")</f>
        <v/>
      </c>
      <c r="FB179" s="2" t="str">
        <f aca="false">IF(OR(EQ179="EQL",EQ179="EQH"),Q179,"")</f>
        <v/>
      </c>
      <c r="FC179" s="2" t="str">
        <f aca="false">IF(AND(EG179="EQL",OR(AQ179=4,AQ179=5)),"IEQL",IF(AND(EG179="EQH",OR(AQ179=1,AQ179=2)),"IEQH",""))</f>
        <v/>
      </c>
      <c r="FD179" s="2" t="str">
        <f aca="false">IF(AND(EH179="EQL",OR(AR179=4,AR179=5)),"IEQL",IF(AND(EH179="EQH",OR(AR179=1,AR179=2)),"IEQH",""))</f>
        <v/>
      </c>
      <c r="FE179" s="2" t="str">
        <f aca="false">IF(AND(EI179="EQL",OR(AS179=4,AS179=5)),"IEQL",IF(AND(EI179="EQH",OR(AS179=1,AS179=2)),"IEQH",""))</f>
        <v/>
      </c>
      <c r="FF179" s="2" t="str">
        <f aca="false">IF(AND(EJ179="EQL",OR(AT179=4,AT179=5)),"IEQL",IF(AND(EJ179="EQH",OR(AT179=1,AT179=2)),"IEQH",""))</f>
        <v/>
      </c>
      <c r="FG179" s="2" t="str">
        <f aca="false">IF(AND(EK179="EQL",OR(AU179=4,AU179=5)),"IEQL",IF(AND(EK179="EQH",OR(AU179=1,AU179=2)),"IEQH",""))</f>
        <v/>
      </c>
      <c r="FH179" s="2" t="str">
        <f aca="false">IF(AND(EL179="EQL",OR(AV179=4,AV179=5)),"IEQL",IF(AND(EL179="EQH",OR(AV179=1,AV179=2)),"IEQH",""))</f>
        <v/>
      </c>
      <c r="FI179" s="2" t="str">
        <f aca="false">IF(AND(EM179="EQL",OR(AW179=4,AW179=5)),"IEQL",IF(AND(EM179="EQH",OR(AW179=1,AW179=2)),"IEQH",""))</f>
        <v/>
      </c>
      <c r="FJ179" s="2" t="str">
        <f aca="false">IF(AND(EN179="EQL",OR(AX179=4,AX179=5)),"IEQL",IF(AND(EN179="EQH",OR(AX179=1,AX179=2)),"IEQH",""))</f>
        <v/>
      </c>
      <c r="FK179" s="2" t="str">
        <f aca="false">IF(AND(EO179="EQL",OR(AY179=4,AY179=5)),"IEQL",IF(AND(EO179="EQH",OR(AY179=1,AY179=2)),"IEQH",""))</f>
        <v/>
      </c>
      <c r="FL179" s="2" t="str">
        <f aca="false">IF(AND(EP179="EQL",OR(AZ179=4,AZ179=5)),"IEQL",IF(AND(EP179="EQH",OR(AZ179=1,AZ179=2)),"IEQH",""))</f>
        <v/>
      </c>
      <c r="FM179" s="2" t="str">
        <f aca="false">IF(AND(EQ179="EQL",OR(BA179=4,BA179=5)),"IEQL",IF(AND(EQ179="EQH",OR(BA179=1,BA179=2)),"IEQH",""))</f>
        <v/>
      </c>
    </row>
    <row r="180" customFormat="false" ht="14.25" hidden="false" customHeight="false" outlineLevel="0" collapsed="false">
      <c r="A180" s="1" t="n">
        <v>1780057802</v>
      </c>
      <c r="B180" s="1" t="s">
        <v>169</v>
      </c>
      <c r="C180" s="1" t="s">
        <v>170</v>
      </c>
      <c r="D180" s="1" t="n">
        <v>4514.13</v>
      </c>
      <c r="E180" s="1" t="s">
        <v>171</v>
      </c>
      <c r="F180" s="1" t="n">
        <v>4512.71</v>
      </c>
      <c r="G180" s="2" t="n">
        <f aca="false">F178</f>
        <v>4510.03</v>
      </c>
      <c r="H180" s="2" t="n">
        <f aca="false">F176</f>
        <v>4489.19</v>
      </c>
      <c r="I180" s="2" t="n">
        <f aca="false">F174</f>
        <v>4375.47</v>
      </c>
      <c r="J180" s="2" t="n">
        <f aca="false">F172</f>
        <v>4366.32</v>
      </c>
      <c r="K180" s="2" t="n">
        <f aca="false">F170</f>
        <v>4401.5</v>
      </c>
      <c r="L180" s="2" t="n">
        <f aca="false">F168</f>
        <v>4495.97</v>
      </c>
      <c r="M180" s="2" t="n">
        <f aca="false">F166</f>
        <v>4482.74</v>
      </c>
      <c r="N180" s="2" t="n">
        <f aca="false">F164</f>
        <v>4512.11</v>
      </c>
      <c r="O180" s="2" t="n">
        <f aca="false">F162</f>
        <v>4521.72</v>
      </c>
      <c r="P180" s="2" t="n">
        <f aca="false">F160</f>
        <v>4563.4</v>
      </c>
      <c r="Q180" s="2" t="n">
        <f aca="false">F158</f>
        <v>4552.93</v>
      </c>
      <c r="R180" s="1" t="n">
        <v>-30.6</v>
      </c>
      <c r="S180" s="2" t="n">
        <f aca="false">R178</f>
        <v>-16.18</v>
      </c>
      <c r="T180" s="2" t="n">
        <f aca="false">R176</f>
        <v>-27.38</v>
      </c>
      <c r="U180" s="2" t="n">
        <f aca="false">R174</f>
        <v>-28.96</v>
      </c>
      <c r="V180" s="2" t="n">
        <f aca="false">R172</f>
        <v>-99.6</v>
      </c>
      <c r="W180" s="2" t="n">
        <f aca="false">R170</f>
        <v>-115.68</v>
      </c>
      <c r="X180" s="2" t="n">
        <f aca="false">R168</f>
        <v>-41.87</v>
      </c>
      <c r="Y180" s="2" t="n">
        <f aca="false">R166</f>
        <v>-57.79</v>
      </c>
      <c r="Z180" s="2" t="n">
        <f aca="false">R164</f>
        <v>-26.9</v>
      </c>
      <c r="AA180" s="2" t="n">
        <f aca="false">R162</f>
        <v>-58.56</v>
      </c>
      <c r="AB180" s="2" t="n">
        <f aca="false">R160</f>
        <v>-14.4</v>
      </c>
      <c r="AC180" s="2" t="n">
        <f aca="false">R158</f>
        <v>-24.09</v>
      </c>
      <c r="AD180" s="1" t="n">
        <v>-0.67</v>
      </c>
      <c r="AE180" s="2" t="n">
        <f aca="false">AD178</f>
        <v>-0.36</v>
      </c>
      <c r="AF180" s="2" t="n">
        <f aca="false">AD176</f>
        <v>-0.61</v>
      </c>
      <c r="AG180" s="2" t="n">
        <f aca="false">AD174</f>
        <v>-0.66</v>
      </c>
      <c r="AH180" s="2" t="n">
        <f aca="false">AD172</f>
        <v>-2.23</v>
      </c>
      <c r="AI180" s="2" t="n">
        <f aca="false">AD170</f>
        <v>-2.56</v>
      </c>
      <c r="AJ180" s="2" t="n">
        <f aca="false">AD168</f>
        <v>-0.92</v>
      </c>
      <c r="AK180" s="2" t="n">
        <f aca="false">AD166</f>
        <v>-1.27</v>
      </c>
      <c r="AL180" s="2" t="n">
        <f aca="false">AD164</f>
        <v>-0.59</v>
      </c>
      <c r="AM180" s="2" t="n">
        <f aca="false">AD162</f>
        <v>-1.28</v>
      </c>
      <c r="AN180" s="2" t="n">
        <f aca="false">AD160</f>
        <v>-0.31</v>
      </c>
      <c r="AO180" s="2" t="n">
        <f aca="false">AD158</f>
        <v>-0.53</v>
      </c>
      <c r="AP180" s="1" t="n">
        <v>3</v>
      </c>
      <c r="AQ180" s="2" t="n">
        <f aca="false">AP178</f>
        <v>3</v>
      </c>
      <c r="AR180" s="2" t="n">
        <f aca="false">AP176</f>
        <v>3</v>
      </c>
      <c r="AS180" s="2" t="n">
        <f aca="false">AP174</f>
        <v>3</v>
      </c>
      <c r="AT180" s="2" t="n">
        <f aca="false">AP172</f>
        <v>5</v>
      </c>
      <c r="AU180" s="2" t="n">
        <f aca="false">AP170</f>
        <v>5</v>
      </c>
      <c r="AV180" s="2" t="n">
        <f aca="false">AP168</f>
        <v>3</v>
      </c>
      <c r="AW180" s="2" t="n">
        <f aca="false">AP166</f>
        <v>3</v>
      </c>
      <c r="AX180" s="2" t="n">
        <f aca="false">AP164</f>
        <v>3</v>
      </c>
      <c r="AY180" s="2" t="n">
        <f aca="false">AP162</f>
        <v>3</v>
      </c>
      <c r="AZ180" s="2" t="n">
        <f aca="false">AP160</f>
        <v>3</v>
      </c>
      <c r="BA180" s="2" t="n">
        <f aca="false">AP158</f>
        <v>3</v>
      </c>
      <c r="BB180" s="1" t="n">
        <v>8</v>
      </c>
      <c r="BC180" s="2" t="n">
        <f aca="false">BB178</f>
        <v>4</v>
      </c>
      <c r="BD180" s="2" t="n">
        <f aca="false">BB176</f>
        <v>19</v>
      </c>
      <c r="BE180" s="2" t="n">
        <f aca="false">BB174</f>
        <v>3</v>
      </c>
      <c r="BF180" s="2" t="n">
        <f aca="false">BB172</f>
        <v>25</v>
      </c>
      <c r="BG180" s="2" t="n">
        <f aca="false">BB170</f>
        <v>34</v>
      </c>
      <c r="BH180" s="2" t="n">
        <f aca="false">BB168</f>
        <v>24</v>
      </c>
      <c r="BI180" s="2" t="n">
        <f aca="false">BB166</f>
        <v>29</v>
      </c>
      <c r="BJ180" s="2" t="n">
        <f aca="false">BB164</f>
        <v>7</v>
      </c>
      <c r="BK180" s="2" t="n">
        <f aca="false">BB162</f>
        <v>33</v>
      </c>
      <c r="BL180" s="2" t="n">
        <f aca="false">BB160</f>
        <v>3</v>
      </c>
      <c r="BM180" s="2" t="n">
        <f aca="false">BB158</f>
        <v>2</v>
      </c>
      <c r="BN180" s="1" t="n">
        <v>3</v>
      </c>
      <c r="BO180" s="2" t="n">
        <f aca="false">BN178</f>
        <v>3</v>
      </c>
      <c r="BP180" s="2" t="n">
        <f aca="false">BN176</f>
        <v>3</v>
      </c>
      <c r="BQ180" s="2" t="n">
        <f aca="false">BN174</f>
        <v>3</v>
      </c>
      <c r="BR180" s="2" t="n">
        <f aca="false">BN172</f>
        <v>3</v>
      </c>
      <c r="BS180" s="2" t="n">
        <f aca="false">BN170</f>
        <v>4</v>
      </c>
      <c r="BT180" s="2" t="n">
        <f aca="false">BN168</f>
        <v>3</v>
      </c>
      <c r="BU180" s="2" t="n">
        <f aca="false">BN166</f>
        <v>3</v>
      </c>
      <c r="BV180" s="2" t="n">
        <f aca="false">BN164</f>
        <v>3</v>
      </c>
      <c r="BW180" s="2" t="n">
        <f aca="false">BN162</f>
        <v>4</v>
      </c>
      <c r="BX180" s="2" t="n">
        <f aca="false">BN160</f>
        <v>3</v>
      </c>
      <c r="BY180" s="2" t="n">
        <f aca="false">BN158</f>
        <v>3</v>
      </c>
      <c r="BZ180" s="1" t="n">
        <v>-3.825</v>
      </c>
      <c r="CA180" s="2" t="n">
        <f aca="false">BZ178</f>
        <v>-4.045</v>
      </c>
      <c r="CB180" s="2" t="n">
        <f aca="false">BZ176</f>
        <v>-1.44105</v>
      </c>
      <c r="CC180" s="2" t="n">
        <f aca="false">BZ174</f>
        <v>-9.65333</v>
      </c>
      <c r="CD180" s="2" t="n">
        <f aca="false">BZ172</f>
        <v>-3.984</v>
      </c>
      <c r="CE180" s="2" t="n">
        <f aca="false">BZ170</f>
        <v>-3.40235</v>
      </c>
      <c r="CF180" s="2" t="n">
        <f aca="false">BZ168</f>
        <v>-1.74458</v>
      </c>
      <c r="CG180" s="2" t="n">
        <f aca="false">BZ166</f>
        <v>-1.99276</v>
      </c>
      <c r="CH180" s="2" t="n">
        <f aca="false">BZ164</f>
        <v>-3.84286</v>
      </c>
      <c r="CI180" s="2" t="n">
        <f aca="false">BZ162</f>
        <v>-1.77455</v>
      </c>
      <c r="CJ180" s="2" t="n">
        <f aca="false">BZ160</f>
        <v>-4.8</v>
      </c>
      <c r="CK180" s="2" t="n">
        <f aca="false">BZ158</f>
        <v>-12.045</v>
      </c>
      <c r="CL180" s="1" t="n">
        <v>3</v>
      </c>
      <c r="CM180" s="2" t="n">
        <f aca="false">CL178</f>
        <v>3</v>
      </c>
      <c r="CN180" s="2" t="n">
        <f aca="false">CL176</f>
        <v>3</v>
      </c>
      <c r="CO180" s="2" t="n">
        <f aca="false">CL174</f>
        <v>3</v>
      </c>
      <c r="CP180" s="2" t="n">
        <f aca="false">CL172</f>
        <v>3</v>
      </c>
      <c r="CQ180" s="2" t="n">
        <f aca="false">CL170</f>
        <v>3</v>
      </c>
      <c r="CR180" s="2" t="n">
        <f aca="false">CL168</f>
        <v>3</v>
      </c>
      <c r="CS180" s="2" t="n">
        <f aca="false">CL166</f>
        <v>3</v>
      </c>
      <c r="CT180" s="2" t="n">
        <f aca="false">CL164</f>
        <v>3</v>
      </c>
      <c r="CU180" s="2" t="n">
        <f aca="false">CL162</f>
        <v>3</v>
      </c>
      <c r="CV180" s="2" t="n">
        <f aca="false">CL160</f>
        <v>3</v>
      </c>
      <c r="CW180" s="2" t="n">
        <f aca="false">CL158</f>
        <v>4</v>
      </c>
      <c r="CX180" s="1" t="n">
        <v>-75.3486</v>
      </c>
      <c r="CY180" s="2" t="n">
        <f aca="false">CX178</f>
        <v>-76.1138</v>
      </c>
      <c r="CZ180" s="2" t="n">
        <f aca="false">CX176</f>
        <v>-55.2418</v>
      </c>
      <c r="DA180" s="2" t="n">
        <f aca="false">CX174</f>
        <v>-84.0858</v>
      </c>
      <c r="DB180" s="2" t="n">
        <f aca="false">CX172</f>
        <v>-75.9096</v>
      </c>
      <c r="DC180" s="2" t="n">
        <f aca="false">CX170</f>
        <v>-73.6212</v>
      </c>
      <c r="DD180" s="2" t="n">
        <f aca="false">CX168</f>
        <v>-60.1785</v>
      </c>
      <c r="DE180" s="2" t="n">
        <f aca="false">CX166</f>
        <v>-63.3517</v>
      </c>
      <c r="DF180" s="2" t="n">
        <f aca="false">CX164</f>
        <v>-75.4138</v>
      </c>
      <c r="DG180" s="2" t="n">
        <f aca="false">CX162</f>
        <v>-60.5977</v>
      </c>
      <c r="DH180" s="2" t="n">
        <f aca="false">CX160</f>
        <v>-78.2317</v>
      </c>
      <c r="DI180" s="2" t="n">
        <f aca="false">CX158</f>
        <v>-85.2541</v>
      </c>
      <c r="DJ180" s="1" t="s">
        <v>175</v>
      </c>
      <c r="DK180" s="2" t="str">
        <f aca="false">DJ178</f>
        <v>HL</v>
      </c>
      <c r="DL180" s="2" t="str">
        <f aca="false">DJ176</f>
        <v>HL</v>
      </c>
      <c r="DM180" s="2" t="str">
        <f aca="false">DJ174</f>
        <v>HL</v>
      </c>
      <c r="DN180" s="2" t="str">
        <f aca="false">DJ172</f>
        <v>LL</v>
      </c>
      <c r="DO180" s="2" t="str">
        <f aca="false">DJ170</f>
        <v>LL</v>
      </c>
      <c r="DP180" s="2" t="str">
        <f aca="false">DJ168</f>
        <v>HL</v>
      </c>
      <c r="DQ180" s="2" t="str">
        <f aca="false">DJ166</f>
        <v>LL</v>
      </c>
      <c r="DR180" s="2" t="str">
        <f aca="false">DJ164</f>
        <v>LL</v>
      </c>
      <c r="DS180" s="2" t="str">
        <f aca="false">DJ162</f>
        <v>LL</v>
      </c>
      <c r="DT180" s="2" t="str">
        <f aca="false">DJ160</f>
        <v>HL</v>
      </c>
      <c r="DU180" s="2" t="str">
        <f aca="false">DJ158</f>
        <v>HL</v>
      </c>
      <c r="DV180" s="2" t="n">
        <f aca="false">IFERROR((G180-$F180)/$F180*100,"")</f>
        <v>-0.0593878179630486</v>
      </c>
      <c r="DW180" s="2" t="n">
        <f aca="false">IFERROR((H180-$F180)/$F180*100,"")</f>
        <v>-0.52119458152641</v>
      </c>
      <c r="DX180" s="2" t="n">
        <f aca="false">IFERROR((I180-$F180)/$F180*100,"")</f>
        <v>-3.04118811091339</v>
      </c>
      <c r="DY180" s="2" t="n">
        <f aca="false">IFERROR((J180-$F180)/$F180*100,"")</f>
        <v>-3.24394875806334</v>
      </c>
      <c r="DZ180" s="2" t="n">
        <f aca="false">IFERROR((K180-$F180)/$F180*100,"")</f>
        <v>-2.46437284913057</v>
      </c>
      <c r="EA180" s="2" t="n">
        <f aca="false">IFERROR((L180-$F180)/$F180*100,"")</f>
        <v>-0.370952265933326</v>
      </c>
      <c r="EB180" s="2" t="n">
        <f aca="false">IFERROR((M180-$F180)/$F180*100,"")</f>
        <v>-0.664124218041936</v>
      </c>
      <c r="EC180" s="2" t="n">
        <f aca="false">IFERROR((N180-$F180)/$F180*100,"")</f>
        <v>-0.0132957801409877</v>
      </c>
      <c r="ED180" s="2" t="n">
        <f aca="false">IFERROR((O180-$F180)/$F180*100,"")</f>
        <v>0.199658298450382</v>
      </c>
      <c r="EE180" s="2" t="n">
        <f aca="false">IFERROR((P180-$F180)/$F180*100,"")</f>
        <v>1.12327182557708</v>
      </c>
      <c r="EF180" s="2" t="n">
        <f aca="false">IFERROR((Q180-$F180)/$F180*100,"")</f>
        <v>0.891260462117004</v>
      </c>
      <c r="EG180" s="2" t="str">
        <f aca="false">IF(DV180="","",IF(AND(ABS(DV180)&lt;=0.25,$E180="Bottom",DK180="LL"),"EQL",IF(AND(ABS(DV180)&lt;=0.25,$E180="Peak",DK180="HH"),"EQH","")))</f>
        <v/>
      </c>
      <c r="EH180" s="2" t="str">
        <f aca="false">IF(DW180="","",IF(AND(ABS(DW180)&lt;=0.25,$E180="Bottom",DL180="LL"),"EQL",IF(AND(ABS(DW180)&lt;=0.25,$E180="Peak",DL180="HH"),"EQH","")))</f>
        <v/>
      </c>
      <c r="EI180" s="2" t="str">
        <f aca="false">IF(DX180="","",IF(AND(ABS(DX180)&lt;=0.25,$E180="Bottom",DM180="LL"),"EQL",IF(AND(ABS(DX180)&lt;=0.25,$E180="Peak",DM180="HH"),"EQH","")))</f>
        <v/>
      </c>
      <c r="EJ180" s="2" t="str">
        <f aca="false">IF(DY180="","",IF(AND(ABS(DY180)&lt;=0.25,$E180="Bottom",DN180="LL"),"EQL",IF(AND(ABS(DY180)&lt;=0.25,$E180="Peak",DN180="HH"),"EQH","")))</f>
        <v/>
      </c>
      <c r="EK180" s="2" t="str">
        <f aca="false">IF(DZ180="","",IF(AND(ABS(DZ180)&lt;=0.25,$E180="Bottom",DO180="LL"),"EQL",IF(AND(ABS(DZ180)&lt;=0.25,$E180="Peak",DO180="HH"),"EQH","")))</f>
        <v/>
      </c>
      <c r="EL180" s="2" t="str">
        <f aca="false">IF(EA180="","",IF(AND(ABS(EA180)&lt;=0.25,$E180="Bottom",DP180="LL"),"EQL",IF(AND(ABS(EA180)&lt;=0.25,$E180="Peak",DP180="HH"),"EQH","")))</f>
        <v/>
      </c>
      <c r="EM180" s="2" t="str">
        <f aca="false">IF(EB180="","",IF(AND(ABS(EB180)&lt;=0.25,$E180="Bottom",DQ180="LL"),"EQL",IF(AND(ABS(EB180)&lt;=0.25,$E180="Peak",DQ180="HH"),"EQH","")))</f>
        <v/>
      </c>
      <c r="EN180" s="2" t="str">
        <f aca="false">IF(EC180="","",IF(AND(ABS(EC180)&lt;=0.25,$E180="Bottom",DR180="LL"),"EQL",IF(AND(ABS(EC180)&lt;=0.25,$E180="Peak",DR180="HH"),"EQH","")))</f>
        <v>EQL</v>
      </c>
      <c r="EO180" s="2" t="str">
        <f aca="false">IF(ED180="","",IF(AND(ABS(ED180)&lt;=0.25,$E180="Bottom",DS180="LL"),"EQL",IF(AND(ABS(ED180)&lt;=0.25,$E180="Peak",DS180="HH"),"EQH","")))</f>
        <v>EQL</v>
      </c>
      <c r="EP180" s="2" t="str">
        <f aca="false">IF(EE180="","",IF(AND(ABS(EE180)&lt;=0.25,$E180="Bottom",DT180="LL"),"EQL",IF(AND(ABS(EE180)&lt;=0.25,$E180="Peak",DT180="HH"),"EQH","")))</f>
        <v/>
      </c>
      <c r="EQ180" s="2" t="str">
        <f aca="false">IF(EF180="","",IF(AND(ABS(EF180)&lt;=0.25,$E180="Bottom",DU180="LL"),"EQL",IF(AND(ABS(EF180)&lt;=0.25,$E180="Peak",DU180="HH"),"EQH","")))</f>
        <v/>
      </c>
      <c r="ER180" s="2" t="str">
        <f aca="false">IF(OR(EG180="EQL",EG180="EQH"),G180,"")</f>
        <v/>
      </c>
      <c r="ES180" s="2" t="str">
        <f aca="false">IF(OR(EH180="EQL",EH180="EQH"),H180,"")</f>
        <v/>
      </c>
      <c r="ET180" s="2" t="str">
        <f aca="false">IF(OR(EI180="EQL",EI180="EQH"),I180,"")</f>
        <v/>
      </c>
      <c r="EU180" s="2" t="str">
        <f aca="false">IF(OR(EJ180="EQL",EJ180="EQH"),J180,"")</f>
        <v/>
      </c>
      <c r="EV180" s="2" t="str">
        <f aca="false">IF(OR(EK180="EQL",EK180="EQH"),K180,"")</f>
        <v/>
      </c>
      <c r="EW180" s="2" t="str">
        <f aca="false">IF(OR(EL180="EQL",EL180="EQH"),L180,"")</f>
        <v/>
      </c>
      <c r="EX180" s="2" t="str">
        <f aca="false">IF(OR(EM180="EQL",EM180="EQH"),M180,"")</f>
        <v/>
      </c>
      <c r="EY180" s="2" t="n">
        <f aca="false">IF(OR(EN180="EQL",EN180="EQH"),N180,"")</f>
        <v>4512.11</v>
      </c>
      <c r="EZ180" s="2" t="n">
        <f aca="false">IF(OR(EO180="EQL",EO180="EQH"),O180,"")</f>
        <v>4521.72</v>
      </c>
      <c r="FA180" s="2" t="str">
        <f aca="false">IF(OR(EP180="EQL",EP180="EQH"),P180,"")</f>
        <v/>
      </c>
      <c r="FB180" s="2" t="str">
        <f aca="false">IF(OR(EQ180="EQL",EQ180="EQH"),Q180,"")</f>
        <v/>
      </c>
      <c r="FC180" s="2" t="str">
        <f aca="false">IF(AND(EG180="EQL",OR(AQ180=4,AQ180=5)),"IEQL",IF(AND(EG180="EQH",OR(AQ180=1,AQ180=2)),"IEQH",""))</f>
        <v/>
      </c>
      <c r="FD180" s="2" t="str">
        <f aca="false">IF(AND(EH180="EQL",OR(AR180=4,AR180=5)),"IEQL",IF(AND(EH180="EQH",OR(AR180=1,AR180=2)),"IEQH",""))</f>
        <v/>
      </c>
      <c r="FE180" s="2" t="str">
        <f aca="false">IF(AND(EI180="EQL",OR(AS180=4,AS180=5)),"IEQL",IF(AND(EI180="EQH",OR(AS180=1,AS180=2)),"IEQH",""))</f>
        <v/>
      </c>
      <c r="FF180" s="2" t="str">
        <f aca="false">IF(AND(EJ180="EQL",OR(AT180=4,AT180=5)),"IEQL",IF(AND(EJ180="EQH",OR(AT180=1,AT180=2)),"IEQH",""))</f>
        <v/>
      </c>
      <c r="FG180" s="2" t="str">
        <f aca="false">IF(AND(EK180="EQL",OR(AU180=4,AU180=5)),"IEQL",IF(AND(EK180="EQH",OR(AU180=1,AU180=2)),"IEQH",""))</f>
        <v/>
      </c>
      <c r="FH180" s="2" t="str">
        <f aca="false">IF(AND(EL180="EQL",OR(AV180=4,AV180=5)),"IEQL",IF(AND(EL180="EQH",OR(AV180=1,AV180=2)),"IEQH",""))</f>
        <v/>
      </c>
      <c r="FI180" s="2" t="str">
        <f aca="false">IF(AND(EM180="EQL",OR(AW180=4,AW180=5)),"IEQL",IF(AND(EM180="EQH",OR(AW180=1,AW180=2)),"IEQH",""))</f>
        <v/>
      </c>
      <c r="FJ180" s="2" t="str">
        <f aca="false">IF(AND(EN180="EQL",OR(AX180=4,AX180=5)),"IEQL",IF(AND(EN180="EQH",OR(AX180=1,AX180=2)),"IEQH",""))</f>
        <v/>
      </c>
      <c r="FK180" s="2" t="str">
        <f aca="false">IF(AND(EO180="EQL",OR(AY180=4,AY180=5)),"IEQL",IF(AND(EO180="EQH",OR(AY180=1,AY180=2)),"IEQH",""))</f>
        <v/>
      </c>
      <c r="FL180" s="2" t="str">
        <f aca="false">IF(AND(EP180="EQL",OR(AZ180=4,AZ180=5)),"IEQL",IF(AND(EP180="EQH",OR(AZ180=1,AZ180=2)),"IEQH",""))</f>
        <v/>
      </c>
      <c r="FM180" s="2" t="str">
        <f aca="false">IF(AND(EQ180="EQL",OR(BA180=4,BA180=5)),"IEQL",IF(AND(EQ180="EQH",OR(BA180=1,BA180=2)),"IEQH",""))</f>
        <v/>
      </c>
    </row>
    <row r="181" customFormat="false" ht="14.25" hidden="false" customHeight="false" outlineLevel="0" collapsed="false">
      <c r="A181" s="1" t="n">
        <v>1780066802</v>
      </c>
      <c r="B181" s="1" t="s">
        <v>169</v>
      </c>
      <c r="C181" s="1" t="s">
        <v>170</v>
      </c>
      <c r="D181" s="1" t="n">
        <v>4590.1</v>
      </c>
      <c r="E181" s="1" t="s">
        <v>173</v>
      </c>
      <c r="F181" s="1" t="n">
        <v>4595.19</v>
      </c>
      <c r="G181" s="2" t="n">
        <f aca="false">F179</f>
        <v>4543.31</v>
      </c>
      <c r="H181" s="2" t="n">
        <f aca="false">F177</f>
        <v>4526.21</v>
      </c>
      <c r="I181" s="2" t="n">
        <f aca="false">F175</f>
        <v>4516.57</v>
      </c>
      <c r="J181" s="2" t="n">
        <f aca="false">F173</f>
        <v>4404.43</v>
      </c>
      <c r="K181" s="2" t="n">
        <f aca="false">F171</f>
        <v>4465.92</v>
      </c>
      <c r="L181" s="2" t="n">
        <f aca="false">F169</f>
        <v>4517.18</v>
      </c>
      <c r="M181" s="2" t="n">
        <f aca="false">F167</f>
        <v>4537.84</v>
      </c>
      <c r="N181" s="2" t="n">
        <f aca="false">F165</f>
        <v>4540.53</v>
      </c>
      <c r="O181" s="2" t="n">
        <f aca="false">F163</f>
        <v>4539.01</v>
      </c>
      <c r="P181" s="2" t="n">
        <f aca="false">F161</f>
        <v>4580.28</v>
      </c>
      <c r="Q181" s="2" t="n">
        <f aca="false">F159</f>
        <v>4577.8</v>
      </c>
      <c r="R181" s="1" t="n">
        <v>82.48</v>
      </c>
      <c r="S181" s="2" t="n">
        <f aca="false">R179</f>
        <v>33.28</v>
      </c>
      <c r="T181" s="2" t="n">
        <f aca="false">R177</f>
        <v>37.02</v>
      </c>
      <c r="U181" s="2" t="n">
        <f aca="false">R175</f>
        <v>141.1</v>
      </c>
      <c r="V181" s="2" t="n">
        <f aca="false">R173</f>
        <v>38.11</v>
      </c>
      <c r="W181" s="2" t="n">
        <f aca="false">R171</f>
        <v>64.42</v>
      </c>
      <c r="X181" s="2" t="n">
        <f aca="false">R169</f>
        <v>21.21</v>
      </c>
      <c r="Y181" s="2" t="n">
        <f aca="false">R167</f>
        <v>55.1</v>
      </c>
      <c r="Z181" s="2" t="n">
        <f aca="false">R165</f>
        <v>28.42</v>
      </c>
      <c r="AA181" s="2" t="n">
        <f aca="false">R163</f>
        <v>17.29</v>
      </c>
      <c r="AB181" s="2" t="n">
        <f aca="false">R161</f>
        <v>16.88</v>
      </c>
      <c r="AC181" s="2" t="n">
        <f aca="false">R159</f>
        <v>24.87</v>
      </c>
      <c r="AD181" s="1" t="n">
        <v>1.83</v>
      </c>
      <c r="AE181" s="2" t="n">
        <f aca="false">AD179</f>
        <v>0.74</v>
      </c>
      <c r="AF181" s="2" t="n">
        <f aca="false">AD177</f>
        <v>0.82</v>
      </c>
      <c r="AG181" s="2" t="n">
        <f aca="false">AD175</f>
        <v>3.22</v>
      </c>
      <c r="AH181" s="2" t="n">
        <f aca="false">AD173</f>
        <v>0.87</v>
      </c>
      <c r="AI181" s="2" t="n">
        <f aca="false">AD171</f>
        <v>1.46</v>
      </c>
      <c r="AJ181" s="2" t="n">
        <f aca="false">AD169</f>
        <v>0.47</v>
      </c>
      <c r="AK181" s="2" t="n">
        <f aca="false">AD167</f>
        <v>1.23</v>
      </c>
      <c r="AL181" s="2" t="n">
        <f aca="false">AD165</f>
        <v>0.63</v>
      </c>
      <c r="AM181" s="2" t="n">
        <f aca="false">AD163</f>
        <v>0.38</v>
      </c>
      <c r="AN181" s="2" t="n">
        <f aca="false">AD161</f>
        <v>0.37</v>
      </c>
      <c r="AO181" s="2" t="n">
        <f aca="false">AD159</f>
        <v>0.55</v>
      </c>
      <c r="AP181" s="1" t="n">
        <v>0</v>
      </c>
      <c r="AQ181" s="2" t="n">
        <f aca="false">AP179</f>
        <v>0</v>
      </c>
      <c r="AR181" s="2" t="n">
        <f aca="false">AP177</f>
        <v>0</v>
      </c>
      <c r="AS181" s="2" t="n">
        <f aca="false">AP175</f>
        <v>2</v>
      </c>
      <c r="AT181" s="2" t="n">
        <f aca="false">AP173</f>
        <v>0</v>
      </c>
      <c r="AU181" s="2" t="n">
        <f aca="false">AP171</f>
        <v>0</v>
      </c>
      <c r="AV181" s="2" t="n">
        <f aca="false">AP169</f>
        <v>0</v>
      </c>
      <c r="AW181" s="2" t="n">
        <f aca="false">AP167</f>
        <v>0</v>
      </c>
      <c r="AX181" s="2" t="n">
        <f aca="false">AP165</f>
        <v>0</v>
      </c>
      <c r="AY181" s="2" t="n">
        <f aca="false">AP163</f>
        <v>0</v>
      </c>
      <c r="AZ181" s="2" t="n">
        <f aca="false">AP161</f>
        <v>0</v>
      </c>
      <c r="BA181" s="2" t="n">
        <f aca="false">AP159</f>
        <v>0</v>
      </c>
      <c r="BB181" s="1" t="n">
        <v>10</v>
      </c>
      <c r="BC181" s="2" t="n">
        <f aca="false">BB179</f>
        <v>7</v>
      </c>
      <c r="BD181" s="2" t="n">
        <f aca="false">BB177</f>
        <v>32</v>
      </c>
      <c r="BE181" s="2" t="n">
        <f aca="false">BB175</f>
        <v>29</v>
      </c>
      <c r="BF181" s="2" t="n">
        <f aca="false">BB173</f>
        <v>23</v>
      </c>
      <c r="BG181" s="2" t="n">
        <f aca="false">BB171</f>
        <v>31</v>
      </c>
      <c r="BH181" s="2" t="n">
        <f aca="false">BB169</f>
        <v>3</v>
      </c>
      <c r="BI181" s="2" t="n">
        <f aca="false">BB167</f>
        <v>12</v>
      </c>
      <c r="BJ181" s="2" t="n">
        <f aca="false">BB165</f>
        <v>5</v>
      </c>
      <c r="BK181" s="2" t="n">
        <f aca="false">BB163</f>
        <v>1</v>
      </c>
      <c r="BL181" s="2" t="n">
        <f aca="false">BB161</f>
        <v>8</v>
      </c>
      <c r="BM181" s="2" t="n">
        <f aca="false">BB159</f>
        <v>19</v>
      </c>
      <c r="BN181" s="1" t="n">
        <v>0</v>
      </c>
      <c r="BO181" s="2" t="n">
        <f aca="false">BN179</f>
        <v>0</v>
      </c>
      <c r="BP181" s="2" t="n">
        <f aca="false">BN177</f>
        <v>0</v>
      </c>
      <c r="BQ181" s="2" t="n">
        <f aca="false">BN175</f>
        <v>0</v>
      </c>
      <c r="BR181" s="2" t="n">
        <f aca="false">BN173</f>
        <v>0</v>
      </c>
      <c r="BS181" s="2" t="n">
        <f aca="false">BN171</f>
        <v>0</v>
      </c>
      <c r="BT181" s="2" t="n">
        <f aca="false">BN169</f>
        <v>0</v>
      </c>
      <c r="BU181" s="2" t="n">
        <f aca="false">BN167</f>
        <v>0</v>
      </c>
      <c r="BV181" s="2" t="n">
        <f aca="false">BN165</f>
        <v>0</v>
      </c>
      <c r="BW181" s="2" t="n">
        <f aca="false">BN163</f>
        <v>0</v>
      </c>
      <c r="BX181" s="2" t="n">
        <f aca="false">BN161</f>
        <v>0</v>
      </c>
      <c r="BY181" s="2" t="n">
        <f aca="false">BN159</f>
        <v>0</v>
      </c>
      <c r="BZ181" s="1" t="n">
        <v>8.248</v>
      </c>
      <c r="CA181" s="2" t="n">
        <f aca="false">BZ179</f>
        <v>4.75429</v>
      </c>
      <c r="CB181" s="2" t="n">
        <f aca="false">BZ177</f>
        <v>1.15688</v>
      </c>
      <c r="CC181" s="2" t="n">
        <f aca="false">BZ175</f>
        <v>4.86552</v>
      </c>
      <c r="CD181" s="2" t="n">
        <f aca="false">BZ173</f>
        <v>1.65696</v>
      </c>
      <c r="CE181" s="2" t="n">
        <f aca="false">BZ171</f>
        <v>2.07806</v>
      </c>
      <c r="CF181" s="2" t="n">
        <f aca="false">BZ169</f>
        <v>7.07</v>
      </c>
      <c r="CG181" s="2" t="n">
        <f aca="false">BZ167</f>
        <v>4.59167</v>
      </c>
      <c r="CH181" s="2" t="n">
        <f aca="false">BZ165</f>
        <v>5.684</v>
      </c>
      <c r="CI181" s="2" t="n">
        <f aca="false">BZ163</f>
        <v>17.29</v>
      </c>
      <c r="CJ181" s="2" t="n">
        <f aca="false">BZ161</f>
        <v>2.11</v>
      </c>
      <c r="CK181" s="2" t="n">
        <f aca="false">BZ159</f>
        <v>1.30895</v>
      </c>
      <c r="CL181" s="1" t="n">
        <v>0</v>
      </c>
      <c r="CM181" s="2" t="n">
        <f aca="false">CL179</f>
        <v>0</v>
      </c>
      <c r="CN181" s="2" t="n">
        <f aca="false">CL177</f>
        <v>0</v>
      </c>
      <c r="CO181" s="2" t="n">
        <f aca="false">CL175</f>
        <v>0</v>
      </c>
      <c r="CP181" s="2" t="n">
        <f aca="false">CL173</f>
        <v>0</v>
      </c>
      <c r="CQ181" s="2" t="n">
        <f aca="false">CL171</f>
        <v>0</v>
      </c>
      <c r="CR181" s="2" t="n">
        <f aca="false">CL169</f>
        <v>0</v>
      </c>
      <c r="CS181" s="2" t="n">
        <f aca="false">CL167</f>
        <v>0</v>
      </c>
      <c r="CT181" s="2" t="n">
        <f aca="false">CL165</f>
        <v>0</v>
      </c>
      <c r="CU181" s="2" t="n">
        <f aca="false">CL163</f>
        <v>2</v>
      </c>
      <c r="CV181" s="2" t="n">
        <f aca="false">CL161</f>
        <v>0</v>
      </c>
      <c r="CW181" s="2" t="n">
        <f aca="false">CL159</f>
        <v>0</v>
      </c>
      <c r="CX181" s="1" t="n">
        <v>83.0871</v>
      </c>
      <c r="CY181" s="2" t="n">
        <f aca="false">CX179</f>
        <v>78.1218</v>
      </c>
      <c r="CZ181" s="2" t="n">
        <f aca="false">CX177</f>
        <v>49.1599</v>
      </c>
      <c r="DA181" s="2" t="n">
        <f aca="false">CX175</f>
        <v>78.3858</v>
      </c>
      <c r="DB181" s="2" t="n">
        <f aca="false">CX173</f>
        <v>58.8883</v>
      </c>
      <c r="DC181" s="2" t="n">
        <f aca="false">CX171</f>
        <v>64.3023</v>
      </c>
      <c r="DD181" s="2" t="n">
        <f aca="false">CX169</f>
        <v>81.9493</v>
      </c>
      <c r="DE181" s="2" t="n">
        <f aca="false">CX167</f>
        <v>77.7136</v>
      </c>
      <c r="DF181" s="2" t="n">
        <f aca="false">CX165</f>
        <v>80.0219</v>
      </c>
      <c r="DG181" s="2" t="n">
        <f aca="false">CX163</f>
        <v>86.6899</v>
      </c>
      <c r="DH181" s="2" t="n">
        <f aca="false">CX161</f>
        <v>64.6422</v>
      </c>
      <c r="DI181" s="2" t="n">
        <f aca="false">CX159</f>
        <v>52.6212</v>
      </c>
      <c r="DJ181" s="1" t="s">
        <v>176</v>
      </c>
      <c r="DK181" s="2" t="str">
        <f aca="false">DJ179</f>
        <v>HH</v>
      </c>
      <c r="DL181" s="2" t="str">
        <f aca="false">DJ177</f>
        <v>HH</v>
      </c>
      <c r="DM181" s="2" t="str">
        <f aca="false">DJ175</f>
        <v>HH</v>
      </c>
      <c r="DN181" s="2" t="str">
        <f aca="false">DJ173</f>
        <v>LH</v>
      </c>
      <c r="DO181" s="2" t="str">
        <f aca="false">DJ171</f>
        <v>LH</v>
      </c>
      <c r="DP181" s="2" t="str">
        <f aca="false">DJ169</f>
        <v>LH</v>
      </c>
      <c r="DQ181" s="2" t="str">
        <f aca="false">DJ167</f>
        <v>LH</v>
      </c>
      <c r="DR181" s="2" t="str">
        <f aca="false">DJ165</f>
        <v>HH</v>
      </c>
      <c r="DS181" s="2" t="str">
        <f aca="false">DJ163</f>
        <v>LH</v>
      </c>
      <c r="DT181" s="2" t="str">
        <f aca="false">DJ161</f>
        <v>HH</v>
      </c>
      <c r="DU181" s="2" t="str">
        <f aca="false">DJ159</f>
        <v>HH</v>
      </c>
      <c r="DV181" s="2" t="n">
        <f aca="false">IFERROR((G181-$F181)/$F181*100,"")</f>
        <v>-1.12900663519896</v>
      </c>
      <c r="DW181" s="2" t="n">
        <f aca="false">IFERROR((H181-$F181)/$F181*100,"")</f>
        <v>-1.50113488234436</v>
      </c>
      <c r="DX181" s="2" t="n">
        <f aca="false">IFERROR((I181-$F181)/$F181*100,"")</f>
        <v>-1.71091946143685</v>
      </c>
      <c r="DY181" s="2" t="n">
        <f aca="false">IFERROR((J181-$F181)/$F181*100,"")</f>
        <v>-4.15129733482183</v>
      </c>
      <c r="DZ181" s="2" t="n">
        <f aca="false">IFERROR((K181-$F181)/$F181*100,"")</f>
        <v>-2.81315897710431</v>
      </c>
      <c r="EA181" s="2" t="n">
        <f aca="false">IFERROR((L181-$F181)/$F181*100,"")</f>
        <v>-1.69764471110007</v>
      </c>
      <c r="EB181" s="2" t="n">
        <f aca="false">IFERROR((M181-$F181)/$F181*100,"")</f>
        <v>-1.2480441505139</v>
      </c>
      <c r="EC181" s="2" t="n">
        <f aca="false">IFERROR((N181-$F181)/$F181*100,"")</f>
        <v>-1.18950467771735</v>
      </c>
      <c r="ED181" s="2" t="n">
        <f aca="false">IFERROR((O181-$F181)/$F181*100,"")</f>
        <v>-1.22258274413026</v>
      </c>
      <c r="EE181" s="2" t="n">
        <f aca="false">IFERROR((P181-$F181)/$F181*100,"")</f>
        <v>-0.324469717247815</v>
      </c>
      <c r="EF181" s="2" t="n">
        <f aca="false">IFERROR((Q181-$F181)/$F181*100,"")</f>
        <v>-0.378439194026785</v>
      </c>
      <c r="EG181" s="2" t="str">
        <f aca="false">IF(DV181="","",IF(AND(ABS(DV181)&lt;=0.25,$E181="Bottom",DK181="LL"),"EQL",IF(AND(ABS(DV181)&lt;=0.25,$E181="Peak",DK181="HH"),"EQH","")))</f>
        <v/>
      </c>
      <c r="EH181" s="2" t="str">
        <f aca="false">IF(DW181="","",IF(AND(ABS(DW181)&lt;=0.25,$E181="Bottom",DL181="LL"),"EQL",IF(AND(ABS(DW181)&lt;=0.25,$E181="Peak",DL181="HH"),"EQH","")))</f>
        <v/>
      </c>
      <c r="EI181" s="2" t="str">
        <f aca="false">IF(DX181="","",IF(AND(ABS(DX181)&lt;=0.25,$E181="Bottom",DM181="LL"),"EQL",IF(AND(ABS(DX181)&lt;=0.25,$E181="Peak",DM181="HH"),"EQH","")))</f>
        <v/>
      </c>
      <c r="EJ181" s="2" t="str">
        <f aca="false">IF(DY181="","",IF(AND(ABS(DY181)&lt;=0.25,$E181="Bottom",DN181="LL"),"EQL",IF(AND(ABS(DY181)&lt;=0.25,$E181="Peak",DN181="HH"),"EQH","")))</f>
        <v/>
      </c>
      <c r="EK181" s="2" t="str">
        <f aca="false">IF(DZ181="","",IF(AND(ABS(DZ181)&lt;=0.25,$E181="Bottom",DO181="LL"),"EQL",IF(AND(ABS(DZ181)&lt;=0.25,$E181="Peak",DO181="HH"),"EQH","")))</f>
        <v/>
      </c>
      <c r="EL181" s="2" t="str">
        <f aca="false">IF(EA181="","",IF(AND(ABS(EA181)&lt;=0.25,$E181="Bottom",DP181="LL"),"EQL",IF(AND(ABS(EA181)&lt;=0.25,$E181="Peak",DP181="HH"),"EQH","")))</f>
        <v/>
      </c>
      <c r="EM181" s="2" t="str">
        <f aca="false">IF(EB181="","",IF(AND(ABS(EB181)&lt;=0.25,$E181="Bottom",DQ181="LL"),"EQL",IF(AND(ABS(EB181)&lt;=0.25,$E181="Peak",DQ181="HH"),"EQH","")))</f>
        <v/>
      </c>
      <c r="EN181" s="2" t="str">
        <f aca="false">IF(EC181="","",IF(AND(ABS(EC181)&lt;=0.25,$E181="Bottom",DR181="LL"),"EQL",IF(AND(ABS(EC181)&lt;=0.25,$E181="Peak",DR181="HH"),"EQH","")))</f>
        <v/>
      </c>
      <c r="EO181" s="2" t="str">
        <f aca="false">IF(ED181="","",IF(AND(ABS(ED181)&lt;=0.25,$E181="Bottom",DS181="LL"),"EQL",IF(AND(ABS(ED181)&lt;=0.25,$E181="Peak",DS181="HH"),"EQH","")))</f>
        <v/>
      </c>
      <c r="EP181" s="2" t="str">
        <f aca="false">IF(EE181="","",IF(AND(ABS(EE181)&lt;=0.25,$E181="Bottom",DT181="LL"),"EQL",IF(AND(ABS(EE181)&lt;=0.25,$E181="Peak",DT181="HH"),"EQH","")))</f>
        <v/>
      </c>
      <c r="EQ181" s="2" t="str">
        <f aca="false">IF(EF181="","",IF(AND(ABS(EF181)&lt;=0.25,$E181="Bottom",DU181="LL"),"EQL",IF(AND(ABS(EF181)&lt;=0.25,$E181="Peak",DU181="HH"),"EQH","")))</f>
        <v/>
      </c>
      <c r="ER181" s="2" t="str">
        <f aca="false">IF(OR(EG181="EQL",EG181="EQH"),G181,"")</f>
        <v/>
      </c>
      <c r="ES181" s="2" t="str">
        <f aca="false">IF(OR(EH181="EQL",EH181="EQH"),H181,"")</f>
        <v/>
      </c>
      <c r="ET181" s="2" t="str">
        <f aca="false">IF(OR(EI181="EQL",EI181="EQH"),I181,"")</f>
        <v/>
      </c>
      <c r="EU181" s="2" t="str">
        <f aca="false">IF(OR(EJ181="EQL",EJ181="EQH"),J181,"")</f>
        <v/>
      </c>
      <c r="EV181" s="2" t="str">
        <f aca="false">IF(OR(EK181="EQL",EK181="EQH"),K181,"")</f>
        <v/>
      </c>
      <c r="EW181" s="2" t="str">
        <f aca="false">IF(OR(EL181="EQL",EL181="EQH"),L181,"")</f>
        <v/>
      </c>
      <c r="EX181" s="2" t="str">
        <f aca="false">IF(OR(EM181="EQL",EM181="EQH"),M181,"")</f>
        <v/>
      </c>
      <c r="EY181" s="2" t="str">
        <f aca="false">IF(OR(EN181="EQL",EN181="EQH"),N181,"")</f>
        <v/>
      </c>
      <c r="EZ181" s="2" t="str">
        <f aca="false">IF(OR(EO181="EQL",EO181="EQH"),O181,"")</f>
        <v/>
      </c>
      <c r="FA181" s="2" t="str">
        <f aca="false">IF(OR(EP181="EQL",EP181="EQH"),P181,"")</f>
        <v/>
      </c>
      <c r="FB181" s="2" t="str">
        <f aca="false">IF(OR(EQ181="EQL",EQ181="EQH"),Q181,"")</f>
        <v/>
      </c>
      <c r="FC181" s="2" t="str">
        <f aca="false">IF(AND(EG181="EQL",OR(AQ181=4,AQ181=5)),"IEQL",IF(AND(EG181="EQH",OR(AQ181=1,AQ181=2)),"IEQH",""))</f>
        <v/>
      </c>
      <c r="FD181" s="2" t="str">
        <f aca="false">IF(AND(EH181="EQL",OR(AR181=4,AR181=5)),"IEQL",IF(AND(EH181="EQH",OR(AR181=1,AR181=2)),"IEQH",""))</f>
        <v/>
      </c>
      <c r="FE181" s="2" t="str">
        <f aca="false">IF(AND(EI181="EQL",OR(AS181=4,AS181=5)),"IEQL",IF(AND(EI181="EQH",OR(AS181=1,AS181=2)),"IEQH",""))</f>
        <v/>
      </c>
      <c r="FF181" s="2" t="str">
        <f aca="false">IF(AND(EJ181="EQL",OR(AT181=4,AT181=5)),"IEQL",IF(AND(EJ181="EQH",OR(AT181=1,AT181=2)),"IEQH",""))</f>
        <v/>
      </c>
      <c r="FG181" s="2" t="str">
        <f aca="false">IF(AND(EK181="EQL",OR(AU181=4,AU181=5)),"IEQL",IF(AND(EK181="EQH",OR(AU181=1,AU181=2)),"IEQH",""))</f>
        <v/>
      </c>
      <c r="FH181" s="2" t="str">
        <f aca="false">IF(AND(EL181="EQL",OR(AV181=4,AV181=5)),"IEQL",IF(AND(EL181="EQH",OR(AV181=1,AV181=2)),"IEQH",""))</f>
        <v/>
      </c>
      <c r="FI181" s="2" t="str">
        <f aca="false">IF(AND(EM181="EQL",OR(AW181=4,AW181=5)),"IEQL",IF(AND(EM181="EQH",OR(AW181=1,AW181=2)),"IEQH",""))</f>
        <v/>
      </c>
      <c r="FJ181" s="2" t="str">
        <f aca="false">IF(AND(EN181="EQL",OR(AX181=4,AX181=5)),"IEQL",IF(AND(EN181="EQH",OR(AX181=1,AX181=2)),"IEQH",""))</f>
        <v/>
      </c>
      <c r="FK181" s="2" t="str">
        <f aca="false">IF(AND(EO181="EQL",OR(AY181=4,AY181=5)),"IEQL",IF(AND(EO181="EQH",OR(AY181=1,AY181=2)),"IEQH",""))</f>
        <v/>
      </c>
      <c r="FL181" s="2" t="str">
        <f aca="false">IF(AND(EP181="EQL",OR(AZ181=4,AZ181=5)),"IEQL",IF(AND(EP181="EQH",OR(AZ181=1,AZ181=2)),"IEQH",""))</f>
        <v/>
      </c>
      <c r="FM181" s="2" t="str">
        <f aca="false">IF(AND(EQ181="EQL",OR(BA181=4,BA181=5)),"IEQL",IF(AND(EQ181="EQH",OR(BA181=1,BA181=2)),"IEQH",""))</f>
        <v/>
      </c>
    </row>
    <row r="182" customFormat="false" ht="14.25" hidden="false" customHeight="false" outlineLevel="0" collapsed="false">
      <c r="A182" s="1" t="n">
        <v>1780087502</v>
      </c>
      <c r="B182" s="1" t="s">
        <v>169</v>
      </c>
      <c r="C182" s="1" t="s">
        <v>170</v>
      </c>
      <c r="D182" s="1" t="n">
        <v>4540.62</v>
      </c>
      <c r="E182" s="1" t="s">
        <v>171</v>
      </c>
      <c r="F182" s="1" t="n">
        <v>4539.55</v>
      </c>
      <c r="G182" s="2" t="n">
        <f aca="false">F180</f>
        <v>4512.71</v>
      </c>
      <c r="H182" s="2" t="n">
        <f aca="false">F178</f>
        <v>4510.03</v>
      </c>
      <c r="I182" s="2" t="n">
        <f aca="false">F176</f>
        <v>4489.19</v>
      </c>
      <c r="J182" s="2" t="n">
        <f aca="false">F174</f>
        <v>4375.47</v>
      </c>
      <c r="K182" s="2" t="n">
        <f aca="false">F172</f>
        <v>4366.32</v>
      </c>
      <c r="L182" s="2" t="n">
        <f aca="false">F170</f>
        <v>4401.5</v>
      </c>
      <c r="M182" s="2" t="n">
        <f aca="false">F168</f>
        <v>4495.97</v>
      </c>
      <c r="N182" s="2" t="n">
        <f aca="false">F166</f>
        <v>4482.74</v>
      </c>
      <c r="O182" s="2" t="n">
        <f aca="false">F164</f>
        <v>4512.11</v>
      </c>
      <c r="P182" s="2" t="n">
        <f aca="false">F162</f>
        <v>4521.72</v>
      </c>
      <c r="Q182" s="2" t="n">
        <f aca="false">F160</f>
        <v>4563.4</v>
      </c>
      <c r="R182" s="1" t="n">
        <v>-55.64</v>
      </c>
      <c r="S182" s="2" t="n">
        <f aca="false">R180</f>
        <v>-30.6</v>
      </c>
      <c r="T182" s="2" t="n">
        <f aca="false">R178</f>
        <v>-16.18</v>
      </c>
      <c r="U182" s="2" t="n">
        <f aca="false">R176</f>
        <v>-27.38</v>
      </c>
      <c r="V182" s="2" t="n">
        <f aca="false">R174</f>
        <v>-28.96</v>
      </c>
      <c r="W182" s="2" t="n">
        <f aca="false">R172</f>
        <v>-99.6</v>
      </c>
      <c r="X182" s="2" t="n">
        <f aca="false">R170</f>
        <v>-115.68</v>
      </c>
      <c r="Y182" s="2" t="n">
        <f aca="false">R168</f>
        <v>-41.87</v>
      </c>
      <c r="Z182" s="2" t="n">
        <f aca="false">R166</f>
        <v>-57.79</v>
      </c>
      <c r="AA182" s="2" t="n">
        <f aca="false">R164</f>
        <v>-26.9</v>
      </c>
      <c r="AB182" s="2" t="n">
        <f aca="false">R162</f>
        <v>-58.56</v>
      </c>
      <c r="AC182" s="2" t="n">
        <f aca="false">R160</f>
        <v>-14.4</v>
      </c>
      <c r="AD182" s="1" t="n">
        <v>-1.21</v>
      </c>
      <c r="AE182" s="2" t="n">
        <f aca="false">AD180</f>
        <v>-0.67</v>
      </c>
      <c r="AF182" s="2" t="n">
        <f aca="false">AD178</f>
        <v>-0.36</v>
      </c>
      <c r="AG182" s="2" t="n">
        <f aca="false">AD176</f>
        <v>-0.61</v>
      </c>
      <c r="AH182" s="2" t="n">
        <f aca="false">AD174</f>
        <v>-0.66</v>
      </c>
      <c r="AI182" s="2" t="n">
        <f aca="false">AD172</f>
        <v>-2.23</v>
      </c>
      <c r="AJ182" s="2" t="n">
        <f aca="false">AD170</f>
        <v>-2.56</v>
      </c>
      <c r="AK182" s="2" t="n">
        <f aca="false">AD168</f>
        <v>-0.92</v>
      </c>
      <c r="AL182" s="2" t="n">
        <f aca="false">AD166</f>
        <v>-1.27</v>
      </c>
      <c r="AM182" s="2" t="n">
        <f aca="false">AD164</f>
        <v>-0.59</v>
      </c>
      <c r="AN182" s="2" t="n">
        <f aca="false">AD162</f>
        <v>-1.28</v>
      </c>
      <c r="AO182" s="2" t="n">
        <f aca="false">AD160</f>
        <v>-0.31</v>
      </c>
      <c r="AP182" s="1" t="n">
        <v>3</v>
      </c>
      <c r="AQ182" s="2" t="n">
        <f aca="false">AP180</f>
        <v>3</v>
      </c>
      <c r="AR182" s="2" t="n">
        <f aca="false">AP178</f>
        <v>3</v>
      </c>
      <c r="AS182" s="2" t="n">
        <f aca="false">AP176</f>
        <v>3</v>
      </c>
      <c r="AT182" s="2" t="n">
        <f aca="false">AP174</f>
        <v>3</v>
      </c>
      <c r="AU182" s="2" t="n">
        <f aca="false">AP172</f>
        <v>5</v>
      </c>
      <c r="AV182" s="2" t="n">
        <f aca="false">AP170</f>
        <v>5</v>
      </c>
      <c r="AW182" s="2" t="n">
        <f aca="false">AP168</f>
        <v>3</v>
      </c>
      <c r="AX182" s="2" t="n">
        <f aca="false">AP166</f>
        <v>3</v>
      </c>
      <c r="AY182" s="2" t="n">
        <f aca="false">AP164</f>
        <v>3</v>
      </c>
      <c r="AZ182" s="2" t="n">
        <f aca="false">AP162</f>
        <v>3</v>
      </c>
      <c r="BA182" s="2" t="n">
        <f aca="false">AP160</f>
        <v>3</v>
      </c>
      <c r="BB182" s="1" t="n">
        <v>23</v>
      </c>
      <c r="BC182" s="2" t="n">
        <f aca="false">BB180</f>
        <v>8</v>
      </c>
      <c r="BD182" s="2" t="n">
        <f aca="false">BB178</f>
        <v>4</v>
      </c>
      <c r="BE182" s="2" t="n">
        <f aca="false">BB176</f>
        <v>19</v>
      </c>
      <c r="BF182" s="2" t="n">
        <f aca="false">BB174</f>
        <v>3</v>
      </c>
      <c r="BG182" s="2" t="n">
        <f aca="false">BB172</f>
        <v>25</v>
      </c>
      <c r="BH182" s="2" t="n">
        <f aca="false">BB170</f>
        <v>34</v>
      </c>
      <c r="BI182" s="2" t="n">
        <f aca="false">BB168</f>
        <v>24</v>
      </c>
      <c r="BJ182" s="2" t="n">
        <f aca="false">BB166</f>
        <v>29</v>
      </c>
      <c r="BK182" s="2" t="n">
        <f aca="false">BB164</f>
        <v>7</v>
      </c>
      <c r="BL182" s="2" t="n">
        <f aca="false">BB162</f>
        <v>33</v>
      </c>
      <c r="BM182" s="2" t="n">
        <f aca="false">BB160</f>
        <v>3</v>
      </c>
      <c r="BN182" s="1" t="n">
        <v>3</v>
      </c>
      <c r="BO182" s="2" t="n">
        <f aca="false">BN180</f>
        <v>3</v>
      </c>
      <c r="BP182" s="2" t="n">
        <f aca="false">BN178</f>
        <v>3</v>
      </c>
      <c r="BQ182" s="2" t="n">
        <f aca="false">BN176</f>
        <v>3</v>
      </c>
      <c r="BR182" s="2" t="n">
        <f aca="false">BN174</f>
        <v>3</v>
      </c>
      <c r="BS182" s="2" t="n">
        <f aca="false">BN172</f>
        <v>3</v>
      </c>
      <c r="BT182" s="2" t="n">
        <f aca="false">BN170</f>
        <v>4</v>
      </c>
      <c r="BU182" s="2" t="n">
        <f aca="false">BN168</f>
        <v>3</v>
      </c>
      <c r="BV182" s="2" t="n">
        <f aca="false">BN166</f>
        <v>3</v>
      </c>
      <c r="BW182" s="2" t="n">
        <f aca="false">BN164</f>
        <v>3</v>
      </c>
      <c r="BX182" s="2" t="n">
        <f aca="false">BN162</f>
        <v>4</v>
      </c>
      <c r="BY182" s="2" t="n">
        <f aca="false">BN160</f>
        <v>3</v>
      </c>
      <c r="BZ182" s="1" t="n">
        <v>-2.41913</v>
      </c>
      <c r="CA182" s="2" t="n">
        <f aca="false">BZ180</f>
        <v>-3.825</v>
      </c>
      <c r="CB182" s="2" t="n">
        <f aca="false">BZ178</f>
        <v>-4.045</v>
      </c>
      <c r="CC182" s="2" t="n">
        <f aca="false">BZ176</f>
        <v>-1.44105</v>
      </c>
      <c r="CD182" s="2" t="n">
        <f aca="false">BZ174</f>
        <v>-9.65333</v>
      </c>
      <c r="CE182" s="2" t="n">
        <f aca="false">BZ172</f>
        <v>-3.984</v>
      </c>
      <c r="CF182" s="2" t="n">
        <f aca="false">BZ170</f>
        <v>-3.40235</v>
      </c>
      <c r="CG182" s="2" t="n">
        <f aca="false">BZ168</f>
        <v>-1.74458</v>
      </c>
      <c r="CH182" s="2" t="n">
        <f aca="false">BZ166</f>
        <v>-1.99276</v>
      </c>
      <c r="CI182" s="2" t="n">
        <f aca="false">BZ164</f>
        <v>-3.84286</v>
      </c>
      <c r="CJ182" s="2" t="n">
        <f aca="false">BZ162</f>
        <v>-1.77455</v>
      </c>
      <c r="CK182" s="2" t="n">
        <f aca="false">BZ160</f>
        <v>-4.8</v>
      </c>
      <c r="CL182" s="1" t="n">
        <v>3</v>
      </c>
      <c r="CM182" s="2" t="n">
        <f aca="false">CL180</f>
        <v>3</v>
      </c>
      <c r="CN182" s="2" t="n">
        <f aca="false">CL178</f>
        <v>3</v>
      </c>
      <c r="CO182" s="2" t="n">
        <f aca="false">CL176</f>
        <v>3</v>
      </c>
      <c r="CP182" s="2" t="n">
        <f aca="false">CL174</f>
        <v>3</v>
      </c>
      <c r="CQ182" s="2" t="n">
        <f aca="false">CL172</f>
        <v>3</v>
      </c>
      <c r="CR182" s="2" t="n">
        <f aca="false">CL170</f>
        <v>3</v>
      </c>
      <c r="CS182" s="2" t="n">
        <f aca="false">CL168</f>
        <v>3</v>
      </c>
      <c r="CT182" s="2" t="n">
        <f aca="false">CL166</f>
        <v>3</v>
      </c>
      <c r="CU182" s="2" t="n">
        <f aca="false">CL164</f>
        <v>3</v>
      </c>
      <c r="CV182" s="2" t="n">
        <f aca="false">CL162</f>
        <v>3</v>
      </c>
      <c r="CW182" s="2" t="n">
        <f aca="false">CL160</f>
        <v>3</v>
      </c>
      <c r="CX182" s="1" t="n">
        <v>-67.5412</v>
      </c>
      <c r="CY182" s="2" t="n">
        <f aca="false">CX180</f>
        <v>-75.3486</v>
      </c>
      <c r="CZ182" s="2" t="n">
        <f aca="false">CX178</f>
        <v>-76.1138</v>
      </c>
      <c r="DA182" s="2" t="n">
        <f aca="false">CX176</f>
        <v>-55.2418</v>
      </c>
      <c r="DB182" s="2" t="n">
        <f aca="false">CX174</f>
        <v>-84.0858</v>
      </c>
      <c r="DC182" s="2" t="n">
        <f aca="false">CX172</f>
        <v>-75.9096</v>
      </c>
      <c r="DD182" s="2" t="n">
        <f aca="false">CX170</f>
        <v>-73.6212</v>
      </c>
      <c r="DE182" s="2" t="n">
        <f aca="false">CX168</f>
        <v>-60.1785</v>
      </c>
      <c r="DF182" s="2" t="n">
        <f aca="false">CX166</f>
        <v>-63.3517</v>
      </c>
      <c r="DG182" s="2" t="n">
        <f aca="false">CX164</f>
        <v>-75.4138</v>
      </c>
      <c r="DH182" s="2" t="n">
        <f aca="false">CX162</f>
        <v>-60.5977</v>
      </c>
      <c r="DI182" s="2" t="n">
        <f aca="false">CX160</f>
        <v>-78.2317</v>
      </c>
      <c r="DJ182" s="1" t="s">
        <v>175</v>
      </c>
      <c r="DK182" s="2" t="str">
        <f aca="false">DJ180</f>
        <v>HL</v>
      </c>
      <c r="DL182" s="2" t="str">
        <f aca="false">DJ178</f>
        <v>HL</v>
      </c>
      <c r="DM182" s="2" t="str">
        <f aca="false">DJ176</f>
        <v>HL</v>
      </c>
      <c r="DN182" s="2" t="str">
        <f aca="false">DJ174</f>
        <v>HL</v>
      </c>
      <c r="DO182" s="2" t="str">
        <f aca="false">DJ172</f>
        <v>LL</v>
      </c>
      <c r="DP182" s="2" t="str">
        <f aca="false">DJ170</f>
        <v>LL</v>
      </c>
      <c r="DQ182" s="2" t="str">
        <f aca="false">DJ168</f>
        <v>HL</v>
      </c>
      <c r="DR182" s="2" t="str">
        <f aca="false">DJ166</f>
        <v>LL</v>
      </c>
      <c r="DS182" s="2" t="str">
        <f aca="false">DJ164</f>
        <v>LL</v>
      </c>
      <c r="DT182" s="2" t="str">
        <f aca="false">DJ162</f>
        <v>LL</v>
      </c>
      <c r="DU182" s="2" t="str">
        <f aca="false">DJ160</f>
        <v>HL</v>
      </c>
      <c r="DV182" s="2" t="n">
        <f aca="false">IFERROR((G182-$F182)/$F182*100,"")</f>
        <v>-0.591248031192522</v>
      </c>
      <c r="DW182" s="2" t="n">
        <f aca="false">IFERROR((H182-$F182)/$F182*100,"")</f>
        <v>-0.650284719851096</v>
      </c>
      <c r="DX182" s="2" t="n">
        <f aca="false">IFERROR((I182-$F182)/$F182*100,"")</f>
        <v>-1.10936106001697</v>
      </c>
      <c r="DY182" s="2" t="n">
        <f aca="false">IFERROR((J182-$F182)/$F182*100,"")</f>
        <v>-3.61445517727528</v>
      </c>
      <c r="DZ182" s="2" t="n">
        <f aca="false">IFERROR((K182-$F182)/$F182*100,"")</f>
        <v>-3.81601700609092</v>
      </c>
      <c r="EA182" s="2" t="n">
        <f aca="false">IFERROR((L182-$F182)/$F182*100,"")</f>
        <v>-3.04105032437136</v>
      </c>
      <c r="EB182" s="2" t="n">
        <f aca="false">IFERROR((M182-$F182)/$F182*100,"")</f>
        <v>-0.960007049156853</v>
      </c>
      <c r="EC182" s="2" t="n">
        <f aca="false">IFERROR((N182-$F182)/$F182*100,"")</f>
        <v>-1.25144562787061</v>
      </c>
      <c r="ED182" s="2" t="n">
        <f aca="false">IFERROR((O182-$F182)/$F182*100,"")</f>
        <v>-0.604465200295195</v>
      </c>
      <c r="EE182" s="2" t="n">
        <f aca="false">IFERROR((P182-$F182)/$F182*100,"")</f>
        <v>-0.392770208500841</v>
      </c>
      <c r="EF182" s="2" t="n">
        <f aca="false">IFERROR((Q182-$F182)/$F182*100,"")</f>
        <v>0.525382471830896</v>
      </c>
      <c r="EG182" s="2" t="str">
        <f aca="false">IF(DV182="","",IF(AND(ABS(DV182)&lt;=0.25,$E182="Bottom",DK182="LL"),"EQL",IF(AND(ABS(DV182)&lt;=0.25,$E182="Peak",DK182="HH"),"EQH","")))</f>
        <v/>
      </c>
      <c r="EH182" s="2" t="str">
        <f aca="false">IF(DW182="","",IF(AND(ABS(DW182)&lt;=0.25,$E182="Bottom",DL182="LL"),"EQL",IF(AND(ABS(DW182)&lt;=0.25,$E182="Peak",DL182="HH"),"EQH","")))</f>
        <v/>
      </c>
      <c r="EI182" s="2" t="str">
        <f aca="false">IF(DX182="","",IF(AND(ABS(DX182)&lt;=0.25,$E182="Bottom",DM182="LL"),"EQL",IF(AND(ABS(DX182)&lt;=0.25,$E182="Peak",DM182="HH"),"EQH","")))</f>
        <v/>
      </c>
      <c r="EJ182" s="2" t="str">
        <f aca="false">IF(DY182="","",IF(AND(ABS(DY182)&lt;=0.25,$E182="Bottom",DN182="LL"),"EQL",IF(AND(ABS(DY182)&lt;=0.25,$E182="Peak",DN182="HH"),"EQH","")))</f>
        <v/>
      </c>
      <c r="EK182" s="2" t="str">
        <f aca="false">IF(DZ182="","",IF(AND(ABS(DZ182)&lt;=0.25,$E182="Bottom",DO182="LL"),"EQL",IF(AND(ABS(DZ182)&lt;=0.25,$E182="Peak",DO182="HH"),"EQH","")))</f>
        <v/>
      </c>
      <c r="EL182" s="2" t="str">
        <f aca="false">IF(EA182="","",IF(AND(ABS(EA182)&lt;=0.25,$E182="Bottom",DP182="LL"),"EQL",IF(AND(ABS(EA182)&lt;=0.25,$E182="Peak",DP182="HH"),"EQH","")))</f>
        <v/>
      </c>
      <c r="EM182" s="2" t="str">
        <f aca="false">IF(EB182="","",IF(AND(ABS(EB182)&lt;=0.25,$E182="Bottom",DQ182="LL"),"EQL",IF(AND(ABS(EB182)&lt;=0.25,$E182="Peak",DQ182="HH"),"EQH","")))</f>
        <v/>
      </c>
      <c r="EN182" s="2" t="str">
        <f aca="false">IF(EC182="","",IF(AND(ABS(EC182)&lt;=0.25,$E182="Bottom",DR182="LL"),"EQL",IF(AND(ABS(EC182)&lt;=0.25,$E182="Peak",DR182="HH"),"EQH","")))</f>
        <v/>
      </c>
      <c r="EO182" s="2" t="str">
        <f aca="false">IF(ED182="","",IF(AND(ABS(ED182)&lt;=0.25,$E182="Bottom",DS182="LL"),"EQL",IF(AND(ABS(ED182)&lt;=0.25,$E182="Peak",DS182="HH"),"EQH","")))</f>
        <v/>
      </c>
      <c r="EP182" s="2" t="str">
        <f aca="false">IF(EE182="","",IF(AND(ABS(EE182)&lt;=0.25,$E182="Bottom",DT182="LL"),"EQL",IF(AND(ABS(EE182)&lt;=0.25,$E182="Peak",DT182="HH"),"EQH","")))</f>
        <v/>
      </c>
      <c r="EQ182" s="2" t="str">
        <f aca="false">IF(EF182="","",IF(AND(ABS(EF182)&lt;=0.25,$E182="Bottom",DU182="LL"),"EQL",IF(AND(ABS(EF182)&lt;=0.25,$E182="Peak",DU182="HH"),"EQH","")))</f>
        <v/>
      </c>
      <c r="ER182" s="2" t="str">
        <f aca="false">IF(OR(EG182="EQL",EG182="EQH"),G182,"")</f>
        <v/>
      </c>
      <c r="ES182" s="2" t="str">
        <f aca="false">IF(OR(EH182="EQL",EH182="EQH"),H182,"")</f>
        <v/>
      </c>
      <c r="ET182" s="2" t="str">
        <f aca="false">IF(OR(EI182="EQL",EI182="EQH"),I182,"")</f>
        <v/>
      </c>
      <c r="EU182" s="2" t="str">
        <f aca="false">IF(OR(EJ182="EQL",EJ182="EQH"),J182,"")</f>
        <v/>
      </c>
      <c r="EV182" s="2" t="str">
        <f aca="false">IF(OR(EK182="EQL",EK182="EQH"),K182,"")</f>
        <v/>
      </c>
      <c r="EW182" s="2" t="str">
        <f aca="false">IF(OR(EL182="EQL",EL182="EQH"),L182,"")</f>
        <v/>
      </c>
      <c r="EX182" s="2" t="str">
        <f aca="false">IF(OR(EM182="EQL",EM182="EQH"),M182,"")</f>
        <v/>
      </c>
      <c r="EY182" s="2" t="str">
        <f aca="false">IF(OR(EN182="EQL",EN182="EQH"),N182,"")</f>
        <v/>
      </c>
      <c r="EZ182" s="2" t="str">
        <f aca="false">IF(OR(EO182="EQL",EO182="EQH"),O182,"")</f>
        <v/>
      </c>
      <c r="FA182" s="2" t="str">
        <f aca="false">IF(OR(EP182="EQL",EP182="EQH"),P182,"")</f>
        <v/>
      </c>
      <c r="FB182" s="2" t="str">
        <f aca="false">IF(OR(EQ182="EQL",EQ182="EQH"),Q182,"")</f>
        <v/>
      </c>
      <c r="FC182" s="2" t="str">
        <f aca="false">IF(AND(EG182="EQL",OR(AQ182=4,AQ182=5)),"IEQL",IF(AND(EG182="EQH",OR(AQ182=1,AQ182=2)),"IEQH",""))</f>
        <v/>
      </c>
      <c r="FD182" s="2" t="str">
        <f aca="false">IF(AND(EH182="EQL",OR(AR182=4,AR182=5)),"IEQL",IF(AND(EH182="EQH",OR(AR182=1,AR182=2)),"IEQH",""))</f>
        <v/>
      </c>
      <c r="FE182" s="2" t="str">
        <f aca="false">IF(AND(EI182="EQL",OR(AS182=4,AS182=5)),"IEQL",IF(AND(EI182="EQH",OR(AS182=1,AS182=2)),"IEQH",""))</f>
        <v/>
      </c>
      <c r="FF182" s="2" t="str">
        <f aca="false">IF(AND(EJ182="EQL",OR(AT182=4,AT182=5)),"IEQL",IF(AND(EJ182="EQH",OR(AT182=1,AT182=2)),"IEQH",""))</f>
        <v/>
      </c>
      <c r="FG182" s="2" t="str">
        <f aca="false">IF(AND(EK182="EQL",OR(AU182=4,AU182=5)),"IEQL",IF(AND(EK182="EQH",OR(AU182=1,AU182=2)),"IEQH",""))</f>
        <v/>
      </c>
      <c r="FH182" s="2" t="str">
        <f aca="false">IF(AND(EL182="EQL",OR(AV182=4,AV182=5)),"IEQL",IF(AND(EL182="EQH",OR(AV182=1,AV182=2)),"IEQH",""))</f>
        <v/>
      </c>
      <c r="FI182" s="2" t="str">
        <f aca="false">IF(AND(EM182="EQL",OR(AW182=4,AW182=5)),"IEQL",IF(AND(EM182="EQH",OR(AW182=1,AW182=2)),"IEQH",""))</f>
        <v/>
      </c>
      <c r="FJ182" s="2" t="str">
        <f aca="false">IF(AND(EN182="EQL",OR(AX182=4,AX182=5)),"IEQL",IF(AND(EN182="EQH",OR(AX182=1,AX182=2)),"IEQH",""))</f>
        <v/>
      </c>
      <c r="FK182" s="2" t="str">
        <f aca="false">IF(AND(EO182="EQL",OR(AY182=4,AY182=5)),"IEQL",IF(AND(EO182="EQH",OR(AY182=1,AY182=2)),"IEQH",""))</f>
        <v/>
      </c>
      <c r="FL182" s="2" t="str">
        <f aca="false">IF(AND(EP182="EQL",OR(AZ182=4,AZ182=5)),"IEQL",IF(AND(EP182="EQH",OR(AZ182=1,AZ182=2)),"IEQH",""))</f>
        <v/>
      </c>
      <c r="FM182" s="2" t="str">
        <f aca="false">IF(AND(EQ182="EQL",OR(BA182=4,BA182=5)),"IEQL",IF(AND(EQ182="EQH",OR(BA182=1,BA182=2)),"IEQH",""))</f>
        <v/>
      </c>
    </row>
    <row r="183" customFormat="false" ht="14.25" hidden="false" customHeight="false" outlineLevel="0" collapsed="false">
      <c r="A183" s="1" t="n">
        <v>1780208988</v>
      </c>
      <c r="B183" s="1" t="s">
        <v>169</v>
      </c>
      <c r="C183" s="1" t="s">
        <v>170</v>
      </c>
      <c r="D183" s="1" t="n">
        <v>4540.62</v>
      </c>
      <c r="E183" s="1" t="s">
        <v>173</v>
      </c>
      <c r="F183" s="1" t="n">
        <v>4543.63</v>
      </c>
      <c r="G183" s="2" t="n">
        <f aca="false">F181</f>
        <v>4595.19</v>
      </c>
      <c r="H183" s="2" t="n">
        <f aca="false">F179</f>
        <v>4543.31</v>
      </c>
      <c r="I183" s="2" t="n">
        <f aca="false">F177</f>
        <v>4526.21</v>
      </c>
      <c r="J183" s="2" t="n">
        <f aca="false">F175</f>
        <v>4516.57</v>
      </c>
      <c r="K183" s="2" t="n">
        <f aca="false">F173</f>
        <v>4404.43</v>
      </c>
      <c r="L183" s="2" t="n">
        <f aca="false">F171</f>
        <v>4465.92</v>
      </c>
      <c r="M183" s="2" t="n">
        <f aca="false">F169</f>
        <v>4517.18</v>
      </c>
      <c r="N183" s="2" t="n">
        <f aca="false">F167</f>
        <v>4537.84</v>
      </c>
      <c r="O183" s="2" t="n">
        <f aca="false">F165</f>
        <v>4540.53</v>
      </c>
      <c r="P183" s="2" t="n">
        <f aca="false">F163</f>
        <v>4539.01</v>
      </c>
      <c r="Q183" s="2" t="n">
        <f aca="false">F161</f>
        <v>4580.28</v>
      </c>
      <c r="R183" s="1" t="n">
        <v>4.08</v>
      </c>
      <c r="S183" s="2" t="n">
        <f aca="false">R181</f>
        <v>82.48</v>
      </c>
      <c r="T183" s="2" t="n">
        <f aca="false">R179</f>
        <v>33.28</v>
      </c>
      <c r="U183" s="2" t="n">
        <f aca="false">R177</f>
        <v>37.02</v>
      </c>
      <c r="V183" s="2" t="n">
        <f aca="false">R175</f>
        <v>141.1</v>
      </c>
      <c r="W183" s="2" t="n">
        <f aca="false">R173</f>
        <v>38.11</v>
      </c>
      <c r="X183" s="2" t="n">
        <f aca="false">R171</f>
        <v>64.42</v>
      </c>
      <c r="Y183" s="2" t="n">
        <f aca="false">R169</f>
        <v>21.21</v>
      </c>
      <c r="Z183" s="2" t="n">
        <f aca="false">R167</f>
        <v>55.1</v>
      </c>
      <c r="AA183" s="2" t="n">
        <f aca="false">R165</f>
        <v>28.42</v>
      </c>
      <c r="AB183" s="2" t="n">
        <f aca="false">R163</f>
        <v>17.29</v>
      </c>
      <c r="AC183" s="2" t="n">
        <f aca="false">R161</f>
        <v>16.88</v>
      </c>
      <c r="AD183" s="1" t="n">
        <v>0.09</v>
      </c>
      <c r="AE183" s="2" t="n">
        <f aca="false">AD181</f>
        <v>1.83</v>
      </c>
      <c r="AF183" s="2" t="n">
        <f aca="false">AD179</f>
        <v>0.74</v>
      </c>
      <c r="AG183" s="2" t="n">
        <f aca="false">AD177</f>
        <v>0.82</v>
      </c>
      <c r="AH183" s="2" t="n">
        <f aca="false">AD175</f>
        <v>3.22</v>
      </c>
      <c r="AI183" s="2" t="n">
        <f aca="false">AD173</f>
        <v>0.87</v>
      </c>
      <c r="AJ183" s="2" t="n">
        <f aca="false">AD171</f>
        <v>1.46</v>
      </c>
      <c r="AK183" s="2" t="n">
        <f aca="false">AD169</f>
        <v>0.47</v>
      </c>
      <c r="AL183" s="2" t="n">
        <f aca="false">AD167</f>
        <v>1.23</v>
      </c>
      <c r="AM183" s="2" t="n">
        <f aca="false">AD165</f>
        <v>0.63</v>
      </c>
      <c r="AN183" s="2" t="n">
        <f aca="false">AD163</f>
        <v>0.38</v>
      </c>
      <c r="AO183" s="2" t="n">
        <f aca="false">AD161</f>
        <v>0.37</v>
      </c>
      <c r="AP183" s="1" t="n">
        <v>0</v>
      </c>
      <c r="AQ183" s="2" t="n">
        <f aca="false">AP181</f>
        <v>0</v>
      </c>
      <c r="AR183" s="2" t="n">
        <f aca="false">AP179</f>
        <v>0</v>
      </c>
      <c r="AS183" s="2" t="n">
        <f aca="false">AP177</f>
        <v>0</v>
      </c>
      <c r="AT183" s="2" t="n">
        <f aca="false">AP175</f>
        <v>2</v>
      </c>
      <c r="AU183" s="2" t="n">
        <f aca="false">AP173</f>
        <v>0</v>
      </c>
      <c r="AV183" s="2" t="n">
        <f aca="false">AP171</f>
        <v>0</v>
      </c>
      <c r="AW183" s="2" t="n">
        <f aca="false">AP169</f>
        <v>0</v>
      </c>
      <c r="AX183" s="2" t="n">
        <f aca="false">AP167</f>
        <v>0</v>
      </c>
      <c r="AY183" s="2" t="n">
        <f aca="false">AP165</f>
        <v>0</v>
      </c>
      <c r="AZ183" s="2" t="n">
        <f aca="false">AP163</f>
        <v>0</v>
      </c>
      <c r="BA183" s="2" t="n">
        <f aca="false">AP161</f>
        <v>0</v>
      </c>
      <c r="BB183" s="1" t="n">
        <v>0</v>
      </c>
      <c r="BC183" s="2" t="n">
        <f aca="false">BB181</f>
        <v>10</v>
      </c>
      <c r="BD183" s="2" t="n">
        <f aca="false">BB179</f>
        <v>7</v>
      </c>
      <c r="BE183" s="2" t="n">
        <f aca="false">BB177</f>
        <v>32</v>
      </c>
      <c r="BF183" s="2" t="n">
        <f aca="false">BB175</f>
        <v>29</v>
      </c>
      <c r="BG183" s="2" t="n">
        <f aca="false">BB173</f>
        <v>23</v>
      </c>
      <c r="BH183" s="2" t="n">
        <f aca="false">BB171</f>
        <v>31</v>
      </c>
      <c r="BI183" s="2" t="n">
        <f aca="false">BB169</f>
        <v>3</v>
      </c>
      <c r="BJ183" s="2" t="n">
        <f aca="false">BB167</f>
        <v>12</v>
      </c>
      <c r="BK183" s="2" t="n">
        <f aca="false">BB165</f>
        <v>5</v>
      </c>
      <c r="BL183" s="2" t="n">
        <f aca="false">BB163</f>
        <v>1</v>
      </c>
      <c r="BM183" s="2" t="n">
        <f aca="false">BB161</f>
        <v>8</v>
      </c>
      <c r="BN183" s="1" t="n">
        <v>0</v>
      </c>
      <c r="BO183" s="2" t="n">
        <f aca="false">BN181</f>
        <v>0</v>
      </c>
      <c r="BP183" s="2" t="n">
        <f aca="false">BN179</f>
        <v>0</v>
      </c>
      <c r="BQ183" s="2" t="n">
        <f aca="false">BN177</f>
        <v>0</v>
      </c>
      <c r="BR183" s="2" t="n">
        <f aca="false">BN175</f>
        <v>0</v>
      </c>
      <c r="BS183" s="2" t="n">
        <f aca="false">BN173</f>
        <v>0</v>
      </c>
      <c r="BT183" s="2" t="n">
        <f aca="false">BN171</f>
        <v>0</v>
      </c>
      <c r="BU183" s="2" t="n">
        <f aca="false">BN169</f>
        <v>0</v>
      </c>
      <c r="BV183" s="2" t="n">
        <f aca="false">BN167</f>
        <v>0</v>
      </c>
      <c r="BW183" s="2" t="n">
        <f aca="false">BN165</f>
        <v>0</v>
      </c>
      <c r="BX183" s="2" t="n">
        <f aca="false">BN163</f>
        <v>0</v>
      </c>
      <c r="BY183" s="2" t="n">
        <f aca="false">BN161</f>
        <v>0</v>
      </c>
      <c r="BZ183" s="1" t="n">
        <v>0</v>
      </c>
      <c r="CA183" s="2" t="n">
        <f aca="false">BZ181</f>
        <v>8.248</v>
      </c>
      <c r="CB183" s="2" t="n">
        <f aca="false">BZ179</f>
        <v>4.75429</v>
      </c>
      <c r="CC183" s="2" t="n">
        <f aca="false">BZ177</f>
        <v>1.15688</v>
      </c>
      <c r="CD183" s="2" t="n">
        <f aca="false">BZ175</f>
        <v>4.86552</v>
      </c>
      <c r="CE183" s="2" t="n">
        <f aca="false">BZ173</f>
        <v>1.65696</v>
      </c>
      <c r="CF183" s="2" t="n">
        <f aca="false">BZ171</f>
        <v>2.07806</v>
      </c>
      <c r="CG183" s="2" t="n">
        <f aca="false">BZ169</f>
        <v>7.07</v>
      </c>
      <c r="CH183" s="2" t="n">
        <f aca="false">BZ167</f>
        <v>4.59167</v>
      </c>
      <c r="CI183" s="2" t="n">
        <f aca="false">BZ165</f>
        <v>5.684</v>
      </c>
      <c r="CJ183" s="2" t="n">
        <f aca="false">BZ163</f>
        <v>17.29</v>
      </c>
      <c r="CK183" s="2" t="n">
        <f aca="false">BZ161</f>
        <v>2.11</v>
      </c>
      <c r="CL183" s="1" t="n">
        <v>0</v>
      </c>
      <c r="CM183" s="2" t="n">
        <f aca="false">CL181</f>
        <v>0</v>
      </c>
      <c r="CN183" s="2" t="n">
        <f aca="false">CL179</f>
        <v>0</v>
      </c>
      <c r="CO183" s="2" t="n">
        <f aca="false">CL177</f>
        <v>0</v>
      </c>
      <c r="CP183" s="2" t="n">
        <f aca="false">CL175</f>
        <v>0</v>
      </c>
      <c r="CQ183" s="2" t="n">
        <f aca="false">CL173</f>
        <v>0</v>
      </c>
      <c r="CR183" s="2" t="n">
        <f aca="false">CL171</f>
        <v>0</v>
      </c>
      <c r="CS183" s="2" t="n">
        <f aca="false">CL169</f>
        <v>0</v>
      </c>
      <c r="CT183" s="2" t="n">
        <f aca="false">CL167</f>
        <v>0</v>
      </c>
      <c r="CU183" s="2" t="n">
        <f aca="false">CL165</f>
        <v>0</v>
      </c>
      <c r="CV183" s="2" t="n">
        <f aca="false">CL163</f>
        <v>2</v>
      </c>
      <c r="CW183" s="2" t="n">
        <f aca="false">CL161</f>
        <v>0</v>
      </c>
      <c r="CX183" s="1" t="n">
        <v>0</v>
      </c>
      <c r="CY183" s="2" t="n">
        <f aca="false">CX181</f>
        <v>83.0871</v>
      </c>
      <c r="CZ183" s="2" t="n">
        <f aca="false">CX179</f>
        <v>78.1218</v>
      </c>
      <c r="DA183" s="2" t="n">
        <f aca="false">CX177</f>
        <v>49.1599</v>
      </c>
      <c r="DB183" s="2" t="n">
        <f aca="false">CX175</f>
        <v>78.3858</v>
      </c>
      <c r="DC183" s="2" t="n">
        <f aca="false">CX173</f>
        <v>58.8883</v>
      </c>
      <c r="DD183" s="2" t="n">
        <f aca="false">CX171</f>
        <v>64.3023</v>
      </c>
      <c r="DE183" s="2" t="n">
        <f aca="false">CX169</f>
        <v>81.9493</v>
      </c>
      <c r="DF183" s="2" t="n">
        <f aca="false">CX167</f>
        <v>77.7136</v>
      </c>
      <c r="DG183" s="2" t="n">
        <f aca="false">CX165</f>
        <v>80.0219</v>
      </c>
      <c r="DH183" s="2" t="n">
        <f aca="false">CX163</f>
        <v>86.6899</v>
      </c>
      <c r="DI183" s="2" t="n">
        <f aca="false">CX161</f>
        <v>64.6422</v>
      </c>
      <c r="DJ183" s="1" t="s">
        <v>174</v>
      </c>
      <c r="DK183" s="2" t="str">
        <f aca="false">DJ181</f>
        <v>HH</v>
      </c>
      <c r="DL183" s="2" t="str">
        <f aca="false">DJ179</f>
        <v>HH</v>
      </c>
      <c r="DM183" s="2" t="str">
        <f aca="false">DJ177</f>
        <v>HH</v>
      </c>
      <c r="DN183" s="2" t="str">
        <f aca="false">DJ175</f>
        <v>HH</v>
      </c>
      <c r="DO183" s="2" t="str">
        <f aca="false">DJ173</f>
        <v>LH</v>
      </c>
      <c r="DP183" s="2" t="str">
        <f aca="false">DJ171</f>
        <v>LH</v>
      </c>
      <c r="DQ183" s="2" t="str">
        <f aca="false">DJ169</f>
        <v>LH</v>
      </c>
      <c r="DR183" s="2" t="str">
        <f aca="false">DJ167</f>
        <v>LH</v>
      </c>
      <c r="DS183" s="2" t="str">
        <f aca="false">DJ165</f>
        <v>HH</v>
      </c>
      <c r="DT183" s="2" t="str">
        <f aca="false">DJ163</f>
        <v>LH</v>
      </c>
      <c r="DU183" s="2" t="str">
        <f aca="false">DJ161</f>
        <v>HH</v>
      </c>
      <c r="DV183" s="2" t="n">
        <f aca="false">IFERROR((G183-$F183)/$F183*100,"")</f>
        <v>1.13477549888524</v>
      </c>
      <c r="DW183" s="2" t="n">
        <f aca="false">IFERROR((H183-$F183)/$F183*100,"")</f>
        <v>-0.00704282699074768</v>
      </c>
      <c r="DX183" s="2" t="n">
        <f aca="false">IFERROR((I183-$F183)/$F183*100,"")</f>
        <v>-0.383393894309177</v>
      </c>
      <c r="DY183" s="2" t="n">
        <f aca="false">IFERROR((J183-$F183)/$F183*100,"")</f>
        <v>-0.595559057405651</v>
      </c>
      <c r="DZ183" s="2" t="n">
        <f aca="false">IFERROR((K183-$F183)/$F183*100,"")</f>
        <v>-3.06362974097802</v>
      </c>
      <c r="EA183" s="2" t="n">
        <f aca="false">IFERROR((L183-$F183)/$F183*100,"")</f>
        <v>-1.71030651703594</v>
      </c>
      <c r="EB183" s="2" t="n">
        <f aca="false">IFERROR((M183-$F183)/$F183*100,"")</f>
        <v>-0.582133668454514</v>
      </c>
      <c r="EC183" s="2" t="n">
        <f aca="false">IFERROR((N183-$F183)/$F183*100,"")</f>
        <v>-0.127431150863956</v>
      </c>
      <c r="ED183" s="2" t="n">
        <f aca="false">IFERROR((O183-$F183)/$F183*100,"")</f>
        <v>-0.0682273864729382</v>
      </c>
      <c r="EE183" s="2" t="n">
        <f aca="false">IFERROR((P183-$F183)/$F183*100,"")</f>
        <v>-0.10168081467901</v>
      </c>
      <c r="EF183" s="2" t="n">
        <f aca="false">IFERROR((Q183-$F183)/$F183*100,"")</f>
        <v>0.806623778784796</v>
      </c>
      <c r="EG183" s="2" t="str">
        <f aca="false">IF(DV183="","",IF(AND(ABS(DV183)&lt;=0.25,$E183="Bottom",DK183="LL"),"EQL",IF(AND(ABS(DV183)&lt;=0.25,$E183="Peak",DK183="HH"),"EQH","")))</f>
        <v/>
      </c>
      <c r="EH183" s="2" t="str">
        <f aca="false">IF(DW183="","",IF(AND(ABS(DW183)&lt;=0.25,$E183="Bottom",DL183="LL"),"EQL",IF(AND(ABS(DW183)&lt;=0.25,$E183="Peak",DL183="HH"),"EQH","")))</f>
        <v>EQH</v>
      </c>
      <c r="EI183" s="2" t="str">
        <f aca="false">IF(DX183="","",IF(AND(ABS(DX183)&lt;=0.25,$E183="Bottom",DM183="LL"),"EQL",IF(AND(ABS(DX183)&lt;=0.25,$E183="Peak",DM183="HH"),"EQH","")))</f>
        <v/>
      </c>
      <c r="EJ183" s="2" t="str">
        <f aca="false">IF(DY183="","",IF(AND(ABS(DY183)&lt;=0.25,$E183="Bottom",DN183="LL"),"EQL",IF(AND(ABS(DY183)&lt;=0.25,$E183="Peak",DN183="HH"),"EQH","")))</f>
        <v/>
      </c>
      <c r="EK183" s="2" t="str">
        <f aca="false">IF(DZ183="","",IF(AND(ABS(DZ183)&lt;=0.25,$E183="Bottom",DO183="LL"),"EQL",IF(AND(ABS(DZ183)&lt;=0.25,$E183="Peak",DO183="HH"),"EQH","")))</f>
        <v/>
      </c>
      <c r="EL183" s="2" t="str">
        <f aca="false">IF(EA183="","",IF(AND(ABS(EA183)&lt;=0.25,$E183="Bottom",DP183="LL"),"EQL",IF(AND(ABS(EA183)&lt;=0.25,$E183="Peak",DP183="HH"),"EQH","")))</f>
        <v/>
      </c>
      <c r="EM183" s="2" t="str">
        <f aca="false">IF(EB183="","",IF(AND(ABS(EB183)&lt;=0.25,$E183="Bottom",DQ183="LL"),"EQL",IF(AND(ABS(EB183)&lt;=0.25,$E183="Peak",DQ183="HH"),"EQH","")))</f>
        <v/>
      </c>
      <c r="EN183" s="2" t="str">
        <f aca="false">IF(EC183="","",IF(AND(ABS(EC183)&lt;=0.25,$E183="Bottom",DR183="LL"),"EQL",IF(AND(ABS(EC183)&lt;=0.25,$E183="Peak",DR183="HH"),"EQH","")))</f>
        <v/>
      </c>
      <c r="EO183" s="2" t="str">
        <f aca="false">IF(ED183="","",IF(AND(ABS(ED183)&lt;=0.25,$E183="Bottom",DS183="LL"),"EQL",IF(AND(ABS(ED183)&lt;=0.25,$E183="Peak",DS183="HH"),"EQH","")))</f>
        <v>EQH</v>
      </c>
      <c r="EP183" s="2" t="str">
        <f aca="false">IF(EE183="","",IF(AND(ABS(EE183)&lt;=0.25,$E183="Bottom",DT183="LL"),"EQL",IF(AND(ABS(EE183)&lt;=0.25,$E183="Peak",DT183="HH"),"EQH","")))</f>
        <v/>
      </c>
      <c r="EQ183" s="2" t="str">
        <f aca="false">IF(EF183="","",IF(AND(ABS(EF183)&lt;=0.25,$E183="Bottom",DU183="LL"),"EQL",IF(AND(ABS(EF183)&lt;=0.25,$E183="Peak",DU183="HH"),"EQH","")))</f>
        <v/>
      </c>
      <c r="ER183" s="2" t="str">
        <f aca="false">IF(OR(EG183="EQL",EG183="EQH"),G183,"")</f>
        <v/>
      </c>
      <c r="ES183" s="2" t="n">
        <f aca="false">IF(OR(EH183="EQL",EH183="EQH"),H183,"")</f>
        <v>4543.31</v>
      </c>
      <c r="ET183" s="2" t="str">
        <f aca="false">IF(OR(EI183="EQL",EI183="EQH"),I183,"")</f>
        <v/>
      </c>
      <c r="EU183" s="2" t="str">
        <f aca="false">IF(OR(EJ183="EQL",EJ183="EQH"),J183,"")</f>
        <v/>
      </c>
      <c r="EV183" s="2" t="str">
        <f aca="false">IF(OR(EK183="EQL",EK183="EQH"),K183,"")</f>
        <v/>
      </c>
      <c r="EW183" s="2" t="str">
        <f aca="false">IF(OR(EL183="EQL",EL183="EQH"),L183,"")</f>
        <v/>
      </c>
      <c r="EX183" s="2" t="str">
        <f aca="false">IF(OR(EM183="EQL",EM183="EQH"),M183,"")</f>
        <v/>
      </c>
      <c r="EY183" s="2" t="str">
        <f aca="false">IF(OR(EN183="EQL",EN183="EQH"),N183,"")</f>
        <v/>
      </c>
      <c r="EZ183" s="2" t="n">
        <f aca="false">IF(OR(EO183="EQL",EO183="EQH"),O183,"")</f>
        <v>4540.53</v>
      </c>
      <c r="FA183" s="2" t="str">
        <f aca="false">IF(OR(EP183="EQL",EP183="EQH"),P183,"")</f>
        <v/>
      </c>
      <c r="FB183" s="2" t="str">
        <f aca="false">IF(OR(EQ183="EQL",EQ183="EQH"),Q183,"")</f>
        <v/>
      </c>
      <c r="FC183" s="2" t="str">
        <f aca="false">IF(AND(EG183="EQL",OR(AQ183=4,AQ183=5)),"IEQL",IF(AND(EG183="EQH",OR(AQ183=1,AQ183=2)),"IEQH",""))</f>
        <v/>
      </c>
      <c r="FD183" s="2" t="str">
        <f aca="false">IF(AND(EH183="EQL",OR(AR183=4,AR183=5)),"IEQL",IF(AND(EH183="EQH",OR(AR183=1,AR183=2)),"IEQH",""))</f>
        <v/>
      </c>
      <c r="FE183" s="2" t="str">
        <f aca="false">IF(AND(EI183="EQL",OR(AS183=4,AS183=5)),"IEQL",IF(AND(EI183="EQH",OR(AS183=1,AS183=2)),"IEQH",""))</f>
        <v/>
      </c>
      <c r="FF183" s="2" t="str">
        <f aca="false">IF(AND(EJ183="EQL",OR(AT183=4,AT183=5)),"IEQL",IF(AND(EJ183="EQH",OR(AT183=1,AT183=2)),"IEQH",""))</f>
        <v/>
      </c>
      <c r="FG183" s="2" t="str">
        <f aca="false">IF(AND(EK183="EQL",OR(AU183=4,AU183=5)),"IEQL",IF(AND(EK183="EQH",OR(AU183=1,AU183=2)),"IEQH",""))</f>
        <v/>
      </c>
      <c r="FH183" s="2" t="str">
        <f aca="false">IF(AND(EL183="EQL",OR(AV183=4,AV183=5)),"IEQL",IF(AND(EL183="EQH",OR(AV183=1,AV183=2)),"IEQH",""))</f>
        <v/>
      </c>
      <c r="FI183" s="2" t="str">
        <f aca="false">IF(AND(EM183="EQL",OR(AW183=4,AW183=5)),"IEQL",IF(AND(EM183="EQH",OR(AW183=1,AW183=2)),"IEQH",""))</f>
        <v/>
      </c>
      <c r="FJ183" s="2" t="str">
        <f aca="false">IF(AND(EN183="EQL",OR(AX183=4,AX183=5)),"IEQL",IF(AND(EN183="EQH",OR(AX183=1,AX183=2)),"IEQH",""))</f>
        <v/>
      </c>
      <c r="FK183" s="2" t="str">
        <f aca="false">IF(AND(EO183="EQL",OR(AY183=4,AY183=5)),"IEQL",IF(AND(EO183="EQH",OR(AY183=1,AY183=2)),"IEQH",""))</f>
        <v/>
      </c>
      <c r="FL183" s="2" t="str">
        <f aca="false">IF(AND(EP183="EQL",OR(AZ183=4,AZ183=5)),"IEQL",IF(AND(EP183="EQH",OR(AZ183=1,AZ183=2)),"IEQH",""))</f>
        <v/>
      </c>
      <c r="FM183" s="2" t="str">
        <f aca="false">IF(AND(EQ183="EQL",OR(BA183=4,BA183=5)),"IEQL",IF(AND(EQ183="EQH",OR(BA183=1,BA183=2)),"IEQH",""))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35" activeCellId="0" sqref="F35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10.68"/>
    <col collapsed="false" customWidth="true" hidden="false" outlineLevel="0" max="2" min="2" style="0" width="26.26"/>
    <col collapsed="false" customWidth="true" hidden="false" outlineLevel="0" max="3" min="3" style="0" width="23.89"/>
    <col collapsed="false" customWidth="true" hidden="false" outlineLevel="0" max="4" min="4" style="0" width="17.57"/>
  </cols>
  <sheetData>
    <row r="1" customFormat="false" ht="14.25" hidden="false" customHeight="false" outlineLevel="0" collapsed="false">
      <c r="A1" s="0" t="str">
        <f aca="false">V43_New!A1</f>
        <v>TimeStamp</v>
      </c>
      <c r="B1" s="10" t="s">
        <v>177</v>
      </c>
      <c r="C1" s="10" t="s">
        <v>178</v>
      </c>
      <c r="D1" s="10" t="s">
        <v>179</v>
      </c>
    </row>
    <row r="2" customFormat="false" ht="14.25" hidden="false" customHeight="false" outlineLevel="0" collapsed="false">
      <c r="A2" s="0" t="n">
        <f aca="false">V43_New!A2</f>
        <v>1776246302</v>
      </c>
      <c r="B2" s="11" t="n">
        <f aca="false">IF(A3="","",(A2/86400)+25569)</f>
        <v>46127.4062731482</v>
      </c>
      <c r="C2" s="12" t="n">
        <f aca="false">IFERROR(CEILING(INT(B2*1440)/1440*288,1)/288,"")</f>
        <v>46127.40625</v>
      </c>
      <c r="D2" s="0" t="n">
        <f aca="false">IFERROR(MROUND((C2-25569)*86400,300),"")</f>
        <v>1776246300</v>
      </c>
    </row>
    <row r="3" customFormat="false" ht="14.25" hidden="false" customHeight="false" outlineLevel="0" collapsed="false">
      <c r="A3" s="0" t="n">
        <f aca="false">V43_New!A3</f>
        <v>1776262502</v>
      </c>
      <c r="B3" s="11" t="n">
        <f aca="false">IF(A4="","",(A3/86400)+25569)</f>
        <v>46127.5937731482</v>
      </c>
      <c r="C3" s="12" t="n">
        <f aca="false">IFERROR(CEILING(INT(B3*1440)/1440*288,1)/288,"")</f>
        <v>46127.59375</v>
      </c>
      <c r="D3" s="0" t="n">
        <f aca="false">IFERROR(MROUND((C3-25569)*86400,300),"")</f>
        <v>1776262500</v>
      </c>
    </row>
    <row r="4" customFormat="false" ht="14.25" hidden="false" customHeight="false" outlineLevel="0" collapsed="false">
      <c r="A4" s="0" t="n">
        <f aca="false">V43_New!A4</f>
        <v>1776267002</v>
      </c>
      <c r="B4" s="11" t="n">
        <f aca="false">IF(A5="","",(A4/86400)+25569)</f>
        <v>46127.6458564815</v>
      </c>
      <c r="C4" s="12" t="n">
        <f aca="false">IFERROR(CEILING(INT(B4*1440)/1440*288,1)/288,"")</f>
        <v>46127.6458333333</v>
      </c>
      <c r="D4" s="0" t="n">
        <f aca="false">IFERROR(MROUND((C4-25569)*86400,300),"")</f>
        <v>1776267000</v>
      </c>
    </row>
    <row r="5" customFormat="false" ht="14.25" hidden="false" customHeight="false" outlineLevel="0" collapsed="false">
      <c r="A5" s="0" t="n">
        <f aca="false">V43_New!A5</f>
        <v>1776315602</v>
      </c>
      <c r="B5" s="11" t="n">
        <f aca="false">IF(A6="","",(A5/86400)+25569)</f>
        <v>46128.2083564815</v>
      </c>
      <c r="C5" s="12" t="n">
        <f aca="false">IFERROR(CEILING(INT(B5*1440)/1440*288,1)/288,"")</f>
        <v>46128.2083333333</v>
      </c>
      <c r="D5" s="0" t="n">
        <f aca="false">IFERROR(MROUND((C5-25569)*86400,300),"")</f>
        <v>1776315600</v>
      </c>
    </row>
    <row r="6" customFormat="false" ht="14.25" hidden="false" customHeight="false" outlineLevel="0" collapsed="false">
      <c r="A6" s="0" t="n">
        <f aca="false">V43_New!A6</f>
        <v>1776335402</v>
      </c>
      <c r="B6" s="11" t="n">
        <f aca="false">IF(A7="","",(A6/86400)+25569)</f>
        <v>46128.4375231482</v>
      </c>
      <c r="C6" s="12" t="n">
        <f aca="false">IFERROR(CEILING(INT(B6*1440)/1440*288,1)/288,"")</f>
        <v>46128.4375</v>
      </c>
      <c r="D6" s="0" t="n">
        <f aca="false">IFERROR(MROUND((C6-25569)*86400,300),"")</f>
        <v>1776335400</v>
      </c>
    </row>
    <row r="7" customFormat="false" ht="14.25" hidden="false" customHeight="false" outlineLevel="0" collapsed="false">
      <c r="A7" s="0" t="n">
        <f aca="false">V43_New!A7</f>
        <v>1776346202</v>
      </c>
      <c r="B7" s="11" t="n">
        <f aca="false">IF(A8="","",(A7/86400)+25569)</f>
        <v>46128.5625231482</v>
      </c>
      <c r="C7" s="12" t="n">
        <f aca="false">IFERROR(CEILING(INT(B7*1440)/1440*288,1)/288,"")</f>
        <v>46128.5625</v>
      </c>
      <c r="D7" s="0" t="n">
        <f aca="false">IFERROR(MROUND((C7-25569)*86400,300),"")</f>
        <v>1776346200</v>
      </c>
    </row>
    <row r="8" customFormat="false" ht="14.25" hidden="false" customHeight="false" outlineLevel="0" collapsed="false">
      <c r="A8" s="0" t="n">
        <f aca="false">V43_New!A8</f>
        <v>1776349802</v>
      </c>
      <c r="B8" s="11" t="n">
        <f aca="false">IF(A9="","",(A8/86400)+25569)</f>
        <v>46128.6041898148</v>
      </c>
      <c r="C8" s="12" t="n">
        <f aca="false">IFERROR(CEILING(INT(B8*1440)/1440*288,1)/288,"")</f>
        <v>46128.6041666667</v>
      </c>
      <c r="D8" s="0" t="n">
        <f aca="false">IFERROR(MROUND((C8-25569)*86400,300),"")</f>
        <v>1776349800</v>
      </c>
    </row>
    <row r="9" customFormat="false" ht="14.25" hidden="false" customHeight="false" outlineLevel="0" collapsed="false">
      <c r="A9" s="0" t="n">
        <f aca="false">V43_New!A9</f>
        <v>1776368702</v>
      </c>
      <c r="B9" s="11" t="n">
        <f aca="false">IF(A10="","",(A9/86400)+25569)</f>
        <v>46128.8229398148</v>
      </c>
      <c r="C9" s="12" t="n">
        <f aca="false">IFERROR(CEILING(INT(B9*1440)/1440*288,1)/288,"")</f>
        <v>46128.8229166667</v>
      </c>
      <c r="D9" s="0" t="n">
        <f aca="false">IFERROR(MROUND((C9-25569)*86400,300),"")</f>
        <v>1776368700</v>
      </c>
    </row>
    <row r="10" customFormat="false" ht="14.25" hidden="false" customHeight="false" outlineLevel="0" collapsed="false">
      <c r="A10" s="0" t="n">
        <f aca="false">V43_New!A10</f>
        <v>1776384002</v>
      </c>
      <c r="B10" s="11" t="n">
        <f aca="false">IF(A11="","",(A10/86400)+25569)</f>
        <v>46129.0000231482</v>
      </c>
      <c r="C10" s="12" t="n">
        <f aca="false">IFERROR(CEILING(INT(B10*1440)/1440*288,1)/288,"")</f>
        <v>46129</v>
      </c>
      <c r="D10" s="0" t="n">
        <f aca="false">IFERROR(MROUND((C10-25569)*86400,300),"")</f>
        <v>1776384000</v>
      </c>
    </row>
    <row r="11" customFormat="false" ht="14.25" hidden="false" customHeight="false" outlineLevel="0" collapsed="false">
      <c r="A11" s="0" t="n">
        <f aca="false">V43_New!A11</f>
        <v>1776386702</v>
      </c>
      <c r="B11" s="11" t="n">
        <f aca="false">IF(A12="","",(A11/86400)+25569)</f>
        <v>46129.0312731482</v>
      </c>
      <c r="C11" s="12" t="n">
        <f aca="false">IFERROR(CEILING(INT(B11*1440)/1440*288,1)/288,"")</f>
        <v>46129.03125</v>
      </c>
      <c r="D11" s="0" t="n">
        <f aca="false">IFERROR(MROUND((C11-25569)*86400,300),"")</f>
        <v>1776386700</v>
      </c>
    </row>
    <row r="12" customFormat="false" ht="14.25" hidden="false" customHeight="false" outlineLevel="0" collapsed="false">
      <c r="A12" s="0" t="n">
        <f aca="false">V43_New!A12</f>
        <v>1776389402</v>
      </c>
      <c r="B12" s="11" t="n">
        <f aca="false">IF(A13="","",(A12/86400)+25569)</f>
        <v>46129.0625231482</v>
      </c>
      <c r="C12" s="12" t="n">
        <f aca="false">IFERROR(CEILING(INT(B12*1440)/1440*288,1)/288,"")</f>
        <v>46129.0625</v>
      </c>
      <c r="D12" s="0" t="n">
        <f aca="false">IFERROR(MROUND((C12-25569)*86400,300),"")</f>
        <v>1776389400</v>
      </c>
    </row>
    <row r="13" customFormat="false" ht="14.25" hidden="false" customHeight="false" outlineLevel="0" collapsed="false">
      <c r="A13" s="0" t="n">
        <f aca="false">V43_New!A13</f>
        <v>1776402002</v>
      </c>
      <c r="B13" s="11" t="n">
        <f aca="false">IF(A14="","",(A13/86400)+25569)</f>
        <v>46129.2083564815</v>
      </c>
      <c r="C13" s="12" t="n">
        <f aca="false">IFERROR(CEILING(INT(B13*1440)/1440*288,1)/288,"")</f>
        <v>46129.2083333333</v>
      </c>
      <c r="D13" s="0" t="n">
        <f aca="false">IFERROR(MROUND((C13-25569)*86400,300),"")</f>
        <v>1776402000</v>
      </c>
    </row>
    <row r="14" customFormat="false" ht="14.25" hidden="false" customHeight="false" outlineLevel="0" collapsed="false">
      <c r="A14" s="0" t="n">
        <f aca="false">V43_New!A14</f>
        <v>1776411902</v>
      </c>
      <c r="B14" s="11" t="n">
        <f aca="false">IF(A15="","",(A14/86400)+25569)</f>
        <v>46129.3229398148</v>
      </c>
      <c r="C14" s="12" t="n">
        <f aca="false">IFERROR(CEILING(INT(B14*1440)/1440*288,1)/288,"")</f>
        <v>46129.3229166667</v>
      </c>
      <c r="D14" s="0" t="n">
        <f aca="false">IFERROR(MROUND((C14-25569)*86400,300),"")</f>
        <v>1776411900</v>
      </c>
    </row>
    <row r="15" customFormat="false" ht="14.25" hidden="false" customHeight="false" outlineLevel="0" collapsed="false">
      <c r="A15" s="0" t="n">
        <f aca="false">V43_New!A15</f>
        <v>1776430802</v>
      </c>
      <c r="B15" s="11" t="n">
        <f aca="false">IF(A16="","",(A15/86400)+25569)</f>
        <v>46129.5416898148</v>
      </c>
      <c r="C15" s="12" t="n">
        <f aca="false">IFERROR(CEILING(INT(B15*1440)/1440*288,1)/288,"")</f>
        <v>46129.5416666667</v>
      </c>
      <c r="D15" s="0" t="n">
        <f aca="false">IFERROR(MROUND((C15-25569)*86400,300),"")</f>
        <v>1776430800</v>
      </c>
    </row>
    <row r="16" customFormat="false" ht="14.25" hidden="false" customHeight="false" outlineLevel="0" collapsed="false">
      <c r="A16" s="0" t="n">
        <f aca="false">V43_New!A16</f>
        <v>1776642302</v>
      </c>
      <c r="B16" s="11" t="n">
        <f aca="false">IF(A17="","",(A16/86400)+25569)</f>
        <v>46131.9896064815</v>
      </c>
      <c r="C16" s="12" t="n">
        <f aca="false">IFERROR(CEILING(INT(B16*1440)/1440*288,1)/288,"")</f>
        <v>46131.9895833333</v>
      </c>
      <c r="D16" s="0" t="n">
        <f aca="false">IFERROR(MROUND((C16-25569)*86400,300),"")</f>
        <v>1776642300</v>
      </c>
    </row>
    <row r="17" customFormat="false" ht="14.25" hidden="false" customHeight="false" outlineLevel="0" collapsed="false">
      <c r="A17" s="0" t="n">
        <f aca="false">V43_New!A17</f>
        <v>1776649502</v>
      </c>
      <c r="B17" s="11" t="n">
        <f aca="false">IF(A18="","",(A17/86400)+25569)</f>
        <v>46132.0729398148</v>
      </c>
      <c r="C17" s="12" t="n">
        <f aca="false">IFERROR(CEILING(INT(B17*1440)/1440*288,1)/288,"")</f>
        <v>46132.0729166667</v>
      </c>
      <c r="D17" s="0" t="n">
        <f aca="false">IFERROR(MROUND((C17-25569)*86400,300),"")</f>
        <v>1776649500</v>
      </c>
    </row>
    <row r="18" customFormat="false" ht="14.25" hidden="false" customHeight="false" outlineLevel="0" collapsed="false">
      <c r="A18" s="0" t="n">
        <f aca="false">V43_New!A18</f>
        <v>1776663002</v>
      </c>
      <c r="B18" s="11" t="n">
        <f aca="false">IF(A19="","",(A18/86400)+25569)</f>
        <v>46132.2291898148</v>
      </c>
      <c r="C18" s="12" t="n">
        <f aca="false">IFERROR(CEILING(INT(B18*1440)/1440*288,1)/288,"")</f>
        <v>46132.2291666667</v>
      </c>
      <c r="D18" s="0" t="n">
        <f aca="false">IFERROR(MROUND((C18-25569)*86400,300),"")</f>
        <v>1776663000</v>
      </c>
    </row>
    <row r="19" customFormat="false" ht="14.25" hidden="false" customHeight="false" outlineLevel="0" collapsed="false">
      <c r="A19" s="0" t="n">
        <f aca="false">V43_New!A19</f>
        <v>1776669302</v>
      </c>
      <c r="B19" s="11" t="n">
        <f aca="false">IF(A20="","",(A19/86400)+25569)</f>
        <v>46132.3021064815</v>
      </c>
      <c r="C19" s="12" t="n">
        <f aca="false">IFERROR(CEILING(INT(B19*1440)/1440*288,1)/288,"")</f>
        <v>46132.3020833333</v>
      </c>
      <c r="D19" s="0" t="n">
        <f aca="false">IFERROR(MROUND((C19-25569)*86400,300),"")</f>
        <v>1776669300</v>
      </c>
    </row>
    <row r="20" customFormat="false" ht="14.25" hidden="false" customHeight="false" outlineLevel="0" collapsed="false">
      <c r="A20" s="0" t="n">
        <f aca="false">V43_New!A20</f>
        <v>1776677402</v>
      </c>
      <c r="B20" s="11" t="n">
        <f aca="false">IF(A21="","",(A20/86400)+25569)</f>
        <v>46132.3958564815</v>
      </c>
      <c r="C20" s="12" t="n">
        <f aca="false">IFERROR(CEILING(INT(B20*1440)/1440*288,1)/288,"")</f>
        <v>46132.3958333333</v>
      </c>
      <c r="D20" s="0" t="n">
        <f aca="false">IFERROR(MROUND((C20-25569)*86400,300),"")</f>
        <v>1776677400</v>
      </c>
    </row>
    <row r="21" customFormat="false" ht="14.25" hidden="false" customHeight="false" outlineLevel="0" collapsed="false">
      <c r="A21" s="0" t="n">
        <f aca="false">V43_New!A21</f>
        <v>1776695402</v>
      </c>
      <c r="B21" s="11" t="n">
        <f aca="false">IF(A22="","",(A21/86400)+25569)</f>
        <v>46132.6041898148</v>
      </c>
      <c r="C21" s="12" t="n">
        <f aca="false">IFERROR(CEILING(INT(B21*1440)/1440*288,1)/288,"")</f>
        <v>46132.6041666667</v>
      </c>
      <c r="D21" s="0" t="n">
        <f aca="false">IFERROR(MROUND((C21-25569)*86400,300),"")</f>
        <v>1776695400</v>
      </c>
    </row>
    <row r="22" customFormat="false" ht="14.25" hidden="false" customHeight="false" outlineLevel="0" collapsed="false">
      <c r="A22" s="0" t="n">
        <f aca="false">V43_New!A22</f>
        <v>1776696302</v>
      </c>
      <c r="B22" s="11" t="n">
        <f aca="false">IF(A23="","",(A22/86400)+25569)</f>
        <v>46132.6146064815</v>
      </c>
      <c r="C22" s="12" t="n">
        <f aca="false">IFERROR(CEILING(INT(B22*1440)/1440*288,1)/288,"")</f>
        <v>46132.6145833333</v>
      </c>
      <c r="D22" s="0" t="n">
        <f aca="false">IFERROR(MROUND((C22-25569)*86400,300),"")</f>
        <v>1776696300</v>
      </c>
    </row>
    <row r="23" customFormat="false" ht="14.25" hidden="false" customHeight="false" outlineLevel="0" collapsed="false">
      <c r="A23" s="0" t="n">
        <f aca="false">V43_New!A23</f>
        <v>1776723302</v>
      </c>
      <c r="B23" s="11" t="n">
        <f aca="false">IF(A24="","",(A23/86400)+25569)</f>
        <v>46132.9271064815</v>
      </c>
      <c r="C23" s="12" t="n">
        <f aca="false">IFERROR(CEILING(INT(B23*1440)/1440*288,1)/288,"")</f>
        <v>46132.9270833333</v>
      </c>
      <c r="D23" s="0" t="n">
        <f aca="false">IFERROR(MROUND((C23-25569)*86400,300),"")</f>
        <v>1776723300</v>
      </c>
    </row>
    <row r="24" customFormat="false" ht="14.25" hidden="false" customHeight="false" outlineLevel="0" collapsed="false">
      <c r="A24" s="0" t="n">
        <f aca="false">V43_New!A24</f>
        <v>1776754802</v>
      </c>
      <c r="B24" s="11" t="n">
        <f aca="false">IF(A25="","",(A24/86400)+25569)</f>
        <v>46133.2916898148</v>
      </c>
      <c r="C24" s="12" t="n">
        <f aca="false">IFERROR(CEILING(INT(B24*1440)/1440*288,1)/288,"")</f>
        <v>46133.2916666667</v>
      </c>
      <c r="D24" s="0" t="n">
        <f aca="false">IFERROR(MROUND((C24-25569)*86400,300),"")</f>
        <v>1776754800</v>
      </c>
    </row>
    <row r="25" customFormat="false" ht="14.25" hidden="false" customHeight="false" outlineLevel="0" collapsed="false">
      <c r="A25" s="0" t="n">
        <f aca="false">V43_New!A25</f>
        <v>1776771902</v>
      </c>
      <c r="B25" s="11" t="n">
        <f aca="false">IF(A26="","",(A25/86400)+25569)</f>
        <v>46133.4896064815</v>
      </c>
      <c r="C25" s="12" t="n">
        <f aca="false">IFERROR(CEILING(INT(B25*1440)/1440*288,1)/288,"")</f>
        <v>46133.4895833333</v>
      </c>
      <c r="D25" s="0" t="n">
        <f aca="false">IFERROR(MROUND((C25-25569)*86400,300),"")</f>
        <v>1776771900</v>
      </c>
    </row>
    <row r="26" customFormat="false" ht="14.25" hidden="false" customHeight="false" outlineLevel="0" collapsed="false">
      <c r="A26" s="0" t="n">
        <f aca="false">V43_New!A26</f>
        <v>1776799802</v>
      </c>
      <c r="B26" s="11" t="n">
        <f aca="false">IF(A27="","",(A26/86400)+25569)</f>
        <v>46133.8125231482</v>
      </c>
      <c r="C26" s="12" t="n">
        <f aca="false">IFERROR(CEILING(INT(B26*1440)/1440*288,1)/288,"")</f>
        <v>46133.8125</v>
      </c>
      <c r="D26" s="0" t="n">
        <f aca="false">IFERROR(MROUND((C26-25569)*86400,300),"")</f>
        <v>1776799800</v>
      </c>
    </row>
    <row r="27" customFormat="false" ht="14.25" hidden="false" customHeight="false" outlineLevel="0" collapsed="false">
      <c r="A27" s="0" t="n">
        <f aca="false">V43_New!A27</f>
        <v>1776841202</v>
      </c>
      <c r="B27" s="11" t="n">
        <f aca="false">IF(A28="","",(A27/86400)+25569)</f>
        <v>46134.2916898148</v>
      </c>
      <c r="C27" s="12" t="n">
        <f aca="false">IFERROR(CEILING(INT(B27*1440)/1440*288,1)/288,"")</f>
        <v>46134.2916666667</v>
      </c>
      <c r="D27" s="0" t="n">
        <f aca="false">IFERROR(MROUND((C27-25569)*86400,300),"")</f>
        <v>1776841200</v>
      </c>
    </row>
    <row r="28" customFormat="false" ht="14.25" hidden="false" customHeight="false" outlineLevel="0" collapsed="false">
      <c r="A28" s="0" t="n">
        <f aca="false">V43_New!A28</f>
        <v>1776875402</v>
      </c>
      <c r="B28" s="11" t="n">
        <f aca="false">IF(A29="","",(A28/86400)+25569)</f>
        <v>46134.6875231482</v>
      </c>
      <c r="C28" s="12" t="n">
        <f aca="false">IFERROR(CEILING(INT(B28*1440)/1440*288,1)/288,"")</f>
        <v>46134.6875</v>
      </c>
      <c r="D28" s="0" t="n">
        <f aca="false">IFERROR(MROUND((C28-25569)*86400,300),"")</f>
        <v>1776875400</v>
      </c>
    </row>
    <row r="29" customFormat="false" ht="14.25" hidden="false" customHeight="false" outlineLevel="0" collapsed="false">
      <c r="A29" s="0" t="n">
        <f aca="false">V43_New!A29</f>
        <v>1776883502</v>
      </c>
      <c r="B29" s="11" t="n">
        <f aca="false">IF(A30="","",(A29/86400)+25569)</f>
        <v>46134.7812731482</v>
      </c>
      <c r="C29" s="12" t="n">
        <f aca="false">IFERROR(CEILING(INT(B29*1440)/1440*288,1)/288,"")</f>
        <v>46134.78125</v>
      </c>
      <c r="D29" s="0" t="n">
        <f aca="false">IFERROR(MROUND((C29-25569)*86400,300),"")</f>
        <v>1776883500</v>
      </c>
    </row>
    <row r="30" customFormat="false" ht="14.25" hidden="false" customHeight="false" outlineLevel="0" collapsed="false">
      <c r="A30" s="0" t="n">
        <f aca="false">V43_New!A30</f>
        <v>1776903302</v>
      </c>
      <c r="B30" s="11" t="n">
        <f aca="false">IF(A31="","",(A30/86400)+25569)</f>
        <v>46135.0104398148</v>
      </c>
      <c r="C30" s="12" t="n">
        <f aca="false">IFERROR(CEILING(INT(B30*1440)/1440*288,1)/288,"")</f>
        <v>46135.0104166667</v>
      </c>
      <c r="D30" s="0" t="n">
        <f aca="false">IFERROR(MROUND((C30-25569)*86400,300),"")</f>
        <v>1776903300</v>
      </c>
    </row>
    <row r="31" customFormat="false" ht="14.25" hidden="false" customHeight="false" outlineLevel="0" collapsed="false">
      <c r="A31" s="0" t="n">
        <f aca="false">V43_New!A31</f>
        <v>1776905102</v>
      </c>
      <c r="B31" s="11" t="n">
        <f aca="false">IF(A32="","",(A31/86400)+25569)</f>
        <v>46135.0312731482</v>
      </c>
      <c r="C31" s="12" t="n">
        <f aca="false">IFERROR(CEILING(INT(B31*1440)/1440*288,1)/288,"")</f>
        <v>46135.03125</v>
      </c>
      <c r="D31" s="0" t="n">
        <f aca="false">IFERROR(MROUND((C31-25569)*86400,300),"")</f>
        <v>1776905100</v>
      </c>
    </row>
    <row r="32" customFormat="false" ht="14.25" hidden="false" customHeight="false" outlineLevel="0" collapsed="false">
      <c r="A32" s="0" t="n">
        <f aca="false">V43_New!A32</f>
        <v>1776922202</v>
      </c>
      <c r="B32" s="11" t="n">
        <f aca="false">IF(A33="","",(A32/86400)+25569)</f>
        <v>46135.2291898148</v>
      </c>
      <c r="C32" s="12" t="n">
        <f aca="false">IFERROR(CEILING(INT(B32*1440)/1440*288,1)/288,"")</f>
        <v>46135.2291666667</v>
      </c>
      <c r="D32" s="0" t="n">
        <f aca="false">IFERROR(MROUND((C32-25569)*86400,300),"")</f>
        <v>1776922200</v>
      </c>
    </row>
    <row r="33" customFormat="false" ht="14.25" hidden="false" customHeight="false" outlineLevel="0" collapsed="false">
      <c r="A33" s="0" t="n">
        <f aca="false">V43_New!A33</f>
        <v>1776931202</v>
      </c>
      <c r="B33" s="11" t="n">
        <f aca="false">IF(A34="","",(A33/86400)+25569)</f>
        <v>46135.3333564815</v>
      </c>
      <c r="C33" s="12" t="n">
        <f aca="false">IFERROR(CEILING(INT(B33*1440)/1440*288,1)/288,"")</f>
        <v>46135.3333333333</v>
      </c>
      <c r="D33" s="0" t="n">
        <f aca="false">IFERROR(MROUND((C33-25569)*86400,300),"")</f>
        <v>1776931200</v>
      </c>
    </row>
    <row r="34" customFormat="false" ht="14.25" hidden="false" customHeight="false" outlineLevel="0" collapsed="false">
      <c r="A34" s="0" t="n">
        <f aca="false">V43_New!A34</f>
        <v>1776940202</v>
      </c>
      <c r="B34" s="11" t="n">
        <f aca="false">IF(A35="","",(A34/86400)+25569)</f>
        <v>46135.4375231482</v>
      </c>
      <c r="C34" s="12" t="n">
        <f aca="false">IFERROR(CEILING(INT(B34*1440)/1440*288,1)/288,"")</f>
        <v>46135.4375</v>
      </c>
      <c r="D34" s="0" t="n">
        <f aca="false">IFERROR(MROUND((C34-25569)*86400,300),"")</f>
        <v>1776940200</v>
      </c>
    </row>
    <row r="35" customFormat="false" ht="14.25" hidden="false" customHeight="false" outlineLevel="0" collapsed="false">
      <c r="A35" s="0" t="n">
        <f aca="false">V43_New!A35</f>
        <v>1776948302</v>
      </c>
      <c r="B35" s="11" t="n">
        <f aca="false">IF(A36="","",(A35/86400)+25569)</f>
        <v>46135.5312731482</v>
      </c>
      <c r="C35" s="12" t="n">
        <f aca="false">IFERROR(CEILING(INT(B35*1440)/1440*288,1)/288,"")</f>
        <v>46135.53125</v>
      </c>
      <c r="D35" s="0" t="n">
        <f aca="false">IFERROR(MROUND((C35-25569)*86400,300),"")</f>
        <v>1776948300</v>
      </c>
    </row>
    <row r="36" customFormat="false" ht="14.25" hidden="false" customHeight="false" outlineLevel="0" collapsed="false">
      <c r="A36" s="0" t="n">
        <f aca="false">V43_New!A36</f>
        <v>1776966302</v>
      </c>
      <c r="B36" s="11" t="n">
        <f aca="false">IF(A37="","",(A36/86400)+25569)</f>
        <v>46135.7396064815</v>
      </c>
      <c r="C36" s="12" t="n">
        <f aca="false">IFERROR(CEILING(INT(B36*1440)/1440*288,1)/288,"")</f>
        <v>46135.7395833333</v>
      </c>
      <c r="D36" s="0" t="n">
        <f aca="false">IFERROR(MROUND((C36-25569)*86400,300),"")</f>
        <v>1776966300</v>
      </c>
    </row>
    <row r="37" customFormat="false" ht="14.25" hidden="false" customHeight="false" outlineLevel="0" collapsed="false">
      <c r="A37" s="0" t="n">
        <f aca="false">V43_New!A37</f>
        <v>1776993302</v>
      </c>
      <c r="B37" s="11" t="n">
        <f aca="false">IF(A38="","",(A37/86400)+25569)</f>
        <v>46136.0521064815</v>
      </c>
      <c r="C37" s="12" t="n">
        <f aca="false">IFERROR(CEILING(INT(B37*1440)/1440*288,1)/288,"")</f>
        <v>46136.0520833333</v>
      </c>
      <c r="D37" s="0" t="n">
        <f aca="false">IFERROR(MROUND((C37-25569)*86400,300),"")</f>
        <v>1776993300</v>
      </c>
    </row>
    <row r="38" customFormat="false" ht="14.25" hidden="false" customHeight="false" outlineLevel="0" collapsed="false">
      <c r="A38" s="0" t="n">
        <f aca="false">V43_New!A38</f>
        <v>1777005002</v>
      </c>
      <c r="B38" s="11" t="n">
        <f aca="false">IF(A39="","",(A38/86400)+25569)</f>
        <v>46136.1875231482</v>
      </c>
      <c r="C38" s="12" t="n">
        <f aca="false">IFERROR(CEILING(INT(B38*1440)/1440*288,1)/288,"")</f>
        <v>46136.1875</v>
      </c>
      <c r="D38" s="0" t="n">
        <f aca="false">IFERROR(MROUND((C38-25569)*86400,300),"")</f>
        <v>1777005000</v>
      </c>
    </row>
    <row r="39" customFormat="false" ht="14.25" hidden="false" customHeight="false" outlineLevel="0" collapsed="false">
      <c r="A39" s="0" t="n">
        <f aca="false">V43_New!A39</f>
        <v>1777018502</v>
      </c>
      <c r="B39" s="11" t="n">
        <f aca="false">IF(A40="","",(A39/86400)+25569)</f>
        <v>46136.3437731482</v>
      </c>
      <c r="C39" s="12" t="n">
        <f aca="false">IFERROR(CEILING(INT(B39*1440)/1440*288,1)/288,"")</f>
        <v>46136.34375</v>
      </c>
      <c r="D39" s="0" t="n">
        <f aca="false">IFERROR(MROUND((C39-25569)*86400,300),"")</f>
        <v>1777018500</v>
      </c>
    </row>
    <row r="40" customFormat="false" ht="14.25" hidden="false" customHeight="false" outlineLevel="0" collapsed="false">
      <c r="A40" s="0" t="n">
        <f aca="false">V43_New!A40</f>
        <v>1777026602</v>
      </c>
      <c r="B40" s="11" t="n">
        <f aca="false">IF(A41="","",(A40/86400)+25569)</f>
        <v>46136.4375231482</v>
      </c>
      <c r="C40" s="12" t="n">
        <f aca="false">IFERROR(CEILING(INT(B40*1440)/1440*288,1)/288,"")</f>
        <v>46136.4375</v>
      </c>
      <c r="D40" s="0" t="n">
        <f aca="false">IFERROR(MROUND((C40-25569)*86400,300),"")</f>
        <v>1777026600</v>
      </c>
    </row>
    <row r="41" customFormat="false" ht="14.25" hidden="false" customHeight="false" outlineLevel="0" collapsed="false">
      <c r="A41" s="0" t="n">
        <f aca="false">V43_New!A41</f>
        <v>1777039202</v>
      </c>
      <c r="B41" s="11" t="n">
        <f aca="false">IF(A42="","",(A41/86400)+25569)</f>
        <v>46136.5833564815</v>
      </c>
      <c r="C41" s="12" t="n">
        <f aca="false">IFERROR(CEILING(INT(B41*1440)/1440*288,1)/288,"")</f>
        <v>46136.5833333333</v>
      </c>
      <c r="D41" s="0" t="n">
        <f aca="false">IFERROR(MROUND((C41-25569)*86400,300),"")</f>
        <v>1777039200</v>
      </c>
    </row>
    <row r="42" customFormat="false" ht="14.25" hidden="false" customHeight="false" outlineLevel="0" collapsed="false">
      <c r="A42" s="0" t="n">
        <f aca="false">V43_New!A42</f>
        <v>1777248002</v>
      </c>
      <c r="B42" s="11" t="n">
        <f aca="false">IF(A43="","",(A42/86400)+25569)</f>
        <v>46139.0000231482</v>
      </c>
      <c r="C42" s="12" t="n">
        <f aca="false">IFERROR(CEILING(INT(B42*1440)/1440*288,1)/288,"")</f>
        <v>46139</v>
      </c>
      <c r="D42" s="0" t="n">
        <f aca="false">IFERROR(MROUND((C42-25569)*86400,300),"")</f>
        <v>1777248000</v>
      </c>
    </row>
    <row r="43" customFormat="false" ht="14.25" hidden="false" customHeight="false" outlineLevel="0" collapsed="false">
      <c r="A43" s="0" t="n">
        <f aca="false">V43_New!A43</f>
        <v>1777264202</v>
      </c>
      <c r="B43" s="11" t="n">
        <f aca="false">IF(A44="","",(A43/86400)+25569)</f>
        <v>46139.1875231482</v>
      </c>
      <c r="C43" s="12" t="n">
        <f aca="false">IFERROR(CEILING(INT(B43*1440)/1440*288,1)/288,"")</f>
        <v>46139.1875</v>
      </c>
      <c r="D43" s="0" t="n">
        <f aca="false">IFERROR(MROUND((C43-25569)*86400,300),"")</f>
        <v>1777264200</v>
      </c>
    </row>
    <row r="44" customFormat="false" ht="14.25" hidden="false" customHeight="false" outlineLevel="0" collapsed="false">
      <c r="A44" s="0" t="n">
        <f aca="false">V43_New!A44</f>
        <v>1777282202</v>
      </c>
      <c r="B44" s="11" t="n">
        <f aca="false">IF(A45="","",(A44/86400)+25569)</f>
        <v>46139.3958564815</v>
      </c>
      <c r="C44" s="12" t="n">
        <f aca="false">IFERROR(CEILING(INT(B44*1440)/1440*288,1)/288,"")</f>
        <v>46139.3958333333</v>
      </c>
      <c r="D44" s="0" t="n">
        <f aca="false">IFERROR(MROUND((C44-25569)*86400,300),"")</f>
        <v>1777282200</v>
      </c>
    </row>
    <row r="45" customFormat="false" ht="14.25" hidden="false" customHeight="false" outlineLevel="0" collapsed="false">
      <c r="A45" s="0" t="n">
        <f aca="false">V43_New!A45</f>
        <v>1777292102</v>
      </c>
      <c r="B45" s="11" t="n">
        <f aca="false">IF(A46="","",(A45/86400)+25569)</f>
        <v>46139.5104398148</v>
      </c>
      <c r="C45" s="12" t="n">
        <f aca="false">IFERROR(CEILING(INT(B45*1440)/1440*288,1)/288,"")</f>
        <v>46139.5104166667</v>
      </c>
      <c r="D45" s="0" t="n">
        <f aca="false">IFERROR(MROUND((C45-25569)*86400,300),"")</f>
        <v>1777292100</v>
      </c>
    </row>
    <row r="46" customFormat="false" ht="14.25" hidden="false" customHeight="false" outlineLevel="0" collapsed="false">
      <c r="A46" s="0" t="n">
        <f aca="false">V43_New!A46</f>
        <v>1777302002</v>
      </c>
      <c r="B46" s="11" t="n">
        <f aca="false">IF(A47="","",(A46/86400)+25569)</f>
        <v>46139.6250231482</v>
      </c>
      <c r="C46" s="12" t="n">
        <f aca="false">IFERROR(CEILING(INT(B46*1440)/1440*288,1)/288,"")</f>
        <v>46139.625</v>
      </c>
      <c r="D46" s="0" t="n">
        <f aca="false">IFERROR(MROUND((C46-25569)*86400,300),"")</f>
        <v>1777302000</v>
      </c>
    </row>
    <row r="47" customFormat="false" ht="14.25" hidden="false" customHeight="false" outlineLevel="0" collapsed="false">
      <c r="A47" s="0" t="n">
        <f aca="false">V43_New!A47</f>
        <v>1777334402</v>
      </c>
      <c r="B47" s="11" t="n">
        <f aca="false">IF(A48="","",(A47/86400)+25569)</f>
        <v>46140.0000231482</v>
      </c>
      <c r="C47" s="12" t="n">
        <f aca="false">IFERROR(CEILING(INT(B47*1440)/1440*288,1)/288,"")</f>
        <v>46140</v>
      </c>
      <c r="D47" s="0" t="n">
        <f aca="false">IFERROR(MROUND((C47-25569)*86400,300),"")</f>
        <v>1777334400</v>
      </c>
    </row>
    <row r="48" customFormat="false" ht="14.25" hidden="false" customHeight="false" outlineLevel="0" collapsed="false">
      <c r="A48" s="0" t="n">
        <f aca="false">V43_New!A48</f>
        <v>1777377602</v>
      </c>
      <c r="B48" s="11" t="n">
        <f aca="false">IF(A49="","",(A48/86400)+25569)</f>
        <v>46140.5000231482</v>
      </c>
      <c r="C48" s="12" t="n">
        <f aca="false">IFERROR(CEILING(INT(B48*1440)/1440*288,1)/288,"")</f>
        <v>46140.5</v>
      </c>
      <c r="D48" s="0" t="n">
        <f aca="false">IFERROR(MROUND((C48-25569)*86400,300),"")</f>
        <v>1777377600</v>
      </c>
    </row>
    <row r="49" customFormat="false" ht="14.25" hidden="false" customHeight="false" outlineLevel="0" collapsed="false">
      <c r="A49" s="0" t="n">
        <f aca="false">V43_New!A49</f>
        <v>1777397402</v>
      </c>
      <c r="B49" s="11" t="n">
        <f aca="false">IF(A50="","",(A49/86400)+25569)</f>
        <v>46140.7291898148</v>
      </c>
      <c r="C49" s="12" t="n">
        <f aca="false">IFERROR(CEILING(INT(B49*1440)/1440*288,1)/288,"")</f>
        <v>46140.7291666667</v>
      </c>
      <c r="D49" s="0" t="n">
        <f aca="false">IFERROR(MROUND((C49-25569)*86400,300),"")</f>
        <v>1777397400</v>
      </c>
    </row>
    <row r="50" customFormat="false" ht="14.25" hidden="false" customHeight="false" outlineLevel="0" collapsed="false">
      <c r="A50" s="0" t="n">
        <f aca="false">V43_New!A50</f>
        <v>1777419002</v>
      </c>
      <c r="B50" s="11" t="n">
        <f aca="false">IF(A51="","",(A50/86400)+25569)</f>
        <v>46140.9791898148</v>
      </c>
      <c r="C50" s="12" t="n">
        <f aca="false">IFERROR(CEILING(INT(B50*1440)/1440*288,1)/288,"")</f>
        <v>46140.9791666667</v>
      </c>
      <c r="D50" s="0" t="n">
        <f aca="false">IFERROR(MROUND((C50-25569)*86400,300),"")</f>
        <v>1777419000</v>
      </c>
    </row>
    <row r="51" customFormat="false" ht="14.25" hidden="false" customHeight="false" outlineLevel="0" collapsed="false">
      <c r="A51" s="0" t="n">
        <f aca="false">V43_New!A51</f>
        <v>1777420802</v>
      </c>
      <c r="B51" s="11" t="n">
        <f aca="false">IF(A52="","",(A51/86400)+25569)</f>
        <v>46141.0000231482</v>
      </c>
      <c r="C51" s="12" t="n">
        <f aca="false">IFERROR(CEILING(INT(B51*1440)/1440*288,1)/288,"")</f>
        <v>46141</v>
      </c>
      <c r="D51" s="0" t="n">
        <f aca="false">IFERROR(MROUND((C51-25569)*86400,300),"")</f>
        <v>1777420800</v>
      </c>
    </row>
    <row r="52" customFormat="false" ht="14.25" hidden="false" customHeight="false" outlineLevel="0" collapsed="false">
      <c r="A52" s="0" t="n">
        <f aca="false">V43_New!A52</f>
        <v>1777424402</v>
      </c>
      <c r="B52" s="11" t="n">
        <f aca="false">IF(A53="","",(A52/86400)+25569)</f>
        <v>46141.0416898148</v>
      </c>
      <c r="C52" s="12" t="n">
        <f aca="false">IFERROR(CEILING(INT(B52*1440)/1440*288,1)/288,"")</f>
        <v>46141.0416666667</v>
      </c>
      <c r="D52" s="0" t="n">
        <f aca="false">IFERROR(MROUND((C52-25569)*86400,300),"")</f>
        <v>1777424400</v>
      </c>
    </row>
    <row r="53" customFormat="false" ht="14.25" hidden="false" customHeight="false" outlineLevel="0" collapsed="false">
      <c r="A53" s="0" t="n">
        <f aca="false">V43_New!A53</f>
        <v>1777438802</v>
      </c>
      <c r="B53" s="11" t="n">
        <f aca="false">IF(A54="","",(A53/86400)+25569)</f>
        <v>46141.2083564815</v>
      </c>
      <c r="C53" s="12" t="n">
        <f aca="false">IFERROR(CEILING(INT(B53*1440)/1440*288,1)/288,"")</f>
        <v>46141.2083333333</v>
      </c>
      <c r="D53" s="0" t="n">
        <f aca="false">IFERROR(MROUND((C53-25569)*86400,300),"")</f>
        <v>1777438800</v>
      </c>
    </row>
    <row r="54" customFormat="false" ht="14.25" hidden="false" customHeight="false" outlineLevel="0" collapsed="false">
      <c r="A54" s="0" t="n">
        <f aca="false">V43_New!A54</f>
        <v>1777470302</v>
      </c>
      <c r="B54" s="11" t="n">
        <f aca="false">IF(A55="","",(A54/86400)+25569)</f>
        <v>46141.5729398148</v>
      </c>
      <c r="C54" s="12" t="n">
        <f aca="false">IFERROR(CEILING(INT(B54*1440)/1440*288,1)/288,"")</f>
        <v>46141.5729166667</v>
      </c>
      <c r="D54" s="0" t="n">
        <f aca="false">IFERROR(MROUND((C54-25569)*86400,300),"")</f>
        <v>1777470300</v>
      </c>
    </row>
    <row r="55" customFormat="false" ht="14.25" hidden="false" customHeight="false" outlineLevel="0" collapsed="false">
      <c r="A55" s="0" t="n">
        <f aca="false">V43_New!A55</f>
        <v>1777478402</v>
      </c>
      <c r="B55" s="11" t="n">
        <f aca="false">IF(A56="","",(A55/86400)+25569)</f>
        <v>46141.6666898148</v>
      </c>
      <c r="C55" s="12" t="n">
        <f aca="false">IFERROR(CEILING(INT(B55*1440)/1440*288,1)/288,"")</f>
        <v>46141.6666666667</v>
      </c>
      <c r="D55" s="0" t="n">
        <f aca="false">IFERROR(MROUND((C55-25569)*86400,300),"")</f>
        <v>1777478400</v>
      </c>
    </row>
    <row r="56" customFormat="false" ht="14.25" hidden="false" customHeight="false" outlineLevel="0" collapsed="false">
      <c r="A56" s="0" t="n">
        <f aca="false">V43_New!A56</f>
        <v>1777488302</v>
      </c>
      <c r="B56" s="11" t="n">
        <f aca="false">IF(A57="","",(A56/86400)+25569)</f>
        <v>46141.7812731482</v>
      </c>
      <c r="C56" s="12" t="n">
        <f aca="false">IFERROR(CEILING(INT(B56*1440)/1440*288,1)/288,"")</f>
        <v>46141.78125</v>
      </c>
      <c r="D56" s="0" t="n">
        <f aca="false">IFERROR(MROUND((C56-25569)*86400,300),"")</f>
        <v>1777488300</v>
      </c>
    </row>
    <row r="57" customFormat="false" ht="14.25" hidden="false" customHeight="false" outlineLevel="0" collapsed="false">
      <c r="A57" s="0" t="n">
        <f aca="false">V43_New!A57</f>
        <v>1777513502</v>
      </c>
      <c r="B57" s="11" t="n">
        <f aca="false">IF(A58="","",(A57/86400)+25569)</f>
        <v>46142.0729398148</v>
      </c>
      <c r="C57" s="12" t="n">
        <f aca="false">IFERROR(CEILING(INT(B57*1440)/1440*288,1)/288,"")</f>
        <v>46142.0729166667</v>
      </c>
      <c r="D57" s="0" t="n">
        <f aca="false">IFERROR(MROUND((C57-25569)*86400,300),"")</f>
        <v>1777513500</v>
      </c>
    </row>
    <row r="58" customFormat="false" ht="14.25" hidden="false" customHeight="false" outlineLevel="0" collapsed="false">
      <c r="A58" s="0" t="n">
        <f aca="false">V43_New!A58</f>
        <v>1777523402</v>
      </c>
      <c r="B58" s="11" t="n">
        <f aca="false">IF(A59="","",(A58/86400)+25569)</f>
        <v>46142.1875231482</v>
      </c>
      <c r="C58" s="12" t="n">
        <f aca="false">IFERROR(CEILING(INT(B58*1440)/1440*288,1)/288,"")</f>
        <v>46142.1875</v>
      </c>
      <c r="D58" s="0" t="n">
        <f aca="false">IFERROR(MROUND((C58-25569)*86400,300),"")</f>
        <v>1777523400</v>
      </c>
    </row>
    <row r="59" customFormat="false" ht="14.25" hidden="false" customHeight="false" outlineLevel="0" collapsed="false">
      <c r="A59" s="0" t="n">
        <f aca="false">V43_New!A59</f>
        <v>1777545002</v>
      </c>
      <c r="B59" s="11" t="n">
        <f aca="false">IF(A60="","",(A59/86400)+25569)</f>
        <v>46142.4375231482</v>
      </c>
      <c r="C59" s="12" t="n">
        <f aca="false">IFERROR(CEILING(INT(B59*1440)/1440*288,1)/288,"")</f>
        <v>46142.4375</v>
      </c>
      <c r="D59" s="0" t="n">
        <f aca="false">IFERROR(MROUND((C59-25569)*86400,300),"")</f>
        <v>1777545000</v>
      </c>
    </row>
    <row r="60" customFormat="false" ht="14.25" hidden="false" customHeight="false" outlineLevel="0" collapsed="false">
      <c r="A60" s="0" t="n">
        <f aca="false">V43_New!A60</f>
        <v>1777567502</v>
      </c>
      <c r="B60" s="11" t="n">
        <f aca="false">IF(A61="","",(A60/86400)+25569)</f>
        <v>46142.6979398148</v>
      </c>
      <c r="C60" s="12" t="n">
        <f aca="false">IFERROR(CEILING(INT(B60*1440)/1440*288,1)/288,"")</f>
        <v>46142.6979166667</v>
      </c>
      <c r="D60" s="0" t="n">
        <f aca="false">IFERROR(MROUND((C60-25569)*86400,300),"")</f>
        <v>1777567500</v>
      </c>
    </row>
    <row r="61" customFormat="false" ht="14.25" hidden="false" customHeight="false" outlineLevel="0" collapsed="false">
      <c r="A61" s="0" t="n">
        <f aca="false">V43_New!A61</f>
        <v>1777591802</v>
      </c>
      <c r="B61" s="11" t="n">
        <f aca="false">IF(A62="","",(A61/86400)+25569)</f>
        <v>46142.9791898148</v>
      </c>
      <c r="C61" s="12" t="n">
        <f aca="false">IFERROR(CEILING(INT(B61*1440)/1440*288,1)/288,"")</f>
        <v>46142.9791666667</v>
      </c>
      <c r="D61" s="0" t="n">
        <f aca="false">IFERROR(MROUND((C61-25569)*86400,300),"")</f>
        <v>1777591800</v>
      </c>
    </row>
    <row r="62" customFormat="false" ht="14.25" hidden="false" customHeight="false" outlineLevel="0" collapsed="false">
      <c r="A62" s="0" t="n">
        <f aca="false">V43_New!A62</f>
        <v>1777598102</v>
      </c>
      <c r="B62" s="11" t="n">
        <f aca="false">IF(A63="","",(A62/86400)+25569)</f>
        <v>46143.0521064815</v>
      </c>
      <c r="C62" s="12" t="n">
        <f aca="false">IFERROR(CEILING(INT(B62*1440)/1440*288,1)/288,"")</f>
        <v>46143.0520833333</v>
      </c>
      <c r="D62" s="0" t="n">
        <f aca="false">IFERROR(MROUND((C62-25569)*86400,300),"")</f>
        <v>1777598100</v>
      </c>
    </row>
    <row r="63" customFormat="false" ht="14.25" hidden="false" customHeight="false" outlineLevel="0" collapsed="false">
      <c r="A63" s="0" t="n">
        <f aca="false">V43_New!A63</f>
        <v>1777601702</v>
      </c>
      <c r="B63" s="11" t="n">
        <f aca="false">IF(A64="","",(A63/86400)+25569)</f>
        <v>46143.0937731482</v>
      </c>
      <c r="C63" s="12" t="n">
        <f aca="false">IFERROR(CEILING(INT(B63*1440)/1440*288,1)/288,"")</f>
        <v>46143.09375</v>
      </c>
      <c r="D63" s="0" t="n">
        <f aca="false">IFERROR(MROUND((C63-25569)*86400,300),"")</f>
        <v>1777601700</v>
      </c>
    </row>
    <row r="64" customFormat="false" ht="14.25" hidden="false" customHeight="false" outlineLevel="0" collapsed="false">
      <c r="A64" s="0" t="n">
        <f aca="false">V43_New!A64</f>
        <v>1777628702</v>
      </c>
      <c r="B64" s="11" t="n">
        <f aca="false">IF(A65="","",(A64/86400)+25569)</f>
        <v>46143.4062731482</v>
      </c>
      <c r="C64" s="12" t="n">
        <f aca="false">IFERROR(CEILING(INT(B64*1440)/1440*288,1)/288,"")</f>
        <v>46143.40625</v>
      </c>
      <c r="D64" s="0" t="n">
        <f aca="false">IFERROR(MROUND((C64-25569)*86400,300),"")</f>
        <v>1777628700</v>
      </c>
    </row>
    <row r="65" customFormat="false" ht="14.25" hidden="false" customHeight="false" outlineLevel="0" collapsed="false">
      <c r="A65" s="0" t="n">
        <f aca="false">V43_New!A65</f>
        <v>1777644902</v>
      </c>
      <c r="B65" s="11" t="n">
        <f aca="false">IF(A66="","",(A65/86400)+25569)</f>
        <v>46143.5937731482</v>
      </c>
      <c r="C65" s="12" t="n">
        <f aca="false">IFERROR(CEILING(INT(B65*1440)/1440*288,1)/288,"")</f>
        <v>46143.59375</v>
      </c>
      <c r="D65" s="0" t="n">
        <f aca="false">IFERROR(MROUND((C65-25569)*86400,300),"")</f>
        <v>1777644900</v>
      </c>
    </row>
    <row r="66" customFormat="false" ht="14.25" hidden="false" customHeight="false" outlineLevel="0" collapsed="false">
      <c r="A66" s="0" t="n">
        <f aca="false">V43_New!A66</f>
        <v>1777665602</v>
      </c>
      <c r="B66" s="11" t="n">
        <f aca="false">IF(A67="","",(A66/86400)+25569)</f>
        <v>46143.8333564815</v>
      </c>
      <c r="C66" s="12" t="n">
        <f aca="false">IFERROR(CEILING(INT(B66*1440)/1440*288,1)/288,"")</f>
        <v>46143.8333333333</v>
      </c>
      <c r="D66" s="0" t="n">
        <f aca="false">IFERROR(MROUND((C66-25569)*86400,300),"")</f>
        <v>1777665600</v>
      </c>
    </row>
    <row r="67" customFormat="false" ht="14.25" hidden="false" customHeight="false" outlineLevel="0" collapsed="false">
      <c r="A67" s="0" t="n">
        <f aca="false">V43_New!A67</f>
        <v>1777845602</v>
      </c>
      <c r="B67" s="11" t="n">
        <f aca="false">IF(A68="","",(A67/86400)+25569)</f>
        <v>46145.9166898148</v>
      </c>
      <c r="C67" s="12" t="n">
        <f aca="false">IFERROR(CEILING(INT(B67*1440)/1440*288,1)/288,"")</f>
        <v>46145.9166666667</v>
      </c>
      <c r="D67" s="0" t="n">
        <f aca="false">IFERROR(MROUND((C67-25569)*86400,300),"")</f>
        <v>1777845600</v>
      </c>
    </row>
    <row r="68" customFormat="false" ht="14.25" hidden="false" customHeight="false" outlineLevel="0" collapsed="false">
      <c r="A68" s="0" t="n">
        <f aca="false">V43_New!A68</f>
        <v>1777858202</v>
      </c>
      <c r="B68" s="11" t="n">
        <f aca="false">IF(A69="","",(A68/86400)+25569)</f>
        <v>46146.0625231482</v>
      </c>
      <c r="C68" s="12" t="n">
        <f aca="false">IFERROR(CEILING(INT(B68*1440)/1440*288,1)/288,"")</f>
        <v>46146.0625</v>
      </c>
      <c r="D68" s="0" t="n">
        <f aca="false">IFERROR(MROUND((C68-25569)*86400,300),"")</f>
        <v>1777858200</v>
      </c>
    </row>
    <row r="69" customFormat="false" ht="14.25" hidden="false" customHeight="false" outlineLevel="0" collapsed="false">
      <c r="A69" s="0" t="n">
        <f aca="false">V43_New!A69</f>
        <v>1777860002</v>
      </c>
      <c r="B69" s="11" t="n">
        <f aca="false">IF(A70="","",(A69/86400)+25569)</f>
        <v>46146.0833564815</v>
      </c>
      <c r="C69" s="12" t="n">
        <f aca="false">IFERROR(CEILING(INT(B69*1440)/1440*288,1)/288,"")</f>
        <v>46146.0833333333</v>
      </c>
      <c r="D69" s="0" t="n">
        <f aca="false">IFERROR(MROUND((C69-25569)*86400,300),"")</f>
        <v>1777860000</v>
      </c>
    </row>
    <row r="70" customFormat="false" ht="14.25" hidden="false" customHeight="false" outlineLevel="0" collapsed="false">
      <c r="A70" s="0" t="n">
        <f aca="false">V43_New!A70</f>
        <v>1777889702</v>
      </c>
      <c r="B70" s="11" t="n">
        <f aca="false">IF(A71="","",(A70/86400)+25569)</f>
        <v>46146.4271064815</v>
      </c>
      <c r="C70" s="12" t="n">
        <f aca="false">IFERROR(CEILING(INT(B70*1440)/1440*288,1)/288,"")</f>
        <v>46146.4270833333</v>
      </c>
      <c r="D70" s="0" t="n">
        <f aca="false">IFERROR(MROUND((C70-25569)*86400,300),"")</f>
        <v>1777889700</v>
      </c>
    </row>
    <row r="71" customFormat="false" ht="14.25" hidden="false" customHeight="false" outlineLevel="0" collapsed="false">
      <c r="A71" s="0" t="n">
        <f aca="false">V43_New!A71</f>
        <v>1777905002</v>
      </c>
      <c r="B71" s="11" t="n">
        <f aca="false">IF(A72="","",(A71/86400)+25569)</f>
        <v>46146.6041898148</v>
      </c>
      <c r="C71" s="12" t="n">
        <f aca="false">IFERROR(CEILING(INT(B71*1440)/1440*288,1)/288,"")</f>
        <v>46146.6041666667</v>
      </c>
      <c r="D71" s="0" t="n">
        <f aca="false">IFERROR(MROUND((C71-25569)*86400,300),"")</f>
        <v>1777905000</v>
      </c>
    </row>
    <row r="72" customFormat="false" ht="14.25" hidden="false" customHeight="false" outlineLevel="0" collapsed="false">
      <c r="A72" s="0" t="n">
        <f aca="false">V43_New!A72</f>
        <v>1777910402</v>
      </c>
      <c r="B72" s="11" t="n">
        <f aca="false">IF(A73="","",(A72/86400)+25569)</f>
        <v>46146.6666898148</v>
      </c>
      <c r="C72" s="12" t="n">
        <f aca="false">IFERROR(CEILING(INT(B72*1440)/1440*288,1)/288,"")</f>
        <v>46146.6666666667</v>
      </c>
      <c r="D72" s="0" t="n">
        <f aca="false">IFERROR(MROUND((C72-25569)*86400,300),"")</f>
        <v>1777910400</v>
      </c>
    </row>
    <row r="73" customFormat="false" ht="14.25" hidden="false" customHeight="false" outlineLevel="0" collapsed="false">
      <c r="A73" s="0" t="n">
        <f aca="false">V43_New!A73</f>
        <v>1777939202</v>
      </c>
      <c r="B73" s="11" t="n">
        <f aca="false">IF(A74="","",(A73/86400)+25569)</f>
        <v>46147.0000231482</v>
      </c>
      <c r="C73" s="12" t="n">
        <f aca="false">IFERROR(CEILING(INT(B73*1440)/1440*288,1)/288,"")</f>
        <v>46147</v>
      </c>
      <c r="D73" s="0" t="n">
        <f aca="false">IFERROR(MROUND((C73-25569)*86400,300),"")</f>
        <v>1777939200</v>
      </c>
    </row>
    <row r="74" customFormat="false" ht="14.25" hidden="false" customHeight="false" outlineLevel="0" collapsed="false">
      <c r="A74" s="0" t="n">
        <f aca="false">V43_New!A74</f>
        <v>1777940102</v>
      </c>
      <c r="B74" s="11" t="n">
        <f aca="false">IF(A75="","",(A74/86400)+25569)</f>
        <v>46147.0104398148</v>
      </c>
      <c r="C74" s="12" t="n">
        <f aca="false">IFERROR(CEILING(INT(B74*1440)/1440*288,1)/288,"")</f>
        <v>46147.0104166667</v>
      </c>
      <c r="D74" s="0" t="n">
        <f aca="false">IFERROR(MROUND((C74-25569)*86400,300),"")</f>
        <v>1777940100</v>
      </c>
    </row>
    <row r="75" customFormat="false" ht="14.25" hidden="false" customHeight="false" outlineLevel="0" collapsed="false">
      <c r="A75" s="0" t="n">
        <f aca="false">V43_New!A75</f>
        <v>1777949102</v>
      </c>
      <c r="B75" s="11" t="n">
        <f aca="false">IF(A76="","",(A75/86400)+25569)</f>
        <v>46147.1146064815</v>
      </c>
      <c r="C75" s="12" t="n">
        <f aca="false">IFERROR(CEILING(INT(B75*1440)/1440*288,1)/288,"")</f>
        <v>46147.1145833333</v>
      </c>
      <c r="D75" s="0" t="n">
        <f aca="false">IFERROR(MROUND((C75-25569)*86400,300),"")</f>
        <v>1777949100</v>
      </c>
    </row>
    <row r="76" customFormat="false" ht="14.25" hidden="false" customHeight="false" outlineLevel="0" collapsed="false">
      <c r="A76" s="0" t="n">
        <f aca="false">V43_New!A76</f>
        <v>1777955402</v>
      </c>
      <c r="B76" s="11" t="n">
        <f aca="false">IF(A77="","",(A76/86400)+25569)</f>
        <v>46147.1875231482</v>
      </c>
      <c r="C76" s="12" t="n">
        <f aca="false">IFERROR(CEILING(INT(B76*1440)/1440*288,1)/288,"")</f>
        <v>46147.1875</v>
      </c>
      <c r="D76" s="0" t="n">
        <f aca="false">IFERROR(MROUND((C76-25569)*86400,300),"")</f>
        <v>1777955400</v>
      </c>
    </row>
    <row r="77" customFormat="false" ht="14.25" hidden="false" customHeight="false" outlineLevel="0" collapsed="false">
      <c r="A77" s="0" t="n">
        <f aca="false">V43_New!A77</f>
        <v>1777971602</v>
      </c>
      <c r="B77" s="11" t="n">
        <f aca="false">IF(A78="","",(A77/86400)+25569)</f>
        <v>46147.3750231482</v>
      </c>
      <c r="C77" s="12" t="n">
        <f aca="false">IFERROR(CEILING(INT(B77*1440)/1440*288,1)/288,"")</f>
        <v>46147.375</v>
      </c>
      <c r="D77" s="0" t="n">
        <f aca="false">IFERROR(MROUND((C77-25569)*86400,300),"")</f>
        <v>1777971600</v>
      </c>
    </row>
    <row r="78" customFormat="false" ht="14.25" hidden="false" customHeight="false" outlineLevel="0" collapsed="false">
      <c r="A78" s="0" t="n">
        <f aca="false">V43_New!A78</f>
        <v>1777978802</v>
      </c>
      <c r="B78" s="11" t="n">
        <f aca="false">IF(A79="","",(A78/86400)+25569)</f>
        <v>46147.4583564815</v>
      </c>
      <c r="C78" s="12" t="n">
        <f aca="false">IFERROR(CEILING(INT(B78*1440)/1440*288,1)/288,"")</f>
        <v>46147.4583333333</v>
      </c>
      <c r="D78" s="0" t="n">
        <f aca="false">IFERROR(MROUND((C78-25569)*86400,300),"")</f>
        <v>1777978800</v>
      </c>
    </row>
    <row r="79" customFormat="false" ht="14.25" hidden="false" customHeight="false" outlineLevel="0" collapsed="false">
      <c r="A79" s="0" t="n">
        <f aca="false">V43_New!A79</f>
        <v>1777990502</v>
      </c>
      <c r="B79" s="11" t="n">
        <f aca="false">IF(A80="","",(A79/86400)+25569)</f>
        <v>46147.5937731482</v>
      </c>
      <c r="C79" s="12" t="n">
        <f aca="false">IFERROR(CEILING(INT(B79*1440)/1440*288,1)/288,"")</f>
        <v>46147.59375</v>
      </c>
      <c r="D79" s="0" t="n">
        <f aca="false">IFERROR(MROUND((C79-25569)*86400,300),"")</f>
        <v>1777990500</v>
      </c>
    </row>
    <row r="80" customFormat="false" ht="14.25" hidden="false" customHeight="false" outlineLevel="0" collapsed="false">
      <c r="A80" s="0" t="n">
        <f aca="false">V43_New!A80</f>
        <v>1778020202</v>
      </c>
      <c r="B80" s="11" t="n">
        <f aca="false">IF(A81="","",(A80/86400)+25569)</f>
        <v>46147.9375231482</v>
      </c>
      <c r="C80" s="12" t="n">
        <f aca="false">IFERROR(CEILING(INT(B80*1440)/1440*288,1)/288,"")</f>
        <v>46147.9375</v>
      </c>
      <c r="D80" s="0" t="n">
        <f aca="false">IFERROR(MROUND((C80-25569)*86400,300),"")</f>
        <v>1778020200</v>
      </c>
    </row>
    <row r="81" customFormat="false" ht="14.25" hidden="false" customHeight="false" outlineLevel="0" collapsed="false">
      <c r="A81" s="0" t="n">
        <f aca="false">V43_New!A81</f>
        <v>1778064302</v>
      </c>
      <c r="B81" s="11" t="n">
        <f aca="false">IF(A82="","",(A81/86400)+25569)</f>
        <v>46148.4479398148</v>
      </c>
      <c r="C81" s="12" t="n">
        <f aca="false">IFERROR(CEILING(INT(B81*1440)/1440*288,1)/288,"")</f>
        <v>46148.4479166667</v>
      </c>
      <c r="D81" s="0" t="n">
        <f aca="false">IFERROR(MROUND((C81-25569)*86400,300),"")</f>
        <v>1778064300</v>
      </c>
    </row>
    <row r="82" customFormat="false" ht="14.25" hidden="false" customHeight="false" outlineLevel="0" collapsed="false">
      <c r="A82" s="0" t="n">
        <f aca="false">V43_New!A82</f>
        <v>1778069702</v>
      </c>
      <c r="B82" s="11" t="n">
        <f aca="false">IF(A83="","",(A82/86400)+25569)</f>
        <v>46148.5104398148</v>
      </c>
      <c r="C82" s="12" t="n">
        <f aca="false">IFERROR(CEILING(INT(B82*1440)/1440*288,1)/288,"")</f>
        <v>46148.5104166667</v>
      </c>
      <c r="D82" s="0" t="n">
        <f aca="false">IFERROR(MROUND((C82-25569)*86400,300),"")</f>
        <v>1778069700</v>
      </c>
    </row>
    <row r="83" customFormat="false" ht="14.25" hidden="false" customHeight="false" outlineLevel="0" collapsed="false">
      <c r="A83" s="0" t="n">
        <f aca="false">V43_New!A83</f>
        <v>1778076902</v>
      </c>
      <c r="B83" s="11" t="n">
        <f aca="false">IF(A84="","",(A83/86400)+25569)</f>
        <v>46148.5937731482</v>
      </c>
      <c r="C83" s="12" t="n">
        <f aca="false">IFERROR(CEILING(INT(B83*1440)/1440*288,1)/288,"")</f>
        <v>46148.59375</v>
      </c>
      <c r="D83" s="0" t="n">
        <f aca="false">IFERROR(MROUND((C83-25569)*86400,300),"")</f>
        <v>1778076900</v>
      </c>
    </row>
    <row r="84" customFormat="false" ht="14.25" hidden="false" customHeight="false" outlineLevel="0" collapsed="false">
      <c r="A84" s="0" t="n">
        <f aca="false">V43_New!A84</f>
        <v>1778088602</v>
      </c>
      <c r="B84" s="11" t="n">
        <f aca="false">IF(A85="","",(A84/86400)+25569)</f>
        <v>46148.7291898148</v>
      </c>
      <c r="C84" s="12" t="n">
        <f aca="false">IFERROR(CEILING(INT(B84*1440)/1440*288,1)/288,"")</f>
        <v>46148.7291666667</v>
      </c>
      <c r="D84" s="0" t="n">
        <f aca="false">IFERROR(MROUND((C84-25569)*86400,300),"")</f>
        <v>1778088600</v>
      </c>
    </row>
    <row r="85" customFormat="false" ht="14.25" hidden="false" customHeight="false" outlineLevel="0" collapsed="false">
      <c r="A85" s="0" t="n">
        <f aca="false">V43_New!A85</f>
        <v>1778112902</v>
      </c>
      <c r="B85" s="11" t="n">
        <f aca="false">IF(A86="","",(A85/86400)+25569)</f>
        <v>46149.0104398148</v>
      </c>
      <c r="C85" s="12" t="n">
        <f aca="false">IFERROR(CEILING(INT(B85*1440)/1440*288,1)/288,"")</f>
        <v>46149.0104166667</v>
      </c>
      <c r="D85" s="0" t="n">
        <f aca="false">IFERROR(MROUND((C85-25569)*86400,300),"")</f>
        <v>1778112900</v>
      </c>
    </row>
    <row r="86" customFormat="false" ht="14.25" hidden="false" customHeight="false" outlineLevel="0" collapsed="false">
      <c r="A86" s="0" t="n">
        <f aca="false">V43_New!A86</f>
        <v>1778114702</v>
      </c>
      <c r="B86" s="11" t="n">
        <f aca="false">IF(A87="","",(A86/86400)+25569)</f>
        <v>46149.0312731482</v>
      </c>
      <c r="C86" s="12" t="n">
        <f aca="false">IFERROR(CEILING(INT(B86*1440)/1440*288,1)/288,"")</f>
        <v>46149.03125</v>
      </c>
      <c r="D86" s="0" t="n">
        <f aca="false">IFERROR(MROUND((C86-25569)*86400,300),"")</f>
        <v>1778114700</v>
      </c>
    </row>
    <row r="87" customFormat="false" ht="14.25" hidden="false" customHeight="false" outlineLevel="0" collapsed="false">
      <c r="A87" s="0" t="n">
        <f aca="false">V43_New!A87</f>
        <v>1778118302</v>
      </c>
      <c r="B87" s="11" t="n">
        <f aca="false">IF(A88="","",(A87/86400)+25569)</f>
        <v>46149.0729398148</v>
      </c>
      <c r="C87" s="12" t="n">
        <f aca="false">IFERROR(CEILING(INT(B87*1440)/1440*288,1)/288,"")</f>
        <v>46149.0729166667</v>
      </c>
      <c r="D87" s="0" t="n">
        <f aca="false">IFERROR(MROUND((C87-25569)*86400,300),"")</f>
        <v>1778118300</v>
      </c>
    </row>
    <row r="88" customFormat="false" ht="14.25" hidden="false" customHeight="false" outlineLevel="0" collapsed="false">
      <c r="A88" s="0" t="n">
        <f aca="false">V43_New!A88</f>
        <v>1778128202</v>
      </c>
      <c r="B88" s="11" t="n">
        <f aca="false">IF(A89="","",(A88/86400)+25569)</f>
        <v>46149.1875231482</v>
      </c>
      <c r="C88" s="12" t="n">
        <f aca="false">IFERROR(CEILING(INT(B88*1440)/1440*288,1)/288,"")</f>
        <v>46149.1875</v>
      </c>
      <c r="D88" s="0" t="n">
        <f aca="false">IFERROR(MROUND((C88-25569)*86400,300),"")</f>
        <v>1778128200</v>
      </c>
    </row>
    <row r="89" customFormat="false" ht="14.25" hidden="false" customHeight="false" outlineLevel="0" collapsed="false">
      <c r="A89" s="0" t="n">
        <f aca="false">V43_New!A89</f>
        <v>1778166002</v>
      </c>
      <c r="B89" s="11" t="n">
        <f aca="false">IF(A90="","",(A89/86400)+25569)</f>
        <v>46149.6250231482</v>
      </c>
      <c r="C89" s="12" t="n">
        <f aca="false">IFERROR(CEILING(INT(B89*1440)/1440*288,1)/288,"")</f>
        <v>46149.625</v>
      </c>
      <c r="D89" s="0" t="n">
        <f aca="false">IFERROR(MROUND((C89-25569)*86400,300),"")</f>
        <v>1778166000</v>
      </c>
    </row>
    <row r="90" customFormat="false" ht="14.25" hidden="false" customHeight="false" outlineLevel="0" collapsed="false">
      <c r="A90" s="0" t="n">
        <f aca="false">V43_New!A90</f>
        <v>1778191202</v>
      </c>
      <c r="B90" s="11" t="n">
        <f aca="false">IF(A91="","",(A90/86400)+25569)</f>
        <v>46149.9166898148</v>
      </c>
      <c r="C90" s="12" t="n">
        <f aca="false">IFERROR(CEILING(INT(B90*1440)/1440*288,1)/288,"")</f>
        <v>46149.9166666667</v>
      </c>
      <c r="D90" s="0" t="n">
        <f aca="false">IFERROR(MROUND((C90-25569)*86400,300),"")</f>
        <v>1778191200</v>
      </c>
    </row>
    <row r="91" customFormat="false" ht="14.25" hidden="false" customHeight="false" outlineLevel="0" collapsed="false">
      <c r="A91" s="0" t="n">
        <f aca="false">V43_New!A91</f>
        <v>1778220902</v>
      </c>
      <c r="B91" s="11" t="n">
        <f aca="false">IF(A92="","",(A91/86400)+25569)</f>
        <v>46150.2604398148</v>
      </c>
      <c r="C91" s="12" t="n">
        <f aca="false">IFERROR(CEILING(INT(B91*1440)/1440*288,1)/288,"")</f>
        <v>46150.2604166667</v>
      </c>
      <c r="D91" s="0" t="n">
        <f aca="false">IFERROR(MROUND((C91-25569)*86400,300),"")</f>
        <v>1778220900</v>
      </c>
    </row>
    <row r="92" customFormat="false" ht="14.25" hidden="false" customHeight="false" outlineLevel="0" collapsed="false">
      <c r="A92" s="0" t="n">
        <f aca="false">V43_New!A92</f>
        <v>1778224502</v>
      </c>
      <c r="B92" s="11" t="n">
        <f aca="false">IF(A93="","",(A92/86400)+25569)</f>
        <v>46150.3021064815</v>
      </c>
      <c r="C92" s="12" t="n">
        <f aca="false">IFERROR(CEILING(INT(B92*1440)/1440*288,1)/288,"")</f>
        <v>46150.3020833333</v>
      </c>
      <c r="D92" s="0" t="n">
        <f aca="false">IFERROR(MROUND((C92-25569)*86400,300),"")</f>
        <v>1778224500</v>
      </c>
    </row>
    <row r="93" customFormat="false" ht="14.25" hidden="false" customHeight="false" outlineLevel="0" collapsed="false">
      <c r="A93" s="0" t="n">
        <f aca="false">V43_New!A93</f>
        <v>1778236202</v>
      </c>
      <c r="B93" s="11" t="n">
        <f aca="false">IF(A94="","",(A93/86400)+25569)</f>
        <v>46150.4375231482</v>
      </c>
      <c r="C93" s="12" t="n">
        <f aca="false">IFERROR(CEILING(INT(B93*1440)/1440*288,1)/288,"")</f>
        <v>46150.4375</v>
      </c>
      <c r="D93" s="0" t="n">
        <f aca="false">IFERROR(MROUND((C93-25569)*86400,300),"")</f>
        <v>1778236200</v>
      </c>
    </row>
    <row r="94" customFormat="false" ht="14.25" hidden="false" customHeight="false" outlineLevel="0" collapsed="false">
      <c r="A94" s="0" t="n">
        <f aca="false">V43_New!A94</f>
        <v>1778242502</v>
      </c>
      <c r="B94" s="11" t="n">
        <f aca="false">IF(A95="","",(A94/86400)+25569)</f>
        <v>46150.5104398148</v>
      </c>
      <c r="C94" s="12" t="n">
        <f aca="false">IFERROR(CEILING(INT(B94*1440)/1440*288,1)/288,"")</f>
        <v>46150.5104166667</v>
      </c>
      <c r="D94" s="0" t="n">
        <f aca="false">IFERROR(MROUND((C94-25569)*86400,300),"")</f>
        <v>1778242500</v>
      </c>
    </row>
    <row r="95" customFormat="false" ht="14.25" hidden="false" customHeight="false" outlineLevel="0" collapsed="false">
      <c r="A95" s="0" t="n">
        <f aca="false">V43_New!A95</f>
        <v>1778248802</v>
      </c>
      <c r="B95" s="11" t="n">
        <f aca="false">IF(A96="","",(A95/86400)+25569)</f>
        <v>46150.5833564815</v>
      </c>
      <c r="C95" s="12" t="n">
        <f aca="false">IFERROR(CEILING(INT(B95*1440)/1440*288,1)/288,"")</f>
        <v>46150.5833333333</v>
      </c>
      <c r="D95" s="0" t="n">
        <f aca="false">IFERROR(MROUND((C95-25569)*86400,300),"")</f>
        <v>1778248800</v>
      </c>
    </row>
    <row r="96" customFormat="false" ht="14.25" hidden="false" customHeight="false" outlineLevel="0" collapsed="false">
      <c r="A96" s="0" t="n">
        <f aca="false">V43_New!A96</f>
        <v>1778255102</v>
      </c>
      <c r="B96" s="11" t="n">
        <f aca="false">IF(A97="","",(A96/86400)+25569)</f>
        <v>46150.6562731482</v>
      </c>
      <c r="C96" s="12" t="n">
        <f aca="false">IFERROR(CEILING(INT(B96*1440)/1440*288,1)/288,"")</f>
        <v>46150.65625</v>
      </c>
      <c r="D96" s="0" t="n">
        <f aca="false">IFERROR(MROUND((C96-25569)*86400,300),"")</f>
        <v>1778255100</v>
      </c>
    </row>
    <row r="97" customFormat="false" ht="14.25" hidden="false" customHeight="false" outlineLevel="0" collapsed="false">
      <c r="A97" s="0" t="n">
        <f aca="false">V43_New!A97</f>
        <v>1778264102</v>
      </c>
      <c r="B97" s="11" t="n">
        <f aca="false">IF(A98="","",(A97/86400)+25569)</f>
        <v>46150.7604398148</v>
      </c>
      <c r="C97" s="12" t="n">
        <f aca="false">IFERROR(CEILING(INT(B97*1440)/1440*288,1)/288,"")</f>
        <v>46150.7604166667</v>
      </c>
      <c r="D97" s="0" t="n">
        <f aca="false">IFERROR(MROUND((C97-25569)*86400,300),"")</f>
        <v>1778264100</v>
      </c>
    </row>
    <row r="98" customFormat="false" ht="14.25" hidden="false" customHeight="false" outlineLevel="0" collapsed="false">
      <c r="A98" s="0" t="n">
        <f aca="false">V43_New!A98</f>
        <v>1778460302</v>
      </c>
      <c r="B98" s="11" t="n">
        <f aca="false">IF(A99="","",(A98/86400)+25569)</f>
        <v>46153.0312731482</v>
      </c>
      <c r="C98" s="12" t="n">
        <f aca="false">IFERROR(CEILING(INT(B98*1440)/1440*288,1)/288,"")</f>
        <v>46153.03125</v>
      </c>
      <c r="D98" s="0" t="n">
        <f aca="false">IFERROR(MROUND((C98-25569)*86400,300),"")</f>
        <v>1778460300</v>
      </c>
    </row>
    <row r="99" customFormat="false" ht="14.25" hidden="false" customHeight="false" outlineLevel="0" collapsed="false">
      <c r="A99" s="0" t="n">
        <f aca="false">V43_New!A99</f>
        <v>1778462102</v>
      </c>
      <c r="B99" s="11" t="n">
        <f aca="false">IF(A100="","",(A99/86400)+25569)</f>
        <v>46153.0521064815</v>
      </c>
      <c r="C99" s="12" t="n">
        <f aca="false">IFERROR(CEILING(INT(B99*1440)/1440*288,1)/288,"")</f>
        <v>46153.0520833333</v>
      </c>
      <c r="D99" s="0" t="n">
        <f aca="false">IFERROR(MROUND((C99-25569)*86400,300),"")</f>
        <v>1778462100</v>
      </c>
    </row>
    <row r="100" customFormat="false" ht="14.25" hidden="false" customHeight="false" outlineLevel="0" collapsed="false">
      <c r="A100" s="0" t="n">
        <f aca="false">V43_New!A100</f>
        <v>1778478302</v>
      </c>
      <c r="B100" s="11" t="n">
        <f aca="false">IF(A101="","",(A100/86400)+25569)</f>
        <v>46153.2396064815</v>
      </c>
      <c r="C100" s="12" t="n">
        <f aca="false">IFERROR(CEILING(INT(B100*1440)/1440*288,1)/288,"")</f>
        <v>46153.2395833333</v>
      </c>
      <c r="D100" s="0" t="n">
        <f aca="false">IFERROR(MROUND((C100-25569)*86400,300),"")</f>
        <v>1778478300</v>
      </c>
    </row>
    <row r="101" customFormat="false" ht="14.25" hidden="false" customHeight="false" outlineLevel="0" collapsed="false">
      <c r="A101" s="0" t="n">
        <f aca="false">V43_New!A101</f>
        <v>1778507102</v>
      </c>
      <c r="B101" s="11" t="n">
        <f aca="false">IF(A102="","",(A101/86400)+25569)</f>
        <v>46153.5729398148</v>
      </c>
      <c r="C101" s="12" t="n">
        <f aca="false">IFERROR(CEILING(INT(B101*1440)/1440*288,1)/288,"")</f>
        <v>46153.5729166667</v>
      </c>
      <c r="D101" s="0" t="n">
        <f aca="false">IFERROR(MROUND((C101-25569)*86400,300),"")</f>
        <v>1778507100</v>
      </c>
    </row>
    <row r="102" customFormat="false" ht="14.25" hidden="false" customHeight="false" outlineLevel="0" collapsed="false">
      <c r="A102" s="0" t="n">
        <f aca="false">V43_New!A102</f>
        <v>1778517002</v>
      </c>
      <c r="B102" s="11" t="n">
        <f aca="false">IF(A103="","",(A102/86400)+25569)</f>
        <v>46153.6875231482</v>
      </c>
      <c r="C102" s="12" t="n">
        <f aca="false">IFERROR(CEILING(INT(B102*1440)/1440*288,1)/288,"")</f>
        <v>46153.6875</v>
      </c>
      <c r="D102" s="0" t="n">
        <f aca="false">IFERROR(MROUND((C102-25569)*86400,300),"")</f>
        <v>1778517000</v>
      </c>
    </row>
    <row r="103" customFormat="false" ht="14.25" hidden="false" customHeight="false" outlineLevel="0" collapsed="false">
      <c r="A103" s="0" t="n">
        <f aca="false">V43_New!A103</f>
        <v>1778544902</v>
      </c>
      <c r="B103" s="11" t="n">
        <f aca="false">IF(A104="","",(A103/86400)+25569)</f>
        <v>46154.0104398148</v>
      </c>
      <c r="C103" s="12" t="n">
        <f aca="false">IFERROR(CEILING(INT(B103*1440)/1440*288,1)/288,"")</f>
        <v>46154.0104166667</v>
      </c>
      <c r="D103" s="0" t="n">
        <f aca="false">IFERROR(MROUND((C103-25569)*86400,300),"")</f>
        <v>1778544900</v>
      </c>
    </row>
    <row r="104" customFormat="false" ht="14.25" hidden="false" customHeight="false" outlineLevel="0" collapsed="false">
      <c r="A104" s="0" t="n">
        <f aca="false">V43_New!A104</f>
        <v>1778569202</v>
      </c>
      <c r="B104" s="11" t="n">
        <f aca="false">IF(A105="","",(A104/86400)+25569)</f>
        <v>46154.2916898148</v>
      </c>
      <c r="C104" s="12" t="n">
        <f aca="false">IFERROR(CEILING(INT(B104*1440)/1440*288,1)/288,"")</f>
        <v>46154.2916666667</v>
      </c>
      <c r="D104" s="0" t="n">
        <f aca="false">IFERROR(MROUND((C104-25569)*86400,300),"")</f>
        <v>1778569200</v>
      </c>
    </row>
    <row r="105" customFormat="false" ht="14.25" hidden="false" customHeight="false" outlineLevel="0" collapsed="false">
      <c r="A105" s="0" t="n">
        <f aca="false">V43_New!A105</f>
        <v>1778580002</v>
      </c>
      <c r="B105" s="11" t="n">
        <f aca="false">IF(A106="","",(A105/86400)+25569)</f>
        <v>46154.4166898148</v>
      </c>
      <c r="C105" s="12" t="n">
        <f aca="false">IFERROR(CEILING(INT(B105*1440)/1440*288,1)/288,"")</f>
        <v>46154.4166666667</v>
      </c>
      <c r="D105" s="0" t="n">
        <f aca="false">IFERROR(MROUND((C105-25569)*86400,300),"")</f>
        <v>1778580000</v>
      </c>
    </row>
    <row r="106" customFormat="false" ht="14.25" hidden="false" customHeight="false" outlineLevel="0" collapsed="false">
      <c r="A106" s="0" t="n">
        <f aca="false">V43_New!A106</f>
        <v>1778581802</v>
      </c>
      <c r="B106" s="11" t="n">
        <f aca="false">IF(A107="","",(A106/86400)+25569)</f>
        <v>46154.4375231482</v>
      </c>
      <c r="C106" s="12" t="n">
        <f aca="false">IFERROR(CEILING(INT(B106*1440)/1440*288,1)/288,"")</f>
        <v>46154.4375</v>
      </c>
      <c r="D106" s="0" t="n">
        <f aca="false">IFERROR(MROUND((C106-25569)*86400,300),"")</f>
        <v>1778581800</v>
      </c>
    </row>
    <row r="107" customFormat="false" ht="14.25" hidden="false" customHeight="false" outlineLevel="0" collapsed="false">
      <c r="A107" s="0" t="n">
        <f aca="false">V43_New!A107</f>
        <v>1778589902</v>
      </c>
      <c r="B107" s="11" t="n">
        <f aca="false">IF(A108="","",(A107/86400)+25569)</f>
        <v>46154.5312731482</v>
      </c>
      <c r="C107" s="12" t="n">
        <f aca="false">IFERROR(CEILING(INT(B107*1440)/1440*288,1)/288,"")</f>
        <v>46154.53125</v>
      </c>
      <c r="D107" s="0" t="n">
        <f aca="false">IFERROR(MROUND((C107-25569)*86400,300),"")</f>
        <v>1778589900</v>
      </c>
    </row>
    <row r="108" customFormat="false" ht="14.25" hidden="false" customHeight="false" outlineLevel="0" collapsed="false">
      <c r="A108" s="0" t="n">
        <f aca="false">V43_New!A108</f>
        <v>1778598902</v>
      </c>
      <c r="B108" s="11" t="n">
        <f aca="false">IF(A109="","",(A108/86400)+25569)</f>
        <v>46154.6354398148</v>
      </c>
      <c r="C108" s="12" t="n">
        <f aca="false">IFERROR(CEILING(INT(B108*1440)/1440*288,1)/288,"")</f>
        <v>46154.6354166667</v>
      </c>
      <c r="D108" s="0" t="n">
        <f aca="false">IFERROR(MROUND((C108-25569)*86400,300),"")</f>
        <v>1778598900</v>
      </c>
    </row>
    <row r="109" customFormat="false" ht="14.25" hidden="false" customHeight="false" outlineLevel="0" collapsed="false">
      <c r="A109" s="0" t="n">
        <f aca="false">V43_New!A109</f>
        <v>1778630402</v>
      </c>
      <c r="B109" s="11" t="n">
        <f aca="false">IF(A110="","",(A109/86400)+25569)</f>
        <v>46155.0000231482</v>
      </c>
      <c r="C109" s="12" t="n">
        <f aca="false">IFERROR(CEILING(INT(B109*1440)/1440*288,1)/288,"")</f>
        <v>46155</v>
      </c>
      <c r="D109" s="0" t="n">
        <f aca="false">IFERROR(MROUND((C109-25569)*86400,300),"")</f>
        <v>1778630400</v>
      </c>
    </row>
    <row r="110" customFormat="false" ht="14.25" hidden="false" customHeight="false" outlineLevel="0" collapsed="false">
      <c r="A110" s="0" t="n">
        <f aca="false">V43_New!A110</f>
        <v>1778640302</v>
      </c>
      <c r="B110" s="11" t="n">
        <f aca="false">IF(A111="","",(A110/86400)+25569)</f>
        <v>46155.1146064815</v>
      </c>
      <c r="C110" s="12" t="n">
        <f aca="false">IFERROR(CEILING(INT(B110*1440)/1440*288,1)/288,"")</f>
        <v>46155.1145833333</v>
      </c>
      <c r="D110" s="0" t="n">
        <f aca="false">IFERROR(MROUND((C110-25569)*86400,300),"")</f>
        <v>1778640300</v>
      </c>
    </row>
    <row r="111" customFormat="false" ht="14.25" hidden="false" customHeight="false" outlineLevel="0" collapsed="false">
      <c r="A111" s="0" t="n">
        <f aca="false">V43_New!A111</f>
        <v>1778652902</v>
      </c>
      <c r="B111" s="11" t="n">
        <f aca="false">IF(A112="","",(A111/86400)+25569)</f>
        <v>46155.2604398148</v>
      </c>
      <c r="C111" s="12" t="n">
        <f aca="false">IFERROR(CEILING(INT(B111*1440)/1440*288,1)/288,"")</f>
        <v>46155.2604166667</v>
      </c>
      <c r="D111" s="0" t="n">
        <f aca="false">IFERROR(MROUND((C111-25569)*86400,300),"")</f>
        <v>1778652900</v>
      </c>
    </row>
    <row r="112" customFormat="false" ht="14.25" hidden="false" customHeight="false" outlineLevel="0" collapsed="false">
      <c r="A112" s="0" t="n">
        <f aca="false">V43_New!A112</f>
        <v>1778664602</v>
      </c>
      <c r="B112" s="11" t="n">
        <f aca="false">IF(A113="","",(A112/86400)+25569)</f>
        <v>46155.3958564815</v>
      </c>
      <c r="C112" s="12" t="n">
        <f aca="false">IFERROR(CEILING(INT(B112*1440)/1440*288,1)/288,"")</f>
        <v>46155.3958333333</v>
      </c>
      <c r="D112" s="0" t="n">
        <f aca="false">IFERROR(MROUND((C112-25569)*86400,300),"")</f>
        <v>1778664600</v>
      </c>
    </row>
    <row r="113" customFormat="false" ht="14.25" hidden="false" customHeight="false" outlineLevel="0" collapsed="false">
      <c r="A113" s="0" t="n">
        <f aca="false">V43_New!A113</f>
        <v>1778666402</v>
      </c>
      <c r="B113" s="11" t="n">
        <f aca="false">IF(A114="","",(A113/86400)+25569)</f>
        <v>46155.4166898148</v>
      </c>
      <c r="C113" s="12" t="n">
        <f aca="false">IFERROR(CEILING(INT(B113*1440)/1440*288,1)/288,"")</f>
        <v>46155.4166666667</v>
      </c>
      <c r="D113" s="0" t="n">
        <f aca="false">IFERROR(MROUND((C113-25569)*86400,300),"")</f>
        <v>1778666400</v>
      </c>
    </row>
    <row r="114" customFormat="false" ht="14.25" hidden="false" customHeight="false" outlineLevel="0" collapsed="false">
      <c r="A114" s="0" t="n">
        <f aca="false">V43_New!A114</f>
        <v>1778679902</v>
      </c>
      <c r="B114" s="11" t="n">
        <f aca="false">IF(A115="","",(A114/86400)+25569)</f>
        <v>46155.5729398148</v>
      </c>
      <c r="C114" s="12" t="n">
        <f aca="false">IFERROR(CEILING(INT(B114*1440)/1440*288,1)/288,"")</f>
        <v>46155.5729166667</v>
      </c>
      <c r="D114" s="0" t="n">
        <f aca="false">IFERROR(MROUND((C114-25569)*86400,300),"")</f>
        <v>1778679900</v>
      </c>
    </row>
    <row r="115" customFormat="false" ht="14.25" hidden="false" customHeight="false" outlineLevel="0" collapsed="false">
      <c r="A115" s="0" t="n">
        <f aca="false">V43_New!A115</f>
        <v>1778688902</v>
      </c>
      <c r="B115" s="11" t="n">
        <f aca="false">IF(A116="","",(A115/86400)+25569)</f>
        <v>46155.6771064815</v>
      </c>
      <c r="C115" s="12" t="n">
        <f aca="false">IFERROR(CEILING(INT(B115*1440)/1440*288,1)/288,"")</f>
        <v>46155.6770833333</v>
      </c>
      <c r="D115" s="0" t="n">
        <f aca="false">IFERROR(MROUND((C115-25569)*86400,300),"")</f>
        <v>1778688900</v>
      </c>
    </row>
    <row r="116" customFormat="false" ht="14.25" hidden="false" customHeight="false" outlineLevel="0" collapsed="false">
      <c r="A116" s="0" t="n">
        <f aca="false">V43_New!A116</f>
        <v>1778697902</v>
      </c>
      <c r="B116" s="11" t="n">
        <f aca="false">IF(A117="","",(A116/86400)+25569)</f>
        <v>46155.7812731482</v>
      </c>
      <c r="C116" s="12" t="n">
        <f aca="false">IFERROR(CEILING(INT(B116*1440)/1440*288,1)/288,"")</f>
        <v>46155.78125</v>
      </c>
      <c r="D116" s="0" t="n">
        <f aca="false">IFERROR(MROUND((C116-25569)*86400,300),"")</f>
        <v>1778697900</v>
      </c>
    </row>
    <row r="117" customFormat="false" ht="14.25" hidden="false" customHeight="false" outlineLevel="0" collapsed="false">
      <c r="A117" s="0" t="n">
        <f aca="false">V43_New!A117</f>
        <v>1778719502</v>
      </c>
      <c r="B117" s="11" t="n">
        <f aca="false">IF(A118="","",(A117/86400)+25569)</f>
        <v>46156.0312731482</v>
      </c>
      <c r="C117" s="12" t="n">
        <f aca="false">IFERROR(CEILING(INT(B117*1440)/1440*288,1)/288,"")</f>
        <v>46156.03125</v>
      </c>
      <c r="D117" s="0" t="n">
        <f aca="false">IFERROR(MROUND((C117-25569)*86400,300),"")</f>
        <v>1778719500</v>
      </c>
    </row>
    <row r="118" customFormat="false" ht="14.25" hidden="false" customHeight="false" outlineLevel="0" collapsed="false">
      <c r="A118" s="0" t="n">
        <f aca="false">V43_New!A118</f>
        <v>1778731202</v>
      </c>
      <c r="B118" s="11" t="n">
        <f aca="false">IF(A119="","",(A118/86400)+25569)</f>
        <v>46156.1666898148</v>
      </c>
      <c r="C118" s="12" t="n">
        <f aca="false">IFERROR(CEILING(INT(B118*1440)/1440*288,1)/288,"")</f>
        <v>46156.1666666667</v>
      </c>
      <c r="D118" s="0" t="n">
        <f aca="false">IFERROR(MROUND((C118-25569)*86400,300),"")</f>
        <v>1778731200</v>
      </c>
    </row>
    <row r="119" customFormat="false" ht="14.25" hidden="false" customHeight="false" outlineLevel="0" collapsed="false">
      <c r="A119" s="0" t="n">
        <f aca="false">V43_New!A119</f>
        <v>1778743802</v>
      </c>
      <c r="B119" s="11" t="n">
        <f aca="false">IF(A120="","",(A119/86400)+25569)</f>
        <v>46156.3125231482</v>
      </c>
      <c r="C119" s="12" t="n">
        <f aca="false">IFERROR(CEILING(INT(B119*1440)/1440*288,1)/288,"")</f>
        <v>46156.3125</v>
      </c>
      <c r="D119" s="0" t="n">
        <f aca="false">IFERROR(MROUND((C119-25569)*86400,300),"")</f>
        <v>1778743800</v>
      </c>
    </row>
    <row r="120" customFormat="false" ht="14.25" hidden="false" customHeight="false" outlineLevel="0" collapsed="false">
      <c r="A120" s="0" t="n">
        <f aca="false">V43_New!A120</f>
        <v>1778751002</v>
      </c>
      <c r="B120" s="11" t="n">
        <f aca="false">IF(A121="","",(A120/86400)+25569)</f>
        <v>46156.3958564815</v>
      </c>
      <c r="C120" s="12" t="n">
        <f aca="false">IFERROR(CEILING(INT(B120*1440)/1440*288,1)/288,"")</f>
        <v>46156.3958333333</v>
      </c>
      <c r="D120" s="0" t="n">
        <f aca="false">IFERROR(MROUND((C120-25569)*86400,300),"")</f>
        <v>1778751000</v>
      </c>
    </row>
    <row r="121" customFormat="false" ht="14.25" hidden="false" customHeight="false" outlineLevel="0" collapsed="false">
      <c r="A121" s="0" t="n">
        <f aca="false">V43_New!A121</f>
        <v>1778761802</v>
      </c>
      <c r="B121" s="11" t="n">
        <f aca="false">IF(A122="","",(A121/86400)+25569)</f>
        <v>46156.5208564815</v>
      </c>
      <c r="C121" s="12" t="n">
        <f aca="false">IFERROR(CEILING(INT(B121*1440)/1440*288,1)/288,"")</f>
        <v>46156.5208333333</v>
      </c>
      <c r="D121" s="0" t="n">
        <f aca="false">IFERROR(MROUND((C121-25569)*86400,300),"")</f>
        <v>1778761800</v>
      </c>
    </row>
    <row r="122" customFormat="false" ht="14.25" hidden="false" customHeight="false" outlineLevel="0" collapsed="false">
      <c r="A122" s="0" t="n">
        <f aca="false">V43_New!A122</f>
        <v>1778790602</v>
      </c>
      <c r="B122" s="11" t="n">
        <f aca="false">IF(A123="","",(A122/86400)+25569)</f>
        <v>46156.8541898148</v>
      </c>
      <c r="C122" s="12" t="n">
        <f aca="false">IFERROR(CEILING(INT(B122*1440)/1440*288,1)/288,"")</f>
        <v>46156.8541666667</v>
      </c>
      <c r="D122" s="0" t="n">
        <f aca="false">IFERROR(MROUND((C122-25569)*86400,300),"")</f>
        <v>1778790600</v>
      </c>
    </row>
    <row r="123" customFormat="false" ht="14.25" hidden="false" customHeight="false" outlineLevel="0" collapsed="false">
      <c r="A123" s="0" t="n">
        <f aca="false">V43_New!A123</f>
        <v>1778801402</v>
      </c>
      <c r="B123" s="11" t="n">
        <f aca="false">IF(A124="","",(A123/86400)+25569)</f>
        <v>46156.9791898148</v>
      </c>
      <c r="C123" s="12" t="n">
        <f aca="false">IFERROR(CEILING(INT(B123*1440)/1440*288,1)/288,"")</f>
        <v>46156.9791666667</v>
      </c>
      <c r="D123" s="0" t="n">
        <f aca="false">IFERROR(MROUND((C123-25569)*86400,300),"")</f>
        <v>1778801400</v>
      </c>
    </row>
    <row r="124" customFormat="false" ht="14.25" hidden="false" customHeight="false" outlineLevel="0" collapsed="false">
      <c r="A124" s="0" t="n">
        <f aca="false">V43_New!A124</f>
        <v>1778838302</v>
      </c>
      <c r="B124" s="11" t="n">
        <f aca="false">IF(A125="","",(A124/86400)+25569)</f>
        <v>46157.4062731482</v>
      </c>
      <c r="C124" s="12" t="n">
        <f aca="false">IFERROR(CEILING(INT(B124*1440)/1440*288,1)/288,"")</f>
        <v>46157.40625</v>
      </c>
      <c r="D124" s="0" t="n">
        <f aca="false">IFERROR(MROUND((C124-25569)*86400,300),"")</f>
        <v>1778838300</v>
      </c>
    </row>
    <row r="125" customFormat="false" ht="14.25" hidden="false" customHeight="false" outlineLevel="0" collapsed="false">
      <c r="A125" s="0" t="n">
        <f aca="false">V43_New!A125</f>
        <v>1778841902</v>
      </c>
      <c r="B125" s="11" t="n">
        <f aca="false">IF(A126="","",(A125/86400)+25569)</f>
        <v>46157.4479398148</v>
      </c>
      <c r="C125" s="12" t="n">
        <f aca="false">IFERROR(CEILING(INT(B125*1440)/1440*288,1)/288,"")</f>
        <v>46157.4479166667</v>
      </c>
      <c r="D125" s="0" t="n">
        <f aca="false">IFERROR(MROUND((C125-25569)*86400,300),"")</f>
        <v>1778841900</v>
      </c>
    </row>
    <row r="126" customFormat="false" ht="14.25" hidden="false" customHeight="false" outlineLevel="0" collapsed="false">
      <c r="A126" s="0" t="n">
        <f aca="false">V43_New!A126</f>
        <v>1778852702</v>
      </c>
      <c r="B126" s="11" t="n">
        <f aca="false">IF(A127="","",(A126/86400)+25569)</f>
        <v>46157.5729398148</v>
      </c>
      <c r="C126" s="12" t="n">
        <f aca="false">IFERROR(CEILING(INT(B126*1440)/1440*288,1)/288,"")</f>
        <v>46157.5729166667</v>
      </c>
      <c r="D126" s="0" t="n">
        <f aca="false">IFERROR(MROUND((C126-25569)*86400,300),"")</f>
        <v>1778852700</v>
      </c>
    </row>
    <row r="127" customFormat="false" ht="14.25" hidden="false" customHeight="false" outlineLevel="0" collapsed="false">
      <c r="A127" s="0" t="n">
        <f aca="false">V43_New!A127</f>
        <v>1778856302</v>
      </c>
      <c r="B127" s="11" t="n">
        <f aca="false">IF(A128="","",(A127/86400)+25569)</f>
        <v>46157.6146064815</v>
      </c>
      <c r="C127" s="12" t="n">
        <f aca="false">IFERROR(CEILING(INT(B127*1440)/1440*288,1)/288,"")</f>
        <v>46157.6145833333</v>
      </c>
      <c r="D127" s="0" t="n">
        <f aca="false">IFERROR(MROUND((C127-25569)*86400,300),"")</f>
        <v>1778856300</v>
      </c>
    </row>
    <row r="128" customFormat="false" ht="14.25" hidden="false" customHeight="false" outlineLevel="0" collapsed="false">
      <c r="A128" s="0" t="n">
        <f aca="false">V43_New!A128</f>
        <v>1779065102</v>
      </c>
      <c r="B128" s="11" t="n">
        <f aca="false">IF(A129="","",(A128/86400)+25569)</f>
        <v>46160.0312731482</v>
      </c>
      <c r="C128" s="12" t="n">
        <f aca="false">IFERROR(CEILING(INT(B128*1440)/1440*288,1)/288,"")</f>
        <v>46160.03125</v>
      </c>
      <c r="D128" s="0" t="n">
        <f aca="false">IFERROR(MROUND((C128-25569)*86400,300),"")</f>
        <v>1779065100</v>
      </c>
    </row>
    <row r="129" customFormat="false" ht="14.25" hidden="false" customHeight="false" outlineLevel="0" collapsed="false">
      <c r="A129" s="0" t="n">
        <f aca="false">V43_New!A129</f>
        <v>1779089402</v>
      </c>
      <c r="B129" s="11" t="n">
        <f aca="false">IF(A130="","",(A129/86400)+25569)</f>
        <v>46160.3125231482</v>
      </c>
      <c r="C129" s="12" t="n">
        <f aca="false">IFERROR(CEILING(INT(B129*1440)/1440*288,1)/288,"")</f>
        <v>46160.3125</v>
      </c>
      <c r="D129" s="0" t="n">
        <f aca="false">IFERROR(MROUND((C129-25569)*86400,300),"")</f>
        <v>1779089400</v>
      </c>
    </row>
    <row r="130" customFormat="false" ht="14.25" hidden="false" customHeight="false" outlineLevel="0" collapsed="false">
      <c r="A130" s="0" t="n">
        <f aca="false">V43_New!A130</f>
        <v>1779102002</v>
      </c>
      <c r="B130" s="11" t="n">
        <f aca="false">IF(A131="","",(A130/86400)+25569)</f>
        <v>46160.4583564815</v>
      </c>
      <c r="C130" s="12" t="n">
        <f aca="false">IFERROR(CEILING(INT(B130*1440)/1440*288,1)/288,"")</f>
        <v>46160.4583333333</v>
      </c>
      <c r="D130" s="0" t="n">
        <f aca="false">IFERROR(MROUND((C130-25569)*86400,300),"")</f>
        <v>1779102000</v>
      </c>
    </row>
    <row r="131" customFormat="false" ht="14.25" hidden="false" customHeight="false" outlineLevel="0" collapsed="false">
      <c r="A131" s="0" t="n">
        <f aca="false">V43_New!A131</f>
        <v>1779111902</v>
      </c>
      <c r="B131" s="11" t="n">
        <f aca="false">IF(A132="","",(A131/86400)+25569)</f>
        <v>46160.5729398148</v>
      </c>
      <c r="C131" s="12" t="n">
        <f aca="false">IFERROR(CEILING(INT(B131*1440)/1440*288,1)/288,"")</f>
        <v>46160.5729166667</v>
      </c>
      <c r="D131" s="0" t="n">
        <f aca="false">IFERROR(MROUND((C131-25569)*86400,300),"")</f>
        <v>1779111900</v>
      </c>
    </row>
    <row r="132" customFormat="false" ht="14.25" hidden="false" customHeight="false" outlineLevel="0" collapsed="false">
      <c r="A132" s="0" t="n">
        <f aca="false">V43_New!A132</f>
        <v>1779116402</v>
      </c>
      <c r="B132" s="11" t="n">
        <f aca="false">IF(A133="","",(A132/86400)+25569)</f>
        <v>46160.6250231482</v>
      </c>
      <c r="C132" s="12" t="n">
        <f aca="false">IFERROR(CEILING(INT(B132*1440)/1440*288,1)/288,"")</f>
        <v>46160.625</v>
      </c>
      <c r="D132" s="0" t="n">
        <f aca="false">IFERROR(MROUND((C132-25569)*86400,300),"")</f>
        <v>1779116400</v>
      </c>
    </row>
    <row r="133" customFormat="false" ht="14.25" hidden="false" customHeight="false" outlineLevel="0" collapsed="false">
      <c r="A133" s="0" t="n">
        <f aca="false">V43_New!A133</f>
        <v>1779148802</v>
      </c>
      <c r="B133" s="11" t="n">
        <f aca="false">IF(A134="","",(A133/86400)+25569)</f>
        <v>46161.0000231482</v>
      </c>
      <c r="C133" s="12" t="n">
        <f aca="false">IFERROR(CEILING(INT(B133*1440)/1440*288,1)/288,"")</f>
        <v>46161</v>
      </c>
      <c r="D133" s="0" t="n">
        <f aca="false">IFERROR(MROUND((C133-25569)*86400,300),"")</f>
        <v>1779148800</v>
      </c>
    </row>
    <row r="134" customFormat="false" ht="14.25" hidden="false" customHeight="false" outlineLevel="0" collapsed="false">
      <c r="A134" s="0" t="n">
        <f aca="false">V43_New!A134</f>
        <v>1779167702</v>
      </c>
      <c r="B134" s="11" t="n">
        <f aca="false">IF(A135="","",(A134/86400)+25569)</f>
        <v>46161.2187731482</v>
      </c>
      <c r="C134" s="12" t="n">
        <f aca="false">IFERROR(CEILING(INT(B134*1440)/1440*288,1)/288,"")</f>
        <v>46161.21875</v>
      </c>
      <c r="D134" s="0" t="n">
        <f aca="false">IFERROR(MROUND((C134-25569)*86400,300),"")</f>
        <v>1779167700</v>
      </c>
    </row>
    <row r="135" customFormat="false" ht="14.25" hidden="false" customHeight="false" outlineLevel="0" collapsed="false">
      <c r="A135" s="0" t="n">
        <f aca="false">V43_New!A135</f>
        <v>1779176702</v>
      </c>
      <c r="B135" s="11" t="n">
        <f aca="false">IF(A136="","",(A135/86400)+25569)</f>
        <v>46161.3229398148</v>
      </c>
      <c r="C135" s="12" t="n">
        <f aca="false">IFERROR(CEILING(INT(B135*1440)/1440*288,1)/288,"")</f>
        <v>46161.3229166667</v>
      </c>
      <c r="D135" s="0" t="n">
        <f aca="false">IFERROR(MROUND((C135-25569)*86400,300),"")</f>
        <v>1779176700</v>
      </c>
    </row>
    <row r="136" customFormat="false" ht="14.25" hidden="false" customHeight="false" outlineLevel="0" collapsed="false">
      <c r="A136" s="0" t="n">
        <f aca="false">V43_New!A136</f>
        <v>1779197402</v>
      </c>
      <c r="B136" s="11" t="n">
        <f aca="false">IF(A137="","",(A136/86400)+25569)</f>
        <v>46161.5625231482</v>
      </c>
      <c r="C136" s="12" t="n">
        <f aca="false">IFERROR(CEILING(INT(B136*1440)/1440*288,1)/288,"")</f>
        <v>46161.5625</v>
      </c>
      <c r="D136" s="0" t="n">
        <f aca="false">IFERROR(MROUND((C136-25569)*86400,300),"")</f>
        <v>1779197400</v>
      </c>
    </row>
    <row r="137" customFormat="false" ht="14.25" hidden="false" customHeight="false" outlineLevel="0" collapsed="false">
      <c r="A137" s="0" t="n">
        <f aca="false">V43_New!A137</f>
        <v>1779237902</v>
      </c>
      <c r="B137" s="11" t="n">
        <f aca="false">IF(A138="","",(A137/86400)+25569)</f>
        <v>46162.0312731482</v>
      </c>
      <c r="C137" s="12" t="n">
        <f aca="false">IFERROR(CEILING(INT(B137*1440)/1440*288,1)/288,"")</f>
        <v>46162.03125</v>
      </c>
      <c r="D137" s="0" t="n">
        <f aca="false">IFERROR(MROUND((C137-25569)*86400,300),"")</f>
        <v>1779237900</v>
      </c>
    </row>
    <row r="138" customFormat="false" ht="14.25" hidden="false" customHeight="false" outlineLevel="0" collapsed="false">
      <c r="A138" s="0" t="n">
        <f aca="false">V43_New!A138</f>
        <v>1779246002</v>
      </c>
      <c r="B138" s="11" t="n">
        <f aca="false">IF(A139="","",(A138/86400)+25569)</f>
        <v>46162.1250231482</v>
      </c>
      <c r="C138" s="12" t="n">
        <f aca="false">IFERROR(CEILING(INT(B138*1440)/1440*288,1)/288,"")</f>
        <v>46162.125</v>
      </c>
      <c r="D138" s="0" t="n">
        <f aca="false">IFERROR(MROUND((C138-25569)*86400,300),"")</f>
        <v>1779246000</v>
      </c>
    </row>
    <row r="139" customFormat="false" ht="14.25" hidden="false" customHeight="false" outlineLevel="0" collapsed="false">
      <c r="A139" s="0" t="n">
        <f aca="false">V43_New!A139</f>
        <v>1779282002</v>
      </c>
      <c r="B139" s="11" t="n">
        <f aca="false">IF(A140="","",(A139/86400)+25569)</f>
        <v>46162.5416898148</v>
      </c>
      <c r="C139" s="12" t="n">
        <f aca="false">IFERROR(CEILING(INT(B139*1440)/1440*288,1)/288,"")</f>
        <v>46162.5416666667</v>
      </c>
      <c r="D139" s="0" t="n">
        <f aca="false">IFERROR(MROUND((C139-25569)*86400,300),"")</f>
        <v>1779282000</v>
      </c>
    </row>
    <row r="140" customFormat="false" ht="14.25" hidden="false" customHeight="false" outlineLevel="0" collapsed="false">
      <c r="A140" s="0" t="n">
        <f aca="false">V43_New!A140</f>
        <v>1779285602</v>
      </c>
      <c r="B140" s="11" t="n">
        <f aca="false">IF(A141="","",(A140/86400)+25569)</f>
        <v>46162.5833564815</v>
      </c>
      <c r="C140" s="12" t="n">
        <f aca="false">IFERROR(CEILING(INT(B140*1440)/1440*288,1)/288,"")</f>
        <v>46162.5833333333</v>
      </c>
      <c r="D140" s="0" t="n">
        <f aca="false">IFERROR(MROUND((C140-25569)*86400,300),"")</f>
        <v>1779285600</v>
      </c>
    </row>
    <row r="141" customFormat="false" ht="14.25" hidden="false" customHeight="false" outlineLevel="0" collapsed="false">
      <c r="A141" s="0" t="n">
        <f aca="false">V43_New!A141</f>
        <v>1779290102</v>
      </c>
      <c r="B141" s="11" t="n">
        <f aca="false">IF(A142="","",(A141/86400)+25569)</f>
        <v>46162.6354398148</v>
      </c>
      <c r="C141" s="12" t="n">
        <f aca="false">IFERROR(CEILING(INT(B141*1440)/1440*288,1)/288,"")</f>
        <v>46162.6354166667</v>
      </c>
      <c r="D141" s="0" t="n">
        <f aca="false">IFERROR(MROUND((C141-25569)*86400,300),"")</f>
        <v>1779290100</v>
      </c>
    </row>
    <row r="142" customFormat="false" ht="14.25" hidden="false" customHeight="false" outlineLevel="0" collapsed="false">
      <c r="A142" s="0" t="n">
        <f aca="false">V43_New!A142</f>
        <v>1779318902</v>
      </c>
      <c r="B142" s="11" t="n">
        <f aca="false">IF(A143="","",(A142/86400)+25569)</f>
        <v>46162.9687731482</v>
      </c>
      <c r="C142" s="12" t="n">
        <f aca="false">IFERROR(CEILING(INT(B142*1440)/1440*288,1)/288,"")</f>
        <v>46162.96875</v>
      </c>
      <c r="D142" s="0" t="n">
        <f aca="false">IFERROR(MROUND((C142-25569)*86400,300),"")</f>
        <v>1779318900</v>
      </c>
    </row>
    <row r="143" customFormat="false" ht="14.25" hidden="false" customHeight="false" outlineLevel="0" collapsed="false">
      <c r="A143" s="0" t="n">
        <f aca="false">V43_New!A143</f>
        <v>1779327002</v>
      </c>
      <c r="B143" s="11" t="n">
        <f aca="false">IF(A144="","",(A143/86400)+25569)</f>
        <v>46163.0625231482</v>
      </c>
      <c r="C143" s="12" t="n">
        <f aca="false">IFERROR(CEILING(INT(B143*1440)/1440*288,1)/288,"")</f>
        <v>46163.0625</v>
      </c>
      <c r="D143" s="0" t="n">
        <f aca="false">IFERROR(MROUND((C143-25569)*86400,300),"")</f>
        <v>1779327000</v>
      </c>
    </row>
    <row r="144" customFormat="false" ht="14.25" hidden="false" customHeight="false" outlineLevel="0" collapsed="false">
      <c r="A144" s="0" t="n">
        <f aca="false">V43_New!A144</f>
        <v>1779347702</v>
      </c>
      <c r="B144" s="11" t="n">
        <f aca="false">IF(A145="","",(A144/86400)+25569)</f>
        <v>46163.3021064815</v>
      </c>
      <c r="C144" s="12" t="n">
        <f aca="false">IFERROR(CEILING(INT(B144*1440)/1440*288,1)/288,"")</f>
        <v>46163.3020833333</v>
      </c>
      <c r="D144" s="0" t="n">
        <f aca="false">IFERROR(MROUND((C144-25569)*86400,300),"")</f>
        <v>1779347700</v>
      </c>
    </row>
    <row r="145" customFormat="false" ht="14.25" hidden="false" customHeight="false" outlineLevel="0" collapsed="false">
      <c r="A145" s="0" t="n">
        <f aca="false">V43_New!A145</f>
        <v>1779355802</v>
      </c>
      <c r="B145" s="11" t="n">
        <f aca="false">IF(A146="","",(A145/86400)+25569)</f>
        <v>46163.3958564815</v>
      </c>
      <c r="C145" s="12" t="n">
        <f aca="false">IFERROR(CEILING(INT(B145*1440)/1440*288,1)/288,"")</f>
        <v>46163.3958333333</v>
      </c>
      <c r="D145" s="0" t="n">
        <f aca="false">IFERROR(MROUND((C145-25569)*86400,300),"")</f>
        <v>1779355800</v>
      </c>
    </row>
    <row r="146" customFormat="false" ht="14.25" hidden="false" customHeight="false" outlineLevel="0" collapsed="false">
      <c r="A146" s="0" t="n">
        <f aca="false">V43_New!A146</f>
        <v>1779370202</v>
      </c>
      <c r="B146" s="11" t="n">
        <f aca="false">IF(A147="","",(A146/86400)+25569)</f>
        <v>46163.5625231482</v>
      </c>
      <c r="C146" s="12" t="n">
        <f aca="false">IFERROR(CEILING(INT(B146*1440)/1440*288,1)/288,"")</f>
        <v>46163.5625</v>
      </c>
      <c r="D146" s="0" t="n">
        <f aca="false">IFERROR(MROUND((C146-25569)*86400,300),"")</f>
        <v>1779370200</v>
      </c>
    </row>
    <row r="147" customFormat="false" ht="14.25" hidden="false" customHeight="false" outlineLevel="0" collapsed="false">
      <c r="A147" s="0" t="n">
        <f aca="false">V43_New!A147</f>
        <v>1779385502</v>
      </c>
      <c r="B147" s="11" t="n">
        <f aca="false">IF(A148="","",(A147/86400)+25569)</f>
        <v>46163.7396064815</v>
      </c>
      <c r="C147" s="12" t="n">
        <f aca="false">IFERROR(CEILING(INT(B147*1440)/1440*288,1)/288,"")</f>
        <v>46163.7395833333</v>
      </c>
      <c r="D147" s="0" t="n">
        <f aca="false">IFERROR(MROUND((C147-25569)*86400,300),"")</f>
        <v>1779385500</v>
      </c>
    </row>
    <row r="148" customFormat="false" ht="14.25" hidden="false" customHeight="false" outlineLevel="0" collapsed="false">
      <c r="A148" s="0" t="n">
        <f aca="false">V43_New!A148</f>
        <v>1779417002</v>
      </c>
      <c r="B148" s="11" t="n">
        <f aca="false">IF(A149="","",(A148/86400)+25569)</f>
        <v>46164.1041898148</v>
      </c>
      <c r="C148" s="12" t="n">
        <f aca="false">IFERROR(CEILING(INT(B148*1440)/1440*288,1)/288,"")</f>
        <v>46164.1041666667</v>
      </c>
      <c r="D148" s="0" t="n">
        <f aca="false">IFERROR(MROUND((C148-25569)*86400,300),"")</f>
        <v>1779417000</v>
      </c>
    </row>
    <row r="149" customFormat="false" ht="14.25" hidden="false" customHeight="false" outlineLevel="0" collapsed="false">
      <c r="A149" s="0" t="n">
        <f aca="false">V43_New!A149</f>
        <v>1779427802</v>
      </c>
      <c r="B149" s="11" t="n">
        <f aca="false">IF(A150="","",(A149/86400)+25569)</f>
        <v>46164.2291898148</v>
      </c>
      <c r="C149" s="12" t="n">
        <f aca="false">IFERROR(CEILING(INT(B149*1440)/1440*288,1)/288,"")</f>
        <v>46164.2291666667</v>
      </c>
      <c r="D149" s="0" t="n">
        <f aca="false">IFERROR(MROUND((C149-25569)*86400,300),"")</f>
        <v>1779427800</v>
      </c>
    </row>
    <row r="150" customFormat="false" ht="14.25" hidden="false" customHeight="false" outlineLevel="0" collapsed="false">
      <c r="A150" s="0" t="n">
        <f aca="false">V43_New!A150</f>
        <v>1779428702</v>
      </c>
      <c r="B150" s="11" t="n">
        <f aca="false">IF(A151="","",(A150/86400)+25569)</f>
        <v>46164.2396064815</v>
      </c>
      <c r="C150" s="12" t="n">
        <f aca="false">IFERROR(CEILING(INT(B150*1440)/1440*288,1)/288,"")</f>
        <v>46164.2395833333</v>
      </c>
      <c r="D150" s="0" t="n">
        <f aca="false">IFERROR(MROUND((C150-25569)*86400,300),"")</f>
        <v>1779428700</v>
      </c>
    </row>
    <row r="151" customFormat="false" ht="14.25" hidden="false" customHeight="false" outlineLevel="0" collapsed="false">
      <c r="A151" s="0" t="n">
        <f aca="false">V43_New!A151</f>
        <v>1779444002</v>
      </c>
      <c r="B151" s="11" t="n">
        <f aca="false">IF(A152="","",(A151/86400)+25569)</f>
        <v>46164.4166898148</v>
      </c>
      <c r="C151" s="12" t="n">
        <f aca="false">IFERROR(CEILING(INT(B151*1440)/1440*288,1)/288,"")</f>
        <v>46164.4166666667</v>
      </c>
      <c r="D151" s="0" t="n">
        <f aca="false">IFERROR(MROUND((C151-25569)*86400,300),"")</f>
        <v>1779444000</v>
      </c>
    </row>
    <row r="152" customFormat="false" ht="14.25" hidden="false" customHeight="false" outlineLevel="0" collapsed="false">
      <c r="A152" s="0" t="n">
        <f aca="false">V43_New!A152</f>
        <v>1779459302</v>
      </c>
      <c r="B152" s="11" t="n">
        <f aca="false">IF(A153="","",(A152/86400)+25569)</f>
        <v>46164.5937731482</v>
      </c>
      <c r="C152" s="12" t="n">
        <f aca="false">IFERROR(CEILING(INT(B152*1440)/1440*288,1)/288,"")</f>
        <v>46164.59375</v>
      </c>
      <c r="D152" s="0" t="n">
        <f aca="false">IFERROR(MROUND((C152-25569)*86400,300),"")</f>
        <v>1779459300</v>
      </c>
    </row>
    <row r="153" customFormat="false" ht="14.25" hidden="false" customHeight="false" outlineLevel="0" collapsed="false">
      <c r="A153" s="0" t="n">
        <f aca="false">V43_New!A153</f>
        <v>1779471002</v>
      </c>
      <c r="B153" s="11" t="n">
        <f aca="false">IF(A154="","",(A153/86400)+25569)</f>
        <v>46164.7291898148</v>
      </c>
      <c r="C153" s="12" t="n">
        <f aca="false">IFERROR(CEILING(INT(B153*1440)/1440*288,1)/288,"")</f>
        <v>46164.7291666667</v>
      </c>
      <c r="D153" s="0" t="n">
        <f aca="false">IFERROR(MROUND((C153-25569)*86400,300),"")</f>
        <v>1779471000</v>
      </c>
    </row>
    <row r="154" customFormat="false" ht="14.25" hidden="false" customHeight="false" outlineLevel="0" collapsed="false">
      <c r="A154" s="0" t="n">
        <f aca="false">V43_New!A154</f>
        <v>1779478202</v>
      </c>
      <c r="B154" s="11" t="n">
        <f aca="false">IF(A155="","",(A154/86400)+25569)</f>
        <v>46164.8125231482</v>
      </c>
      <c r="C154" s="12" t="n">
        <f aca="false">IFERROR(CEILING(INT(B154*1440)/1440*288,1)/288,"")</f>
        <v>46164.8125</v>
      </c>
      <c r="D154" s="0" t="n">
        <f aca="false">IFERROR(MROUND((C154-25569)*86400,300),"")</f>
        <v>1779478200</v>
      </c>
    </row>
    <row r="155" customFormat="false" ht="14.25" hidden="false" customHeight="false" outlineLevel="0" collapsed="false">
      <c r="A155" s="0" t="n">
        <f aca="false">V43_New!A155</f>
        <v>1779665402</v>
      </c>
      <c r="B155" s="11" t="n">
        <f aca="false">IF(A156="","",(A155/86400)+25569)</f>
        <v>46166.9791898148</v>
      </c>
      <c r="C155" s="12" t="n">
        <f aca="false">IFERROR(CEILING(INT(B155*1440)/1440*288,1)/288,"")</f>
        <v>46166.9791666667</v>
      </c>
      <c r="D155" s="0" t="n">
        <f aca="false">IFERROR(MROUND((C155-25569)*86400,300),"")</f>
        <v>1779665400</v>
      </c>
    </row>
    <row r="156" customFormat="false" ht="14.25" hidden="false" customHeight="false" outlineLevel="0" collapsed="false">
      <c r="A156" s="0" t="n">
        <f aca="false">V43_New!A156</f>
        <v>1779688802</v>
      </c>
      <c r="B156" s="11" t="n">
        <f aca="false">IF(A157="","",(A156/86400)+25569)</f>
        <v>46167.2500231482</v>
      </c>
      <c r="C156" s="12" t="n">
        <f aca="false">IFERROR(CEILING(INT(B156*1440)/1440*288,1)/288,"")</f>
        <v>46167.25</v>
      </c>
      <c r="D156" s="0" t="n">
        <f aca="false">IFERROR(MROUND((C156-25569)*86400,300),"")</f>
        <v>1779688800</v>
      </c>
    </row>
    <row r="157" customFormat="false" ht="14.25" hidden="false" customHeight="false" outlineLevel="0" collapsed="false">
      <c r="A157" s="0" t="n">
        <f aca="false">V43_New!A157</f>
        <v>1779709502</v>
      </c>
      <c r="B157" s="11" t="n">
        <f aca="false">IF(A158="","",(A157/86400)+25569)</f>
        <v>46167.4896064815</v>
      </c>
      <c r="C157" s="12" t="n">
        <f aca="false">IFERROR(CEILING(INT(B157*1440)/1440*288,1)/288,"")</f>
        <v>46167.4895833333</v>
      </c>
      <c r="D157" s="0" t="n">
        <f aca="false">IFERROR(MROUND((C157-25569)*86400,300),"")</f>
        <v>1779709500</v>
      </c>
    </row>
    <row r="158" customFormat="false" ht="14.25" hidden="false" customHeight="false" outlineLevel="0" collapsed="false">
      <c r="A158" s="0" t="n">
        <f aca="false">V43_New!A158</f>
        <v>1779711302</v>
      </c>
      <c r="B158" s="11" t="n">
        <f aca="false">IF(A159="","",(A158/86400)+25569)</f>
        <v>46167.5104398148</v>
      </c>
      <c r="C158" s="12" t="n">
        <f aca="false">IFERROR(CEILING(INT(B158*1440)/1440*288,1)/288,"")</f>
        <v>46167.5104166667</v>
      </c>
      <c r="D158" s="0" t="n">
        <f aca="false">IFERROR(MROUND((C158-25569)*86400,300),"")</f>
        <v>1779711300</v>
      </c>
    </row>
    <row r="159" customFormat="false" ht="14.25" hidden="false" customHeight="false" outlineLevel="0" collapsed="false">
      <c r="A159" s="0" t="n">
        <f aca="false">V43_New!A159</f>
        <v>1779728402</v>
      </c>
      <c r="B159" s="11" t="n">
        <f aca="false">IF(A160="","",(A159/86400)+25569)</f>
        <v>46167.7083564815</v>
      </c>
      <c r="C159" s="12" t="n">
        <f aca="false">IFERROR(CEILING(INT(B159*1440)/1440*288,1)/288,"")</f>
        <v>46167.7083333333</v>
      </c>
      <c r="D159" s="0" t="n">
        <f aca="false">IFERROR(MROUND((C159-25569)*86400,300),"")</f>
        <v>1779728400</v>
      </c>
    </row>
    <row r="160" customFormat="false" ht="14.25" hidden="false" customHeight="false" outlineLevel="0" collapsed="false">
      <c r="A160" s="0" t="n">
        <f aca="false">V43_New!A160</f>
        <v>1779731102</v>
      </c>
      <c r="B160" s="11" t="n">
        <f aca="false">IF(A161="","",(A160/86400)+25569)</f>
        <v>46167.7396064815</v>
      </c>
      <c r="C160" s="12" t="n">
        <f aca="false">IFERROR(CEILING(INT(B160*1440)/1440*288,1)/288,"")</f>
        <v>46167.7395833333</v>
      </c>
      <c r="D160" s="0" t="n">
        <f aca="false">IFERROR(MROUND((C160-25569)*86400,300),"")</f>
        <v>1779731100</v>
      </c>
    </row>
    <row r="161" customFormat="false" ht="14.25" hidden="false" customHeight="false" outlineLevel="0" collapsed="false">
      <c r="A161" s="0" t="n">
        <f aca="false">V43_New!A161</f>
        <v>1779750902</v>
      </c>
      <c r="B161" s="11" t="n">
        <f aca="false">IF(A162="","",(A161/86400)+25569)</f>
        <v>46167.9687731482</v>
      </c>
      <c r="C161" s="12" t="n">
        <f aca="false">IFERROR(CEILING(INT(B161*1440)/1440*288,1)/288,"")</f>
        <v>46167.96875</v>
      </c>
      <c r="D161" s="0" t="n">
        <f aca="false">IFERROR(MROUND((C161-25569)*86400,300),"")</f>
        <v>1779750900</v>
      </c>
    </row>
    <row r="162" customFormat="false" ht="14.25" hidden="false" customHeight="false" outlineLevel="0" collapsed="false">
      <c r="A162" s="0" t="n">
        <f aca="false">V43_New!A162</f>
        <v>1779780602</v>
      </c>
      <c r="B162" s="11" t="n">
        <f aca="false">IF(A163="","",(A162/86400)+25569)</f>
        <v>46168.3125231482</v>
      </c>
      <c r="C162" s="12" t="n">
        <f aca="false">IFERROR(CEILING(INT(B162*1440)/1440*288,1)/288,"")</f>
        <v>46168.3125</v>
      </c>
      <c r="D162" s="0" t="n">
        <f aca="false">IFERROR(MROUND((C162-25569)*86400,300),"")</f>
        <v>1779780600</v>
      </c>
    </row>
    <row r="163" customFormat="false" ht="14.25" hidden="false" customHeight="false" outlineLevel="0" collapsed="false">
      <c r="A163" s="0" t="n">
        <f aca="false">V43_New!A163</f>
        <v>1779781502</v>
      </c>
      <c r="B163" s="11" t="n">
        <f aca="false">IF(A164="","",(A163/86400)+25569)</f>
        <v>46168.3229398148</v>
      </c>
      <c r="C163" s="12" t="n">
        <f aca="false">IFERROR(CEILING(INT(B163*1440)/1440*288,1)/288,"")</f>
        <v>46168.3229166667</v>
      </c>
      <c r="D163" s="0" t="n">
        <f aca="false">IFERROR(MROUND((C163-25569)*86400,300),"")</f>
        <v>1779781500</v>
      </c>
    </row>
    <row r="164" customFormat="false" ht="14.25" hidden="false" customHeight="false" outlineLevel="0" collapsed="false">
      <c r="A164" s="0" t="n">
        <f aca="false">V43_New!A164</f>
        <v>1779787802</v>
      </c>
      <c r="B164" s="11" t="n">
        <f aca="false">IF(A165="","",(A164/86400)+25569)</f>
        <v>46168.3958564815</v>
      </c>
      <c r="C164" s="12" t="n">
        <f aca="false">IFERROR(CEILING(INT(B164*1440)/1440*288,1)/288,"")</f>
        <v>46168.3958333333</v>
      </c>
      <c r="D164" s="0" t="n">
        <f aca="false">IFERROR(MROUND((C164-25569)*86400,300),"")</f>
        <v>1779787800</v>
      </c>
    </row>
    <row r="165" customFormat="false" ht="14.25" hidden="false" customHeight="false" outlineLevel="0" collapsed="false">
      <c r="A165" s="0" t="n">
        <f aca="false">V43_New!A165</f>
        <v>1779792302</v>
      </c>
      <c r="B165" s="11" t="n">
        <f aca="false">IF(A166="","",(A165/86400)+25569)</f>
        <v>46168.4479398148</v>
      </c>
      <c r="C165" s="12" t="n">
        <f aca="false">IFERROR(CEILING(INT(B165*1440)/1440*288,1)/288,"")</f>
        <v>46168.4479166667</v>
      </c>
      <c r="D165" s="0" t="n">
        <f aca="false">IFERROR(MROUND((C165-25569)*86400,300),"")</f>
        <v>1779792300</v>
      </c>
    </row>
    <row r="166" customFormat="false" ht="14.25" hidden="false" customHeight="false" outlineLevel="0" collapsed="false">
      <c r="A166" s="0" t="n">
        <f aca="false">V43_New!A166</f>
        <v>1779818402</v>
      </c>
      <c r="B166" s="11" t="n">
        <f aca="false">IF(A167="","",(A166/86400)+25569)</f>
        <v>46168.7500231482</v>
      </c>
      <c r="C166" s="12" t="n">
        <f aca="false">IFERROR(CEILING(INT(B166*1440)/1440*288,1)/288,"")</f>
        <v>46168.75</v>
      </c>
      <c r="D166" s="0" t="n">
        <f aca="false">IFERROR(MROUND((C166-25569)*86400,300),"")</f>
        <v>1779818400</v>
      </c>
    </row>
    <row r="167" customFormat="false" ht="14.25" hidden="false" customHeight="false" outlineLevel="0" collapsed="false">
      <c r="A167" s="0" t="n">
        <f aca="false">V43_New!A167</f>
        <v>1779832802</v>
      </c>
      <c r="B167" s="11" t="n">
        <f aca="false">IF(A168="","",(A167/86400)+25569)</f>
        <v>46168.9166898148</v>
      </c>
      <c r="C167" s="12" t="n">
        <f aca="false">IFERROR(CEILING(INT(B167*1440)/1440*288,1)/288,"")</f>
        <v>46168.9166666667</v>
      </c>
      <c r="D167" s="0" t="n">
        <f aca="false">IFERROR(MROUND((C167-25569)*86400,300),"")</f>
        <v>1779832800</v>
      </c>
    </row>
    <row r="168" customFormat="false" ht="14.25" hidden="false" customHeight="false" outlineLevel="0" collapsed="false">
      <c r="A168" s="0" t="n">
        <f aca="false">V43_New!A168</f>
        <v>1779854402</v>
      </c>
      <c r="B168" s="11" t="n">
        <f aca="false">IF(A169="","",(A168/86400)+25569)</f>
        <v>46169.1666898148</v>
      </c>
      <c r="C168" s="12" t="n">
        <f aca="false">IFERROR(CEILING(INT(B168*1440)/1440*288,1)/288,"")</f>
        <v>46169.1666666667</v>
      </c>
      <c r="D168" s="0" t="n">
        <f aca="false">IFERROR(MROUND((C168-25569)*86400,300),"")</f>
        <v>1779854400</v>
      </c>
    </row>
    <row r="169" customFormat="false" ht="14.25" hidden="false" customHeight="false" outlineLevel="0" collapsed="false">
      <c r="A169" s="0" t="n">
        <f aca="false">V43_New!A169</f>
        <v>1779857102</v>
      </c>
      <c r="B169" s="11" t="n">
        <f aca="false">IF(A170="","",(A169/86400)+25569)</f>
        <v>46169.1979398148</v>
      </c>
      <c r="C169" s="12" t="n">
        <f aca="false">IFERROR(CEILING(INT(B169*1440)/1440*288,1)/288,"")</f>
        <v>46169.1979166667</v>
      </c>
      <c r="D169" s="0" t="n">
        <f aca="false">IFERROR(MROUND((C169-25569)*86400,300),"")</f>
        <v>1779857100</v>
      </c>
    </row>
    <row r="170" customFormat="false" ht="14.25" hidden="false" customHeight="false" outlineLevel="0" collapsed="false">
      <c r="A170" s="0" t="n">
        <f aca="false">V43_New!A170</f>
        <v>1779887702</v>
      </c>
      <c r="B170" s="11" t="n">
        <f aca="false">IF(A171="","",(A170/86400)+25569)</f>
        <v>46169.5521064815</v>
      </c>
      <c r="C170" s="12" t="n">
        <f aca="false">IFERROR(CEILING(INT(B170*1440)/1440*288,1)/288,"")</f>
        <v>46169.5520833333</v>
      </c>
      <c r="D170" s="0" t="n">
        <f aca="false">IFERROR(MROUND((C170-25569)*86400,300),"")</f>
        <v>1779887700</v>
      </c>
    </row>
    <row r="171" customFormat="false" ht="14.25" hidden="false" customHeight="false" outlineLevel="0" collapsed="false">
      <c r="A171" s="0" t="n">
        <f aca="false">V43_New!A171</f>
        <v>1779919202</v>
      </c>
      <c r="B171" s="11" t="n">
        <f aca="false">IF(A172="","",(A171/86400)+25569)</f>
        <v>46169.9166898148</v>
      </c>
      <c r="C171" s="12" t="n">
        <f aca="false">IFERROR(CEILING(INT(B171*1440)/1440*288,1)/288,"")</f>
        <v>46169.9166666667</v>
      </c>
      <c r="D171" s="0" t="n">
        <f aca="false">IFERROR(MROUND((C171-25569)*86400,300),"")</f>
        <v>1779919200</v>
      </c>
    </row>
    <row r="172" customFormat="false" ht="14.25" hidden="false" customHeight="false" outlineLevel="0" collapsed="false">
      <c r="A172" s="0" t="n">
        <f aca="false">V43_New!A172</f>
        <v>1779941702</v>
      </c>
      <c r="B172" s="11" t="n">
        <f aca="false">IF(A173="","",(A172/86400)+25569)</f>
        <v>46170.1771064815</v>
      </c>
      <c r="C172" s="12" t="n">
        <f aca="false">IFERROR(CEILING(INT(B172*1440)/1440*288,1)/288,"")</f>
        <v>46170.1770833333</v>
      </c>
      <c r="D172" s="0" t="n">
        <f aca="false">IFERROR(MROUND((C172-25569)*86400,300),"")</f>
        <v>1779941700</v>
      </c>
    </row>
    <row r="173" customFormat="false" ht="14.25" hidden="false" customHeight="false" outlineLevel="0" collapsed="false">
      <c r="A173" s="0" t="n">
        <f aca="false">V43_New!A173</f>
        <v>1779962402</v>
      </c>
      <c r="B173" s="11" t="n">
        <f aca="false">IF(A174="","",(A173/86400)+25569)</f>
        <v>46170.4166898148</v>
      </c>
      <c r="C173" s="12" t="n">
        <f aca="false">IFERROR(CEILING(INT(B173*1440)/1440*288,1)/288,"")</f>
        <v>46170.4166666667</v>
      </c>
      <c r="D173" s="0" t="n">
        <f aca="false">IFERROR(MROUND((C173-25569)*86400,300),"")</f>
        <v>1779962400</v>
      </c>
    </row>
    <row r="174" customFormat="false" ht="14.25" hidden="false" customHeight="false" outlineLevel="0" collapsed="false">
      <c r="A174" s="0" t="n">
        <f aca="false">V43_New!A174</f>
        <v>1779965102</v>
      </c>
      <c r="B174" s="11" t="n">
        <f aca="false">IF(A175="","",(A174/86400)+25569)</f>
        <v>46170.4479398148</v>
      </c>
      <c r="C174" s="12" t="n">
        <f aca="false">IFERROR(CEILING(INT(B174*1440)/1440*288,1)/288,"")</f>
        <v>46170.4479166667</v>
      </c>
      <c r="D174" s="0" t="n">
        <f aca="false">IFERROR(MROUND((C174-25569)*86400,300),"")</f>
        <v>1779965100</v>
      </c>
    </row>
    <row r="175" customFormat="false" ht="14.25" hidden="false" customHeight="false" outlineLevel="0" collapsed="false">
      <c r="A175" s="0" t="n">
        <f aca="false">V43_New!A175</f>
        <v>1779991202</v>
      </c>
      <c r="B175" s="11" t="n">
        <f aca="false">IF(A176="","",(A175/86400)+25569)</f>
        <v>46170.7500231482</v>
      </c>
      <c r="C175" s="12" t="n">
        <f aca="false">IFERROR(CEILING(INT(B175*1440)/1440*288,1)/288,"")</f>
        <v>46170.75</v>
      </c>
      <c r="D175" s="0" t="n">
        <f aca="false">IFERROR(MROUND((C175-25569)*86400,300),"")</f>
        <v>1779991200</v>
      </c>
    </row>
    <row r="176" customFormat="false" ht="14.25" hidden="false" customHeight="false" outlineLevel="0" collapsed="false">
      <c r="A176" s="0" t="n">
        <f aca="false">V43_New!A176</f>
        <v>1780011902</v>
      </c>
      <c r="B176" s="11" t="n">
        <f aca="false">IF(A177="","",(A176/86400)+25569)</f>
        <v>46170.9896064815</v>
      </c>
      <c r="C176" s="12" t="n">
        <f aca="false">IFERROR(CEILING(INT(B176*1440)/1440*288,1)/288,"")</f>
        <v>46170.9895833333</v>
      </c>
      <c r="D176" s="0" t="n">
        <f aca="false">IFERROR(MROUND((C176-25569)*86400,300),"")</f>
        <v>1780011900</v>
      </c>
    </row>
    <row r="177" customFormat="false" ht="14.25" hidden="false" customHeight="false" outlineLevel="0" collapsed="false">
      <c r="A177" s="0" t="n">
        <f aca="false">V43_New!A177</f>
        <v>1780040702</v>
      </c>
      <c r="B177" s="11" t="n">
        <f aca="false">IF(A178="","",(A177/86400)+25569)</f>
        <v>46171.3229398148</v>
      </c>
      <c r="C177" s="12" t="n">
        <f aca="false">IFERROR(CEILING(INT(B177*1440)/1440*288,1)/288,"")</f>
        <v>46171.3229166667</v>
      </c>
      <c r="D177" s="0" t="n">
        <f aca="false">IFERROR(MROUND((C177-25569)*86400,300),"")</f>
        <v>1780040700</v>
      </c>
    </row>
    <row r="178" customFormat="false" ht="14.25" hidden="false" customHeight="false" outlineLevel="0" collapsed="false">
      <c r="A178" s="0" t="n">
        <f aca="false">V43_New!A178</f>
        <v>1780044302</v>
      </c>
      <c r="B178" s="11" t="n">
        <f aca="false">IF(A179="","",(A178/86400)+25569)</f>
        <v>46171.3646064815</v>
      </c>
      <c r="C178" s="12" t="n">
        <f aca="false">IFERROR(CEILING(INT(B178*1440)/1440*288,1)/288,"")</f>
        <v>46171.3645833333</v>
      </c>
      <c r="D178" s="0" t="n">
        <f aca="false">IFERROR(MROUND((C178-25569)*86400,300),"")</f>
        <v>1780044300</v>
      </c>
    </row>
    <row r="179" customFormat="false" ht="14.25" hidden="false" customHeight="false" outlineLevel="0" collapsed="false">
      <c r="A179" s="0" t="n">
        <f aca="false">V43_New!A179</f>
        <v>1780050602</v>
      </c>
      <c r="B179" s="11" t="n">
        <f aca="false">IF(A180="","",(A179/86400)+25569)</f>
        <v>46171.4375231482</v>
      </c>
      <c r="C179" s="12" t="n">
        <f aca="false">IFERROR(CEILING(INT(B179*1440)/1440*288,1)/288,"")</f>
        <v>46171.4375</v>
      </c>
      <c r="D179" s="0" t="n">
        <f aca="false">IFERROR(MROUND((C179-25569)*86400,300),"")</f>
        <v>1780050600</v>
      </c>
    </row>
    <row r="180" customFormat="false" ht="14.25" hidden="false" customHeight="false" outlineLevel="0" collapsed="false">
      <c r="A180" s="0" t="n">
        <f aca="false">V43_New!A180</f>
        <v>1780057802</v>
      </c>
      <c r="B180" s="11" t="n">
        <f aca="false">IF(A181="","",(A180/86400)+25569)</f>
        <v>46171.5208564815</v>
      </c>
      <c r="C180" s="12" t="n">
        <f aca="false">IFERROR(CEILING(INT(B180*1440)/1440*288,1)/288,"")</f>
        <v>46171.5208333333</v>
      </c>
      <c r="D180" s="0" t="n">
        <f aca="false">IFERROR(MROUND((C180-25569)*86400,300),"")</f>
        <v>1780057800</v>
      </c>
    </row>
    <row r="181" customFormat="false" ht="14.25" hidden="false" customHeight="false" outlineLevel="0" collapsed="false">
      <c r="A181" s="0" t="n">
        <f aca="false">V43_New!A181</f>
        <v>1780066802</v>
      </c>
      <c r="B181" s="11" t="n">
        <f aca="false">IF(A182="","",(A181/86400)+25569)</f>
        <v>46171.6250231482</v>
      </c>
      <c r="C181" s="12" t="n">
        <f aca="false">IFERROR(CEILING(INT(B181*1440)/1440*288,1)/288,"")</f>
        <v>46171.625</v>
      </c>
      <c r="D181" s="0" t="n">
        <f aca="false">IFERROR(MROUND((C181-25569)*86400,300),"")</f>
        <v>1780066800</v>
      </c>
    </row>
    <row r="182" customFormat="false" ht="14.25" hidden="false" customHeight="false" outlineLevel="0" collapsed="false">
      <c r="A182" s="0" t="n">
        <f aca="false">V43_New!A182</f>
        <v>1780087502</v>
      </c>
      <c r="B182" s="11" t="n">
        <f aca="false">IF(A183="","",(A182/86400)+25569)</f>
        <v>46171.8646064815</v>
      </c>
      <c r="C182" s="12" t="n">
        <f aca="false">IFERROR(CEILING(INT(B182*1440)/1440*288,1)/288,"")</f>
        <v>46171.8645833333</v>
      </c>
      <c r="D182" s="0" t="n">
        <f aca="false">IFERROR(MROUND((C182-25569)*86400,300),"")</f>
        <v>1780087500</v>
      </c>
    </row>
    <row r="183" customFormat="false" ht="14.25" hidden="false" customHeight="false" outlineLevel="0" collapsed="false">
      <c r="A183" s="0" t="n">
        <f aca="false">V43_New!A183</f>
        <v>1780208988</v>
      </c>
      <c r="B183" s="11" t="str">
        <f aca="false">IF(A184="","",(A183/86400)+25569)</f>
        <v/>
      </c>
      <c r="C183" s="12" t="str">
        <f aca="false">IFERROR(CEILING(INT(B183*1440)/1440*288,1)/288,"")</f>
        <v/>
      </c>
      <c r="D183" s="0" t="str">
        <f aca="false">IFERROR(MROUND((C183-25569)*86400,300),"")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83"/>
  <sheetViews>
    <sheetView showFormulas="false" showGridLines="true" showRowColHeaders="true" showZeros="true" rightToLeft="false" tabSelected="false" showOutlineSymbols="true" defaultGridColor="true" view="normal" topLeftCell="M1" colorId="64" zoomScale="60" zoomScaleNormal="60" zoomScalePageLayoutView="100" workbookViewId="0">
      <selection pane="topLeft" activeCell="AF34" activeCellId="0" sqref="AF34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0" width="17.79"/>
    <col collapsed="false" customWidth="true" hidden="false" outlineLevel="0" max="2" min="2" style="0" width="10.68"/>
    <col collapsed="false" customWidth="true" hidden="false" outlineLevel="0" max="3" min="3" style="0" width="11"/>
    <col collapsed="false" customWidth="true" hidden="false" outlineLevel="0" max="4" min="4" style="0" width="8.47"/>
    <col collapsed="false" customWidth="true" hidden="false" outlineLevel="0" max="7" min="5" style="0" width="9.52"/>
    <col collapsed="false" customWidth="true" hidden="false" outlineLevel="0" max="13" min="8" style="0" width="10.52"/>
    <col collapsed="false" customWidth="true" hidden="false" outlineLevel="0" max="14" min="14" style="0" width="9.47"/>
    <col collapsed="false" customWidth="true" hidden="false" outlineLevel="0" max="18" min="15" style="0" width="12.79"/>
    <col collapsed="false" customWidth="true" hidden="false" outlineLevel="0" max="25" min="19" style="0" width="13.74"/>
    <col collapsed="false" customWidth="true" hidden="false" outlineLevel="0" max="26" min="26" style="0" width="9.89"/>
    <col collapsed="false" customWidth="true" hidden="false" outlineLevel="0" max="29" min="29" style="0" width="14.89"/>
    <col collapsed="false" customWidth="true" hidden="false" outlineLevel="0" max="34" min="30" style="0" width="15.69"/>
  </cols>
  <sheetData>
    <row r="1" customFormat="false" ht="14.25" hidden="false" customHeight="false" outlineLevel="0" collapsed="false">
      <c r="A1" s="13" t="str">
        <f aca="false">Timestamp_Adjustment!D1</f>
        <v>timestamp_adjusted</v>
      </c>
      <c r="B1" s="13" t="str">
        <f aca="false">V43_New!D1</f>
        <v>close</v>
      </c>
      <c r="C1" s="13" t="str">
        <f aca="false">V43_New!F1</f>
        <v>CurrentPoint</v>
      </c>
      <c r="D1" s="13" t="str">
        <f aca="false">V43_New!ER1</f>
        <v>2PrevS&amp;R</v>
      </c>
      <c r="E1" s="13" t="str">
        <f aca="false">V43_New!ES1</f>
        <v>4PrevS&amp;R</v>
      </c>
      <c r="F1" s="13" t="str">
        <f aca="false">V43_New!ET1</f>
        <v>6PrevS&amp;R</v>
      </c>
      <c r="G1" s="13" t="str">
        <f aca="false">V43_New!EU1</f>
        <v>8PrevS&amp;R</v>
      </c>
      <c r="H1" s="13" t="str">
        <f aca="false">V43_New!EV1</f>
        <v>10PrevS&amp;R</v>
      </c>
      <c r="I1" s="13" t="str">
        <f aca="false">V43_New!EW1</f>
        <v>12PrevS&amp;R</v>
      </c>
      <c r="J1" s="13" t="str">
        <f aca="false">V43_New!EX1</f>
        <v>14PrevS&amp;R</v>
      </c>
      <c r="K1" s="13" t="str">
        <f aca="false">V43_New!EY1</f>
        <v>16PrevS&amp;R</v>
      </c>
      <c r="L1" s="13" t="str">
        <f aca="false">V43_New!EZ1</f>
        <v>18PrevS&amp;R</v>
      </c>
      <c r="M1" s="13" t="str">
        <f aca="false">V43_New!FA1</f>
        <v>20PrevS&amp;R</v>
      </c>
      <c r="N1" s="13" t="str">
        <f aca="false">V43_New!FB1</f>
        <v>22PrevS&amp;R</v>
      </c>
      <c r="O1" s="14" t="str">
        <f aca="false">V43_New!FC1</f>
        <v>2PrevImpEQHL</v>
      </c>
      <c r="P1" s="14" t="str">
        <f aca="false">V43_New!FD1</f>
        <v>4PrevImpEQHL</v>
      </c>
      <c r="Q1" s="14" t="str">
        <f aca="false">V43_New!FE1</f>
        <v>6PrevImpEQHL</v>
      </c>
      <c r="R1" s="14" t="str">
        <f aca="false">V43_New!FF1</f>
        <v>8PrevImpEQHL</v>
      </c>
      <c r="S1" s="14" t="str">
        <f aca="false">V43_New!FG1</f>
        <v>10PrevImpEQHL</v>
      </c>
      <c r="T1" s="14" t="str">
        <f aca="false">V43_New!FH1</f>
        <v>12PrevImpEQHL</v>
      </c>
      <c r="U1" s="14" t="str">
        <f aca="false">V43_New!FI1</f>
        <v>14PrevImpEQHL</v>
      </c>
      <c r="V1" s="14" t="str">
        <f aca="false">V43_New!FJ1</f>
        <v>16PrevImpEQHL</v>
      </c>
      <c r="W1" s="14" t="str">
        <f aca="false">V43_New!FK1</f>
        <v>18PrevImpEQHL</v>
      </c>
      <c r="X1" s="14" t="str">
        <f aca="false">V43_New!FL1</f>
        <v>20PrevImpEQHL</v>
      </c>
      <c r="Y1" s="14" t="str">
        <f aca="false">V43_New!FM1</f>
        <v>22PrevImpEQHL</v>
      </c>
      <c r="Z1" s="13" t="s">
        <v>180</v>
      </c>
      <c r="AA1" s="13" t="s">
        <v>181</v>
      </c>
      <c r="AB1" s="13" t="s">
        <v>182</v>
      </c>
      <c r="AC1" s="14" t="s">
        <v>183</v>
      </c>
      <c r="AD1" s="14" t="s">
        <v>184</v>
      </c>
      <c r="AE1" s="14" t="s">
        <v>185</v>
      </c>
      <c r="AF1" s="14" t="s">
        <v>186</v>
      </c>
      <c r="AG1" s="14" t="s">
        <v>187</v>
      </c>
      <c r="AH1" s="14" t="s">
        <v>188</v>
      </c>
    </row>
    <row r="2" customFormat="false" ht="14.25" hidden="false" customHeight="false" outlineLevel="0" collapsed="false">
      <c r="A2" s="0" t="n">
        <f aca="false">Timestamp_Adjustment!D2</f>
        <v>1776246300</v>
      </c>
      <c r="B2" s="0" t="n">
        <f aca="false">IF(A2="","",V43_New!D2)</f>
        <v>4798.21</v>
      </c>
      <c r="C2" s="0" t="n">
        <f aca="false">IF(A2="","",V43_New!F2)</f>
        <v>4786.23</v>
      </c>
      <c r="D2" s="0" t="str">
        <f aca="false">IF(A2="","",V43_New!ER2)</f>
        <v/>
      </c>
      <c r="E2" s="0" t="str">
        <f aca="false">IF(A2="","",V43_New!ES2)</f>
        <v/>
      </c>
      <c r="F2" s="0" t="str">
        <f aca="false">IF(A2="","",V43_New!ET2)</f>
        <v/>
      </c>
      <c r="G2" s="0" t="str">
        <f aca="false">IF(A2="","",V43_New!EU2)</f>
        <v/>
      </c>
      <c r="H2" s="0" t="str">
        <f aca="false">IF(A2="","",V43_New!EV2)</f>
        <v/>
      </c>
      <c r="I2" s="0" t="str">
        <f aca="false">IF(A2="","",V43_New!EW2)</f>
        <v/>
      </c>
      <c r="J2" s="0" t="str">
        <f aca="false">IF(A2="","",V43_New!EX2)</f>
        <v/>
      </c>
      <c r="K2" s="0" t="str">
        <f aca="false">IF(A2="","",V43_New!EY2)</f>
        <v/>
      </c>
      <c r="L2" s="0" t="str">
        <f aca="false">IF(A2="","",V43_New!EZ2)</f>
        <v/>
      </c>
      <c r="M2" s="0" t="str">
        <f aca="false">IF(A2="","",V43_New!FA2)</f>
        <v/>
      </c>
      <c r="N2" s="0" t="str">
        <f aca="false">IF(A2="","",V43_New!FB2)</f>
        <v/>
      </c>
      <c r="O2" s="0" t="str">
        <f aca="false">IF(A2="","",V43_New!FC2)</f>
        <v/>
      </c>
      <c r="P2" s="0" t="str">
        <f aca="false">IF(A2="","",V43_New!FD2)</f>
        <v/>
      </c>
      <c r="Q2" s="0" t="str">
        <f aca="false">IF(A2="","",V43_New!FE2)</f>
        <v/>
      </c>
      <c r="R2" s="0" t="str">
        <f aca="false">IF(A2="","",V43_New!FF2)</f>
        <v/>
      </c>
      <c r="S2" s="0" t="str">
        <f aca="false">IF(A2="","",V43_New!FG2)</f>
        <v/>
      </c>
      <c r="T2" s="0" t="str">
        <f aca="false">IF(A2="","",V43_New!FH2)</f>
        <v/>
      </c>
      <c r="U2" s="0" t="str">
        <f aca="false">IF(A2="","",V43_New!FI2)</f>
        <v/>
      </c>
      <c r="V2" s="0" t="str">
        <f aca="false">IF(A2="","",V43_New!FJ2)</f>
        <v/>
      </c>
      <c r="W2" s="0" t="str">
        <f aca="false">IF(A2="","",V43_New!FK2)</f>
        <v/>
      </c>
      <c r="X2" s="0" t="str">
        <f aca="false">IF(A2="","",V43_New!FL2)</f>
        <v/>
      </c>
      <c r="Y2" s="0" t="str">
        <f aca="false">IF(A2="","",V43_New!FM2)</f>
        <v/>
      </c>
      <c r="Z2" s="0" t="n">
        <f aca="false">IF(C3&lt;&gt;"",COUNT(C2:N2),0)</f>
        <v>1</v>
      </c>
      <c r="AA2" s="0" t="n">
        <f aca="false">IF(AND(O2="",P2="",Q2="",R2="",S2="",T2="",U2="",V2="",W2="",X2="",Y2=""),0,1)</f>
        <v>0</v>
      </c>
      <c r="AB2" s="15" t="str">
        <f aca="false">IF(OR(Z2&gt;=3,AA2=1),AVERAGE(C2:N2),"")</f>
        <v/>
      </c>
      <c r="AC2" s="16" t="n">
        <f aca="false" t="array" ref="AC2:AC2">INDEX(AB$2:AB$183,MATCH(LARGE(IF(AB$2:AB$183&lt;&gt;"",ROW(AB$2:AB$183)-1),1),IF(AB$2:AB$183&lt;&gt;"",ROW(AB$2:AB$183)-1),0))</f>
        <v>4515.51333333333</v>
      </c>
      <c r="AD2" s="16" t="n">
        <f aca="false" t="array" ref="AD2:AD2">INDEX(AB$2:AB$183,MATCH(LARGE(IF(AB$2:AB$183&lt;&gt;"",ROW(AB$2:AB$183)-1),2),IF(AB$2:AB$183&lt;&gt;"",ROW(AB$2:AB$183)-1),0))</f>
        <v>4521.39</v>
      </c>
      <c r="AE2" s="16" t="n">
        <f aca="false" t="array" ref="AE2:AE2">INDEX(AB$2:AB$183,MATCH(LARGE(IF(AB$2:AB$183&lt;&gt;"",ROW(AB$2:AB$183)-1),3),IF(AB$2:AB$183&lt;&gt;"",ROW(AB$2:AB$183)-1),0))</f>
        <v>4370.895</v>
      </c>
      <c r="AF2" s="16" t="n">
        <f aca="false" t="array" ref="AF2:AF2">INDEX(AB$2:AB$183,MATCH(LARGE(IF(AB$2:AB$183&lt;&gt;"",ROW(AB$2:AB$183)-1),4),IF(AB$2:AB$183&lt;&gt;"",ROW(AB$2:AB$183)-1),0))</f>
        <v>4492.20666666667</v>
      </c>
      <c r="AG2" s="16" t="n">
        <f aca="false" t="array" ref="AG2:AG2">INDEX(AB$2:AB$183,MATCH(LARGE(IF(AB$2:AB$183&lt;&gt;"",ROW(AB$2:AB$183)-1),5),IF(AB$2:AB$183&lt;&gt;"",ROW(AB$2:AB$183)-1),0))</f>
        <v>4538.4</v>
      </c>
      <c r="AH2" s="16" t="n">
        <f aca="false" t="array" ref="AH2:AH2">INDEX(AB$2:AB$183,MATCH(LARGE(IF(AB$2:AB$183&lt;&gt;"",ROW(AB$2:AB$183)-1),6),IF(AB$2:AB$183&lt;&gt;"",ROW(AB$2:AB$183)-1),0))</f>
        <v>4487.79666666667</v>
      </c>
    </row>
    <row r="3" customFormat="false" ht="14.25" hidden="false" customHeight="false" outlineLevel="0" collapsed="false">
      <c r="A3" s="0" t="n">
        <f aca="false">Timestamp_Adjustment!D3</f>
        <v>1776262500</v>
      </c>
      <c r="B3" s="0" t="n">
        <f aca="false">IF(A3="","",V43_New!D3)</f>
        <v>4825.22</v>
      </c>
      <c r="C3" s="0" t="n">
        <f aca="false">IF(A3="","",V43_New!F3)</f>
        <v>4830.39</v>
      </c>
      <c r="D3" s="0" t="str">
        <f aca="false">IF(A3="","",V43_New!ER3)</f>
        <v/>
      </c>
      <c r="E3" s="0" t="str">
        <f aca="false">IF(A3="","",V43_New!ES3)</f>
        <v/>
      </c>
      <c r="F3" s="0" t="str">
        <f aca="false">IF(A3="","",V43_New!ET3)</f>
        <v/>
      </c>
      <c r="G3" s="0" t="str">
        <f aca="false">IF(A3="","",V43_New!EU3)</f>
        <v/>
      </c>
      <c r="H3" s="0" t="str">
        <f aca="false">IF(A3="","",V43_New!EV3)</f>
        <v/>
      </c>
      <c r="I3" s="0" t="str">
        <f aca="false">IF(A3="","",V43_New!EW3)</f>
        <v/>
      </c>
      <c r="J3" s="0" t="str">
        <f aca="false">IF(A3="","",V43_New!EX3)</f>
        <v/>
      </c>
      <c r="K3" s="0" t="str">
        <f aca="false">IF(A3="","",V43_New!EY3)</f>
        <v/>
      </c>
      <c r="L3" s="0" t="str">
        <f aca="false">IF(A3="","",V43_New!EZ3)</f>
        <v/>
      </c>
      <c r="M3" s="0" t="str">
        <f aca="false">IF(A3="","",V43_New!FA3)</f>
        <v/>
      </c>
      <c r="N3" s="0" t="str">
        <f aca="false">IF(A3="","",V43_New!FB3)</f>
        <v/>
      </c>
      <c r="O3" s="0" t="str">
        <f aca="false">IF(A3="","",V43_New!FC3)</f>
        <v/>
      </c>
      <c r="P3" s="0" t="str">
        <f aca="false">IF(A3="","",V43_New!FD3)</f>
        <v/>
      </c>
      <c r="Q3" s="0" t="str">
        <f aca="false">IF(A3="","",V43_New!FE3)</f>
        <v/>
      </c>
      <c r="R3" s="0" t="str">
        <f aca="false">IF(A3="","",V43_New!FF3)</f>
        <v/>
      </c>
      <c r="S3" s="0" t="str">
        <f aca="false">IF(A3="","",V43_New!FG3)</f>
        <v/>
      </c>
      <c r="T3" s="0" t="str">
        <f aca="false">IF(A3="","",V43_New!FH3)</f>
        <v/>
      </c>
      <c r="U3" s="0" t="str">
        <f aca="false">IF(A3="","",V43_New!FI3)</f>
        <v/>
      </c>
      <c r="V3" s="0" t="str">
        <f aca="false">IF(A3="","",V43_New!FJ3)</f>
        <v/>
      </c>
      <c r="W3" s="0" t="str">
        <f aca="false">IF(A3="","",V43_New!FK3)</f>
        <v/>
      </c>
      <c r="X3" s="0" t="str">
        <f aca="false">IF(A3="","",V43_New!FL3)</f>
        <v/>
      </c>
      <c r="Y3" s="0" t="str">
        <f aca="false">IF(A3="","",V43_New!FM3)</f>
        <v/>
      </c>
      <c r="Z3" s="0" t="n">
        <f aca="false">IF(C4&lt;&gt;"",COUNT(C3:N3),0)</f>
        <v>1</v>
      </c>
      <c r="AA3" s="0" t="n">
        <f aca="false">IF(AND(O3="",P3="",Q3="",R3="",S3="",T3="",U3="",V3="",W3="",X3="",Y3=""),0,1)</f>
        <v>0</v>
      </c>
      <c r="AB3" s="15" t="str">
        <f aca="false">IF(OR(Z3&gt;=3,AA3=1),AVERAGE(C3:N3),"")</f>
        <v/>
      </c>
    </row>
    <row r="4" customFormat="false" ht="14.25" hidden="false" customHeight="false" outlineLevel="0" collapsed="false">
      <c r="A4" s="0" t="n">
        <f aca="false">Timestamp_Adjustment!D4</f>
        <v>1776267000</v>
      </c>
      <c r="B4" s="0" t="n">
        <f aca="false">IF(A4="","",V43_New!D4)</f>
        <v>4803.64</v>
      </c>
      <c r="C4" s="0" t="n">
        <f aca="false">IF(A4="","",V43_New!F4)</f>
        <v>4787.17</v>
      </c>
      <c r="D4" s="0" t="n">
        <f aca="false">IF(A4="","",V43_New!ER4)</f>
        <v>4786.23</v>
      </c>
      <c r="E4" s="0" t="str">
        <f aca="false">IF(A4="","",V43_New!ES4)</f>
        <v/>
      </c>
      <c r="F4" s="0" t="str">
        <f aca="false">IF(A4="","",V43_New!ET4)</f>
        <v/>
      </c>
      <c r="G4" s="0" t="str">
        <f aca="false">IF(A4="","",V43_New!EU4)</f>
        <v/>
      </c>
      <c r="H4" s="0" t="str">
        <f aca="false">IF(A4="","",V43_New!EV4)</f>
        <v/>
      </c>
      <c r="I4" s="0" t="str">
        <f aca="false">IF(A4="","",V43_New!EW4)</f>
        <v/>
      </c>
      <c r="J4" s="0" t="str">
        <f aca="false">IF(A4="","",V43_New!EX4)</f>
        <v/>
      </c>
      <c r="K4" s="0" t="str">
        <f aca="false">IF(A4="","",V43_New!EY4)</f>
        <v/>
      </c>
      <c r="L4" s="0" t="str">
        <f aca="false">IF(A4="","",V43_New!EZ4)</f>
        <v/>
      </c>
      <c r="M4" s="0" t="str">
        <f aca="false">IF(A4="","",V43_New!FA4)</f>
        <v/>
      </c>
      <c r="N4" s="0" t="str">
        <f aca="false">IF(A4="","",V43_New!FB4)</f>
        <v/>
      </c>
      <c r="O4" s="0" t="str">
        <f aca="false">IF(A4="","",V43_New!FC4)</f>
        <v/>
      </c>
      <c r="P4" s="0" t="str">
        <f aca="false">IF(A4="","",V43_New!FD4)</f>
        <v/>
      </c>
      <c r="Q4" s="0" t="str">
        <f aca="false">IF(A4="","",V43_New!FE4)</f>
        <v/>
      </c>
      <c r="R4" s="0" t="str">
        <f aca="false">IF(A4="","",V43_New!FF4)</f>
        <v/>
      </c>
      <c r="S4" s="0" t="str">
        <f aca="false">IF(A4="","",V43_New!FG4)</f>
        <v/>
      </c>
      <c r="T4" s="0" t="str">
        <f aca="false">IF(A4="","",V43_New!FH4)</f>
        <v/>
      </c>
      <c r="U4" s="0" t="str">
        <f aca="false">IF(A4="","",V43_New!FI4)</f>
        <v/>
      </c>
      <c r="V4" s="0" t="str">
        <f aca="false">IF(A4="","",V43_New!FJ4)</f>
        <v/>
      </c>
      <c r="W4" s="0" t="str">
        <f aca="false">IF(A4="","",V43_New!FK4)</f>
        <v/>
      </c>
      <c r="X4" s="0" t="str">
        <f aca="false">IF(A4="","",V43_New!FL4)</f>
        <v/>
      </c>
      <c r="Y4" s="0" t="str">
        <f aca="false">IF(A4="","",V43_New!FM4)</f>
        <v/>
      </c>
      <c r="Z4" s="0" t="n">
        <f aca="false">IF(C5&lt;&gt;"",COUNT(C4:N4),0)</f>
        <v>2</v>
      </c>
      <c r="AA4" s="0" t="n">
        <f aca="false">IF(AND(O4="",P4="",Q4="",R4="",S4="",T4="",U4="",V4="",W4="",X4="",Y4=""),0,1)</f>
        <v>0</v>
      </c>
      <c r="AB4" s="15" t="str">
        <f aca="false">IF(OR(Z4&gt;=3,AA4=1),AVERAGE(C4:N4),"")</f>
        <v/>
      </c>
    </row>
    <row r="5" customFormat="false" ht="14.25" hidden="false" customHeight="false" outlineLevel="0" collapsed="false">
      <c r="A5" s="0" t="n">
        <f aca="false">Timestamp_Adjustment!D5</f>
        <v>1776315600</v>
      </c>
      <c r="B5" s="0" t="n">
        <f aca="false">IF(A5="","",V43_New!D5)</f>
        <v>4834.26</v>
      </c>
      <c r="C5" s="0" t="n">
        <f aca="false">IF(A5="","",V43_New!F5)</f>
        <v>4838.38</v>
      </c>
      <c r="D5" s="0" t="str">
        <f aca="false">IF(A5="","",V43_New!ER5)</f>
        <v/>
      </c>
      <c r="E5" s="0" t="str">
        <f aca="false">IF(A5="","",V43_New!ES5)</f>
        <v/>
      </c>
      <c r="F5" s="0" t="str">
        <f aca="false">IF(A5="","",V43_New!ET5)</f>
        <v/>
      </c>
      <c r="G5" s="0" t="str">
        <f aca="false">IF(A5="","",V43_New!EU5)</f>
        <v/>
      </c>
      <c r="H5" s="0" t="str">
        <f aca="false">IF(A5="","",V43_New!EV5)</f>
        <v/>
      </c>
      <c r="I5" s="0" t="str">
        <f aca="false">IF(A5="","",V43_New!EW5)</f>
        <v/>
      </c>
      <c r="J5" s="0" t="str">
        <f aca="false">IF(A5="","",V43_New!EX5)</f>
        <v/>
      </c>
      <c r="K5" s="0" t="str">
        <f aca="false">IF(A5="","",V43_New!EY5)</f>
        <v/>
      </c>
      <c r="L5" s="0" t="str">
        <f aca="false">IF(A5="","",V43_New!EZ5)</f>
        <v/>
      </c>
      <c r="M5" s="0" t="str">
        <f aca="false">IF(A5="","",V43_New!FA5)</f>
        <v/>
      </c>
      <c r="N5" s="0" t="str">
        <f aca="false">IF(A5="","",V43_New!FB5)</f>
        <v/>
      </c>
      <c r="O5" s="0" t="str">
        <f aca="false">IF(A5="","",V43_New!FC5)</f>
        <v/>
      </c>
      <c r="P5" s="0" t="str">
        <f aca="false">IF(A5="","",V43_New!FD5)</f>
        <v/>
      </c>
      <c r="Q5" s="0" t="str">
        <f aca="false">IF(A5="","",V43_New!FE5)</f>
        <v/>
      </c>
      <c r="R5" s="0" t="str">
        <f aca="false">IF(A5="","",V43_New!FF5)</f>
        <v/>
      </c>
      <c r="S5" s="0" t="str">
        <f aca="false">IF(A5="","",V43_New!FG5)</f>
        <v/>
      </c>
      <c r="T5" s="0" t="str">
        <f aca="false">IF(A5="","",V43_New!FH5)</f>
        <v/>
      </c>
      <c r="U5" s="0" t="str">
        <f aca="false">IF(A5="","",V43_New!FI5)</f>
        <v/>
      </c>
      <c r="V5" s="0" t="str">
        <f aca="false">IF(A5="","",V43_New!FJ5)</f>
        <v/>
      </c>
      <c r="W5" s="0" t="str">
        <f aca="false">IF(A5="","",V43_New!FK5)</f>
        <v/>
      </c>
      <c r="X5" s="0" t="str">
        <f aca="false">IF(A5="","",V43_New!FL5)</f>
        <v/>
      </c>
      <c r="Y5" s="0" t="str">
        <f aca="false">IF(A5="","",V43_New!FM5)</f>
        <v/>
      </c>
      <c r="Z5" s="0" t="n">
        <f aca="false">IF(C6&lt;&gt;"",COUNT(C5:N5),0)</f>
        <v>1</v>
      </c>
      <c r="AA5" s="0" t="n">
        <f aca="false">IF(AND(O5="",P5="",Q5="",R5="",S5="",T5="",U5="",V5="",W5="",X5="",Y5=""),0,1)</f>
        <v>0</v>
      </c>
      <c r="AB5" s="15" t="str">
        <f aca="false">IF(OR(Z5&gt;=3,AA5=1),AVERAGE(C5:N5),"")</f>
        <v/>
      </c>
    </row>
    <row r="6" customFormat="false" ht="14.25" hidden="false" customHeight="false" outlineLevel="0" collapsed="false">
      <c r="A6" s="0" t="n">
        <f aca="false">Timestamp_Adjustment!D6</f>
        <v>1776335400</v>
      </c>
      <c r="B6" s="0" t="n">
        <f aca="false">IF(A6="","",V43_New!D6)</f>
        <v>4808.4</v>
      </c>
      <c r="C6" s="0" t="n">
        <f aca="false">IF(A6="","",V43_New!F6)</f>
        <v>4805.21</v>
      </c>
      <c r="D6" s="0" t="str">
        <f aca="false">IF(A6="","",V43_New!ER6)</f>
        <v/>
      </c>
      <c r="E6" s="0" t="str">
        <f aca="false">IF(A6="","",V43_New!ES6)</f>
        <v/>
      </c>
      <c r="F6" s="0" t="str">
        <f aca="false">IF(A6="","",V43_New!ET6)</f>
        <v/>
      </c>
      <c r="G6" s="0" t="str">
        <f aca="false">IF(A6="","",V43_New!EU6)</f>
        <v/>
      </c>
      <c r="H6" s="0" t="str">
        <f aca="false">IF(A6="","",V43_New!EV6)</f>
        <v/>
      </c>
      <c r="I6" s="0" t="str">
        <f aca="false">IF(A6="","",V43_New!EW6)</f>
        <v/>
      </c>
      <c r="J6" s="0" t="str">
        <f aca="false">IF(A6="","",V43_New!EX6)</f>
        <v/>
      </c>
      <c r="K6" s="0" t="str">
        <f aca="false">IF(A6="","",V43_New!EY6)</f>
        <v/>
      </c>
      <c r="L6" s="0" t="str">
        <f aca="false">IF(A6="","",V43_New!EZ6)</f>
        <v/>
      </c>
      <c r="M6" s="0" t="str">
        <f aca="false">IF(A6="","",V43_New!FA6)</f>
        <v/>
      </c>
      <c r="N6" s="0" t="str">
        <f aca="false">IF(A6="","",V43_New!FB6)</f>
        <v/>
      </c>
      <c r="O6" s="0" t="str">
        <f aca="false">IF(A6="","",V43_New!FC6)</f>
        <v/>
      </c>
      <c r="P6" s="0" t="str">
        <f aca="false">IF(A6="","",V43_New!FD6)</f>
        <v/>
      </c>
      <c r="Q6" s="0" t="str">
        <f aca="false">IF(A6="","",V43_New!FE6)</f>
        <v/>
      </c>
      <c r="R6" s="0" t="str">
        <f aca="false">IF(A6="","",V43_New!FF6)</f>
        <v/>
      </c>
      <c r="S6" s="0" t="str">
        <f aca="false">IF(A6="","",V43_New!FG6)</f>
        <v/>
      </c>
      <c r="T6" s="0" t="str">
        <f aca="false">IF(A6="","",V43_New!FH6)</f>
        <v/>
      </c>
      <c r="U6" s="0" t="str">
        <f aca="false">IF(A6="","",V43_New!FI6)</f>
        <v/>
      </c>
      <c r="V6" s="0" t="str">
        <f aca="false">IF(A6="","",V43_New!FJ6)</f>
        <v/>
      </c>
      <c r="W6" s="0" t="str">
        <f aca="false">IF(A6="","",V43_New!FK6)</f>
        <v/>
      </c>
      <c r="X6" s="0" t="str">
        <f aca="false">IF(A6="","",V43_New!FL6)</f>
        <v/>
      </c>
      <c r="Y6" s="0" t="str">
        <f aca="false">IF(A6="","",V43_New!FM6)</f>
        <v/>
      </c>
      <c r="Z6" s="0" t="n">
        <f aca="false">IF(C7&lt;&gt;"",COUNT(C6:N6),0)</f>
        <v>1</v>
      </c>
      <c r="AA6" s="0" t="n">
        <f aca="false">IF(AND(O6="",P6="",Q6="",R6="",S6="",T6="",U6="",V6="",W6="",X6="",Y6=""),0,1)</f>
        <v>0</v>
      </c>
      <c r="AB6" s="15" t="str">
        <f aca="false">IF(OR(Z6&gt;=3,AA6=1),AVERAGE(C6:N6),"")</f>
        <v/>
      </c>
    </row>
    <row r="7" customFormat="false" ht="14.25" hidden="false" customHeight="false" outlineLevel="0" collapsed="false">
      <c r="A7" s="0" t="n">
        <f aca="false">Timestamp_Adjustment!D7</f>
        <v>1776346200</v>
      </c>
      <c r="B7" s="0" t="n">
        <f aca="false">IF(A7="","",V43_New!D7)</f>
        <v>4816.26</v>
      </c>
      <c r="C7" s="0" t="n">
        <f aca="false">IF(A7="","",V43_New!F7)</f>
        <v>4823.81</v>
      </c>
      <c r="D7" s="0" t="str">
        <f aca="false">IF(A7="","",V43_New!ER7)</f>
        <v/>
      </c>
      <c r="E7" s="0" t="str">
        <f aca="false">IF(A7="","",V43_New!ES7)</f>
        <v/>
      </c>
      <c r="F7" s="0" t="str">
        <f aca="false">IF(A7="","",V43_New!ET7)</f>
        <v/>
      </c>
      <c r="G7" s="0" t="str">
        <f aca="false">IF(A7="","",V43_New!EU7)</f>
        <v/>
      </c>
      <c r="H7" s="0" t="str">
        <f aca="false">IF(A7="","",V43_New!EV7)</f>
        <v/>
      </c>
      <c r="I7" s="0" t="str">
        <f aca="false">IF(A7="","",V43_New!EW7)</f>
        <v/>
      </c>
      <c r="J7" s="0" t="str">
        <f aca="false">IF(A7="","",V43_New!EX7)</f>
        <v/>
      </c>
      <c r="K7" s="0" t="str">
        <f aca="false">IF(A7="","",V43_New!EY7)</f>
        <v/>
      </c>
      <c r="L7" s="0" t="str">
        <f aca="false">IF(A7="","",V43_New!EZ7)</f>
        <v/>
      </c>
      <c r="M7" s="0" t="str">
        <f aca="false">IF(A7="","",V43_New!FA7)</f>
        <v/>
      </c>
      <c r="N7" s="0" t="str">
        <f aca="false">IF(A7="","",V43_New!FB7)</f>
        <v/>
      </c>
      <c r="O7" s="0" t="str">
        <f aca="false">IF(A7="","",V43_New!FC7)</f>
        <v/>
      </c>
      <c r="P7" s="0" t="str">
        <f aca="false">IF(A7="","",V43_New!FD7)</f>
        <v/>
      </c>
      <c r="Q7" s="0" t="str">
        <f aca="false">IF(A7="","",V43_New!FE7)</f>
        <v/>
      </c>
      <c r="R7" s="0" t="str">
        <f aca="false">IF(A7="","",V43_New!FF7)</f>
        <v/>
      </c>
      <c r="S7" s="0" t="str">
        <f aca="false">IF(A7="","",V43_New!FG7)</f>
        <v/>
      </c>
      <c r="T7" s="0" t="str">
        <f aca="false">IF(A7="","",V43_New!FH7)</f>
        <v/>
      </c>
      <c r="U7" s="0" t="str">
        <f aca="false">IF(A7="","",V43_New!FI7)</f>
        <v/>
      </c>
      <c r="V7" s="0" t="str">
        <f aca="false">IF(A7="","",V43_New!FJ7)</f>
        <v/>
      </c>
      <c r="W7" s="0" t="str">
        <f aca="false">IF(A7="","",V43_New!FK7)</f>
        <v/>
      </c>
      <c r="X7" s="0" t="str">
        <f aca="false">IF(A7="","",V43_New!FL7)</f>
        <v/>
      </c>
      <c r="Y7" s="0" t="str">
        <f aca="false">IF(A7="","",V43_New!FM7)</f>
        <v/>
      </c>
      <c r="Z7" s="0" t="n">
        <f aca="false">IF(C8&lt;&gt;"",COUNT(C7:N7),0)</f>
        <v>1</v>
      </c>
      <c r="AA7" s="0" t="n">
        <f aca="false">IF(AND(O7="",P7="",Q7="",R7="",S7="",T7="",U7="",V7="",W7="",X7="",Y7=""),0,1)</f>
        <v>0</v>
      </c>
      <c r="AB7" s="15" t="str">
        <f aca="false">IF(OR(Z7&gt;=3,AA7=1),AVERAGE(C7:N7),"")</f>
        <v/>
      </c>
    </row>
    <row r="8" customFormat="false" ht="14.25" hidden="false" customHeight="false" outlineLevel="0" collapsed="false">
      <c r="A8" s="0" t="n">
        <f aca="false">Timestamp_Adjustment!D8</f>
        <v>1776349800</v>
      </c>
      <c r="B8" s="0" t="n">
        <f aca="false">IF(A8="","",V43_New!D8)</f>
        <v>4787.73</v>
      </c>
      <c r="C8" s="0" t="n">
        <f aca="false">IF(A8="","",V43_New!F8)</f>
        <v>4772.67</v>
      </c>
      <c r="D8" s="0" t="str">
        <f aca="false">IF(A8="","",V43_New!ER8)</f>
        <v/>
      </c>
      <c r="E8" s="0" t="str">
        <f aca="false">IF(A8="","",V43_New!ES8)</f>
        <v/>
      </c>
      <c r="F8" s="0" t="str">
        <f aca="false">IF(A8="","",V43_New!ET8)</f>
        <v/>
      </c>
      <c r="G8" s="0" t="str">
        <f aca="false">IF(A8="","",V43_New!EU8)</f>
        <v/>
      </c>
      <c r="H8" s="0" t="str">
        <f aca="false">IF(A8="","",V43_New!EV8)</f>
        <v/>
      </c>
      <c r="I8" s="0" t="str">
        <f aca="false">IF(A8="","",V43_New!EW8)</f>
        <v/>
      </c>
      <c r="J8" s="0" t="str">
        <f aca="false">IF(A8="","",V43_New!EX8)</f>
        <v/>
      </c>
      <c r="K8" s="0" t="str">
        <f aca="false">IF(A8="","",V43_New!EY8)</f>
        <v/>
      </c>
      <c r="L8" s="0" t="str">
        <f aca="false">IF(A8="","",V43_New!EZ8)</f>
        <v/>
      </c>
      <c r="M8" s="0" t="str">
        <f aca="false">IF(A8="","",V43_New!FA8)</f>
        <v/>
      </c>
      <c r="N8" s="0" t="str">
        <f aca="false">IF(A8="","",V43_New!FB8)</f>
        <v/>
      </c>
      <c r="O8" s="0" t="str">
        <f aca="false">IF(A8="","",V43_New!FC8)</f>
        <v/>
      </c>
      <c r="P8" s="0" t="str">
        <f aca="false">IF(A8="","",V43_New!FD8)</f>
        <v/>
      </c>
      <c r="Q8" s="0" t="str">
        <f aca="false">IF(A8="","",V43_New!FE8)</f>
        <v/>
      </c>
      <c r="R8" s="0" t="str">
        <f aca="false">IF(A8="","",V43_New!FF8)</f>
        <v/>
      </c>
      <c r="S8" s="0" t="str">
        <f aca="false">IF(A8="","",V43_New!FG8)</f>
        <v/>
      </c>
      <c r="T8" s="0" t="str">
        <f aca="false">IF(A8="","",V43_New!FH8)</f>
        <v/>
      </c>
      <c r="U8" s="0" t="str">
        <f aca="false">IF(A8="","",V43_New!FI8)</f>
        <v/>
      </c>
      <c r="V8" s="0" t="str">
        <f aca="false">IF(A8="","",V43_New!FJ8)</f>
        <v/>
      </c>
      <c r="W8" s="0" t="str">
        <f aca="false">IF(A8="","",V43_New!FK8)</f>
        <v/>
      </c>
      <c r="X8" s="0" t="str">
        <f aca="false">IF(A8="","",V43_New!FL8)</f>
        <v/>
      </c>
      <c r="Y8" s="0" t="str">
        <f aca="false">IF(A8="","",V43_New!FM8)</f>
        <v/>
      </c>
      <c r="Z8" s="0" t="n">
        <f aca="false">IF(C9&lt;&gt;"",COUNT(C8:N8),0)</f>
        <v>1</v>
      </c>
      <c r="AA8" s="0" t="n">
        <f aca="false">IF(AND(O8="",P8="",Q8="",R8="",S8="",T8="",U8="",V8="",W8="",X8="",Y8=""),0,1)</f>
        <v>0</v>
      </c>
      <c r="AB8" s="15" t="str">
        <f aca="false">IF(OR(Z8&gt;=3,AA8=1),AVERAGE(C8:N8),"")</f>
        <v/>
      </c>
    </row>
    <row r="9" customFormat="false" ht="14.25" hidden="false" customHeight="false" outlineLevel="0" collapsed="false">
      <c r="A9" s="0" t="n">
        <f aca="false">Timestamp_Adjustment!D9</f>
        <v>1776368700</v>
      </c>
      <c r="B9" s="0" t="n">
        <f aca="false">IF(A9="","",V43_New!D9)</f>
        <v>4793.52</v>
      </c>
      <c r="C9" s="0" t="n">
        <f aca="false">IF(A9="","",V43_New!F9)</f>
        <v>4798.58</v>
      </c>
      <c r="D9" s="0" t="str">
        <f aca="false">IF(A9="","",V43_New!ER9)</f>
        <v/>
      </c>
      <c r="E9" s="0" t="str">
        <f aca="false">IF(A9="","",V43_New!ES9)</f>
        <v/>
      </c>
      <c r="F9" s="0" t="str">
        <f aca="false">IF(A9="","",V43_New!ET9)</f>
        <v/>
      </c>
      <c r="G9" s="0" t="str">
        <f aca="false">IF(A9="","",V43_New!EU9)</f>
        <v/>
      </c>
      <c r="H9" s="0" t="str">
        <f aca="false">IF(A9="","",V43_New!EV9)</f>
        <v/>
      </c>
      <c r="I9" s="0" t="str">
        <f aca="false">IF(A9="","",V43_New!EW9)</f>
        <v/>
      </c>
      <c r="J9" s="0" t="str">
        <f aca="false">IF(A9="","",V43_New!EX9)</f>
        <v/>
      </c>
      <c r="K9" s="0" t="str">
        <f aca="false">IF(A9="","",V43_New!EY9)</f>
        <v/>
      </c>
      <c r="L9" s="0" t="str">
        <f aca="false">IF(A9="","",V43_New!EZ9)</f>
        <v/>
      </c>
      <c r="M9" s="0" t="str">
        <f aca="false">IF(A9="","",V43_New!FA9)</f>
        <v/>
      </c>
      <c r="N9" s="0" t="str">
        <f aca="false">IF(A9="","",V43_New!FB9)</f>
        <v/>
      </c>
      <c r="O9" s="0" t="str">
        <f aca="false">IF(A9="","",V43_New!FC9)</f>
        <v/>
      </c>
      <c r="P9" s="0" t="str">
        <f aca="false">IF(A9="","",V43_New!FD9)</f>
        <v/>
      </c>
      <c r="Q9" s="0" t="str">
        <f aca="false">IF(A9="","",V43_New!FE9)</f>
        <v/>
      </c>
      <c r="R9" s="0" t="str">
        <f aca="false">IF(A9="","",V43_New!FF9)</f>
        <v/>
      </c>
      <c r="S9" s="0" t="str">
        <f aca="false">IF(A9="","",V43_New!FG9)</f>
        <v/>
      </c>
      <c r="T9" s="0" t="str">
        <f aca="false">IF(A9="","",V43_New!FH9)</f>
        <v/>
      </c>
      <c r="U9" s="0" t="str">
        <f aca="false">IF(A9="","",V43_New!FI9)</f>
        <v/>
      </c>
      <c r="V9" s="0" t="str">
        <f aca="false">IF(A9="","",V43_New!FJ9)</f>
        <v/>
      </c>
      <c r="W9" s="0" t="str">
        <f aca="false">IF(A9="","",V43_New!FK9)</f>
        <v/>
      </c>
      <c r="X9" s="0" t="str">
        <f aca="false">IF(A9="","",V43_New!FL9)</f>
        <v/>
      </c>
      <c r="Y9" s="0" t="str">
        <f aca="false">IF(A9="","",V43_New!FM9)</f>
        <v/>
      </c>
      <c r="Z9" s="0" t="n">
        <f aca="false">IF(C10&lt;&gt;"",COUNT(C9:N9),0)</f>
        <v>1</v>
      </c>
      <c r="AA9" s="0" t="n">
        <f aca="false">IF(AND(O9="",P9="",Q9="",R9="",S9="",T9="",U9="",V9="",W9="",X9="",Y9=""),0,1)</f>
        <v>0</v>
      </c>
      <c r="AB9" s="15" t="str">
        <f aca="false">IF(OR(Z9&gt;=3,AA9=1),AVERAGE(C9:N9),"")</f>
        <v/>
      </c>
    </row>
    <row r="10" customFormat="false" ht="14.25" hidden="false" customHeight="false" outlineLevel="0" collapsed="false">
      <c r="A10" s="0" t="n">
        <f aca="false">Timestamp_Adjustment!D10</f>
        <v>1776384000</v>
      </c>
      <c r="B10" s="0" t="n">
        <f aca="false">IF(A10="","",V43_New!D10)</f>
        <v>4790.4</v>
      </c>
      <c r="C10" s="0" t="n">
        <f aca="false">IF(A10="","",V43_New!F10)</f>
        <v>4786.1</v>
      </c>
      <c r="D10" s="0" t="str">
        <f aca="false">IF(A10="","",V43_New!ER10)</f>
        <v/>
      </c>
      <c r="E10" s="0" t="str">
        <f aca="false">IF(A10="","",V43_New!ES10)</f>
        <v/>
      </c>
      <c r="F10" s="0" t="str">
        <f aca="false">IF(A10="","",V43_New!ET10)</f>
        <v/>
      </c>
      <c r="G10" s="0" t="n">
        <f aca="false">IF(A10="","",V43_New!EU10)</f>
        <v>4786.23</v>
      </c>
      <c r="H10" s="0" t="str">
        <f aca="false">IF(A10="","",V43_New!EV10)</f>
        <v/>
      </c>
      <c r="I10" s="0" t="str">
        <f aca="false">IF(A10="","",V43_New!EW10)</f>
        <v/>
      </c>
      <c r="J10" s="0" t="str">
        <f aca="false">IF(A10="","",V43_New!EX10)</f>
        <v/>
      </c>
      <c r="K10" s="0" t="str">
        <f aca="false">IF(A10="","",V43_New!EY10)</f>
        <v/>
      </c>
      <c r="L10" s="0" t="str">
        <f aca="false">IF(A10="","",V43_New!EZ10)</f>
        <v/>
      </c>
      <c r="M10" s="0" t="str">
        <f aca="false">IF(A10="","",V43_New!FA10)</f>
        <v/>
      </c>
      <c r="N10" s="0" t="str">
        <f aca="false">IF(A10="","",V43_New!FB10)</f>
        <v/>
      </c>
      <c r="O10" s="0" t="str">
        <f aca="false">IF(A10="","",V43_New!FC10)</f>
        <v/>
      </c>
      <c r="P10" s="0" t="str">
        <f aca="false">IF(A10="","",V43_New!FD10)</f>
        <v/>
      </c>
      <c r="Q10" s="0" t="str">
        <f aca="false">IF(A10="","",V43_New!FE10)</f>
        <v/>
      </c>
      <c r="R10" s="0" t="str">
        <f aca="false">IF(A10="","",V43_New!FF10)</f>
        <v/>
      </c>
      <c r="S10" s="0" t="str">
        <f aca="false">IF(A10="","",V43_New!FG10)</f>
        <v/>
      </c>
      <c r="T10" s="0" t="str">
        <f aca="false">IF(A10="","",V43_New!FH10)</f>
        <v/>
      </c>
      <c r="U10" s="0" t="str">
        <f aca="false">IF(A10="","",V43_New!FI10)</f>
        <v/>
      </c>
      <c r="V10" s="0" t="str">
        <f aca="false">IF(A10="","",V43_New!FJ10)</f>
        <v/>
      </c>
      <c r="W10" s="0" t="str">
        <f aca="false">IF(A10="","",V43_New!FK10)</f>
        <v/>
      </c>
      <c r="X10" s="0" t="str">
        <f aca="false">IF(A10="","",V43_New!FL10)</f>
        <v/>
      </c>
      <c r="Y10" s="0" t="str">
        <f aca="false">IF(A10="","",V43_New!FM10)</f>
        <v/>
      </c>
      <c r="Z10" s="0" t="n">
        <f aca="false">IF(C11&lt;&gt;"",COUNT(C10:N10),0)</f>
        <v>2</v>
      </c>
      <c r="AA10" s="0" t="n">
        <f aca="false">IF(AND(O10="",P10="",Q10="",R10="",S10="",T10="",U10="",V10="",W10="",X10="",Y10=""),0,1)</f>
        <v>0</v>
      </c>
      <c r="AB10" s="15" t="str">
        <f aca="false">IF(OR(Z10&gt;=3,AA10=1),AVERAGE(C10:N10),"")</f>
        <v/>
      </c>
    </row>
    <row r="11" customFormat="false" ht="14.25" hidden="false" customHeight="false" outlineLevel="0" collapsed="false">
      <c r="A11" s="0" t="n">
        <f aca="false">Timestamp_Adjustment!D11</f>
        <v>1776386700</v>
      </c>
      <c r="B11" s="0" t="n">
        <f aca="false">IF(A11="","",V43_New!D11)</f>
        <v>4794.9</v>
      </c>
      <c r="C11" s="0" t="n">
        <f aca="false">IF(A11="","",V43_New!F11)</f>
        <v>4801.12</v>
      </c>
      <c r="D11" s="0" t="str">
        <f aca="false">IF(A11="","",V43_New!ER11)</f>
        <v/>
      </c>
      <c r="E11" s="0" t="str">
        <f aca="false">IF(A11="","",V43_New!ES11)</f>
        <v/>
      </c>
      <c r="F11" s="0" t="str">
        <f aca="false">IF(A11="","",V43_New!ET11)</f>
        <v/>
      </c>
      <c r="G11" s="0" t="str">
        <f aca="false">IF(A11="","",V43_New!EU11)</f>
        <v/>
      </c>
      <c r="H11" s="0" t="str">
        <f aca="false">IF(A11="","",V43_New!EV11)</f>
        <v/>
      </c>
      <c r="I11" s="0" t="str">
        <f aca="false">IF(A11="","",V43_New!EW11)</f>
        <v/>
      </c>
      <c r="J11" s="0" t="str">
        <f aca="false">IF(A11="","",V43_New!EX11)</f>
        <v/>
      </c>
      <c r="K11" s="0" t="str">
        <f aca="false">IF(A11="","",V43_New!EY11)</f>
        <v/>
      </c>
      <c r="L11" s="0" t="str">
        <f aca="false">IF(A11="","",V43_New!EZ11)</f>
        <v/>
      </c>
      <c r="M11" s="0" t="str">
        <f aca="false">IF(A11="","",V43_New!FA11)</f>
        <v/>
      </c>
      <c r="N11" s="0" t="str">
        <f aca="false">IF(A11="","",V43_New!FB11)</f>
        <v/>
      </c>
      <c r="O11" s="0" t="str">
        <f aca="false">IF(A11="","",V43_New!FC11)</f>
        <v/>
      </c>
      <c r="P11" s="0" t="str">
        <f aca="false">IF(A11="","",V43_New!FD11)</f>
        <v/>
      </c>
      <c r="Q11" s="0" t="str">
        <f aca="false">IF(A11="","",V43_New!FE11)</f>
        <v/>
      </c>
      <c r="R11" s="0" t="str">
        <f aca="false">IF(A11="","",V43_New!FF11)</f>
        <v/>
      </c>
      <c r="S11" s="0" t="str">
        <f aca="false">IF(A11="","",V43_New!FG11)</f>
        <v/>
      </c>
      <c r="T11" s="0" t="str">
        <f aca="false">IF(A11="","",V43_New!FH11)</f>
        <v/>
      </c>
      <c r="U11" s="0" t="str">
        <f aca="false">IF(A11="","",V43_New!FI11)</f>
        <v/>
      </c>
      <c r="V11" s="0" t="str">
        <f aca="false">IF(A11="","",V43_New!FJ11)</f>
        <v/>
      </c>
      <c r="W11" s="0" t="str">
        <f aca="false">IF(A11="","",V43_New!FK11)</f>
        <v/>
      </c>
      <c r="X11" s="0" t="str">
        <f aca="false">IF(A11="","",V43_New!FL11)</f>
        <v/>
      </c>
      <c r="Y11" s="0" t="str">
        <f aca="false">IF(A11="","",V43_New!FM11)</f>
        <v/>
      </c>
      <c r="Z11" s="0" t="n">
        <f aca="false">IF(C12&lt;&gt;"",COUNT(C11:N11),0)</f>
        <v>1</v>
      </c>
      <c r="AA11" s="0" t="n">
        <f aca="false">IF(AND(O11="",P11="",Q11="",R11="",S11="",T11="",U11="",V11="",W11="",X11="",Y11=""),0,1)</f>
        <v>0</v>
      </c>
      <c r="AB11" s="15" t="str">
        <f aca="false">IF(OR(Z11&gt;=3,AA11=1),AVERAGE(C11:N11),"")</f>
        <v/>
      </c>
    </row>
    <row r="12" customFormat="false" ht="14.25" hidden="false" customHeight="false" outlineLevel="0" collapsed="false">
      <c r="A12" s="0" t="n">
        <f aca="false">Timestamp_Adjustment!D12</f>
        <v>1776389400</v>
      </c>
      <c r="B12" s="0" t="n">
        <f aca="false">IF(A12="","",V43_New!D12)</f>
        <v>4777.87</v>
      </c>
      <c r="C12" s="0" t="n">
        <f aca="false">IF(A12="","",V43_New!F12)</f>
        <v>4768.07</v>
      </c>
      <c r="D12" s="0" t="str">
        <f aca="false">IF(A12="","",V43_New!ER12)</f>
        <v/>
      </c>
      <c r="E12" s="0" t="n">
        <f aca="false">IF(A12="","",V43_New!ES12)</f>
        <v>4772.67</v>
      </c>
      <c r="F12" s="0" t="str">
        <f aca="false">IF(A12="","",V43_New!ET12)</f>
        <v/>
      </c>
      <c r="G12" s="0" t="str">
        <f aca="false">IF(A12="","",V43_New!EU12)</f>
        <v/>
      </c>
      <c r="H12" s="0" t="str">
        <f aca="false">IF(A12="","",V43_New!EV12)</f>
        <v/>
      </c>
      <c r="I12" s="0" t="str">
        <f aca="false">IF(A12="","",V43_New!EW12)</f>
        <v/>
      </c>
      <c r="J12" s="0" t="str">
        <f aca="false">IF(A12="","",V43_New!EX12)</f>
        <v/>
      </c>
      <c r="K12" s="0" t="str">
        <f aca="false">IF(A12="","",V43_New!EY12)</f>
        <v/>
      </c>
      <c r="L12" s="0" t="str">
        <f aca="false">IF(A12="","",V43_New!EZ12)</f>
        <v/>
      </c>
      <c r="M12" s="0" t="str">
        <f aca="false">IF(A12="","",V43_New!FA12)</f>
        <v/>
      </c>
      <c r="N12" s="0" t="str">
        <f aca="false">IF(A12="","",V43_New!FB12)</f>
        <v/>
      </c>
      <c r="O12" s="0" t="str">
        <f aca="false">IF(A12="","",V43_New!FC12)</f>
        <v/>
      </c>
      <c r="P12" s="0" t="str">
        <f aca="false">IF(A12="","",V43_New!FD12)</f>
        <v/>
      </c>
      <c r="Q12" s="0" t="str">
        <f aca="false">IF(A12="","",V43_New!FE12)</f>
        <v/>
      </c>
      <c r="R12" s="0" t="str">
        <f aca="false">IF(A12="","",V43_New!FF12)</f>
        <v/>
      </c>
      <c r="S12" s="0" t="str">
        <f aca="false">IF(A12="","",V43_New!FG12)</f>
        <v/>
      </c>
      <c r="T12" s="0" t="str">
        <f aca="false">IF(A12="","",V43_New!FH12)</f>
        <v/>
      </c>
      <c r="U12" s="0" t="str">
        <f aca="false">IF(A12="","",V43_New!FI12)</f>
        <v/>
      </c>
      <c r="V12" s="0" t="str">
        <f aca="false">IF(A12="","",V43_New!FJ12)</f>
        <v/>
      </c>
      <c r="W12" s="0" t="str">
        <f aca="false">IF(A12="","",V43_New!FK12)</f>
        <v/>
      </c>
      <c r="X12" s="0" t="str">
        <f aca="false">IF(A12="","",V43_New!FL12)</f>
        <v/>
      </c>
      <c r="Y12" s="0" t="str">
        <f aca="false">IF(A12="","",V43_New!FM12)</f>
        <v/>
      </c>
      <c r="Z12" s="0" t="n">
        <f aca="false">IF(C13&lt;&gt;"",COUNT(C12:N12),0)</f>
        <v>2</v>
      </c>
      <c r="AA12" s="0" t="n">
        <f aca="false">IF(AND(O12="",P12="",Q12="",R12="",S12="",T12="",U12="",V12="",W12="",X12="",Y12=""),0,1)</f>
        <v>0</v>
      </c>
      <c r="AB12" s="15" t="str">
        <f aca="false">IF(OR(Z12&gt;=3,AA12=1),AVERAGE(C12:N12),"")</f>
        <v/>
      </c>
    </row>
    <row r="13" customFormat="false" ht="14.25" hidden="false" customHeight="false" outlineLevel="0" collapsed="false">
      <c r="A13" s="0" t="n">
        <f aca="false">Timestamp_Adjustment!D13</f>
        <v>1776402000</v>
      </c>
      <c r="B13" s="0" t="n">
        <f aca="false">IF(A13="","",V43_New!D13)</f>
        <v>4804.78</v>
      </c>
      <c r="C13" s="0" t="n">
        <f aca="false">IF(A13="","",V43_New!F13)</f>
        <v>4805.97</v>
      </c>
      <c r="D13" s="0" t="n">
        <f aca="false">IF(A13="","",V43_New!ER13)</f>
        <v>4801.12</v>
      </c>
      <c r="E13" s="0" t="str">
        <f aca="false">IF(A13="","",V43_New!ES13)</f>
        <v/>
      </c>
      <c r="F13" s="0" t="str">
        <f aca="false">IF(A13="","",V43_New!ET13)</f>
        <v/>
      </c>
      <c r="G13" s="0" t="str">
        <f aca="false">IF(A13="","",V43_New!EU13)</f>
        <v/>
      </c>
      <c r="H13" s="0" t="str">
        <f aca="false">IF(A13="","",V43_New!EV13)</f>
        <v/>
      </c>
      <c r="I13" s="0" t="str">
        <f aca="false">IF(A13="","",V43_New!EW13)</f>
        <v/>
      </c>
      <c r="J13" s="0" t="str">
        <f aca="false">IF(A13="","",V43_New!EX13)</f>
        <v/>
      </c>
      <c r="K13" s="0" t="str">
        <f aca="false">IF(A13="","",V43_New!EY13)</f>
        <v/>
      </c>
      <c r="L13" s="0" t="str">
        <f aca="false">IF(A13="","",V43_New!EZ13)</f>
        <v/>
      </c>
      <c r="M13" s="0" t="str">
        <f aca="false">IF(A13="","",V43_New!FA13)</f>
        <v/>
      </c>
      <c r="N13" s="0" t="str">
        <f aca="false">IF(A13="","",V43_New!FB13)</f>
        <v/>
      </c>
      <c r="O13" s="0" t="str">
        <f aca="false">IF(A13="","",V43_New!FC13)</f>
        <v/>
      </c>
      <c r="P13" s="0" t="str">
        <f aca="false">IF(A13="","",V43_New!FD13)</f>
        <v/>
      </c>
      <c r="Q13" s="0" t="str">
        <f aca="false">IF(A13="","",V43_New!FE13)</f>
        <v/>
      </c>
      <c r="R13" s="0" t="str">
        <f aca="false">IF(A13="","",V43_New!FF13)</f>
        <v/>
      </c>
      <c r="S13" s="0" t="str">
        <f aca="false">IF(A13="","",V43_New!FG13)</f>
        <v/>
      </c>
      <c r="T13" s="0" t="str">
        <f aca="false">IF(A13="","",V43_New!FH13)</f>
        <v/>
      </c>
      <c r="U13" s="0" t="str">
        <f aca="false">IF(A13="","",V43_New!FI13)</f>
        <v/>
      </c>
      <c r="V13" s="0" t="str">
        <f aca="false">IF(A13="","",V43_New!FJ13)</f>
        <v/>
      </c>
      <c r="W13" s="0" t="str">
        <f aca="false">IF(A13="","",V43_New!FK13)</f>
        <v/>
      </c>
      <c r="X13" s="0" t="str">
        <f aca="false">IF(A13="","",V43_New!FL13)</f>
        <v/>
      </c>
      <c r="Y13" s="0" t="str">
        <f aca="false">IF(A13="","",V43_New!FM13)</f>
        <v/>
      </c>
      <c r="Z13" s="0" t="n">
        <f aca="false">IF(C14&lt;&gt;"",COUNT(C13:N13),0)</f>
        <v>2</v>
      </c>
      <c r="AA13" s="0" t="n">
        <f aca="false">IF(AND(O13="",P13="",Q13="",R13="",S13="",T13="",U13="",V13="",W13="",X13="",Y13=""),0,1)</f>
        <v>0</v>
      </c>
      <c r="AB13" s="15" t="str">
        <f aca="false">IF(OR(Z13&gt;=3,AA13=1),AVERAGE(C13:N13),"")</f>
        <v/>
      </c>
    </row>
    <row r="14" customFormat="false" ht="14.25" hidden="false" customHeight="false" outlineLevel="0" collapsed="false">
      <c r="A14" s="0" t="n">
        <f aca="false">Timestamp_Adjustment!D14</f>
        <v>1776411900</v>
      </c>
      <c r="B14" s="0" t="n">
        <f aca="false">IF(A14="","",V43_New!D14)</f>
        <v>4784.38</v>
      </c>
      <c r="C14" s="0" t="n">
        <f aca="false">IF(A14="","",V43_New!F14)</f>
        <v>4778.83</v>
      </c>
      <c r="D14" s="0" t="n">
        <f aca="false">IF(A14="","",V43_New!ER14)</f>
        <v>4768.07</v>
      </c>
      <c r="E14" s="0" t="str">
        <f aca="false">IF(A14="","",V43_New!ES14)</f>
        <v/>
      </c>
      <c r="F14" s="0" t="n">
        <f aca="false">IF(A14="","",V43_New!ET14)</f>
        <v>4772.67</v>
      </c>
      <c r="G14" s="0" t="str">
        <f aca="false">IF(A14="","",V43_New!EU14)</f>
        <v/>
      </c>
      <c r="H14" s="0" t="str">
        <f aca="false">IF(A14="","",V43_New!EV14)</f>
        <v/>
      </c>
      <c r="I14" s="0" t="n">
        <f aca="false">IF(A14="","",V43_New!EW14)</f>
        <v>4786.23</v>
      </c>
      <c r="J14" s="0" t="str">
        <f aca="false">IF(A14="","",V43_New!EX14)</f>
        <v/>
      </c>
      <c r="K14" s="0" t="str">
        <f aca="false">IF(A14="","",V43_New!EY14)</f>
        <v/>
      </c>
      <c r="L14" s="0" t="str">
        <f aca="false">IF(A14="","",V43_New!EZ14)</f>
        <v/>
      </c>
      <c r="M14" s="0" t="str">
        <f aca="false">IF(A14="","",V43_New!FA14)</f>
        <v/>
      </c>
      <c r="N14" s="0" t="str">
        <f aca="false">IF(A14="","",V43_New!FB14)</f>
        <v/>
      </c>
      <c r="O14" s="0" t="str">
        <f aca="false">IF(A14="","",V43_New!FC14)</f>
        <v/>
      </c>
      <c r="P14" s="0" t="str">
        <f aca="false">IF(A14="","",V43_New!FD14)</f>
        <v/>
      </c>
      <c r="Q14" s="0" t="str">
        <f aca="false">IF(A14="","",V43_New!FE14)</f>
        <v/>
      </c>
      <c r="R14" s="0" t="str">
        <f aca="false">IF(A14="","",V43_New!FF14)</f>
        <v/>
      </c>
      <c r="S14" s="0" t="str">
        <f aca="false">IF(A14="","",V43_New!FG14)</f>
        <v/>
      </c>
      <c r="T14" s="0" t="str">
        <f aca="false">IF(A14="","",V43_New!FH14)</f>
        <v/>
      </c>
      <c r="U14" s="0" t="str">
        <f aca="false">IF(A14="","",V43_New!FI14)</f>
        <v/>
      </c>
      <c r="V14" s="0" t="str">
        <f aca="false">IF(A14="","",V43_New!FJ14)</f>
        <v/>
      </c>
      <c r="W14" s="0" t="str">
        <f aca="false">IF(A14="","",V43_New!FK14)</f>
        <v/>
      </c>
      <c r="X14" s="0" t="str">
        <f aca="false">IF(A14="","",V43_New!FL14)</f>
        <v/>
      </c>
      <c r="Y14" s="0" t="str">
        <f aca="false">IF(A14="","",V43_New!FM14)</f>
        <v/>
      </c>
      <c r="Z14" s="0" t="n">
        <f aca="false">IF(C15&lt;&gt;"",COUNT(C14:N14),0)</f>
        <v>4</v>
      </c>
      <c r="AA14" s="0" t="n">
        <f aca="false">IF(AND(O14="",P14="",Q14="",R14="",S14="",T14="",U14="",V14="",W14="",X14="",Y14=""),0,1)</f>
        <v>0</v>
      </c>
      <c r="AB14" s="15" t="n">
        <f aca="false">IF(OR(Z14&gt;=3,AA14=1),AVERAGE(C14:N14),"")</f>
        <v>4776.45</v>
      </c>
    </row>
    <row r="15" customFormat="false" ht="14.25" hidden="false" customHeight="false" outlineLevel="0" collapsed="false">
      <c r="A15" s="0" t="n">
        <f aca="false">Timestamp_Adjustment!D15</f>
        <v>1776430800</v>
      </c>
      <c r="B15" s="0" t="n">
        <f aca="false">IF(A15="","",V43_New!D15)</f>
        <v>4883.6</v>
      </c>
      <c r="C15" s="0" t="n">
        <f aca="false">IF(A15="","",V43_New!F15)</f>
        <v>4889.21</v>
      </c>
      <c r="D15" s="0" t="str">
        <f aca="false">IF(A15="","",V43_New!ER15)</f>
        <v/>
      </c>
      <c r="E15" s="0" t="str">
        <f aca="false">IF(A15="","",V43_New!ES15)</f>
        <v/>
      </c>
      <c r="F15" s="0" t="str">
        <f aca="false">IF(A15="","",V43_New!ET15)</f>
        <v/>
      </c>
      <c r="G15" s="0" t="str">
        <f aca="false">IF(A15="","",V43_New!EU15)</f>
        <v/>
      </c>
      <c r="H15" s="0" t="str">
        <f aca="false">IF(A15="","",V43_New!EV15)</f>
        <v/>
      </c>
      <c r="I15" s="0" t="str">
        <f aca="false">IF(A15="","",V43_New!EW15)</f>
        <v/>
      </c>
      <c r="J15" s="0" t="str">
        <f aca="false">IF(A15="","",V43_New!EX15)</f>
        <v/>
      </c>
      <c r="K15" s="0" t="str">
        <f aca="false">IF(A15="","",V43_New!EY15)</f>
        <v/>
      </c>
      <c r="L15" s="0" t="str">
        <f aca="false">IF(A15="","",V43_New!EZ15)</f>
        <v/>
      </c>
      <c r="M15" s="0" t="str">
        <f aca="false">IF(A15="","",V43_New!FA15)</f>
        <v/>
      </c>
      <c r="N15" s="0" t="str">
        <f aca="false">IF(A15="","",V43_New!FB15)</f>
        <v/>
      </c>
      <c r="O15" s="0" t="str">
        <f aca="false">IF(A15="","",V43_New!FC15)</f>
        <v/>
      </c>
      <c r="P15" s="0" t="str">
        <f aca="false">IF(A15="","",V43_New!FD15)</f>
        <v/>
      </c>
      <c r="Q15" s="0" t="str">
        <f aca="false">IF(A15="","",V43_New!FE15)</f>
        <v/>
      </c>
      <c r="R15" s="0" t="str">
        <f aca="false">IF(A15="","",V43_New!FF15)</f>
        <v/>
      </c>
      <c r="S15" s="0" t="str">
        <f aca="false">IF(A15="","",V43_New!FG15)</f>
        <v/>
      </c>
      <c r="T15" s="0" t="str">
        <f aca="false">IF(A15="","",V43_New!FH15)</f>
        <v/>
      </c>
      <c r="U15" s="0" t="str">
        <f aca="false">IF(A15="","",V43_New!FI15)</f>
        <v/>
      </c>
      <c r="V15" s="0" t="str">
        <f aca="false">IF(A15="","",V43_New!FJ15)</f>
        <v/>
      </c>
      <c r="W15" s="0" t="str">
        <f aca="false">IF(A15="","",V43_New!FK15)</f>
        <v/>
      </c>
      <c r="X15" s="0" t="str">
        <f aca="false">IF(A15="","",V43_New!FL15)</f>
        <v/>
      </c>
      <c r="Y15" s="0" t="str">
        <f aca="false">IF(A15="","",V43_New!FM15)</f>
        <v/>
      </c>
      <c r="Z15" s="0" t="n">
        <f aca="false">IF(C16&lt;&gt;"",COUNT(C15:N15),0)</f>
        <v>1</v>
      </c>
      <c r="AA15" s="0" t="n">
        <f aca="false">IF(AND(O15="",P15="",Q15="",R15="",S15="",T15="",U15="",V15="",W15="",X15="",Y15=""),0,1)</f>
        <v>0</v>
      </c>
      <c r="AB15" s="15" t="str">
        <f aca="false">IF(OR(Z15&gt;=3,AA15=1),AVERAGE(C15:N15),"")</f>
        <v/>
      </c>
    </row>
    <row r="16" customFormat="false" ht="14.25" hidden="false" customHeight="false" outlineLevel="0" collapsed="false">
      <c r="A16" s="0" t="n">
        <f aca="false">Timestamp_Adjustment!D16</f>
        <v>1776642300</v>
      </c>
      <c r="B16" s="0" t="n">
        <f aca="false">IF(A16="","",V43_New!D16)</f>
        <v>4755.07</v>
      </c>
      <c r="C16" s="0" t="n">
        <f aca="false">IF(A16="","",V43_New!F16)</f>
        <v>4736.96</v>
      </c>
      <c r="D16" s="0" t="str">
        <f aca="false">IF(A16="","",V43_New!ER16)</f>
        <v/>
      </c>
      <c r="E16" s="0" t="str">
        <f aca="false">IF(A16="","",V43_New!ES16)</f>
        <v/>
      </c>
      <c r="F16" s="0" t="str">
        <f aca="false">IF(A16="","",V43_New!ET16)</f>
        <v/>
      </c>
      <c r="G16" s="0" t="str">
        <f aca="false">IF(A16="","",V43_New!EU16)</f>
        <v/>
      </c>
      <c r="H16" s="0" t="str">
        <f aca="false">IF(A16="","",V43_New!EV16)</f>
        <v/>
      </c>
      <c r="I16" s="0" t="str">
        <f aca="false">IF(A16="","",V43_New!EW16)</f>
        <v/>
      </c>
      <c r="J16" s="0" t="str">
        <f aca="false">IF(A16="","",V43_New!EX16)</f>
        <v/>
      </c>
      <c r="K16" s="0" t="str">
        <f aca="false">IF(A16="","",V43_New!EY16)</f>
        <v/>
      </c>
      <c r="L16" s="0" t="str">
        <f aca="false">IF(A16="","",V43_New!EZ16)</f>
        <v/>
      </c>
      <c r="M16" s="0" t="str">
        <f aca="false">IF(A16="","",V43_New!FA16)</f>
        <v/>
      </c>
      <c r="N16" s="0" t="str">
        <f aca="false">IF(A16="","",V43_New!FB16)</f>
        <v/>
      </c>
      <c r="O16" s="0" t="str">
        <f aca="false">IF(A16="","",V43_New!FC16)</f>
        <v/>
      </c>
      <c r="P16" s="0" t="str">
        <f aca="false">IF(A16="","",V43_New!FD16)</f>
        <v/>
      </c>
      <c r="Q16" s="0" t="str">
        <f aca="false">IF(A16="","",V43_New!FE16)</f>
        <v/>
      </c>
      <c r="R16" s="0" t="str">
        <f aca="false">IF(A16="","",V43_New!FF16)</f>
        <v/>
      </c>
      <c r="S16" s="0" t="str">
        <f aca="false">IF(A16="","",V43_New!FG16)</f>
        <v/>
      </c>
      <c r="T16" s="0" t="str">
        <f aca="false">IF(A16="","",V43_New!FH16)</f>
        <v/>
      </c>
      <c r="U16" s="0" t="str">
        <f aca="false">IF(A16="","",V43_New!FI16)</f>
        <v/>
      </c>
      <c r="V16" s="0" t="str">
        <f aca="false">IF(A16="","",V43_New!FJ16)</f>
        <v/>
      </c>
      <c r="W16" s="0" t="str">
        <f aca="false">IF(A16="","",V43_New!FK16)</f>
        <v/>
      </c>
      <c r="X16" s="0" t="str">
        <f aca="false">IF(A16="","",V43_New!FL16)</f>
        <v/>
      </c>
      <c r="Y16" s="0" t="str">
        <f aca="false">IF(A16="","",V43_New!FM16)</f>
        <v/>
      </c>
      <c r="Z16" s="0" t="n">
        <f aca="false">IF(C17&lt;&gt;"",COUNT(C16:N16),0)</f>
        <v>1</v>
      </c>
      <c r="AA16" s="0" t="n">
        <f aca="false">IF(AND(O16="",P16="",Q16="",R16="",S16="",T16="",U16="",V16="",W16="",X16="",Y16=""),0,1)</f>
        <v>0</v>
      </c>
      <c r="AB16" s="15" t="str">
        <f aca="false">IF(OR(Z16&gt;=3,AA16=1),AVERAGE(C16:N16),"")</f>
        <v/>
      </c>
    </row>
    <row r="17" customFormat="false" ht="14.25" hidden="false" customHeight="false" outlineLevel="0" collapsed="false">
      <c r="A17" s="0" t="n">
        <f aca="false">Timestamp_Adjustment!D17</f>
        <v>1776649500</v>
      </c>
      <c r="B17" s="0" t="n">
        <f aca="false">IF(A17="","",V43_New!D17)</f>
        <v>4807.6</v>
      </c>
      <c r="C17" s="0" t="n">
        <f aca="false">IF(A17="","",V43_New!F17)</f>
        <v>4814.28</v>
      </c>
      <c r="D17" s="0" t="str">
        <f aca="false">IF(A17="","",V43_New!ER17)</f>
        <v/>
      </c>
      <c r="E17" s="0" t="n">
        <f aca="false">IF(A17="","",V43_New!ES17)</f>
        <v>4805.97</v>
      </c>
      <c r="F17" s="0" t="str">
        <f aca="false">IF(A17="","",V43_New!ET17)</f>
        <v/>
      </c>
      <c r="G17" s="0" t="str">
        <f aca="false">IF(A17="","",V43_New!EU17)</f>
        <v/>
      </c>
      <c r="H17" s="0" t="str">
        <f aca="false">IF(A17="","",V43_New!EV17)</f>
        <v/>
      </c>
      <c r="I17" s="0" t="str">
        <f aca="false">IF(A17="","",V43_New!EW17)</f>
        <v/>
      </c>
      <c r="J17" s="0" t="str">
        <f aca="false">IF(A17="","",V43_New!EX17)</f>
        <v/>
      </c>
      <c r="K17" s="0" t="str">
        <f aca="false">IF(A17="","",V43_New!EY17)</f>
        <v/>
      </c>
      <c r="L17" s="0" t="str">
        <f aca="false">IF(A17="","",V43_New!EZ17)</f>
        <v/>
      </c>
      <c r="M17" s="0" t="str">
        <f aca="false">IF(A17="","",V43_New!FA17)</f>
        <v/>
      </c>
      <c r="N17" s="0" t="str">
        <f aca="false">IF(A17="","",V43_New!FB17)</f>
        <v/>
      </c>
      <c r="O17" s="0" t="str">
        <f aca="false">IF(A17="","",V43_New!FC17)</f>
        <v/>
      </c>
      <c r="P17" s="0" t="str">
        <f aca="false">IF(A17="","",V43_New!FD17)</f>
        <v/>
      </c>
      <c r="Q17" s="0" t="str">
        <f aca="false">IF(A17="","",V43_New!FE17)</f>
        <v/>
      </c>
      <c r="R17" s="0" t="str">
        <f aca="false">IF(A17="","",V43_New!FF17)</f>
        <v/>
      </c>
      <c r="S17" s="0" t="str">
        <f aca="false">IF(A17="","",V43_New!FG17)</f>
        <v/>
      </c>
      <c r="T17" s="0" t="str">
        <f aca="false">IF(A17="","",V43_New!FH17)</f>
        <v/>
      </c>
      <c r="U17" s="0" t="str">
        <f aca="false">IF(A17="","",V43_New!FI17)</f>
        <v/>
      </c>
      <c r="V17" s="0" t="str">
        <f aca="false">IF(A17="","",V43_New!FJ17)</f>
        <v/>
      </c>
      <c r="W17" s="0" t="str">
        <f aca="false">IF(A17="","",V43_New!FK17)</f>
        <v/>
      </c>
      <c r="X17" s="0" t="str">
        <f aca="false">IF(A17="","",V43_New!FL17)</f>
        <v/>
      </c>
      <c r="Y17" s="0" t="str">
        <f aca="false">IF(A17="","",V43_New!FM17)</f>
        <v/>
      </c>
      <c r="Z17" s="0" t="n">
        <f aca="false">IF(C18&lt;&gt;"",COUNT(C17:N17),0)</f>
        <v>2</v>
      </c>
      <c r="AA17" s="0" t="n">
        <f aca="false">IF(AND(O17="",P17="",Q17="",R17="",S17="",T17="",U17="",V17="",W17="",X17="",Y17=""),0,1)</f>
        <v>0</v>
      </c>
      <c r="AB17" s="15" t="str">
        <f aca="false">IF(OR(Z17&gt;=3,AA17=1),AVERAGE(C17:N17),"")</f>
        <v/>
      </c>
    </row>
    <row r="18" customFormat="false" ht="14.25" hidden="false" customHeight="false" outlineLevel="0" collapsed="false">
      <c r="A18" s="0" t="n">
        <f aca="false">Timestamp_Adjustment!D18</f>
        <v>1776663000</v>
      </c>
      <c r="B18" s="0" t="n">
        <f aca="false">IF(A18="","",V43_New!D18)</f>
        <v>4780.97</v>
      </c>
      <c r="C18" s="0" t="n">
        <f aca="false">IF(A18="","",V43_New!F18)</f>
        <v>4779.8</v>
      </c>
      <c r="D18" s="0" t="str">
        <f aca="false">IF(A18="","",V43_New!ER18)</f>
        <v/>
      </c>
      <c r="E18" s="0" t="str">
        <f aca="false">IF(A18="","",V43_New!ES18)</f>
        <v/>
      </c>
      <c r="F18" s="0" t="n">
        <f aca="false">IF(A18="","",V43_New!ET18)</f>
        <v>4768.07</v>
      </c>
      <c r="G18" s="0" t="str">
        <f aca="false">IF(A18="","",V43_New!EU18)</f>
        <v/>
      </c>
      <c r="H18" s="0" t="n">
        <f aca="false">IF(A18="","",V43_New!EV18)</f>
        <v>4772.67</v>
      </c>
      <c r="I18" s="0" t="str">
        <f aca="false">IF(A18="","",V43_New!EW18)</f>
        <v/>
      </c>
      <c r="J18" s="0" t="str">
        <f aca="false">IF(A18="","",V43_New!EX18)</f>
        <v/>
      </c>
      <c r="K18" s="0" t="n">
        <f aca="false">IF(A18="","",V43_New!EY18)</f>
        <v>4786.23</v>
      </c>
      <c r="L18" s="0" t="str">
        <f aca="false">IF(A18="","",V43_New!EZ18)</f>
        <v/>
      </c>
      <c r="M18" s="0" t="str">
        <f aca="false">IF(A18="","",V43_New!FA18)</f>
        <v/>
      </c>
      <c r="N18" s="0" t="str">
        <f aca="false">IF(A18="","",V43_New!FB18)</f>
        <v/>
      </c>
      <c r="O18" s="0" t="str">
        <f aca="false">IF(A18="","",V43_New!FC18)</f>
        <v/>
      </c>
      <c r="P18" s="0" t="str">
        <f aca="false">IF(A18="","",V43_New!FD18)</f>
        <v/>
      </c>
      <c r="Q18" s="0" t="str">
        <f aca="false">IF(A18="","",V43_New!FE18)</f>
        <v/>
      </c>
      <c r="R18" s="0" t="str">
        <f aca="false">IF(A18="","",V43_New!FF18)</f>
        <v/>
      </c>
      <c r="S18" s="0" t="str">
        <f aca="false">IF(A18="","",V43_New!FG18)</f>
        <v/>
      </c>
      <c r="T18" s="0" t="str">
        <f aca="false">IF(A18="","",V43_New!FH18)</f>
        <v/>
      </c>
      <c r="U18" s="0" t="str">
        <f aca="false">IF(A18="","",V43_New!FI18)</f>
        <v/>
      </c>
      <c r="V18" s="0" t="str">
        <f aca="false">IF(A18="","",V43_New!FJ18)</f>
        <v/>
      </c>
      <c r="W18" s="0" t="str">
        <f aca="false">IF(A18="","",V43_New!FK18)</f>
        <v/>
      </c>
      <c r="X18" s="0" t="str">
        <f aca="false">IF(A18="","",V43_New!FL18)</f>
        <v/>
      </c>
      <c r="Y18" s="0" t="str">
        <f aca="false">IF(A18="","",V43_New!FM18)</f>
        <v/>
      </c>
      <c r="Z18" s="0" t="n">
        <f aca="false">IF(C19&lt;&gt;"",COUNT(C18:N18),0)</f>
        <v>4</v>
      </c>
      <c r="AA18" s="0" t="n">
        <f aca="false">IF(AND(O18="",P18="",Q18="",R18="",S18="",T18="",U18="",V18="",W18="",X18="",Y18=""),0,1)</f>
        <v>0</v>
      </c>
      <c r="AB18" s="15" t="n">
        <f aca="false">IF(OR(Z18&gt;=3,AA18=1),AVERAGE(C18:N18),"")</f>
        <v>4776.6925</v>
      </c>
    </row>
    <row r="19" customFormat="false" ht="14.25" hidden="false" customHeight="false" outlineLevel="0" collapsed="false">
      <c r="A19" s="0" t="n">
        <f aca="false">Timestamp_Adjustment!D19</f>
        <v>1776669300</v>
      </c>
      <c r="B19" s="0" t="n">
        <f aca="false">IF(A19="","",V43_New!D19)</f>
        <v>4797.92</v>
      </c>
      <c r="C19" s="0" t="n">
        <f aca="false">IF(A19="","",V43_New!F19)</f>
        <v>4805.79</v>
      </c>
      <c r="D19" s="0" t="str">
        <f aca="false">IF(A19="","",V43_New!ER19)</f>
        <v/>
      </c>
      <c r="E19" s="0" t="str">
        <f aca="false">IF(A19="","",V43_New!ES19)</f>
        <v/>
      </c>
      <c r="F19" s="0" t="n">
        <f aca="false">IF(A19="","",V43_New!ET19)</f>
        <v>4805.97</v>
      </c>
      <c r="G19" s="0" t="n">
        <f aca="false">IF(A19="","",V43_New!EU19)</f>
        <v>4801.12</v>
      </c>
      <c r="H19" s="0" t="str">
        <f aca="false">IF(A19="","",V43_New!EV19)</f>
        <v/>
      </c>
      <c r="I19" s="0" t="str">
        <f aca="false">IF(A19="","",V43_New!EW19)</f>
        <v/>
      </c>
      <c r="J19" s="0" t="str">
        <f aca="false">IF(A19="","",V43_New!EX19)</f>
        <v/>
      </c>
      <c r="K19" s="0" t="str">
        <f aca="false">IF(A19="","",V43_New!EY19)</f>
        <v/>
      </c>
      <c r="L19" s="0" t="str">
        <f aca="false">IF(A19="","",V43_New!EZ19)</f>
        <v/>
      </c>
      <c r="M19" s="0" t="str">
        <f aca="false">IF(A19="","",V43_New!FA19)</f>
        <v/>
      </c>
      <c r="N19" s="0" t="str">
        <f aca="false">IF(A19="","",V43_New!FB19)</f>
        <v/>
      </c>
      <c r="O19" s="0" t="str">
        <f aca="false">IF(A19="","",V43_New!FC19)</f>
        <v/>
      </c>
      <c r="P19" s="0" t="str">
        <f aca="false">IF(A19="","",V43_New!FD19)</f>
        <v/>
      </c>
      <c r="Q19" s="0" t="str">
        <f aca="false">IF(A19="","",V43_New!FE19)</f>
        <v/>
      </c>
      <c r="R19" s="0" t="str">
        <f aca="false">IF(A19="","",V43_New!FF19)</f>
        <v/>
      </c>
      <c r="S19" s="0" t="str">
        <f aca="false">IF(A19="","",V43_New!FG19)</f>
        <v/>
      </c>
      <c r="T19" s="0" t="str">
        <f aca="false">IF(A19="","",V43_New!FH19)</f>
        <v/>
      </c>
      <c r="U19" s="0" t="str">
        <f aca="false">IF(A19="","",V43_New!FI19)</f>
        <v/>
      </c>
      <c r="V19" s="0" t="str">
        <f aca="false">IF(A19="","",V43_New!FJ19)</f>
        <v/>
      </c>
      <c r="W19" s="0" t="str">
        <f aca="false">IF(A19="","",V43_New!FK19)</f>
        <v/>
      </c>
      <c r="X19" s="0" t="str">
        <f aca="false">IF(A19="","",V43_New!FL19)</f>
        <v/>
      </c>
      <c r="Y19" s="0" t="str">
        <f aca="false">IF(A19="","",V43_New!FM19)</f>
        <v/>
      </c>
      <c r="Z19" s="0" t="n">
        <f aca="false">IF(C20&lt;&gt;"",COUNT(C19:N19),0)</f>
        <v>3</v>
      </c>
      <c r="AA19" s="0" t="n">
        <f aca="false">IF(AND(O19="",P19="",Q19="",R19="",S19="",T19="",U19="",V19="",W19="",X19="",Y19=""),0,1)</f>
        <v>0</v>
      </c>
      <c r="AB19" s="15" t="n">
        <f aca="false">IF(OR(Z19&gt;=3,AA19=1),AVERAGE(C19:N19),"")</f>
        <v>4804.29333333333</v>
      </c>
    </row>
    <row r="20" customFormat="false" ht="14.25" hidden="false" customHeight="false" outlineLevel="0" collapsed="false">
      <c r="A20" s="0" t="n">
        <f aca="false">Timestamp_Adjustment!D20</f>
        <v>1776677400</v>
      </c>
      <c r="B20" s="0" t="n">
        <f aca="false">IF(A20="","",V43_New!D20)</f>
        <v>4791.96</v>
      </c>
      <c r="C20" s="0" t="n">
        <f aca="false">IF(A20="","",V43_New!F20)</f>
        <v>4783.51</v>
      </c>
      <c r="D20" s="0" t="str">
        <f aca="false">IF(A20="","",V43_New!ER20)</f>
        <v/>
      </c>
      <c r="E20" s="0" t="str">
        <f aca="false">IF(A20="","",V43_New!ES20)</f>
        <v/>
      </c>
      <c r="F20" s="0" t="str">
        <f aca="false">IF(A20="","",V43_New!ET20)</f>
        <v/>
      </c>
      <c r="G20" s="0" t="str">
        <f aca="false">IF(A20="","",V43_New!EU20)</f>
        <v/>
      </c>
      <c r="H20" s="0" t="str">
        <f aca="false">IF(A20="","",V43_New!EV20)</f>
        <v/>
      </c>
      <c r="I20" s="0" t="n">
        <f aca="false">IF(A20="","",V43_New!EW20)</f>
        <v>4772.67</v>
      </c>
      <c r="J20" s="0" t="str">
        <f aca="false">IF(A20="","",V43_New!EX20)</f>
        <v/>
      </c>
      <c r="K20" s="0" t="str">
        <f aca="false">IF(A20="","",V43_New!EY20)</f>
        <v/>
      </c>
      <c r="L20" s="0" t="n">
        <f aca="false">IF(A20="","",V43_New!EZ20)</f>
        <v>4786.23</v>
      </c>
      <c r="M20" s="0" t="str">
        <f aca="false">IF(A20="","",V43_New!FA20)</f>
        <v/>
      </c>
      <c r="N20" s="0" t="str">
        <f aca="false">IF(A20="","",V43_New!FB20)</f>
        <v/>
      </c>
      <c r="O20" s="0" t="str">
        <f aca="false">IF(A20="","",V43_New!FC20)</f>
        <v/>
      </c>
      <c r="P20" s="0" t="str">
        <f aca="false">IF(A20="","",V43_New!FD20)</f>
        <v/>
      </c>
      <c r="Q20" s="0" t="str">
        <f aca="false">IF(A20="","",V43_New!FE20)</f>
        <v/>
      </c>
      <c r="R20" s="0" t="str">
        <f aca="false">IF(A20="","",V43_New!FF20)</f>
        <v/>
      </c>
      <c r="S20" s="0" t="str">
        <f aca="false">IF(A20="","",V43_New!FG20)</f>
        <v/>
      </c>
      <c r="T20" s="0" t="str">
        <f aca="false">IF(A20="","",V43_New!FH20)</f>
        <v/>
      </c>
      <c r="U20" s="0" t="str">
        <f aca="false">IF(A20="","",V43_New!FI20)</f>
        <v/>
      </c>
      <c r="V20" s="0" t="str">
        <f aca="false">IF(A20="","",V43_New!FJ20)</f>
        <v/>
      </c>
      <c r="W20" s="0" t="str">
        <f aca="false">IF(A20="","",V43_New!FK20)</f>
        <v/>
      </c>
      <c r="X20" s="0" t="str">
        <f aca="false">IF(A20="","",V43_New!FL20)</f>
        <v/>
      </c>
      <c r="Y20" s="0" t="str">
        <f aca="false">IF(A20="","",V43_New!FM20)</f>
        <v/>
      </c>
      <c r="Z20" s="0" t="n">
        <f aca="false">IF(C21&lt;&gt;"",COUNT(C20:N20),0)</f>
        <v>3</v>
      </c>
      <c r="AA20" s="0" t="n">
        <f aca="false">IF(AND(O20="",P20="",Q20="",R20="",S20="",T20="",U20="",V20="",W20="",X20="",Y20=""),0,1)</f>
        <v>0</v>
      </c>
      <c r="AB20" s="15" t="n">
        <f aca="false">IF(OR(Z20&gt;=3,AA20=1),AVERAGE(C20:N20),"")</f>
        <v>4780.80333333333</v>
      </c>
    </row>
    <row r="21" customFormat="false" ht="14.25" hidden="false" customHeight="false" outlineLevel="0" collapsed="false">
      <c r="A21" s="0" t="n">
        <f aca="false">Timestamp_Adjustment!D21</f>
        <v>1776695400</v>
      </c>
      <c r="B21" s="0" t="n">
        <f aca="false">IF(A21="","",V43_New!D21)</f>
        <v>4814.18</v>
      </c>
      <c r="C21" s="0" t="n">
        <f aca="false">IF(A21="","",V43_New!F21)</f>
        <v>4827.74</v>
      </c>
      <c r="D21" s="0" t="str">
        <f aca="false">IF(A21="","",V43_New!ER21)</f>
        <v/>
      </c>
      <c r="E21" s="0" t="str">
        <f aca="false">IF(A21="","",V43_New!ES21)</f>
        <v/>
      </c>
      <c r="F21" s="0" t="str">
        <f aca="false">IF(A21="","",V43_New!ET21)</f>
        <v/>
      </c>
      <c r="G21" s="0" t="str">
        <f aca="false">IF(A21="","",V43_New!EU21)</f>
        <v/>
      </c>
      <c r="H21" s="0" t="str">
        <f aca="false">IF(A21="","",V43_New!EV21)</f>
        <v/>
      </c>
      <c r="I21" s="0" t="str">
        <f aca="false">IF(A21="","",V43_New!EW21)</f>
        <v/>
      </c>
      <c r="J21" s="0" t="str">
        <f aca="false">IF(A21="","",V43_New!EX21)</f>
        <v/>
      </c>
      <c r="K21" s="0" t="n">
        <f aca="false">IF(A21="","",V43_New!EY21)</f>
        <v>4838.38</v>
      </c>
      <c r="L21" s="0" t="str">
        <f aca="false">IF(A21="","",V43_New!EZ21)</f>
        <v/>
      </c>
      <c r="M21" s="0" t="str">
        <f aca="false">IF(A21="","",V43_New!FA21)</f>
        <v/>
      </c>
      <c r="N21" s="0" t="str">
        <f aca="false">IF(A21="","",V43_New!FB21)</f>
        <v/>
      </c>
      <c r="O21" s="0" t="str">
        <f aca="false">IF(A21="","",V43_New!FC21)</f>
        <v/>
      </c>
      <c r="P21" s="0" t="str">
        <f aca="false">IF(A21="","",V43_New!FD21)</f>
        <v/>
      </c>
      <c r="Q21" s="0" t="str">
        <f aca="false">IF(A21="","",V43_New!FE21)</f>
        <v/>
      </c>
      <c r="R21" s="0" t="str">
        <f aca="false">IF(A21="","",V43_New!FF21)</f>
        <v/>
      </c>
      <c r="S21" s="0" t="str">
        <f aca="false">IF(A21="","",V43_New!FG21)</f>
        <v/>
      </c>
      <c r="T21" s="0" t="str">
        <f aca="false">IF(A21="","",V43_New!FH21)</f>
        <v/>
      </c>
      <c r="U21" s="0" t="str">
        <f aca="false">IF(A21="","",V43_New!FI21)</f>
        <v/>
      </c>
      <c r="V21" s="0" t="str">
        <f aca="false">IF(A21="","",V43_New!FJ21)</f>
        <v/>
      </c>
      <c r="W21" s="0" t="str">
        <f aca="false">IF(A21="","",V43_New!FK21)</f>
        <v/>
      </c>
      <c r="X21" s="0" t="str">
        <f aca="false">IF(A21="","",V43_New!FL21)</f>
        <v/>
      </c>
      <c r="Y21" s="0" t="str">
        <f aca="false">IF(A21="","",V43_New!FM21)</f>
        <v/>
      </c>
      <c r="Z21" s="0" t="n">
        <f aca="false">IF(C22&lt;&gt;"",COUNT(C21:N21),0)</f>
        <v>2</v>
      </c>
      <c r="AA21" s="0" t="n">
        <f aca="false">IF(AND(O21="",P21="",Q21="",R21="",S21="",T21="",U21="",V21="",W21="",X21="",Y21=""),0,1)</f>
        <v>0</v>
      </c>
      <c r="AB21" s="15" t="str">
        <f aca="false">IF(OR(Z21&gt;=3,AA21=1),AVERAGE(C21:N21),"")</f>
        <v/>
      </c>
    </row>
    <row r="22" customFormat="false" ht="14.25" hidden="false" customHeight="false" outlineLevel="0" collapsed="false">
      <c r="A22" s="0" t="n">
        <f aca="false">Timestamp_Adjustment!D22</f>
        <v>1776696300</v>
      </c>
      <c r="B22" s="0" t="n">
        <f aca="false">IF(A22="","",V43_New!D22)</f>
        <v>4805.31</v>
      </c>
      <c r="C22" s="0" t="n">
        <f aca="false">IF(A22="","",V43_New!F22)</f>
        <v>4792.42</v>
      </c>
      <c r="D22" s="0" t="str">
        <f aca="false">IF(A22="","",V43_New!ER22)</f>
        <v/>
      </c>
      <c r="E22" s="0" t="str">
        <f aca="false">IF(A22="","",V43_New!ES22)</f>
        <v/>
      </c>
      <c r="F22" s="0" t="str">
        <f aca="false">IF(A22="","",V43_New!ET22)</f>
        <v/>
      </c>
      <c r="G22" s="0" t="str">
        <f aca="false">IF(A22="","",V43_New!EU22)</f>
        <v/>
      </c>
      <c r="H22" s="0" t="str">
        <f aca="false">IF(A22="","",V43_New!EV22)</f>
        <v/>
      </c>
      <c r="I22" s="0" t="str">
        <f aca="false">IF(A22="","",V43_New!EW22)</f>
        <v/>
      </c>
      <c r="J22" s="0" t="str">
        <f aca="false">IF(A22="","",V43_New!EX22)</f>
        <v/>
      </c>
      <c r="K22" s="0" t="str">
        <f aca="false">IF(A22="","",V43_New!EY22)</f>
        <v/>
      </c>
      <c r="L22" s="0" t="str">
        <f aca="false">IF(A22="","",V43_New!EZ22)</f>
        <v/>
      </c>
      <c r="M22" s="0" t="n">
        <f aca="false">IF(A22="","",V43_New!FA22)</f>
        <v>4786.23</v>
      </c>
      <c r="N22" s="0" t="str">
        <f aca="false">IF(A22="","",V43_New!FB22)</f>
        <v/>
      </c>
      <c r="O22" s="0" t="str">
        <f aca="false">IF(A22="","",V43_New!FC22)</f>
        <v/>
      </c>
      <c r="P22" s="0" t="str">
        <f aca="false">IF(A22="","",V43_New!FD22)</f>
        <v/>
      </c>
      <c r="Q22" s="0" t="str">
        <f aca="false">IF(A22="","",V43_New!FE22)</f>
        <v/>
      </c>
      <c r="R22" s="0" t="str">
        <f aca="false">IF(A22="","",V43_New!FF22)</f>
        <v/>
      </c>
      <c r="S22" s="0" t="str">
        <f aca="false">IF(A22="","",V43_New!FG22)</f>
        <v/>
      </c>
      <c r="T22" s="0" t="str">
        <f aca="false">IF(A22="","",V43_New!FH22)</f>
        <v/>
      </c>
      <c r="U22" s="0" t="str">
        <f aca="false">IF(A22="","",V43_New!FI22)</f>
        <v/>
      </c>
      <c r="V22" s="0" t="str">
        <f aca="false">IF(A22="","",V43_New!FJ22)</f>
        <v/>
      </c>
      <c r="W22" s="0" t="str">
        <f aca="false">IF(A22="","",V43_New!FK22)</f>
        <v/>
      </c>
      <c r="X22" s="0" t="str">
        <f aca="false">IF(A22="","",V43_New!FL22)</f>
        <v/>
      </c>
      <c r="Y22" s="0" t="str">
        <f aca="false">IF(A22="","",V43_New!FM22)</f>
        <v/>
      </c>
      <c r="Z22" s="0" t="n">
        <f aca="false">IF(C23&lt;&gt;"",COUNT(C22:N22),0)</f>
        <v>2</v>
      </c>
      <c r="AA22" s="0" t="n">
        <f aca="false">IF(AND(O22="",P22="",Q22="",R22="",S22="",T22="",U22="",V22="",W22="",X22="",Y22=""),0,1)</f>
        <v>0</v>
      </c>
      <c r="AB22" s="15" t="str">
        <f aca="false">IF(OR(Z22&gt;=3,AA22=1),AVERAGE(C22:N22),"")</f>
        <v/>
      </c>
    </row>
    <row r="23" customFormat="false" ht="14.25" hidden="false" customHeight="false" outlineLevel="0" collapsed="false">
      <c r="A23" s="0" t="n">
        <f aca="false">Timestamp_Adjustment!D23</f>
        <v>1776723300</v>
      </c>
      <c r="B23" s="0" t="n">
        <f aca="false">IF(A23="","",V43_New!D23)</f>
        <v>4828.53</v>
      </c>
      <c r="C23" s="0" t="n">
        <f aca="false">IF(A23="","",V43_New!F23)</f>
        <v>4833.25</v>
      </c>
      <c r="D23" s="0" t="n">
        <f aca="false">IF(A23="","",V43_New!ER23)</f>
        <v>4827.74</v>
      </c>
      <c r="E23" s="0" t="str">
        <f aca="false">IF(A23="","",V43_New!ES23)</f>
        <v/>
      </c>
      <c r="F23" s="0" t="str">
        <f aca="false">IF(A23="","",V43_New!ET23)</f>
        <v/>
      </c>
      <c r="G23" s="0" t="str">
        <f aca="false">IF(A23="","",V43_New!EU23)</f>
        <v/>
      </c>
      <c r="H23" s="0" t="str">
        <f aca="false">IF(A23="","",V43_New!EV23)</f>
        <v/>
      </c>
      <c r="I23" s="0" t="str">
        <f aca="false">IF(A23="","",V43_New!EW23)</f>
        <v/>
      </c>
      <c r="J23" s="0" t="str">
        <f aca="false">IF(A23="","",V43_New!EX23)</f>
        <v/>
      </c>
      <c r="K23" s="0" t="str">
        <f aca="false">IF(A23="","",V43_New!EY23)</f>
        <v/>
      </c>
      <c r="L23" s="0" t="n">
        <f aca="false">IF(A23="","",V43_New!EZ23)</f>
        <v>4838.38</v>
      </c>
      <c r="M23" s="0" t="str">
        <f aca="false">IF(A23="","",V43_New!FA23)</f>
        <v/>
      </c>
      <c r="N23" s="0" t="str">
        <f aca="false">IF(A23="","",V43_New!FB23)</f>
        <v/>
      </c>
      <c r="O23" s="0" t="str">
        <f aca="false">IF(A23="","",V43_New!FC23)</f>
        <v/>
      </c>
      <c r="P23" s="0" t="str">
        <f aca="false">IF(A23="","",V43_New!FD23)</f>
        <v/>
      </c>
      <c r="Q23" s="0" t="str">
        <f aca="false">IF(A23="","",V43_New!FE23)</f>
        <v/>
      </c>
      <c r="R23" s="0" t="str">
        <f aca="false">IF(A23="","",V43_New!FF23)</f>
        <v/>
      </c>
      <c r="S23" s="0" t="str">
        <f aca="false">IF(A23="","",V43_New!FG23)</f>
        <v/>
      </c>
      <c r="T23" s="0" t="str">
        <f aca="false">IF(A23="","",V43_New!FH23)</f>
        <v/>
      </c>
      <c r="U23" s="0" t="str">
        <f aca="false">IF(A23="","",V43_New!FI23)</f>
        <v/>
      </c>
      <c r="V23" s="0" t="str">
        <f aca="false">IF(A23="","",V43_New!FJ23)</f>
        <v/>
      </c>
      <c r="W23" s="0" t="str">
        <f aca="false">IF(A23="","",V43_New!FK23)</f>
        <v/>
      </c>
      <c r="X23" s="0" t="str">
        <f aca="false">IF(A23="","",V43_New!FL23)</f>
        <v/>
      </c>
      <c r="Y23" s="0" t="str">
        <f aca="false">IF(A23="","",V43_New!FM23)</f>
        <v/>
      </c>
      <c r="Z23" s="0" t="n">
        <f aca="false">IF(C24&lt;&gt;"",COUNT(C23:N23),0)</f>
        <v>3</v>
      </c>
      <c r="AA23" s="0" t="n">
        <f aca="false">IF(AND(O23="",P23="",Q23="",R23="",S23="",T23="",U23="",V23="",W23="",X23="",Y23=""),0,1)</f>
        <v>0</v>
      </c>
      <c r="AB23" s="15" t="n">
        <f aca="false">IF(OR(Z23&gt;=3,AA23=1),AVERAGE(C23:N23),"")</f>
        <v>4833.12333333333</v>
      </c>
    </row>
    <row r="24" customFormat="false" ht="14.25" hidden="false" customHeight="false" outlineLevel="0" collapsed="false">
      <c r="A24" s="0" t="n">
        <f aca="false">Timestamp_Adjustment!D24</f>
        <v>1776754800</v>
      </c>
      <c r="B24" s="0" t="n">
        <f aca="false">IF(A24="","",V43_New!D24)</f>
        <v>4782.82</v>
      </c>
      <c r="C24" s="0" t="n">
        <f aca="false">IF(A24="","",V43_New!F24)</f>
        <v>4772.78</v>
      </c>
      <c r="D24" s="0" t="str">
        <f aca="false">IF(A24="","",V43_New!ER24)</f>
        <v/>
      </c>
      <c r="E24" s="0" t="str">
        <f aca="false">IF(A24="","",V43_New!ES24)</f>
        <v/>
      </c>
      <c r="F24" s="0" t="str">
        <f aca="false">IF(A24="","",V43_New!ET24)</f>
        <v/>
      </c>
      <c r="G24" s="0" t="str">
        <f aca="false">IF(A24="","",V43_New!EU24)</f>
        <v/>
      </c>
      <c r="H24" s="0" t="str">
        <f aca="false">IF(A24="","",V43_New!EV24)</f>
        <v/>
      </c>
      <c r="I24" s="0" t="n">
        <f aca="false">IF(A24="","",V43_New!EW24)</f>
        <v>4768.07</v>
      </c>
      <c r="J24" s="0" t="str">
        <f aca="false">IF(A24="","",V43_New!EX24)</f>
        <v/>
      </c>
      <c r="K24" s="0" t="n">
        <f aca="false">IF(A24="","",V43_New!EY24)</f>
        <v>4772.67</v>
      </c>
      <c r="L24" s="0" t="str">
        <f aca="false">IF(A24="","",V43_New!EZ24)</f>
        <v/>
      </c>
      <c r="M24" s="0" t="str">
        <f aca="false">IF(A24="","",V43_New!FA24)</f>
        <v/>
      </c>
      <c r="N24" s="0" t="str">
        <f aca="false">IF(A24="","",V43_New!FB24)</f>
        <v/>
      </c>
      <c r="O24" s="0" t="str">
        <f aca="false">IF(A24="","",V43_New!FC24)</f>
        <v/>
      </c>
      <c r="P24" s="0" t="str">
        <f aca="false">IF(A24="","",V43_New!FD24)</f>
        <v/>
      </c>
      <c r="Q24" s="0" t="str">
        <f aca="false">IF(A24="","",V43_New!FE24)</f>
        <v/>
      </c>
      <c r="R24" s="0" t="str">
        <f aca="false">IF(A24="","",V43_New!FF24)</f>
        <v/>
      </c>
      <c r="S24" s="0" t="str">
        <f aca="false">IF(A24="","",V43_New!FG24)</f>
        <v/>
      </c>
      <c r="T24" s="0" t="str">
        <f aca="false">IF(A24="","",V43_New!FH24)</f>
        <v/>
      </c>
      <c r="U24" s="0" t="str">
        <f aca="false">IF(A24="","",V43_New!FI24)</f>
        <v/>
      </c>
      <c r="V24" s="0" t="str">
        <f aca="false">IF(A24="","",V43_New!FJ24)</f>
        <v/>
      </c>
      <c r="W24" s="0" t="str">
        <f aca="false">IF(A24="","",V43_New!FK24)</f>
        <v/>
      </c>
      <c r="X24" s="0" t="str">
        <f aca="false">IF(A24="","",V43_New!FL24)</f>
        <v/>
      </c>
      <c r="Y24" s="0" t="str">
        <f aca="false">IF(A24="","",V43_New!FM24)</f>
        <v/>
      </c>
      <c r="Z24" s="0" t="n">
        <f aca="false">IF(C25&lt;&gt;"",COUNT(C24:N24),0)</f>
        <v>3</v>
      </c>
      <c r="AA24" s="0" t="n">
        <f aca="false">IF(AND(O24="",P24="",Q24="",R24="",S24="",T24="",U24="",V24="",W24="",X24="",Y24=""),0,1)</f>
        <v>0</v>
      </c>
      <c r="AB24" s="15" t="n">
        <f aca="false">IF(OR(Z24&gt;=3,AA24=1),AVERAGE(C24:N24),"")</f>
        <v>4771.17333333333</v>
      </c>
    </row>
    <row r="25" customFormat="false" ht="14.25" hidden="false" customHeight="false" outlineLevel="0" collapsed="false">
      <c r="A25" s="0" t="n">
        <f aca="false">Timestamp_Adjustment!D25</f>
        <v>1776771900</v>
      </c>
      <c r="B25" s="0" t="n">
        <f aca="false">IF(A25="","",V43_New!D25)</f>
        <v>4794.61</v>
      </c>
      <c r="C25" s="0" t="n">
        <f aca="false">IF(A25="","",V43_New!F25)</f>
        <v>4797.91</v>
      </c>
      <c r="D25" s="0" t="str">
        <f aca="false">IF(A25="","",V43_New!ER25)</f>
        <v/>
      </c>
      <c r="E25" s="0" t="str">
        <f aca="false">IF(A25="","",V43_New!ES25)</f>
        <v/>
      </c>
      <c r="F25" s="0" t="str">
        <f aca="false">IF(A25="","",V43_New!ET25)</f>
        <v/>
      </c>
      <c r="G25" s="0" t="str">
        <f aca="false">IF(A25="","",V43_New!EU25)</f>
        <v/>
      </c>
      <c r="H25" s="0" t="str">
        <f aca="false">IF(A25="","",V43_New!EV25)</f>
        <v/>
      </c>
      <c r="I25" s="0" t="n">
        <f aca="false">IF(A25="","",V43_New!EW25)</f>
        <v>4805.97</v>
      </c>
      <c r="J25" s="0" t="n">
        <f aca="false">IF(A25="","",V43_New!EX25)</f>
        <v>4801.12</v>
      </c>
      <c r="K25" s="0" t="str">
        <f aca="false">IF(A25="","",V43_New!EY25)</f>
        <v/>
      </c>
      <c r="L25" s="0" t="str">
        <f aca="false">IF(A25="","",V43_New!EZ25)</f>
        <v/>
      </c>
      <c r="M25" s="0" t="str">
        <f aca="false">IF(A25="","",V43_New!FA25)</f>
        <v/>
      </c>
      <c r="N25" s="0" t="str">
        <f aca="false">IF(A25="","",V43_New!FB25)</f>
        <v/>
      </c>
      <c r="O25" s="0" t="str">
        <f aca="false">IF(A25="","",V43_New!FC25)</f>
        <v/>
      </c>
      <c r="P25" s="0" t="str">
        <f aca="false">IF(A25="","",V43_New!FD25)</f>
        <v/>
      </c>
      <c r="Q25" s="0" t="str">
        <f aca="false">IF(A25="","",V43_New!FE25)</f>
        <v/>
      </c>
      <c r="R25" s="0" t="str">
        <f aca="false">IF(A25="","",V43_New!FF25)</f>
        <v/>
      </c>
      <c r="S25" s="0" t="str">
        <f aca="false">IF(A25="","",V43_New!FG25)</f>
        <v/>
      </c>
      <c r="T25" s="0" t="str">
        <f aca="false">IF(A25="","",V43_New!FH25)</f>
        <v/>
      </c>
      <c r="U25" s="0" t="str">
        <f aca="false">IF(A25="","",V43_New!FI25)</f>
        <v/>
      </c>
      <c r="V25" s="0" t="str">
        <f aca="false">IF(A25="","",V43_New!FJ25)</f>
        <v/>
      </c>
      <c r="W25" s="0" t="str">
        <f aca="false">IF(A25="","",V43_New!FK25)</f>
        <v/>
      </c>
      <c r="X25" s="0" t="str">
        <f aca="false">IF(A25="","",V43_New!FL25)</f>
        <v/>
      </c>
      <c r="Y25" s="0" t="str">
        <f aca="false">IF(A25="","",V43_New!FM25)</f>
        <v/>
      </c>
      <c r="Z25" s="0" t="n">
        <f aca="false">IF(C26&lt;&gt;"",COUNT(C25:N25),0)</f>
        <v>3</v>
      </c>
      <c r="AA25" s="0" t="n">
        <f aca="false">IF(AND(O25="",P25="",Q25="",R25="",S25="",T25="",U25="",V25="",W25="",X25="",Y25=""),0,1)</f>
        <v>0</v>
      </c>
      <c r="AB25" s="15" t="n">
        <f aca="false">IF(OR(Z25&gt;=3,AA25=1),AVERAGE(C25:N25),"")</f>
        <v>4801.66666666667</v>
      </c>
    </row>
    <row r="26" customFormat="false" ht="14.25" hidden="false" customHeight="false" outlineLevel="0" collapsed="false">
      <c r="A26" s="0" t="n">
        <f aca="false">Timestamp_Adjustment!D26</f>
        <v>1776799800</v>
      </c>
      <c r="B26" s="0" t="n">
        <f aca="false">IF(A26="","",V43_New!D26)</f>
        <v>4671.47</v>
      </c>
      <c r="C26" s="0" t="n">
        <f aca="false">IF(A26="","",V43_New!F26)</f>
        <v>4668.61</v>
      </c>
      <c r="D26" s="0" t="str">
        <f aca="false">IF(A26="","",V43_New!ER26)</f>
        <v/>
      </c>
      <c r="E26" s="0" t="str">
        <f aca="false">IF(A26="","",V43_New!ES26)</f>
        <v/>
      </c>
      <c r="F26" s="0" t="str">
        <f aca="false">IF(A26="","",V43_New!ET26)</f>
        <v/>
      </c>
      <c r="G26" s="0" t="str">
        <f aca="false">IF(A26="","",V43_New!EU26)</f>
        <v/>
      </c>
      <c r="H26" s="0" t="str">
        <f aca="false">IF(A26="","",V43_New!EV26)</f>
        <v/>
      </c>
      <c r="I26" s="0" t="str">
        <f aca="false">IF(A26="","",V43_New!EW26)</f>
        <v/>
      </c>
      <c r="J26" s="0" t="str">
        <f aca="false">IF(A26="","",V43_New!EX26)</f>
        <v/>
      </c>
      <c r="K26" s="0" t="str">
        <f aca="false">IF(A26="","",V43_New!EY26)</f>
        <v/>
      </c>
      <c r="L26" s="0" t="str">
        <f aca="false">IF(A26="","",V43_New!EZ26)</f>
        <v/>
      </c>
      <c r="M26" s="0" t="str">
        <f aca="false">IF(A26="","",V43_New!FA26)</f>
        <v/>
      </c>
      <c r="N26" s="0" t="str">
        <f aca="false">IF(A26="","",V43_New!FB26)</f>
        <v/>
      </c>
      <c r="O26" s="0" t="str">
        <f aca="false">IF(A26="","",V43_New!FC26)</f>
        <v/>
      </c>
      <c r="P26" s="0" t="str">
        <f aca="false">IF(A26="","",V43_New!FD26)</f>
        <v/>
      </c>
      <c r="Q26" s="0" t="str">
        <f aca="false">IF(A26="","",V43_New!FE26)</f>
        <v/>
      </c>
      <c r="R26" s="0" t="str">
        <f aca="false">IF(A26="","",V43_New!FF26)</f>
        <v/>
      </c>
      <c r="S26" s="0" t="str">
        <f aca="false">IF(A26="","",V43_New!FG26)</f>
        <v/>
      </c>
      <c r="T26" s="0" t="str">
        <f aca="false">IF(A26="","",V43_New!FH26)</f>
        <v/>
      </c>
      <c r="U26" s="0" t="str">
        <f aca="false">IF(A26="","",V43_New!FI26)</f>
        <v/>
      </c>
      <c r="V26" s="0" t="str">
        <f aca="false">IF(A26="","",V43_New!FJ26)</f>
        <v/>
      </c>
      <c r="W26" s="0" t="str">
        <f aca="false">IF(A26="","",V43_New!FK26)</f>
        <v/>
      </c>
      <c r="X26" s="0" t="str">
        <f aca="false">IF(A26="","",V43_New!FL26)</f>
        <v/>
      </c>
      <c r="Y26" s="0" t="str">
        <f aca="false">IF(A26="","",V43_New!FM26)</f>
        <v/>
      </c>
      <c r="Z26" s="0" t="n">
        <f aca="false">IF(C27&lt;&gt;"",COUNT(C26:N26),0)</f>
        <v>1</v>
      </c>
      <c r="AA26" s="0" t="n">
        <f aca="false">IF(AND(O26="",P26="",Q26="",R26="",S26="",T26="",U26="",V26="",W26="",X26="",Y26=""),0,1)</f>
        <v>0</v>
      </c>
      <c r="AB26" s="15" t="str">
        <f aca="false">IF(OR(Z26&gt;=3,AA26=1),AVERAGE(C26:N26),"")</f>
        <v/>
      </c>
    </row>
    <row r="27" customFormat="false" ht="14.25" hidden="false" customHeight="false" outlineLevel="0" collapsed="false">
      <c r="A27" s="0" t="n">
        <f aca="false">Timestamp_Adjustment!D27</f>
        <v>1776841200</v>
      </c>
      <c r="B27" s="0" t="n">
        <f aca="false">IF(A27="","",V43_New!D27)</f>
        <v>4765.67</v>
      </c>
      <c r="C27" s="0" t="n">
        <f aca="false">IF(A27="","",V43_New!F27)</f>
        <v>4772.15</v>
      </c>
      <c r="D27" s="0" t="str">
        <f aca="false">IF(A27="","",V43_New!ER27)</f>
        <v/>
      </c>
      <c r="E27" s="0" t="str">
        <f aca="false">IF(A27="","",V43_New!ES27)</f>
        <v/>
      </c>
      <c r="F27" s="0" t="str">
        <f aca="false">IF(A27="","",V43_New!ET27)</f>
        <v/>
      </c>
      <c r="G27" s="0" t="str">
        <f aca="false">IF(A27="","",V43_New!EU27)</f>
        <v/>
      </c>
      <c r="H27" s="0" t="str">
        <f aca="false">IF(A27="","",V43_New!EV27)</f>
        <v/>
      </c>
      <c r="I27" s="0" t="str">
        <f aca="false">IF(A27="","",V43_New!EW27)</f>
        <v/>
      </c>
      <c r="J27" s="0" t="str">
        <f aca="false">IF(A27="","",V43_New!EX27)</f>
        <v/>
      </c>
      <c r="K27" s="0" t="str">
        <f aca="false">IF(A27="","",V43_New!EY27)</f>
        <v/>
      </c>
      <c r="L27" s="0" t="str">
        <f aca="false">IF(A27="","",V43_New!EZ27)</f>
        <v/>
      </c>
      <c r="M27" s="0" t="str">
        <f aca="false">IF(A27="","",V43_New!FA27)</f>
        <v/>
      </c>
      <c r="N27" s="0" t="str">
        <f aca="false">IF(A27="","",V43_New!FB27)</f>
        <v/>
      </c>
      <c r="O27" s="0" t="str">
        <f aca="false">IF(A27="","",V43_New!FC27)</f>
        <v/>
      </c>
      <c r="P27" s="0" t="str">
        <f aca="false">IF(A27="","",V43_New!FD27)</f>
        <v/>
      </c>
      <c r="Q27" s="0" t="str">
        <f aca="false">IF(A27="","",V43_New!FE27)</f>
        <v/>
      </c>
      <c r="R27" s="0" t="str">
        <f aca="false">IF(A27="","",V43_New!FF27)</f>
        <v/>
      </c>
      <c r="S27" s="0" t="str">
        <f aca="false">IF(A27="","",V43_New!FG27)</f>
        <v/>
      </c>
      <c r="T27" s="0" t="str">
        <f aca="false">IF(A27="","",V43_New!FH27)</f>
        <v/>
      </c>
      <c r="U27" s="0" t="str">
        <f aca="false">IF(A27="","",V43_New!FI27)</f>
        <v/>
      </c>
      <c r="V27" s="0" t="str">
        <f aca="false">IF(A27="","",V43_New!FJ27)</f>
        <v/>
      </c>
      <c r="W27" s="0" t="str">
        <f aca="false">IF(A27="","",V43_New!FK27)</f>
        <v/>
      </c>
      <c r="X27" s="0" t="str">
        <f aca="false">IF(A27="","",V43_New!FL27)</f>
        <v/>
      </c>
      <c r="Y27" s="0" t="str">
        <f aca="false">IF(A27="","",V43_New!FM27)</f>
        <v/>
      </c>
      <c r="Z27" s="0" t="n">
        <f aca="false">IF(C28&lt;&gt;"",COUNT(C27:N27),0)</f>
        <v>1</v>
      </c>
      <c r="AA27" s="0" t="n">
        <f aca="false">IF(AND(O27="",P27="",Q27="",R27="",S27="",T27="",U27="",V27="",W27="",X27="",Y27=""),0,1)</f>
        <v>0</v>
      </c>
      <c r="AB27" s="15" t="str">
        <f aca="false">IF(OR(Z27&gt;=3,AA27=1),AVERAGE(C27:N27),"")</f>
        <v/>
      </c>
    </row>
    <row r="28" customFormat="false" ht="14.25" hidden="false" customHeight="false" outlineLevel="0" collapsed="false">
      <c r="A28" s="0" t="n">
        <f aca="false">Timestamp_Adjustment!D28</f>
        <v>1776875400</v>
      </c>
      <c r="B28" s="0" t="n">
        <f aca="false">IF(A28="","",V43_New!D28)</f>
        <v>4728.3</v>
      </c>
      <c r="C28" s="0" t="n">
        <f aca="false">IF(A28="","",V43_New!F28)</f>
        <v>4724.03</v>
      </c>
      <c r="D28" s="0" t="str">
        <f aca="false">IF(A28="","",V43_New!ER28)</f>
        <v/>
      </c>
      <c r="E28" s="0" t="str">
        <f aca="false">IF(A28="","",V43_New!ES28)</f>
        <v/>
      </c>
      <c r="F28" s="0" t="str">
        <f aca="false">IF(A28="","",V43_New!ET28)</f>
        <v/>
      </c>
      <c r="G28" s="0" t="str">
        <f aca="false">IF(A28="","",V43_New!EU28)</f>
        <v/>
      </c>
      <c r="H28" s="0" t="str">
        <f aca="false">IF(A28="","",V43_New!EV28)</f>
        <v/>
      </c>
      <c r="I28" s="0" t="str">
        <f aca="false">IF(A28="","",V43_New!EW28)</f>
        <v/>
      </c>
      <c r="J28" s="0" t="str">
        <f aca="false">IF(A28="","",V43_New!EX28)</f>
        <v/>
      </c>
      <c r="K28" s="0" t="str">
        <f aca="false">IF(A28="","",V43_New!EY28)</f>
        <v/>
      </c>
      <c r="L28" s="0" t="str">
        <f aca="false">IF(A28="","",V43_New!EZ28)</f>
        <v/>
      </c>
      <c r="M28" s="0" t="str">
        <f aca="false">IF(A28="","",V43_New!FA28)</f>
        <v/>
      </c>
      <c r="N28" s="0" t="str">
        <f aca="false">IF(A28="","",V43_New!FB28)</f>
        <v/>
      </c>
      <c r="O28" s="0" t="str">
        <f aca="false">IF(A28="","",V43_New!FC28)</f>
        <v/>
      </c>
      <c r="P28" s="0" t="str">
        <f aca="false">IF(A28="","",V43_New!FD28)</f>
        <v/>
      </c>
      <c r="Q28" s="0" t="str">
        <f aca="false">IF(A28="","",V43_New!FE28)</f>
        <v/>
      </c>
      <c r="R28" s="0" t="str">
        <f aca="false">IF(A28="","",V43_New!FF28)</f>
        <v/>
      </c>
      <c r="S28" s="0" t="str">
        <f aca="false">IF(A28="","",V43_New!FG28)</f>
        <v/>
      </c>
      <c r="T28" s="0" t="str">
        <f aca="false">IF(A28="","",V43_New!FH28)</f>
        <v/>
      </c>
      <c r="U28" s="0" t="str">
        <f aca="false">IF(A28="","",V43_New!FI28)</f>
        <v/>
      </c>
      <c r="V28" s="0" t="str">
        <f aca="false">IF(A28="","",V43_New!FJ28)</f>
        <v/>
      </c>
      <c r="W28" s="0" t="str">
        <f aca="false">IF(A28="","",V43_New!FK28)</f>
        <v/>
      </c>
      <c r="X28" s="0" t="str">
        <f aca="false">IF(A28="","",V43_New!FL28)</f>
        <v/>
      </c>
      <c r="Y28" s="0" t="str">
        <f aca="false">IF(A28="","",V43_New!FM28)</f>
        <v/>
      </c>
      <c r="Z28" s="0" t="n">
        <f aca="false">IF(C29&lt;&gt;"",COUNT(C28:N28),0)</f>
        <v>1</v>
      </c>
      <c r="AA28" s="0" t="n">
        <f aca="false">IF(AND(O28="",P28="",Q28="",R28="",S28="",T28="",U28="",V28="",W28="",X28="",Y28=""),0,1)</f>
        <v>0</v>
      </c>
      <c r="AB28" s="15" t="str">
        <f aca="false">IF(OR(Z28&gt;=3,AA28=1),AVERAGE(C28:N28),"")</f>
        <v/>
      </c>
    </row>
    <row r="29" customFormat="false" ht="14.25" hidden="false" customHeight="false" outlineLevel="0" collapsed="false">
      <c r="A29" s="0" t="n">
        <f aca="false">Timestamp_Adjustment!D29</f>
        <v>1776883500</v>
      </c>
      <c r="B29" s="0" t="n">
        <f aca="false">IF(A29="","",V43_New!D29)</f>
        <v>4741.69</v>
      </c>
      <c r="C29" s="0" t="n">
        <f aca="false">IF(A29="","",V43_New!F29)</f>
        <v>4749.34</v>
      </c>
      <c r="D29" s="0" t="str">
        <f aca="false">IF(A29="","",V43_New!ER29)</f>
        <v/>
      </c>
      <c r="E29" s="0" t="str">
        <f aca="false">IF(A29="","",V43_New!ES29)</f>
        <v/>
      </c>
      <c r="F29" s="0" t="str">
        <f aca="false">IF(A29="","",V43_New!ET29)</f>
        <v/>
      </c>
      <c r="G29" s="0" t="str">
        <f aca="false">IF(A29="","",V43_New!EU29)</f>
        <v/>
      </c>
      <c r="H29" s="0" t="str">
        <f aca="false">IF(A29="","",V43_New!EV29)</f>
        <v/>
      </c>
      <c r="I29" s="0" t="str">
        <f aca="false">IF(A29="","",V43_New!EW29)</f>
        <v/>
      </c>
      <c r="J29" s="0" t="str">
        <f aca="false">IF(A29="","",V43_New!EX29)</f>
        <v/>
      </c>
      <c r="K29" s="0" t="str">
        <f aca="false">IF(A29="","",V43_New!EY29)</f>
        <v/>
      </c>
      <c r="L29" s="0" t="str">
        <f aca="false">IF(A29="","",V43_New!EZ29)</f>
        <v/>
      </c>
      <c r="M29" s="0" t="str">
        <f aca="false">IF(A29="","",V43_New!FA29)</f>
        <v/>
      </c>
      <c r="N29" s="0" t="str">
        <f aca="false">IF(A29="","",V43_New!FB29)</f>
        <v/>
      </c>
      <c r="O29" s="0" t="str">
        <f aca="false">IF(A29="","",V43_New!FC29)</f>
        <v/>
      </c>
      <c r="P29" s="0" t="str">
        <f aca="false">IF(A29="","",V43_New!FD29)</f>
        <v/>
      </c>
      <c r="Q29" s="0" t="str">
        <f aca="false">IF(A29="","",V43_New!FE29)</f>
        <v/>
      </c>
      <c r="R29" s="0" t="str">
        <f aca="false">IF(A29="","",V43_New!FF29)</f>
        <v/>
      </c>
      <c r="S29" s="0" t="str">
        <f aca="false">IF(A29="","",V43_New!FG29)</f>
        <v/>
      </c>
      <c r="T29" s="0" t="str">
        <f aca="false">IF(A29="","",V43_New!FH29)</f>
        <v/>
      </c>
      <c r="U29" s="0" t="str">
        <f aca="false">IF(A29="","",V43_New!FI29)</f>
        <v/>
      </c>
      <c r="V29" s="0" t="str">
        <f aca="false">IF(A29="","",V43_New!FJ29)</f>
        <v/>
      </c>
      <c r="W29" s="0" t="str">
        <f aca="false">IF(A29="","",V43_New!FK29)</f>
        <v/>
      </c>
      <c r="X29" s="0" t="str">
        <f aca="false">IF(A29="","",V43_New!FL29)</f>
        <v/>
      </c>
      <c r="Y29" s="0" t="str">
        <f aca="false">IF(A29="","",V43_New!FM29)</f>
        <v/>
      </c>
      <c r="Z29" s="0" t="n">
        <f aca="false">IF(C30&lt;&gt;"",COUNT(C29:N29),0)</f>
        <v>1</v>
      </c>
      <c r="AA29" s="0" t="n">
        <f aca="false">IF(AND(O29="",P29="",Q29="",R29="",S29="",T29="",U29="",V29="",W29="",X29="",Y29=""),0,1)</f>
        <v>0</v>
      </c>
      <c r="AB29" s="15" t="str">
        <f aca="false">IF(OR(Z29&gt;=3,AA29=1),AVERAGE(C29:N29),"")</f>
        <v/>
      </c>
    </row>
    <row r="30" customFormat="false" ht="14.25" hidden="false" customHeight="false" outlineLevel="0" collapsed="false">
      <c r="A30" s="0" t="n">
        <f aca="false">Timestamp_Adjustment!D30</f>
        <v>1776903300</v>
      </c>
      <c r="B30" s="0" t="n">
        <f aca="false">IF(A30="","",V43_New!D30)</f>
        <v>4741.59</v>
      </c>
      <c r="C30" s="0" t="n">
        <f aca="false">IF(A30="","",V43_New!F30)</f>
        <v>4694.34</v>
      </c>
      <c r="D30" s="0" t="str">
        <f aca="false">IF(A30="","",V43_New!ER30)</f>
        <v/>
      </c>
      <c r="E30" s="0" t="str">
        <f aca="false">IF(A30="","",V43_New!ES30)</f>
        <v/>
      </c>
      <c r="F30" s="0" t="str">
        <f aca="false">IF(A30="","",V43_New!ET30)</f>
        <v/>
      </c>
      <c r="G30" s="0" t="str">
        <f aca="false">IF(A30="","",V43_New!EU30)</f>
        <v/>
      </c>
      <c r="H30" s="0" t="str">
        <f aca="false">IF(A30="","",V43_New!EV30)</f>
        <v/>
      </c>
      <c r="I30" s="0" t="str">
        <f aca="false">IF(A30="","",V43_New!EW30)</f>
        <v/>
      </c>
      <c r="J30" s="0" t="str">
        <f aca="false">IF(A30="","",V43_New!EX30)</f>
        <v/>
      </c>
      <c r="K30" s="0" t="str">
        <f aca="false">IF(A30="","",V43_New!EY30)</f>
        <v/>
      </c>
      <c r="L30" s="0" t="str">
        <f aca="false">IF(A30="","",V43_New!EZ30)</f>
        <v/>
      </c>
      <c r="M30" s="0" t="str">
        <f aca="false">IF(A30="","",V43_New!FA30)</f>
        <v/>
      </c>
      <c r="N30" s="0" t="str">
        <f aca="false">IF(A30="","",V43_New!FB30)</f>
        <v/>
      </c>
      <c r="O30" s="0" t="str">
        <f aca="false">IF(A30="","",V43_New!FC30)</f>
        <v/>
      </c>
      <c r="P30" s="0" t="str">
        <f aca="false">IF(A30="","",V43_New!FD30)</f>
        <v/>
      </c>
      <c r="Q30" s="0" t="str">
        <f aca="false">IF(A30="","",V43_New!FE30)</f>
        <v/>
      </c>
      <c r="R30" s="0" t="str">
        <f aca="false">IF(A30="","",V43_New!FF30)</f>
        <v/>
      </c>
      <c r="S30" s="0" t="str">
        <f aca="false">IF(A30="","",V43_New!FG30)</f>
        <v/>
      </c>
      <c r="T30" s="0" t="str">
        <f aca="false">IF(A30="","",V43_New!FH30)</f>
        <v/>
      </c>
      <c r="U30" s="0" t="str">
        <f aca="false">IF(A30="","",V43_New!FI30)</f>
        <v/>
      </c>
      <c r="V30" s="0" t="str">
        <f aca="false">IF(A30="","",V43_New!FJ30)</f>
        <v/>
      </c>
      <c r="W30" s="0" t="str">
        <f aca="false">IF(A30="","",V43_New!FK30)</f>
        <v/>
      </c>
      <c r="X30" s="0" t="str">
        <f aca="false">IF(A30="","",V43_New!FL30)</f>
        <v/>
      </c>
      <c r="Y30" s="0" t="str">
        <f aca="false">IF(A30="","",V43_New!FM30)</f>
        <v/>
      </c>
      <c r="Z30" s="0" t="n">
        <f aca="false">IF(C31&lt;&gt;"",COUNT(C30:N30),0)</f>
        <v>1</v>
      </c>
      <c r="AA30" s="0" t="n">
        <f aca="false">IF(AND(O30="",P30="",Q30="",R30="",S30="",T30="",U30="",V30="",W30="",X30="",Y30=""),0,1)</f>
        <v>0</v>
      </c>
      <c r="AB30" s="15" t="str">
        <f aca="false">IF(OR(Z30&gt;=3,AA30=1),AVERAGE(C30:N30),"")</f>
        <v/>
      </c>
    </row>
    <row r="31" customFormat="false" ht="14.25" hidden="false" customHeight="false" outlineLevel="0" collapsed="false">
      <c r="A31" s="0" t="n">
        <f aca="false">Timestamp_Adjustment!D31</f>
        <v>1776905100</v>
      </c>
      <c r="B31" s="0" t="n">
        <f aca="false">IF(A31="","",V43_New!D31)</f>
        <v>4748.05</v>
      </c>
      <c r="C31" s="0" t="n">
        <f aca="false">IF(A31="","",V43_New!F31)</f>
        <v>4753.33</v>
      </c>
      <c r="D31" s="0" t="str">
        <f aca="false">IF(A31="","",V43_New!ER31)</f>
        <v/>
      </c>
      <c r="E31" s="0" t="str">
        <f aca="false">IF(A31="","",V43_New!ES31)</f>
        <v/>
      </c>
      <c r="F31" s="0" t="str">
        <f aca="false">IF(A31="","",V43_New!ET31)</f>
        <v/>
      </c>
      <c r="G31" s="0" t="str">
        <f aca="false">IF(A31="","",V43_New!EU31)</f>
        <v/>
      </c>
      <c r="H31" s="0" t="str">
        <f aca="false">IF(A31="","",V43_New!EV31)</f>
        <v/>
      </c>
      <c r="I31" s="0" t="str">
        <f aca="false">IF(A31="","",V43_New!EW31)</f>
        <v/>
      </c>
      <c r="J31" s="0" t="str">
        <f aca="false">IF(A31="","",V43_New!EX31)</f>
        <v/>
      </c>
      <c r="K31" s="0" t="str">
        <f aca="false">IF(A31="","",V43_New!EY31)</f>
        <v/>
      </c>
      <c r="L31" s="0" t="str">
        <f aca="false">IF(A31="","",V43_New!EZ31)</f>
        <v/>
      </c>
      <c r="M31" s="0" t="str">
        <f aca="false">IF(A31="","",V43_New!FA31)</f>
        <v/>
      </c>
      <c r="N31" s="0" t="str">
        <f aca="false">IF(A31="","",V43_New!FB31)</f>
        <v/>
      </c>
      <c r="O31" s="0" t="str">
        <f aca="false">IF(A31="","",V43_New!FC31)</f>
        <v/>
      </c>
      <c r="P31" s="0" t="str">
        <f aca="false">IF(A31="","",V43_New!FD31)</f>
        <v/>
      </c>
      <c r="Q31" s="0" t="str">
        <f aca="false">IF(A31="","",V43_New!FE31)</f>
        <v/>
      </c>
      <c r="R31" s="0" t="str">
        <f aca="false">IF(A31="","",V43_New!FF31)</f>
        <v/>
      </c>
      <c r="S31" s="0" t="str">
        <f aca="false">IF(A31="","",V43_New!FG31)</f>
        <v/>
      </c>
      <c r="T31" s="0" t="str">
        <f aca="false">IF(A31="","",V43_New!FH31)</f>
        <v/>
      </c>
      <c r="U31" s="0" t="str">
        <f aca="false">IF(A31="","",V43_New!FI31)</f>
        <v/>
      </c>
      <c r="V31" s="0" t="str">
        <f aca="false">IF(A31="","",V43_New!FJ31)</f>
        <v/>
      </c>
      <c r="W31" s="0" t="str">
        <f aca="false">IF(A31="","",V43_New!FK31)</f>
        <v/>
      </c>
      <c r="X31" s="0" t="str">
        <f aca="false">IF(A31="","",V43_New!FL31)</f>
        <v/>
      </c>
      <c r="Y31" s="0" t="str">
        <f aca="false">IF(A31="","",V43_New!FM31)</f>
        <v/>
      </c>
      <c r="Z31" s="0" t="n">
        <f aca="false">IF(C32&lt;&gt;"",COUNT(C31:N31),0)</f>
        <v>1</v>
      </c>
      <c r="AA31" s="0" t="n">
        <f aca="false">IF(AND(O31="",P31="",Q31="",R31="",S31="",T31="",U31="",V31="",W31="",X31="",Y31=""),0,1)</f>
        <v>0</v>
      </c>
      <c r="AB31" s="15" t="str">
        <f aca="false">IF(OR(Z31&gt;=3,AA31=1),AVERAGE(C31:N31),"")</f>
        <v/>
      </c>
    </row>
    <row r="32" customFormat="false" ht="14.25" hidden="false" customHeight="false" outlineLevel="0" collapsed="false">
      <c r="A32" s="0" t="n">
        <f aca="false">Timestamp_Adjustment!D32</f>
        <v>1776922200</v>
      </c>
      <c r="B32" s="0" t="n">
        <f aca="false">IF(A32="","",V43_New!D32)</f>
        <v>4701.58</v>
      </c>
      <c r="C32" s="0" t="n">
        <f aca="false">IF(A32="","",V43_New!F32)</f>
        <v>4693.06</v>
      </c>
      <c r="D32" s="0" t="n">
        <f aca="false">IF(A32="","",V43_New!ER32)</f>
        <v>4694.34</v>
      </c>
      <c r="E32" s="0" t="str">
        <f aca="false">IF(A32="","",V43_New!ES32)</f>
        <v/>
      </c>
      <c r="F32" s="0" t="str">
        <f aca="false">IF(A32="","",V43_New!ET32)</f>
        <v/>
      </c>
      <c r="G32" s="0" t="str">
        <f aca="false">IF(A32="","",V43_New!EU32)</f>
        <v/>
      </c>
      <c r="H32" s="0" t="str">
        <f aca="false">IF(A32="","",V43_New!EV32)</f>
        <v/>
      </c>
      <c r="I32" s="0" t="str">
        <f aca="false">IF(A32="","",V43_New!EW32)</f>
        <v/>
      </c>
      <c r="J32" s="0" t="str">
        <f aca="false">IF(A32="","",V43_New!EX32)</f>
        <v/>
      </c>
      <c r="K32" s="0" t="str">
        <f aca="false">IF(A32="","",V43_New!EY32)</f>
        <v/>
      </c>
      <c r="L32" s="0" t="str">
        <f aca="false">IF(A32="","",V43_New!EZ32)</f>
        <v/>
      </c>
      <c r="M32" s="0" t="str">
        <f aca="false">IF(A32="","",V43_New!FA32)</f>
        <v/>
      </c>
      <c r="N32" s="0" t="str">
        <f aca="false">IF(A32="","",V43_New!FB32)</f>
        <v/>
      </c>
      <c r="O32" s="0" t="str">
        <f aca="false">IF(A32="","",V43_New!FC32)</f>
        <v/>
      </c>
      <c r="P32" s="0" t="str">
        <f aca="false">IF(A32="","",V43_New!FD32)</f>
        <v/>
      </c>
      <c r="Q32" s="0" t="str">
        <f aca="false">IF(A32="","",V43_New!FE32)</f>
        <v/>
      </c>
      <c r="R32" s="0" t="str">
        <f aca="false">IF(A32="","",V43_New!FF32)</f>
        <v/>
      </c>
      <c r="S32" s="0" t="str">
        <f aca="false">IF(A32="","",V43_New!FG32)</f>
        <v/>
      </c>
      <c r="T32" s="0" t="str">
        <f aca="false">IF(A32="","",V43_New!FH32)</f>
        <v/>
      </c>
      <c r="U32" s="0" t="str">
        <f aca="false">IF(A32="","",V43_New!FI32)</f>
        <v/>
      </c>
      <c r="V32" s="0" t="str">
        <f aca="false">IF(A32="","",V43_New!FJ32)</f>
        <v/>
      </c>
      <c r="W32" s="0" t="str">
        <f aca="false">IF(A32="","",V43_New!FK32)</f>
        <v/>
      </c>
      <c r="X32" s="0" t="str">
        <f aca="false">IF(A32="","",V43_New!FL32)</f>
        <v/>
      </c>
      <c r="Y32" s="0" t="str">
        <f aca="false">IF(A32="","",V43_New!FM32)</f>
        <v/>
      </c>
      <c r="Z32" s="0" t="n">
        <f aca="false">IF(C33&lt;&gt;"",COUNT(C32:N32),0)</f>
        <v>2</v>
      </c>
      <c r="AA32" s="0" t="n">
        <f aca="false">IF(AND(O32="",P32="",Q32="",R32="",S32="",T32="",U32="",V32="",W32="",X32="",Y32=""),0,1)</f>
        <v>0</v>
      </c>
      <c r="AB32" s="15" t="str">
        <f aca="false">IF(OR(Z32&gt;=3,AA32=1),AVERAGE(C32:N32),"")</f>
        <v/>
      </c>
    </row>
    <row r="33" customFormat="false" ht="14.25" hidden="false" customHeight="false" outlineLevel="0" collapsed="false">
      <c r="A33" s="0" t="n">
        <f aca="false">Timestamp_Adjustment!D33</f>
        <v>1776931200</v>
      </c>
      <c r="B33" s="0" t="n">
        <f aca="false">IF(A33="","",V43_New!D33)</f>
        <v>4718.21</v>
      </c>
      <c r="C33" s="0" t="n">
        <f aca="false">IF(A33="","",V43_New!F33)</f>
        <v>4724.89</v>
      </c>
      <c r="D33" s="0" t="str">
        <f aca="false">IF(A33="","",V43_New!ER33)</f>
        <v/>
      </c>
      <c r="E33" s="0" t="str">
        <f aca="false">IF(A33="","",V43_New!ES33)</f>
        <v/>
      </c>
      <c r="F33" s="0" t="str">
        <f aca="false">IF(A33="","",V43_New!ET33)</f>
        <v/>
      </c>
      <c r="G33" s="0" t="str">
        <f aca="false">IF(A33="","",V43_New!EU33)</f>
        <v/>
      </c>
      <c r="H33" s="0" t="str">
        <f aca="false">IF(A33="","",V43_New!EV33)</f>
        <v/>
      </c>
      <c r="I33" s="0" t="str">
        <f aca="false">IF(A33="","",V43_New!EW33)</f>
        <v/>
      </c>
      <c r="J33" s="0" t="str">
        <f aca="false">IF(A33="","",V43_New!EX33)</f>
        <v/>
      </c>
      <c r="K33" s="0" t="str">
        <f aca="false">IF(A33="","",V43_New!EY33)</f>
        <v/>
      </c>
      <c r="L33" s="0" t="str">
        <f aca="false">IF(A33="","",V43_New!EZ33)</f>
        <v/>
      </c>
      <c r="M33" s="0" t="str">
        <f aca="false">IF(A33="","",V43_New!FA33)</f>
        <v/>
      </c>
      <c r="N33" s="0" t="str">
        <f aca="false">IF(A33="","",V43_New!FB33)</f>
        <v/>
      </c>
      <c r="O33" s="0" t="str">
        <f aca="false">IF(A33="","",V43_New!FC33)</f>
        <v/>
      </c>
      <c r="P33" s="0" t="str">
        <f aca="false">IF(A33="","",V43_New!FD33)</f>
        <v/>
      </c>
      <c r="Q33" s="0" t="str">
        <f aca="false">IF(A33="","",V43_New!FE33)</f>
        <v/>
      </c>
      <c r="R33" s="0" t="str">
        <f aca="false">IF(A33="","",V43_New!FF33)</f>
        <v/>
      </c>
      <c r="S33" s="0" t="str">
        <f aca="false">IF(A33="","",V43_New!FG33)</f>
        <v/>
      </c>
      <c r="T33" s="0" t="str">
        <f aca="false">IF(A33="","",V43_New!FH33)</f>
        <v/>
      </c>
      <c r="U33" s="0" t="str">
        <f aca="false">IF(A33="","",V43_New!FI33)</f>
        <v/>
      </c>
      <c r="V33" s="0" t="str">
        <f aca="false">IF(A33="","",V43_New!FJ33)</f>
        <v/>
      </c>
      <c r="W33" s="0" t="str">
        <f aca="false">IF(A33="","",V43_New!FK33)</f>
        <v/>
      </c>
      <c r="X33" s="0" t="str">
        <f aca="false">IF(A33="","",V43_New!FL33)</f>
        <v/>
      </c>
      <c r="Y33" s="0" t="str">
        <f aca="false">IF(A33="","",V43_New!FM33)</f>
        <v/>
      </c>
      <c r="Z33" s="0" t="n">
        <f aca="false">IF(C34&lt;&gt;"",COUNT(C33:N33),0)</f>
        <v>1</v>
      </c>
      <c r="AA33" s="0" t="n">
        <f aca="false">IF(AND(O33="",P33="",Q33="",R33="",S33="",T33="",U33="",V33="",W33="",X33="",Y33=""),0,1)</f>
        <v>0</v>
      </c>
      <c r="AB33" s="15" t="str">
        <f aca="false">IF(OR(Z33&gt;=3,AA33=1),AVERAGE(C33:N33),"")</f>
        <v/>
      </c>
    </row>
    <row r="34" customFormat="false" ht="14.25" hidden="false" customHeight="false" outlineLevel="0" collapsed="false">
      <c r="A34" s="0" t="n">
        <f aca="false">Timestamp_Adjustment!D34</f>
        <v>1776940200</v>
      </c>
      <c r="B34" s="0" t="n">
        <f aca="false">IF(A34="","",V43_New!D34)</f>
        <v>4690.77</v>
      </c>
      <c r="C34" s="0" t="n">
        <f aca="false">IF(A34="","",V43_New!F34)</f>
        <v>4684.26</v>
      </c>
      <c r="D34" s="0" t="n">
        <f aca="false">IF(A34="","",V43_New!ER34)</f>
        <v>4693.06</v>
      </c>
      <c r="E34" s="0" t="n">
        <f aca="false">IF(A34="","",V43_New!ES34)</f>
        <v>4694.34</v>
      </c>
      <c r="F34" s="0" t="str">
        <f aca="false">IF(A34="","",V43_New!ET34)</f>
        <v/>
      </c>
      <c r="G34" s="0" t="str">
        <f aca="false">IF(A34="","",V43_New!EU34)</f>
        <v/>
      </c>
      <c r="H34" s="0" t="str">
        <f aca="false">IF(A34="","",V43_New!EV34)</f>
        <v/>
      </c>
      <c r="I34" s="0" t="str">
        <f aca="false">IF(A34="","",V43_New!EW34)</f>
        <v/>
      </c>
      <c r="J34" s="0" t="str">
        <f aca="false">IF(A34="","",V43_New!EX34)</f>
        <v/>
      </c>
      <c r="K34" s="0" t="str">
        <f aca="false">IF(A34="","",V43_New!EY34)</f>
        <v/>
      </c>
      <c r="L34" s="0" t="str">
        <f aca="false">IF(A34="","",V43_New!EZ34)</f>
        <v/>
      </c>
      <c r="M34" s="0" t="str">
        <f aca="false">IF(A34="","",V43_New!FA34)</f>
        <v/>
      </c>
      <c r="N34" s="0" t="str">
        <f aca="false">IF(A34="","",V43_New!FB34)</f>
        <v/>
      </c>
      <c r="O34" s="0" t="str">
        <f aca="false">IF(A34="","",V43_New!FC34)</f>
        <v/>
      </c>
      <c r="P34" s="0" t="str">
        <f aca="false">IF(A34="","",V43_New!FD34)</f>
        <v/>
      </c>
      <c r="Q34" s="0" t="str">
        <f aca="false">IF(A34="","",V43_New!FE34)</f>
        <v/>
      </c>
      <c r="R34" s="0" t="str">
        <f aca="false">IF(A34="","",V43_New!FF34)</f>
        <v/>
      </c>
      <c r="S34" s="0" t="str">
        <f aca="false">IF(A34="","",V43_New!FG34)</f>
        <v/>
      </c>
      <c r="T34" s="0" t="str">
        <f aca="false">IF(A34="","",V43_New!FH34)</f>
        <v/>
      </c>
      <c r="U34" s="0" t="str">
        <f aca="false">IF(A34="","",V43_New!FI34)</f>
        <v/>
      </c>
      <c r="V34" s="0" t="str">
        <f aca="false">IF(A34="","",V43_New!FJ34)</f>
        <v/>
      </c>
      <c r="W34" s="0" t="str">
        <f aca="false">IF(A34="","",V43_New!FK34)</f>
        <v/>
      </c>
      <c r="X34" s="0" t="str">
        <f aca="false">IF(A34="","",V43_New!FL34)</f>
        <v/>
      </c>
      <c r="Y34" s="0" t="str">
        <f aca="false">IF(A34="","",V43_New!FM34)</f>
        <v/>
      </c>
      <c r="Z34" s="0" t="n">
        <f aca="false">IF(C35&lt;&gt;"",COUNT(C34:N34),0)</f>
        <v>3</v>
      </c>
      <c r="AA34" s="0" t="n">
        <f aca="false">IF(AND(O34="",P34="",Q34="",R34="",S34="",T34="",U34="",V34="",W34="",X34="",Y34=""),0,1)</f>
        <v>0</v>
      </c>
      <c r="AB34" s="15" t="n">
        <f aca="false">IF(OR(Z34&gt;=3,AA34=1),AVERAGE(C34:N34),"")</f>
        <v>4690.55333333333</v>
      </c>
    </row>
    <row r="35" customFormat="false" ht="14.25" hidden="false" customHeight="false" outlineLevel="0" collapsed="false">
      <c r="A35" s="0" t="n">
        <f aca="false">Timestamp_Adjustment!D35</f>
        <v>1776948300</v>
      </c>
      <c r="B35" s="0" t="n">
        <f aca="false">IF(A35="","",V43_New!D35)</f>
        <v>4740.04</v>
      </c>
      <c r="C35" s="0" t="n">
        <f aca="false">IF(A35="","",V43_New!F35)</f>
        <v>4743.22</v>
      </c>
      <c r="D35" s="0" t="str">
        <f aca="false">IF(A35="","",V43_New!ER35)</f>
        <v/>
      </c>
      <c r="E35" s="0" t="n">
        <f aca="false">IF(A35="","",V43_New!ES35)</f>
        <v>4753.33</v>
      </c>
      <c r="F35" s="0" t="str">
        <f aca="false">IF(A35="","",V43_New!ET35)</f>
        <v/>
      </c>
      <c r="G35" s="0" t="str">
        <f aca="false">IF(A35="","",V43_New!EU35)</f>
        <v/>
      </c>
      <c r="H35" s="0" t="str">
        <f aca="false">IF(A35="","",V43_New!EV35)</f>
        <v/>
      </c>
      <c r="I35" s="0" t="str">
        <f aca="false">IF(A35="","",V43_New!EW35)</f>
        <v/>
      </c>
      <c r="J35" s="0" t="str">
        <f aca="false">IF(A35="","",V43_New!EX35)</f>
        <v/>
      </c>
      <c r="K35" s="0" t="str">
        <f aca="false">IF(A35="","",V43_New!EY35)</f>
        <v/>
      </c>
      <c r="L35" s="0" t="str">
        <f aca="false">IF(A35="","",V43_New!EZ35)</f>
        <v/>
      </c>
      <c r="M35" s="0" t="str">
        <f aca="false">IF(A35="","",V43_New!FA35)</f>
        <v/>
      </c>
      <c r="N35" s="0" t="str">
        <f aca="false">IF(A35="","",V43_New!FB35)</f>
        <v/>
      </c>
      <c r="O35" s="0" t="str">
        <f aca="false">IF(A35="","",V43_New!FC35)</f>
        <v/>
      </c>
      <c r="P35" s="0" t="str">
        <f aca="false">IF(A35="","",V43_New!FD35)</f>
        <v/>
      </c>
      <c r="Q35" s="0" t="str">
        <f aca="false">IF(A35="","",V43_New!FE35)</f>
        <v/>
      </c>
      <c r="R35" s="0" t="str">
        <f aca="false">IF(A35="","",V43_New!FF35)</f>
        <v/>
      </c>
      <c r="S35" s="0" t="str">
        <f aca="false">IF(A35="","",V43_New!FG35)</f>
        <v/>
      </c>
      <c r="T35" s="0" t="str">
        <f aca="false">IF(A35="","",V43_New!FH35)</f>
        <v/>
      </c>
      <c r="U35" s="0" t="str">
        <f aca="false">IF(A35="","",V43_New!FI35)</f>
        <v/>
      </c>
      <c r="V35" s="0" t="str">
        <f aca="false">IF(A35="","",V43_New!FJ35)</f>
        <v/>
      </c>
      <c r="W35" s="0" t="str">
        <f aca="false">IF(A35="","",V43_New!FK35)</f>
        <v/>
      </c>
      <c r="X35" s="0" t="str">
        <f aca="false">IF(A35="","",V43_New!FL35)</f>
        <v/>
      </c>
      <c r="Y35" s="0" t="str">
        <f aca="false">IF(A35="","",V43_New!FM35)</f>
        <v/>
      </c>
      <c r="Z35" s="0" t="n">
        <f aca="false">IF(C36&lt;&gt;"",COUNT(C35:N35),0)</f>
        <v>2</v>
      </c>
      <c r="AA35" s="0" t="n">
        <f aca="false">IF(AND(O35="",P35="",Q35="",R35="",S35="",T35="",U35="",V35="",W35="",X35="",Y35=""),0,1)</f>
        <v>0</v>
      </c>
      <c r="AB35" s="15" t="str">
        <f aca="false">IF(OR(Z35&gt;=3,AA35=1),AVERAGE(C35:N35),"")</f>
        <v/>
      </c>
    </row>
    <row r="36" customFormat="false" ht="14.25" hidden="false" customHeight="false" outlineLevel="0" collapsed="false">
      <c r="A36" s="0" t="n">
        <f aca="false">Timestamp_Adjustment!D36</f>
        <v>1776966300</v>
      </c>
      <c r="B36" s="0" t="n">
        <f aca="false">IF(A36="","",V43_New!D36)</f>
        <v>4709.41</v>
      </c>
      <c r="C36" s="0" t="n">
        <f aca="false">IF(A36="","",V43_New!F36)</f>
        <v>4664.3</v>
      </c>
      <c r="D36" s="0" t="str">
        <f aca="false">IF(A36="","",V43_New!ER36)</f>
        <v/>
      </c>
      <c r="E36" s="0" t="str">
        <f aca="false">IF(A36="","",V43_New!ES36)</f>
        <v/>
      </c>
      <c r="F36" s="0" t="str">
        <f aca="false">IF(A36="","",V43_New!ET36)</f>
        <v/>
      </c>
      <c r="G36" s="0" t="str">
        <f aca="false">IF(A36="","",V43_New!EU36)</f>
        <v/>
      </c>
      <c r="H36" s="0" t="n">
        <f aca="false">IF(A36="","",V43_New!EV36)</f>
        <v>4668.61</v>
      </c>
      <c r="I36" s="0" t="str">
        <f aca="false">IF(A36="","",V43_New!EW36)</f>
        <v/>
      </c>
      <c r="J36" s="0" t="str">
        <f aca="false">IF(A36="","",V43_New!EX36)</f>
        <v/>
      </c>
      <c r="K36" s="0" t="str">
        <f aca="false">IF(A36="","",V43_New!EY36)</f>
        <v/>
      </c>
      <c r="L36" s="0" t="str">
        <f aca="false">IF(A36="","",V43_New!EZ36)</f>
        <v/>
      </c>
      <c r="M36" s="0" t="str">
        <f aca="false">IF(A36="","",V43_New!FA36)</f>
        <v/>
      </c>
      <c r="N36" s="0" t="str">
        <f aca="false">IF(A36="","",V43_New!FB36)</f>
        <v/>
      </c>
      <c r="O36" s="0" t="str">
        <f aca="false">IF(A36="","",V43_New!FC36)</f>
        <v/>
      </c>
      <c r="P36" s="0" t="str">
        <f aca="false">IF(A36="","",V43_New!FD36)</f>
        <v/>
      </c>
      <c r="Q36" s="0" t="str">
        <f aca="false">IF(A36="","",V43_New!FE36)</f>
        <v/>
      </c>
      <c r="R36" s="0" t="str">
        <f aca="false">IF(A36="","",V43_New!FF36)</f>
        <v/>
      </c>
      <c r="S36" s="0" t="str">
        <f aca="false">IF(A36="","",V43_New!FG36)</f>
        <v>IEQL</v>
      </c>
      <c r="T36" s="0" t="str">
        <f aca="false">IF(A36="","",V43_New!FH36)</f>
        <v/>
      </c>
      <c r="U36" s="0" t="str">
        <f aca="false">IF(A36="","",V43_New!FI36)</f>
        <v/>
      </c>
      <c r="V36" s="0" t="str">
        <f aca="false">IF(A36="","",V43_New!FJ36)</f>
        <v/>
      </c>
      <c r="W36" s="0" t="str">
        <f aca="false">IF(A36="","",V43_New!FK36)</f>
        <v/>
      </c>
      <c r="X36" s="0" t="str">
        <f aca="false">IF(A36="","",V43_New!FL36)</f>
        <v/>
      </c>
      <c r="Y36" s="0" t="str">
        <f aca="false">IF(A36="","",V43_New!FM36)</f>
        <v/>
      </c>
      <c r="Z36" s="0" t="n">
        <f aca="false">IF(C37&lt;&gt;"",COUNT(C36:N36),0)</f>
        <v>2</v>
      </c>
      <c r="AA36" s="0" t="n">
        <f aca="false">IF(AND(O36="",P36="",Q36="",R36="",S36="",T36="",U36="",V36="",W36="",X36="",Y36=""),0,1)</f>
        <v>1</v>
      </c>
      <c r="AB36" s="15" t="n">
        <f aca="false">IF(OR(Z36&gt;=3,AA36=1),AVERAGE(C36:N36),"")</f>
        <v>4666.455</v>
      </c>
    </row>
    <row r="37" customFormat="false" ht="14.25" hidden="false" customHeight="false" outlineLevel="0" collapsed="false">
      <c r="A37" s="0" t="n">
        <f aca="false">Timestamp_Adjustment!D37</f>
        <v>1776993300</v>
      </c>
      <c r="B37" s="0" t="n">
        <f aca="false">IF(A37="","",V43_New!D37)</f>
        <v>4698.41</v>
      </c>
      <c r="C37" s="0" t="n">
        <f aca="false">IF(A37="","",V43_New!F37)</f>
        <v>4711.23</v>
      </c>
      <c r="D37" s="0" t="str">
        <f aca="false">IF(A37="","",V43_New!ER37)</f>
        <v/>
      </c>
      <c r="E37" s="0" t="str">
        <f aca="false">IF(A37="","",V43_New!ES37)</f>
        <v/>
      </c>
      <c r="F37" s="0" t="str">
        <f aca="false">IF(A37="","",V43_New!ET37)</f>
        <v/>
      </c>
      <c r="G37" s="0" t="str">
        <f aca="false">IF(A37="","",V43_New!EU37)</f>
        <v/>
      </c>
      <c r="H37" s="0" t="str">
        <f aca="false">IF(A37="","",V43_New!EV37)</f>
        <v/>
      </c>
      <c r="I37" s="0" t="str">
        <f aca="false">IF(A37="","",V43_New!EW37)</f>
        <v/>
      </c>
      <c r="J37" s="0" t="str">
        <f aca="false">IF(A37="","",V43_New!EX37)</f>
        <v/>
      </c>
      <c r="K37" s="0" t="str">
        <f aca="false">IF(A37="","",V43_New!EY37)</f>
        <v/>
      </c>
      <c r="L37" s="0" t="str">
        <f aca="false">IF(A37="","",V43_New!EZ37)</f>
        <v/>
      </c>
      <c r="M37" s="0" t="str">
        <f aca="false">IF(A37="","",V43_New!FA37)</f>
        <v/>
      </c>
      <c r="N37" s="0" t="str">
        <f aca="false">IF(A37="","",V43_New!FB37)</f>
        <v/>
      </c>
      <c r="O37" s="0" t="str">
        <f aca="false">IF(A37="","",V43_New!FC37)</f>
        <v/>
      </c>
      <c r="P37" s="0" t="str">
        <f aca="false">IF(A37="","",V43_New!FD37)</f>
        <v/>
      </c>
      <c r="Q37" s="0" t="str">
        <f aca="false">IF(A37="","",V43_New!FE37)</f>
        <v/>
      </c>
      <c r="R37" s="0" t="str">
        <f aca="false">IF(A37="","",V43_New!FF37)</f>
        <v/>
      </c>
      <c r="S37" s="0" t="str">
        <f aca="false">IF(A37="","",V43_New!FG37)</f>
        <v/>
      </c>
      <c r="T37" s="0" t="str">
        <f aca="false">IF(A37="","",V43_New!FH37)</f>
        <v/>
      </c>
      <c r="U37" s="0" t="str">
        <f aca="false">IF(A37="","",V43_New!FI37)</f>
        <v/>
      </c>
      <c r="V37" s="0" t="str">
        <f aca="false">IF(A37="","",V43_New!FJ37)</f>
        <v/>
      </c>
      <c r="W37" s="0" t="str">
        <f aca="false">IF(A37="","",V43_New!FK37)</f>
        <v/>
      </c>
      <c r="X37" s="0" t="str">
        <f aca="false">IF(A37="","",V43_New!FL37)</f>
        <v/>
      </c>
      <c r="Y37" s="0" t="str">
        <f aca="false">IF(A37="","",V43_New!FM37)</f>
        <v/>
      </c>
      <c r="Z37" s="0" t="n">
        <f aca="false">IF(C38&lt;&gt;"",COUNT(C37:N37),0)</f>
        <v>1</v>
      </c>
      <c r="AA37" s="0" t="n">
        <f aca="false">IF(AND(O37="",P37="",Q37="",R37="",S37="",T37="",U37="",V37="",W37="",X37="",Y37=""),0,1)</f>
        <v>0</v>
      </c>
      <c r="AB37" s="15" t="str">
        <f aca="false">IF(OR(Z37&gt;=3,AA37=1),AVERAGE(C37:N37),"")</f>
        <v/>
      </c>
    </row>
    <row r="38" customFormat="false" ht="14.25" hidden="false" customHeight="false" outlineLevel="0" collapsed="false">
      <c r="A38" s="0" t="n">
        <f aca="false">Timestamp_Adjustment!D38</f>
        <v>1777005000</v>
      </c>
      <c r="B38" s="0" t="n">
        <f aca="false">IF(A38="","",V43_New!D38)</f>
        <v>4668.58</v>
      </c>
      <c r="C38" s="0" t="n">
        <f aca="false">IF(A38="","",V43_New!F38)</f>
        <v>4658.17</v>
      </c>
      <c r="D38" s="0" t="n">
        <f aca="false">IF(A38="","",V43_New!ER38)</f>
        <v>4664.3</v>
      </c>
      <c r="E38" s="0" t="str">
        <f aca="false">IF(A38="","",V43_New!ES38)</f>
        <v/>
      </c>
      <c r="F38" s="0" t="str">
        <f aca="false">IF(A38="","",V43_New!ET38)</f>
        <v/>
      </c>
      <c r="G38" s="0" t="str">
        <f aca="false">IF(A38="","",V43_New!EU38)</f>
        <v/>
      </c>
      <c r="H38" s="0" t="str">
        <f aca="false">IF(A38="","",V43_New!EV38)</f>
        <v/>
      </c>
      <c r="I38" s="0" t="n">
        <f aca="false">IF(A38="","",V43_New!EW38)</f>
        <v>4668.61</v>
      </c>
      <c r="J38" s="0" t="str">
        <f aca="false">IF(A38="","",V43_New!EX38)</f>
        <v/>
      </c>
      <c r="K38" s="0" t="str">
        <f aca="false">IF(A38="","",V43_New!EY38)</f>
        <v/>
      </c>
      <c r="L38" s="0" t="str">
        <f aca="false">IF(A38="","",V43_New!EZ38)</f>
        <v/>
      </c>
      <c r="M38" s="0" t="str">
        <f aca="false">IF(A38="","",V43_New!FA38)</f>
        <v/>
      </c>
      <c r="N38" s="0" t="str">
        <f aca="false">IF(A38="","",V43_New!FB38)</f>
        <v/>
      </c>
      <c r="O38" s="0" t="str">
        <f aca="false">IF(A38="","",V43_New!FC38)</f>
        <v/>
      </c>
      <c r="P38" s="0" t="str">
        <f aca="false">IF(A38="","",V43_New!FD38)</f>
        <v/>
      </c>
      <c r="Q38" s="0" t="str">
        <f aca="false">IF(A38="","",V43_New!FE38)</f>
        <v/>
      </c>
      <c r="R38" s="0" t="str">
        <f aca="false">IF(A38="","",V43_New!FF38)</f>
        <v/>
      </c>
      <c r="S38" s="0" t="str">
        <f aca="false">IF(A38="","",V43_New!FG38)</f>
        <v/>
      </c>
      <c r="T38" s="0" t="str">
        <f aca="false">IF(A38="","",V43_New!FH38)</f>
        <v>IEQL</v>
      </c>
      <c r="U38" s="0" t="str">
        <f aca="false">IF(A38="","",V43_New!FI38)</f>
        <v/>
      </c>
      <c r="V38" s="0" t="str">
        <f aca="false">IF(A38="","",V43_New!FJ38)</f>
        <v/>
      </c>
      <c r="W38" s="0" t="str">
        <f aca="false">IF(A38="","",V43_New!FK38)</f>
        <v/>
      </c>
      <c r="X38" s="0" t="str">
        <f aca="false">IF(A38="","",V43_New!FL38)</f>
        <v/>
      </c>
      <c r="Y38" s="0" t="str">
        <f aca="false">IF(A38="","",V43_New!FM38)</f>
        <v/>
      </c>
      <c r="Z38" s="0" t="n">
        <f aca="false">IF(C39&lt;&gt;"",COUNT(C38:N38),0)</f>
        <v>3</v>
      </c>
      <c r="AA38" s="0" t="n">
        <f aca="false">IF(AND(O38="",P38="",Q38="",R38="",S38="",T38="",U38="",V38="",W38="",X38="",Y38=""),0,1)</f>
        <v>1</v>
      </c>
      <c r="AB38" s="15" t="n">
        <f aca="false">IF(OR(Z38&gt;=3,AA38=1),AVERAGE(C38:N38),"")</f>
        <v>4663.69333333333</v>
      </c>
    </row>
    <row r="39" customFormat="false" ht="14.25" hidden="false" customHeight="false" outlineLevel="0" collapsed="false">
      <c r="A39" s="0" t="n">
        <f aca="false">Timestamp_Adjustment!D39</f>
        <v>1777018500</v>
      </c>
      <c r="B39" s="0" t="n">
        <f aca="false">IF(A39="","",V43_New!D39)</f>
        <v>4687.83</v>
      </c>
      <c r="C39" s="0" t="n">
        <f aca="false">IF(A39="","",V43_New!F39)</f>
        <v>4697.42</v>
      </c>
      <c r="D39" s="0" t="str">
        <f aca="false">IF(A39="","",V43_New!ER39)</f>
        <v/>
      </c>
      <c r="E39" s="0" t="str">
        <f aca="false">IF(A39="","",V43_New!ES39)</f>
        <v/>
      </c>
      <c r="F39" s="0" t="str">
        <f aca="false">IF(A39="","",V43_New!ET39)</f>
        <v/>
      </c>
      <c r="G39" s="0" t="str">
        <f aca="false">IF(A39="","",V43_New!EU39)</f>
        <v/>
      </c>
      <c r="H39" s="0" t="str">
        <f aca="false">IF(A39="","",V43_New!EV39)</f>
        <v/>
      </c>
      <c r="I39" s="0" t="str">
        <f aca="false">IF(A39="","",V43_New!EW39)</f>
        <v/>
      </c>
      <c r="J39" s="0" t="str">
        <f aca="false">IF(A39="","",V43_New!EX39)</f>
        <v/>
      </c>
      <c r="K39" s="0" t="str">
        <f aca="false">IF(A39="","",V43_New!EY39)</f>
        <v/>
      </c>
      <c r="L39" s="0" t="str">
        <f aca="false">IF(A39="","",V43_New!EZ39)</f>
        <v/>
      </c>
      <c r="M39" s="0" t="str">
        <f aca="false">IF(A39="","",V43_New!FA39)</f>
        <v/>
      </c>
      <c r="N39" s="0" t="str">
        <f aca="false">IF(A39="","",V43_New!FB39)</f>
        <v/>
      </c>
      <c r="O39" s="0" t="str">
        <f aca="false">IF(A39="","",V43_New!FC39)</f>
        <v/>
      </c>
      <c r="P39" s="0" t="str">
        <f aca="false">IF(A39="","",V43_New!FD39)</f>
        <v/>
      </c>
      <c r="Q39" s="0" t="str">
        <f aca="false">IF(A39="","",V43_New!FE39)</f>
        <v/>
      </c>
      <c r="R39" s="0" t="str">
        <f aca="false">IF(A39="","",V43_New!FF39)</f>
        <v/>
      </c>
      <c r="S39" s="0" t="str">
        <f aca="false">IF(A39="","",V43_New!FG39)</f>
        <v/>
      </c>
      <c r="T39" s="0" t="str">
        <f aca="false">IF(A39="","",V43_New!FH39)</f>
        <v/>
      </c>
      <c r="U39" s="0" t="str">
        <f aca="false">IF(A39="","",V43_New!FI39)</f>
        <v/>
      </c>
      <c r="V39" s="0" t="str">
        <f aca="false">IF(A39="","",V43_New!FJ39)</f>
        <v/>
      </c>
      <c r="W39" s="0" t="str">
        <f aca="false">IF(A39="","",V43_New!FK39)</f>
        <v/>
      </c>
      <c r="X39" s="0" t="str">
        <f aca="false">IF(A39="","",V43_New!FL39)</f>
        <v/>
      </c>
      <c r="Y39" s="0" t="str">
        <f aca="false">IF(A39="","",V43_New!FM39)</f>
        <v/>
      </c>
      <c r="Z39" s="0" t="n">
        <f aca="false">IF(C40&lt;&gt;"",COUNT(C39:N39),0)</f>
        <v>1</v>
      </c>
      <c r="AA39" s="0" t="n">
        <f aca="false">IF(AND(O39="",P39="",Q39="",R39="",S39="",T39="",U39="",V39="",W39="",X39="",Y39=""),0,1)</f>
        <v>0</v>
      </c>
      <c r="AB39" s="15" t="str">
        <f aca="false">IF(OR(Z39&gt;=3,AA39=1),AVERAGE(C39:N39),"")</f>
        <v/>
      </c>
    </row>
    <row r="40" customFormat="false" ht="14.25" hidden="false" customHeight="false" outlineLevel="0" collapsed="false">
      <c r="A40" s="0" t="n">
        <f aca="false">Timestamp_Adjustment!D40</f>
        <v>1777026600</v>
      </c>
      <c r="B40" s="0" t="n">
        <f aca="false">IF(A40="","",V43_New!D40)</f>
        <v>4679.01</v>
      </c>
      <c r="C40" s="0" t="n">
        <f aca="false">IF(A40="","",V43_New!F40)</f>
        <v>4674.72</v>
      </c>
      <c r="D40" s="0" t="str">
        <f aca="false">IF(A40="","",V43_New!ER40)</f>
        <v/>
      </c>
      <c r="E40" s="0" t="n">
        <f aca="false">IF(A40="","",V43_New!ES40)</f>
        <v>4664.3</v>
      </c>
      <c r="F40" s="0" t="n">
        <f aca="false">IF(A40="","",V43_New!ET40)</f>
        <v>4684.26</v>
      </c>
      <c r="G40" s="0" t="str">
        <f aca="false">IF(A40="","",V43_New!EU40)</f>
        <v/>
      </c>
      <c r="H40" s="0" t="str">
        <f aca="false">IF(A40="","",V43_New!EV40)</f>
        <v/>
      </c>
      <c r="I40" s="0" t="str">
        <f aca="false">IF(A40="","",V43_New!EW40)</f>
        <v/>
      </c>
      <c r="J40" s="0" t="n">
        <f aca="false">IF(A40="","",V43_New!EX40)</f>
        <v>4668.61</v>
      </c>
      <c r="K40" s="0" t="str">
        <f aca="false">IF(A40="","",V43_New!EY40)</f>
        <v/>
      </c>
      <c r="L40" s="0" t="str">
        <f aca="false">IF(A40="","",V43_New!EZ40)</f>
        <v/>
      </c>
      <c r="M40" s="0" t="str">
        <f aca="false">IF(A40="","",V43_New!FA40)</f>
        <v/>
      </c>
      <c r="N40" s="0" t="str">
        <f aca="false">IF(A40="","",V43_New!FB40)</f>
        <v/>
      </c>
      <c r="O40" s="0" t="str">
        <f aca="false">IF(A40="","",V43_New!FC40)</f>
        <v/>
      </c>
      <c r="P40" s="0" t="str">
        <f aca="false">IF(A40="","",V43_New!FD40)</f>
        <v/>
      </c>
      <c r="Q40" s="0" t="str">
        <f aca="false">IF(A40="","",V43_New!FE40)</f>
        <v/>
      </c>
      <c r="R40" s="0" t="str">
        <f aca="false">IF(A40="","",V43_New!FF40)</f>
        <v/>
      </c>
      <c r="S40" s="0" t="str">
        <f aca="false">IF(A40="","",V43_New!FG40)</f>
        <v/>
      </c>
      <c r="T40" s="0" t="str">
        <f aca="false">IF(A40="","",V43_New!FH40)</f>
        <v/>
      </c>
      <c r="U40" s="0" t="str">
        <f aca="false">IF(A40="","",V43_New!FI40)</f>
        <v>IEQL</v>
      </c>
      <c r="V40" s="0" t="str">
        <f aca="false">IF(A40="","",V43_New!FJ40)</f>
        <v/>
      </c>
      <c r="W40" s="0" t="str">
        <f aca="false">IF(A40="","",V43_New!FK40)</f>
        <v/>
      </c>
      <c r="X40" s="0" t="str">
        <f aca="false">IF(A40="","",V43_New!FL40)</f>
        <v/>
      </c>
      <c r="Y40" s="0" t="str">
        <f aca="false">IF(A40="","",V43_New!FM40)</f>
        <v/>
      </c>
      <c r="Z40" s="0" t="n">
        <f aca="false">IF(C41&lt;&gt;"",COUNT(C40:N40),0)</f>
        <v>4</v>
      </c>
      <c r="AA40" s="0" t="n">
        <f aca="false">IF(AND(O40="",P40="",Q40="",R40="",S40="",T40="",U40="",V40="",W40="",X40="",Y40=""),0,1)</f>
        <v>1</v>
      </c>
      <c r="AB40" s="15" t="n">
        <f aca="false">IF(OR(Z40&gt;=3,AA40=1),AVERAGE(C40:N40),"")</f>
        <v>4672.9725</v>
      </c>
    </row>
    <row r="41" customFormat="false" ht="14.25" hidden="false" customHeight="false" outlineLevel="0" collapsed="false">
      <c r="A41" s="0" t="n">
        <f aca="false">Timestamp_Adjustment!D41</f>
        <v>1777039200</v>
      </c>
      <c r="B41" s="0" t="n">
        <f aca="false">IF(A41="","",V43_New!D41)</f>
        <v>4731.95</v>
      </c>
      <c r="C41" s="0" t="n">
        <f aca="false">IF(A41="","",V43_New!F41)</f>
        <v>4740.49</v>
      </c>
      <c r="D41" s="0" t="str">
        <f aca="false">IF(A41="","",V43_New!ER41)</f>
        <v/>
      </c>
      <c r="E41" s="0" t="str">
        <f aca="false">IF(A41="","",V43_New!ES41)</f>
        <v/>
      </c>
      <c r="F41" s="0" t="n">
        <f aca="false">IF(A41="","",V43_New!ET41)</f>
        <v>4743.22</v>
      </c>
      <c r="G41" s="0" t="str">
        <f aca="false">IF(A41="","",V43_New!EU41)</f>
        <v/>
      </c>
      <c r="H41" s="0" t="str">
        <f aca="false">IF(A41="","",V43_New!EV41)</f>
        <v/>
      </c>
      <c r="I41" s="0" t="str">
        <f aca="false">IF(A41="","",V43_New!EW41)</f>
        <v/>
      </c>
      <c r="J41" s="0" t="str">
        <f aca="false">IF(A41="","",V43_New!EX41)</f>
        <v/>
      </c>
      <c r="K41" s="0" t="str">
        <f aca="false">IF(A41="","",V43_New!EY41)</f>
        <v/>
      </c>
      <c r="L41" s="0" t="str">
        <f aca="false">IF(A41="","",V43_New!EZ41)</f>
        <v/>
      </c>
      <c r="M41" s="0" t="str">
        <f aca="false">IF(A41="","",V43_New!FA41)</f>
        <v/>
      </c>
      <c r="N41" s="0" t="str">
        <f aca="false">IF(A41="","",V43_New!FB41)</f>
        <v/>
      </c>
      <c r="O41" s="0" t="str">
        <f aca="false">IF(A41="","",V43_New!FC41)</f>
        <v/>
      </c>
      <c r="P41" s="0" t="str">
        <f aca="false">IF(A41="","",V43_New!FD41)</f>
        <v/>
      </c>
      <c r="Q41" s="0" t="str">
        <f aca="false">IF(A41="","",V43_New!FE41)</f>
        <v/>
      </c>
      <c r="R41" s="0" t="str">
        <f aca="false">IF(A41="","",V43_New!FF41)</f>
        <v/>
      </c>
      <c r="S41" s="0" t="str">
        <f aca="false">IF(A41="","",V43_New!FG41)</f>
        <v/>
      </c>
      <c r="T41" s="0" t="str">
        <f aca="false">IF(A41="","",V43_New!FH41)</f>
        <v/>
      </c>
      <c r="U41" s="0" t="str">
        <f aca="false">IF(A41="","",V43_New!FI41)</f>
        <v/>
      </c>
      <c r="V41" s="0" t="str">
        <f aca="false">IF(A41="","",V43_New!FJ41)</f>
        <v/>
      </c>
      <c r="W41" s="0" t="str">
        <f aca="false">IF(A41="","",V43_New!FK41)</f>
        <v/>
      </c>
      <c r="X41" s="0" t="str">
        <f aca="false">IF(A41="","",V43_New!FL41)</f>
        <v/>
      </c>
      <c r="Y41" s="0" t="str">
        <f aca="false">IF(A41="","",V43_New!FM41)</f>
        <v/>
      </c>
      <c r="Z41" s="0" t="n">
        <f aca="false">IF(C42&lt;&gt;"",COUNT(C41:N41),0)</f>
        <v>2</v>
      </c>
      <c r="AA41" s="0" t="n">
        <f aca="false">IF(AND(O41="",P41="",Q41="",R41="",S41="",T41="",U41="",V41="",W41="",X41="",Y41=""),0,1)</f>
        <v>0</v>
      </c>
      <c r="AB41" s="15" t="str">
        <f aca="false">IF(OR(Z41&gt;=3,AA41=1),AVERAGE(C41:N41),"")</f>
        <v/>
      </c>
    </row>
    <row r="42" customFormat="false" ht="14.25" hidden="false" customHeight="false" outlineLevel="0" collapsed="false">
      <c r="A42" s="0" t="n">
        <f aca="false">Timestamp_Adjustment!D42</f>
        <v>1777248000</v>
      </c>
      <c r="B42" s="0" t="n">
        <f aca="false">IF(A42="","",V43_New!D42)</f>
        <v>4679.86</v>
      </c>
      <c r="C42" s="0" t="n">
        <f aca="false">IF(A42="","",V43_New!F42)</f>
        <v>4672.35</v>
      </c>
      <c r="D42" s="0" t="str">
        <f aca="false">IF(A42="","",V43_New!ER42)</f>
        <v/>
      </c>
      <c r="E42" s="0" t="str">
        <f aca="false">IF(A42="","",V43_New!ES42)</f>
        <v/>
      </c>
      <c r="F42" s="0" t="n">
        <f aca="false">IF(A42="","",V43_New!ET42)</f>
        <v>4664.3</v>
      </c>
      <c r="G42" s="0" t="str">
        <f aca="false">IF(A42="","",V43_New!EU42)</f>
        <v/>
      </c>
      <c r="H42" s="0" t="str">
        <f aca="false">IF(A42="","",V43_New!EV42)</f>
        <v/>
      </c>
      <c r="I42" s="0" t="str">
        <f aca="false">IF(A42="","",V43_New!EW42)</f>
        <v/>
      </c>
      <c r="J42" s="0" t="str">
        <f aca="false">IF(A42="","",V43_New!EX42)</f>
        <v/>
      </c>
      <c r="K42" s="0" t="n">
        <f aca="false">IF(A42="","",V43_New!EY42)</f>
        <v>4668.61</v>
      </c>
      <c r="L42" s="0" t="str">
        <f aca="false">IF(A42="","",V43_New!EZ42)</f>
        <v/>
      </c>
      <c r="M42" s="0" t="str">
        <f aca="false">IF(A42="","",V43_New!FA42)</f>
        <v/>
      </c>
      <c r="N42" s="0" t="str">
        <f aca="false">IF(A42="","",V43_New!FB42)</f>
        <v/>
      </c>
      <c r="O42" s="0" t="str">
        <f aca="false">IF(A42="","",V43_New!FC42)</f>
        <v/>
      </c>
      <c r="P42" s="0" t="str">
        <f aca="false">IF(A42="","",V43_New!FD42)</f>
        <v/>
      </c>
      <c r="Q42" s="0" t="str">
        <f aca="false">IF(A42="","",V43_New!FE42)</f>
        <v/>
      </c>
      <c r="R42" s="0" t="str">
        <f aca="false">IF(A42="","",V43_New!FF42)</f>
        <v/>
      </c>
      <c r="S42" s="0" t="str">
        <f aca="false">IF(A42="","",V43_New!FG42)</f>
        <v/>
      </c>
      <c r="T42" s="0" t="str">
        <f aca="false">IF(A42="","",V43_New!FH42)</f>
        <v/>
      </c>
      <c r="U42" s="0" t="str">
        <f aca="false">IF(A42="","",V43_New!FI42)</f>
        <v/>
      </c>
      <c r="V42" s="0" t="str">
        <f aca="false">IF(A42="","",V43_New!FJ42)</f>
        <v>IEQL</v>
      </c>
      <c r="W42" s="0" t="str">
        <f aca="false">IF(A42="","",V43_New!FK42)</f>
        <v/>
      </c>
      <c r="X42" s="0" t="str">
        <f aca="false">IF(A42="","",V43_New!FL42)</f>
        <v/>
      </c>
      <c r="Y42" s="0" t="str">
        <f aca="false">IF(A42="","",V43_New!FM42)</f>
        <v/>
      </c>
      <c r="Z42" s="0" t="n">
        <f aca="false">IF(C43&lt;&gt;"",COUNT(C42:N42),0)</f>
        <v>3</v>
      </c>
      <c r="AA42" s="0" t="n">
        <f aca="false">IF(AND(O42="",P42="",Q42="",R42="",S42="",T42="",U42="",V42="",W42="",X42="",Y42=""),0,1)</f>
        <v>1</v>
      </c>
      <c r="AB42" s="15" t="n">
        <f aca="false">IF(OR(Z42&gt;=3,AA42=1),AVERAGE(C42:N42),"")</f>
        <v>4668.42</v>
      </c>
    </row>
    <row r="43" customFormat="false" ht="14.25" hidden="false" customHeight="false" outlineLevel="0" collapsed="false">
      <c r="A43" s="0" t="n">
        <f aca="false">Timestamp_Adjustment!D43</f>
        <v>1777264200</v>
      </c>
      <c r="B43" s="0" t="n">
        <f aca="false">IF(A43="","",V43_New!D43)</f>
        <v>4726.18</v>
      </c>
      <c r="C43" s="0" t="n">
        <f aca="false">IF(A43="","",V43_New!F43)</f>
        <v>4729.92</v>
      </c>
      <c r="D43" s="0" t="n">
        <f aca="false">IF(A43="","",V43_New!ER43)</f>
        <v>4740.49</v>
      </c>
      <c r="E43" s="0" t="str">
        <f aca="false">IF(A43="","",V43_New!ES43)</f>
        <v/>
      </c>
      <c r="F43" s="0" t="str">
        <f aca="false">IF(A43="","",V43_New!ET43)</f>
        <v/>
      </c>
      <c r="G43" s="0" t="str">
        <f aca="false">IF(A43="","",V43_New!EU43)</f>
        <v/>
      </c>
      <c r="H43" s="0" t="str">
        <f aca="false">IF(A43="","",V43_New!EV43)</f>
        <v/>
      </c>
      <c r="I43" s="0" t="str">
        <f aca="false">IF(A43="","",V43_New!EW43)</f>
        <v/>
      </c>
      <c r="J43" s="0" t="str">
        <f aca="false">IF(A43="","",V43_New!EX43)</f>
        <v/>
      </c>
      <c r="K43" s="0" t="str">
        <f aca="false">IF(A43="","",V43_New!EY43)</f>
        <v/>
      </c>
      <c r="L43" s="0" t="str">
        <f aca="false">IF(A43="","",V43_New!EZ43)</f>
        <v/>
      </c>
      <c r="M43" s="0" t="str">
        <f aca="false">IF(A43="","",V43_New!FA43)</f>
        <v/>
      </c>
      <c r="N43" s="0" t="str">
        <f aca="false">IF(A43="","",V43_New!FB43)</f>
        <v/>
      </c>
      <c r="O43" s="0" t="str">
        <f aca="false">IF(A43="","",V43_New!FC43)</f>
        <v/>
      </c>
      <c r="P43" s="0" t="str">
        <f aca="false">IF(A43="","",V43_New!FD43)</f>
        <v/>
      </c>
      <c r="Q43" s="0" t="str">
        <f aca="false">IF(A43="","",V43_New!FE43)</f>
        <v/>
      </c>
      <c r="R43" s="0" t="str">
        <f aca="false">IF(A43="","",V43_New!FF43)</f>
        <v/>
      </c>
      <c r="S43" s="0" t="str">
        <f aca="false">IF(A43="","",V43_New!FG43)</f>
        <v/>
      </c>
      <c r="T43" s="0" t="str">
        <f aca="false">IF(A43="","",V43_New!FH43)</f>
        <v/>
      </c>
      <c r="U43" s="0" t="str">
        <f aca="false">IF(A43="","",V43_New!FI43)</f>
        <v/>
      </c>
      <c r="V43" s="0" t="str">
        <f aca="false">IF(A43="","",V43_New!FJ43)</f>
        <v/>
      </c>
      <c r="W43" s="0" t="str">
        <f aca="false">IF(A43="","",V43_New!FK43)</f>
        <v/>
      </c>
      <c r="X43" s="0" t="str">
        <f aca="false">IF(A43="","",V43_New!FL43)</f>
        <v/>
      </c>
      <c r="Y43" s="0" t="str">
        <f aca="false">IF(A43="","",V43_New!FM43)</f>
        <v/>
      </c>
      <c r="Z43" s="0" t="n">
        <f aca="false">IF(C44&lt;&gt;"",COUNT(C43:N43),0)</f>
        <v>2</v>
      </c>
      <c r="AA43" s="0" t="n">
        <f aca="false">IF(AND(O43="",P43="",Q43="",R43="",S43="",T43="",U43="",V43="",W43="",X43="",Y43=""),0,1)</f>
        <v>0</v>
      </c>
      <c r="AB43" s="15" t="str">
        <f aca="false">IF(OR(Z43&gt;=3,AA43=1),AVERAGE(C43:N43),"")</f>
        <v/>
      </c>
    </row>
    <row r="44" customFormat="false" ht="14.25" hidden="false" customHeight="false" outlineLevel="0" collapsed="false">
      <c r="A44" s="0" t="n">
        <f aca="false">Timestamp_Adjustment!D44</f>
        <v>1777282200</v>
      </c>
      <c r="B44" s="0" t="n">
        <f aca="false">IF(A44="","",V43_New!D44)</f>
        <v>4704.64</v>
      </c>
      <c r="C44" s="0" t="n">
        <f aca="false">IF(A44="","",V43_New!F44)</f>
        <v>4699.29</v>
      </c>
      <c r="D44" s="0" t="str">
        <f aca="false">IF(A44="","",V43_New!ER44)</f>
        <v/>
      </c>
      <c r="E44" s="0" t="str">
        <f aca="false">IF(A44="","",V43_New!ES44)</f>
        <v/>
      </c>
      <c r="F44" s="0" t="str">
        <f aca="false">IF(A44="","",V43_New!ET44)</f>
        <v/>
      </c>
      <c r="G44" s="0" t="str">
        <f aca="false">IF(A44="","",V43_New!EU44)</f>
        <v/>
      </c>
      <c r="H44" s="0" t="str">
        <f aca="false">IF(A44="","",V43_New!EV44)</f>
        <v/>
      </c>
      <c r="I44" s="0" t="n">
        <f aca="false">IF(A44="","",V43_New!EW44)</f>
        <v>4693.06</v>
      </c>
      <c r="J44" s="0" t="n">
        <f aca="false">IF(A44="","",V43_New!EX44)</f>
        <v>4694.34</v>
      </c>
      <c r="K44" s="0" t="str">
        <f aca="false">IF(A44="","",V43_New!EY44)</f>
        <v/>
      </c>
      <c r="L44" s="0" t="str">
        <f aca="false">IF(A44="","",V43_New!EZ44)</f>
        <v/>
      </c>
      <c r="M44" s="0" t="str">
        <f aca="false">IF(A44="","",V43_New!FA44)</f>
        <v/>
      </c>
      <c r="N44" s="0" t="str">
        <f aca="false">IF(A44="","",V43_New!FB44)</f>
        <v/>
      </c>
      <c r="O44" s="0" t="str">
        <f aca="false">IF(A44="","",V43_New!FC44)</f>
        <v/>
      </c>
      <c r="P44" s="0" t="str">
        <f aca="false">IF(A44="","",V43_New!FD44)</f>
        <v/>
      </c>
      <c r="Q44" s="0" t="str">
        <f aca="false">IF(A44="","",V43_New!FE44)</f>
        <v/>
      </c>
      <c r="R44" s="0" t="str">
        <f aca="false">IF(A44="","",V43_New!FF44)</f>
        <v/>
      </c>
      <c r="S44" s="0" t="str">
        <f aca="false">IF(A44="","",V43_New!FG44)</f>
        <v/>
      </c>
      <c r="T44" s="0" t="str">
        <f aca="false">IF(A44="","",V43_New!FH44)</f>
        <v/>
      </c>
      <c r="U44" s="0" t="str">
        <f aca="false">IF(A44="","",V43_New!FI44)</f>
        <v/>
      </c>
      <c r="V44" s="0" t="str">
        <f aca="false">IF(A44="","",V43_New!FJ44)</f>
        <v/>
      </c>
      <c r="W44" s="0" t="str">
        <f aca="false">IF(A44="","",V43_New!FK44)</f>
        <v/>
      </c>
      <c r="X44" s="0" t="str">
        <f aca="false">IF(A44="","",V43_New!FL44)</f>
        <v/>
      </c>
      <c r="Y44" s="0" t="str">
        <f aca="false">IF(A44="","",V43_New!FM44)</f>
        <v/>
      </c>
      <c r="Z44" s="0" t="n">
        <f aca="false">IF(C45&lt;&gt;"",COUNT(C44:N44),0)</f>
        <v>3</v>
      </c>
      <c r="AA44" s="0" t="n">
        <f aca="false">IF(AND(O44="",P44="",Q44="",R44="",S44="",T44="",U44="",V44="",W44="",X44="",Y44=""),0,1)</f>
        <v>0</v>
      </c>
      <c r="AB44" s="15" t="n">
        <f aca="false">IF(OR(Z44&gt;=3,AA44=1),AVERAGE(C44:N44),"")</f>
        <v>4695.56333333333</v>
      </c>
    </row>
    <row r="45" customFormat="false" ht="14.25" hidden="false" customHeight="false" outlineLevel="0" collapsed="false">
      <c r="A45" s="0" t="n">
        <f aca="false">Timestamp_Adjustment!D45</f>
        <v>1777292100</v>
      </c>
      <c r="B45" s="0" t="n">
        <f aca="false">IF(A45="","",V43_New!D45)</f>
        <v>4707.09</v>
      </c>
      <c r="C45" s="0" t="n">
        <f aca="false">IF(A45="","",V43_New!F45)</f>
        <v>4712.59</v>
      </c>
      <c r="D45" s="0" t="str">
        <f aca="false">IF(A45="","",V43_New!ER45)</f>
        <v/>
      </c>
      <c r="E45" s="0" t="str">
        <f aca="false">IF(A45="","",V43_New!ES45)</f>
        <v/>
      </c>
      <c r="F45" s="0" t="str">
        <f aca="false">IF(A45="","",V43_New!ET45)</f>
        <v/>
      </c>
      <c r="G45" s="0" t="str">
        <f aca="false">IF(A45="","",V43_New!EU45)</f>
        <v/>
      </c>
      <c r="H45" s="0" t="str">
        <f aca="false">IF(A45="","",V43_New!EV45)</f>
        <v/>
      </c>
      <c r="I45" s="0" t="str">
        <f aca="false">IF(A45="","",V43_New!EW45)</f>
        <v/>
      </c>
      <c r="J45" s="0" t="str">
        <f aca="false">IF(A45="","",V43_New!EX45)</f>
        <v/>
      </c>
      <c r="K45" s="0" t="str">
        <f aca="false">IF(A45="","",V43_New!EY45)</f>
        <v/>
      </c>
      <c r="L45" s="0" t="str">
        <f aca="false">IF(A45="","",V43_New!EZ45)</f>
        <v/>
      </c>
      <c r="M45" s="0" t="str">
        <f aca="false">IF(A45="","",V43_New!FA45)</f>
        <v/>
      </c>
      <c r="N45" s="0" t="str">
        <f aca="false">IF(A45="","",V43_New!FB45)</f>
        <v/>
      </c>
      <c r="O45" s="0" t="str">
        <f aca="false">IF(A45="","",V43_New!FC45)</f>
        <v/>
      </c>
      <c r="P45" s="0" t="str">
        <f aca="false">IF(A45="","",V43_New!FD45)</f>
        <v/>
      </c>
      <c r="Q45" s="0" t="str">
        <f aca="false">IF(A45="","",V43_New!FE45)</f>
        <v/>
      </c>
      <c r="R45" s="0" t="str">
        <f aca="false">IF(A45="","",V43_New!FF45)</f>
        <v/>
      </c>
      <c r="S45" s="0" t="str">
        <f aca="false">IF(A45="","",V43_New!FG45)</f>
        <v/>
      </c>
      <c r="T45" s="0" t="str">
        <f aca="false">IF(A45="","",V43_New!FH45)</f>
        <v/>
      </c>
      <c r="U45" s="0" t="str">
        <f aca="false">IF(A45="","",V43_New!FI45)</f>
        <v/>
      </c>
      <c r="V45" s="0" t="str">
        <f aca="false">IF(A45="","",V43_New!FJ45)</f>
        <v/>
      </c>
      <c r="W45" s="0" t="str">
        <f aca="false">IF(A45="","",V43_New!FK45)</f>
        <v/>
      </c>
      <c r="X45" s="0" t="str">
        <f aca="false">IF(A45="","",V43_New!FL45)</f>
        <v/>
      </c>
      <c r="Y45" s="0" t="str">
        <f aca="false">IF(A45="","",V43_New!FM45)</f>
        <v/>
      </c>
      <c r="Z45" s="0" t="n">
        <f aca="false">IF(C46&lt;&gt;"",COUNT(C45:N45),0)</f>
        <v>1</v>
      </c>
      <c r="AA45" s="0" t="n">
        <f aca="false">IF(AND(O45="",P45="",Q45="",R45="",S45="",T45="",U45="",V45="",W45="",X45="",Y45=""),0,1)</f>
        <v>0</v>
      </c>
      <c r="AB45" s="15" t="str">
        <f aca="false">IF(OR(Z45&gt;=3,AA45=1),AVERAGE(C45:N45),"")</f>
        <v/>
      </c>
    </row>
    <row r="46" customFormat="false" ht="14.25" hidden="false" customHeight="false" outlineLevel="0" collapsed="false">
      <c r="A46" s="0" t="n">
        <f aca="false">Timestamp_Adjustment!D46</f>
        <v>1777302000</v>
      </c>
      <c r="B46" s="0" t="n">
        <f aca="false">IF(A46="","",V43_New!D46)</f>
        <v>4674.65</v>
      </c>
      <c r="C46" s="0" t="n">
        <f aca="false">IF(A46="","",V43_New!F46)</f>
        <v>4667.32</v>
      </c>
      <c r="D46" s="0" t="str">
        <f aca="false">IF(A46="","",V43_New!ER46)</f>
        <v/>
      </c>
      <c r="E46" s="0" t="n">
        <f aca="false">IF(A46="","",V43_New!ES46)</f>
        <v>4672.35</v>
      </c>
      <c r="F46" s="0" t="str">
        <f aca="false">IF(A46="","",V43_New!ET46)</f>
        <v/>
      </c>
      <c r="G46" s="0" t="n">
        <f aca="false">IF(A46="","",V43_New!EU46)</f>
        <v>4658.17</v>
      </c>
      <c r="H46" s="0" t="n">
        <f aca="false">IF(A46="","",V43_New!EV46)</f>
        <v>4664.3</v>
      </c>
      <c r="I46" s="0" t="str">
        <f aca="false">IF(A46="","",V43_New!EW46)</f>
        <v/>
      </c>
      <c r="J46" s="0" t="str">
        <f aca="false">IF(A46="","",V43_New!EX46)</f>
        <v/>
      </c>
      <c r="K46" s="0" t="str">
        <f aca="false">IF(A46="","",V43_New!EY46)</f>
        <v/>
      </c>
      <c r="L46" s="0" t="str">
        <f aca="false">IF(A46="","",V43_New!EZ46)</f>
        <v/>
      </c>
      <c r="M46" s="0" t="n">
        <f aca="false">IF(A46="","",V43_New!FA46)</f>
        <v>4668.61</v>
      </c>
      <c r="N46" s="0" t="str">
        <f aca="false">IF(A46="","",V43_New!FB46)</f>
        <v/>
      </c>
      <c r="O46" s="0" t="str">
        <f aca="false">IF(A46="","",V43_New!FC46)</f>
        <v/>
      </c>
      <c r="P46" s="0" t="str">
        <f aca="false">IF(A46="","",V43_New!FD46)</f>
        <v/>
      </c>
      <c r="Q46" s="0" t="str">
        <f aca="false">IF(A46="","",V43_New!FE46)</f>
        <v/>
      </c>
      <c r="R46" s="0" t="str">
        <f aca="false">IF(A46="","",V43_New!FF46)</f>
        <v/>
      </c>
      <c r="S46" s="0" t="str">
        <f aca="false">IF(A46="","",V43_New!FG46)</f>
        <v/>
      </c>
      <c r="T46" s="0" t="str">
        <f aca="false">IF(A46="","",V43_New!FH46)</f>
        <v/>
      </c>
      <c r="U46" s="0" t="str">
        <f aca="false">IF(A46="","",V43_New!FI46)</f>
        <v/>
      </c>
      <c r="V46" s="0" t="str">
        <f aca="false">IF(A46="","",V43_New!FJ46)</f>
        <v/>
      </c>
      <c r="W46" s="0" t="str">
        <f aca="false">IF(A46="","",V43_New!FK46)</f>
        <v/>
      </c>
      <c r="X46" s="0" t="str">
        <f aca="false">IF(A46="","",V43_New!FL46)</f>
        <v>IEQL</v>
      </c>
      <c r="Y46" s="0" t="str">
        <f aca="false">IF(A46="","",V43_New!FM46)</f>
        <v/>
      </c>
      <c r="Z46" s="0" t="n">
        <f aca="false">IF(C47&lt;&gt;"",COUNT(C46:N46),0)</f>
        <v>5</v>
      </c>
      <c r="AA46" s="0" t="n">
        <f aca="false">IF(AND(O46="",P46="",Q46="",R46="",S46="",T46="",U46="",V46="",W46="",X46="",Y46=""),0,1)</f>
        <v>1</v>
      </c>
      <c r="AB46" s="15" t="n">
        <f aca="false">IF(OR(Z46&gt;=3,AA46=1),AVERAGE(C46:N46),"")</f>
        <v>4666.15</v>
      </c>
    </row>
    <row r="47" customFormat="false" ht="14.25" hidden="false" customHeight="false" outlineLevel="0" collapsed="false">
      <c r="A47" s="0" t="n">
        <f aca="false">Timestamp_Adjustment!D47</f>
        <v>1777334400</v>
      </c>
      <c r="B47" s="0" t="n">
        <f aca="false">IF(A47="","",V43_New!D47)</f>
        <v>4697.91</v>
      </c>
      <c r="C47" s="0" t="n">
        <f aca="false">IF(A47="","",V43_New!F47)</f>
        <v>4701.14</v>
      </c>
      <c r="D47" s="0" t="str">
        <f aca="false">IF(A47="","",V43_New!ER47)</f>
        <v/>
      </c>
      <c r="E47" s="0" t="str">
        <f aca="false">IF(A47="","",V43_New!ES47)</f>
        <v/>
      </c>
      <c r="F47" s="0" t="str">
        <f aca="false">IF(A47="","",V43_New!ET47)</f>
        <v/>
      </c>
      <c r="G47" s="0" t="str">
        <f aca="false">IF(A47="","",V43_New!EU47)</f>
        <v/>
      </c>
      <c r="H47" s="0" t="str">
        <f aca="false">IF(A47="","",V43_New!EV47)</f>
        <v/>
      </c>
      <c r="I47" s="0" t="str">
        <f aca="false">IF(A47="","",V43_New!EW47)</f>
        <v/>
      </c>
      <c r="J47" s="0" t="str">
        <f aca="false">IF(A47="","",V43_New!EX47)</f>
        <v/>
      </c>
      <c r="K47" s="0" t="str">
        <f aca="false">IF(A47="","",V43_New!EY47)</f>
        <v/>
      </c>
      <c r="L47" s="0" t="str">
        <f aca="false">IF(A47="","",V43_New!EZ47)</f>
        <v/>
      </c>
      <c r="M47" s="0" t="str">
        <f aca="false">IF(A47="","",V43_New!FA47)</f>
        <v/>
      </c>
      <c r="N47" s="0" t="str">
        <f aca="false">IF(A47="","",V43_New!FB47)</f>
        <v/>
      </c>
      <c r="O47" s="0" t="str">
        <f aca="false">IF(A47="","",V43_New!FC47)</f>
        <v/>
      </c>
      <c r="P47" s="0" t="str">
        <f aca="false">IF(A47="","",V43_New!FD47)</f>
        <v/>
      </c>
      <c r="Q47" s="0" t="str">
        <f aca="false">IF(A47="","",V43_New!FE47)</f>
        <v/>
      </c>
      <c r="R47" s="0" t="str">
        <f aca="false">IF(A47="","",V43_New!FF47)</f>
        <v/>
      </c>
      <c r="S47" s="0" t="str">
        <f aca="false">IF(A47="","",V43_New!FG47)</f>
        <v/>
      </c>
      <c r="T47" s="0" t="str">
        <f aca="false">IF(A47="","",V43_New!FH47)</f>
        <v/>
      </c>
      <c r="U47" s="0" t="str">
        <f aca="false">IF(A47="","",V43_New!FI47)</f>
        <v/>
      </c>
      <c r="V47" s="0" t="str">
        <f aca="false">IF(A47="","",V43_New!FJ47)</f>
        <v/>
      </c>
      <c r="W47" s="0" t="str">
        <f aca="false">IF(A47="","",V43_New!FK47)</f>
        <v/>
      </c>
      <c r="X47" s="0" t="str">
        <f aca="false">IF(A47="","",V43_New!FL47)</f>
        <v/>
      </c>
      <c r="Y47" s="0" t="str">
        <f aca="false">IF(A47="","",V43_New!FM47)</f>
        <v/>
      </c>
      <c r="Z47" s="0" t="n">
        <f aca="false">IF(C48&lt;&gt;"",COUNT(C47:N47),0)</f>
        <v>1</v>
      </c>
      <c r="AA47" s="0" t="n">
        <f aca="false">IF(AND(O47="",P47="",Q47="",R47="",S47="",T47="",U47="",V47="",W47="",X47="",Y47=""),0,1)</f>
        <v>0</v>
      </c>
      <c r="AB47" s="15" t="str">
        <f aca="false">IF(OR(Z47&gt;=3,AA47=1),AVERAGE(C47:N47),"")</f>
        <v/>
      </c>
    </row>
    <row r="48" customFormat="false" ht="14.25" hidden="false" customHeight="false" outlineLevel="0" collapsed="false">
      <c r="A48" s="0" t="n">
        <f aca="false">Timestamp_Adjustment!D48</f>
        <v>1777377600</v>
      </c>
      <c r="B48" s="0" t="n">
        <f aca="false">IF(A48="","",V43_New!D48)</f>
        <v>4581.73</v>
      </c>
      <c r="C48" s="0" t="n">
        <f aca="false">IF(A48="","",V43_New!F48)</f>
        <v>4555.12</v>
      </c>
      <c r="D48" s="0" t="str">
        <f aca="false">IF(A48="","",V43_New!ER48)</f>
        <v/>
      </c>
      <c r="E48" s="0" t="str">
        <f aca="false">IF(A48="","",V43_New!ES48)</f>
        <v/>
      </c>
      <c r="F48" s="0" t="str">
        <f aca="false">IF(A48="","",V43_New!ET48)</f>
        <v/>
      </c>
      <c r="G48" s="0" t="str">
        <f aca="false">IF(A48="","",V43_New!EU48)</f>
        <v/>
      </c>
      <c r="H48" s="0" t="str">
        <f aca="false">IF(A48="","",V43_New!EV48)</f>
        <v/>
      </c>
      <c r="I48" s="0" t="str">
        <f aca="false">IF(A48="","",V43_New!EW48)</f>
        <v/>
      </c>
      <c r="J48" s="0" t="str">
        <f aca="false">IF(A48="","",V43_New!EX48)</f>
        <v/>
      </c>
      <c r="K48" s="0" t="str">
        <f aca="false">IF(A48="","",V43_New!EY48)</f>
        <v/>
      </c>
      <c r="L48" s="0" t="str">
        <f aca="false">IF(A48="","",V43_New!EZ48)</f>
        <v/>
      </c>
      <c r="M48" s="0" t="str">
        <f aca="false">IF(A48="","",V43_New!FA48)</f>
        <v/>
      </c>
      <c r="N48" s="0" t="str">
        <f aca="false">IF(A48="","",V43_New!FB48)</f>
        <v/>
      </c>
      <c r="O48" s="0" t="str">
        <f aca="false">IF(A48="","",V43_New!FC48)</f>
        <v/>
      </c>
      <c r="P48" s="0" t="str">
        <f aca="false">IF(A48="","",V43_New!FD48)</f>
        <v/>
      </c>
      <c r="Q48" s="0" t="str">
        <f aca="false">IF(A48="","",V43_New!FE48)</f>
        <v/>
      </c>
      <c r="R48" s="0" t="str">
        <f aca="false">IF(A48="","",V43_New!FF48)</f>
        <v/>
      </c>
      <c r="S48" s="0" t="str">
        <f aca="false">IF(A48="","",V43_New!FG48)</f>
        <v/>
      </c>
      <c r="T48" s="0" t="str">
        <f aca="false">IF(A48="","",V43_New!FH48)</f>
        <v/>
      </c>
      <c r="U48" s="0" t="str">
        <f aca="false">IF(A48="","",V43_New!FI48)</f>
        <v/>
      </c>
      <c r="V48" s="0" t="str">
        <f aca="false">IF(A48="","",V43_New!FJ48)</f>
        <v/>
      </c>
      <c r="W48" s="0" t="str">
        <f aca="false">IF(A48="","",V43_New!FK48)</f>
        <v/>
      </c>
      <c r="X48" s="0" t="str">
        <f aca="false">IF(A48="","",V43_New!FL48)</f>
        <v/>
      </c>
      <c r="Y48" s="0" t="str">
        <f aca="false">IF(A48="","",V43_New!FM48)</f>
        <v/>
      </c>
      <c r="Z48" s="0" t="n">
        <f aca="false">IF(C49&lt;&gt;"",COUNT(C48:N48),0)</f>
        <v>1</v>
      </c>
      <c r="AA48" s="0" t="n">
        <f aca="false">IF(AND(O48="",P48="",Q48="",R48="",S48="",T48="",U48="",V48="",W48="",X48="",Y48=""),0,1)</f>
        <v>0</v>
      </c>
      <c r="AB48" s="15" t="str">
        <f aca="false">IF(OR(Z48&gt;=3,AA48=1),AVERAGE(C48:N48),"")</f>
        <v/>
      </c>
    </row>
    <row r="49" customFormat="false" ht="14.25" hidden="false" customHeight="false" outlineLevel="0" collapsed="false">
      <c r="A49" s="0" t="n">
        <f aca="false">Timestamp_Adjustment!D49</f>
        <v>1777397400</v>
      </c>
      <c r="B49" s="0" t="n">
        <f aca="false">IF(A49="","",V43_New!D49)</f>
        <v>4599.02</v>
      </c>
      <c r="C49" s="0" t="n">
        <f aca="false">IF(A49="","",V43_New!F49)</f>
        <v>4601.49</v>
      </c>
      <c r="D49" s="0" t="str">
        <f aca="false">IF(A49="","",V43_New!ER49)</f>
        <v/>
      </c>
      <c r="E49" s="0" t="str">
        <f aca="false">IF(A49="","",V43_New!ES49)</f>
        <v/>
      </c>
      <c r="F49" s="0" t="str">
        <f aca="false">IF(A49="","",V43_New!ET49)</f>
        <v/>
      </c>
      <c r="G49" s="0" t="str">
        <f aca="false">IF(A49="","",V43_New!EU49)</f>
        <v/>
      </c>
      <c r="H49" s="0" t="str">
        <f aca="false">IF(A49="","",V43_New!EV49)</f>
        <v/>
      </c>
      <c r="I49" s="0" t="str">
        <f aca="false">IF(A49="","",V43_New!EW49)</f>
        <v/>
      </c>
      <c r="J49" s="0" t="str">
        <f aca="false">IF(A49="","",V43_New!EX49)</f>
        <v/>
      </c>
      <c r="K49" s="0" t="str">
        <f aca="false">IF(A49="","",V43_New!EY49)</f>
        <v/>
      </c>
      <c r="L49" s="0" t="str">
        <f aca="false">IF(A49="","",V43_New!EZ49)</f>
        <v/>
      </c>
      <c r="M49" s="0" t="str">
        <f aca="false">IF(A49="","",V43_New!FA49)</f>
        <v/>
      </c>
      <c r="N49" s="0" t="str">
        <f aca="false">IF(A49="","",V43_New!FB49)</f>
        <v/>
      </c>
      <c r="O49" s="0" t="str">
        <f aca="false">IF(A49="","",V43_New!FC49)</f>
        <v/>
      </c>
      <c r="P49" s="0" t="str">
        <f aca="false">IF(A49="","",V43_New!FD49)</f>
        <v/>
      </c>
      <c r="Q49" s="0" t="str">
        <f aca="false">IF(A49="","",V43_New!FE49)</f>
        <v/>
      </c>
      <c r="R49" s="0" t="str">
        <f aca="false">IF(A49="","",V43_New!FF49)</f>
        <v/>
      </c>
      <c r="S49" s="0" t="str">
        <f aca="false">IF(A49="","",V43_New!FG49)</f>
        <v/>
      </c>
      <c r="T49" s="0" t="str">
        <f aca="false">IF(A49="","",V43_New!FH49)</f>
        <v/>
      </c>
      <c r="U49" s="0" t="str">
        <f aca="false">IF(A49="","",V43_New!FI49)</f>
        <v/>
      </c>
      <c r="V49" s="0" t="str">
        <f aca="false">IF(A49="","",V43_New!FJ49)</f>
        <v/>
      </c>
      <c r="W49" s="0" t="str">
        <f aca="false">IF(A49="","",V43_New!FK49)</f>
        <v/>
      </c>
      <c r="X49" s="0" t="str">
        <f aca="false">IF(A49="","",V43_New!FL49)</f>
        <v/>
      </c>
      <c r="Y49" s="0" t="str">
        <f aca="false">IF(A49="","",V43_New!FM49)</f>
        <v/>
      </c>
      <c r="Z49" s="0" t="n">
        <f aca="false">IF(C50&lt;&gt;"",COUNT(C49:N49),0)</f>
        <v>1</v>
      </c>
      <c r="AA49" s="0" t="n">
        <f aca="false">IF(AND(O49="",P49="",Q49="",R49="",S49="",T49="",U49="",V49="",W49="",X49="",Y49=""),0,1)</f>
        <v>0</v>
      </c>
      <c r="AB49" s="15" t="str">
        <f aca="false">IF(OR(Z49&gt;=3,AA49=1),AVERAGE(C49:N49),"")</f>
        <v/>
      </c>
    </row>
    <row r="50" customFormat="false" ht="14.25" hidden="false" customHeight="false" outlineLevel="0" collapsed="false">
      <c r="A50" s="0" t="n">
        <f aca="false">Timestamp_Adjustment!D50</f>
        <v>1777419000</v>
      </c>
      <c r="B50" s="0" t="n">
        <f aca="false">IF(A50="","",V43_New!D50)</f>
        <v>4589.91</v>
      </c>
      <c r="C50" s="0" t="n">
        <f aca="false">IF(A50="","",V43_New!F50)</f>
        <v>4587.93</v>
      </c>
      <c r="D50" s="0" t="str">
        <f aca="false">IF(A50="","",V43_New!ER50)</f>
        <v/>
      </c>
      <c r="E50" s="0" t="str">
        <f aca="false">IF(A50="","",V43_New!ES50)</f>
        <v/>
      </c>
      <c r="F50" s="0" t="str">
        <f aca="false">IF(A50="","",V43_New!ET50)</f>
        <v/>
      </c>
      <c r="G50" s="0" t="str">
        <f aca="false">IF(A50="","",V43_New!EU50)</f>
        <v/>
      </c>
      <c r="H50" s="0" t="str">
        <f aca="false">IF(A50="","",V43_New!EV50)</f>
        <v/>
      </c>
      <c r="I50" s="0" t="str">
        <f aca="false">IF(A50="","",V43_New!EW50)</f>
        <v/>
      </c>
      <c r="J50" s="0" t="str">
        <f aca="false">IF(A50="","",V43_New!EX50)</f>
        <v/>
      </c>
      <c r="K50" s="0" t="str">
        <f aca="false">IF(A50="","",V43_New!EY50)</f>
        <v/>
      </c>
      <c r="L50" s="0" t="str">
        <f aca="false">IF(A50="","",V43_New!EZ50)</f>
        <v/>
      </c>
      <c r="M50" s="0" t="str">
        <f aca="false">IF(A50="","",V43_New!FA50)</f>
        <v/>
      </c>
      <c r="N50" s="0" t="str">
        <f aca="false">IF(A50="","",V43_New!FB50)</f>
        <v/>
      </c>
      <c r="O50" s="0" t="str">
        <f aca="false">IF(A50="","",V43_New!FC50)</f>
        <v/>
      </c>
      <c r="P50" s="0" t="str">
        <f aca="false">IF(A50="","",V43_New!FD50)</f>
        <v/>
      </c>
      <c r="Q50" s="0" t="str">
        <f aca="false">IF(A50="","",V43_New!FE50)</f>
        <v/>
      </c>
      <c r="R50" s="0" t="str">
        <f aca="false">IF(A50="","",V43_New!FF50)</f>
        <v/>
      </c>
      <c r="S50" s="0" t="str">
        <f aca="false">IF(A50="","",V43_New!FG50)</f>
        <v/>
      </c>
      <c r="T50" s="0" t="str">
        <f aca="false">IF(A50="","",V43_New!FH50)</f>
        <v/>
      </c>
      <c r="U50" s="0" t="str">
        <f aca="false">IF(A50="","",V43_New!FI50)</f>
        <v/>
      </c>
      <c r="V50" s="0" t="str">
        <f aca="false">IF(A50="","",V43_New!FJ50)</f>
        <v/>
      </c>
      <c r="W50" s="0" t="str">
        <f aca="false">IF(A50="","",V43_New!FK50)</f>
        <v/>
      </c>
      <c r="X50" s="0" t="str">
        <f aca="false">IF(A50="","",V43_New!FL50)</f>
        <v/>
      </c>
      <c r="Y50" s="0" t="str">
        <f aca="false">IF(A50="","",V43_New!FM50)</f>
        <v/>
      </c>
      <c r="Z50" s="0" t="n">
        <f aca="false">IF(C51&lt;&gt;"",COUNT(C50:N50),0)</f>
        <v>1</v>
      </c>
      <c r="AA50" s="0" t="n">
        <f aca="false">IF(AND(O50="",P50="",Q50="",R50="",S50="",T50="",U50="",V50="",W50="",X50="",Y50=""),0,1)</f>
        <v>0</v>
      </c>
      <c r="AB50" s="15" t="str">
        <f aca="false">IF(OR(Z50&gt;=3,AA50=1),AVERAGE(C50:N50),"")</f>
        <v/>
      </c>
    </row>
    <row r="51" customFormat="false" ht="14.25" hidden="false" customHeight="false" outlineLevel="0" collapsed="false">
      <c r="A51" s="0" t="n">
        <f aca="false">Timestamp_Adjustment!D51</f>
        <v>1777420800</v>
      </c>
      <c r="B51" s="0" t="n">
        <f aca="false">IF(A51="","",V43_New!D51)</f>
        <v>4607.37</v>
      </c>
      <c r="C51" s="0" t="n">
        <f aca="false">IF(A51="","",V43_New!F51)</f>
        <v>4610.15</v>
      </c>
      <c r="D51" s="0" t="str">
        <f aca="false">IF(A51="","",V43_New!ER51)</f>
        <v/>
      </c>
      <c r="E51" s="0" t="str">
        <f aca="false">IF(A51="","",V43_New!ES51)</f>
        <v/>
      </c>
      <c r="F51" s="0" t="str">
        <f aca="false">IF(A51="","",V43_New!ET51)</f>
        <v/>
      </c>
      <c r="G51" s="0" t="str">
        <f aca="false">IF(A51="","",V43_New!EU51)</f>
        <v/>
      </c>
      <c r="H51" s="0" t="str">
        <f aca="false">IF(A51="","",V43_New!EV51)</f>
        <v/>
      </c>
      <c r="I51" s="0" t="str">
        <f aca="false">IF(A51="","",V43_New!EW51)</f>
        <v/>
      </c>
      <c r="J51" s="0" t="str">
        <f aca="false">IF(A51="","",V43_New!EX51)</f>
        <v/>
      </c>
      <c r="K51" s="0" t="str">
        <f aca="false">IF(A51="","",V43_New!EY51)</f>
        <v/>
      </c>
      <c r="L51" s="0" t="str">
        <f aca="false">IF(A51="","",V43_New!EZ51)</f>
        <v/>
      </c>
      <c r="M51" s="0" t="str">
        <f aca="false">IF(A51="","",V43_New!FA51)</f>
        <v/>
      </c>
      <c r="N51" s="0" t="str">
        <f aca="false">IF(A51="","",V43_New!FB51)</f>
        <v/>
      </c>
      <c r="O51" s="0" t="str">
        <f aca="false">IF(A51="","",V43_New!FC51)</f>
        <v/>
      </c>
      <c r="P51" s="0" t="str">
        <f aca="false">IF(A51="","",V43_New!FD51)</f>
        <v/>
      </c>
      <c r="Q51" s="0" t="str">
        <f aca="false">IF(A51="","",V43_New!FE51)</f>
        <v/>
      </c>
      <c r="R51" s="0" t="str">
        <f aca="false">IF(A51="","",V43_New!FF51)</f>
        <v/>
      </c>
      <c r="S51" s="0" t="str">
        <f aca="false">IF(A51="","",V43_New!FG51)</f>
        <v/>
      </c>
      <c r="T51" s="0" t="str">
        <f aca="false">IF(A51="","",V43_New!FH51)</f>
        <v/>
      </c>
      <c r="U51" s="0" t="str">
        <f aca="false">IF(A51="","",V43_New!FI51)</f>
        <v/>
      </c>
      <c r="V51" s="0" t="str">
        <f aca="false">IF(A51="","",V43_New!FJ51)</f>
        <v/>
      </c>
      <c r="W51" s="0" t="str">
        <f aca="false">IF(A51="","",V43_New!FK51)</f>
        <v/>
      </c>
      <c r="X51" s="0" t="str">
        <f aca="false">IF(A51="","",V43_New!FL51)</f>
        <v/>
      </c>
      <c r="Y51" s="0" t="str">
        <f aca="false">IF(A51="","",V43_New!FM51)</f>
        <v/>
      </c>
      <c r="Z51" s="0" t="n">
        <f aca="false">IF(C52&lt;&gt;"",COUNT(C51:N51),0)</f>
        <v>1</v>
      </c>
      <c r="AA51" s="0" t="n">
        <f aca="false">IF(AND(O51="",P51="",Q51="",R51="",S51="",T51="",U51="",V51="",W51="",X51="",Y51=""),0,1)</f>
        <v>0</v>
      </c>
      <c r="AB51" s="15" t="str">
        <f aca="false">IF(OR(Z51&gt;=3,AA51=1),AVERAGE(C51:N51),"")</f>
        <v/>
      </c>
    </row>
    <row r="52" customFormat="false" ht="14.25" hidden="false" customHeight="false" outlineLevel="0" collapsed="false">
      <c r="A52" s="0" t="n">
        <f aca="false">Timestamp_Adjustment!D52</f>
        <v>1777424400</v>
      </c>
      <c r="B52" s="0" t="n">
        <f aca="false">IF(A52="","",V43_New!D52)</f>
        <v>4582.65</v>
      </c>
      <c r="C52" s="0" t="n">
        <f aca="false">IF(A52="","",V43_New!F52)</f>
        <v>4575.84</v>
      </c>
      <c r="D52" s="0" t="str">
        <f aca="false">IF(A52="","",V43_New!ER52)</f>
        <v/>
      </c>
      <c r="E52" s="0" t="str">
        <f aca="false">IF(A52="","",V43_New!ES52)</f>
        <v/>
      </c>
      <c r="F52" s="0" t="str">
        <f aca="false">IF(A52="","",V43_New!ET52)</f>
        <v/>
      </c>
      <c r="G52" s="0" t="str">
        <f aca="false">IF(A52="","",V43_New!EU52)</f>
        <v/>
      </c>
      <c r="H52" s="0" t="str">
        <f aca="false">IF(A52="","",V43_New!EV52)</f>
        <v/>
      </c>
      <c r="I52" s="0" t="str">
        <f aca="false">IF(A52="","",V43_New!EW52)</f>
        <v/>
      </c>
      <c r="J52" s="0" t="str">
        <f aca="false">IF(A52="","",V43_New!EX52)</f>
        <v/>
      </c>
      <c r="K52" s="0" t="str">
        <f aca="false">IF(A52="","",V43_New!EY52)</f>
        <v/>
      </c>
      <c r="L52" s="0" t="str">
        <f aca="false">IF(A52="","",V43_New!EZ52)</f>
        <v/>
      </c>
      <c r="M52" s="0" t="str">
        <f aca="false">IF(A52="","",V43_New!FA52)</f>
        <v/>
      </c>
      <c r="N52" s="0" t="str">
        <f aca="false">IF(A52="","",V43_New!FB52)</f>
        <v/>
      </c>
      <c r="O52" s="0" t="str">
        <f aca="false">IF(A52="","",V43_New!FC52)</f>
        <v/>
      </c>
      <c r="P52" s="0" t="str">
        <f aca="false">IF(A52="","",V43_New!FD52)</f>
        <v/>
      </c>
      <c r="Q52" s="0" t="str">
        <f aca="false">IF(A52="","",V43_New!FE52)</f>
        <v/>
      </c>
      <c r="R52" s="0" t="str">
        <f aca="false">IF(A52="","",V43_New!FF52)</f>
        <v/>
      </c>
      <c r="S52" s="0" t="str">
        <f aca="false">IF(A52="","",V43_New!FG52)</f>
        <v/>
      </c>
      <c r="T52" s="0" t="str">
        <f aca="false">IF(A52="","",V43_New!FH52)</f>
        <v/>
      </c>
      <c r="U52" s="0" t="str">
        <f aca="false">IF(A52="","",V43_New!FI52)</f>
        <v/>
      </c>
      <c r="V52" s="0" t="str">
        <f aca="false">IF(A52="","",V43_New!FJ52)</f>
        <v/>
      </c>
      <c r="W52" s="0" t="str">
        <f aca="false">IF(A52="","",V43_New!FK52)</f>
        <v/>
      </c>
      <c r="X52" s="0" t="str">
        <f aca="false">IF(A52="","",V43_New!FL52)</f>
        <v/>
      </c>
      <c r="Y52" s="0" t="str">
        <f aca="false">IF(A52="","",V43_New!FM52)</f>
        <v/>
      </c>
      <c r="Z52" s="0" t="n">
        <f aca="false">IF(C53&lt;&gt;"",COUNT(C52:N52),0)</f>
        <v>1</v>
      </c>
      <c r="AA52" s="0" t="n">
        <f aca="false">IF(AND(O52="",P52="",Q52="",R52="",S52="",T52="",U52="",V52="",W52="",X52="",Y52=""),0,1)</f>
        <v>0</v>
      </c>
      <c r="AB52" s="15" t="str">
        <f aca="false">IF(OR(Z52&gt;=3,AA52=1),AVERAGE(C52:N52),"")</f>
        <v/>
      </c>
    </row>
    <row r="53" customFormat="false" ht="14.25" hidden="false" customHeight="false" outlineLevel="0" collapsed="false">
      <c r="A53" s="0" t="n">
        <f aca="false">Timestamp_Adjustment!D53</f>
        <v>1777438800</v>
      </c>
      <c r="B53" s="0" t="n">
        <f aca="false">IF(A53="","",V43_New!D53)</f>
        <v>4601.15</v>
      </c>
      <c r="C53" s="0" t="n">
        <f aca="false">IF(A53="","",V43_New!F53)</f>
        <v>4607.77</v>
      </c>
      <c r="D53" s="0" t="n">
        <f aca="false">IF(A53="","",V43_New!ER53)</f>
        <v>4610.15</v>
      </c>
      <c r="E53" s="0" t="str">
        <f aca="false">IF(A53="","",V43_New!ES53)</f>
        <v/>
      </c>
      <c r="F53" s="0" t="str">
        <f aca="false">IF(A53="","",V43_New!ET53)</f>
        <v/>
      </c>
      <c r="G53" s="0" t="str">
        <f aca="false">IF(A53="","",V43_New!EU53)</f>
        <v/>
      </c>
      <c r="H53" s="0" t="str">
        <f aca="false">IF(A53="","",V43_New!EV53)</f>
        <v/>
      </c>
      <c r="I53" s="0" t="str">
        <f aca="false">IF(A53="","",V43_New!EW53)</f>
        <v/>
      </c>
      <c r="J53" s="0" t="str">
        <f aca="false">IF(A53="","",V43_New!EX53)</f>
        <v/>
      </c>
      <c r="K53" s="0" t="str">
        <f aca="false">IF(A53="","",V43_New!EY53)</f>
        <v/>
      </c>
      <c r="L53" s="0" t="str">
        <f aca="false">IF(A53="","",V43_New!EZ53)</f>
        <v/>
      </c>
      <c r="M53" s="0" t="str">
        <f aca="false">IF(A53="","",V43_New!FA53)</f>
        <v/>
      </c>
      <c r="N53" s="0" t="str">
        <f aca="false">IF(A53="","",V43_New!FB53)</f>
        <v/>
      </c>
      <c r="O53" s="0" t="str">
        <f aca="false">IF(A53="","",V43_New!FC53)</f>
        <v/>
      </c>
      <c r="P53" s="0" t="str">
        <f aca="false">IF(A53="","",V43_New!FD53)</f>
        <v/>
      </c>
      <c r="Q53" s="0" t="str">
        <f aca="false">IF(A53="","",V43_New!FE53)</f>
        <v/>
      </c>
      <c r="R53" s="0" t="str">
        <f aca="false">IF(A53="","",V43_New!FF53)</f>
        <v/>
      </c>
      <c r="S53" s="0" t="str">
        <f aca="false">IF(A53="","",V43_New!FG53)</f>
        <v/>
      </c>
      <c r="T53" s="0" t="str">
        <f aca="false">IF(A53="","",V43_New!FH53)</f>
        <v/>
      </c>
      <c r="U53" s="0" t="str">
        <f aca="false">IF(A53="","",V43_New!FI53)</f>
        <v/>
      </c>
      <c r="V53" s="0" t="str">
        <f aca="false">IF(A53="","",V43_New!FJ53)</f>
        <v/>
      </c>
      <c r="W53" s="0" t="str">
        <f aca="false">IF(A53="","",V43_New!FK53)</f>
        <v/>
      </c>
      <c r="X53" s="0" t="str">
        <f aca="false">IF(A53="","",V43_New!FL53)</f>
        <v/>
      </c>
      <c r="Y53" s="0" t="str">
        <f aca="false">IF(A53="","",V43_New!FM53)</f>
        <v/>
      </c>
      <c r="Z53" s="0" t="n">
        <f aca="false">IF(C54&lt;&gt;"",COUNT(C53:N53),0)</f>
        <v>2</v>
      </c>
      <c r="AA53" s="0" t="n">
        <f aca="false">IF(AND(O53="",P53="",Q53="",R53="",S53="",T53="",U53="",V53="",W53="",X53="",Y53=""),0,1)</f>
        <v>0</v>
      </c>
      <c r="AB53" s="15" t="str">
        <f aca="false">IF(OR(Z53&gt;=3,AA53=1),AVERAGE(C53:N53),"")</f>
        <v/>
      </c>
    </row>
    <row r="54" customFormat="false" ht="14.25" hidden="false" customHeight="false" outlineLevel="0" collapsed="false">
      <c r="A54" s="0" t="n">
        <f aca="false">Timestamp_Adjustment!D54</f>
        <v>1777470300</v>
      </c>
      <c r="B54" s="0" t="n">
        <f aca="false">IF(A54="","",V43_New!D54)</f>
        <v>4521.71</v>
      </c>
      <c r="C54" s="0" t="n">
        <f aca="false">IF(A54="","",V43_New!F54)</f>
        <v>4510.28</v>
      </c>
      <c r="D54" s="0" t="str">
        <f aca="false">IF(A54="","",V43_New!ER54)</f>
        <v/>
      </c>
      <c r="E54" s="0" t="str">
        <f aca="false">IF(A54="","",V43_New!ES54)</f>
        <v/>
      </c>
      <c r="F54" s="0" t="str">
        <f aca="false">IF(A54="","",V43_New!ET54)</f>
        <v/>
      </c>
      <c r="G54" s="0" t="str">
        <f aca="false">IF(A54="","",V43_New!EU54)</f>
        <v/>
      </c>
      <c r="H54" s="0" t="str">
        <f aca="false">IF(A54="","",V43_New!EV54)</f>
        <v/>
      </c>
      <c r="I54" s="0" t="str">
        <f aca="false">IF(A54="","",V43_New!EW54)</f>
        <v/>
      </c>
      <c r="J54" s="0" t="str">
        <f aca="false">IF(A54="","",V43_New!EX54)</f>
        <v/>
      </c>
      <c r="K54" s="0" t="str">
        <f aca="false">IF(A54="","",V43_New!EY54)</f>
        <v/>
      </c>
      <c r="L54" s="0" t="str">
        <f aca="false">IF(A54="","",V43_New!EZ54)</f>
        <v/>
      </c>
      <c r="M54" s="0" t="str">
        <f aca="false">IF(A54="","",V43_New!FA54)</f>
        <v/>
      </c>
      <c r="N54" s="0" t="str">
        <f aca="false">IF(A54="","",V43_New!FB54)</f>
        <v/>
      </c>
      <c r="O54" s="0" t="str">
        <f aca="false">IF(A54="","",V43_New!FC54)</f>
        <v/>
      </c>
      <c r="P54" s="0" t="str">
        <f aca="false">IF(A54="","",V43_New!FD54)</f>
        <v/>
      </c>
      <c r="Q54" s="0" t="str">
        <f aca="false">IF(A54="","",V43_New!FE54)</f>
        <v/>
      </c>
      <c r="R54" s="0" t="str">
        <f aca="false">IF(A54="","",V43_New!FF54)</f>
        <v/>
      </c>
      <c r="S54" s="0" t="str">
        <f aca="false">IF(A54="","",V43_New!FG54)</f>
        <v/>
      </c>
      <c r="T54" s="0" t="str">
        <f aca="false">IF(A54="","",V43_New!FH54)</f>
        <v/>
      </c>
      <c r="U54" s="0" t="str">
        <f aca="false">IF(A54="","",V43_New!FI54)</f>
        <v/>
      </c>
      <c r="V54" s="0" t="str">
        <f aca="false">IF(A54="","",V43_New!FJ54)</f>
        <v/>
      </c>
      <c r="W54" s="0" t="str">
        <f aca="false">IF(A54="","",V43_New!FK54)</f>
        <v/>
      </c>
      <c r="X54" s="0" t="str">
        <f aca="false">IF(A54="","",V43_New!FL54)</f>
        <v/>
      </c>
      <c r="Y54" s="0" t="str">
        <f aca="false">IF(A54="","",V43_New!FM54)</f>
        <v/>
      </c>
      <c r="Z54" s="0" t="n">
        <f aca="false">IF(C55&lt;&gt;"",COUNT(C54:N54),0)</f>
        <v>1</v>
      </c>
      <c r="AA54" s="0" t="n">
        <f aca="false">IF(AND(O54="",P54="",Q54="",R54="",S54="",T54="",U54="",V54="",W54="",X54="",Y54=""),0,1)</f>
        <v>0</v>
      </c>
      <c r="AB54" s="15" t="str">
        <f aca="false">IF(OR(Z54&gt;=3,AA54=1),AVERAGE(C54:N54),"")</f>
        <v/>
      </c>
    </row>
    <row r="55" customFormat="false" ht="14.25" hidden="false" customHeight="false" outlineLevel="0" collapsed="false">
      <c r="A55" s="0" t="n">
        <f aca="false">Timestamp_Adjustment!D55</f>
        <v>1777478400</v>
      </c>
      <c r="B55" s="0" t="n">
        <f aca="false">IF(A55="","",V43_New!D55)</f>
        <v>4559.1</v>
      </c>
      <c r="C55" s="0" t="n">
        <f aca="false">IF(A55="","",V43_New!F55)</f>
        <v>4564.75</v>
      </c>
      <c r="D55" s="0" t="str">
        <f aca="false">IF(A55="","",V43_New!ER55)</f>
        <v/>
      </c>
      <c r="E55" s="0" t="str">
        <f aca="false">IF(A55="","",V43_New!ES55)</f>
        <v/>
      </c>
      <c r="F55" s="0" t="str">
        <f aca="false">IF(A55="","",V43_New!ET55)</f>
        <v/>
      </c>
      <c r="G55" s="0" t="str">
        <f aca="false">IF(A55="","",V43_New!EU55)</f>
        <v/>
      </c>
      <c r="H55" s="0" t="str">
        <f aca="false">IF(A55="","",V43_New!EV55)</f>
        <v/>
      </c>
      <c r="I55" s="0" t="str">
        <f aca="false">IF(A55="","",V43_New!EW55)</f>
        <v/>
      </c>
      <c r="J55" s="0" t="str">
        <f aca="false">IF(A55="","",V43_New!EX55)</f>
        <v/>
      </c>
      <c r="K55" s="0" t="str">
        <f aca="false">IF(A55="","",V43_New!EY55)</f>
        <v/>
      </c>
      <c r="L55" s="0" t="str">
        <f aca="false">IF(A55="","",V43_New!EZ55)</f>
        <v/>
      </c>
      <c r="M55" s="0" t="str">
        <f aca="false">IF(A55="","",V43_New!FA55)</f>
        <v/>
      </c>
      <c r="N55" s="0" t="str">
        <f aca="false">IF(A55="","",V43_New!FB55)</f>
        <v/>
      </c>
      <c r="O55" s="0" t="str">
        <f aca="false">IF(A55="","",V43_New!FC55)</f>
        <v/>
      </c>
      <c r="P55" s="0" t="str">
        <f aca="false">IF(A55="","",V43_New!FD55)</f>
        <v/>
      </c>
      <c r="Q55" s="0" t="str">
        <f aca="false">IF(A55="","",V43_New!FE55)</f>
        <v/>
      </c>
      <c r="R55" s="0" t="str">
        <f aca="false">IF(A55="","",V43_New!FF55)</f>
        <v/>
      </c>
      <c r="S55" s="0" t="str">
        <f aca="false">IF(A55="","",V43_New!FG55)</f>
        <v/>
      </c>
      <c r="T55" s="0" t="str">
        <f aca="false">IF(A55="","",V43_New!FH55)</f>
        <v/>
      </c>
      <c r="U55" s="0" t="str">
        <f aca="false">IF(A55="","",V43_New!FI55)</f>
        <v/>
      </c>
      <c r="V55" s="0" t="str">
        <f aca="false">IF(A55="","",V43_New!FJ55)</f>
        <v/>
      </c>
      <c r="W55" s="0" t="str">
        <f aca="false">IF(A55="","",V43_New!FK55)</f>
        <v/>
      </c>
      <c r="X55" s="0" t="str">
        <f aca="false">IF(A55="","",V43_New!FL55)</f>
        <v/>
      </c>
      <c r="Y55" s="0" t="str">
        <f aca="false">IF(A55="","",V43_New!FM55)</f>
        <v/>
      </c>
      <c r="Z55" s="0" t="n">
        <f aca="false">IF(C56&lt;&gt;"",COUNT(C55:N55),0)</f>
        <v>1</v>
      </c>
      <c r="AA55" s="0" t="n">
        <f aca="false">IF(AND(O55="",P55="",Q55="",R55="",S55="",T55="",U55="",V55="",W55="",X55="",Y55=""),0,1)</f>
        <v>0</v>
      </c>
      <c r="AB55" s="15" t="str">
        <f aca="false">IF(OR(Z55&gt;=3,AA55=1),AVERAGE(C55:N55),"")</f>
        <v/>
      </c>
    </row>
    <row r="56" customFormat="false" ht="14.25" hidden="false" customHeight="false" outlineLevel="0" collapsed="false">
      <c r="A56" s="0" t="n">
        <f aca="false">Timestamp_Adjustment!D56</f>
        <v>1777488300</v>
      </c>
      <c r="B56" s="0" t="n">
        <f aca="false">IF(A56="","",V43_New!D56)</f>
        <v>4538.19</v>
      </c>
      <c r="C56" s="0" t="n">
        <f aca="false">IF(A56="","",V43_New!F56)</f>
        <v>4518.41</v>
      </c>
      <c r="D56" s="0" t="n">
        <f aca="false">IF(A56="","",V43_New!ER56)</f>
        <v>4510.28</v>
      </c>
      <c r="E56" s="0" t="str">
        <f aca="false">IF(A56="","",V43_New!ES56)</f>
        <v/>
      </c>
      <c r="F56" s="0" t="str">
        <f aca="false">IF(A56="","",V43_New!ET56)</f>
        <v/>
      </c>
      <c r="G56" s="0" t="str">
        <f aca="false">IF(A56="","",V43_New!EU56)</f>
        <v/>
      </c>
      <c r="H56" s="0" t="str">
        <f aca="false">IF(A56="","",V43_New!EV56)</f>
        <v/>
      </c>
      <c r="I56" s="0" t="str">
        <f aca="false">IF(A56="","",V43_New!EW56)</f>
        <v/>
      </c>
      <c r="J56" s="0" t="str">
        <f aca="false">IF(A56="","",V43_New!EX56)</f>
        <v/>
      </c>
      <c r="K56" s="0" t="str">
        <f aca="false">IF(A56="","",V43_New!EY56)</f>
        <v/>
      </c>
      <c r="L56" s="0" t="str">
        <f aca="false">IF(A56="","",V43_New!EZ56)</f>
        <v/>
      </c>
      <c r="M56" s="0" t="str">
        <f aca="false">IF(A56="","",V43_New!FA56)</f>
        <v/>
      </c>
      <c r="N56" s="0" t="str">
        <f aca="false">IF(A56="","",V43_New!FB56)</f>
        <v/>
      </c>
      <c r="O56" s="0" t="str">
        <f aca="false">IF(A56="","",V43_New!FC56)</f>
        <v>IEQL</v>
      </c>
      <c r="P56" s="0" t="str">
        <f aca="false">IF(A56="","",V43_New!FD56)</f>
        <v/>
      </c>
      <c r="Q56" s="0" t="str">
        <f aca="false">IF(A56="","",V43_New!FE56)</f>
        <v/>
      </c>
      <c r="R56" s="0" t="str">
        <f aca="false">IF(A56="","",V43_New!FF56)</f>
        <v/>
      </c>
      <c r="S56" s="0" t="str">
        <f aca="false">IF(A56="","",V43_New!FG56)</f>
        <v/>
      </c>
      <c r="T56" s="0" t="str">
        <f aca="false">IF(A56="","",V43_New!FH56)</f>
        <v/>
      </c>
      <c r="U56" s="0" t="str">
        <f aca="false">IF(A56="","",V43_New!FI56)</f>
        <v/>
      </c>
      <c r="V56" s="0" t="str">
        <f aca="false">IF(A56="","",V43_New!FJ56)</f>
        <v/>
      </c>
      <c r="W56" s="0" t="str">
        <f aca="false">IF(A56="","",V43_New!FK56)</f>
        <v/>
      </c>
      <c r="X56" s="0" t="str">
        <f aca="false">IF(A56="","",V43_New!FL56)</f>
        <v/>
      </c>
      <c r="Y56" s="0" t="str">
        <f aca="false">IF(A56="","",V43_New!FM56)</f>
        <v/>
      </c>
      <c r="Z56" s="0" t="n">
        <f aca="false">IF(C57&lt;&gt;"",COUNT(C56:N56),0)</f>
        <v>2</v>
      </c>
      <c r="AA56" s="0" t="n">
        <f aca="false">IF(AND(O56="",P56="",Q56="",R56="",S56="",T56="",U56="",V56="",W56="",X56="",Y56=""),0,1)</f>
        <v>1</v>
      </c>
      <c r="AB56" s="15" t="n">
        <f aca="false">IF(OR(Z56&gt;=3,AA56=1),AVERAGE(C56:N56),"")</f>
        <v>4514.345</v>
      </c>
    </row>
    <row r="57" customFormat="false" ht="14.25" hidden="false" customHeight="false" outlineLevel="0" collapsed="false">
      <c r="A57" s="0" t="n">
        <f aca="false">Timestamp_Adjustment!D57</f>
        <v>1777513500</v>
      </c>
      <c r="B57" s="0" t="n">
        <f aca="false">IF(A57="","",V43_New!D57)</f>
        <v>4579.13</v>
      </c>
      <c r="C57" s="0" t="n">
        <f aca="false">IF(A57="","",V43_New!F57)</f>
        <v>4582.32</v>
      </c>
      <c r="D57" s="0" t="str">
        <f aca="false">IF(A57="","",V43_New!ER57)</f>
        <v/>
      </c>
      <c r="E57" s="0" t="str">
        <f aca="false">IF(A57="","",V43_New!ES57)</f>
        <v/>
      </c>
      <c r="F57" s="0" t="str">
        <f aca="false">IF(A57="","",V43_New!ET57)</f>
        <v/>
      </c>
      <c r="G57" s="0" t="str">
        <f aca="false">IF(A57="","",V43_New!EU57)</f>
        <v/>
      </c>
      <c r="H57" s="0" t="str">
        <f aca="false">IF(A57="","",V43_New!EV57)</f>
        <v/>
      </c>
      <c r="I57" s="0" t="str">
        <f aca="false">IF(A57="","",V43_New!EW57)</f>
        <v/>
      </c>
      <c r="J57" s="0" t="str">
        <f aca="false">IF(A57="","",V43_New!EX57)</f>
        <v/>
      </c>
      <c r="K57" s="0" t="str">
        <f aca="false">IF(A57="","",V43_New!EY57)</f>
        <v/>
      </c>
      <c r="L57" s="0" t="str">
        <f aca="false">IF(A57="","",V43_New!EZ57)</f>
        <v/>
      </c>
      <c r="M57" s="0" t="str">
        <f aca="false">IF(A57="","",V43_New!FA57)</f>
        <v/>
      </c>
      <c r="N57" s="0" t="str">
        <f aca="false">IF(A57="","",V43_New!FB57)</f>
        <v/>
      </c>
      <c r="O57" s="0" t="str">
        <f aca="false">IF(A57="","",V43_New!FC57)</f>
        <v/>
      </c>
      <c r="P57" s="0" t="str">
        <f aca="false">IF(A57="","",V43_New!FD57)</f>
        <v/>
      </c>
      <c r="Q57" s="0" t="str">
        <f aca="false">IF(A57="","",V43_New!FE57)</f>
        <v/>
      </c>
      <c r="R57" s="0" t="str">
        <f aca="false">IF(A57="","",V43_New!FF57)</f>
        <v/>
      </c>
      <c r="S57" s="0" t="str">
        <f aca="false">IF(A57="","",V43_New!FG57)</f>
        <v/>
      </c>
      <c r="T57" s="0" t="str">
        <f aca="false">IF(A57="","",V43_New!FH57)</f>
        <v/>
      </c>
      <c r="U57" s="0" t="str">
        <f aca="false">IF(A57="","",V43_New!FI57)</f>
        <v/>
      </c>
      <c r="V57" s="0" t="str">
        <f aca="false">IF(A57="","",V43_New!FJ57)</f>
        <v/>
      </c>
      <c r="W57" s="0" t="str">
        <f aca="false">IF(A57="","",V43_New!FK57)</f>
        <v/>
      </c>
      <c r="X57" s="0" t="str">
        <f aca="false">IF(A57="","",V43_New!FL57)</f>
        <v/>
      </c>
      <c r="Y57" s="0" t="str">
        <f aca="false">IF(A57="","",V43_New!FM57)</f>
        <v/>
      </c>
      <c r="Z57" s="0" t="n">
        <f aca="false">IF(C58&lt;&gt;"",COUNT(C57:N57),0)</f>
        <v>1</v>
      </c>
      <c r="AA57" s="0" t="n">
        <f aca="false">IF(AND(O57="",P57="",Q57="",R57="",S57="",T57="",U57="",V57="",W57="",X57="",Y57=""),0,1)</f>
        <v>0</v>
      </c>
      <c r="AB57" s="15" t="str">
        <f aca="false">IF(OR(Z57&gt;=3,AA57=1),AVERAGE(C57:N57),"")</f>
        <v/>
      </c>
    </row>
    <row r="58" customFormat="false" ht="14.25" hidden="false" customHeight="false" outlineLevel="0" collapsed="false">
      <c r="A58" s="0" t="n">
        <f aca="false">Timestamp_Adjustment!D58</f>
        <v>1777523400</v>
      </c>
      <c r="B58" s="0" t="n">
        <f aca="false">IF(A58="","",V43_New!D58)</f>
        <v>4544.74</v>
      </c>
      <c r="C58" s="0" t="n">
        <f aca="false">IF(A58="","",V43_New!F58)</f>
        <v>4540.82</v>
      </c>
      <c r="D58" s="0" t="str">
        <f aca="false">IF(A58="","",V43_New!ER58)</f>
        <v/>
      </c>
      <c r="E58" s="0" t="str">
        <f aca="false">IF(A58="","",V43_New!ES58)</f>
        <v/>
      </c>
      <c r="F58" s="0" t="str">
        <f aca="false">IF(A58="","",V43_New!ET58)</f>
        <v/>
      </c>
      <c r="G58" s="0" t="str">
        <f aca="false">IF(A58="","",V43_New!EU58)</f>
        <v/>
      </c>
      <c r="H58" s="0" t="str">
        <f aca="false">IF(A58="","",V43_New!EV58)</f>
        <v/>
      </c>
      <c r="I58" s="0" t="str">
        <f aca="false">IF(A58="","",V43_New!EW58)</f>
        <v/>
      </c>
      <c r="J58" s="0" t="str">
        <f aca="false">IF(A58="","",V43_New!EX58)</f>
        <v/>
      </c>
      <c r="K58" s="0" t="str">
        <f aca="false">IF(A58="","",V43_New!EY58)</f>
        <v/>
      </c>
      <c r="L58" s="0" t="str">
        <f aca="false">IF(A58="","",V43_New!EZ58)</f>
        <v/>
      </c>
      <c r="M58" s="0" t="str">
        <f aca="false">IF(A58="","",V43_New!FA58)</f>
        <v/>
      </c>
      <c r="N58" s="0" t="str">
        <f aca="false">IF(A58="","",V43_New!FB58)</f>
        <v/>
      </c>
      <c r="O58" s="0" t="str">
        <f aca="false">IF(A58="","",V43_New!FC58)</f>
        <v/>
      </c>
      <c r="P58" s="0" t="str">
        <f aca="false">IF(A58="","",V43_New!FD58)</f>
        <v/>
      </c>
      <c r="Q58" s="0" t="str">
        <f aca="false">IF(A58="","",V43_New!FE58)</f>
        <v/>
      </c>
      <c r="R58" s="0" t="str">
        <f aca="false">IF(A58="","",V43_New!FF58)</f>
        <v/>
      </c>
      <c r="S58" s="0" t="str">
        <f aca="false">IF(A58="","",V43_New!FG58)</f>
        <v/>
      </c>
      <c r="T58" s="0" t="str">
        <f aca="false">IF(A58="","",V43_New!FH58)</f>
        <v/>
      </c>
      <c r="U58" s="0" t="str">
        <f aca="false">IF(A58="","",V43_New!FI58)</f>
        <v/>
      </c>
      <c r="V58" s="0" t="str">
        <f aca="false">IF(A58="","",V43_New!FJ58)</f>
        <v/>
      </c>
      <c r="W58" s="0" t="str">
        <f aca="false">IF(A58="","",V43_New!FK58)</f>
        <v/>
      </c>
      <c r="X58" s="0" t="str">
        <f aca="false">IF(A58="","",V43_New!FL58)</f>
        <v/>
      </c>
      <c r="Y58" s="0" t="str">
        <f aca="false">IF(A58="","",V43_New!FM58)</f>
        <v/>
      </c>
      <c r="Z58" s="0" t="n">
        <f aca="false">IF(C59&lt;&gt;"",COUNT(C58:N58),0)</f>
        <v>1</v>
      </c>
      <c r="AA58" s="0" t="n">
        <f aca="false">IF(AND(O58="",P58="",Q58="",R58="",S58="",T58="",U58="",V58="",W58="",X58="",Y58=""),0,1)</f>
        <v>0</v>
      </c>
      <c r="AB58" s="15" t="str">
        <f aca="false">IF(OR(Z58&gt;=3,AA58=1),AVERAGE(C58:N58),"")</f>
        <v/>
      </c>
    </row>
    <row r="59" customFormat="false" ht="14.25" hidden="false" customHeight="false" outlineLevel="0" collapsed="false">
      <c r="A59" s="0" t="n">
        <f aca="false">Timestamp_Adjustment!D59</f>
        <v>1777545000</v>
      </c>
      <c r="B59" s="0" t="n">
        <f aca="false">IF(A59="","",V43_New!D59)</f>
        <v>4636.62</v>
      </c>
      <c r="C59" s="0" t="n">
        <f aca="false">IF(A59="","",V43_New!F59)</f>
        <v>4647.1</v>
      </c>
      <c r="D59" s="0" t="str">
        <f aca="false">IF(A59="","",V43_New!ER59)</f>
        <v/>
      </c>
      <c r="E59" s="0" t="str">
        <f aca="false">IF(A59="","",V43_New!ES59)</f>
        <v/>
      </c>
      <c r="F59" s="0" t="str">
        <f aca="false">IF(A59="","",V43_New!ET59)</f>
        <v/>
      </c>
      <c r="G59" s="0" t="str">
        <f aca="false">IF(A59="","",V43_New!EU59)</f>
        <v/>
      </c>
      <c r="H59" s="0" t="str">
        <f aca="false">IF(A59="","",V43_New!EV59)</f>
        <v/>
      </c>
      <c r="I59" s="0" t="str">
        <f aca="false">IF(A59="","",V43_New!EW59)</f>
        <v/>
      </c>
      <c r="J59" s="0" t="str">
        <f aca="false">IF(A59="","",V43_New!EX59)</f>
        <v/>
      </c>
      <c r="K59" s="0" t="str">
        <f aca="false">IF(A59="","",V43_New!EY59)</f>
        <v/>
      </c>
      <c r="L59" s="0" t="str">
        <f aca="false">IF(A59="","",V43_New!EZ59)</f>
        <v/>
      </c>
      <c r="M59" s="0" t="str">
        <f aca="false">IF(A59="","",V43_New!FA59)</f>
        <v/>
      </c>
      <c r="N59" s="0" t="str">
        <f aca="false">IF(A59="","",V43_New!FB59)</f>
        <v/>
      </c>
      <c r="O59" s="0" t="str">
        <f aca="false">IF(A59="","",V43_New!FC59)</f>
        <v/>
      </c>
      <c r="P59" s="0" t="str">
        <f aca="false">IF(A59="","",V43_New!FD59)</f>
        <v/>
      </c>
      <c r="Q59" s="0" t="str">
        <f aca="false">IF(A59="","",V43_New!FE59)</f>
        <v/>
      </c>
      <c r="R59" s="0" t="str">
        <f aca="false">IF(A59="","",V43_New!FF59)</f>
        <v/>
      </c>
      <c r="S59" s="0" t="str">
        <f aca="false">IF(A59="","",V43_New!FG59)</f>
        <v/>
      </c>
      <c r="T59" s="0" t="str">
        <f aca="false">IF(A59="","",V43_New!FH59)</f>
        <v/>
      </c>
      <c r="U59" s="0" t="str">
        <f aca="false">IF(A59="","",V43_New!FI59)</f>
        <v/>
      </c>
      <c r="V59" s="0" t="str">
        <f aca="false">IF(A59="","",V43_New!FJ59)</f>
        <v/>
      </c>
      <c r="W59" s="0" t="str">
        <f aca="false">IF(A59="","",V43_New!FK59)</f>
        <v/>
      </c>
      <c r="X59" s="0" t="str">
        <f aca="false">IF(A59="","",V43_New!FL59)</f>
        <v/>
      </c>
      <c r="Y59" s="0" t="str">
        <f aca="false">IF(A59="","",V43_New!FM59)</f>
        <v/>
      </c>
      <c r="Z59" s="0" t="n">
        <f aca="false">IF(C60&lt;&gt;"",COUNT(C59:N59),0)</f>
        <v>1</v>
      </c>
      <c r="AA59" s="0" t="n">
        <f aca="false">IF(AND(O59="",P59="",Q59="",R59="",S59="",T59="",U59="",V59="",W59="",X59="",Y59=""),0,1)</f>
        <v>0</v>
      </c>
      <c r="AB59" s="15" t="str">
        <f aca="false">IF(OR(Z59&gt;=3,AA59=1),AVERAGE(C59:N59),"")</f>
        <v/>
      </c>
    </row>
    <row r="60" customFormat="false" ht="14.25" hidden="false" customHeight="false" outlineLevel="0" collapsed="false">
      <c r="A60" s="0" t="n">
        <f aca="false">Timestamp_Adjustment!D60</f>
        <v>1777567500</v>
      </c>
      <c r="B60" s="0" t="n">
        <f aca="false">IF(A60="","",V43_New!D60)</f>
        <v>4607.62</v>
      </c>
      <c r="C60" s="0" t="n">
        <f aca="false">IF(A60="","",V43_New!F60)</f>
        <v>4605.56</v>
      </c>
      <c r="D60" s="0" t="str">
        <f aca="false">IF(A60="","",V43_New!ER60)</f>
        <v/>
      </c>
      <c r="E60" s="0" t="str">
        <f aca="false">IF(A60="","",V43_New!ES60)</f>
        <v/>
      </c>
      <c r="F60" s="0" t="str">
        <f aca="false">IF(A60="","",V43_New!ET60)</f>
        <v/>
      </c>
      <c r="G60" s="0" t="str">
        <f aca="false">IF(A60="","",V43_New!EU60)</f>
        <v/>
      </c>
      <c r="H60" s="0" t="str">
        <f aca="false">IF(A60="","",V43_New!EV60)</f>
        <v/>
      </c>
      <c r="I60" s="0" t="str">
        <f aca="false">IF(A60="","",V43_New!EW60)</f>
        <v/>
      </c>
      <c r="J60" s="0" t="str">
        <f aca="false">IF(A60="","",V43_New!EX60)</f>
        <v/>
      </c>
      <c r="K60" s="0" t="str">
        <f aca="false">IF(A60="","",V43_New!EY60)</f>
        <v/>
      </c>
      <c r="L60" s="0" t="str">
        <f aca="false">IF(A60="","",V43_New!EZ60)</f>
        <v/>
      </c>
      <c r="M60" s="0" t="str">
        <f aca="false">IF(A60="","",V43_New!FA60)</f>
        <v/>
      </c>
      <c r="N60" s="0" t="str">
        <f aca="false">IF(A60="","",V43_New!FB60)</f>
        <v/>
      </c>
      <c r="O60" s="0" t="str">
        <f aca="false">IF(A60="","",V43_New!FC60)</f>
        <v/>
      </c>
      <c r="P60" s="0" t="str">
        <f aca="false">IF(A60="","",V43_New!FD60)</f>
        <v/>
      </c>
      <c r="Q60" s="0" t="str">
        <f aca="false">IF(A60="","",V43_New!FE60)</f>
        <v/>
      </c>
      <c r="R60" s="0" t="str">
        <f aca="false">IF(A60="","",V43_New!FF60)</f>
        <v/>
      </c>
      <c r="S60" s="0" t="str">
        <f aca="false">IF(A60="","",V43_New!FG60)</f>
        <v/>
      </c>
      <c r="T60" s="0" t="str">
        <f aca="false">IF(A60="","",V43_New!FH60)</f>
        <v/>
      </c>
      <c r="U60" s="0" t="str">
        <f aca="false">IF(A60="","",V43_New!FI60)</f>
        <v/>
      </c>
      <c r="V60" s="0" t="str">
        <f aca="false">IF(A60="","",V43_New!FJ60)</f>
        <v/>
      </c>
      <c r="W60" s="0" t="str">
        <f aca="false">IF(A60="","",V43_New!FK60)</f>
        <v/>
      </c>
      <c r="X60" s="0" t="str">
        <f aca="false">IF(A60="","",V43_New!FL60)</f>
        <v/>
      </c>
      <c r="Y60" s="0" t="str">
        <f aca="false">IF(A60="","",V43_New!FM60)</f>
        <v/>
      </c>
      <c r="Z60" s="0" t="n">
        <f aca="false">IF(C61&lt;&gt;"",COUNT(C60:N60),0)</f>
        <v>1</v>
      </c>
      <c r="AA60" s="0" t="n">
        <f aca="false">IF(AND(O60="",P60="",Q60="",R60="",S60="",T60="",U60="",V60="",W60="",X60="",Y60=""),0,1)</f>
        <v>0</v>
      </c>
      <c r="AB60" s="15" t="str">
        <f aca="false">IF(OR(Z60&gt;=3,AA60=1),AVERAGE(C60:N60),"")</f>
        <v/>
      </c>
    </row>
    <row r="61" customFormat="false" ht="14.25" hidden="false" customHeight="false" outlineLevel="0" collapsed="false">
      <c r="A61" s="0" t="n">
        <f aca="false">Timestamp_Adjustment!D61</f>
        <v>1777591800</v>
      </c>
      <c r="B61" s="0" t="n">
        <f aca="false">IF(A61="","",V43_New!D61)</f>
        <v>4631.31</v>
      </c>
      <c r="C61" s="0" t="n">
        <f aca="false">IF(A61="","",V43_New!F61)</f>
        <v>4634.14</v>
      </c>
      <c r="D61" s="0" t="str">
        <f aca="false">IF(A61="","",V43_New!ER61)</f>
        <v/>
      </c>
      <c r="E61" s="0" t="str">
        <f aca="false">IF(A61="","",V43_New!ES61)</f>
        <v/>
      </c>
      <c r="F61" s="0" t="str">
        <f aca="false">IF(A61="","",V43_New!ET61)</f>
        <v/>
      </c>
      <c r="G61" s="0" t="str">
        <f aca="false">IF(A61="","",V43_New!EU61)</f>
        <v/>
      </c>
      <c r="H61" s="0" t="str">
        <f aca="false">IF(A61="","",V43_New!EV61)</f>
        <v/>
      </c>
      <c r="I61" s="0" t="str">
        <f aca="false">IF(A61="","",V43_New!EW61)</f>
        <v/>
      </c>
      <c r="J61" s="0" t="str">
        <f aca="false">IF(A61="","",V43_New!EX61)</f>
        <v/>
      </c>
      <c r="K61" s="0" t="str">
        <f aca="false">IF(A61="","",V43_New!EY61)</f>
        <v/>
      </c>
      <c r="L61" s="0" t="str">
        <f aca="false">IF(A61="","",V43_New!EZ61)</f>
        <v/>
      </c>
      <c r="M61" s="0" t="str">
        <f aca="false">IF(A61="","",V43_New!FA61)</f>
        <v/>
      </c>
      <c r="N61" s="0" t="str">
        <f aca="false">IF(A61="","",V43_New!FB61)</f>
        <v/>
      </c>
      <c r="O61" s="0" t="str">
        <f aca="false">IF(A61="","",V43_New!FC61)</f>
        <v/>
      </c>
      <c r="P61" s="0" t="str">
        <f aca="false">IF(A61="","",V43_New!FD61)</f>
        <v/>
      </c>
      <c r="Q61" s="0" t="str">
        <f aca="false">IF(A61="","",V43_New!FE61)</f>
        <v/>
      </c>
      <c r="R61" s="0" t="str">
        <f aca="false">IF(A61="","",V43_New!FF61)</f>
        <v/>
      </c>
      <c r="S61" s="0" t="str">
        <f aca="false">IF(A61="","",V43_New!FG61)</f>
        <v/>
      </c>
      <c r="T61" s="0" t="str">
        <f aca="false">IF(A61="","",V43_New!FH61)</f>
        <v/>
      </c>
      <c r="U61" s="0" t="str">
        <f aca="false">IF(A61="","",V43_New!FI61)</f>
        <v/>
      </c>
      <c r="V61" s="0" t="str">
        <f aca="false">IF(A61="","",V43_New!FJ61)</f>
        <v/>
      </c>
      <c r="W61" s="0" t="str">
        <f aca="false">IF(A61="","",V43_New!FK61)</f>
        <v/>
      </c>
      <c r="X61" s="0" t="str">
        <f aca="false">IF(A61="","",V43_New!FL61)</f>
        <v/>
      </c>
      <c r="Y61" s="0" t="str">
        <f aca="false">IF(A61="","",V43_New!FM61)</f>
        <v/>
      </c>
      <c r="Z61" s="0" t="n">
        <f aca="false">IF(C62&lt;&gt;"",COUNT(C61:N61),0)</f>
        <v>1</v>
      </c>
      <c r="AA61" s="0" t="n">
        <f aca="false">IF(AND(O61="",P61="",Q61="",R61="",S61="",T61="",U61="",V61="",W61="",X61="",Y61=""),0,1)</f>
        <v>0</v>
      </c>
      <c r="AB61" s="15" t="str">
        <f aca="false">IF(OR(Z61&gt;=3,AA61=1),AVERAGE(C61:N61),"")</f>
        <v/>
      </c>
    </row>
    <row r="62" customFormat="false" ht="14.25" hidden="false" customHeight="false" outlineLevel="0" collapsed="false">
      <c r="A62" s="0" t="n">
        <f aca="false">Timestamp_Adjustment!D62</f>
        <v>1777598100</v>
      </c>
      <c r="B62" s="0" t="n">
        <f aca="false">IF(A62="","",V43_New!D62)</f>
        <v>4616.68</v>
      </c>
      <c r="C62" s="0" t="n">
        <f aca="false">IF(A62="","",V43_New!F62)</f>
        <v>4614.27</v>
      </c>
      <c r="D62" s="0" t="str">
        <f aca="false">IF(A62="","",V43_New!ER62)</f>
        <v/>
      </c>
      <c r="E62" s="0" t="str">
        <f aca="false">IF(A62="","",V43_New!ES62)</f>
        <v/>
      </c>
      <c r="F62" s="0" t="str">
        <f aca="false">IF(A62="","",V43_New!ET62)</f>
        <v/>
      </c>
      <c r="G62" s="0" t="str">
        <f aca="false">IF(A62="","",V43_New!EU62)</f>
        <v/>
      </c>
      <c r="H62" s="0" t="str">
        <f aca="false">IF(A62="","",V43_New!EV62)</f>
        <v/>
      </c>
      <c r="I62" s="0" t="str">
        <f aca="false">IF(A62="","",V43_New!EW62)</f>
        <v/>
      </c>
      <c r="J62" s="0" t="str">
        <f aca="false">IF(A62="","",V43_New!EX62)</f>
        <v/>
      </c>
      <c r="K62" s="0" t="str">
        <f aca="false">IF(A62="","",V43_New!EY62)</f>
        <v/>
      </c>
      <c r="L62" s="0" t="str">
        <f aca="false">IF(A62="","",V43_New!EZ62)</f>
        <v/>
      </c>
      <c r="M62" s="0" t="str">
        <f aca="false">IF(A62="","",V43_New!FA62)</f>
        <v/>
      </c>
      <c r="N62" s="0" t="str">
        <f aca="false">IF(A62="","",V43_New!FB62)</f>
        <v/>
      </c>
      <c r="O62" s="0" t="str">
        <f aca="false">IF(A62="","",V43_New!FC62)</f>
        <v/>
      </c>
      <c r="P62" s="0" t="str">
        <f aca="false">IF(A62="","",V43_New!FD62)</f>
        <v/>
      </c>
      <c r="Q62" s="0" t="str">
        <f aca="false">IF(A62="","",V43_New!FE62)</f>
        <v/>
      </c>
      <c r="R62" s="0" t="str">
        <f aca="false">IF(A62="","",V43_New!FF62)</f>
        <v/>
      </c>
      <c r="S62" s="0" t="str">
        <f aca="false">IF(A62="","",V43_New!FG62)</f>
        <v/>
      </c>
      <c r="T62" s="0" t="str">
        <f aca="false">IF(A62="","",V43_New!FH62)</f>
        <v/>
      </c>
      <c r="U62" s="0" t="str">
        <f aca="false">IF(A62="","",V43_New!FI62)</f>
        <v/>
      </c>
      <c r="V62" s="0" t="str">
        <f aca="false">IF(A62="","",V43_New!FJ62)</f>
        <v/>
      </c>
      <c r="W62" s="0" t="str">
        <f aca="false">IF(A62="","",V43_New!FK62)</f>
        <v/>
      </c>
      <c r="X62" s="0" t="str">
        <f aca="false">IF(A62="","",V43_New!FL62)</f>
        <v/>
      </c>
      <c r="Y62" s="0" t="str">
        <f aca="false">IF(A62="","",V43_New!FM62)</f>
        <v/>
      </c>
      <c r="Z62" s="0" t="n">
        <f aca="false">IF(C63&lt;&gt;"",COUNT(C62:N62),0)</f>
        <v>1</v>
      </c>
      <c r="AA62" s="0" t="n">
        <f aca="false">IF(AND(O62="",P62="",Q62="",R62="",S62="",T62="",U62="",V62="",W62="",X62="",Y62=""),0,1)</f>
        <v>0</v>
      </c>
      <c r="AB62" s="15" t="str">
        <f aca="false">IF(OR(Z62&gt;=3,AA62=1),AVERAGE(C62:N62),"")</f>
        <v/>
      </c>
    </row>
    <row r="63" customFormat="false" ht="14.25" hidden="false" customHeight="false" outlineLevel="0" collapsed="false">
      <c r="A63" s="0" t="n">
        <f aca="false">Timestamp_Adjustment!D63</f>
        <v>1777601700</v>
      </c>
      <c r="B63" s="0" t="n">
        <f aca="false">IF(A63="","",V43_New!D63)</f>
        <v>4629.39</v>
      </c>
      <c r="C63" s="0" t="n">
        <f aca="false">IF(A63="","",V43_New!F63)</f>
        <v>4635.83</v>
      </c>
      <c r="D63" s="0" t="str">
        <f aca="false">IF(A63="","",V43_New!ER63)</f>
        <v/>
      </c>
      <c r="E63" s="0" t="n">
        <f aca="false">IF(A63="","",V43_New!ES63)</f>
        <v>4647.1</v>
      </c>
      <c r="F63" s="0" t="str">
        <f aca="false">IF(A63="","",V43_New!ET63)</f>
        <v/>
      </c>
      <c r="G63" s="0" t="str">
        <f aca="false">IF(A63="","",V43_New!EU63)</f>
        <v/>
      </c>
      <c r="H63" s="0" t="str">
        <f aca="false">IF(A63="","",V43_New!EV63)</f>
        <v/>
      </c>
      <c r="I63" s="0" t="str">
        <f aca="false">IF(A63="","",V43_New!EW63)</f>
        <v/>
      </c>
      <c r="J63" s="0" t="str">
        <f aca="false">IF(A63="","",V43_New!EX63)</f>
        <v/>
      </c>
      <c r="K63" s="0" t="str">
        <f aca="false">IF(A63="","",V43_New!EY63)</f>
        <v/>
      </c>
      <c r="L63" s="0" t="str">
        <f aca="false">IF(A63="","",V43_New!EZ63)</f>
        <v/>
      </c>
      <c r="M63" s="0" t="str">
        <f aca="false">IF(A63="","",V43_New!FA63)</f>
        <v/>
      </c>
      <c r="N63" s="0" t="str">
        <f aca="false">IF(A63="","",V43_New!FB63)</f>
        <v/>
      </c>
      <c r="O63" s="0" t="str">
        <f aca="false">IF(A63="","",V43_New!FC63)</f>
        <v/>
      </c>
      <c r="P63" s="0" t="str">
        <f aca="false">IF(A63="","",V43_New!FD63)</f>
        <v>IEQH</v>
      </c>
      <c r="Q63" s="0" t="str">
        <f aca="false">IF(A63="","",V43_New!FE63)</f>
        <v/>
      </c>
      <c r="R63" s="0" t="str">
        <f aca="false">IF(A63="","",V43_New!FF63)</f>
        <v/>
      </c>
      <c r="S63" s="0" t="str">
        <f aca="false">IF(A63="","",V43_New!FG63)</f>
        <v/>
      </c>
      <c r="T63" s="0" t="str">
        <f aca="false">IF(A63="","",V43_New!FH63)</f>
        <v/>
      </c>
      <c r="U63" s="0" t="str">
        <f aca="false">IF(A63="","",V43_New!FI63)</f>
        <v/>
      </c>
      <c r="V63" s="0" t="str">
        <f aca="false">IF(A63="","",V43_New!FJ63)</f>
        <v/>
      </c>
      <c r="W63" s="0" t="str">
        <f aca="false">IF(A63="","",V43_New!FK63)</f>
        <v/>
      </c>
      <c r="X63" s="0" t="str">
        <f aca="false">IF(A63="","",V43_New!FL63)</f>
        <v/>
      </c>
      <c r="Y63" s="0" t="str">
        <f aca="false">IF(A63="","",V43_New!FM63)</f>
        <v/>
      </c>
      <c r="Z63" s="0" t="n">
        <f aca="false">IF(C64&lt;&gt;"",COUNT(C63:N63),0)</f>
        <v>2</v>
      </c>
      <c r="AA63" s="0" t="n">
        <f aca="false">IF(AND(O63="",P63="",Q63="",R63="",S63="",T63="",U63="",V63="",W63="",X63="",Y63=""),0,1)</f>
        <v>1</v>
      </c>
      <c r="AB63" s="15" t="n">
        <f aca="false">IF(OR(Z63&gt;=3,AA63=1),AVERAGE(C63:N63),"")</f>
        <v>4641.465</v>
      </c>
    </row>
    <row r="64" customFormat="false" ht="14.25" hidden="false" customHeight="false" outlineLevel="0" collapsed="false">
      <c r="A64" s="0" t="n">
        <f aca="false">Timestamp_Adjustment!D64</f>
        <v>1777628700</v>
      </c>
      <c r="B64" s="0" t="n">
        <f aca="false">IF(A64="","",V43_New!D64)</f>
        <v>4563.12</v>
      </c>
      <c r="C64" s="0" t="n">
        <f aca="false">IF(A64="","",V43_New!F64)</f>
        <v>4560.44</v>
      </c>
      <c r="D64" s="0" t="str">
        <f aca="false">IF(A64="","",V43_New!ER64)</f>
        <v/>
      </c>
      <c r="E64" s="0" t="str">
        <f aca="false">IF(A64="","",V43_New!ES64)</f>
        <v/>
      </c>
      <c r="F64" s="0" t="str">
        <f aca="false">IF(A64="","",V43_New!ET64)</f>
        <v/>
      </c>
      <c r="G64" s="0" t="str">
        <f aca="false">IF(A64="","",V43_New!EU64)</f>
        <v/>
      </c>
      <c r="H64" s="0" t="str">
        <f aca="false">IF(A64="","",V43_New!EV64)</f>
        <v/>
      </c>
      <c r="I64" s="0" t="str">
        <f aca="false">IF(A64="","",V43_New!EW64)</f>
        <v/>
      </c>
      <c r="J64" s="0" t="str">
        <f aca="false">IF(A64="","",V43_New!EX64)</f>
        <v/>
      </c>
      <c r="K64" s="0" t="n">
        <f aca="false">IF(A64="","",V43_New!EY64)</f>
        <v>4555.12</v>
      </c>
      <c r="L64" s="0" t="str">
        <f aca="false">IF(A64="","",V43_New!EZ64)</f>
        <v/>
      </c>
      <c r="M64" s="0" t="str">
        <f aca="false">IF(A64="","",V43_New!FA64)</f>
        <v/>
      </c>
      <c r="N64" s="0" t="str">
        <f aca="false">IF(A64="","",V43_New!FB64)</f>
        <v/>
      </c>
      <c r="O64" s="0" t="str">
        <f aca="false">IF(A64="","",V43_New!FC64)</f>
        <v/>
      </c>
      <c r="P64" s="0" t="str">
        <f aca="false">IF(A64="","",V43_New!FD64)</f>
        <v/>
      </c>
      <c r="Q64" s="0" t="str">
        <f aca="false">IF(A64="","",V43_New!FE64)</f>
        <v/>
      </c>
      <c r="R64" s="0" t="str">
        <f aca="false">IF(A64="","",V43_New!FF64)</f>
        <v/>
      </c>
      <c r="S64" s="0" t="str">
        <f aca="false">IF(A64="","",V43_New!FG64)</f>
        <v/>
      </c>
      <c r="T64" s="0" t="str">
        <f aca="false">IF(A64="","",V43_New!FH64)</f>
        <v/>
      </c>
      <c r="U64" s="0" t="str">
        <f aca="false">IF(A64="","",V43_New!FI64)</f>
        <v/>
      </c>
      <c r="V64" s="0" t="str">
        <f aca="false">IF(A64="","",V43_New!FJ64)</f>
        <v>IEQL</v>
      </c>
      <c r="W64" s="0" t="str">
        <f aca="false">IF(A64="","",V43_New!FK64)</f>
        <v/>
      </c>
      <c r="X64" s="0" t="str">
        <f aca="false">IF(A64="","",V43_New!FL64)</f>
        <v/>
      </c>
      <c r="Y64" s="0" t="str">
        <f aca="false">IF(A64="","",V43_New!FM64)</f>
        <v/>
      </c>
      <c r="Z64" s="0" t="n">
        <f aca="false">IF(C65&lt;&gt;"",COUNT(C64:N64),0)</f>
        <v>2</v>
      </c>
      <c r="AA64" s="0" t="n">
        <f aca="false">IF(AND(O64="",P64="",Q64="",R64="",S64="",T64="",U64="",V64="",W64="",X64="",Y64=""),0,1)</f>
        <v>1</v>
      </c>
      <c r="AB64" s="15" t="n">
        <f aca="false">IF(OR(Z64&gt;=3,AA64=1),AVERAGE(C64:N64),"")</f>
        <v>4557.78</v>
      </c>
    </row>
    <row r="65" customFormat="false" ht="14.25" hidden="false" customHeight="false" outlineLevel="0" collapsed="false">
      <c r="A65" s="0" t="n">
        <f aca="false">Timestamp_Adjustment!D65</f>
        <v>1777644900</v>
      </c>
      <c r="B65" s="0" t="n">
        <f aca="false">IF(A65="","",V43_New!D65)</f>
        <v>4644.67</v>
      </c>
      <c r="C65" s="0" t="n">
        <f aca="false">IF(A65="","",V43_New!F65)</f>
        <v>4660.32</v>
      </c>
      <c r="D65" s="0" t="str">
        <f aca="false">IF(A65="","",V43_New!ER65)</f>
        <v/>
      </c>
      <c r="E65" s="0" t="str">
        <f aca="false">IF(A65="","",V43_New!ES65)</f>
        <v/>
      </c>
      <c r="F65" s="0" t="str">
        <f aca="false">IF(A65="","",V43_New!ET65)</f>
        <v/>
      </c>
      <c r="G65" s="0" t="str">
        <f aca="false">IF(A65="","",V43_New!EU65)</f>
        <v/>
      </c>
      <c r="H65" s="0" t="str">
        <f aca="false">IF(A65="","",V43_New!EV65)</f>
        <v/>
      </c>
      <c r="I65" s="0" t="str">
        <f aca="false">IF(A65="","",V43_New!EW65)</f>
        <v/>
      </c>
      <c r="J65" s="0" t="str">
        <f aca="false">IF(A65="","",V43_New!EX65)</f>
        <v/>
      </c>
      <c r="K65" s="0" t="str">
        <f aca="false">IF(A65="","",V43_New!EY65)</f>
        <v/>
      </c>
      <c r="L65" s="0" t="str">
        <f aca="false">IF(A65="","",V43_New!EZ65)</f>
        <v/>
      </c>
      <c r="M65" s="0" t="str">
        <f aca="false">IF(A65="","",V43_New!FA65)</f>
        <v/>
      </c>
      <c r="N65" s="0" t="str">
        <f aca="false">IF(A65="","",V43_New!FB65)</f>
        <v/>
      </c>
      <c r="O65" s="0" t="str">
        <f aca="false">IF(A65="","",V43_New!FC65)</f>
        <v/>
      </c>
      <c r="P65" s="0" t="str">
        <f aca="false">IF(A65="","",V43_New!FD65)</f>
        <v/>
      </c>
      <c r="Q65" s="0" t="str">
        <f aca="false">IF(A65="","",V43_New!FE65)</f>
        <v/>
      </c>
      <c r="R65" s="0" t="str">
        <f aca="false">IF(A65="","",V43_New!FF65)</f>
        <v/>
      </c>
      <c r="S65" s="0" t="str">
        <f aca="false">IF(A65="","",V43_New!FG65)</f>
        <v/>
      </c>
      <c r="T65" s="0" t="str">
        <f aca="false">IF(A65="","",V43_New!FH65)</f>
        <v/>
      </c>
      <c r="U65" s="0" t="str">
        <f aca="false">IF(A65="","",V43_New!FI65)</f>
        <v/>
      </c>
      <c r="V65" s="0" t="str">
        <f aca="false">IF(A65="","",V43_New!FJ65)</f>
        <v/>
      </c>
      <c r="W65" s="0" t="str">
        <f aca="false">IF(A65="","",V43_New!FK65)</f>
        <v/>
      </c>
      <c r="X65" s="0" t="str">
        <f aca="false">IF(A65="","",V43_New!FL65)</f>
        <v/>
      </c>
      <c r="Y65" s="0" t="str">
        <f aca="false">IF(A65="","",V43_New!FM65)</f>
        <v/>
      </c>
      <c r="Z65" s="0" t="n">
        <f aca="false">IF(C66&lt;&gt;"",COUNT(C65:N65),0)</f>
        <v>1</v>
      </c>
      <c r="AA65" s="0" t="n">
        <f aca="false">IF(AND(O65="",P65="",Q65="",R65="",S65="",T65="",U65="",V65="",W65="",X65="",Y65=""),0,1)</f>
        <v>0</v>
      </c>
      <c r="AB65" s="15" t="str">
        <f aca="false">IF(OR(Z65&gt;=3,AA65=1),AVERAGE(C65:N65),"")</f>
        <v/>
      </c>
    </row>
    <row r="66" customFormat="false" ht="14.25" hidden="false" customHeight="false" outlineLevel="0" collapsed="false">
      <c r="A66" s="0" t="n">
        <f aca="false">Timestamp_Adjustment!D66</f>
        <v>1777665600</v>
      </c>
      <c r="B66" s="0" t="n">
        <f aca="false">IF(A66="","",V43_New!D66)</f>
        <v>4611.41</v>
      </c>
      <c r="C66" s="0" t="n">
        <f aca="false">IF(A66="","",V43_New!F66)</f>
        <v>4607.09</v>
      </c>
      <c r="D66" s="0" t="str">
        <f aca="false">IF(A66="","",V43_New!ER66)</f>
        <v/>
      </c>
      <c r="E66" s="0" t="str">
        <f aca="false">IF(A66="","",V43_New!ES66)</f>
        <v/>
      </c>
      <c r="F66" s="0" t="str">
        <f aca="false">IF(A66="","",V43_New!ET66)</f>
        <v/>
      </c>
      <c r="G66" s="0" t="str">
        <f aca="false">IF(A66="","",V43_New!EU66)</f>
        <v/>
      </c>
      <c r="H66" s="0" t="str">
        <f aca="false">IF(A66="","",V43_New!EV66)</f>
        <v/>
      </c>
      <c r="I66" s="0" t="str">
        <f aca="false">IF(A66="","",V43_New!EW66)</f>
        <v/>
      </c>
      <c r="J66" s="0" t="str">
        <f aca="false">IF(A66="","",V43_New!EX66)</f>
        <v/>
      </c>
      <c r="K66" s="0" t="str">
        <f aca="false">IF(A66="","",V43_New!EY66)</f>
        <v/>
      </c>
      <c r="L66" s="0" t="str">
        <f aca="false">IF(A66="","",V43_New!EZ66)</f>
        <v/>
      </c>
      <c r="M66" s="0" t="str">
        <f aca="false">IF(A66="","",V43_New!FA66)</f>
        <v/>
      </c>
      <c r="N66" s="0" t="str">
        <f aca="false">IF(A66="","",V43_New!FB66)</f>
        <v/>
      </c>
      <c r="O66" s="0" t="str">
        <f aca="false">IF(A66="","",V43_New!FC66)</f>
        <v/>
      </c>
      <c r="P66" s="0" t="str">
        <f aca="false">IF(A66="","",V43_New!FD66)</f>
        <v/>
      </c>
      <c r="Q66" s="0" t="str">
        <f aca="false">IF(A66="","",V43_New!FE66)</f>
        <v/>
      </c>
      <c r="R66" s="0" t="str">
        <f aca="false">IF(A66="","",V43_New!FF66)</f>
        <v/>
      </c>
      <c r="S66" s="0" t="str">
        <f aca="false">IF(A66="","",V43_New!FG66)</f>
        <v/>
      </c>
      <c r="T66" s="0" t="str">
        <f aca="false">IF(A66="","",V43_New!FH66)</f>
        <v/>
      </c>
      <c r="U66" s="0" t="str">
        <f aca="false">IF(A66="","",V43_New!FI66)</f>
        <v/>
      </c>
      <c r="V66" s="0" t="str">
        <f aca="false">IF(A66="","",V43_New!FJ66)</f>
        <v/>
      </c>
      <c r="W66" s="0" t="str">
        <f aca="false">IF(A66="","",V43_New!FK66)</f>
        <v/>
      </c>
      <c r="X66" s="0" t="str">
        <f aca="false">IF(A66="","",V43_New!FL66)</f>
        <v/>
      </c>
      <c r="Y66" s="0" t="str">
        <f aca="false">IF(A66="","",V43_New!FM66)</f>
        <v/>
      </c>
      <c r="Z66" s="0" t="n">
        <f aca="false">IF(C67&lt;&gt;"",COUNT(C66:N66),0)</f>
        <v>1</v>
      </c>
      <c r="AA66" s="0" t="n">
        <f aca="false">IF(AND(O66="",P66="",Q66="",R66="",S66="",T66="",U66="",V66="",W66="",X66="",Y66=""),0,1)</f>
        <v>0</v>
      </c>
      <c r="AB66" s="15" t="str">
        <f aca="false">IF(OR(Z66&gt;=3,AA66=1),AVERAGE(C66:N66),"")</f>
        <v/>
      </c>
    </row>
    <row r="67" customFormat="false" ht="14.25" hidden="false" customHeight="false" outlineLevel="0" collapsed="false">
      <c r="A67" s="0" t="n">
        <f aca="false">Timestamp_Adjustment!D67</f>
        <v>1777845600</v>
      </c>
      <c r="B67" s="0" t="n">
        <f aca="false">IF(A67="","",V43_New!D67)</f>
        <v>4623.11</v>
      </c>
      <c r="C67" s="0" t="n">
        <f aca="false">IF(A67="","",V43_New!F67)</f>
        <v>4632.11</v>
      </c>
      <c r="D67" s="0" t="str">
        <f aca="false">IF(A67="","",V43_New!ER67)</f>
        <v/>
      </c>
      <c r="E67" s="0" t="n">
        <f aca="false">IF(A67="","",V43_New!ES67)</f>
        <v>4635.83</v>
      </c>
      <c r="F67" s="0" t="str">
        <f aca="false">IF(A67="","",V43_New!ET67)</f>
        <v/>
      </c>
      <c r="G67" s="0" t="str">
        <f aca="false">IF(A67="","",V43_New!EU67)</f>
        <v/>
      </c>
      <c r="H67" s="0" t="str">
        <f aca="false">IF(A67="","",V43_New!EV67)</f>
        <v/>
      </c>
      <c r="I67" s="0" t="str">
        <f aca="false">IF(A67="","",V43_New!EW67)</f>
        <v/>
      </c>
      <c r="J67" s="0" t="str">
        <f aca="false">IF(A67="","",V43_New!EX67)</f>
        <v/>
      </c>
      <c r="K67" s="0" t="str">
        <f aca="false">IF(A67="","",V43_New!EY67)</f>
        <v/>
      </c>
      <c r="L67" s="0" t="str">
        <f aca="false">IF(A67="","",V43_New!EZ67)</f>
        <v/>
      </c>
      <c r="M67" s="0" t="str">
        <f aca="false">IF(A67="","",V43_New!FA67)</f>
        <v/>
      </c>
      <c r="N67" s="0" t="str">
        <f aca="false">IF(A67="","",V43_New!FB67)</f>
        <v/>
      </c>
      <c r="O67" s="0" t="str">
        <f aca="false">IF(A67="","",V43_New!FC67)</f>
        <v/>
      </c>
      <c r="P67" s="0" t="str">
        <f aca="false">IF(A67="","",V43_New!FD67)</f>
        <v/>
      </c>
      <c r="Q67" s="0" t="str">
        <f aca="false">IF(A67="","",V43_New!FE67)</f>
        <v/>
      </c>
      <c r="R67" s="0" t="str">
        <f aca="false">IF(A67="","",V43_New!FF67)</f>
        <v/>
      </c>
      <c r="S67" s="0" t="str">
        <f aca="false">IF(A67="","",V43_New!FG67)</f>
        <v/>
      </c>
      <c r="T67" s="0" t="str">
        <f aca="false">IF(A67="","",V43_New!FH67)</f>
        <v/>
      </c>
      <c r="U67" s="0" t="str">
        <f aca="false">IF(A67="","",V43_New!FI67)</f>
        <v/>
      </c>
      <c r="V67" s="0" t="str">
        <f aca="false">IF(A67="","",V43_New!FJ67)</f>
        <v/>
      </c>
      <c r="W67" s="0" t="str">
        <f aca="false">IF(A67="","",V43_New!FK67)</f>
        <v/>
      </c>
      <c r="X67" s="0" t="str">
        <f aca="false">IF(A67="","",V43_New!FL67)</f>
        <v/>
      </c>
      <c r="Y67" s="0" t="str">
        <f aca="false">IF(A67="","",V43_New!FM67)</f>
        <v/>
      </c>
      <c r="Z67" s="0" t="n">
        <f aca="false">IF(C68&lt;&gt;"",COUNT(C67:N67),0)</f>
        <v>2</v>
      </c>
      <c r="AA67" s="0" t="n">
        <f aca="false">IF(AND(O67="",P67="",Q67="",R67="",S67="",T67="",U67="",V67="",W67="",X67="",Y67=""),0,1)</f>
        <v>0</v>
      </c>
      <c r="AB67" s="15" t="str">
        <f aca="false">IF(OR(Z67&gt;=3,AA67=1),AVERAGE(C67:N67),"")</f>
        <v/>
      </c>
    </row>
    <row r="68" customFormat="false" ht="14.25" hidden="false" customHeight="false" outlineLevel="0" collapsed="false">
      <c r="A68" s="0" t="n">
        <f aca="false">Timestamp_Adjustment!D68</f>
        <v>1777858200</v>
      </c>
      <c r="B68" s="0" t="n">
        <f aca="false">IF(A68="","",V43_New!D68)</f>
        <v>4601.59</v>
      </c>
      <c r="C68" s="0" t="n">
        <f aca="false">IF(A68="","",V43_New!F68)</f>
        <v>4592.93</v>
      </c>
      <c r="D68" s="0" t="str">
        <f aca="false">IF(A68="","",V43_New!ER68)</f>
        <v/>
      </c>
      <c r="E68" s="0" t="str">
        <f aca="false">IF(A68="","",V43_New!ES68)</f>
        <v/>
      </c>
      <c r="F68" s="0" t="str">
        <f aca="false">IF(A68="","",V43_New!ET68)</f>
        <v/>
      </c>
      <c r="G68" s="0" t="str">
        <f aca="false">IF(A68="","",V43_New!EU68)</f>
        <v/>
      </c>
      <c r="H68" s="0" t="str">
        <f aca="false">IF(A68="","",V43_New!EV68)</f>
        <v/>
      </c>
      <c r="I68" s="0" t="str">
        <f aca="false">IF(A68="","",V43_New!EW68)</f>
        <v/>
      </c>
      <c r="J68" s="0" t="str">
        <f aca="false">IF(A68="","",V43_New!EX68)</f>
        <v/>
      </c>
      <c r="K68" s="0" t="str">
        <f aca="false">IF(A68="","",V43_New!EY68)</f>
        <v/>
      </c>
      <c r="L68" s="0" t="str">
        <f aca="false">IF(A68="","",V43_New!EZ68)</f>
        <v/>
      </c>
      <c r="M68" s="0" t="str">
        <f aca="false">IF(A68="","",V43_New!FA68)</f>
        <v/>
      </c>
      <c r="N68" s="0" t="str">
        <f aca="false">IF(A68="","",V43_New!FB68)</f>
        <v/>
      </c>
      <c r="O68" s="0" t="str">
        <f aca="false">IF(A68="","",V43_New!FC68)</f>
        <v/>
      </c>
      <c r="P68" s="0" t="str">
        <f aca="false">IF(A68="","",V43_New!FD68)</f>
        <v/>
      </c>
      <c r="Q68" s="0" t="str">
        <f aca="false">IF(A68="","",V43_New!FE68)</f>
        <v/>
      </c>
      <c r="R68" s="0" t="str">
        <f aca="false">IF(A68="","",V43_New!FF68)</f>
        <v/>
      </c>
      <c r="S68" s="0" t="str">
        <f aca="false">IF(A68="","",V43_New!FG68)</f>
        <v/>
      </c>
      <c r="T68" s="0" t="str">
        <f aca="false">IF(A68="","",V43_New!FH68)</f>
        <v/>
      </c>
      <c r="U68" s="0" t="str">
        <f aca="false">IF(A68="","",V43_New!FI68)</f>
        <v/>
      </c>
      <c r="V68" s="0" t="str">
        <f aca="false">IF(A68="","",V43_New!FJ68)</f>
        <v/>
      </c>
      <c r="W68" s="0" t="str">
        <f aca="false">IF(A68="","",V43_New!FK68)</f>
        <v/>
      </c>
      <c r="X68" s="0" t="str">
        <f aca="false">IF(A68="","",V43_New!FL68)</f>
        <v/>
      </c>
      <c r="Y68" s="0" t="str">
        <f aca="false">IF(A68="","",V43_New!FM68)</f>
        <v/>
      </c>
      <c r="Z68" s="0" t="n">
        <f aca="false">IF(C69&lt;&gt;"",COUNT(C68:N68),0)</f>
        <v>1</v>
      </c>
      <c r="AA68" s="0" t="n">
        <f aca="false">IF(AND(O68="",P68="",Q68="",R68="",S68="",T68="",U68="",V68="",W68="",X68="",Y68=""),0,1)</f>
        <v>0</v>
      </c>
      <c r="AB68" s="15" t="str">
        <f aca="false">IF(OR(Z68&gt;=3,AA68=1),AVERAGE(C68:N68),"")</f>
        <v/>
      </c>
    </row>
    <row r="69" customFormat="false" ht="14.25" hidden="false" customHeight="false" outlineLevel="0" collapsed="false">
      <c r="A69" s="0" t="n">
        <f aca="false">Timestamp_Adjustment!D69</f>
        <v>1777860000</v>
      </c>
      <c r="B69" s="0" t="n">
        <f aca="false">IF(A69="","",V43_New!D69)</f>
        <v>4608.34</v>
      </c>
      <c r="C69" s="0" t="n">
        <f aca="false">IF(A69="","",V43_New!F69)</f>
        <v>4618.59</v>
      </c>
      <c r="D69" s="0" t="str">
        <f aca="false">IF(A69="","",V43_New!ER69)</f>
        <v/>
      </c>
      <c r="E69" s="0" t="str">
        <f aca="false">IF(A69="","",V43_New!ES69)</f>
        <v/>
      </c>
      <c r="F69" s="0" t="str">
        <f aca="false">IF(A69="","",V43_New!ET69)</f>
        <v/>
      </c>
      <c r="G69" s="0" t="str">
        <f aca="false">IF(A69="","",V43_New!EU69)</f>
        <v/>
      </c>
      <c r="H69" s="0" t="str">
        <f aca="false">IF(A69="","",V43_New!EV69)</f>
        <v/>
      </c>
      <c r="I69" s="0" t="str">
        <f aca="false">IF(A69="","",V43_New!EW69)</f>
        <v/>
      </c>
      <c r="J69" s="0" t="str">
        <f aca="false">IF(A69="","",V43_New!EX69)</f>
        <v/>
      </c>
      <c r="K69" s="0" t="str">
        <f aca="false">IF(A69="","",V43_New!EY69)</f>
        <v/>
      </c>
      <c r="L69" s="0" t="n">
        <f aca="false">IF(A69="","",V43_New!EZ69)</f>
        <v>4610.15</v>
      </c>
      <c r="M69" s="0" t="str">
        <f aca="false">IF(A69="","",V43_New!FA69)</f>
        <v/>
      </c>
      <c r="N69" s="0" t="str">
        <f aca="false">IF(A69="","",V43_New!FB69)</f>
        <v/>
      </c>
      <c r="O69" s="0" t="str">
        <f aca="false">IF(A69="","",V43_New!FC69)</f>
        <v/>
      </c>
      <c r="P69" s="0" t="str">
        <f aca="false">IF(A69="","",V43_New!FD69)</f>
        <v/>
      </c>
      <c r="Q69" s="0" t="str">
        <f aca="false">IF(A69="","",V43_New!FE69)</f>
        <v/>
      </c>
      <c r="R69" s="0" t="str">
        <f aca="false">IF(A69="","",V43_New!FF69)</f>
        <v/>
      </c>
      <c r="S69" s="0" t="str">
        <f aca="false">IF(A69="","",V43_New!FG69)</f>
        <v/>
      </c>
      <c r="T69" s="0" t="str">
        <f aca="false">IF(A69="","",V43_New!FH69)</f>
        <v/>
      </c>
      <c r="U69" s="0" t="str">
        <f aca="false">IF(A69="","",V43_New!FI69)</f>
        <v/>
      </c>
      <c r="V69" s="0" t="str">
        <f aca="false">IF(A69="","",V43_New!FJ69)</f>
        <v/>
      </c>
      <c r="W69" s="0" t="str">
        <f aca="false">IF(A69="","",V43_New!FK69)</f>
        <v/>
      </c>
      <c r="X69" s="0" t="str">
        <f aca="false">IF(A69="","",V43_New!FL69)</f>
        <v/>
      </c>
      <c r="Y69" s="0" t="str">
        <f aca="false">IF(A69="","",V43_New!FM69)</f>
        <v/>
      </c>
      <c r="Z69" s="0" t="n">
        <f aca="false">IF(C70&lt;&gt;"",COUNT(C69:N69),0)</f>
        <v>2</v>
      </c>
      <c r="AA69" s="0" t="n">
        <f aca="false">IF(AND(O69="",P69="",Q69="",R69="",S69="",T69="",U69="",V69="",W69="",X69="",Y69=""),0,1)</f>
        <v>0</v>
      </c>
      <c r="AB69" s="15" t="str">
        <f aca="false">IF(OR(Z69&gt;=3,AA69=1),AVERAGE(C69:N69),"")</f>
        <v/>
      </c>
    </row>
    <row r="70" customFormat="false" ht="14.25" hidden="false" customHeight="false" outlineLevel="0" collapsed="false">
      <c r="A70" s="0" t="n">
        <f aca="false">Timestamp_Adjustment!D70</f>
        <v>1777889700</v>
      </c>
      <c r="B70" s="0" t="n">
        <f aca="false">IF(A70="","",V43_New!D70)</f>
        <v>4545</v>
      </c>
      <c r="C70" s="0" t="n">
        <f aca="false">IF(A70="","",V43_New!F70)</f>
        <v>4526.4</v>
      </c>
      <c r="D70" s="0" t="str">
        <f aca="false">IF(A70="","",V43_New!ER70)</f>
        <v/>
      </c>
      <c r="E70" s="0" t="str">
        <f aca="false">IF(A70="","",V43_New!ES70)</f>
        <v/>
      </c>
      <c r="F70" s="0" t="str">
        <f aca="false">IF(A70="","",V43_New!ET70)</f>
        <v/>
      </c>
      <c r="G70" s="0" t="str">
        <f aca="false">IF(A70="","",V43_New!EU70)</f>
        <v/>
      </c>
      <c r="H70" s="0" t="str">
        <f aca="false">IF(A70="","",V43_New!EV70)</f>
        <v/>
      </c>
      <c r="I70" s="0" t="str">
        <f aca="false">IF(A70="","",V43_New!EW70)</f>
        <v/>
      </c>
      <c r="J70" s="0" t="str">
        <f aca="false">IF(A70="","",V43_New!EX70)</f>
        <v/>
      </c>
      <c r="K70" s="0" t="str">
        <f aca="false">IF(A70="","",V43_New!EY70)</f>
        <v/>
      </c>
      <c r="L70" s="0" t="str">
        <f aca="false">IF(A70="","",V43_New!EZ70)</f>
        <v/>
      </c>
      <c r="M70" s="0" t="str">
        <f aca="false">IF(A70="","",V43_New!FA70)</f>
        <v/>
      </c>
      <c r="N70" s="0" t="str">
        <f aca="false">IF(A70="","",V43_New!FB70)</f>
        <v/>
      </c>
      <c r="O70" s="0" t="str">
        <f aca="false">IF(A70="","",V43_New!FC70)</f>
        <v/>
      </c>
      <c r="P70" s="0" t="str">
        <f aca="false">IF(A70="","",V43_New!FD70)</f>
        <v/>
      </c>
      <c r="Q70" s="0" t="str">
        <f aca="false">IF(A70="","",V43_New!FE70)</f>
        <v/>
      </c>
      <c r="R70" s="0" t="str">
        <f aca="false">IF(A70="","",V43_New!FF70)</f>
        <v/>
      </c>
      <c r="S70" s="0" t="str">
        <f aca="false">IF(A70="","",V43_New!FG70)</f>
        <v/>
      </c>
      <c r="T70" s="0" t="str">
        <f aca="false">IF(A70="","",V43_New!FH70)</f>
        <v/>
      </c>
      <c r="U70" s="0" t="str">
        <f aca="false">IF(A70="","",V43_New!FI70)</f>
        <v/>
      </c>
      <c r="V70" s="0" t="str">
        <f aca="false">IF(A70="","",V43_New!FJ70)</f>
        <v/>
      </c>
      <c r="W70" s="0" t="str">
        <f aca="false">IF(A70="","",V43_New!FK70)</f>
        <v/>
      </c>
      <c r="X70" s="0" t="str">
        <f aca="false">IF(A70="","",V43_New!FL70)</f>
        <v/>
      </c>
      <c r="Y70" s="0" t="str">
        <f aca="false">IF(A70="","",V43_New!FM70)</f>
        <v/>
      </c>
      <c r="Z70" s="0" t="n">
        <f aca="false">IF(C71&lt;&gt;"",COUNT(C70:N70),0)</f>
        <v>1</v>
      </c>
      <c r="AA70" s="0" t="n">
        <f aca="false">IF(AND(O70="",P70="",Q70="",R70="",S70="",T70="",U70="",V70="",W70="",X70="",Y70=""),0,1)</f>
        <v>0</v>
      </c>
      <c r="AB70" s="15" t="str">
        <f aca="false">IF(OR(Z70&gt;=3,AA70=1),AVERAGE(C70:N70),"")</f>
        <v/>
      </c>
    </row>
    <row r="71" customFormat="false" ht="14.25" hidden="false" customHeight="false" outlineLevel="0" collapsed="false">
      <c r="A71" s="0" t="n">
        <f aca="false">Timestamp_Adjustment!D71</f>
        <v>1777905000</v>
      </c>
      <c r="B71" s="0" t="n">
        <f aca="false">IF(A71="","",V43_New!D71)</f>
        <v>4574.38</v>
      </c>
      <c r="C71" s="0" t="n">
        <f aca="false">IF(A71="","",V43_New!F71)</f>
        <v>4583.16</v>
      </c>
      <c r="D71" s="0" t="str">
        <f aca="false">IF(A71="","",V43_New!ER71)</f>
        <v/>
      </c>
      <c r="E71" s="0" t="str">
        <f aca="false">IF(A71="","",V43_New!ES71)</f>
        <v/>
      </c>
      <c r="F71" s="0" t="str">
        <f aca="false">IF(A71="","",V43_New!ET71)</f>
        <v/>
      </c>
      <c r="G71" s="0" t="str">
        <f aca="false">IF(A71="","",V43_New!EU71)</f>
        <v/>
      </c>
      <c r="H71" s="0" t="str">
        <f aca="false">IF(A71="","",V43_New!EV71)</f>
        <v/>
      </c>
      <c r="I71" s="0" t="str">
        <f aca="false">IF(A71="","",V43_New!EW71)</f>
        <v/>
      </c>
      <c r="J71" s="0" t="n">
        <f aca="false">IF(A71="","",V43_New!EX71)</f>
        <v>4582.32</v>
      </c>
      <c r="K71" s="0" t="str">
        <f aca="false">IF(A71="","",V43_New!EY71)</f>
        <v/>
      </c>
      <c r="L71" s="0" t="str">
        <f aca="false">IF(A71="","",V43_New!EZ71)</f>
        <v/>
      </c>
      <c r="M71" s="0" t="str">
        <f aca="false">IF(A71="","",V43_New!FA71)</f>
        <v/>
      </c>
      <c r="N71" s="0" t="str">
        <f aca="false">IF(A71="","",V43_New!FB71)</f>
        <v/>
      </c>
      <c r="O71" s="0" t="str">
        <f aca="false">IF(A71="","",V43_New!FC71)</f>
        <v/>
      </c>
      <c r="P71" s="0" t="str">
        <f aca="false">IF(A71="","",V43_New!FD71)</f>
        <v/>
      </c>
      <c r="Q71" s="0" t="str">
        <f aca="false">IF(A71="","",V43_New!FE71)</f>
        <v/>
      </c>
      <c r="R71" s="0" t="str">
        <f aca="false">IF(A71="","",V43_New!FF71)</f>
        <v/>
      </c>
      <c r="S71" s="0" t="str">
        <f aca="false">IF(A71="","",V43_New!FG71)</f>
        <v/>
      </c>
      <c r="T71" s="0" t="str">
        <f aca="false">IF(A71="","",V43_New!FH71)</f>
        <v/>
      </c>
      <c r="U71" s="0" t="str">
        <f aca="false">IF(A71="","",V43_New!FI71)</f>
        <v/>
      </c>
      <c r="V71" s="0" t="str">
        <f aca="false">IF(A71="","",V43_New!FJ71)</f>
        <v/>
      </c>
      <c r="W71" s="0" t="str">
        <f aca="false">IF(A71="","",V43_New!FK71)</f>
        <v/>
      </c>
      <c r="X71" s="0" t="str">
        <f aca="false">IF(A71="","",V43_New!FL71)</f>
        <v/>
      </c>
      <c r="Y71" s="0" t="str">
        <f aca="false">IF(A71="","",V43_New!FM71)</f>
        <v/>
      </c>
      <c r="Z71" s="0" t="n">
        <f aca="false">IF(C72&lt;&gt;"",COUNT(C71:N71),0)</f>
        <v>2</v>
      </c>
      <c r="AA71" s="0" t="n">
        <f aca="false">IF(AND(O71="",P71="",Q71="",R71="",S71="",T71="",U71="",V71="",W71="",X71="",Y71=""),0,1)</f>
        <v>0</v>
      </c>
      <c r="AB71" s="15" t="str">
        <f aca="false">IF(OR(Z71&gt;=3,AA71=1),AVERAGE(C71:N71),"")</f>
        <v/>
      </c>
    </row>
    <row r="72" customFormat="false" ht="14.25" hidden="false" customHeight="false" outlineLevel="0" collapsed="false">
      <c r="A72" s="0" t="n">
        <f aca="false">Timestamp_Adjustment!D72</f>
        <v>1777910400</v>
      </c>
      <c r="B72" s="0" t="n">
        <f aca="false">IF(A72="","",V43_New!D72)</f>
        <v>4509.88</v>
      </c>
      <c r="C72" s="0" t="n">
        <f aca="false">IF(A72="","",V43_New!F72)</f>
        <v>4500.86</v>
      </c>
      <c r="D72" s="0" t="str">
        <f aca="false">IF(A72="","",V43_New!ER72)</f>
        <v/>
      </c>
      <c r="E72" s="0" t="str">
        <f aca="false">IF(A72="","",V43_New!ES72)</f>
        <v/>
      </c>
      <c r="F72" s="0" t="str">
        <f aca="false">IF(A72="","",V43_New!ET72)</f>
        <v/>
      </c>
      <c r="G72" s="0" t="str">
        <f aca="false">IF(A72="","",V43_New!EU72)</f>
        <v/>
      </c>
      <c r="H72" s="0" t="str">
        <f aca="false">IF(A72="","",V43_New!EV72)</f>
        <v/>
      </c>
      <c r="I72" s="0" t="str">
        <f aca="false">IF(A72="","",V43_New!EW72)</f>
        <v/>
      </c>
      <c r="J72" s="0" t="str">
        <f aca="false">IF(A72="","",V43_New!EX72)</f>
        <v/>
      </c>
      <c r="K72" s="0" t="str">
        <f aca="false">IF(A72="","",V43_New!EY72)</f>
        <v/>
      </c>
      <c r="L72" s="0" t="n">
        <f aca="false">IF(A72="","",V43_New!EZ72)</f>
        <v>4510.28</v>
      </c>
      <c r="M72" s="0" t="str">
        <f aca="false">IF(A72="","",V43_New!FA72)</f>
        <v/>
      </c>
      <c r="N72" s="0" t="str">
        <f aca="false">IF(A72="","",V43_New!FB72)</f>
        <v/>
      </c>
      <c r="O72" s="0" t="str">
        <f aca="false">IF(A72="","",V43_New!FC72)</f>
        <v/>
      </c>
      <c r="P72" s="0" t="str">
        <f aca="false">IF(A72="","",V43_New!FD72)</f>
        <v/>
      </c>
      <c r="Q72" s="0" t="str">
        <f aca="false">IF(A72="","",V43_New!FE72)</f>
        <v/>
      </c>
      <c r="R72" s="0" t="str">
        <f aca="false">IF(A72="","",V43_New!FF72)</f>
        <v/>
      </c>
      <c r="S72" s="0" t="str">
        <f aca="false">IF(A72="","",V43_New!FG72)</f>
        <v/>
      </c>
      <c r="T72" s="0" t="str">
        <f aca="false">IF(A72="","",V43_New!FH72)</f>
        <v/>
      </c>
      <c r="U72" s="0" t="str">
        <f aca="false">IF(A72="","",V43_New!FI72)</f>
        <v/>
      </c>
      <c r="V72" s="0" t="str">
        <f aca="false">IF(A72="","",V43_New!FJ72)</f>
        <v/>
      </c>
      <c r="W72" s="0" t="str">
        <f aca="false">IF(A72="","",V43_New!FK72)</f>
        <v>IEQL</v>
      </c>
      <c r="X72" s="0" t="str">
        <f aca="false">IF(A72="","",V43_New!FL72)</f>
        <v/>
      </c>
      <c r="Y72" s="0" t="str">
        <f aca="false">IF(A72="","",V43_New!FM72)</f>
        <v/>
      </c>
      <c r="Z72" s="0" t="n">
        <f aca="false">IF(C73&lt;&gt;"",COUNT(C72:N72),0)</f>
        <v>2</v>
      </c>
      <c r="AA72" s="0" t="n">
        <f aca="false">IF(AND(O72="",P72="",Q72="",R72="",S72="",T72="",U72="",V72="",W72="",X72="",Y72=""),0,1)</f>
        <v>1</v>
      </c>
      <c r="AB72" s="15" t="n">
        <f aca="false">IF(OR(Z72&gt;=3,AA72=1),AVERAGE(C72:N72),"")</f>
        <v>4505.57</v>
      </c>
    </row>
    <row r="73" customFormat="false" ht="14.25" hidden="false" customHeight="false" outlineLevel="0" collapsed="false">
      <c r="A73" s="0" t="n">
        <f aca="false">Timestamp_Adjustment!D73</f>
        <v>1777939200</v>
      </c>
      <c r="B73" s="0" t="n">
        <f aca="false">IF(A73="","",V43_New!D73)</f>
        <v>4527.77</v>
      </c>
      <c r="C73" s="0" t="n">
        <f aca="false">IF(A73="","",V43_New!F73)</f>
        <v>4528.57</v>
      </c>
      <c r="D73" s="0" t="str">
        <f aca="false">IF(A73="","",V43_New!ER73)</f>
        <v/>
      </c>
      <c r="E73" s="0" t="str">
        <f aca="false">IF(A73="","",V43_New!ES73)</f>
        <v/>
      </c>
      <c r="F73" s="0" t="str">
        <f aca="false">IF(A73="","",V43_New!ET73)</f>
        <v/>
      </c>
      <c r="G73" s="0" t="str">
        <f aca="false">IF(A73="","",V43_New!EU73)</f>
        <v/>
      </c>
      <c r="H73" s="0" t="str">
        <f aca="false">IF(A73="","",V43_New!EV73)</f>
        <v/>
      </c>
      <c r="I73" s="0" t="str">
        <f aca="false">IF(A73="","",V43_New!EW73)</f>
        <v/>
      </c>
      <c r="J73" s="0" t="str">
        <f aca="false">IF(A73="","",V43_New!EX73)</f>
        <v/>
      </c>
      <c r="K73" s="0" t="str">
        <f aca="false">IF(A73="","",V43_New!EY73)</f>
        <v/>
      </c>
      <c r="L73" s="0" t="str">
        <f aca="false">IF(A73="","",V43_New!EZ73)</f>
        <v/>
      </c>
      <c r="M73" s="0" t="str">
        <f aca="false">IF(A73="","",V43_New!FA73)</f>
        <v/>
      </c>
      <c r="N73" s="0" t="str">
        <f aca="false">IF(A73="","",V43_New!FB73)</f>
        <v/>
      </c>
      <c r="O73" s="0" t="str">
        <f aca="false">IF(A73="","",V43_New!FC73)</f>
        <v/>
      </c>
      <c r="P73" s="0" t="str">
        <f aca="false">IF(A73="","",V43_New!FD73)</f>
        <v/>
      </c>
      <c r="Q73" s="0" t="str">
        <f aca="false">IF(A73="","",V43_New!FE73)</f>
        <v/>
      </c>
      <c r="R73" s="0" t="str">
        <f aca="false">IF(A73="","",V43_New!FF73)</f>
        <v/>
      </c>
      <c r="S73" s="0" t="str">
        <f aca="false">IF(A73="","",V43_New!FG73)</f>
        <v/>
      </c>
      <c r="T73" s="0" t="str">
        <f aca="false">IF(A73="","",V43_New!FH73)</f>
        <v/>
      </c>
      <c r="U73" s="0" t="str">
        <f aca="false">IF(A73="","",V43_New!FI73)</f>
        <v/>
      </c>
      <c r="V73" s="0" t="str">
        <f aca="false">IF(A73="","",V43_New!FJ73)</f>
        <v/>
      </c>
      <c r="W73" s="0" t="str">
        <f aca="false">IF(A73="","",V43_New!FK73)</f>
        <v/>
      </c>
      <c r="X73" s="0" t="str">
        <f aca="false">IF(A73="","",V43_New!FL73)</f>
        <v/>
      </c>
      <c r="Y73" s="0" t="str">
        <f aca="false">IF(A73="","",V43_New!FM73)</f>
        <v/>
      </c>
      <c r="Z73" s="0" t="n">
        <f aca="false">IF(C74&lt;&gt;"",COUNT(C73:N73),0)</f>
        <v>1</v>
      </c>
      <c r="AA73" s="0" t="n">
        <f aca="false">IF(AND(O73="",P73="",Q73="",R73="",S73="",T73="",U73="",V73="",W73="",X73="",Y73=""),0,1)</f>
        <v>0</v>
      </c>
      <c r="AB73" s="15" t="str">
        <f aca="false">IF(OR(Z73&gt;=3,AA73=1),AVERAGE(C73:N73),"")</f>
        <v/>
      </c>
    </row>
    <row r="74" customFormat="false" ht="14.25" hidden="false" customHeight="false" outlineLevel="0" collapsed="false">
      <c r="A74" s="0" t="n">
        <f aca="false">Timestamp_Adjustment!D74</f>
        <v>1777940100</v>
      </c>
      <c r="B74" s="0" t="n">
        <f aca="false">IF(A74="","",V43_New!D74)</f>
        <v>4517.12</v>
      </c>
      <c r="C74" s="0" t="n">
        <f aca="false">IF(A74="","",V43_New!F74)</f>
        <v>4513.56</v>
      </c>
      <c r="D74" s="0" t="str">
        <f aca="false">IF(A74="","",V43_New!ER74)</f>
        <v/>
      </c>
      <c r="E74" s="0" t="str">
        <f aca="false">IF(A74="","",V43_New!ES74)</f>
        <v/>
      </c>
      <c r="F74" s="0" t="str">
        <f aca="false">IF(A74="","",V43_New!ET74)</f>
        <v/>
      </c>
      <c r="G74" s="0" t="str">
        <f aca="false">IF(A74="","",V43_New!EU74)</f>
        <v/>
      </c>
      <c r="H74" s="0" t="str">
        <f aca="false">IF(A74="","",V43_New!EV74)</f>
        <v/>
      </c>
      <c r="I74" s="0" t="str">
        <f aca="false">IF(A74="","",V43_New!EW74)</f>
        <v/>
      </c>
      <c r="J74" s="0" t="str">
        <f aca="false">IF(A74="","",V43_New!EX74)</f>
        <v/>
      </c>
      <c r="K74" s="0" t="str">
        <f aca="false">IF(A74="","",V43_New!EY74)</f>
        <v/>
      </c>
      <c r="L74" s="0" t="str">
        <f aca="false">IF(A74="","",V43_New!EZ74)</f>
        <v/>
      </c>
      <c r="M74" s="0" t="n">
        <f aca="false">IF(A74="","",V43_New!FA74)</f>
        <v>4510.28</v>
      </c>
      <c r="N74" s="0" t="str">
        <f aca="false">IF(A74="","",V43_New!FB74)</f>
        <v/>
      </c>
      <c r="O74" s="0" t="str">
        <f aca="false">IF(A74="","",V43_New!FC74)</f>
        <v/>
      </c>
      <c r="P74" s="0" t="str">
        <f aca="false">IF(A74="","",V43_New!FD74)</f>
        <v/>
      </c>
      <c r="Q74" s="0" t="str">
        <f aca="false">IF(A74="","",V43_New!FE74)</f>
        <v/>
      </c>
      <c r="R74" s="0" t="str">
        <f aca="false">IF(A74="","",V43_New!FF74)</f>
        <v/>
      </c>
      <c r="S74" s="0" t="str">
        <f aca="false">IF(A74="","",V43_New!FG74)</f>
        <v/>
      </c>
      <c r="T74" s="0" t="str">
        <f aca="false">IF(A74="","",V43_New!FH74)</f>
        <v/>
      </c>
      <c r="U74" s="0" t="str">
        <f aca="false">IF(A74="","",V43_New!FI74)</f>
        <v/>
      </c>
      <c r="V74" s="0" t="str">
        <f aca="false">IF(A74="","",V43_New!FJ74)</f>
        <v/>
      </c>
      <c r="W74" s="0" t="str">
        <f aca="false">IF(A74="","",V43_New!FK74)</f>
        <v/>
      </c>
      <c r="X74" s="0" t="str">
        <f aca="false">IF(A74="","",V43_New!FL74)</f>
        <v>IEQL</v>
      </c>
      <c r="Y74" s="0" t="str">
        <f aca="false">IF(A74="","",V43_New!FM74)</f>
        <v/>
      </c>
      <c r="Z74" s="0" t="n">
        <f aca="false">IF(C75&lt;&gt;"",COUNT(C74:N74),0)</f>
        <v>2</v>
      </c>
      <c r="AA74" s="0" t="n">
        <f aca="false">IF(AND(O74="",P74="",Q74="",R74="",S74="",T74="",U74="",V74="",W74="",X74="",Y74=""),0,1)</f>
        <v>1</v>
      </c>
      <c r="AB74" s="15" t="n">
        <f aca="false">IF(OR(Z74&gt;=3,AA74=1),AVERAGE(C74:N74),"")</f>
        <v>4511.92</v>
      </c>
    </row>
    <row r="75" customFormat="false" ht="14.25" hidden="false" customHeight="false" outlineLevel="0" collapsed="false">
      <c r="A75" s="0" t="n">
        <f aca="false">Timestamp_Adjustment!D75</f>
        <v>1777949100</v>
      </c>
      <c r="B75" s="0" t="n">
        <f aca="false">IF(A75="","",V43_New!D75)</f>
        <v>4539.17</v>
      </c>
      <c r="C75" s="0" t="n">
        <f aca="false">IF(A75="","",V43_New!F75)</f>
        <v>4546.78</v>
      </c>
      <c r="D75" s="0" t="str">
        <f aca="false">IF(A75="","",V43_New!ER75)</f>
        <v/>
      </c>
      <c r="E75" s="0" t="str">
        <f aca="false">IF(A75="","",V43_New!ES75)</f>
        <v/>
      </c>
      <c r="F75" s="0" t="str">
        <f aca="false">IF(A75="","",V43_New!ET75)</f>
        <v/>
      </c>
      <c r="G75" s="0" t="str">
        <f aca="false">IF(A75="","",V43_New!EU75)</f>
        <v/>
      </c>
      <c r="H75" s="0" t="str">
        <f aca="false">IF(A75="","",V43_New!EV75)</f>
        <v/>
      </c>
      <c r="I75" s="0" t="str">
        <f aca="false">IF(A75="","",V43_New!EW75)</f>
        <v/>
      </c>
      <c r="J75" s="0" t="str">
        <f aca="false">IF(A75="","",V43_New!EX75)</f>
        <v/>
      </c>
      <c r="K75" s="0" t="str">
        <f aca="false">IF(A75="","",V43_New!EY75)</f>
        <v/>
      </c>
      <c r="L75" s="0" t="str">
        <f aca="false">IF(A75="","",V43_New!EZ75)</f>
        <v/>
      </c>
      <c r="M75" s="0" t="str">
        <f aca="false">IF(A75="","",V43_New!FA75)</f>
        <v/>
      </c>
      <c r="N75" s="0" t="str">
        <f aca="false">IF(A75="","",V43_New!FB75)</f>
        <v/>
      </c>
      <c r="O75" s="0" t="str">
        <f aca="false">IF(A75="","",V43_New!FC75)</f>
        <v/>
      </c>
      <c r="P75" s="0" t="str">
        <f aca="false">IF(A75="","",V43_New!FD75)</f>
        <v/>
      </c>
      <c r="Q75" s="0" t="str">
        <f aca="false">IF(A75="","",V43_New!FE75)</f>
        <v/>
      </c>
      <c r="R75" s="0" t="str">
        <f aca="false">IF(A75="","",V43_New!FF75)</f>
        <v/>
      </c>
      <c r="S75" s="0" t="str">
        <f aca="false">IF(A75="","",V43_New!FG75)</f>
        <v/>
      </c>
      <c r="T75" s="0" t="str">
        <f aca="false">IF(A75="","",V43_New!FH75)</f>
        <v/>
      </c>
      <c r="U75" s="0" t="str">
        <f aca="false">IF(A75="","",V43_New!FI75)</f>
        <v/>
      </c>
      <c r="V75" s="0" t="str">
        <f aca="false">IF(A75="","",V43_New!FJ75)</f>
        <v/>
      </c>
      <c r="W75" s="0" t="str">
        <f aca="false">IF(A75="","",V43_New!FK75)</f>
        <v/>
      </c>
      <c r="X75" s="0" t="str">
        <f aca="false">IF(A75="","",V43_New!FL75)</f>
        <v/>
      </c>
      <c r="Y75" s="0" t="str">
        <f aca="false">IF(A75="","",V43_New!FM75)</f>
        <v/>
      </c>
      <c r="Z75" s="0" t="n">
        <f aca="false">IF(C76&lt;&gt;"",COUNT(C75:N75),0)</f>
        <v>1</v>
      </c>
      <c r="AA75" s="0" t="n">
        <f aca="false">IF(AND(O75="",P75="",Q75="",R75="",S75="",T75="",U75="",V75="",W75="",X75="",Y75=""),0,1)</f>
        <v>0</v>
      </c>
      <c r="AB75" s="15" t="str">
        <f aca="false">IF(OR(Z75&gt;=3,AA75=1),AVERAGE(C75:N75),"")</f>
        <v/>
      </c>
    </row>
    <row r="76" customFormat="false" ht="14.25" hidden="false" customHeight="false" outlineLevel="0" collapsed="false">
      <c r="A76" s="0" t="n">
        <f aca="false">Timestamp_Adjustment!D76</f>
        <v>1777955400</v>
      </c>
      <c r="B76" s="0" t="n">
        <f aca="false">IF(A76="","",V43_New!D76)</f>
        <v>4531.71</v>
      </c>
      <c r="C76" s="0" t="n">
        <f aca="false">IF(A76="","",V43_New!F76)</f>
        <v>4527.89</v>
      </c>
      <c r="D76" s="0" t="str">
        <f aca="false">IF(A76="","",V43_New!ER76)</f>
        <v/>
      </c>
      <c r="E76" s="0" t="str">
        <f aca="false">IF(A76="","",V43_New!ES76)</f>
        <v/>
      </c>
      <c r="F76" s="0" t="n">
        <f aca="false">IF(A76="","",V43_New!ET76)</f>
        <v>4526.4</v>
      </c>
      <c r="G76" s="0" t="str">
        <f aca="false">IF(A76="","",V43_New!EU76)</f>
        <v/>
      </c>
      <c r="H76" s="0" t="str">
        <f aca="false">IF(A76="","",V43_New!EV76)</f>
        <v/>
      </c>
      <c r="I76" s="0" t="str">
        <f aca="false">IF(A76="","",V43_New!EW76)</f>
        <v/>
      </c>
      <c r="J76" s="0" t="str">
        <f aca="false">IF(A76="","",V43_New!EX76)</f>
        <v/>
      </c>
      <c r="K76" s="0" t="str">
        <f aca="false">IF(A76="","",V43_New!EY76)</f>
        <v/>
      </c>
      <c r="L76" s="0" t="str">
        <f aca="false">IF(A76="","",V43_New!EZ76)</f>
        <v/>
      </c>
      <c r="M76" s="0" t="str">
        <f aca="false">IF(A76="","",V43_New!FA76)</f>
        <v/>
      </c>
      <c r="N76" s="0" t="str">
        <f aca="false">IF(A76="","",V43_New!FB76)</f>
        <v/>
      </c>
      <c r="O76" s="0" t="str">
        <f aca="false">IF(A76="","",V43_New!FC76)</f>
        <v/>
      </c>
      <c r="P76" s="0" t="str">
        <f aca="false">IF(A76="","",V43_New!FD76)</f>
        <v/>
      </c>
      <c r="Q76" s="0" t="str">
        <f aca="false">IF(A76="","",V43_New!FE76)</f>
        <v>IEQL</v>
      </c>
      <c r="R76" s="0" t="str">
        <f aca="false">IF(A76="","",V43_New!FF76)</f>
        <v/>
      </c>
      <c r="S76" s="0" t="str">
        <f aca="false">IF(A76="","",V43_New!FG76)</f>
        <v/>
      </c>
      <c r="T76" s="0" t="str">
        <f aca="false">IF(A76="","",V43_New!FH76)</f>
        <v/>
      </c>
      <c r="U76" s="0" t="str">
        <f aca="false">IF(A76="","",V43_New!FI76)</f>
        <v/>
      </c>
      <c r="V76" s="0" t="str">
        <f aca="false">IF(A76="","",V43_New!FJ76)</f>
        <v/>
      </c>
      <c r="W76" s="0" t="str">
        <f aca="false">IF(A76="","",V43_New!FK76)</f>
        <v/>
      </c>
      <c r="X76" s="0" t="str">
        <f aca="false">IF(A76="","",V43_New!FL76)</f>
        <v/>
      </c>
      <c r="Y76" s="0" t="str">
        <f aca="false">IF(A76="","",V43_New!FM76)</f>
        <v/>
      </c>
      <c r="Z76" s="0" t="n">
        <f aca="false">IF(C77&lt;&gt;"",COUNT(C76:N76),0)</f>
        <v>2</v>
      </c>
      <c r="AA76" s="0" t="n">
        <f aca="false">IF(AND(O76="",P76="",Q76="",R76="",S76="",T76="",U76="",V76="",W76="",X76="",Y76=""),0,1)</f>
        <v>1</v>
      </c>
      <c r="AB76" s="15" t="n">
        <f aca="false">IF(OR(Z76&gt;=3,AA76=1),AVERAGE(C76:N76),"")</f>
        <v>4527.145</v>
      </c>
    </row>
    <row r="77" customFormat="false" ht="14.25" hidden="false" customHeight="false" outlineLevel="0" collapsed="false">
      <c r="A77" s="0" t="n">
        <f aca="false">Timestamp_Adjustment!D77</f>
        <v>1777971600</v>
      </c>
      <c r="B77" s="0" t="n">
        <f aca="false">IF(A77="","",V43_New!D77)</f>
        <v>4557.61</v>
      </c>
      <c r="C77" s="0" t="n">
        <f aca="false">IF(A77="","",V43_New!F77)</f>
        <v>4560.53</v>
      </c>
      <c r="D77" s="0" t="str">
        <f aca="false">IF(A77="","",V43_New!ER77)</f>
        <v/>
      </c>
      <c r="E77" s="0" t="str">
        <f aca="false">IF(A77="","",V43_New!ES77)</f>
        <v/>
      </c>
      <c r="F77" s="0" t="str">
        <f aca="false">IF(A77="","",V43_New!ET77)</f>
        <v/>
      </c>
      <c r="G77" s="0" t="str">
        <f aca="false">IF(A77="","",V43_New!EU77)</f>
        <v/>
      </c>
      <c r="H77" s="0" t="str">
        <f aca="false">IF(A77="","",V43_New!EV77)</f>
        <v/>
      </c>
      <c r="I77" s="0" t="str">
        <f aca="false">IF(A77="","",V43_New!EW77)</f>
        <v/>
      </c>
      <c r="J77" s="0" t="str">
        <f aca="false">IF(A77="","",V43_New!EX77)</f>
        <v/>
      </c>
      <c r="K77" s="0" t="str">
        <f aca="false">IF(A77="","",V43_New!EY77)</f>
        <v/>
      </c>
      <c r="L77" s="0" t="str">
        <f aca="false">IF(A77="","",V43_New!EZ77)</f>
        <v/>
      </c>
      <c r="M77" s="0" t="str">
        <f aca="false">IF(A77="","",V43_New!FA77)</f>
        <v/>
      </c>
      <c r="N77" s="0" t="str">
        <f aca="false">IF(A77="","",V43_New!FB77)</f>
        <v/>
      </c>
      <c r="O77" s="0" t="str">
        <f aca="false">IF(A77="","",V43_New!FC77)</f>
        <v/>
      </c>
      <c r="P77" s="0" t="str">
        <f aca="false">IF(A77="","",V43_New!FD77)</f>
        <v/>
      </c>
      <c r="Q77" s="0" t="str">
        <f aca="false">IF(A77="","",V43_New!FE77)</f>
        <v/>
      </c>
      <c r="R77" s="0" t="str">
        <f aca="false">IF(A77="","",V43_New!FF77)</f>
        <v/>
      </c>
      <c r="S77" s="0" t="str">
        <f aca="false">IF(A77="","",V43_New!FG77)</f>
        <v/>
      </c>
      <c r="T77" s="0" t="str">
        <f aca="false">IF(A77="","",V43_New!FH77)</f>
        <v/>
      </c>
      <c r="U77" s="0" t="str">
        <f aca="false">IF(A77="","",V43_New!FI77)</f>
        <v/>
      </c>
      <c r="V77" s="0" t="str">
        <f aca="false">IF(A77="","",V43_New!FJ77)</f>
        <v/>
      </c>
      <c r="W77" s="0" t="str">
        <f aca="false">IF(A77="","",V43_New!FK77)</f>
        <v/>
      </c>
      <c r="X77" s="0" t="str">
        <f aca="false">IF(A77="","",V43_New!FL77)</f>
        <v/>
      </c>
      <c r="Y77" s="0" t="str">
        <f aca="false">IF(A77="","",V43_New!FM77)</f>
        <v/>
      </c>
      <c r="Z77" s="0" t="n">
        <f aca="false">IF(C78&lt;&gt;"",COUNT(C77:N77),0)</f>
        <v>1</v>
      </c>
      <c r="AA77" s="0" t="n">
        <f aca="false">IF(AND(O77="",P77="",Q77="",R77="",S77="",T77="",U77="",V77="",W77="",X77="",Y77=""),0,1)</f>
        <v>0</v>
      </c>
      <c r="AB77" s="15" t="str">
        <f aca="false">IF(OR(Z77&gt;=3,AA77=1),AVERAGE(C77:N77),"")</f>
        <v/>
      </c>
    </row>
    <row r="78" customFormat="false" ht="14.25" hidden="false" customHeight="false" outlineLevel="0" collapsed="false">
      <c r="A78" s="0" t="n">
        <f aca="false">Timestamp_Adjustment!D78</f>
        <v>1777978800</v>
      </c>
      <c r="B78" s="0" t="n">
        <f aca="false">IF(A78="","",V43_New!D78)</f>
        <v>4552.62</v>
      </c>
      <c r="C78" s="0" t="n">
        <f aca="false">IF(A78="","",V43_New!F78)</f>
        <v>4540</v>
      </c>
      <c r="D78" s="0" t="str">
        <f aca="false">IF(A78="","",V43_New!ER78)</f>
        <v/>
      </c>
      <c r="E78" s="0" t="str">
        <f aca="false">IF(A78="","",V43_New!ES78)</f>
        <v/>
      </c>
      <c r="F78" s="0" t="str">
        <f aca="false">IF(A78="","",V43_New!ET78)</f>
        <v/>
      </c>
      <c r="G78" s="0" t="str">
        <f aca="false">IF(A78="","",V43_New!EU78)</f>
        <v/>
      </c>
      <c r="H78" s="0" t="str">
        <f aca="false">IF(A78="","",V43_New!EV78)</f>
        <v/>
      </c>
      <c r="I78" s="0" t="str">
        <f aca="false">IF(A78="","",V43_New!EW78)</f>
        <v/>
      </c>
      <c r="J78" s="0" t="str">
        <f aca="false">IF(A78="","",V43_New!EX78)</f>
        <v/>
      </c>
      <c r="K78" s="0" t="str">
        <f aca="false">IF(A78="","",V43_New!EY78)</f>
        <v/>
      </c>
      <c r="L78" s="0" t="str">
        <f aca="false">IF(A78="","",V43_New!EZ78)</f>
        <v/>
      </c>
      <c r="M78" s="0" t="str">
        <f aca="false">IF(A78="","",V43_New!FA78)</f>
        <v/>
      </c>
      <c r="N78" s="0" t="str">
        <f aca="false">IF(A78="","",V43_New!FB78)</f>
        <v/>
      </c>
      <c r="O78" s="0" t="str">
        <f aca="false">IF(A78="","",V43_New!FC78)</f>
        <v/>
      </c>
      <c r="P78" s="0" t="str">
        <f aca="false">IF(A78="","",V43_New!FD78)</f>
        <v/>
      </c>
      <c r="Q78" s="0" t="str">
        <f aca="false">IF(A78="","",V43_New!FE78)</f>
        <v/>
      </c>
      <c r="R78" s="0" t="str">
        <f aca="false">IF(A78="","",V43_New!FF78)</f>
        <v/>
      </c>
      <c r="S78" s="0" t="str">
        <f aca="false">IF(A78="","",V43_New!FG78)</f>
        <v/>
      </c>
      <c r="T78" s="0" t="str">
        <f aca="false">IF(A78="","",V43_New!FH78)</f>
        <v/>
      </c>
      <c r="U78" s="0" t="str">
        <f aca="false">IF(A78="","",V43_New!FI78)</f>
        <v/>
      </c>
      <c r="V78" s="0" t="str">
        <f aca="false">IF(A78="","",V43_New!FJ78)</f>
        <v/>
      </c>
      <c r="W78" s="0" t="str">
        <f aca="false">IF(A78="","",V43_New!FK78)</f>
        <v/>
      </c>
      <c r="X78" s="0" t="str">
        <f aca="false">IF(A78="","",V43_New!FL78)</f>
        <v/>
      </c>
      <c r="Y78" s="0" t="str">
        <f aca="false">IF(A78="","",V43_New!FM78)</f>
        <v/>
      </c>
      <c r="Z78" s="0" t="n">
        <f aca="false">IF(C79&lt;&gt;"",COUNT(C78:N78),0)</f>
        <v>1</v>
      </c>
      <c r="AA78" s="0" t="n">
        <f aca="false">IF(AND(O78="",P78="",Q78="",R78="",S78="",T78="",U78="",V78="",W78="",X78="",Y78=""),0,1)</f>
        <v>0</v>
      </c>
      <c r="AB78" s="15" t="str">
        <f aca="false">IF(OR(Z78&gt;=3,AA78=1),AVERAGE(C78:N78),"")</f>
        <v/>
      </c>
    </row>
    <row r="79" customFormat="false" ht="14.25" hidden="false" customHeight="false" outlineLevel="0" collapsed="false">
      <c r="A79" s="0" t="n">
        <f aca="false">Timestamp_Adjustment!D79</f>
        <v>1777990500</v>
      </c>
      <c r="B79" s="0" t="n">
        <f aca="false">IF(A79="","",V43_New!D79)</f>
        <v>4584.37</v>
      </c>
      <c r="C79" s="0" t="n">
        <f aca="false">IF(A79="","",V43_New!F79)</f>
        <v>4586.56</v>
      </c>
      <c r="D79" s="0" t="str">
        <f aca="false">IF(A79="","",V43_New!ER79)</f>
        <v/>
      </c>
      <c r="E79" s="0" t="str">
        <f aca="false">IF(A79="","",V43_New!ES79)</f>
        <v/>
      </c>
      <c r="F79" s="0" t="str">
        <f aca="false">IF(A79="","",V43_New!ET79)</f>
        <v/>
      </c>
      <c r="G79" s="0" t="str">
        <f aca="false">IF(A79="","",V43_New!EU79)</f>
        <v/>
      </c>
      <c r="H79" s="0" t="str">
        <f aca="false">IF(A79="","",V43_New!EV79)</f>
        <v/>
      </c>
      <c r="I79" s="0" t="str">
        <f aca="false">IF(A79="","",V43_New!EW79)</f>
        <v/>
      </c>
      <c r="J79" s="0" t="str">
        <f aca="false">IF(A79="","",V43_New!EX79)</f>
        <v/>
      </c>
      <c r="K79" s="0" t="str">
        <f aca="false">IF(A79="","",V43_New!EY79)</f>
        <v/>
      </c>
      <c r="L79" s="0" t="str">
        <f aca="false">IF(A79="","",V43_New!EZ79)</f>
        <v/>
      </c>
      <c r="M79" s="0" t="str">
        <f aca="false">IF(A79="","",V43_New!FA79)</f>
        <v/>
      </c>
      <c r="N79" s="0" t="n">
        <f aca="false">IF(A79="","",V43_New!FB79)</f>
        <v>4582.32</v>
      </c>
      <c r="O79" s="0" t="str">
        <f aca="false">IF(A79="","",V43_New!FC79)</f>
        <v/>
      </c>
      <c r="P79" s="0" t="str">
        <f aca="false">IF(A79="","",V43_New!FD79)</f>
        <v/>
      </c>
      <c r="Q79" s="0" t="str">
        <f aca="false">IF(A79="","",V43_New!FE79)</f>
        <v/>
      </c>
      <c r="R79" s="0" t="str">
        <f aca="false">IF(A79="","",V43_New!FF79)</f>
        <v/>
      </c>
      <c r="S79" s="0" t="str">
        <f aca="false">IF(A79="","",V43_New!FG79)</f>
        <v/>
      </c>
      <c r="T79" s="0" t="str">
        <f aca="false">IF(A79="","",V43_New!FH79)</f>
        <v/>
      </c>
      <c r="U79" s="0" t="str">
        <f aca="false">IF(A79="","",V43_New!FI79)</f>
        <v/>
      </c>
      <c r="V79" s="0" t="str">
        <f aca="false">IF(A79="","",V43_New!FJ79)</f>
        <v/>
      </c>
      <c r="W79" s="0" t="str">
        <f aca="false">IF(A79="","",V43_New!FK79)</f>
        <v/>
      </c>
      <c r="X79" s="0" t="str">
        <f aca="false">IF(A79="","",V43_New!FL79)</f>
        <v/>
      </c>
      <c r="Y79" s="0" t="str">
        <f aca="false">IF(A79="","",V43_New!FM79)</f>
        <v/>
      </c>
      <c r="Z79" s="0" t="n">
        <f aca="false">IF(C80&lt;&gt;"",COUNT(C79:N79),0)</f>
        <v>2</v>
      </c>
      <c r="AA79" s="0" t="n">
        <f aca="false">IF(AND(O79="",P79="",Q79="",R79="",S79="",T79="",U79="",V79="",W79="",X79="",Y79=""),0,1)</f>
        <v>0</v>
      </c>
      <c r="AB79" s="15" t="str">
        <f aca="false">IF(OR(Z79&gt;=3,AA79=1),AVERAGE(C79:N79),"")</f>
        <v/>
      </c>
    </row>
    <row r="80" customFormat="false" ht="14.25" hidden="false" customHeight="false" outlineLevel="0" collapsed="false">
      <c r="A80" s="0" t="n">
        <f aca="false">Timestamp_Adjustment!D80</f>
        <v>1778020200</v>
      </c>
      <c r="B80" s="0" t="n">
        <f aca="false">IF(A80="","",V43_New!D80)</f>
        <v>4548.82</v>
      </c>
      <c r="C80" s="0" t="n">
        <f aca="false">IF(A80="","",V43_New!F80)</f>
        <v>4546.31</v>
      </c>
      <c r="D80" s="0" t="str">
        <f aca="false">IF(A80="","",V43_New!ER80)</f>
        <v/>
      </c>
      <c r="E80" s="0" t="str">
        <f aca="false">IF(A80="","",V43_New!ES80)</f>
        <v/>
      </c>
      <c r="F80" s="0" t="str">
        <f aca="false">IF(A80="","",V43_New!ET80)</f>
        <v/>
      </c>
      <c r="G80" s="0" t="str">
        <f aca="false">IF(A80="","",V43_New!EU80)</f>
        <v/>
      </c>
      <c r="H80" s="0" t="str">
        <f aca="false">IF(A80="","",V43_New!EV80)</f>
        <v/>
      </c>
      <c r="I80" s="0" t="str">
        <f aca="false">IF(A80="","",V43_New!EW80)</f>
        <v/>
      </c>
      <c r="J80" s="0" t="str">
        <f aca="false">IF(A80="","",V43_New!EX80)</f>
        <v/>
      </c>
      <c r="K80" s="0" t="str">
        <f aca="false">IF(A80="","",V43_New!EY80)</f>
        <v/>
      </c>
      <c r="L80" s="0" t="str">
        <f aca="false">IF(A80="","",V43_New!EZ80)</f>
        <v/>
      </c>
      <c r="M80" s="0" t="str">
        <f aca="false">IF(A80="","",V43_New!FA80)</f>
        <v/>
      </c>
      <c r="N80" s="0" t="str">
        <f aca="false">IF(A80="","",V43_New!FB80)</f>
        <v/>
      </c>
      <c r="O80" s="0" t="str">
        <f aca="false">IF(A80="","",V43_New!FC80)</f>
        <v/>
      </c>
      <c r="P80" s="0" t="str">
        <f aca="false">IF(A80="","",V43_New!FD80)</f>
        <v/>
      </c>
      <c r="Q80" s="0" t="str">
        <f aca="false">IF(A80="","",V43_New!FE80)</f>
        <v/>
      </c>
      <c r="R80" s="0" t="str">
        <f aca="false">IF(A80="","",V43_New!FF80)</f>
        <v/>
      </c>
      <c r="S80" s="0" t="str">
        <f aca="false">IF(A80="","",V43_New!FG80)</f>
        <v/>
      </c>
      <c r="T80" s="0" t="str">
        <f aca="false">IF(A80="","",V43_New!FH80)</f>
        <v/>
      </c>
      <c r="U80" s="0" t="str">
        <f aca="false">IF(A80="","",V43_New!FI80)</f>
        <v/>
      </c>
      <c r="V80" s="0" t="str">
        <f aca="false">IF(A80="","",V43_New!FJ80)</f>
        <v/>
      </c>
      <c r="W80" s="0" t="str">
        <f aca="false">IF(A80="","",V43_New!FK80)</f>
        <v/>
      </c>
      <c r="X80" s="0" t="str">
        <f aca="false">IF(A80="","",V43_New!FL80)</f>
        <v/>
      </c>
      <c r="Y80" s="0" t="str">
        <f aca="false">IF(A80="","",V43_New!FM80)</f>
        <v/>
      </c>
      <c r="Z80" s="0" t="n">
        <f aca="false">IF(C81&lt;&gt;"",COUNT(C80:N80),0)</f>
        <v>1</v>
      </c>
      <c r="AA80" s="0" t="n">
        <f aca="false">IF(AND(O80="",P80="",Q80="",R80="",S80="",T80="",U80="",V80="",W80="",X80="",Y80=""),0,1)</f>
        <v>0</v>
      </c>
      <c r="AB80" s="15" t="str">
        <f aca="false">IF(OR(Z80&gt;=3,AA80=1),AVERAGE(C80:N80),"")</f>
        <v/>
      </c>
    </row>
    <row r="81" customFormat="false" ht="14.25" hidden="false" customHeight="false" outlineLevel="0" collapsed="false">
      <c r="A81" s="0" t="n">
        <f aca="false">Timestamp_Adjustment!D81</f>
        <v>1778064300</v>
      </c>
      <c r="B81" s="0" t="n">
        <f aca="false">IF(A81="","",V43_New!D81)</f>
        <v>4718.25</v>
      </c>
      <c r="C81" s="0" t="n">
        <f aca="false">IF(A81="","",V43_New!F81)</f>
        <v>4722.76</v>
      </c>
      <c r="D81" s="0" t="str">
        <f aca="false">IF(A81="","",V43_New!ER81)</f>
        <v/>
      </c>
      <c r="E81" s="0" t="str">
        <f aca="false">IF(A81="","",V43_New!ES81)</f>
        <v/>
      </c>
      <c r="F81" s="0" t="str">
        <f aca="false">IF(A81="","",V43_New!ET81)</f>
        <v/>
      </c>
      <c r="G81" s="0" t="str">
        <f aca="false">IF(A81="","",V43_New!EU81)</f>
        <v/>
      </c>
      <c r="H81" s="0" t="str">
        <f aca="false">IF(A81="","",V43_New!EV81)</f>
        <v/>
      </c>
      <c r="I81" s="0" t="str">
        <f aca="false">IF(A81="","",V43_New!EW81)</f>
        <v/>
      </c>
      <c r="J81" s="0" t="str">
        <f aca="false">IF(A81="","",V43_New!EX81)</f>
        <v/>
      </c>
      <c r="K81" s="0" t="str">
        <f aca="false">IF(A81="","",V43_New!EY81)</f>
        <v/>
      </c>
      <c r="L81" s="0" t="str">
        <f aca="false">IF(A81="","",V43_New!EZ81)</f>
        <v/>
      </c>
      <c r="M81" s="0" t="str">
        <f aca="false">IF(A81="","",V43_New!FA81)</f>
        <v/>
      </c>
      <c r="N81" s="0" t="str">
        <f aca="false">IF(A81="","",V43_New!FB81)</f>
        <v/>
      </c>
      <c r="O81" s="0" t="str">
        <f aca="false">IF(A81="","",V43_New!FC81)</f>
        <v/>
      </c>
      <c r="P81" s="0" t="str">
        <f aca="false">IF(A81="","",V43_New!FD81)</f>
        <v/>
      </c>
      <c r="Q81" s="0" t="str">
        <f aca="false">IF(A81="","",V43_New!FE81)</f>
        <v/>
      </c>
      <c r="R81" s="0" t="str">
        <f aca="false">IF(A81="","",V43_New!FF81)</f>
        <v/>
      </c>
      <c r="S81" s="0" t="str">
        <f aca="false">IF(A81="","",V43_New!FG81)</f>
        <v/>
      </c>
      <c r="T81" s="0" t="str">
        <f aca="false">IF(A81="","",V43_New!FH81)</f>
        <v/>
      </c>
      <c r="U81" s="0" t="str">
        <f aca="false">IF(A81="","",V43_New!FI81)</f>
        <v/>
      </c>
      <c r="V81" s="0" t="str">
        <f aca="false">IF(A81="","",V43_New!FJ81)</f>
        <v/>
      </c>
      <c r="W81" s="0" t="str">
        <f aca="false">IF(A81="","",V43_New!FK81)</f>
        <v/>
      </c>
      <c r="X81" s="0" t="str">
        <f aca="false">IF(A81="","",V43_New!FL81)</f>
        <v/>
      </c>
      <c r="Y81" s="0" t="str">
        <f aca="false">IF(A81="","",V43_New!FM81)</f>
        <v/>
      </c>
      <c r="Z81" s="0" t="n">
        <f aca="false">IF(C82&lt;&gt;"",COUNT(C81:N81),0)</f>
        <v>1</v>
      </c>
      <c r="AA81" s="0" t="n">
        <f aca="false">IF(AND(O81="",P81="",Q81="",R81="",S81="",T81="",U81="",V81="",W81="",X81="",Y81=""),0,1)</f>
        <v>0</v>
      </c>
      <c r="AB81" s="15" t="str">
        <f aca="false">IF(OR(Z81&gt;=3,AA81=1),AVERAGE(C81:N81),"")</f>
        <v/>
      </c>
    </row>
    <row r="82" customFormat="false" ht="14.25" hidden="false" customHeight="false" outlineLevel="0" collapsed="false">
      <c r="A82" s="0" t="n">
        <f aca="false">Timestamp_Adjustment!D82</f>
        <v>1778069700</v>
      </c>
      <c r="B82" s="0" t="n">
        <f aca="false">IF(A82="","",V43_New!D82)</f>
        <v>4683.36</v>
      </c>
      <c r="C82" s="0" t="n">
        <f aca="false">IF(A82="","",V43_New!F82)</f>
        <v>4660.71</v>
      </c>
      <c r="D82" s="0" t="str">
        <f aca="false">IF(A82="","",V43_New!ER82)</f>
        <v/>
      </c>
      <c r="E82" s="0" t="str">
        <f aca="false">IF(A82="","",V43_New!ES82)</f>
        <v/>
      </c>
      <c r="F82" s="0" t="str">
        <f aca="false">IF(A82="","",V43_New!ET82)</f>
        <v/>
      </c>
      <c r="G82" s="0" t="str">
        <f aca="false">IF(A82="","",V43_New!EU82)</f>
        <v/>
      </c>
      <c r="H82" s="0" t="str">
        <f aca="false">IF(A82="","",V43_New!EV82)</f>
        <v/>
      </c>
      <c r="I82" s="0" t="str">
        <f aca="false">IF(A82="","",V43_New!EW82)</f>
        <v/>
      </c>
      <c r="J82" s="0" t="str">
        <f aca="false">IF(A82="","",V43_New!EX82)</f>
        <v/>
      </c>
      <c r="K82" s="0" t="str">
        <f aca="false">IF(A82="","",V43_New!EY82)</f>
        <v/>
      </c>
      <c r="L82" s="0" t="str">
        <f aca="false">IF(A82="","",V43_New!EZ82)</f>
        <v/>
      </c>
      <c r="M82" s="0" t="str">
        <f aca="false">IF(A82="","",V43_New!FA82)</f>
        <v/>
      </c>
      <c r="N82" s="0" t="str">
        <f aca="false">IF(A82="","",V43_New!FB82)</f>
        <v/>
      </c>
      <c r="O82" s="0" t="str">
        <f aca="false">IF(A82="","",V43_New!FC82)</f>
        <v/>
      </c>
      <c r="P82" s="0" t="str">
        <f aca="false">IF(A82="","",V43_New!FD82)</f>
        <v/>
      </c>
      <c r="Q82" s="0" t="str">
        <f aca="false">IF(A82="","",V43_New!FE82)</f>
        <v/>
      </c>
      <c r="R82" s="0" t="str">
        <f aca="false">IF(A82="","",V43_New!FF82)</f>
        <v/>
      </c>
      <c r="S82" s="0" t="str">
        <f aca="false">IF(A82="","",V43_New!FG82)</f>
        <v/>
      </c>
      <c r="T82" s="0" t="str">
        <f aca="false">IF(A82="","",V43_New!FH82)</f>
        <v/>
      </c>
      <c r="U82" s="0" t="str">
        <f aca="false">IF(A82="","",V43_New!FI82)</f>
        <v/>
      </c>
      <c r="V82" s="0" t="str">
        <f aca="false">IF(A82="","",V43_New!FJ82)</f>
        <v/>
      </c>
      <c r="W82" s="0" t="str">
        <f aca="false">IF(A82="","",V43_New!FK82)</f>
        <v/>
      </c>
      <c r="X82" s="0" t="str">
        <f aca="false">IF(A82="","",V43_New!FL82)</f>
        <v/>
      </c>
      <c r="Y82" s="0" t="str">
        <f aca="false">IF(A82="","",V43_New!FM82)</f>
        <v/>
      </c>
      <c r="Z82" s="0" t="n">
        <f aca="false">IF(C83&lt;&gt;"",COUNT(C82:N82),0)</f>
        <v>1</v>
      </c>
      <c r="AA82" s="0" t="n">
        <f aca="false">IF(AND(O82="",P82="",Q82="",R82="",S82="",T82="",U82="",V82="",W82="",X82="",Y82=""),0,1)</f>
        <v>0</v>
      </c>
      <c r="AB82" s="15" t="str">
        <f aca="false">IF(OR(Z82&gt;=3,AA82=1),AVERAGE(C82:N82),"")</f>
        <v/>
      </c>
    </row>
    <row r="83" customFormat="false" ht="14.25" hidden="false" customHeight="false" outlineLevel="0" collapsed="false">
      <c r="A83" s="0" t="n">
        <f aca="false">Timestamp_Adjustment!D83</f>
        <v>1778076900</v>
      </c>
      <c r="B83" s="0" t="n">
        <f aca="false">IF(A83="","",V43_New!D83)</f>
        <v>4705.66</v>
      </c>
      <c r="C83" s="0" t="n">
        <f aca="false">IF(A83="","",V43_New!F83)</f>
        <v>4717.43</v>
      </c>
      <c r="D83" s="0" t="n">
        <f aca="false">IF(A83="","",V43_New!ER83)</f>
        <v>4722.76</v>
      </c>
      <c r="E83" s="0" t="str">
        <f aca="false">IF(A83="","",V43_New!ES83)</f>
        <v/>
      </c>
      <c r="F83" s="0" t="str">
        <f aca="false">IF(A83="","",V43_New!ET83)</f>
        <v/>
      </c>
      <c r="G83" s="0" t="str">
        <f aca="false">IF(A83="","",V43_New!EU83)</f>
        <v/>
      </c>
      <c r="H83" s="0" t="str">
        <f aca="false">IF(A83="","",V43_New!EV83)</f>
        <v/>
      </c>
      <c r="I83" s="0" t="str">
        <f aca="false">IF(A83="","",V43_New!EW83)</f>
        <v/>
      </c>
      <c r="J83" s="0" t="str">
        <f aca="false">IF(A83="","",V43_New!EX83)</f>
        <v/>
      </c>
      <c r="K83" s="0" t="str">
        <f aca="false">IF(A83="","",V43_New!EY83)</f>
        <v/>
      </c>
      <c r="L83" s="0" t="str">
        <f aca="false">IF(A83="","",V43_New!EZ83)</f>
        <v/>
      </c>
      <c r="M83" s="0" t="str">
        <f aca="false">IF(A83="","",V43_New!FA83)</f>
        <v/>
      </c>
      <c r="N83" s="0" t="str">
        <f aca="false">IF(A83="","",V43_New!FB83)</f>
        <v/>
      </c>
      <c r="O83" s="0" t="str">
        <f aca="false">IF(A83="","",V43_New!FC83)</f>
        <v>IEQH</v>
      </c>
      <c r="P83" s="0" t="str">
        <f aca="false">IF(A83="","",V43_New!FD83)</f>
        <v/>
      </c>
      <c r="Q83" s="0" t="str">
        <f aca="false">IF(A83="","",V43_New!FE83)</f>
        <v/>
      </c>
      <c r="R83" s="0" t="str">
        <f aca="false">IF(A83="","",V43_New!FF83)</f>
        <v/>
      </c>
      <c r="S83" s="0" t="str">
        <f aca="false">IF(A83="","",V43_New!FG83)</f>
        <v/>
      </c>
      <c r="T83" s="0" t="str">
        <f aca="false">IF(A83="","",V43_New!FH83)</f>
        <v/>
      </c>
      <c r="U83" s="0" t="str">
        <f aca="false">IF(A83="","",V43_New!FI83)</f>
        <v/>
      </c>
      <c r="V83" s="0" t="str">
        <f aca="false">IF(A83="","",V43_New!FJ83)</f>
        <v/>
      </c>
      <c r="W83" s="0" t="str">
        <f aca="false">IF(A83="","",V43_New!FK83)</f>
        <v/>
      </c>
      <c r="X83" s="0" t="str">
        <f aca="false">IF(A83="","",V43_New!FL83)</f>
        <v/>
      </c>
      <c r="Y83" s="0" t="str">
        <f aca="false">IF(A83="","",V43_New!FM83)</f>
        <v/>
      </c>
      <c r="Z83" s="0" t="n">
        <f aca="false">IF(C84&lt;&gt;"",COUNT(C83:N83),0)</f>
        <v>2</v>
      </c>
      <c r="AA83" s="0" t="n">
        <f aca="false">IF(AND(O83="",P83="",Q83="",R83="",S83="",T83="",U83="",V83="",W83="",X83="",Y83=""),0,1)</f>
        <v>1</v>
      </c>
      <c r="AB83" s="15" t="n">
        <f aca="false">IF(OR(Z83&gt;=3,AA83=1),AVERAGE(C83:N83),"")</f>
        <v>4720.095</v>
      </c>
    </row>
    <row r="84" customFormat="false" ht="14.25" hidden="false" customHeight="false" outlineLevel="0" collapsed="false">
      <c r="A84" s="0" t="n">
        <f aca="false">Timestamp_Adjustment!D84</f>
        <v>1778088600</v>
      </c>
      <c r="B84" s="0" t="n">
        <f aca="false">IF(A84="","",V43_New!D84)</f>
        <v>4680.64</v>
      </c>
      <c r="C84" s="0" t="n">
        <f aca="false">IF(A84="","",V43_New!F84)</f>
        <v>4678.99</v>
      </c>
      <c r="D84" s="0" t="str">
        <f aca="false">IF(A84="","",V43_New!ER84)</f>
        <v/>
      </c>
      <c r="E84" s="0" t="str">
        <f aca="false">IF(A84="","",V43_New!ES84)</f>
        <v/>
      </c>
      <c r="F84" s="0" t="str">
        <f aca="false">IF(A84="","",V43_New!ET84)</f>
        <v/>
      </c>
      <c r="G84" s="0" t="str">
        <f aca="false">IF(A84="","",V43_New!EU84)</f>
        <v/>
      </c>
      <c r="H84" s="0" t="str">
        <f aca="false">IF(A84="","",V43_New!EV84)</f>
        <v/>
      </c>
      <c r="I84" s="0" t="str">
        <f aca="false">IF(A84="","",V43_New!EW84)</f>
        <v/>
      </c>
      <c r="J84" s="0" t="str">
        <f aca="false">IF(A84="","",V43_New!EX84)</f>
        <v/>
      </c>
      <c r="K84" s="0" t="str">
        <f aca="false">IF(A84="","",V43_New!EY84)</f>
        <v/>
      </c>
      <c r="L84" s="0" t="str">
        <f aca="false">IF(A84="","",V43_New!EZ84)</f>
        <v/>
      </c>
      <c r="M84" s="0" t="str">
        <f aca="false">IF(A84="","",V43_New!FA84)</f>
        <v/>
      </c>
      <c r="N84" s="0" t="str">
        <f aca="false">IF(A84="","",V43_New!FB84)</f>
        <v/>
      </c>
      <c r="O84" s="0" t="str">
        <f aca="false">IF(A84="","",V43_New!FC84)</f>
        <v/>
      </c>
      <c r="P84" s="0" t="str">
        <f aca="false">IF(A84="","",V43_New!FD84)</f>
        <v/>
      </c>
      <c r="Q84" s="0" t="str">
        <f aca="false">IF(A84="","",V43_New!FE84)</f>
        <v/>
      </c>
      <c r="R84" s="0" t="str">
        <f aca="false">IF(A84="","",V43_New!FF84)</f>
        <v/>
      </c>
      <c r="S84" s="0" t="str">
        <f aca="false">IF(A84="","",V43_New!FG84)</f>
        <v/>
      </c>
      <c r="T84" s="0" t="str">
        <f aca="false">IF(A84="","",V43_New!FH84)</f>
        <v/>
      </c>
      <c r="U84" s="0" t="str">
        <f aca="false">IF(A84="","",V43_New!FI84)</f>
        <v/>
      </c>
      <c r="V84" s="0" t="str">
        <f aca="false">IF(A84="","",V43_New!FJ84)</f>
        <v/>
      </c>
      <c r="W84" s="0" t="str">
        <f aca="false">IF(A84="","",V43_New!FK84)</f>
        <v/>
      </c>
      <c r="X84" s="0" t="str">
        <f aca="false">IF(A84="","",V43_New!FL84)</f>
        <v/>
      </c>
      <c r="Y84" s="0" t="str">
        <f aca="false">IF(A84="","",V43_New!FM84)</f>
        <v/>
      </c>
      <c r="Z84" s="0" t="n">
        <f aca="false">IF(C85&lt;&gt;"",COUNT(C84:N84),0)</f>
        <v>1</v>
      </c>
      <c r="AA84" s="0" t="n">
        <f aca="false">IF(AND(O84="",P84="",Q84="",R84="",S84="",T84="",U84="",V84="",W84="",X84="",Y84=""),0,1)</f>
        <v>0</v>
      </c>
      <c r="AB84" s="15" t="str">
        <f aca="false">IF(OR(Z84&gt;=3,AA84=1),AVERAGE(C84:N84),"")</f>
        <v/>
      </c>
    </row>
    <row r="85" customFormat="false" ht="14.25" hidden="false" customHeight="false" outlineLevel="0" collapsed="false">
      <c r="A85" s="0" t="n">
        <f aca="false">Timestamp_Adjustment!D85</f>
        <v>1778112900</v>
      </c>
      <c r="B85" s="0" t="n">
        <f aca="false">IF(A85="","",V43_New!D85)</f>
        <v>4692.51</v>
      </c>
      <c r="C85" s="0" t="n">
        <f aca="false">IF(A85="","",V43_New!F85)</f>
        <v>4701.18</v>
      </c>
      <c r="D85" s="0" t="str">
        <f aca="false">IF(A85="","",V43_New!ER85)</f>
        <v/>
      </c>
      <c r="E85" s="0" t="str">
        <f aca="false">IF(A85="","",V43_New!ES85)</f>
        <v/>
      </c>
      <c r="F85" s="0" t="str">
        <f aca="false">IF(A85="","",V43_New!ET85)</f>
        <v/>
      </c>
      <c r="G85" s="0" t="str">
        <f aca="false">IF(A85="","",V43_New!EU85)</f>
        <v/>
      </c>
      <c r="H85" s="0" t="str">
        <f aca="false">IF(A85="","",V43_New!EV85)</f>
        <v/>
      </c>
      <c r="I85" s="0" t="str">
        <f aca="false">IF(A85="","",V43_New!EW85)</f>
        <v/>
      </c>
      <c r="J85" s="0" t="str">
        <f aca="false">IF(A85="","",V43_New!EX85)</f>
        <v/>
      </c>
      <c r="K85" s="0" t="str">
        <f aca="false">IF(A85="","",V43_New!EY85)</f>
        <v/>
      </c>
      <c r="L85" s="0" t="str">
        <f aca="false">IF(A85="","",V43_New!EZ85)</f>
        <v/>
      </c>
      <c r="M85" s="0" t="str">
        <f aca="false">IF(A85="","",V43_New!FA85)</f>
        <v/>
      </c>
      <c r="N85" s="0" t="str">
        <f aca="false">IF(A85="","",V43_New!FB85)</f>
        <v/>
      </c>
      <c r="O85" s="0" t="str">
        <f aca="false">IF(A85="","",V43_New!FC85)</f>
        <v/>
      </c>
      <c r="P85" s="0" t="str">
        <f aca="false">IF(A85="","",V43_New!FD85)</f>
        <v/>
      </c>
      <c r="Q85" s="0" t="str">
        <f aca="false">IF(A85="","",V43_New!FE85)</f>
        <v/>
      </c>
      <c r="R85" s="0" t="str">
        <f aca="false">IF(A85="","",V43_New!FF85)</f>
        <v/>
      </c>
      <c r="S85" s="0" t="str">
        <f aca="false">IF(A85="","",V43_New!FG85)</f>
        <v/>
      </c>
      <c r="T85" s="0" t="str">
        <f aca="false">IF(A85="","",V43_New!FH85)</f>
        <v/>
      </c>
      <c r="U85" s="0" t="str">
        <f aca="false">IF(A85="","",V43_New!FI85)</f>
        <v/>
      </c>
      <c r="V85" s="0" t="str">
        <f aca="false">IF(A85="","",V43_New!FJ85)</f>
        <v/>
      </c>
      <c r="W85" s="0" t="str">
        <f aca="false">IF(A85="","",V43_New!FK85)</f>
        <v/>
      </c>
      <c r="X85" s="0" t="str">
        <f aca="false">IF(A85="","",V43_New!FL85)</f>
        <v/>
      </c>
      <c r="Y85" s="0" t="str">
        <f aca="false">IF(A85="","",V43_New!FM85)</f>
        <v/>
      </c>
      <c r="Z85" s="0" t="n">
        <f aca="false">IF(C86&lt;&gt;"",COUNT(C85:N85),0)</f>
        <v>1</v>
      </c>
      <c r="AA85" s="0" t="n">
        <f aca="false">IF(AND(O85="",P85="",Q85="",R85="",S85="",T85="",U85="",V85="",W85="",X85="",Y85=""),0,1)</f>
        <v>0</v>
      </c>
      <c r="AB85" s="15" t="str">
        <f aca="false">IF(OR(Z85&gt;=3,AA85=1),AVERAGE(C85:N85),"")</f>
        <v/>
      </c>
    </row>
    <row r="86" customFormat="false" ht="14.25" hidden="false" customHeight="false" outlineLevel="0" collapsed="false">
      <c r="A86" s="0" t="n">
        <f aca="false">Timestamp_Adjustment!D86</f>
        <v>1778114700</v>
      </c>
      <c r="B86" s="0" t="n">
        <f aca="false">IF(A86="","",V43_New!D86)</f>
        <v>4688.57</v>
      </c>
      <c r="C86" s="0" t="n">
        <f aca="false">IF(A86="","",V43_New!F86)</f>
        <v>4685.59</v>
      </c>
      <c r="D86" s="0" t="str">
        <f aca="false">IF(A86="","",V43_New!ER86)</f>
        <v/>
      </c>
      <c r="E86" s="0" t="str">
        <f aca="false">IF(A86="","",V43_New!ES86)</f>
        <v/>
      </c>
      <c r="F86" s="0" t="str">
        <f aca="false">IF(A86="","",V43_New!ET86)</f>
        <v/>
      </c>
      <c r="G86" s="0" t="str">
        <f aca="false">IF(A86="","",V43_New!EU86)</f>
        <v/>
      </c>
      <c r="H86" s="0" t="str">
        <f aca="false">IF(A86="","",V43_New!EV86)</f>
        <v/>
      </c>
      <c r="I86" s="0" t="str">
        <f aca="false">IF(A86="","",V43_New!EW86)</f>
        <v/>
      </c>
      <c r="J86" s="0" t="str">
        <f aca="false">IF(A86="","",V43_New!EX86)</f>
        <v/>
      </c>
      <c r="K86" s="0" t="str">
        <f aca="false">IF(A86="","",V43_New!EY86)</f>
        <v/>
      </c>
      <c r="L86" s="0" t="str">
        <f aca="false">IF(A86="","",V43_New!EZ86)</f>
        <v/>
      </c>
      <c r="M86" s="0" t="str">
        <f aca="false">IF(A86="","",V43_New!FA86)</f>
        <v/>
      </c>
      <c r="N86" s="0" t="str">
        <f aca="false">IF(A86="","",V43_New!FB86)</f>
        <v/>
      </c>
      <c r="O86" s="0" t="str">
        <f aca="false">IF(A86="","",V43_New!FC86)</f>
        <v/>
      </c>
      <c r="P86" s="0" t="str">
        <f aca="false">IF(A86="","",V43_New!FD86)</f>
        <v/>
      </c>
      <c r="Q86" s="0" t="str">
        <f aca="false">IF(A86="","",V43_New!FE86)</f>
        <v/>
      </c>
      <c r="R86" s="0" t="str">
        <f aca="false">IF(A86="","",V43_New!FF86)</f>
        <v/>
      </c>
      <c r="S86" s="0" t="str">
        <f aca="false">IF(A86="","",V43_New!FG86)</f>
        <v/>
      </c>
      <c r="T86" s="0" t="str">
        <f aca="false">IF(A86="","",V43_New!FH86)</f>
        <v/>
      </c>
      <c r="U86" s="0" t="str">
        <f aca="false">IF(A86="","",V43_New!FI86)</f>
        <v/>
      </c>
      <c r="V86" s="0" t="str">
        <f aca="false">IF(A86="","",V43_New!FJ86)</f>
        <v/>
      </c>
      <c r="W86" s="0" t="str">
        <f aca="false">IF(A86="","",V43_New!FK86)</f>
        <v/>
      </c>
      <c r="X86" s="0" t="str">
        <f aca="false">IF(A86="","",V43_New!FL86)</f>
        <v/>
      </c>
      <c r="Y86" s="0" t="str">
        <f aca="false">IF(A86="","",V43_New!FM86)</f>
        <v/>
      </c>
      <c r="Z86" s="0" t="n">
        <f aca="false">IF(C87&lt;&gt;"",COUNT(C86:N86),0)</f>
        <v>1</v>
      </c>
      <c r="AA86" s="0" t="n">
        <f aca="false">IF(AND(O86="",P86="",Q86="",R86="",S86="",T86="",U86="",V86="",W86="",X86="",Y86=""),0,1)</f>
        <v>0</v>
      </c>
      <c r="AB86" s="15" t="str">
        <f aca="false">IF(OR(Z86&gt;=3,AA86=1),AVERAGE(C86:N86),"")</f>
        <v/>
      </c>
    </row>
    <row r="87" customFormat="false" ht="14.25" hidden="false" customHeight="false" outlineLevel="0" collapsed="false">
      <c r="A87" s="0" t="n">
        <f aca="false">Timestamp_Adjustment!D87</f>
        <v>1778118300</v>
      </c>
      <c r="B87" s="0" t="n">
        <f aca="false">IF(A87="","",V43_New!D87)</f>
        <v>4714.86</v>
      </c>
      <c r="C87" s="0" t="n">
        <f aca="false">IF(A87="","",V43_New!F87)</f>
        <v>4721.44</v>
      </c>
      <c r="D87" s="0" t="str">
        <f aca="false">IF(A87="","",V43_New!ER87)</f>
        <v/>
      </c>
      <c r="E87" s="0" t="str">
        <f aca="false">IF(A87="","",V43_New!ES87)</f>
        <v/>
      </c>
      <c r="F87" s="0" t="n">
        <f aca="false">IF(A87="","",V43_New!ET87)</f>
        <v>4722.76</v>
      </c>
      <c r="G87" s="0" t="str">
        <f aca="false">IF(A87="","",V43_New!EU87)</f>
        <v/>
      </c>
      <c r="H87" s="0" t="str">
        <f aca="false">IF(A87="","",V43_New!EV87)</f>
        <v/>
      </c>
      <c r="I87" s="0" t="str">
        <f aca="false">IF(A87="","",V43_New!EW87)</f>
        <v/>
      </c>
      <c r="J87" s="0" t="str">
        <f aca="false">IF(A87="","",V43_New!EX87)</f>
        <v/>
      </c>
      <c r="K87" s="0" t="str">
        <f aca="false">IF(A87="","",V43_New!EY87)</f>
        <v/>
      </c>
      <c r="L87" s="0" t="str">
        <f aca="false">IF(A87="","",V43_New!EZ87)</f>
        <v/>
      </c>
      <c r="M87" s="0" t="str">
        <f aca="false">IF(A87="","",V43_New!FA87)</f>
        <v/>
      </c>
      <c r="N87" s="0" t="str">
        <f aca="false">IF(A87="","",V43_New!FB87)</f>
        <v/>
      </c>
      <c r="O87" s="0" t="str">
        <f aca="false">IF(A87="","",V43_New!FC87)</f>
        <v/>
      </c>
      <c r="P87" s="0" t="str">
        <f aca="false">IF(A87="","",V43_New!FD87)</f>
        <v/>
      </c>
      <c r="Q87" s="0" t="str">
        <f aca="false">IF(A87="","",V43_New!FE87)</f>
        <v>IEQH</v>
      </c>
      <c r="R87" s="0" t="str">
        <f aca="false">IF(A87="","",V43_New!FF87)</f>
        <v/>
      </c>
      <c r="S87" s="0" t="str">
        <f aca="false">IF(A87="","",V43_New!FG87)</f>
        <v/>
      </c>
      <c r="T87" s="0" t="str">
        <f aca="false">IF(A87="","",V43_New!FH87)</f>
        <v/>
      </c>
      <c r="U87" s="0" t="str">
        <f aca="false">IF(A87="","",V43_New!FI87)</f>
        <v/>
      </c>
      <c r="V87" s="0" t="str">
        <f aca="false">IF(A87="","",V43_New!FJ87)</f>
        <v/>
      </c>
      <c r="W87" s="0" t="str">
        <f aca="false">IF(A87="","",V43_New!FK87)</f>
        <v/>
      </c>
      <c r="X87" s="0" t="str">
        <f aca="false">IF(A87="","",V43_New!FL87)</f>
        <v/>
      </c>
      <c r="Y87" s="0" t="str">
        <f aca="false">IF(A87="","",V43_New!FM87)</f>
        <v/>
      </c>
      <c r="Z87" s="0" t="n">
        <f aca="false">IF(C88&lt;&gt;"",COUNT(C87:N87),0)</f>
        <v>2</v>
      </c>
      <c r="AA87" s="0" t="n">
        <f aca="false">IF(AND(O87="",P87="",Q87="",R87="",S87="",T87="",U87="",V87="",W87="",X87="",Y87=""),0,1)</f>
        <v>1</v>
      </c>
      <c r="AB87" s="15" t="n">
        <f aca="false">IF(OR(Z87&gt;=3,AA87=1),AVERAGE(C87:N87),"")</f>
        <v>4722.1</v>
      </c>
    </row>
    <row r="88" customFormat="false" ht="14.25" hidden="false" customHeight="false" outlineLevel="0" collapsed="false">
      <c r="A88" s="0" t="n">
        <f aca="false">Timestamp_Adjustment!D88</f>
        <v>1778128200</v>
      </c>
      <c r="B88" s="0" t="n">
        <f aca="false">IF(A88="","",V43_New!D88)</f>
        <v>4698.15</v>
      </c>
      <c r="C88" s="0" t="n">
        <f aca="false">IF(A88="","",V43_New!F88)</f>
        <v>4692.46</v>
      </c>
      <c r="D88" s="0" t="str">
        <f aca="false">IF(A88="","",V43_New!ER88)</f>
        <v/>
      </c>
      <c r="E88" s="0" t="str">
        <f aca="false">IF(A88="","",V43_New!ES88)</f>
        <v/>
      </c>
      <c r="F88" s="0" t="str">
        <f aca="false">IF(A88="","",V43_New!ET88)</f>
        <v/>
      </c>
      <c r="G88" s="0" t="str">
        <f aca="false">IF(A88="","",V43_New!EU88)</f>
        <v/>
      </c>
      <c r="H88" s="0" t="str">
        <f aca="false">IF(A88="","",V43_New!EV88)</f>
        <v/>
      </c>
      <c r="I88" s="0" t="str">
        <f aca="false">IF(A88="","",V43_New!EW88)</f>
        <v/>
      </c>
      <c r="J88" s="0" t="str">
        <f aca="false">IF(A88="","",V43_New!EX88)</f>
        <v/>
      </c>
      <c r="K88" s="0" t="str">
        <f aca="false">IF(A88="","",V43_New!EY88)</f>
        <v/>
      </c>
      <c r="L88" s="0" t="str">
        <f aca="false">IF(A88="","",V43_New!EZ88)</f>
        <v/>
      </c>
      <c r="M88" s="0" t="str">
        <f aca="false">IF(A88="","",V43_New!FA88)</f>
        <v/>
      </c>
      <c r="N88" s="0" t="str">
        <f aca="false">IF(A88="","",V43_New!FB88)</f>
        <v/>
      </c>
      <c r="O88" s="0" t="str">
        <f aca="false">IF(A88="","",V43_New!FC88)</f>
        <v/>
      </c>
      <c r="P88" s="0" t="str">
        <f aca="false">IF(A88="","",V43_New!FD88)</f>
        <v/>
      </c>
      <c r="Q88" s="0" t="str">
        <f aca="false">IF(A88="","",V43_New!FE88)</f>
        <v/>
      </c>
      <c r="R88" s="0" t="str">
        <f aca="false">IF(A88="","",V43_New!FF88)</f>
        <v/>
      </c>
      <c r="S88" s="0" t="str">
        <f aca="false">IF(A88="","",V43_New!FG88)</f>
        <v/>
      </c>
      <c r="T88" s="0" t="str">
        <f aca="false">IF(A88="","",V43_New!FH88)</f>
        <v/>
      </c>
      <c r="U88" s="0" t="str">
        <f aca="false">IF(A88="","",V43_New!FI88)</f>
        <v/>
      </c>
      <c r="V88" s="0" t="str">
        <f aca="false">IF(A88="","",V43_New!FJ88)</f>
        <v/>
      </c>
      <c r="W88" s="0" t="str">
        <f aca="false">IF(A88="","",V43_New!FK88)</f>
        <v/>
      </c>
      <c r="X88" s="0" t="str">
        <f aca="false">IF(A88="","",V43_New!FL88)</f>
        <v/>
      </c>
      <c r="Y88" s="0" t="str">
        <f aca="false">IF(A88="","",V43_New!FM88)</f>
        <v/>
      </c>
      <c r="Z88" s="0" t="n">
        <f aca="false">IF(C89&lt;&gt;"",COUNT(C88:N88),0)</f>
        <v>1</v>
      </c>
      <c r="AA88" s="0" t="n">
        <f aca="false">IF(AND(O88="",P88="",Q88="",R88="",S88="",T88="",U88="",V88="",W88="",X88="",Y88=""),0,1)</f>
        <v>0</v>
      </c>
      <c r="AB88" s="15" t="str">
        <f aca="false">IF(OR(Z88&gt;=3,AA88=1),AVERAGE(C88:N88),"")</f>
        <v/>
      </c>
    </row>
    <row r="89" customFormat="false" ht="14.25" hidden="false" customHeight="false" outlineLevel="0" collapsed="false">
      <c r="A89" s="0" t="n">
        <f aca="false">Timestamp_Adjustment!D89</f>
        <v>1778166000</v>
      </c>
      <c r="B89" s="0" t="n">
        <f aca="false">IF(A89="","",V43_New!D89)</f>
        <v>4754.77</v>
      </c>
      <c r="C89" s="0" t="n">
        <f aca="false">IF(A89="","",V43_New!F89)</f>
        <v>4764.7</v>
      </c>
      <c r="D89" s="0" t="str">
        <f aca="false">IF(A89="","",V43_New!ER89)</f>
        <v/>
      </c>
      <c r="E89" s="0" t="str">
        <f aca="false">IF(A89="","",V43_New!ES89)</f>
        <v/>
      </c>
      <c r="F89" s="0" t="str">
        <f aca="false">IF(A89="","",V43_New!ET89)</f>
        <v/>
      </c>
      <c r="G89" s="0" t="str">
        <f aca="false">IF(A89="","",V43_New!EU89)</f>
        <v/>
      </c>
      <c r="H89" s="0" t="str">
        <f aca="false">IF(A89="","",V43_New!EV89)</f>
        <v/>
      </c>
      <c r="I89" s="0" t="str">
        <f aca="false">IF(A89="","",V43_New!EW89)</f>
        <v/>
      </c>
      <c r="J89" s="0" t="str">
        <f aca="false">IF(A89="","",V43_New!EX89)</f>
        <v/>
      </c>
      <c r="K89" s="0" t="str">
        <f aca="false">IF(A89="","",V43_New!EY89)</f>
        <v/>
      </c>
      <c r="L89" s="0" t="str">
        <f aca="false">IF(A89="","",V43_New!EZ89)</f>
        <v/>
      </c>
      <c r="M89" s="0" t="str">
        <f aca="false">IF(A89="","",V43_New!FA89)</f>
        <v/>
      </c>
      <c r="N89" s="0" t="str">
        <f aca="false">IF(A89="","",V43_New!FB89)</f>
        <v/>
      </c>
      <c r="O89" s="0" t="str">
        <f aca="false">IF(A89="","",V43_New!FC89)</f>
        <v/>
      </c>
      <c r="P89" s="0" t="str">
        <f aca="false">IF(A89="","",V43_New!FD89)</f>
        <v/>
      </c>
      <c r="Q89" s="0" t="str">
        <f aca="false">IF(A89="","",V43_New!FE89)</f>
        <v/>
      </c>
      <c r="R89" s="0" t="str">
        <f aca="false">IF(A89="","",V43_New!FF89)</f>
        <v/>
      </c>
      <c r="S89" s="0" t="str">
        <f aca="false">IF(A89="","",V43_New!FG89)</f>
        <v/>
      </c>
      <c r="T89" s="0" t="str">
        <f aca="false">IF(A89="","",V43_New!FH89)</f>
        <v/>
      </c>
      <c r="U89" s="0" t="str">
        <f aca="false">IF(A89="","",V43_New!FI89)</f>
        <v/>
      </c>
      <c r="V89" s="0" t="str">
        <f aca="false">IF(A89="","",V43_New!FJ89)</f>
        <v/>
      </c>
      <c r="W89" s="0" t="str">
        <f aca="false">IF(A89="","",V43_New!FK89)</f>
        <v/>
      </c>
      <c r="X89" s="0" t="str">
        <f aca="false">IF(A89="","",V43_New!FL89)</f>
        <v/>
      </c>
      <c r="Y89" s="0" t="str">
        <f aca="false">IF(A89="","",V43_New!FM89)</f>
        <v/>
      </c>
      <c r="Z89" s="0" t="n">
        <f aca="false">IF(C90&lt;&gt;"",COUNT(C89:N89),0)</f>
        <v>1</v>
      </c>
      <c r="AA89" s="0" t="n">
        <f aca="false">IF(AND(O89="",P89="",Q89="",R89="",S89="",T89="",U89="",V89="",W89="",X89="",Y89=""),0,1)</f>
        <v>0</v>
      </c>
      <c r="AB89" s="15" t="str">
        <f aca="false">IF(OR(Z89&gt;=3,AA89=1),AVERAGE(C89:N89),"")</f>
        <v/>
      </c>
    </row>
    <row r="90" customFormat="false" ht="14.25" hidden="false" customHeight="false" outlineLevel="0" collapsed="false">
      <c r="A90" s="0" t="n">
        <f aca="false">Timestamp_Adjustment!D90</f>
        <v>1778191200</v>
      </c>
      <c r="B90" s="0" t="n">
        <f aca="false">IF(A90="","",V43_New!D90)</f>
        <v>4691.37</v>
      </c>
      <c r="C90" s="0" t="n">
        <f aca="false">IF(A90="","",V43_New!F90)</f>
        <v>4678.1</v>
      </c>
      <c r="D90" s="0" t="str">
        <f aca="false">IF(A90="","",V43_New!ER90)</f>
        <v/>
      </c>
      <c r="E90" s="0" t="str">
        <f aca="false">IF(A90="","",V43_New!ES90)</f>
        <v/>
      </c>
      <c r="F90" s="0" t="str">
        <f aca="false">IF(A90="","",V43_New!ET90)</f>
        <v/>
      </c>
      <c r="G90" s="0" t="str">
        <f aca="false">IF(A90="","",V43_New!EU90)</f>
        <v/>
      </c>
      <c r="H90" s="0" t="str">
        <f aca="false">IF(A90="","",V43_New!EV90)</f>
        <v/>
      </c>
      <c r="I90" s="0" t="str">
        <f aca="false">IF(A90="","",V43_New!EW90)</f>
        <v/>
      </c>
      <c r="J90" s="0" t="str">
        <f aca="false">IF(A90="","",V43_New!EX90)</f>
        <v/>
      </c>
      <c r="K90" s="0" t="str">
        <f aca="false">IF(A90="","",V43_New!EY90)</f>
        <v/>
      </c>
      <c r="L90" s="0" t="str">
        <f aca="false">IF(A90="","",V43_New!EZ90)</f>
        <v/>
      </c>
      <c r="M90" s="0" t="str">
        <f aca="false">IF(A90="","",V43_New!FA90)</f>
        <v/>
      </c>
      <c r="N90" s="0" t="str">
        <f aca="false">IF(A90="","",V43_New!FB90)</f>
        <v/>
      </c>
      <c r="O90" s="0" t="str">
        <f aca="false">IF(A90="","",V43_New!FC90)</f>
        <v/>
      </c>
      <c r="P90" s="0" t="str">
        <f aca="false">IF(A90="","",V43_New!FD90)</f>
        <v/>
      </c>
      <c r="Q90" s="0" t="str">
        <f aca="false">IF(A90="","",V43_New!FE90)</f>
        <v/>
      </c>
      <c r="R90" s="0" t="str">
        <f aca="false">IF(A90="","",V43_New!FF90)</f>
        <v/>
      </c>
      <c r="S90" s="0" t="str">
        <f aca="false">IF(A90="","",V43_New!FG90)</f>
        <v/>
      </c>
      <c r="T90" s="0" t="str">
        <f aca="false">IF(A90="","",V43_New!FH90)</f>
        <v/>
      </c>
      <c r="U90" s="0" t="str">
        <f aca="false">IF(A90="","",V43_New!FI90)</f>
        <v/>
      </c>
      <c r="V90" s="0" t="str">
        <f aca="false">IF(A90="","",V43_New!FJ90)</f>
        <v/>
      </c>
      <c r="W90" s="0" t="str">
        <f aca="false">IF(A90="","",V43_New!FK90)</f>
        <v/>
      </c>
      <c r="X90" s="0" t="str">
        <f aca="false">IF(A90="","",V43_New!FL90)</f>
        <v/>
      </c>
      <c r="Y90" s="0" t="str">
        <f aca="false">IF(A90="","",V43_New!FM90)</f>
        <v/>
      </c>
      <c r="Z90" s="0" t="n">
        <f aca="false">IF(C91&lt;&gt;"",COUNT(C90:N90),0)</f>
        <v>1</v>
      </c>
      <c r="AA90" s="0" t="n">
        <f aca="false">IF(AND(O90="",P90="",Q90="",R90="",S90="",T90="",U90="",V90="",W90="",X90="",Y90=""),0,1)</f>
        <v>0</v>
      </c>
      <c r="AB90" s="15" t="str">
        <f aca="false">IF(OR(Z90&gt;=3,AA90=1),AVERAGE(C90:N90),"")</f>
        <v/>
      </c>
    </row>
    <row r="91" customFormat="false" ht="14.25" hidden="false" customHeight="false" outlineLevel="0" collapsed="false">
      <c r="A91" s="0" t="n">
        <f aca="false">Timestamp_Adjustment!D91</f>
        <v>1778220900</v>
      </c>
      <c r="B91" s="0" t="n">
        <f aca="false">IF(A91="","",V43_New!D91)</f>
        <v>4733.47</v>
      </c>
      <c r="C91" s="0" t="n">
        <f aca="false">IF(A91="","",V43_New!F91)</f>
        <v>4734.65</v>
      </c>
      <c r="D91" s="0" t="str">
        <f aca="false">IF(A91="","",V43_New!ER91)</f>
        <v/>
      </c>
      <c r="E91" s="0" t="str">
        <f aca="false">IF(A91="","",V43_New!ES91)</f>
        <v/>
      </c>
      <c r="F91" s="0" t="str">
        <f aca="false">IF(A91="","",V43_New!ET91)</f>
        <v/>
      </c>
      <c r="G91" s="0" t="str">
        <f aca="false">IF(A91="","",V43_New!EU91)</f>
        <v/>
      </c>
      <c r="H91" s="0" t="str">
        <f aca="false">IF(A91="","",V43_New!EV91)</f>
        <v/>
      </c>
      <c r="I91" s="0" t="str">
        <f aca="false">IF(A91="","",V43_New!EW91)</f>
        <v/>
      </c>
      <c r="J91" s="0" t="str">
        <f aca="false">IF(A91="","",V43_New!EX91)</f>
        <v/>
      </c>
      <c r="K91" s="0" t="str">
        <f aca="false">IF(A91="","",V43_New!EY91)</f>
        <v/>
      </c>
      <c r="L91" s="0" t="str">
        <f aca="false">IF(A91="","",V43_New!EZ91)</f>
        <v/>
      </c>
      <c r="M91" s="0" t="str">
        <f aca="false">IF(A91="","",V43_New!FA91)</f>
        <v/>
      </c>
      <c r="N91" s="0" t="str">
        <f aca="false">IF(A91="","",V43_New!FB91)</f>
        <v/>
      </c>
      <c r="O91" s="0" t="str">
        <f aca="false">IF(A91="","",V43_New!FC91)</f>
        <v/>
      </c>
      <c r="P91" s="0" t="str">
        <f aca="false">IF(A91="","",V43_New!FD91)</f>
        <v/>
      </c>
      <c r="Q91" s="0" t="str">
        <f aca="false">IF(A91="","",V43_New!FE91)</f>
        <v/>
      </c>
      <c r="R91" s="0" t="str">
        <f aca="false">IF(A91="","",V43_New!FF91)</f>
        <v/>
      </c>
      <c r="S91" s="0" t="str">
        <f aca="false">IF(A91="","",V43_New!FG91)</f>
        <v/>
      </c>
      <c r="T91" s="0" t="str">
        <f aca="false">IF(A91="","",V43_New!FH91)</f>
        <v/>
      </c>
      <c r="U91" s="0" t="str">
        <f aca="false">IF(A91="","",V43_New!FI91)</f>
        <v/>
      </c>
      <c r="V91" s="0" t="str">
        <f aca="false">IF(A91="","",V43_New!FJ91)</f>
        <v/>
      </c>
      <c r="W91" s="0" t="str">
        <f aca="false">IF(A91="","",V43_New!FK91)</f>
        <v/>
      </c>
      <c r="X91" s="0" t="str">
        <f aca="false">IF(A91="","",V43_New!FL91)</f>
        <v/>
      </c>
      <c r="Y91" s="0" t="str">
        <f aca="false">IF(A91="","",V43_New!FM91)</f>
        <v/>
      </c>
      <c r="Z91" s="0" t="n">
        <f aca="false">IF(C92&lt;&gt;"",COUNT(C91:N91),0)</f>
        <v>1</v>
      </c>
      <c r="AA91" s="0" t="n">
        <f aca="false">IF(AND(O91="",P91="",Q91="",R91="",S91="",T91="",U91="",V91="",W91="",X91="",Y91=""),0,1)</f>
        <v>0</v>
      </c>
      <c r="AB91" s="15" t="str">
        <f aca="false">IF(OR(Z91&gt;=3,AA91=1),AVERAGE(C91:N91),"")</f>
        <v/>
      </c>
    </row>
    <row r="92" customFormat="false" ht="14.25" hidden="false" customHeight="false" outlineLevel="0" collapsed="false">
      <c r="A92" s="0" t="n">
        <f aca="false">Timestamp_Adjustment!D92</f>
        <v>1778224500</v>
      </c>
      <c r="B92" s="0" t="n">
        <f aca="false">IF(A92="","",V43_New!D92)</f>
        <v>4706.67</v>
      </c>
      <c r="C92" s="0" t="n">
        <f aca="false">IF(A92="","",V43_New!F92)</f>
        <v>4696.83</v>
      </c>
      <c r="D92" s="0" t="str">
        <f aca="false">IF(A92="","",V43_New!ER92)</f>
        <v/>
      </c>
      <c r="E92" s="0" t="str">
        <f aca="false">IF(A92="","",V43_New!ES92)</f>
        <v/>
      </c>
      <c r="F92" s="0" t="str">
        <f aca="false">IF(A92="","",V43_New!ET92)</f>
        <v/>
      </c>
      <c r="G92" s="0" t="str">
        <f aca="false">IF(A92="","",V43_New!EU92)</f>
        <v/>
      </c>
      <c r="H92" s="0" t="str">
        <f aca="false">IF(A92="","",V43_New!EV92)</f>
        <v/>
      </c>
      <c r="I92" s="0" t="str">
        <f aca="false">IF(A92="","",V43_New!EW92)</f>
        <v/>
      </c>
      <c r="J92" s="0" t="str">
        <f aca="false">IF(A92="","",V43_New!EX92)</f>
        <v/>
      </c>
      <c r="K92" s="0" t="str">
        <f aca="false">IF(A92="","",V43_New!EY92)</f>
        <v/>
      </c>
      <c r="L92" s="0" t="str">
        <f aca="false">IF(A92="","",V43_New!EZ92)</f>
        <v/>
      </c>
      <c r="M92" s="0" t="str">
        <f aca="false">IF(A92="","",V43_New!FA92)</f>
        <v/>
      </c>
      <c r="N92" s="0" t="str">
        <f aca="false">IF(A92="","",V43_New!FB92)</f>
        <v/>
      </c>
      <c r="O92" s="0" t="str">
        <f aca="false">IF(A92="","",V43_New!FC92)</f>
        <v/>
      </c>
      <c r="P92" s="0" t="str">
        <f aca="false">IF(A92="","",V43_New!FD92)</f>
        <v/>
      </c>
      <c r="Q92" s="0" t="str">
        <f aca="false">IF(A92="","",V43_New!FE92)</f>
        <v/>
      </c>
      <c r="R92" s="0" t="str">
        <f aca="false">IF(A92="","",V43_New!FF92)</f>
        <v/>
      </c>
      <c r="S92" s="0" t="str">
        <f aca="false">IF(A92="","",V43_New!FG92)</f>
        <v/>
      </c>
      <c r="T92" s="0" t="str">
        <f aca="false">IF(A92="","",V43_New!FH92)</f>
        <v/>
      </c>
      <c r="U92" s="0" t="str">
        <f aca="false">IF(A92="","",V43_New!FI92)</f>
        <v/>
      </c>
      <c r="V92" s="0" t="str">
        <f aca="false">IF(A92="","",V43_New!FJ92)</f>
        <v/>
      </c>
      <c r="W92" s="0" t="str">
        <f aca="false">IF(A92="","",V43_New!FK92)</f>
        <v/>
      </c>
      <c r="X92" s="0" t="str">
        <f aca="false">IF(A92="","",V43_New!FL92)</f>
        <v/>
      </c>
      <c r="Y92" s="0" t="str">
        <f aca="false">IF(A92="","",V43_New!FM92)</f>
        <v/>
      </c>
      <c r="Z92" s="0" t="n">
        <f aca="false">IF(C93&lt;&gt;"",COUNT(C92:N92),0)</f>
        <v>1</v>
      </c>
      <c r="AA92" s="0" t="n">
        <f aca="false">IF(AND(O92="",P92="",Q92="",R92="",S92="",T92="",U92="",V92="",W92="",X92="",Y92=""),0,1)</f>
        <v>0</v>
      </c>
      <c r="AB92" s="15" t="str">
        <f aca="false">IF(OR(Z92&gt;=3,AA92=1),AVERAGE(C92:N92),"")</f>
        <v/>
      </c>
    </row>
    <row r="93" customFormat="false" ht="14.25" hidden="false" customHeight="false" outlineLevel="0" collapsed="false">
      <c r="A93" s="0" t="n">
        <f aca="false">Timestamp_Adjustment!D93</f>
        <v>1778236200</v>
      </c>
      <c r="B93" s="0" t="n">
        <f aca="false">IF(A93="","",V43_New!D93)</f>
        <v>4724.48</v>
      </c>
      <c r="C93" s="0" t="n">
        <f aca="false">IF(A93="","",V43_New!F93)</f>
        <v>4727.88</v>
      </c>
      <c r="D93" s="0" t="str">
        <f aca="false">IF(A93="","",V43_New!ER93)</f>
        <v/>
      </c>
      <c r="E93" s="0" t="str">
        <f aca="false">IF(A93="","",V43_New!ES93)</f>
        <v/>
      </c>
      <c r="F93" s="0" t="n">
        <f aca="false">IF(A93="","",V43_New!ET93)</f>
        <v>4721.44</v>
      </c>
      <c r="G93" s="0" t="str">
        <f aca="false">IF(A93="","",V43_New!EU93)</f>
        <v/>
      </c>
      <c r="H93" s="0" t="str">
        <f aca="false">IF(A93="","",V43_New!EV93)</f>
        <v/>
      </c>
      <c r="I93" s="0" t="n">
        <f aca="false">IF(A93="","",V43_New!EW93)</f>
        <v>4722.76</v>
      </c>
      <c r="J93" s="0" t="str">
        <f aca="false">IF(A93="","",V43_New!EX93)</f>
        <v/>
      </c>
      <c r="K93" s="0" t="str">
        <f aca="false">IF(A93="","",V43_New!EY93)</f>
        <v/>
      </c>
      <c r="L93" s="0" t="str">
        <f aca="false">IF(A93="","",V43_New!EZ93)</f>
        <v/>
      </c>
      <c r="M93" s="0" t="str">
        <f aca="false">IF(A93="","",V43_New!FA93)</f>
        <v/>
      </c>
      <c r="N93" s="0" t="str">
        <f aca="false">IF(A93="","",V43_New!FB93)</f>
        <v/>
      </c>
      <c r="O93" s="0" t="str">
        <f aca="false">IF(A93="","",V43_New!FC93)</f>
        <v/>
      </c>
      <c r="P93" s="0" t="str">
        <f aca="false">IF(A93="","",V43_New!FD93)</f>
        <v/>
      </c>
      <c r="Q93" s="0" t="str">
        <f aca="false">IF(A93="","",V43_New!FE93)</f>
        <v/>
      </c>
      <c r="R93" s="0" t="str">
        <f aca="false">IF(A93="","",V43_New!FF93)</f>
        <v/>
      </c>
      <c r="S93" s="0" t="str">
        <f aca="false">IF(A93="","",V43_New!FG93)</f>
        <v/>
      </c>
      <c r="T93" s="0" t="str">
        <f aca="false">IF(A93="","",V43_New!FH93)</f>
        <v>IEQH</v>
      </c>
      <c r="U93" s="0" t="str">
        <f aca="false">IF(A93="","",V43_New!FI93)</f>
        <v/>
      </c>
      <c r="V93" s="0" t="str">
        <f aca="false">IF(A93="","",V43_New!FJ93)</f>
        <v/>
      </c>
      <c r="W93" s="0" t="str">
        <f aca="false">IF(A93="","",V43_New!FK93)</f>
        <v/>
      </c>
      <c r="X93" s="0" t="str">
        <f aca="false">IF(A93="","",V43_New!FL93)</f>
        <v/>
      </c>
      <c r="Y93" s="0" t="str">
        <f aca="false">IF(A93="","",V43_New!FM93)</f>
        <v/>
      </c>
      <c r="Z93" s="0" t="n">
        <f aca="false">IF(C94&lt;&gt;"",COUNT(C93:N93),0)</f>
        <v>3</v>
      </c>
      <c r="AA93" s="0" t="n">
        <f aca="false">IF(AND(O93="",P93="",Q93="",R93="",S93="",T93="",U93="",V93="",W93="",X93="",Y93=""),0,1)</f>
        <v>1</v>
      </c>
      <c r="AB93" s="15" t="n">
        <f aca="false">IF(OR(Z93&gt;=3,AA93=1),AVERAGE(C93:N93),"")</f>
        <v>4724.02666666667</v>
      </c>
    </row>
    <row r="94" customFormat="false" ht="14.25" hidden="false" customHeight="false" outlineLevel="0" collapsed="false">
      <c r="A94" s="0" t="n">
        <f aca="false">Timestamp_Adjustment!D94</f>
        <v>1778242500</v>
      </c>
      <c r="B94" s="0" t="n">
        <f aca="false">IF(A94="","",V43_New!D94)</f>
        <v>4710.4</v>
      </c>
      <c r="C94" s="0" t="n">
        <f aca="false">IF(A94="","",V43_New!F94)</f>
        <v>4703</v>
      </c>
      <c r="D94" s="0" t="str">
        <f aca="false">IF(A94="","",V43_New!ER94)</f>
        <v/>
      </c>
      <c r="E94" s="0" t="str">
        <f aca="false">IF(A94="","",V43_New!ES94)</f>
        <v/>
      </c>
      <c r="F94" s="0" t="str">
        <f aca="false">IF(A94="","",V43_New!ET94)</f>
        <v/>
      </c>
      <c r="G94" s="0" t="str">
        <f aca="false">IF(A94="","",V43_New!EU94)</f>
        <v/>
      </c>
      <c r="H94" s="0" t="str">
        <f aca="false">IF(A94="","",V43_New!EV94)</f>
        <v/>
      </c>
      <c r="I94" s="0" t="str">
        <f aca="false">IF(A94="","",V43_New!EW94)</f>
        <v/>
      </c>
      <c r="J94" s="0" t="str">
        <f aca="false">IF(A94="","",V43_New!EX94)</f>
        <v/>
      </c>
      <c r="K94" s="0" t="str">
        <f aca="false">IF(A94="","",V43_New!EY94)</f>
        <v/>
      </c>
      <c r="L94" s="0" t="str">
        <f aca="false">IF(A94="","",V43_New!EZ94)</f>
        <v/>
      </c>
      <c r="M94" s="0" t="str">
        <f aca="false">IF(A94="","",V43_New!FA94)</f>
        <v/>
      </c>
      <c r="N94" s="0" t="str">
        <f aca="false">IF(A94="","",V43_New!FB94)</f>
        <v/>
      </c>
      <c r="O94" s="0" t="str">
        <f aca="false">IF(A94="","",V43_New!FC94)</f>
        <v/>
      </c>
      <c r="P94" s="0" t="str">
        <f aca="false">IF(A94="","",V43_New!FD94)</f>
        <v/>
      </c>
      <c r="Q94" s="0" t="str">
        <f aca="false">IF(A94="","",V43_New!FE94)</f>
        <v/>
      </c>
      <c r="R94" s="0" t="str">
        <f aca="false">IF(A94="","",V43_New!FF94)</f>
        <v/>
      </c>
      <c r="S94" s="0" t="str">
        <f aca="false">IF(A94="","",V43_New!FG94)</f>
        <v/>
      </c>
      <c r="T94" s="0" t="str">
        <f aca="false">IF(A94="","",V43_New!FH94)</f>
        <v/>
      </c>
      <c r="U94" s="0" t="str">
        <f aca="false">IF(A94="","",V43_New!FI94)</f>
        <v/>
      </c>
      <c r="V94" s="0" t="str">
        <f aca="false">IF(A94="","",V43_New!FJ94)</f>
        <v/>
      </c>
      <c r="W94" s="0" t="str">
        <f aca="false">IF(A94="","",V43_New!FK94)</f>
        <v/>
      </c>
      <c r="X94" s="0" t="str">
        <f aca="false">IF(A94="","",V43_New!FL94)</f>
        <v/>
      </c>
      <c r="Y94" s="0" t="str">
        <f aca="false">IF(A94="","",V43_New!FM94)</f>
        <v/>
      </c>
      <c r="Z94" s="0" t="n">
        <f aca="false">IF(C95&lt;&gt;"",COUNT(C94:N94),0)</f>
        <v>1</v>
      </c>
      <c r="AA94" s="0" t="n">
        <f aca="false">IF(AND(O94="",P94="",Q94="",R94="",S94="",T94="",U94="",V94="",W94="",X94="",Y94=""),0,1)</f>
        <v>0</v>
      </c>
      <c r="AB94" s="15" t="str">
        <f aca="false">IF(OR(Z94&gt;=3,AA94=1),AVERAGE(C94:N94),"")</f>
        <v/>
      </c>
    </row>
    <row r="95" customFormat="false" ht="14.25" hidden="false" customHeight="false" outlineLevel="0" collapsed="false">
      <c r="A95" s="0" t="n">
        <f aca="false">Timestamp_Adjustment!D95</f>
        <v>1778248800</v>
      </c>
      <c r="B95" s="0" t="n">
        <f aca="false">IF(A95="","",V43_New!D95)</f>
        <v>4731.78</v>
      </c>
      <c r="C95" s="0" t="n">
        <f aca="false">IF(A95="","",V43_New!F95)</f>
        <v>4749.22</v>
      </c>
      <c r="D95" s="0" t="str">
        <f aca="false">IF(A95="","",V43_New!ER95)</f>
        <v/>
      </c>
      <c r="E95" s="0" t="str">
        <f aca="false">IF(A95="","",V43_New!ES95)</f>
        <v/>
      </c>
      <c r="F95" s="0" t="str">
        <f aca="false">IF(A95="","",V43_New!ET95)</f>
        <v/>
      </c>
      <c r="G95" s="0" t="str">
        <f aca="false">IF(A95="","",V43_New!EU95)</f>
        <v/>
      </c>
      <c r="H95" s="0" t="str">
        <f aca="false">IF(A95="","",V43_New!EV95)</f>
        <v/>
      </c>
      <c r="I95" s="0" t="str">
        <f aca="false">IF(A95="","",V43_New!EW95)</f>
        <v/>
      </c>
      <c r="J95" s="0" t="str">
        <f aca="false">IF(A95="","",V43_New!EX95)</f>
        <v/>
      </c>
      <c r="K95" s="0" t="str">
        <f aca="false">IF(A95="","",V43_New!EY95)</f>
        <v/>
      </c>
      <c r="L95" s="0" t="str">
        <f aca="false">IF(A95="","",V43_New!EZ95)</f>
        <v/>
      </c>
      <c r="M95" s="0" t="str">
        <f aca="false">IF(A95="","",V43_New!FA95)</f>
        <v/>
      </c>
      <c r="N95" s="0" t="str">
        <f aca="false">IF(A95="","",V43_New!FB95)</f>
        <v/>
      </c>
      <c r="O95" s="0" t="str">
        <f aca="false">IF(A95="","",V43_New!FC95)</f>
        <v/>
      </c>
      <c r="P95" s="0" t="str">
        <f aca="false">IF(A95="","",V43_New!FD95)</f>
        <v/>
      </c>
      <c r="Q95" s="0" t="str">
        <f aca="false">IF(A95="","",V43_New!FE95)</f>
        <v/>
      </c>
      <c r="R95" s="0" t="str">
        <f aca="false">IF(A95="","",V43_New!FF95)</f>
        <v/>
      </c>
      <c r="S95" s="0" t="str">
        <f aca="false">IF(A95="","",V43_New!FG95)</f>
        <v/>
      </c>
      <c r="T95" s="0" t="str">
        <f aca="false">IF(A95="","",V43_New!FH95)</f>
        <v/>
      </c>
      <c r="U95" s="0" t="str">
        <f aca="false">IF(A95="","",V43_New!FI95)</f>
        <v/>
      </c>
      <c r="V95" s="0" t="str">
        <f aca="false">IF(A95="","",V43_New!FJ95)</f>
        <v/>
      </c>
      <c r="W95" s="0" t="str">
        <f aca="false">IF(A95="","",V43_New!FK95)</f>
        <v/>
      </c>
      <c r="X95" s="0" t="str">
        <f aca="false">IF(A95="","",V43_New!FL95)</f>
        <v/>
      </c>
      <c r="Y95" s="0" t="str">
        <f aca="false">IF(A95="","",V43_New!FM95)</f>
        <v/>
      </c>
      <c r="Z95" s="0" t="n">
        <f aca="false">IF(C96&lt;&gt;"",COUNT(C95:N95),0)</f>
        <v>1</v>
      </c>
      <c r="AA95" s="0" t="n">
        <f aca="false">IF(AND(O95="",P95="",Q95="",R95="",S95="",T95="",U95="",V95="",W95="",X95="",Y95=""),0,1)</f>
        <v>0</v>
      </c>
      <c r="AB95" s="15" t="str">
        <f aca="false">IF(OR(Z95&gt;=3,AA95=1),AVERAGE(C95:N95),"")</f>
        <v/>
      </c>
    </row>
    <row r="96" customFormat="false" ht="14.25" hidden="false" customHeight="false" outlineLevel="0" collapsed="false">
      <c r="A96" s="0" t="n">
        <f aca="false">Timestamp_Adjustment!D96</f>
        <v>1778255100</v>
      </c>
      <c r="B96" s="0" t="n">
        <f aca="false">IF(A96="","",V43_New!D96)</f>
        <v>4707.13</v>
      </c>
      <c r="C96" s="0" t="n">
        <f aca="false">IF(A96="","",V43_New!F96)</f>
        <v>4702</v>
      </c>
      <c r="D96" s="0" t="str">
        <f aca="false">IF(A96="","",V43_New!ER96)</f>
        <v/>
      </c>
      <c r="E96" s="0" t="str">
        <f aca="false">IF(A96="","",V43_New!ES96)</f>
        <v/>
      </c>
      <c r="F96" s="0" t="str">
        <f aca="false">IF(A96="","",V43_New!ET96)</f>
        <v/>
      </c>
      <c r="G96" s="0" t="str">
        <f aca="false">IF(A96="","",V43_New!EU96)</f>
        <v/>
      </c>
      <c r="H96" s="0" t="str">
        <f aca="false">IF(A96="","",V43_New!EV96)</f>
        <v/>
      </c>
      <c r="I96" s="0" t="str">
        <f aca="false">IF(A96="","",V43_New!EW96)</f>
        <v/>
      </c>
      <c r="J96" s="0" t="str">
        <f aca="false">IF(A96="","",V43_New!EX96)</f>
        <v/>
      </c>
      <c r="K96" s="0" t="str">
        <f aca="false">IF(A96="","",V43_New!EY96)</f>
        <v/>
      </c>
      <c r="L96" s="0" t="str">
        <f aca="false">IF(A96="","",V43_New!EZ96)</f>
        <v/>
      </c>
      <c r="M96" s="0" t="str">
        <f aca="false">IF(A96="","",V43_New!FA96)</f>
        <v/>
      </c>
      <c r="N96" s="0" t="str">
        <f aca="false">IF(A96="","",V43_New!FB96)</f>
        <v/>
      </c>
      <c r="O96" s="0" t="str">
        <f aca="false">IF(A96="","",V43_New!FC96)</f>
        <v/>
      </c>
      <c r="P96" s="0" t="str">
        <f aca="false">IF(A96="","",V43_New!FD96)</f>
        <v/>
      </c>
      <c r="Q96" s="0" t="str">
        <f aca="false">IF(A96="","",V43_New!FE96)</f>
        <v/>
      </c>
      <c r="R96" s="0" t="str">
        <f aca="false">IF(A96="","",V43_New!FF96)</f>
        <v/>
      </c>
      <c r="S96" s="0" t="str">
        <f aca="false">IF(A96="","",V43_New!FG96)</f>
        <v/>
      </c>
      <c r="T96" s="0" t="str">
        <f aca="false">IF(A96="","",V43_New!FH96)</f>
        <v/>
      </c>
      <c r="U96" s="0" t="str">
        <f aca="false">IF(A96="","",V43_New!FI96)</f>
        <v/>
      </c>
      <c r="V96" s="0" t="str">
        <f aca="false">IF(A96="","",V43_New!FJ96)</f>
        <v/>
      </c>
      <c r="W96" s="0" t="str">
        <f aca="false">IF(A96="","",V43_New!FK96)</f>
        <v/>
      </c>
      <c r="X96" s="0" t="str">
        <f aca="false">IF(A96="","",V43_New!FL96)</f>
        <v/>
      </c>
      <c r="Y96" s="0" t="str">
        <f aca="false">IF(A96="","",V43_New!FM96)</f>
        <v/>
      </c>
      <c r="Z96" s="0" t="n">
        <f aca="false">IF(C97&lt;&gt;"",COUNT(C96:N96),0)</f>
        <v>1</v>
      </c>
      <c r="AA96" s="0" t="n">
        <f aca="false">IF(AND(O96="",P96="",Q96="",R96="",S96="",T96="",U96="",V96="",W96="",X96="",Y96=""),0,1)</f>
        <v>0</v>
      </c>
      <c r="AB96" s="15" t="str">
        <f aca="false">IF(OR(Z96&gt;=3,AA96=1),AVERAGE(C96:N96),"")</f>
        <v/>
      </c>
    </row>
    <row r="97" customFormat="false" ht="14.25" hidden="false" customHeight="false" outlineLevel="0" collapsed="false">
      <c r="A97" s="0" t="n">
        <f aca="false">Timestamp_Adjustment!D97</f>
        <v>1778264100</v>
      </c>
      <c r="B97" s="0" t="n">
        <f aca="false">IF(A97="","",V43_New!D97)</f>
        <v>4725.66</v>
      </c>
      <c r="C97" s="0" t="n">
        <f aca="false">IF(A97="","",V43_New!F97)</f>
        <v>4728.95</v>
      </c>
      <c r="D97" s="0" t="str">
        <f aca="false">IF(A97="","",V43_New!ER97)</f>
        <v/>
      </c>
      <c r="E97" s="0" t="str">
        <f aca="false">IF(A97="","",V43_New!ES97)</f>
        <v/>
      </c>
      <c r="F97" s="0" t="str">
        <f aca="false">IF(A97="","",V43_New!ET97)</f>
        <v/>
      </c>
      <c r="G97" s="0" t="str">
        <f aca="false">IF(A97="","",V43_New!EU97)</f>
        <v/>
      </c>
      <c r="H97" s="0" t="n">
        <f aca="false">IF(A97="","",V43_New!EV97)</f>
        <v>4721.44</v>
      </c>
      <c r="I97" s="0" t="str">
        <f aca="false">IF(A97="","",V43_New!EW97)</f>
        <v/>
      </c>
      <c r="J97" s="0" t="str">
        <f aca="false">IF(A97="","",V43_New!EX97)</f>
        <v/>
      </c>
      <c r="K97" s="0" t="n">
        <f aca="false">IF(A97="","",V43_New!EY97)</f>
        <v>4722.76</v>
      </c>
      <c r="L97" s="0" t="str">
        <f aca="false">IF(A97="","",V43_New!EZ97)</f>
        <v/>
      </c>
      <c r="M97" s="0" t="str">
        <f aca="false">IF(A97="","",V43_New!FA97)</f>
        <v/>
      </c>
      <c r="N97" s="0" t="str">
        <f aca="false">IF(A97="","",V43_New!FB97)</f>
        <v/>
      </c>
      <c r="O97" s="0" t="str">
        <f aca="false">IF(A97="","",V43_New!FC97)</f>
        <v/>
      </c>
      <c r="P97" s="0" t="str">
        <f aca="false">IF(A97="","",V43_New!FD97)</f>
        <v/>
      </c>
      <c r="Q97" s="0" t="str">
        <f aca="false">IF(A97="","",V43_New!FE97)</f>
        <v/>
      </c>
      <c r="R97" s="0" t="str">
        <f aca="false">IF(A97="","",V43_New!FF97)</f>
        <v/>
      </c>
      <c r="S97" s="0" t="str">
        <f aca="false">IF(A97="","",V43_New!FG97)</f>
        <v/>
      </c>
      <c r="T97" s="0" t="str">
        <f aca="false">IF(A97="","",V43_New!FH97)</f>
        <v/>
      </c>
      <c r="U97" s="0" t="str">
        <f aca="false">IF(A97="","",V43_New!FI97)</f>
        <v/>
      </c>
      <c r="V97" s="0" t="str">
        <f aca="false">IF(A97="","",V43_New!FJ97)</f>
        <v>IEQH</v>
      </c>
      <c r="W97" s="0" t="str">
        <f aca="false">IF(A97="","",V43_New!FK97)</f>
        <v/>
      </c>
      <c r="X97" s="0" t="str">
        <f aca="false">IF(A97="","",V43_New!FL97)</f>
        <v/>
      </c>
      <c r="Y97" s="0" t="str">
        <f aca="false">IF(A97="","",V43_New!FM97)</f>
        <v/>
      </c>
      <c r="Z97" s="0" t="n">
        <f aca="false">IF(C98&lt;&gt;"",COUNT(C97:N97),0)</f>
        <v>3</v>
      </c>
      <c r="AA97" s="0" t="n">
        <f aca="false">IF(AND(O97="",P97="",Q97="",R97="",S97="",T97="",U97="",V97="",W97="",X97="",Y97=""),0,1)</f>
        <v>1</v>
      </c>
      <c r="AB97" s="15" t="n">
        <f aca="false">IF(OR(Z97&gt;=3,AA97=1),AVERAGE(C97:N97),"")</f>
        <v>4724.38333333333</v>
      </c>
    </row>
    <row r="98" customFormat="false" ht="14.25" hidden="false" customHeight="false" outlineLevel="0" collapsed="false">
      <c r="A98" s="0" t="n">
        <f aca="false">Timestamp_Adjustment!D98</f>
        <v>1778460300</v>
      </c>
      <c r="B98" s="0" t="n">
        <f aca="false">IF(A98="","",V43_New!D98)</f>
        <v>4683.57</v>
      </c>
      <c r="C98" s="0" t="n">
        <f aca="false">IF(A98="","",V43_New!F98)</f>
        <v>4670.56</v>
      </c>
      <c r="D98" s="0" t="str">
        <f aca="false">IF(A98="","",V43_New!ER98)</f>
        <v/>
      </c>
      <c r="E98" s="0" t="str">
        <f aca="false">IF(A98="","",V43_New!ES98)</f>
        <v/>
      </c>
      <c r="F98" s="0" t="str">
        <f aca="false">IF(A98="","",V43_New!ET98)</f>
        <v/>
      </c>
      <c r="G98" s="0" t="n">
        <f aca="false">IF(A98="","",V43_New!EU98)</f>
        <v>4678.1</v>
      </c>
      <c r="H98" s="0" t="str">
        <f aca="false">IF(A98="","",V43_New!EV98)</f>
        <v/>
      </c>
      <c r="I98" s="0" t="str">
        <f aca="false">IF(A98="","",V43_New!EW98)</f>
        <v/>
      </c>
      <c r="J98" s="0" t="str">
        <f aca="false">IF(A98="","",V43_New!EX98)</f>
        <v/>
      </c>
      <c r="K98" s="0" t="str">
        <f aca="false">IF(A98="","",V43_New!EY98)</f>
        <v/>
      </c>
      <c r="L98" s="0" t="str">
        <f aca="false">IF(A98="","",V43_New!EZ98)</f>
        <v/>
      </c>
      <c r="M98" s="0" t="str">
        <f aca="false">IF(A98="","",V43_New!FA98)</f>
        <v/>
      </c>
      <c r="N98" s="0" t="str">
        <f aca="false">IF(A98="","",V43_New!FB98)</f>
        <v/>
      </c>
      <c r="O98" s="0" t="str">
        <f aca="false">IF(A98="","",V43_New!FC98)</f>
        <v/>
      </c>
      <c r="P98" s="0" t="str">
        <f aca="false">IF(A98="","",V43_New!FD98)</f>
        <v/>
      </c>
      <c r="Q98" s="0" t="str">
        <f aca="false">IF(A98="","",V43_New!FE98)</f>
        <v/>
      </c>
      <c r="R98" s="0" t="str">
        <f aca="false">IF(A98="","",V43_New!FF98)</f>
        <v/>
      </c>
      <c r="S98" s="0" t="str">
        <f aca="false">IF(A98="","",V43_New!FG98)</f>
        <v/>
      </c>
      <c r="T98" s="0" t="str">
        <f aca="false">IF(A98="","",V43_New!FH98)</f>
        <v/>
      </c>
      <c r="U98" s="0" t="str">
        <f aca="false">IF(A98="","",V43_New!FI98)</f>
        <v/>
      </c>
      <c r="V98" s="0" t="str">
        <f aca="false">IF(A98="","",V43_New!FJ98)</f>
        <v/>
      </c>
      <c r="W98" s="0" t="str">
        <f aca="false">IF(A98="","",V43_New!FK98)</f>
        <v/>
      </c>
      <c r="X98" s="0" t="str">
        <f aca="false">IF(A98="","",V43_New!FL98)</f>
        <v/>
      </c>
      <c r="Y98" s="0" t="str">
        <f aca="false">IF(A98="","",V43_New!FM98)</f>
        <v/>
      </c>
      <c r="Z98" s="0" t="n">
        <f aca="false">IF(C99&lt;&gt;"",COUNT(C98:N98),0)</f>
        <v>2</v>
      </c>
      <c r="AA98" s="0" t="n">
        <f aca="false">IF(AND(O98="",P98="",Q98="",R98="",S98="",T98="",U98="",V98="",W98="",X98="",Y98=""),0,1)</f>
        <v>0</v>
      </c>
      <c r="AB98" s="15" t="str">
        <f aca="false">IF(OR(Z98&gt;=3,AA98=1),AVERAGE(C98:N98),"")</f>
        <v/>
      </c>
    </row>
    <row r="99" customFormat="false" ht="14.25" hidden="false" customHeight="false" outlineLevel="0" collapsed="false">
      <c r="A99" s="0" t="n">
        <f aca="false">Timestamp_Adjustment!D99</f>
        <v>1778462100</v>
      </c>
      <c r="B99" s="0" t="n">
        <f aca="false">IF(A99="","",V43_New!D99)</f>
        <v>4699.01</v>
      </c>
      <c r="C99" s="0" t="n">
        <f aca="false">IF(A99="","",V43_New!F99)</f>
        <v>4705.4</v>
      </c>
      <c r="D99" s="0" t="str">
        <f aca="false">IF(A99="","",V43_New!ER99)</f>
        <v/>
      </c>
      <c r="E99" s="0" t="str">
        <f aca="false">IF(A99="","",V43_New!ES99)</f>
        <v/>
      </c>
      <c r="F99" s="0" t="str">
        <f aca="false">IF(A99="","",V43_New!ET99)</f>
        <v/>
      </c>
      <c r="G99" s="0" t="str">
        <f aca="false">IF(A99="","",V43_New!EU99)</f>
        <v/>
      </c>
      <c r="H99" s="0" t="str">
        <f aca="false">IF(A99="","",V43_New!EV99)</f>
        <v/>
      </c>
      <c r="I99" s="0" t="str">
        <f aca="false">IF(A99="","",V43_New!EW99)</f>
        <v/>
      </c>
      <c r="J99" s="0" t="str">
        <f aca="false">IF(A99="","",V43_New!EX99)</f>
        <v/>
      </c>
      <c r="K99" s="0" t="str">
        <f aca="false">IF(A99="","",V43_New!EY99)</f>
        <v/>
      </c>
      <c r="L99" s="0" t="str">
        <f aca="false">IF(A99="","",V43_New!EZ99)</f>
        <v/>
      </c>
      <c r="M99" s="0" t="str">
        <f aca="false">IF(A99="","",V43_New!FA99)</f>
        <v/>
      </c>
      <c r="N99" s="0" t="str">
        <f aca="false">IF(A99="","",V43_New!FB99)</f>
        <v/>
      </c>
      <c r="O99" s="0" t="str">
        <f aca="false">IF(A99="","",V43_New!FC99)</f>
        <v/>
      </c>
      <c r="P99" s="0" t="str">
        <f aca="false">IF(A99="","",V43_New!FD99)</f>
        <v/>
      </c>
      <c r="Q99" s="0" t="str">
        <f aca="false">IF(A99="","",V43_New!FE99)</f>
        <v/>
      </c>
      <c r="R99" s="0" t="str">
        <f aca="false">IF(A99="","",V43_New!FF99)</f>
        <v/>
      </c>
      <c r="S99" s="0" t="str">
        <f aca="false">IF(A99="","",V43_New!FG99)</f>
        <v/>
      </c>
      <c r="T99" s="0" t="str">
        <f aca="false">IF(A99="","",V43_New!FH99)</f>
        <v/>
      </c>
      <c r="U99" s="0" t="str">
        <f aca="false">IF(A99="","",V43_New!FI99)</f>
        <v/>
      </c>
      <c r="V99" s="0" t="str">
        <f aca="false">IF(A99="","",V43_New!FJ99)</f>
        <v/>
      </c>
      <c r="W99" s="0" t="str">
        <f aca="false">IF(A99="","",V43_New!FK99)</f>
        <v/>
      </c>
      <c r="X99" s="0" t="str">
        <f aca="false">IF(A99="","",V43_New!FL99)</f>
        <v/>
      </c>
      <c r="Y99" s="0" t="str">
        <f aca="false">IF(A99="","",V43_New!FM99)</f>
        <v/>
      </c>
      <c r="Z99" s="0" t="n">
        <f aca="false">IF(C100&lt;&gt;"",COUNT(C99:N99),0)</f>
        <v>1</v>
      </c>
      <c r="AA99" s="0" t="n">
        <f aca="false">IF(AND(O99="",P99="",Q99="",R99="",S99="",T99="",U99="",V99="",W99="",X99="",Y99=""),0,1)</f>
        <v>0</v>
      </c>
      <c r="AB99" s="15" t="str">
        <f aca="false">IF(OR(Z99&gt;=3,AA99=1),AVERAGE(C99:N99),"")</f>
        <v/>
      </c>
    </row>
    <row r="100" customFormat="false" ht="14.25" hidden="false" customHeight="false" outlineLevel="0" collapsed="false">
      <c r="A100" s="0" t="n">
        <f aca="false">Timestamp_Adjustment!D100</f>
        <v>1778478300</v>
      </c>
      <c r="B100" s="0" t="n">
        <f aca="false">IF(A100="","",V43_New!D100)</f>
        <v>4652.3</v>
      </c>
      <c r="C100" s="0" t="n">
        <f aca="false">IF(A100="","",V43_New!F100)</f>
        <v>4647.85</v>
      </c>
      <c r="D100" s="0" t="str">
        <f aca="false">IF(A100="","",V43_New!ER100)</f>
        <v/>
      </c>
      <c r="E100" s="0" t="str">
        <f aca="false">IF(A100="","",V43_New!ES100)</f>
        <v/>
      </c>
      <c r="F100" s="0" t="str">
        <f aca="false">IF(A100="","",V43_New!ET100)</f>
        <v/>
      </c>
      <c r="G100" s="0" t="str">
        <f aca="false">IF(A100="","",V43_New!EU100)</f>
        <v/>
      </c>
      <c r="H100" s="0" t="str">
        <f aca="false">IF(A100="","",V43_New!EV100)</f>
        <v/>
      </c>
      <c r="I100" s="0" t="str">
        <f aca="false">IF(A100="","",V43_New!EW100)</f>
        <v/>
      </c>
      <c r="J100" s="0" t="str">
        <f aca="false">IF(A100="","",V43_New!EX100)</f>
        <v/>
      </c>
      <c r="K100" s="0" t="str">
        <f aca="false">IF(A100="","",V43_New!EY100)</f>
        <v/>
      </c>
      <c r="L100" s="0" t="str">
        <f aca="false">IF(A100="","",V43_New!EZ100)</f>
        <v/>
      </c>
      <c r="M100" s="0" t="str">
        <f aca="false">IF(A100="","",V43_New!FA100)</f>
        <v/>
      </c>
      <c r="N100" s="0" t="str">
        <f aca="false">IF(A100="","",V43_New!FB100)</f>
        <v/>
      </c>
      <c r="O100" s="0" t="str">
        <f aca="false">IF(A100="","",V43_New!FC100)</f>
        <v/>
      </c>
      <c r="P100" s="0" t="str">
        <f aca="false">IF(A100="","",V43_New!FD100)</f>
        <v/>
      </c>
      <c r="Q100" s="0" t="str">
        <f aca="false">IF(A100="","",V43_New!FE100)</f>
        <v/>
      </c>
      <c r="R100" s="0" t="str">
        <f aca="false">IF(A100="","",V43_New!FF100)</f>
        <v/>
      </c>
      <c r="S100" s="0" t="str">
        <f aca="false">IF(A100="","",V43_New!FG100)</f>
        <v/>
      </c>
      <c r="T100" s="0" t="str">
        <f aca="false">IF(A100="","",V43_New!FH100)</f>
        <v/>
      </c>
      <c r="U100" s="0" t="str">
        <f aca="false">IF(A100="","",V43_New!FI100)</f>
        <v/>
      </c>
      <c r="V100" s="0" t="str">
        <f aca="false">IF(A100="","",V43_New!FJ100)</f>
        <v/>
      </c>
      <c r="W100" s="0" t="str">
        <f aca="false">IF(A100="","",V43_New!FK100)</f>
        <v/>
      </c>
      <c r="X100" s="0" t="str">
        <f aca="false">IF(A100="","",V43_New!FL100)</f>
        <v/>
      </c>
      <c r="Y100" s="0" t="str">
        <f aca="false">IF(A100="","",V43_New!FM100)</f>
        <v/>
      </c>
      <c r="Z100" s="0" t="n">
        <f aca="false">IF(C101&lt;&gt;"",COUNT(C100:N100),0)</f>
        <v>1</v>
      </c>
      <c r="AA100" s="0" t="n">
        <f aca="false">IF(AND(O100="",P100="",Q100="",R100="",S100="",T100="",U100="",V100="",W100="",X100="",Y100=""),0,1)</f>
        <v>0</v>
      </c>
      <c r="AB100" s="15" t="str">
        <f aca="false">IF(OR(Z100&gt;=3,AA100=1),AVERAGE(C100:N100),"")</f>
        <v/>
      </c>
    </row>
    <row r="101" customFormat="false" ht="14.25" hidden="false" customHeight="false" outlineLevel="0" collapsed="false">
      <c r="A101" s="0" t="n">
        <f aca="false">Timestamp_Adjustment!D101</f>
        <v>1778507100</v>
      </c>
      <c r="B101" s="0" t="n">
        <f aca="false">IF(A101="","",V43_New!D101)</f>
        <v>4736</v>
      </c>
      <c r="C101" s="0" t="n">
        <f aca="false">IF(A101="","",V43_New!F101)</f>
        <v>4748.44</v>
      </c>
      <c r="D101" s="0" t="str">
        <f aca="false">IF(A101="","",V43_New!ER101)</f>
        <v/>
      </c>
      <c r="E101" s="0" t="str">
        <f aca="false">IF(A101="","",V43_New!ES101)</f>
        <v/>
      </c>
      <c r="F101" s="0" t="n">
        <f aca="false">IF(A101="","",V43_New!ET101)</f>
        <v>4749.22</v>
      </c>
      <c r="G101" s="0" t="str">
        <f aca="false">IF(A101="","",V43_New!EU101)</f>
        <v/>
      </c>
      <c r="H101" s="0" t="str">
        <f aca="false">IF(A101="","",V43_New!EV101)</f>
        <v/>
      </c>
      <c r="I101" s="0" t="str">
        <f aca="false">IF(A101="","",V43_New!EW101)</f>
        <v/>
      </c>
      <c r="J101" s="0" t="str">
        <f aca="false">IF(A101="","",V43_New!EX101)</f>
        <v/>
      </c>
      <c r="K101" s="0" t="str">
        <f aca="false">IF(A101="","",V43_New!EY101)</f>
        <v/>
      </c>
      <c r="L101" s="0" t="str">
        <f aca="false">IF(A101="","",V43_New!EZ101)</f>
        <v/>
      </c>
      <c r="M101" s="0" t="str">
        <f aca="false">IF(A101="","",V43_New!FA101)</f>
        <v/>
      </c>
      <c r="N101" s="0" t="str">
        <f aca="false">IF(A101="","",V43_New!FB101)</f>
        <v/>
      </c>
      <c r="O101" s="0" t="str">
        <f aca="false">IF(A101="","",V43_New!FC101)</f>
        <v/>
      </c>
      <c r="P101" s="0" t="str">
        <f aca="false">IF(A101="","",V43_New!FD101)</f>
        <v/>
      </c>
      <c r="Q101" s="0" t="str">
        <f aca="false">IF(A101="","",V43_New!FE101)</f>
        <v/>
      </c>
      <c r="R101" s="0" t="str">
        <f aca="false">IF(A101="","",V43_New!FF101)</f>
        <v/>
      </c>
      <c r="S101" s="0" t="str">
        <f aca="false">IF(A101="","",V43_New!FG101)</f>
        <v/>
      </c>
      <c r="T101" s="0" t="str">
        <f aca="false">IF(A101="","",V43_New!FH101)</f>
        <v/>
      </c>
      <c r="U101" s="0" t="str">
        <f aca="false">IF(A101="","",V43_New!FI101)</f>
        <v/>
      </c>
      <c r="V101" s="0" t="str">
        <f aca="false">IF(A101="","",V43_New!FJ101)</f>
        <v/>
      </c>
      <c r="W101" s="0" t="str">
        <f aca="false">IF(A101="","",V43_New!FK101)</f>
        <v/>
      </c>
      <c r="X101" s="0" t="str">
        <f aca="false">IF(A101="","",V43_New!FL101)</f>
        <v/>
      </c>
      <c r="Y101" s="0" t="str">
        <f aca="false">IF(A101="","",V43_New!FM101)</f>
        <v/>
      </c>
      <c r="Z101" s="0" t="n">
        <f aca="false">IF(C102&lt;&gt;"",COUNT(C101:N101),0)</f>
        <v>2</v>
      </c>
      <c r="AA101" s="0" t="n">
        <f aca="false">IF(AND(O101="",P101="",Q101="",R101="",S101="",T101="",U101="",V101="",W101="",X101="",Y101=""),0,1)</f>
        <v>0</v>
      </c>
      <c r="AB101" s="15" t="str">
        <f aca="false">IF(OR(Z101&gt;=3,AA101=1),AVERAGE(C101:N101),"")</f>
        <v/>
      </c>
    </row>
    <row r="102" customFormat="false" ht="14.25" hidden="false" customHeight="false" outlineLevel="0" collapsed="false">
      <c r="A102" s="0" t="n">
        <f aca="false">Timestamp_Adjustment!D102</f>
        <v>1778517000</v>
      </c>
      <c r="B102" s="0" t="n">
        <f aca="false">IF(A102="","",V43_New!D102)</f>
        <v>4711.45</v>
      </c>
      <c r="C102" s="0" t="n">
        <f aca="false">IF(A102="","",V43_New!F102)</f>
        <v>4707.97</v>
      </c>
      <c r="D102" s="0" t="str">
        <f aca="false">IF(A102="","",V43_New!ER102)</f>
        <v/>
      </c>
      <c r="E102" s="0" t="str">
        <f aca="false">IF(A102="","",V43_New!ES102)</f>
        <v/>
      </c>
      <c r="F102" s="0" t="n">
        <f aca="false">IF(A102="","",V43_New!ET102)</f>
        <v>4702</v>
      </c>
      <c r="G102" s="0" t="str">
        <f aca="false">IF(A102="","",V43_New!EU102)</f>
        <v/>
      </c>
      <c r="H102" s="0" t="str">
        <f aca="false">IF(A102="","",V43_New!EV102)</f>
        <v/>
      </c>
      <c r="I102" s="0" t="str">
        <f aca="false">IF(A102="","",V43_New!EW102)</f>
        <v/>
      </c>
      <c r="J102" s="0" t="str">
        <f aca="false">IF(A102="","",V43_New!EX102)</f>
        <v/>
      </c>
      <c r="K102" s="0" t="str">
        <f aca="false">IF(A102="","",V43_New!EY102)</f>
        <v/>
      </c>
      <c r="L102" s="0" t="str">
        <f aca="false">IF(A102="","",V43_New!EZ102)</f>
        <v/>
      </c>
      <c r="M102" s="0" t="str">
        <f aca="false">IF(A102="","",V43_New!FA102)</f>
        <v/>
      </c>
      <c r="N102" s="0" t="str">
        <f aca="false">IF(A102="","",V43_New!FB102)</f>
        <v/>
      </c>
      <c r="O102" s="0" t="str">
        <f aca="false">IF(A102="","",V43_New!FC102)</f>
        <v/>
      </c>
      <c r="P102" s="0" t="str">
        <f aca="false">IF(A102="","",V43_New!FD102)</f>
        <v/>
      </c>
      <c r="Q102" s="0" t="str">
        <f aca="false">IF(A102="","",V43_New!FE102)</f>
        <v/>
      </c>
      <c r="R102" s="0" t="str">
        <f aca="false">IF(A102="","",V43_New!FF102)</f>
        <v/>
      </c>
      <c r="S102" s="0" t="str">
        <f aca="false">IF(A102="","",V43_New!FG102)</f>
        <v/>
      </c>
      <c r="T102" s="0" t="str">
        <f aca="false">IF(A102="","",V43_New!FH102)</f>
        <v/>
      </c>
      <c r="U102" s="0" t="str">
        <f aca="false">IF(A102="","",V43_New!FI102)</f>
        <v/>
      </c>
      <c r="V102" s="0" t="str">
        <f aca="false">IF(A102="","",V43_New!FJ102)</f>
        <v/>
      </c>
      <c r="W102" s="0" t="str">
        <f aca="false">IF(A102="","",V43_New!FK102)</f>
        <v/>
      </c>
      <c r="X102" s="0" t="str">
        <f aca="false">IF(A102="","",V43_New!FL102)</f>
        <v/>
      </c>
      <c r="Y102" s="0" t="str">
        <f aca="false">IF(A102="","",V43_New!FM102)</f>
        <v/>
      </c>
      <c r="Z102" s="0" t="n">
        <f aca="false">IF(C103&lt;&gt;"",COUNT(C102:N102),0)</f>
        <v>2</v>
      </c>
      <c r="AA102" s="0" t="n">
        <f aca="false">IF(AND(O102="",P102="",Q102="",R102="",S102="",T102="",U102="",V102="",W102="",X102="",Y102=""),0,1)</f>
        <v>0</v>
      </c>
      <c r="AB102" s="15" t="str">
        <f aca="false">IF(OR(Z102&gt;=3,AA102=1),AVERAGE(C102:N102),"")</f>
        <v/>
      </c>
    </row>
    <row r="103" customFormat="false" ht="14.25" hidden="false" customHeight="false" outlineLevel="0" collapsed="false">
      <c r="A103" s="0" t="n">
        <f aca="false">Timestamp_Adjustment!D103</f>
        <v>1778544900</v>
      </c>
      <c r="B103" s="0" t="n">
        <f aca="false">IF(A103="","",V43_New!D103)</f>
        <v>4762.38</v>
      </c>
      <c r="C103" s="0" t="n">
        <f aca="false">IF(A103="","",V43_New!F103)</f>
        <v>4773.58</v>
      </c>
      <c r="D103" s="0" t="str">
        <f aca="false">IF(A103="","",V43_New!ER103)</f>
        <v/>
      </c>
      <c r="E103" s="0" t="str">
        <f aca="false">IF(A103="","",V43_New!ES103)</f>
        <v/>
      </c>
      <c r="F103" s="0" t="str">
        <f aca="false">IF(A103="","",V43_New!ET103)</f>
        <v/>
      </c>
      <c r="G103" s="0" t="str">
        <f aca="false">IF(A103="","",V43_New!EU103)</f>
        <v/>
      </c>
      <c r="H103" s="0" t="str">
        <f aca="false">IF(A103="","",V43_New!EV103)</f>
        <v/>
      </c>
      <c r="I103" s="0" t="str">
        <f aca="false">IF(A103="","",V43_New!EW103)</f>
        <v/>
      </c>
      <c r="J103" s="0" t="n">
        <f aca="false">IF(A103="","",V43_New!EX103)</f>
        <v>4764.7</v>
      </c>
      <c r="K103" s="0" t="str">
        <f aca="false">IF(A103="","",V43_New!EY103)</f>
        <v/>
      </c>
      <c r="L103" s="0" t="str">
        <f aca="false">IF(A103="","",V43_New!EZ103)</f>
        <v/>
      </c>
      <c r="M103" s="0" t="str">
        <f aca="false">IF(A103="","",V43_New!FA103)</f>
        <v/>
      </c>
      <c r="N103" s="0" t="str">
        <f aca="false">IF(A103="","",V43_New!FB103)</f>
        <v/>
      </c>
      <c r="O103" s="0" t="str">
        <f aca="false">IF(A103="","",V43_New!FC103)</f>
        <v/>
      </c>
      <c r="P103" s="0" t="str">
        <f aca="false">IF(A103="","",V43_New!FD103)</f>
        <v/>
      </c>
      <c r="Q103" s="0" t="str">
        <f aca="false">IF(A103="","",V43_New!FE103)</f>
        <v/>
      </c>
      <c r="R103" s="0" t="str">
        <f aca="false">IF(A103="","",V43_New!FF103)</f>
        <v/>
      </c>
      <c r="S103" s="0" t="str">
        <f aca="false">IF(A103="","",V43_New!FG103)</f>
        <v/>
      </c>
      <c r="T103" s="0" t="str">
        <f aca="false">IF(A103="","",V43_New!FH103)</f>
        <v/>
      </c>
      <c r="U103" s="0" t="str">
        <f aca="false">IF(A103="","",V43_New!FI103)</f>
        <v/>
      </c>
      <c r="V103" s="0" t="str">
        <f aca="false">IF(A103="","",V43_New!FJ103)</f>
        <v/>
      </c>
      <c r="W103" s="0" t="str">
        <f aca="false">IF(A103="","",V43_New!FK103)</f>
        <v/>
      </c>
      <c r="X103" s="0" t="str">
        <f aca="false">IF(A103="","",V43_New!FL103)</f>
        <v/>
      </c>
      <c r="Y103" s="0" t="str">
        <f aca="false">IF(A103="","",V43_New!FM103)</f>
        <v/>
      </c>
      <c r="Z103" s="0" t="n">
        <f aca="false">IF(C104&lt;&gt;"",COUNT(C103:N103),0)</f>
        <v>2</v>
      </c>
      <c r="AA103" s="0" t="n">
        <f aca="false">IF(AND(O103="",P103="",Q103="",R103="",S103="",T103="",U103="",V103="",W103="",X103="",Y103=""),0,1)</f>
        <v>0</v>
      </c>
      <c r="AB103" s="15" t="str">
        <f aca="false">IF(OR(Z103&gt;=3,AA103=1),AVERAGE(C103:N103),"")</f>
        <v/>
      </c>
    </row>
    <row r="104" customFormat="false" ht="14.25" hidden="false" customHeight="false" outlineLevel="0" collapsed="false">
      <c r="A104" s="0" t="n">
        <f aca="false">Timestamp_Adjustment!D104</f>
        <v>1778569200</v>
      </c>
      <c r="B104" s="0" t="n">
        <f aca="false">IF(A104="","",V43_New!D104)</f>
        <v>4695.96</v>
      </c>
      <c r="C104" s="0" t="n">
        <f aca="false">IF(A104="","",V43_New!F104)</f>
        <v>4687.49</v>
      </c>
      <c r="D104" s="0" t="str">
        <f aca="false">IF(A104="","",V43_New!ER104)</f>
        <v/>
      </c>
      <c r="E104" s="0" t="str">
        <f aca="false">IF(A104="","",V43_New!ES104)</f>
        <v/>
      </c>
      <c r="F104" s="0" t="str">
        <f aca="false">IF(A104="","",V43_New!ET104)</f>
        <v/>
      </c>
      <c r="G104" s="0" t="str">
        <f aca="false">IF(A104="","",V43_New!EU104)</f>
        <v/>
      </c>
      <c r="H104" s="0" t="str">
        <f aca="false">IF(A104="","",V43_New!EV104)</f>
        <v/>
      </c>
      <c r="I104" s="0" t="str">
        <f aca="false">IF(A104="","",V43_New!EW104)</f>
        <v/>
      </c>
      <c r="J104" s="0" t="n">
        <f aca="false">IF(A104="","",V43_New!EX104)</f>
        <v>4678.1</v>
      </c>
      <c r="K104" s="0" t="str">
        <f aca="false">IF(A104="","",V43_New!EY104)</f>
        <v/>
      </c>
      <c r="L104" s="0" t="str">
        <f aca="false">IF(A104="","",V43_New!EZ104)</f>
        <v/>
      </c>
      <c r="M104" s="0" t="str">
        <f aca="false">IF(A104="","",V43_New!FA104)</f>
        <v/>
      </c>
      <c r="N104" s="0" t="str">
        <f aca="false">IF(A104="","",V43_New!FB104)</f>
        <v/>
      </c>
      <c r="O104" s="0" t="str">
        <f aca="false">IF(A104="","",V43_New!FC104)</f>
        <v/>
      </c>
      <c r="P104" s="0" t="str">
        <f aca="false">IF(A104="","",V43_New!FD104)</f>
        <v/>
      </c>
      <c r="Q104" s="0" t="str">
        <f aca="false">IF(A104="","",V43_New!FE104)</f>
        <v/>
      </c>
      <c r="R104" s="0" t="str">
        <f aca="false">IF(A104="","",V43_New!FF104)</f>
        <v/>
      </c>
      <c r="S104" s="0" t="str">
        <f aca="false">IF(A104="","",V43_New!FG104)</f>
        <v/>
      </c>
      <c r="T104" s="0" t="str">
        <f aca="false">IF(A104="","",V43_New!FH104)</f>
        <v/>
      </c>
      <c r="U104" s="0" t="str">
        <f aca="false">IF(A104="","",V43_New!FI104)</f>
        <v/>
      </c>
      <c r="V104" s="0" t="str">
        <f aca="false">IF(A104="","",V43_New!FJ104)</f>
        <v/>
      </c>
      <c r="W104" s="0" t="str">
        <f aca="false">IF(A104="","",V43_New!FK104)</f>
        <v/>
      </c>
      <c r="X104" s="0" t="str">
        <f aca="false">IF(A104="","",V43_New!FL104)</f>
        <v/>
      </c>
      <c r="Y104" s="0" t="str">
        <f aca="false">IF(A104="","",V43_New!FM104)</f>
        <v/>
      </c>
      <c r="Z104" s="0" t="n">
        <f aca="false">IF(C105&lt;&gt;"",COUNT(C104:N104),0)</f>
        <v>2</v>
      </c>
      <c r="AA104" s="0" t="n">
        <f aca="false">IF(AND(O104="",P104="",Q104="",R104="",S104="",T104="",U104="",V104="",W104="",X104="",Y104=""),0,1)</f>
        <v>0</v>
      </c>
      <c r="AB104" s="15" t="str">
        <f aca="false">IF(OR(Z104&gt;=3,AA104=1),AVERAGE(C104:N104),"")</f>
        <v/>
      </c>
    </row>
    <row r="105" customFormat="false" ht="14.25" hidden="false" customHeight="false" outlineLevel="0" collapsed="false">
      <c r="A105" s="0" t="n">
        <f aca="false">Timestamp_Adjustment!D105</f>
        <v>1778580000</v>
      </c>
      <c r="B105" s="0" t="n">
        <f aca="false">IF(A105="","",V43_New!D105)</f>
        <v>4705.08</v>
      </c>
      <c r="C105" s="0" t="n">
        <f aca="false">IF(A105="","",V43_New!F105)</f>
        <v>4708.47</v>
      </c>
      <c r="D105" s="0" t="str">
        <f aca="false">IF(A105="","",V43_New!ER105)</f>
        <v/>
      </c>
      <c r="E105" s="0" t="str">
        <f aca="false">IF(A105="","",V43_New!ES105)</f>
        <v/>
      </c>
      <c r="F105" s="0" t="str">
        <f aca="false">IF(A105="","",V43_New!ET105)</f>
        <v/>
      </c>
      <c r="G105" s="0" t="str">
        <f aca="false">IF(A105="","",V43_New!EU105)</f>
        <v/>
      </c>
      <c r="H105" s="0" t="str">
        <f aca="false">IF(A105="","",V43_New!EV105)</f>
        <v/>
      </c>
      <c r="I105" s="0" t="str">
        <f aca="false">IF(A105="","",V43_New!EW105)</f>
        <v/>
      </c>
      <c r="J105" s="0" t="str">
        <f aca="false">IF(A105="","",V43_New!EX105)</f>
        <v/>
      </c>
      <c r="K105" s="0" t="str">
        <f aca="false">IF(A105="","",V43_New!EY105)</f>
        <v/>
      </c>
      <c r="L105" s="0" t="str">
        <f aca="false">IF(A105="","",V43_New!EZ105)</f>
        <v/>
      </c>
      <c r="M105" s="0" t="str">
        <f aca="false">IF(A105="","",V43_New!FA105)</f>
        <v/>
      </c>
      <c r="N105" s="0" t="str">
        <f aca="false">IF(A105="","",V43_New!FB105)</f>
        <v/>
      </c>
      <c r="O105" s="0" t="str">
        <f aca="false">IF(A105="","",V43_New!FC105)</f>
        <v/>
      </c>
      <c r="P105" s="0" t="str">
        <f aca="false">IF(A105="","",V43_New!FD105)</f>
        <v/>
      </c>
      <c r="Q105" s="0" t="str">
        <f aca="false">IF(A105="","",V43_New!FE105)</f>
        <v/>
      </c>
      <c r="R105" s="0" t="str">
        <f aca="false">IF(A105="","",V43_New!FF105)</f>
        <v/>
      </c>
      <c r="S105" s="0" t="str">
        <f aca="false">IF(A105="","",V43_New!FG105)</f>
        <v/>
      </c>
      <c r="T105" s="0" t="str">
        <f aca="false">IF(A105="","",V43_New!FH105)</f>
        <v/>
      </c>
      <c r="U105" s="0" t="str">
        <f aca="false">IF(A105="","",V43_New!FI105)</f>
        <v/>
      </c>
      <c r="V105" s="0" t="str">
        <f aca="false">IF(A105="","",V43_New!FJ105)</f>
        <v/>
      </c>
      <c r="W105" s="0" t="str">
        <f aca="false">IF(A105="","",V43_New!FK105)</f>
        <v/>
      </c>
      <c r="X105" s="0" t="str">
        <f aca="false">IF(A105="","",V43_New!FL105)</f>
        <v/>
      </c>
      <c r="Y105" s="0" t="str">
        <f aca="false">IF(A105="","",V43_New!FM105)</f>
        <v/>
      </c>
      <c r="Z105" s="0" t="n">
        <f aca="false">IF(C106&lt;&gt;"",COUNT(C105:N105),0)</f>
        <v>1</v>
      </c>
      <c r="AA105" s="0" t="n">
        <f aca="false">IF(AND(O105="",P105="",Q105="",R105="",S105="",T105="",U105="",V105="",W105="",X105="",Y105=""),0,1)</f>
        <v>0</v>
      </c>
      <c r="AB105" s="15" t="str">
        <f aca="false">IF(OR(Z105&gt;=3,AA105=1),AVERAGE(C105:N105),"")</f>
        <v/>
      </c>
    </row>
    <row r="106" customFormat="false" ht="14.25" hidden="false" customHeight="false" outlineLevel="0" collapsed="false">
      <c r="A106" s="0" t="n">
        <f aca="false">Timestamp_Adjustment!D106</f>
        <v>1778581800</v>
      </c>
      <c r="B106" s="0" t="n">
        <f aca="false">IF(A106="","",V43_New!D106)</f>
        <v>4690.76</v>
      </c>
      <c r="C106" s="0" t="n">
        <f aca="false">IF(A106="","",V43_New!F106)</f>
        <v>4685.14</v>
      </c>
      <c r="D106" s="0" t="n">
        <f aca="false">IF(A106="","",V43_New!ER106)</f>
        <v>4687.49</v>
      </c>
      <c r="E106" s="0" t="str">
        <f aca="false">IF(A106="","",V43_New!ES106)</f>
        <v/>
      </c>
      <c r="F106" s="0" t="str">
        <f aca="false">IF(A106="","",V43_New!ET106)</f>
        <v/>
      </c>
      <c r="G106" s="0" t="str">
        <f aca="false">IF(A106="","",V43_New!EU106)</f>
        <v/>
      </c>
      <c r="H106" s="0" t="str">
        <f aca="false">IF(A106="","",V43_New!EV106)</f>
        <v/>
      </c>
      <c r="I106" s="0" t="str">
        <f aca="false">IF(A106="","",V43_New!EW106)</f>
        <v/>
      </c>
      <c r="J106" s="0" t="str">
        <f aca="false">IF(A106="","",V43_New!EX106)</f>
        <v/>
      </c>
      <c r="K106" s="0" t="n">
        <f aca="false">IF(A106="","",V43_New!EY106)</f>
        <v>4678.1</v>
      </c>
      <c r="L106" s="0" t="str">
        <f aca="false">IF(A106="","",V43_New!EZ106)</f>
        <v/>
      </c>
      <c r="M106" s="0" t="str">
        <f aca="false">IF(A106="","",V43_New!FA106)</f>
        <v/>
      </c>
      <c r="N106" s="0" t="str">
        <f aca="false">IF(A106="","",V43_New!FB106)</f>
        <v/>
      </c>
      <c r="O106" s="0" t="str">
        <f aca="false">IF(A106="","",V43_New!FC106)</f>
        <v/>
      </c>
      <c r="P106" s="0" t="str">
        <f aca="false">IF(A106="","",V43_New!FD106)</f>
        <v/>
      </c>
      <c r="Q106" s="0" t="str">
        <f aca="false">IF(A106="","",V43_New!FE106)</f>
        <v/>
      </c>
      <c r="R106" s="0" t="str">
        <f aca="false">IF(A106="","",V43_New!FF106)</f>
        <v/>
      </c>
      <c r="S106" s="0" t="str">
        <f aca="false">IF(A106="","",V43_New!FG106)</f>
        <v/>
      </c>
      <c r="T106" s="0" t="str">
        <f aca="false">IF(A106="","",V43_New!FH106)</f>
        <v/>
      </c>
      <c r="U106" s="0" t="str">
        <f aca="false">IF(A106="","",V43_New!FI106)</f>
        <v/>
      </c>
      <c r="V106" s="0" t="str">
        <f aca="false">IF(A106="","",V43_New!FJ106)</f>
        <v/>
      </c>
      <c r="W106" s="0" t="str">
        <f aca="false">IF(A106="","",V43_New!FK106)</f>
        <v/>
      </c>
      <c r="X106" s="0" t="str">
        <f aca="false">IF(A106="","",V43_New!FL106)</f>
        <v/>
      </c>
      <c r="Y106" s="0" t="str">
        <f aca="false">IF(A106="","",V43_New!FM106)</f>
        <v/>
      </c>
      <c r="Z106" s="0" t="n">
        <f aca="false">IF(C107&lt;&gt;"",COUNT(C106:N106),0)</f>
        <v>3</v>
      </c>
      <c r="AA106" s="0" t="n">
        <f aca="false">IF(AND(O106="",P106="",Q106="",R106="",S106="",T106="",U106="",V106="",W106="",X106="",Y106=""),0,1)</f>
        <v>0</v>
      </c>
      <c r="AB106" s="15" t="n">
        <f aca="false">IF(OR(Z106&gt;=3,AA106=1),AVERAGE(C106:N106),"")</f>
        <v>4683.57666666667</v>
      </c>
    </row>
    <row r="107" customFormat="false" ht="14.25" hidden="false" customHeight="false" outlineLevel="0" collapsed="false">
      <c r="A107" s="0" t="n">
        <f aca="false">Timestamp_Adjustment!D107</f>
        <v>1778589900</v>
      </c>
      <c r="B107" s="0" t="n">
        <f aca="false">IF(A107="","",V43_New!D107)</f>
        <v>4705.75</v>
      </c>
      <c r="C107" s="0" t="n">
        <f aca="false">IF(A107="","",V43_New!F107)</f>
        <v>4711.51</v>
      </c>
      <c r="D107" s="0" t="str">
        <f aca="false">IF(A107="","",V43_New!ER107)</f>
        <v/>
      </c>
      <c r="E107" s="0" t="str">
        <f aca="false">IF(A107="","",V43_New!ES107)</f>
        <v/>
      </c>
      <c r="F107" s="0" t="str">
        <f aca="false">IF(A107="","",V43_New!ET107)</f>
        <v/>
      </c>
      <c r="G107" s="0" t="str">
        <f aca="false">IF(A107="","",V43_New!EU107)</f>
        <v/>
      </c>
      <c r="H107" s="0" t="str">
        <f aca="false">IF(A107="","",V43_New!EV107)</f>
        <v/>
      </c>
      <c r="I107" s="0" t="str">
        <f aca="false">IF(A107="","",V43_New!EW107)</f>
        <v/>
      </c>
      <c r="J107" s="0" t="str">
        <f aca="false">IF(A107="","",V43_New!EX107)</f>
        <v/>
      </c>
      <c r="K107" s="0" t="str">
        <f aca="false">IF(A107="","",V43_New!EY107)</f>
        <v/>
      </c>
      <c r="L107" s="0" t="str">
        <f aca="false">IF(A107="","",V43_New!EZ107)</f>
        <v/>
      </c>
      <c r="M107" s="0" t="n">
        <f aca="false">IF(A107="","",V43_New!FA107)</f>
        <v>4721.44</v>
      </c>
      <c r="N107" s="0" t="str">
        <f aca="false">IF(A107="","",V43_New!FB107)</f>
        <v/>
      </c>
      <c r="O107" s="0" t="str">
        <f aca="false">IF(A107="","",V43_New!FC107)</f>
        <v/>
      </c>
      <c r="P107" s="0" t="str">
        <f aca="false">IF(A107="","",V43_New!FD107)</f>
        <v/>
      </c>
      <c r="Q107" s="0" t="str">
        <f aca="false">IF(A107="","",V43_New!FE107)</f>
        <v/>
      </c>
      <c r="R107" s="0" t="str">
        <f aca="false">IF(A107="","",V43_New!FF107)</f>
        <v/>
      </c>
      <c r="S107" s="0" t="str">
        <f aca="false">IF(A107="","",V43_New!FG107)</f>
        <v/>
      </c>
      <c r="T107" s="0" t="str">
        <f aca="false">IF(A107="","",V43_New!FH107)</f>
        <v/>
      </c>
      <c r="U107" s="0" t="str">
        <f aca="false">IF(A107="","",V43_New!FI107)</f>
        <v/>
      </c>
      <c r="V107" s="0" t="str">
        <f aca="false">IF(A107="","",V43_New!FJ107)</f>
        <v/>
      </c>
      <c r="W107" s="0" t="str">
        <f aca="false">IF(A107="","",V43_New!FK107)</f>
        <v/>
      </c>
      <c r="X107" s="0" t="str">
        <f aca="false">IF(A107="","",V43_New!FL107)</f>
        <v/>
      </c>
      <c r="Y107" s="0" t="str">
        <f aca="false">IF(A107="","",V43_New!FM107)</f>
        <v/>
      </c>
      <c r="Z107" s="0" t="n">
        <f aca="false">IF(C108&lt;&gt;"",COUNT(C107:N107),0)</f>
        <v>2</v>
      </c>
      <c r="AA107" s="0" t="n">
        <f aca="false">IF(AND(O107="",P107="",Q107="",R107="",S107="",T107="",U107="",V107="",W107="",X107="",Y107=""),0,1)</f>
        <v>0</v>
      </c>
      <c r="AB107" s="15" t="str">
        <f aca="false">IF(OR(Z107&gt;=3,AA107=1),AVERAGE(C107:N107),"")</f>
        <v/>
      </c>
    </row>
    <row r="108" customFormat="false" ht="14.25" hidden="false" customHeight="false" outlineLevel="0" collapsed="false">
      <c r="A108" s="0" t="n">
        <f aca="false">Timestamp_Adjustment!D108</f>
        <v>1778598900</v>
      </c>
      <c r="B108" s="0" t="n">
        <f aca="false">IF(A108="","",V43_New!D108)</f>
        <v>4656.04</v>
      </c>
      <c r="C108" s="0" t="n">
        <f aca="false">IF(A108="","",V43_New!F108)</f>
        <v>4638.57</v>
      </c>
      <c r="D108" s="0" t="str">
        <f aca="false">IF(A108="","",V43_New!ER108)</f>
        <v/>
      </c>
      <c r="E108" s="0" t="str">
        <f aca="false">IF(A108="","",V43_New!ES108)</f>
        <v/>
      </c>
      <c r="F108" s="0" t="str">
        <f aca="false">IF(A108="","",V43_New!ET108)</f>
        <v/>
      </c>
      <c r="G108" s="0" t="n">
        <f aca="false">IF(A108="","",V43_New!EU108)</f>
        <v>4647.85</v>
      </c>
      <c r="H108" s="0" t="str">
        <f aca="false">IF(A108="","",V43_New!EV108)</f>
        <v/>
      </c>
      <c r="I108" s="0" t="str">
        <f aca="false">IF(A108="","",V43_New!EW108)</f>
        <v/>
      </c>
      <c r="J108" s="0" t="str">
        <f aca="false">IF(A108="","",V43_New!EX108)</f>
        <v/>
      </c>
      <c r="K108" s="0" t="str">
        <f aca="false">IF(A108="","",V43_New!EY108)</f>
        <v/>
      </c>
      <c r="L108" s="0" t="str">
        <f aca="false">IF(A108="","",V43_New!EZ108)</f>
        <v/>
      </c>
      <c r="M108" s="0" t="str">
        <f aca="false">IF(A108="","",V43_New!FA108)</f>
        <v/>
      </c>
      <c r="N108" s="0" t="str">
        <f aca="false">IF(A108="","",V43_New!FB108)</f>
        <v/>
      </c>
      <c r="O108" s="0" t="str">
        <f aca="false">IF(A108="","",V43_New!FC108)</f>
        <v/>
      </c>
      <c r="P108" s="0" t="str">
        <f aca="false">IF(A108="","",V43_New!FD108)</f>
        <v/>
      </c>
      <c r="Q108" s="0" t="str">
        <f aca="false">IF(A108="","",V43_New!FE108)</f>
        <v/>
      </c>
      <c r="R108" s="0" t="str">
        <f aca="false">IF(A108="","",V43_New!FF108)</f>
        <v/>
      </c>
      <c r="S108" s="0" t="str">
        <f aca="false">IF(A108="","",V43_New!FG108)</f>
        <v/>
      </c>
      <c r="T108" s="0" t="str">
        <f aca="false">IF(A108="","",V43_New!FH108)</f>
        <v/>
      </c>
      <c r="U108" s="0" t="str">
        <f aca="false">IF(A108="","",V43_New!FI108)</f>
        <v/>
      </c>
      <c r="V108" s="0" t="str">
        <f aca="false">IF(A108="","",V43_New!FJ108)</f>
        <v/>
      </c>
      <c r="W108" s="0" t="str">
        <f aca="false">IF(A108="","",V43_New!FK108)</f>
        <v/>
      </c>
      <c r="X108" s="0" t="str">
        <f aca="false">IF(A108="","",V43_New!FL108)</f>
        <v/>
      </c>
      <c r="Y108" s="0" t="str">
        <f aca="false">IF(A108="","",V43_New!FM108)</f>
        <v/>
      </c>
      <c r="Z108" s="0" t="n">
        <f aca="false">IF(C109&lt;&gt;"",COUNT(C108:N108),0)</f>
        <v>2</v>
      </c>
      <c r="AA108" s="0" t="n">
        <f aca="false">IF(AND(O108="",P108="",Q108="",R108="",S108="",T108="",U108="",V108="",W108="",X108="",Y108=""),0,1)</f>
        <v>0</v>
      </c>
      <c r="AB108" s="15" t="str">
        <f aca="false">IF(OR(Z108&gt;=3,AA108=1),AVERAGE(C108:N108),"")</f>
        <v/>
      </c>
    </row>
    <row r="109" customFormat="false" ht="14.25" hidden="false" customHeight="false" outlineLevel="0" collapsed="false">
      <c r="A109" s="0" t="n">
        <f aca="false">Timestamp_Adjustment!D109</f>
        <v>1778630400</v>
      </c>
      <c r="B109" s="0" t="n">
        <f aca="false">IF(A109="","",V43_New!D109)</f>
        <v>4720.28</v>
      </c>
      <c r="C109" s="0" t="n">
        <f aca="false">IF(A109="","",V43_New!F109)</f>
        <v>4726.76</v>
      </c>
      <c r="D109" s="0" t="str">
        <f aca="false">IF(A109="","",V43_New!ER109)</f>
        <v/>
      </c>
      <c r="E109" s="0" t="str">
        <f aca="false">IF(A109="","",V43_New!ES109)</f>
        <v/>
      </c>
      <c r="F109" s="0" t="str">
        <f aca="false">IF(A109="","",V43_New!ET109)</f>
        <v/>
      </c>
      <c r="G109" s="0" t="str">
        <f aca="false">IF(A109="","",V43_New!EU109)</f>
        <v/>
      </c>
      <c r="H109" s="0" t="str">
        <f aca="false">IF(A109="","",V43_New!EV109)</f>
        <v/>
      </c>
      <c r="I109" s="0" t="str">
        <f aca="false">IF(A109="","",V43_New!EW109)</f>
        <v/>
      </c>
      <c r="J109" s="0" t="str">
        <f aca="false">IF(A109="","",V43_New!EX109)</f>
        <v/>
      </c>
      <c r="K109" s="0" t="str">
        <f aca="false">IF(A109="","",V43_New!EY109)</f>
        <v/>
      </c>
      <c r="L109" s="0" t="str">
        <f aca="false">IF(A109="","",V43_New!EZ109)</f>
        <v/>
      </c>
      <c r="M109" s="0" t="str">
        <f aca="false">IF(A109="","",V43_New!FA109)</f>
        <v/>
      </c>
      <c r="N109" s="0" t="n">
        <f aca="false">IF(A109="","",V43_New!FB109)</f>
        <v>4721.44</v>
      </c>
      <c r="O109" s="0" t="str">
        <f aca="false">IF(A109="","",V43_New!FC109)</f>
        <v/>
      </c>
      <c r="P109" s="0" t="str">
        <f aca="false">IF(A109="","",V43_New!FD109)</f>
        <v/>
      </c>
      <c r="Q109" s="0" t="str">
        <f aca="false">IF(A109="","",V43_New!FE109)</f>
        <v/>
      </c>
      <c r="R109" s="0" t="str">
        <f aca="false">IF(A109="","",V43_New!FF109)</f>
        <v/>
      </c>
      <c r="S109" s="0" t="str">
        <f aca="false">IF(A109="","",V43_New!FG109)</f>
        <v/>
      </c>
      <c r="T109" s="0" t="str">
        <f aca="false">IF(A109="","",V43_New!FH109)</f>
        <v/>
      </c>
      <c r="U109" s="0" t="str">
        <f aca="false">IF(A109="","",V43_New!FI109)</f>
        <v/>
      </c>
      <c r="V109" s="0" t="str">
        <f aca="false">IF(A109="","",V43_New!FJ109)</f>
        <v/>
      </c>
      <c r="W109" s="0" t="str">
        <f aca="false">IF(A109="","",V43_New!FK109)</f>
        <v/>
      </c>
      <c r="X109" s="0" t="str">
        <f aca="false">IF(A109="","",V43_New!FL109)</f>
        <v/>
      </c>
      <c r="Y109" s="0" t="str">
        <f aca="false">IF(A109="","",V43_New!FM109)</f>
        <v/>
      </c>
      <c r="Z109" s="0" t="n">
        <f aca="false">IF(C110&lt;&gt;"",COUNT(C109:N109),0)</f>
        <v>2</v>
      </c>
      <c r="AA109" s="0" t="n">
        <f aca="false">IF(AND(O109="",P109="",Q109="",R109="",S109="",T109="",U109="",V109="",W109="",X109="",Y109=""),0,1)</f>
        <v>0</v>
      </c>
      <c r="AB109" s="15" t="str">
        <f aca="false">IF(OR(Z109&gt;=3,AA109=1),AVERAGE(C109:N109),"")</f>
        <v/>
      </c>
    </row>
    <row r="110" customFormat="false" ht="14.25" hidden="false" customHeight="false" outlineLevel="0" collapsed="false">
      <c r="A110" s="0" t="n">
        <f aca="false">Timestamp_Adjustment!D110</f>
        <v>1778640300</v>
      </c>
      <c r="B110" s="0" t="n">
        <f aca="false">IF(A110="","",V43_New!D110)</f>
        <v>4691.9</v>
      </c>
      <c r="C110" s="0" t="n">
        <f aca="false">IF(A110="","",V43_New!F110)</f>
        <v>4687.6</v>
      </c>
      <c r="D110" s="0" t="str">
        <f aca="false">IF(A110="","",V43_New!ER110)</f>
        <v/>
      </c>
      <c r="E110" s="0" t="n">
        <f aca="false">IF(A110="","",V43_New!ES110)</f>
        <v>4685.14</v>
      </c>
      <c r="F110" s="0" t="n">
        <f aca="false">IF(A110="","",V43_New!ET110)</f>
        <v>4687.49</v>
      </c>
      <c r="G110" s="0" t="str">
        <f aca="false">IF(A110="","",V43_New!EU110)</f>
        <v/>
      </c>
      <c r="H110" s="0" t="str">
        <f aca="false">IF(A110="","",V43_New!EV110)</f>
        <v/>
      </c>
      <c r="I110" s="0" t="str">
        <f aca="false">IF(A110="","",V43_New!EW110)</f>
        <v/>
      </c>
      <c r="J110" s="0" t="str">
        <f aca="false">IF(A110="","",V43_New!EX110)</f>
        <v/>
      </c>
      <c r="K110" s="0" t="str">
        <f aca="false">IF(A110="","",V43_New!EY110)</f>
        <v/>
      </c>
      <c r="L110" s="0" t="str">
        <f aca="false">IF(A110="","",V43_New!EZ110)</f>
        <v/>
      </c>
      <c r="M110" s="0" t="n">
        <f aca="false">IF(A110="","",V43_New!FA110)</f>
        <v>4678.1</v>
      </c>
      <c r="N110" s="0" t="str">
        <f aca="false">IF(A110="","",V43_New!FB110)</f>
        <v/>
      </c>
      <c r="O110" s="0" t="str">
        <f aca="false">IF(A110="","",V43_New!FC110)</f>
        <v/>
      </c>
      <c r="P110" s="0" t="str">
        <f aca="false">IF(A110="","",V43_New!FD110)</f>
        <v/>
      </c>
      <c r="Q110" s="0" t="str">
        <f aca="false">IF(A110="","",V43_New!FE110)</f>
        <v/>
      </c>
      <c r="R110" s="0" t="str">
        <f aca="false">IF(A110="","",V43_New!FF110)</f>
        <v/>
      </c>
      <c r="S110" s="0" t="str">
        <f aca="false">IF(A110="","",V43_New!FG110)</f>
        <v/>
      </c>
      <c r="T110" s="0" t="str">
        <f aca="false">IF(A110="","",V43_New!FH110)</f>
        <v/>
      </c>
      <c r="U110" s="0" t="str">
        <f aca="false">IF(A110="","",V43_New!FI110)</f>
        <v/>
      </c>
      <c r="V110" s="0" t="str">
        <f aca="false">IF(A110="","",V43_New!FJ110)</f>
        <v/>
      </c>
      <c r="W110" s="0" t="str">
        <f aca="false">IF(A110="","",V43_New!FK110)</f>
        <v/>
      </c>
      <c r="X110" s="0" t="str">
        <f aca="false">IF(A110="","",V43_New!FL110)</f>
        <v/>
      </c>
      <c r="Y110" s="0" t="str">
        <f aca="false">IF(A110="","",V43_New!FM110)</f>
        <v/>
      </c>
      <c r="Z110" s="0" t="n">
        <f aca="false">IF(C111&lt;&gt;"",COUNT(C110:N110),0)</f>
        <v>4</v>
      </c>
      <c r="AA110" s="0" t="n">
        <f aca="false">IF(AND(O110="",P110="",Q110="",R110="",S110="",T110="",U110="",V110="",W110="",X110="",Y110=""),0,1)</f>
        <v>0</v>
      </c>
      <c r="AB110" s="15" t="n">
        <f aca="false">IF(OR(Z110&gt;=3,AA110=1),AVERAGE(C110:N110),"")</f>
        <v>4684.5825</v>
      </c>
    </row>
    <row r="111" customFormat="false" ht="14.25" hidden="false" customHeight="false" outlineLevel="0" collapsed="false">
      <c r="A111" s="0" t="n">
        <f aca="false">Timestamp_Adjustment!D111</f>
        <v>1778652900</v>
      </c>
      <c r="B111" s="0" t="n">
        <f aca="false">IF(A111="","",V43_New!D111)</f>
        <v>4708.78</v>
      </c>
      <c r="C111" s="0" t="n">
        <f aca="false">IF(A111="","",V43_New!F111)</f>
        <v>4715.35</v>
      </c>
      <c r="D111" s="0" t="n">
        <f aca="false">IF(A111="","",V43_New!ER111)</f>
        <v>4726.76</v>
      </c>
      <c r="E111" s="0" t="n">
        <f aca="false">IF(A111="","",V43_New!ES111)</f>
        <v>4711.51</v>
      </c>
      <c r="F111" s="0" t="str">
        <f aca="false">IF(A111="","",V43_New!ET111)</f>
        <v/>
      </c>
      <c r="G111" s="0" t="str">
        <f aca="false">IF(A111="","",V43_New!EU111)</f>
        <v/>
      </c>
      <c r="H111" s="0" t="str">
        <f aca="false">IF(A111="","",V43_New!EV111)</f>
        <v/>
      </c>
      <c r="I111" s="0" t="str">
        <f aca="false">IF(A111="","",V43_New!EW111)</f>
        <v/>
      </c>
      <c r="J111" s="0" t="str">
        <f aca="false">IF(A111="","",V43_New!EX111)</f>
        <v/>
      </c>
      <c r="K111" s="0" t="str">
        <f aca="false">IF(A111="","",V43_New!EY111)</f>
        <v/>
      </c>
      <c r="L111" s="0" t="str">
        <f aca="false">IF(A111="","",V43_New!EZ111)</f>
        <v/>
      </c>
      <c r="M111" s="0" t="str">
        <f aca="false">IF(A111="","",V43_New!FA111)</f>
        <v/>
      </c>
      <c r="N111" s="0" t="str">
        <f aca="false">IF(A111="","",V43_New!FB111)</f>
        <v/>
      </c>
      <c r="O111" s="0" t="str">
        <f aca="false">IF(A111="","",V43_New!FC111)</f>
        <v/>
      </c>
      <c r="P111" s="0" t="str">
        <f aca="false">IF(A111="","",V43_New!FD111)</f>
        <v/>
      </c>
      <c r="Q111" s="0" t="str">
        <f aca="false">IF(A111="","",V43_New!FE111)</f>
        <v/>
      </c>
      <c r="R111" s="0" t="str">
        <f aca="false">IF(A111="","",V43_New!FF111)</f>
        <v/>
      </c>
      <c r="S111" s="0" t="str">
        <f aca="false">IF(A111="","",V43_New!FG111)</f>
        <v/>
      </c>
      <c r="T111" s="0" t="str">
        <f aca="false">IF(A111="","",V43_New!FH111)</f>
        <v/>
      </c>
      <c r="U111" s="0" t="str">
        <f aca="false">IF(A111="","",V43_New!FI111)</f>
        <v/>
      </c>
      <c r="V111" s="0" t="str">
        <f aca="false">IF(A111="","",V43_New!FJ111)</f>
        <v/>
      </c>
      <c r="W111" s="0" t="str">
        <f aca="false">IF(A111="","",V43_New!FK111)</f>
        <v/>
      </c>
      <c r="X111" s="0" t="str">
        <f aca="false">IF(A111="","",V43_New!FL111)</f>
        <v/>
      </c>
      <c r="Y111" s="0" t="str">
        <f aca="false">IF(A111="","",V43_New!FM111)</f>
        <v/>
      </c>
      <c r="Z111" s="0" t="n">
        <f aca="false">IF(C112&lt;&gt;"",COUNT(C111:N111),0)</f>
        <v>3</v>
      </c>
      <c r="AA111" s="0" t="n">
        <f aca="false">IF(AND(O111="",P111="",Q111="",R111="",S111="",T111="",U111="",V111="",W111="",X111="",Y111=""),0,1)</f>
        <v>0</v>
      </c>
      <c r="AB111" s="15" t="n">
        <f aca="false">IF(OR(Z111&gt;=3,AA111=1),AVERAGE(C111:N111),"")</f>
        <v>4717.87333333333</v>
      </c>
    </row>
    <row r="112" customFormat="false" ht="14.25" hidden="false" customHeight="false" outlineLevel="0" collapsed="false">
      <c r="A112" s="0" t="n">
        <f aca="false">Timestamp_Adjustment!D112</f>
        <v>1778664600</v>
      </c>
      <c r="B112" s="0" t="n">
        <f aca="false">IF(A112="","",V43_New!D112)</f>
        <v>4694.22</v>
      </c>
      <c r="C112" s="0" t="n">
        <f aca="false">IF(A112="","",V43_New!F112)</f>
        <v>4685.97</v>
      </c>
      <c r="D112" s="0" t="str">
        <f aca="false">IF(A112="","",V43_New!ER112)</f>
        <v/>
      </c>
      <c r="E112" s="0" t="str">
        <f aca="false">IF(A112="","",V43_New!ES112)</f>
        <v/>
      </c>
      <c r="F112" s="0" t="n">
        <f aca="false">IF(A112="","",V43_New!ET112)</f>
        <v>4685.14</v>
      </c>
      <c r="G112" s="0" t="n">
        <f aca="false">IF(A112="","",V43_New!EU112)</f>
        <v>4687.49</v>
      </c>
      <c r="H112" s="0" t="str">
        <f aca="false">IF(A112="","",V43_New!EV112)</f>
        <v/>
      </c>
      <c r="I112" s="0" t="str">
        <f aca="false">IF(A112="","",V43_New!EW112)</f>
        <v/>
      </c>
      <c r="J112" s="0" t="str">
        <f aca="false">IF(A112="","",V43_New!EX112)</f>
        <v/>
      </c>
      <c r="K112" s="0" t="str">
        <f aca="false">IF(A112="","",V43_New!EY112)</f>
        <v/>
      </c>
      <c r="L112" s="0" t="str">
        <f aca="false">IF(A112="","",V43_New!EZ112)</f>
        <v/>
      </c>
      <c r="M112" s="0" t="str">
        <f aca="false">IF(A112="","",V43_New!FA112)</f>
        <v/>
      </c>
      <c r="N112" s="0" t="n">
        <f aca="false">IF(A112="","",V43_New!FB112)</f>
        <v>4678.1</v>
      </c>
      <c r="O112" s="0" t="str">
        <f aca="false">IF(A112="","",V43_New!FC112)</f>
        <v/>
      </c>
      <c r="P112" s="0" t="str">
        <f aca="false">IF(A112="","",V43_New!FD112)</f>
        <v/>
      </c>
      <c r="Q112" s="0" t="str">
        <f aca="false">IF(A112="","",V43_New!FE112)</f>
        <v/>
      </c>
      <c r="R112" s="0" t="str">
        <f aca="false">IF(A112="","",V43_New!FF112)</f>
        <v/>
      </c>
      <c r="S112" s="0" t="str">
        <f aca="false">IF(A112="","",V43_New!FG112)</f>
        <v/>
      </c>
      <c r="T112" s="0" t="str">
        <f aca="false">IF(A112="","",V43_New!FH112)</f>
        <v/>
      </c>
      <c r="U112" s="0" t="str">
        <f aca="false">IF(A112="","",V43_New!FI112)</f>
        <v/>
      </c>
      <c r="V112" s="0" t="str">
        <f aca="false">IF(A112="","",V43_New!FJ112)</f>
        <v/>
      </c>
      <c r="W112" s="0" t="str">
        <f aca="false">IF(A112="","",V43_New!FK112)</f>
        <v/>
      </c>
      <c r="X112" s="0" t="str">
        <f aca="false">IF(A112="","",V43_New!FL112)</f>
        <v/>
      </c>
      <c r="Y112" s="0" t="str">
        <f aca="false">IF(A112="","",V43_New!FM112)</f>
        <v/>
      </c>
      <c r="Z112" s="0" t="n">
        <f aca="false">IF(C113&lt;&gt;"",COUNT(C112:N112),0)</f>
        <v>4</v>
      </c>
      <c r="AA112" s="0" t="n">
        <f aca="false">IF(AND(O112="",P112="",Q112="",R112="",S112="",T112="",U112="",V112="",W112="",X112="",Y112=""),0,1)</f>
        <v>0</v>
      </c>
      <c r="AB112" s="15" t="n">
        <f aca="false">IF(OR(Z112&gt;=3,AA112=1),AVERAGE(C112:N112),"")</f>
        <v>4684.175</v>
      </c>
    </row>
    <row r="113" customFormat="false" ht="14.25" hidden="false" customHeight="false" outlineLevel="0" collapsed="false">
      <c r="A113" s="0" t="n">
        <f aca="false">Timestamp_Adjustment!D113</f>
        <v>1778666400</v>
      </c>
      <c r="B113" s="0" t="n">
        <f aca="false">IF(A113="","",V43_New!D113)</f>
        <v>4702.25</v>
      </c>
      <c r="C113" s="0" t="n">
        <f aca="false">IF(A113="","",V43_New!F113)</f>
        <v>4710.38</v>
      </c>
      <c r="D113" s="0" t="str">
        <f aca="false">IF(A113="","",V43_New!ER113)</f>
        <v/>
      </c>
      <c r="E113" s="0" t="str">
        <f aca="false">IF(A113="","",V43_New!ES113)</f>
        <v/>
      </c>
      <c r="F113" s="0" t="n">
        <f aca="false">IF(A113="","",V43_New!ET113)</f>
        <v>4711.51</v>
      </c>
      <c r="G113" s="0" t="str">
        <f aca="false">IF(A113="","",V43_New!EU113)</f>
        <v/>
      </c>
      <c r="H113" s="0" t="str">
        <f aca="false">IF(A113="","",V43_New!EV113)</f>
        <v/>
      </c>
      <c r="I113" s="0" t="str">
        <f aca="false">IF(A113="","",V43_New!EW113)</f>
        <v/>
      </c>
      <c r="J113" s="0" t="str">
        <f aca="false">IF(A113="","",V43_New!EX113)</f>
        <v/>
      </c>
      <c r="K113" s="0" t="str">
        <f aca="false">IF(A113="","",V43_New!EY113)</f>
        <v/>
      </c>
      <c r="L113" s="0" t="str">
        <f aca="false">IF(A113="","",V43_New!EZ113)</f>
        <v/>
      </c>
      <c r="M113" s="0" t="str">
        <f aca="false">IF(A113="","",V43_New!FA113)</f>
        <v/>
      </c>
      <c r="N113" s="0" t="str">
        <f aca="false">IF(A113="","",V43_New!FB113)</f>
        <v/>
      </c>
      <c r="O113" s="0" t="str">
        <f aca="false">IF(A113="","",V43_New!FC113)</f>
        <v/>
      </c>
      <c r="P113" s="0" t="str">
        <f aca="false">IF(A113="","",V43_New!FD113)</f>
        <v/>
      </c>
      <c r="Q113" s="0" t="str">
        <f aca="false">IF(A113="","",V43_New!FE113)</f>
        <v/>
      </c>
      <c r="R113" s="0" t="str">
        <f aca="false">IF(A113="","",V43_New!FF113)</f>
        <v/>
      </c>
      <c r="S113" s="0" t="str">
        <f aca="false">IF(A113="","",V43_New!FG113)</f>
        <v/>
      </c>
      <c r="T113" s="0" t="str">
        <f aca="false">IF(A113="","",V43_New!FH113)</f>
        <v/>
      </c>
      <c r="U113" s="0" t="str">
        <f aca="false">IF(A113="","",V43_New!FI113)</f>
        <v/>
      </c>
      <c r="V113" s="0" t="str">
        <f aca="false">IF(A113="","",V43_New!FJ113)</f>
        <v/>
      </c>
      <c r="W113" s="0" t="str">
        <f aca="false">IF(A113="","",V43_New!FK113)</f>
        <v/>
      </c>
      <c r="X113" s="0" t="str">
        <f aca="false">IF(A113="","",V43_New!FL113)</f>
        <v/>
      </c>
      <c r="Y113" s="0" t="str">
        <f aca="false">IF(A113="","",V43_New!FM113)</f>
        <v/>
      </c>
      <c r="Z113" s="0" t="n">
        <f aca="false">IF(C114&lt;&gt;"",COUNT(C113:N113),0)</f>
        <v>2</v>
      </c>
      <c r="AA113" s="0" t="n">
        <f aca="false">IF(AND(O113="",P113="",Q113="",R113="",S113="",T113="",U113="",V113="",W113="",X113="",Y113=""),0,1)</f>
        <v>0</v>
      </c>
      <c r="AB113" s="15" t="str">
        <f aca="false">IF(OR(Z113&gt;=3,AA113=1),AVERAGE(C113:N113),"")</f>
        <v/>
      </c>
    </row>
    <row r="114" customFormat="false" ht="14.25" hidden="false" customHeight="false" outlineLevel="0" collapsed="false">
      <c r="A114" s="0" t="n">
        <f aca="false">Timestamp_Adjustment!D114</f>
        <v>1778679900</v>
      </c>
      <c r="B114" s="0" t="n">
        <f aca="false">IF(A114="","",V43_New!D114)</f>
        <v>4679.3</v>
      </c>
      <c r="C114" s="0" t="n">
        <f aca="false">IF(A114="","",V43_New!F114)</f>
        <v>4669.65</v>
      </c>
      <c r="D114" s="0" t="str">
        <f aca="false">IF(A114="","",V43_New!ER114)</f>
        <v/>
      </c>
      <c r="E114" s="0" t="str">
        <f aca="false">IF(A114="","",V43_New!ES114)</f>
        <v/>
      </c>
      <c r="F114" s="0" t="str">
        <f aca="false">IF(A114="","",V43_New!ET114)</f>
        <v/>
      </c>
      <c r="G114" s="0" t="str">
        <f aca="false">IF(A114="","",V43_New!EU114)</f>
        <v/>
      </c>
      <c r="H114" s="0" t="str">
        <f aca="false">IF(A114="","",V43_New!EV114)</f>
        <v/>
      </c>
      <c r="I114" s="0" t="str">
        <f aca="false">IF(A114="","",V43_New!EW114)</f>
        <v/>
      </c>
      <c r="J114" s="0" t="str">
        <f aca="false">IF(A114="","",V43_New!EX114)</f>
        <v/>
      </c>
      <c r="K114" s="0" t="n">
        <f aca="false">IF(A114="","",V43_New!EY114)</f>
        <v>4670.56</v>
      </c>
      <c r="L114" s="0" t="str">
        <f aca="false">IF(A114="","",V43_New!EZ114)</f>
        <v/>
      </c>
      <c r="M114" s="0" t="str">
        <f aca="false">IF(A114="","",V43_New!FA114)</f>
        <v/>
      </c>
      <c r="N114" s="0" t="str">
        <f aca="false">IF(A114="","",V43_New!FB114)</f>
        <v/>
      </c>
      <c r="O114" s="0" t="str">
        <f aca="false">IF(A114="","",V43_New!FC114)</f>
        <v/>
      </c>
      <c r="P114" s="0" t="str">
        <f aca="false">IF(A114="","",V43_New!FD114)</f>
        <v/>
      </c>
      <c r="Q114" s="0" t="str">
        <f aca="false">IF(A114="","",V43_New!FE114)</f>
        <v/>
      </c>
      <c r="R114" s="0" t="str">
        <f aca="false">IF(A114="","",V43_New!FF114)</f>
        <v/>
      </c>
      <c r="S114" s="0" t="str">
        <f aca="false">IF(A114="","",V43_New!FG114)</f>
        <v/>
      </c>
      <c r="T114" s="0" t="str">
        <f aca="false">IF(A114="","",V43_New!FH114)</f>
        <v/>
      </c>
      <c r="U114" s="0" t="str">
        <f aca="false">IF(A114="","",V43_New!FI114)</f>
        <v/>
      </c>
      <c r="V114" s="0" t="str">
        <f aca="false">IF(A114="","",V43_New!FJ114)</f>
        <v/>
      </c>
      <c r="W114" s="0" t="str">
        <f aca="false">IF(A114="","",V43_New!FK114)</f>
        <v/>
      </c>
      <c r="X114" s="0" t="str">
        <f aca="false">IF(A114="","",V43_New!FL114)</f>
        <v/>
      </c>
      <c r="Y114" s="0" t="str">
        <f aca="false">IF(A114="","",V43_New!FM114)</f>
        <v/>
      </c>
      <c r="Z114" s="0" t="n">
        <f aca="false">IF(C115&lt;&gt;"",COUNT(C114:N114),0)</f>
        <v>2</v>
      </c>
      <c r="AA114" s="0" t="n">
        <f aca="false">IF(AND(O114="",P114="",Q114="",R114="",S114="",T114="",U114="",V114="",W114="",X114="",Y114=""),0,1)</f>
        <v>0</v>
      </c>
      <c r="AB114" s="15" t="str">
        <f aca="false">IF(OR(Z114&gt;=3,AA114=1),AVERAGE(C114:N114),"")</f>
        <v/>
      </c>
    </row>
    <row r="115" customFormat="false" ht="14.25" hidden="false" customHeight="false" outlineLevel="0" collapsed="false">
      <c r="A115" s="0" t="n">
        <f aca="false">Timestamp_Adjustment!D115</f>
        <v>1778688900</v>
      </c>
      <c r="B115" s="0" t="n">
        <f aca="false">IF(A115="","",V43_New!D115)</f>
        <v>4706.57</v>
      </c>
      <c r="C115" s="0" t="n">
        <f aca="false">IF(A115="","",V43_New!F115)</f>
        <v>4709.71</v>
      </c>
      <c r="D115" s="0" t="str">
        <f aca="false">IF(A115="","",V43_New!ER115)</f>
        <v/>
      </c>
      <c r="E115" s="0" t="str">
        <f aca="false">IF(A115="","",V43_New!ES115)</f>
        <v/>
      </c>
      <c r="F115" s="0" t="str">
        <f aca="false">IF(A115="","",V43_New!ET115)</f>
        <v/>
      </c>
      <c r="G115" s="0" t="n">
        <f aca="false">IF(A115="","",V43_New!EU115)</f>
        <v>4711.51</v>
      </c>
      <c r="H115" s="0" t="str">
        <f aca="false">IF(A115="","",V43_New!EV115)</f>
        <v/>
      </c>
      <c r="I115" s="0" t="str">
        <f aca="false">IF(A115="","",V43_New!EW115)</f>
        <v/>
      </c>
      <c r="J115" s="0" t="str">
        <f aca="false">IF(A115="","",V43_New!EX115)</f>
        <v/>
      </c>
      <c r="K115" s="0" t="str">
        <f aca="false">IF(A115="","",V43_New!EY115)</f>
        <v/>
      </c>
      <c r="L115" s="0" t="str">
        <f aca="false">IF(A115="","",V43_New!EZ115)</f>
        <v/>
      </c>
      <c r="M115" s="0" t="str">
        <f aca="false">IF(A115="","",V43_New!FA115)</f>
        <v/>
      </c>
      <c r="N115" s="0" t="str">
        <f aca="false">IF(A115="","",V43_New!FB115)</f>
        <v/>
      </c>
      <c r="O115" s="0" t="str">
        <f aca="false">IF(A115="","",V43_New!FC115)</f>
        <v/>
      </c>
      <c r="P115" s="0" t="str">
        <f aca="false">IF(A115="","",V43_New!FD115)</f>
        <v/>
      </c>
      <c r="Q115" s="0" t="str">
        <f aca="false">IF(A115="","",V43_New!FE115)</f>
        <v/>
      </c>
      <c r="R115" s="0" t="str">
        <f aca="false">IF(A115="","",V43_New!FF115)</f>
        <v/>
      </c>
      <c r="S115" s="0" t="str">
        <f aca="false">IF(A115="","",V43_New!FG115)</f>
        <v/>
      </c>
      <c r="T115" s="0" t="str">
        <f aca="false">IF(A115="","",V43_New!FH115)</f>
        <v/>
      </c>
      <c r="U115" s="0" t="str">
        <f aca="false">IF(A115="","",V43_New!FI115)</f>
        <v/>
      </c>
      <c r="V115" s="0" t="str">
        <f aca="false">IF(A115="","",V43_New!FJ115)</f>
        <v/>
      </c>
      <c r="W115" s="0" t="str">
        <f aca="false">IF(A115="","",V43_New!FK115)</f>
        <v/>
      </c>
      <c r="X115" s="0" t="str">
        <f aca="false">IF(A115="","",V43_New!FL115)</f>
        <v/>
      </c>
      <c r="Y115" s="0" t="str">
        <f aca="false">IF(A115="","",V43_New!FM115)</f>
        <v/>
      </c>
      <c r="Z115" s="0" t="n">
        <f aca="false">IF(C116&lt;&gt;"",COUNT(C115:N115),0)</f>
        <v>2</v>
      </c>
      <c r="AA115" s="0" t="n">
        <f aca="false">IF(AND(O115="",P115="",Q115="",R115="",S115="",T115="",U115="",V115="",W115="",X115="",Y115=""),0,1)</f>
        <v>0</v>
      </c>
      <c r="AB115" s="15" t="str">
        <f aca="false">IF(OR(Z115&gt;=3,AA115=1),AVERAGE(C115:N115),"")</f>
        <v/>
      </c>
    </row>
    <row r="116" customFormat="false" ht="14.25" hidden="false" customHeight="false" outlineLevel="0" collapsed="false">
      <c r="A116" s="0" t="n">
        <f aca="false">Timestamp_Adjustment!D116</f>
        <v>1778697900</v>
      </c>
      <c r="B116" s="0" t="n">
        <f aca="false">IF(A116="","",V43_New!D116)</f>
        <v>4684.92</v>
      </c>
      <c r="C116" s="0" t="n">
        <f aca="false">IF(A116="","",V43_New!F116)</f>
        <v>4677.64</v>
      </c>
      <c r="D116" s="0" t="n">
        <f aca="false">IF(A116="","",V43_New!ER116)</f>
        <v>4669.65</v>
      </c>
      <c r="E116" s="0" t="n">
        <f aca="false">IF(A116="","",V43_New!ES116)</f>
        <v>4685.97</v>
      </c>
      <c r="F116" s="0" t="str">
        <f aca="false">IF(A116="","",V43_New!ET116)</f>
        <v/>
      </c>
      <c r="G116" s="0" t="str">
        <f aca="false">IF(A116="","",V43_New!EU116)</f>
        <v/>
      </c>
      <c r="H116" s="0" t="n">
        <f aca="false">IF(A116="","",V43_New!EV116)</f>
        <v>4685.14</v>
      </c>
      <c r="I116" s="0" t="n">
        <f aca="false">IF(A116="","",V43_New!EW116)</f>
        <v>4687.49</v>
      </c>
      <c r="J116" s="0" t="str">
        <f aca="false">IF(A116="","",V43_New!EX116)</f>
        <v/>
      </c>
      <c r="K116" s="0" t="str">
        <f aca="false">IF(A116="","",V43_New!EY116)</f>
        <v/>
      </c>
      <c r="L116" s="0" t="n">
        <f aca="false">IF(A116="","",V43_New!EZ116)</f>
        <v>4670.56</v>
      </c>
      <c r="M116" s="0" t="str">
        <f aca="false">IF(A116="","",V43_New!FA116)</f>
        <v/>
      </c>
      <c r="N116" s="0" t="str">
        <f aca="false">IF(A116="","",V43_New!FB116)</f>
        <v/>
      </c>
      <c r="O116" s="0" t="str">
        <f aca="false">IF(A116="","",V43_New!FC116)</f>
        <v/>
      </c>
      <c r="P116" s="0" t="str">
        <f aca="false">IF(A116="","",V43_New!FD116)</f>
        <v/>
      </c>
      <c r="Q116" s="0" t="str">
        <f aca="false">IF(A116="","",V43_New!FE116)</f>
        <v/>
      </c>
      <c r="R116" s="0" t="str">
        <f aca="false">IF(A116="","",V43_New!FF116)</f>
        <v/>
      </c>
      <c r="S116" s="0" t="str">
        <f aca="false">IF(A116="","",V43_New!FG116)</f>
        <v/>
      </c>
      <c r="T116" s="0" t="str">
        <f aca="false">IF(A116="","",V43_New!FH116)</f>
        <v/>
      </c>
      <c r="U116" s="0" t="str">
        <f aca="false">IF(A116="","",V43_New!FI116)</f>
        <v/>
      </c>
      <c r="V116" s="0" t="str">
        <f aca="false">IF(A116="","",V43_New!FJ116)</f>
        <v/>
      </c>
      <c r="W116" s="0" t="str">
        <f aca="false">IF(A116="","",V43_New!FK116)</f>
        <v/>
      </c>
      <c r="X116" s="0" t="str">
        <f aca="false">IF(A116="","",V43_New!FL116)</f>
        <v/>
      </c>
      <c r="Y116" s="0" t="str">
        <f aca="false">IF(A116="","",V43_New!FM116)</f>
        <v/>
      </c>
      <c r="Z116" s="0" t="n">
        <f aca="false">IF(C117&lt;&gt;"",COUNT(C116:N116),0)</f>
        <v>6</v>
      </c>
      <c r="AA116" s="0" t="n">
        <f aca="false">IF(AND(O116="",P116="",Q116="",R116="",S116="",T116="",U116="",V116="",W116="",X116="",Y116=""),0,1)</f>
        <v>0</v>
      </c>
      <c r="AB116" s="15" t="n">
        <f aca="false">IF(OR(Z116&gt;=3,AA116=1),AVERAGE(C116:N116),"")</f>
        <v>4679.40833333333</v>
      </c>
    </row>
    <row r="117" customFormat="false" ht="14.25" hidden="false" customHeight="false" outlineLevel="0" collapsed="false">
      <c r="A117" s="0" t="n">
        <f aca="false">Timestamp_Adjustment!D117</f>
        <v>1778719500</v>
      </c>
      <c r="B117" s="0" t="n">
        <f aca="false">IF(A117="","",V43_New!D117)</f>
        <v>4704.98</v>
      </c>
      <c r="C117" s="0" t="n">
        <f aca="false">IF(A117="","",V43_New!F117)</f>
        <v>4706.81</v>
      </c>
      <c r="D117" s="0" t="str">
        <f aca="false">IF(A117="","",V43_New!ER117)</f>
        <v/>
      </c>
      <c r="E117" s="0" t="str">
        <f aca="false">IF(A117="","",V43_New!ES117)</f>
        <v/>
      </c>
      <c r="F117" s="0" t="str">
        <f aca="false">IF(A117="","",V43_New!ET117)</f>
        <v/>
      </c>
      <c r="G117" s="0" t="str">
        <f aca="false">IF(A117="","",V43_New!EU117)</f>
        <v/>
      </c>
      <c r="H117" s="0" t="n">
        <f aca="false">IF(A117="","",V43_New!EV117)</f>
        <v>4711.51</v>
      </c>
      <c r="I117" s="0" t="str">
        <f aca="false">IF(A117="","",V43_New!EW117)</f>
        <v/>
      </c>
      <c r="J117" s="0" t="str">
        <f aca="false">IF(A117="","",V43_New!EX117)</f>
        <v/>
      </c>
      <c r="K117" s="0" t="str">
        <f aca="false">IF(A117="","",V43_New!EY117)</f>
        <v/>
      </c>
      <c r="L117" s="0" t="str">
        <f aca="false">IF(A117="","",V43_New!EZ117)</f>
        <v/>
      </c>
      <c r="M117" s="0" t="str">
        <f aca="false">IF(A117="","",V43_New!FA117)</f>
        <v/>
      </c>
      <c r="N117" s="0" t="str">
        <f aca="false">IF(A117="","",V43_New!FB117)</f>
        <v/>
      </c>
      <c r="O117" s="0" t="str">
        <f aca="false">IF(A117="","",V43_New!FC117)</f>
        <v/>
      </c>
      <c r="P117" s="0" t="str">
        <f aca="false">IF(A117="","",V43_New!FD117)</f>
        <v/>
      </c>
      <c r="Q117" s="0" t="str">
        <f aca="false">IF(A117="","",V43_New!FE117)</f>
        <v/>
      </c>
      <c r="R117" s="0" t="str">
        <f aca="false">IF(A117="","",V43_New!FF117)</f>
        <v/>
      </c>
      <c r="S117" s="0" t="str">
        <f aca="false">IF(A117="","",V43_New!FG117)</f>
        <v/>
      </c>
      <c r="T117" s="0" t="str">
        <f aca="false">IF(A117="","",V43_New!FH117)</f>
        <v/>
      </c>
      <c r="U117" s="0" t="str">
        <f aca="false">IF(A117="","",V43_New!FI117)</f>
        <v/>
      </c>
      <c r="V117" s="0" t="str">
        <f aca="false">IF(A117="","",V43_New!FJ117)</f>
        <v/>
      </c>
      <c r="W117" s="0" t="str">
        <f aca="false">IF(A117="","",V43_New!FK117)</f>
        <v/>
      </c>
      <c r="X117" s="0" t="str">
        <f aca="false">IF(A117="","",V43_New!FL117)</f>
        <v/>
      </c>
      <c r="Y117" s="0" t="str">
        <f aca="false">IF(A117="","",V43_New!FM117)</f>
        <v/>
      </c>
      <c r="Z117" s="0" t="n">
        <f aca="false">IF(C118&lt;&gt;"",COUNT(C117:N117),0)</f>
        <v>2</v>
      </c>
      <c r="AA117" s="0" t="n">
        <f aca="false">IF(AND(O117="",P117="",Q117="",R117="",S117="",T117="",U117="",V117="",W117="",X117="",Y117=""),0,1)</f>
        <v>0</v>
      </c>
      <c r="AB117" s="15" t="str">
        <f aca="false">IF(OR(Z117&gt;=3,AA117=1),AVERAGE(C117:N117),"")</f>
        <v/>
      </c>
    </row>
    <row r="118" customFormat="false" ht="14.25" hidden="false" customHeight="false" outlineLevel="0" collapsed="false">
      <c r="A118" s="0" t="n">
        <f aca="false">Timestamp_Adjustment!D118</f>
        <v>1778731200</v>
      </c>
      <c r="B118" s="0" t="n">
        <f aca="false">IF(A118="","",V43_New!D118)</f>
        <v>4682.25</v>
      </c>
      <c r="C118" s="0" t="n">
        <f aca="false">IF(A118="","",V43_New!F118)</f>
        <v>4668.77</v>
      </c>
      <c r="D118" s="0" t="str">
        <f aca="false">IF(A118="","",V43_New!ER118)</f>
        <v/>
      </c>
      <c r="E118" s="0" t="n">
        <f aca="false">IF(A118="","",V43_New!ES118)</f>
        <v>4669.65</v>
      </c>
      <c r="F118" s="0" t="str">
        <f aca="false">IF(A118="","",V43_New!ET118)</f>
        <v/>
      </c>
      <c r="G118" s="0" t="str">
        <f aca="false">IF(A118="","",V43_New!EU118)</f>
        <v/>
      </c>
      <c r="H118" s="0" t="str">
        <f aca="false">IF(A118="","",V43_New!EV118)</f>
        <v/>
      </c>
      <c r="I118" s="0" t="str">
        <f aca="false">IF(A118="","",V43_New!EW118)</f>
        <v/>
      </c>
      <c r="J118" s="0" t="str">
        <f aca="false">IF(A118="","",V43_New!EX118)</f>
        <v/>
      </c>
      <c r="K118" s="0" t="str">
        <f aca="false">IF(A118="","",V43_New!EY118)</f>
        <v/>
      </c>
      <c r="L118" s="0" t="str">
        <f aca="false">IF(A118="","",V43_New!EZ118)</f>
        <v/>
      </c>
      <c r="M118" s="0" t="n">
        <f aca="false">IF(A118="","",V43_New!FA118)</f>
        <v>4670.56</v>
      </c>
      <c r="N118" s="0" t="str">
        <f aca="false">IF(A118="","",V43_New!FB118)</f>
        <v/>
      </c>
      <c r="O118" s="0" t="str">
        <f aca="false">IF(A118="","",V43_New!FC118)</f>
        <v/>
      </c>
      <c r="P118" s="0" t="str">
        <f aca="false">IF(A118="","",V43_New!FD118)</f>
        <v/>
      </c>
      <c r="Q118" s="0" t="str">
        <f aca="false">IF(A118="","",V43_New!FE118)</f>
        <v/>
      </c>
      <c r="R118" s="0" t="str">
        <f aca="false">IF(A118="","",V43_New!FF118)</f>
        <v/>
      </c>
      <c r="S118" s="0" t="str">
        <f aca="false">IF(A118="","",V43_New!FG118)</f>
        <v/>
      </c>
      <c r="T118" s="0" t="str">
        <f aca="false">IF(A118="","",V43_New!FH118)</f>
        <v/>
      </c>
      <c r="U118" s="0" t="str">
        <f aca="false">IF(A118="","",V43_New!FI118)</f>
        <v/>
      </c>
      <c r="V118" s="0" t="str">
        <f aca="false">IF(A118="","",V43_New!FJ118)</f>
        <v/>
      </c>
      <c r="W118" s="0" t="str">
        <f aca="false">IF(A118="","",V43_New!FK118)</f>
        <v/>
      </c>
      <c r="X118" s="0" t="str">
        <f aca="false">IF(A118="","",V43_New!FL118)</f>
        <v/>
      </c>
      <c r="Y118" s="0" t="str">
        <f aca="false">IF(A118="","",V43_New!FM118)</f>
        <v/>
      </c>
      <c r="Z118" s="0" t="n">
        <f aca="false">IF(C119&lt;&gt;"",COUNT(C118:N118),0)</f>
        <v>3</v>
      </c>
      <c r="AA118" s="0" t="n">
        <f aca="false">IF(AND(O118="",P118="",Q118="",R118="",S118="",T118="",U118="",V118="",W118="",X118="",Y118=""),0,1)</f>
        <v>0</v>
      </c>
      <c r="AB118" s="15" t="n">
        <f aca="false">IF(OR(Z118&gt;=3,AA118=1),AVERAGE(C118:N118),"")</f>
        <v>4669.66</v>
      </c>
    </row>
    <row r="119" customFormat="false" ht="14.25" hidden="false" customHeight="false" outlineLevel="0" collapsed="false">
      <c r="A119" s="0" t="n">
        <f aca="false">Timestamp_Adjustment!D119</f>
        <v>1778743800</v>
      </c>
      <c r="B119" s="0" t="n">
        <f aca="false">IF(A119="","",V43_New!D119)</f>
        <v>4709.19</v>
      </c>
      <c r="C119" s="0" t="n">
        <f aca="false">IF(A119="","",V43_New!F119)</f>
        <v>4718.75</v>
      </c>
      <c r="D119" s="0" t="str">
        <f aca="false">IF(A119="","",V43_New!ER119)</f>
        <v/>
      </c>
      <c r="E119" s="0" t="str">
        <f aca="false">IF(A119="","",V43_New!ES119)</f>
        <v/>
      </c>
      <c r="F119" s="0" t="str">
        <f aca="false">IF(A119="","",V43_New!ET119)</f>
        <v/>
      </c>
      <c r="G119" s="0" t="str">
        <f aca="false">IF(A119="","",V43_New!EU119)</f>
        <v/>
      </c>
      <c r="H119" s="0" t="n">
        <f aca="false">IF(A119="","",V43_New!EV119)</f>
        <v>4726.76</v>
      </c>
      <c r="I119" s="0" t="n">
        <f aca="false">IF(A119="","",V43_New!EW119)</f>
        <v>4711.51</v>
      </c>
      <c r="J119" s="0" t="str">
        <f aca="false">IF(A119="","",V43_New!EX119)</f>
        <v/>
      </c>
      <c r="K119" s="0" t="str">
        <f aca="false">IF(A119="","",V43_New!EY119)</f>
        <v/>
      </c>
      <c r="L119" s="0" t="str">
        <f aca="false">IF(A119="","",V43_New!EZ119)</f>
        <v/>
      </c>
      <c r="M119" s="0" t="str">
        <f aca="false">IF(A119="","",V43_New!FA119)</f>
        <v/>
      </c>
      <c r="N119" s="0" t="str">
        <f aca="false">IF(A119="","",V43_New!FB119)</f>
        <v/>
      </c>
      <c r="O119" s="0" t="str">
        <f aca="false">IF(A119="","",V43_New!FC119)</f>
        <v/>
      </c>
      <c r="P119" s="0" t="str">
        <f aca="false">IF(A119="","",V43_New!FD119)</f>
        <v/>
      </c>
      <c r="Q119" s="0" t="str">
        <f aca="false">IF(A119="","",V43_New!FE119)</f>
        <v/>
      </c>
      <c r="R119" s="0" t="str">
        <f aca="false">IF(A119="","",V43_New!FF119)</f>
        <v/>
      </c>
      <c r="S119" s="0" t="str">
        <f aca="false">IF(A119="","",V43_New!FG119)</f>
        <v/>
      </c>
      <c r="T119" s="0" t="str">
        <f aca="false">IF(A119="","",V43_New!FH119)</f>
        <v/>
      </c>
      <c r="U119" s="0" t="str">
        <f aca="false">IF(A119="","",V43_New!FI119)</f>
        <v/>
      </c>
      <c r="V119" s="0" t="str">
        <f aca="false">IF(A119="","",V43_New!FJ119)</f>
        <v/>
      </c>
      <c r="W119" s="0" t="str">
        <f aca="false">IF(A119="","",V43_New!FK119)</f>
        <v/>
      </c>
      <c r="X119" s="0" t="str">
        <f aca="false">IF(A119="","",V43_New!FL119)</f>
        <v/>
      </c>
      <c r="Y119" s="0" t="str">
        <f aca="false">IF(A119="","",V43_New!FM119)</f>
        <v/>
      </c>
      <c r="Z119" s="0" t="n">
        <f aca="false">IF(C120&lt;&gt;"",COUNT(C119:N119),0)</f>
        <v>3</v>
      </c>
      <c r="AA119" s="0" t="n">
        <f aca="false">IF(AND(O119="",P119="",Q119="",R119="",S119="",T119="",U119="",V119="",W119="",X119="",Y119=""),0,1)</f>
        <v>0</v>
      </c>
      <c r="AB119" s="15" t="n">
        <f aca="false">IF(OR(Z119&gt;=3,AA119=1),AVERAGE(C119:N119),"")</f>
        <v>4719.00666666667</v>
      </c>
    </row>
    <row r="120" customFormat="false" ht="14.25" hidden="false" customHeight="false" outlineLevel="0" collapsed="false">
      <c r="A120" s="0" t="n">
        <f aca="false">Timestamp_Adjustment!D120</f>
        <v>1778751000</v>
      </c>
      <c r="B120" s="0" t="n">
        <f aca="false">IF(A120="","",V43_New!D120)</f>
        <v>4695.48</v>
      </c>
      <c r="C120" s="0" t="n">
        <f aca="false">IF(A120="","",V43_New!F120)</f>
        <v>4688.47</v>
      </c>
      <c r="D120" s="0" t="str">
        <f aca="false">IF(A120="","",V43_New!ER120)</f>
        <v/>
      </c>
      <c r="E120" s="0" t="str">
        <f aca="false">IF(A120="","",V43_New!ES120)</f>
        <v/>
      </c>
      <c r="F120" s="0" t="str">
        <f aca="false">IF(A120="","",V43_New!ET120)</f>
        <v/>
      </c>
      <c r="G120" s="0" t="n">
        <f aca="false">IF(A120="","",V43_New!EU120)</f>
        <v>4685.97</v>
      </c>
      <c r="H120" s="0" t="str">
        <f aca="false">IF(A120="","",V43_New!EV120)</f>
        <v/>
      </c>
      <c r="I120" s="0" t="str">
        <f aca="false">IF(A120="","",V43_New!EW120)</f>
        <v/>
      </c>
      <c r="J120" s="0" t="n">
        <f aca="false">IF(A120="","",V43_New!EX120)</f>
        <v>4685.14</v>
      </c>
      <c r="K120" s="0" t="n">
        <f aca="false">IF(A120="","",V43_New!EY120)</f>
        <v>4687.49</v>
      </c>
      <c r="L120" s="0" t="str">
        <f aca="false">IF(A120="","",V43_New!EZ120)</f>
        <v/>
      </c>
      <c r="M120" s="0" t="str">
        <f aca="false">IF(A120="","",V43_New!FA120)</f>
        <v/>
      </c>
      <c r="N120" s="0" t="str">
        <f aca="false">IF(A120="","",V43_New!FB120)</f>
        <v/>
      </c>
      <c r="O120" s="0" t="str">
        <f aca="false">IF(A120="","",V43_New!FC120)</f>
        <v/>
      </c>
      <c r="P120" s="0" t="str">
        <f aca="false">IF(A120="","",V43_New!FD120)</f>
        <v/>
      </c>
      <c r="Q120" s="0" t="str">
        <f aca="false">IF(A120="","",V43_New!FE120)</f>
        <v/>
      </c>
      <c r="R120" s="0" t="str">
        <f aca="false">IF(A120="","",V43_New!FF120)</f>
        <v/>
      </c>
      <c r="S120" s="0" t="str">
        <f aca="false">IF(A120="","",V43_New!FG120)</f>
        <v/>
      </c>
      <c r="T120" s="0" t="str">
        <f aca="false">IF(A120="","",V43_New!FH120)</f>
        <v/>
      </c>
      <c r="U120" s="0" t="str">
        <f aca="false">IF(A120="","",V43_New!FI120)</f>
        <v/>
      </c>
      <c r="V120" s="0" t="str">
        <f aca="false">IF(A120="","",V43_New!FJ120)</f>
        <v/>
      </c>
      <c r="W120" s="0" t="str">
        <f aca="false">IF(A120="","",V43_New!FK120)</f>
        <v/>
      </c>
      <c r="X120" s="0" t="str">
        <f aca="false">IF(A120="","",V43_New!FL120)</f>
        <v/>
      </c>
      <c r="Y120" s="0" t="str">
        <f aca="false">IF(A120="","",V43_New!FM120)</f>
        <v/>
      </c>
      <c r="Z120" s="0" t="n">
        <f aca="false">IF(C121&lt;&gt;"",COUNT(C120:N120),0)</f>
        <v>4</v>
      </c>
      <c r="AA120" s="0" t="n">
        <f aca="false">IF(AND(O120="",P120="",Q120="",R120="",S120="",T120="",U120="",V120="",W120="",X120="",Y120=""),0,1)</f>
        <v>0</v>
      </c>
      <c r="AB120" s="15" t="n">
        <f aca="false">IF(OR(Z120&gt;=3,AA120=1),AVERAGE(C120:N120),"")</f>
        <v>4686.7675</v>
      </c>
    </row>
    <row r="121" customFormat="false" ht="14.25" hidden="false" customHeight="false" outlineLevel="0" collapsed="false">
      <c r="A121" s="0" t="n">
        <f aca="false">Timestamp_Adjustment!D121</f>
        <v>1778761800</v>
      </c>
      <c r="B121" s="0" t="n">
        <f aca="false">IF(A121="","",V43_New!D121)</f>
        <v>4697.97</v>
      </c>
      <c r="C121" s="0" t="n">
        <f aca="false">IF(A121="","",V43_New!F121)</f>
        <v>4710.02</v>
      </c>
      <c r="D121" s="0" t="n">
        <f aca="false">IF(A121="","",V43_New!ER121)</f>
        <v>4718.75</v>
      </c>
      <c r="E121" s="0" t="str">
        <f aca="false">IF(A121="","",V43_New!ES121)</f>
        <v/>
      </c>
      <c r="F121" s="0" t="str">
        <f aca="false">IF(A121="","",V43_New!ET121)</f>
        <v/>
      </c>
      <c r="G121" s="0" t="str">
        <f aca="false">IF(A121="","",V43_New!EU121)</f>
        <v/>
      </c>
      <c r="H121" s="0" t="str">
        <f aca="false">IF(A121="","",V43_New!EV121)</f>
        <v/>
      </c>
      <c r="I121" s="0" t="str">
        <f aca="false">IF(A121="","",V43_New!EW121)</f>
        <v/>
      </c>
      <c r="J121" s="0" t="n">
        <f aca="false">IF(A121="","",V43_New!EX121)</f>
        <v>4711.51</v>
      </c>
      <c r="K121" s="0" t="str">
        <f aca="false">IF(A121="","",V43_New!EY121)</f>
        <v/>
      </c>
      <c r="L121" s="0" t="str">
        <f aca="false">IF(A121="","",V43_New!EZ121)</f>
        <v/>
      </c>
      <c r="M121" s="0" t="str">
        <f aca="false">IF(A121="","",V43_New!FA121)</f>
        <v/>
      </c>
      <c r="N121" s="0" t="str">
        <f aca="false">IF(A121="","",V43_New!FB121)</f>
        <v/>
      </c>
      <c r="O121" s="0" t="str">
        <f aca="false">IF(A121="","",V43_New!FC121)</f>
        <v/>
      </c>
      <c r="P121" s="0" t="str">
        <f aca="false">IF(A121="","",V43_New!FD121)</f>
        <v/>
      </c>
      <c r="Q121" s="0" t="str">
        <f aca="false">IF(A121="","",V43_New!FE121)</f>
        <v/>
      </c>
      <c r="R121" s="0" t="str">
        <f aca="false">IF(A121="","",V43_New!FF121)</f>
        <v/>
      </c>
      <c r="S121" s="0" t="str">
        <f aca="false">IF(A121="","",V43_New!FG121)</f>
        <v/>
      </c>
      <c r="T121" s="0" t="str">
        <f aca="false">IF(A121="","",V43_New!FH121)</f>
        <v/>
      </c>
      <c r="U121" s="0" t="str">
        <f aca="false">IF(A121="","",V43_New!FI121)</f>
        <v/>
      </c>
      <c r="V121" s="0" t="str">
        <f aca="false">IF(A121="","",V43_New!FJ121)</f>
        <v/>
      </c>
      <c r="W121" s="0" t="str">
        <f aca="false">IF(A121="","",V43_New!FK121)</f>
        <v/>
      </c>
      <c r="X121" s="0" t="str">
        <f aca="false">IF(A121="","",V43_New!FL121)</f>
        <v/>
      </c>
      <c r="Y121" s="0" t="str">
        <f aca="false">IF(A121="","",V43_New!FM121)</f>
        <v/>
      </c>
      <c r="Z121" s="0" t="n">
        <f aca="false">IF(C122&lt;&gt;"",COUNT(C121:N121),0)</f>
        <v>3</v>
      </c>
      <c r="AA121" s="0" t="n">
        <f aca="false">IF(AND(O121="",P121="",Q121="",R121="",S121="",T121="",U121="",V121="",W121="",X121="",Y121=""),0,1)</f>
        <v>0</v>
      </c>
      <c r="AB121" s="15" t="n">
        <f aca="false">IF(OR(Z121&gt;=3,AA121=1),AVERAGE(C121:N121),"")</f>
        <v>4713.42666666667</v>
      </c>
    </row>
    <row r="122" customFormat="false" ht="14.25" hidden="false" customHeight="false" outlineLevel="0" collapsed="false">
      <c r="A122" s="0" t="n">
        <f aca="false">Timestamp_Adjustment!D122</f>
        <v>1778790600</v>
      </c>
      <c r="B122" s="0" t="n">
        <f aca="false">IF(A122="","",V43_New!D122)</f>
        <v>4650.83</v>
      </c>
      <c r="C122" s="0" t="n">
        <f aca="false">IF(A122="","",V43_New!F122)</f>
        <v>4644.4</v>
      </c>
      <c r="D122" s="0" t="str">
        <f aca="false">IF(A122="","",V43_New!ER122)</f>
        <v/>
      </c>
      <c r="E122" s="0" t="str">
        <f aca="false">IF(A122="","",V43_New!ES122)</f>
        <v/>
      </c>
      <c r="F122" s="0" t="str">
        <f aca="false">IF(A122="","",V43_New!ET122)</f>
        <v/>
      </c>
      <c r="G122" s="0" t="str">
        <f aca="false">IF(A122="","",V43_New!EU122)</f>
        <v/>
      </c>
      <c r="H122" s="0" t="str">
        <f aca="false">IF(A122="","",V43_New!EV122)</f>
        <v/>
      </c>
      <c r="I122" s="0" t="str">
        <f aca="false">IF(A122="","",V43_New!EW122)</f>
        <v/>
      </c>
      <c r="J122" s="0" t="n">
        <f aca="false">IF(A122="","",V43_New!EX122)</f>
        <v>4638.57</v>
      </c>
      <c r="K122" s="0" t="str">
        <f aca="false">IF(A122="","",V43_New!EY122)</f>
        <v/>
      </c>
      <c r="L122" s="0" t="str">
        <f aca="false">IF(A122="","",V43_New!EZ122)</f>
        <v/>
      </c>
      <c r="M122" s="0" t="str">
        <f aca="false">IF(A122="","",V43_New!FA122)</f>
        <v/>
      </c>
      <c r="N122" s="0" t="n">
        <f aca="false">IF(A122="","",V43_New!FB122)</f>
        <v>4647.85</v>
      </c>
      <c r="O122" s="0" t="str">
        <f aca="false">IF(A122="","",V43_New!FC122)</f>
        <v/>
      </c>
      <c r="P122" s="0" t="str">
        <f aca="false">IF(A122="","",V43_New!FD122)</f>
        <v/>
      </c>
      <c r="Q122" s="0" t="str">
        <f aca="false">IF(A122="","",V43_New!FE122)</f>
        <v/>
      </c>
      <c r="R122" s="0" t="str">
        <f aca="false">IF(A122="","",V43_New!FF122)</f>
        <v/>
      </c>
      <c r="S122" s="0" t="str">
        <f aca="false">IF(A122="","",V43_New!FG122)</f>
        <v/>
      </c>
      <c r="T122" s="0" t="str">
        <f aca="false">IF(A122="","",V43_New!FH122)</f>
        <v/>
      </c>
      <c r="U122" s="0" t="str">
        <f aca="false">IF(A122="","",V43_New!FI122)</f>
        <v/>
      </c>
      <c r="V122" s="0" t="str">
        <f aca="false">IF(A122="","",V43_New!FJ122)</f>
        <v/>
      </c>
      <c r="W122" s="0" t="str">
        <f aca="false">IF(A122="","",V43_New!FK122)</f>
        <v/>
      </c>
      <c r="X122" s="0" t="str">
        <f aca="false">IF(A122="","",V43_New!FL122)</f>
        <v/>
      </c>
      <c r="Y122" s="0" t="str">
        <f aca="false">IF(A122="","",V43_New!FM122)</f>
        <v/>
      </c>
      <c r="Z122" s="0" t="n">
        <f aca="false">IF(C123&lt;&gt;"",COUNT(C122:N122),0)</f>
        <v>3</v>
      </c>
      <c r="AA122" s="0" t="n">
        <f aca="false">IF(AND(O122="",P122="",Q122="",R122="",S122="",T122="",U122="",V122="",W122="",X122="",Y122=""),0,1)</f>
        <v>0</v>
      </c>
      <c r="AB122" s="15" t="n">
        <f aca="false">IF(OR(Z122&gt;=3,AA122=1),AVERAGE(C122:N122),"")</f>
        <v>4643.60666666667</v>
      </c>
    </row>
    <row r="123" customFormat="false" ht="14.25" hidden="false" customHeight="false" outlineLevel="0" collapsed="false">
      <c r="A123" s="0" t="n">
        <f aca="false">Timestamp_Adjustment!D123</f>
        <v>1778801400</v>
      </c>
      <c r="B123" s="0" t="n">
        <f aca="false">IF(A123="","",V43_New!D123)</f>
        <v>4657.34</v>
      </c>
      <c r="C123" s="0" t="n">
        <f aca="false">IF(A123="","",V43_New!F123)</f>
        <v>4665.35</v>
      </c>
      <c r="D123" s="0" t="str">
        <f aca="false">IF(A123="","",V43_New!ER123)</f>
        <v/>
      </c>
      <c r="E123" s="0" t="str">
        <f aca="false">IF(A123="","",V43_New!ES123)</f>
        <v/>
      </c>
      <c r="F123" s="0" t="str">
        <f aca="false">IF(A123="","",V43_New!ET123)</f>
        <v/>
      </c>
      <c r="G123" s="0" t="str">
        <f aca="false">IF(A123="","",V43_New!EU123)</f>
        <v/>
      </c>
      <c r="H123" s="0" t="str">
        <f aca="false">IF(A123="","",V43_New!EV123)</f>
        <v/>
      </c>
      <c r="I123" s="0" t="str">
        <f aca="false">IF(A123="","",V43_New!EW123)</f>
        <v/>
      </c>
      <c r="J123" s="0" t="str">
        <f aca="false">IF(A123="","",V43_New!EX123)</f>
        <v/>
      </c>
      <c r="K123" s="0" t="str">
        <f aca="false">IF(A123="","",V43_New!EY123)</f>
        <v/>
      </c>
      <c r="L123" s="0" t="str">
        <f aca="false">IF(A123="","",V43_New!EZ123)</f>
        <v/>
      </c>
      <c r="M123" s="0" t="str">
        <f aca="false">IF(A123="","",V43_New!FA123)</f>
        <v/>
      </c>
      <c r="N123" s="0" t="str">
        <f aca="false">IF(A123="","",V43_New!FB123)</f>
        <v/>
      </c>
      <c r="O123" s="0" t="str">
        <f aca="false">IF(A123="","",V43_New!FC123)</f>
        <v/>
      </c>
      <c r="P123" s="0" t="str">
        <f aca="false">IF(A123="","",V43_New!FD123)</f>
        <v/>
      </c>
      <c r="Q123" s="0" t="str">
        <f aca="false">IF(A123="","",V43_New!FE123)</f>
        <v/>
      </c>
      <c r="R123" s="0" t="str">
        <f aca="false">IF(A123="","",V43_New!FF123)</f>
        <v/>
      </c>
      <c r="S123" s="0" t="str">
        <f aca="false">IF(A123="","",V43_New!FG123)</f>
        <v/>
      </c>
      <c r="T123" s="0" t="str">
        <f aca="false">IF(A123="","",V43_New!FH123)</f>
        <v/>
      </c>
      <c r="U123" s="0" t="str">
        <f aca="false">IF(A123="","",V43_New!FI123)</f>
        <v/>
      </c>
      <c r="V123" s="0" t="str">
        <f aca="false">IF(A123="","",V43_New!FJ123)</f>
        <v/>
      </c>
      <c r="W123" s="0" t="str">
        <f aca="false">IF(A123="","",V43_New!FK123)</f>
        <v/>
      </c>
      <c r="X123" s="0" t="str">
        <f aca="false">IF(A123="","",V43_New!FL123)</f>
        <v/>
      </c>
      <c r="Y123" s="0" t="str">
        <f aca="false">IF(A123="","",V43_New!FM123)</f>
        <v/>
      </c>
      <c r="Z123" s="0" t="n">
        <f aca="false">IF(C124&lt;&gt;"",COUNT(C123:N123),0)</f>
        <v>1</v>
      </c>
      <c r="AA123" s="0" t="n">
        <f aca="false">IF(AND(O123="",P123="",Q123="",R123="",S123="",T123="",U123="",V123="",W123="",X123="",Y123=""),0,1)</f>
        <v>0</v>
      </c>
      <c r="AB123" s="15" t="str">
        <f aca="false">IF(OR(Z123&gt;=3,AA123=1),AVERAGE(C123:N123),"")</f>
        <v/>
      </c>
    </row>
    <row r="124" customFormat="false" ht="14.25" hidden="false" customHeight="false" outlineLevel="0" collapsed="false">
      <c r="A124" s="0" t="n">
        <f aca="false">Timestamp_Adjustment!D124</f>
        <v>1778838300</v>
      </c>
      <c r="B124" s="0" t="n">
        <f aca="false">IF(A124="","",V43_New!D124)</f>
        <v>4545.78</v>
      </c>
      <c r="C124" s="0" t="n">
        <f aca="false">IF(A124="","",V43_New!F124)</f>
        <v>4532.03</v>
      </c>
      <c r="D124" s="0" t="str">
        <f aca="false">IF(A124="","",V43_New!ER124)</f>
        <v/>
      </c>
      <c r="E124" s="0" t="str">
        <f aca="false">IF(A124="","",V43_New!ES124)</f>
        <v/>
      </c>
      <c r="F124" s="0" t="str">
        <f aca="false">IF(A124="","",V43_New!ET124)</f>
        <v/>
      </c>
      <c r="G124" s="0" t="str">
        <f aca="false">IF(A124="","",V43_New!EU124)</f>
        <v/>
      </c>
      <c r="H124" s="0" t="str">
        <f aca="false">IF(A124="","",V43_New!EV124)</f>
        <v/>
      </c>
      <c r="I124" s="0" t="str">
        <f aca="false">IF(A124="","",V43_New!EW124)</f>
        <v/>
      </c>
      <c r="J124" s="0" t="str">
        <f aca="false">IF(A124="","",V43_New!EX124)</f>
        <v/>
      </c>
      <c r="K124" s="0" t="str">
        <f aca="false">IF(A124="","",V43_New!EY124)</f>
        <v/>
      </c>
      <c r="L124" s="0" t="str">
        <f aca="false">IF(A124="","",V43_New!EZ124)</f>
        <v/>
      </c>
      <c r="M124" s="0" t="str">
        <f aca="false">IF(A124="","",V43_New!FA124)</f>
        <v/>
      </c>
      <c r="N124" s="0" t="str">
        <f aca="false">IF(A124="","",V43_New!FB124)</f>
        <v/>
      </c>
      <c r="O124" s="0" t="str">
        <f aca="false">IF(A124="","",V43_New!FC124)</f>
        <v/>
      </c>
      <c r="P124" s="0" t="str">
        <f aca="false">IF(A124="","",V43_New!FD124)</f>
        <v/>
      </c>
      <c r="Q124" s="0" t="str">
        <f aca="false">IF(A124="","",V43_New!FE124)</f>
        <v/>
      </c>
      <c r="R124" s="0" t="str">
        <f aca="false">IF(A124="","",V43_New!FF124)</f>
        <v/>
      </c>
      <c r="S124" s="0" t="str">
        <f aca="false">IF(A124="","",V43_New!FG124)</f>
        <v/>
      </c>
      <c r="T124" s="0" t="str">
        <f aca="false">IF(A124="","",V43_New!FH124)</f>
        <v/>
      </c>
      <c r="U124" s="0" t="str">
        <f aca="false">IF(A124="","",V43_New!FI124)</f>
        <v/>
      </c>
      <c r="V124" s="0" t="str">
        <f aca="false">IF(A124="","",V43_New!FJ124)</f>
        <v/>
      </c>
      <c r="W124" s="0" t="str">
        <f aca="false">IF(A124="","",V43_New!FK124)</f>
        <v/>
      </c>
      <c r="X124" s="0" t="str">
        <f aca="false">IF(A124="","",V43_New!FL124)</f>
        <v/>
      </c>
      <c r="Y124" s="0" t="str">
        <f aca="false">IF(A124="","",V43_New!FM124)</f>
        <v/>
      </c>
      <c r="Z124" s="0" t="n">
        <f aca="false">IF(C125&lt;&gt;"",COUNT(C124:N124),0)</f>
        <v>1</v>
      </c>
      <c r="AA124" s="0" t="n">
        <f aca="false">IF(AND(O124="",P124="",Q124="",R124="",S124="",T124="",U124="",V124="",W124="",X124="",Y124=""),0,1)</f>
        <v>0</v>
      </c>
      <c r="AB124" s="15" t="str">
        <f aca="false">IF(OR(Z124&gt;=3,AA124=1),AVERAGE(C124:N124),"")</f>
        <v/>
      </c>
    </row>
    <row r="125" customFormat="false" ht="14.25" hidden="false" customHeight="false" outlineLevel="0" collapsed="false">
      <c r="A125" s="0" t="n">
        <f aca="false">Timestamp_Adjustment!D125</f>
        <v>1778841900</v>
      </c>
      <c r="B125" s="0" t="n">
        <f aca="false">IF(A125="","",V43_New!D125)</f>
        <v>4566.14</v>
      </c>
      <c r="C125" s="0" t="n">
        <f aca="false">IF(A125="","",V43_New!F125)</f>
        <v>4572.64</v>
      </c>
      <c r="D125" s="0" t="str">
        <f aca="false">IF(A125="","",V43_New!ER125)</f>
        <v/>
      </c>
      <c r="E125" s="0" t="str">
        <f aca="false">IF(A125="","",V43_New!ES125)</f>
        <v/>
      </c>
      <c r="F125" s="0" t="str">
        <f aca="false">IF(A125="","",V43_New!ET125)</f>
        <v/>
      </c>
      <c r="G125" s="0" t="str">
        <f aca="false">IF(A125="","",V43_New!EU125)</f>
        <v/>
      </c>
      <c r="H125" s="0" t="str">
        <f aca="false">IF(A125="","",V43_New!EV125)</f>
        <v/>
      </c>
      <c r="I125" s="0" t="str">
        <f aca="false">IF(A125="","",V43_New!EW125)</f>
        <v/>
      </c>
      <c r="J125" s="0" t="str">
        <f aca="false">IF(A125="","",V43_New!EX125)</f>
        <v/>
      </c>
      <c r="K125" s="0" t="str">
        <f aca="false">IF(A125="","",V43_New!EY125)</f>
        <v/>
      </c>
      <c r="L125" s="0" t="str">
        <f aca="false">IF(A125="","",V43_New!EZ125)</f>
        <v/>
      </c>
      <c r="M125" s="0" t="str">
        <f aca="false">IF(A125="","",V43_New!FA125)</f>
        <v/>
      </c>
      <c r="N125" s="0" t="str">
        <f aca="false">IF(A125="","",V43_New!FB125)</f>
        <v/>
      </c>
      <c r="O125" s="0" t="str">
        <f aca="false">IF(A125="","",V43_New!FC125)</f>
        <v/>
      </c>
      <c r="P125" s="0" t="str">
        <f aca="false">IF(A125="","",V43_New!FD125)</f>
        <v/>
      </c>
      <c r="Q125" s="0" t="str">
        <f aca="false">IF(A125="","",V43_New!FE125)</f>
        <v/>
      </c>
      <c r="R125" s="0" t="str">
        <f aca="false">IF(A125="","",V43_New!FF125)</f>
        <v/>
      </c>
      <c r="S125" s="0" t="str">
        <f aca="false">IF(A125="","",V43_New!FG125)</f>
        <v/>
      </c>
      <c r="T125" s="0" t="str">
        <f aca="false">IF(A125="","",V43_New!FH125)</f>
        <v/>
      </c>
      <c r="U125" s="0" t="str">
        <f aca="false">IF(A125="","",V43_New!FI125)</f>
        <v/>
      </c>
      <c r="V125" s="0" t="str">
        <f aca="false">IF(A125="","",V43_New!FJ125)</f>
        <v/>
      </c>
      <c r="W125" s="0" t="str">
        <f aca="false">IF(A125="","",V43_New!FK125)</f>
        <v/>
      </c>
      <c r="X125" s="0" t="str">
        <f aca="false">IF(A125="","",V43_New!FL125)</f>
        <v/>
      </c>
      <c r="Y125" s="0" t="str">
        <f aca="false">IF(A125="","",V43_New!FM125)</f>
        <v/>
      </c>
      <c r="Z125" s="0" t="n">
        <f aca="false">IF(C126&lt;&gt;"",COUNT(C125:N125),0)</f>
        <v>1</v>
      </c>
      <c r="AA125" s="0" t="n">
        <f aca="false">IF(AND(O125="",P125="",Q125="",R125="",S125="",T125="",U125="",V125="",W125="",X125="",Y125=""),0,1)</f>
        <v>0</v>
      </c>
      <c r="AB125" s="15" t="str">
        <f aca="false">IF(OR(Z125&gt;=3,AA125=1),AVERAGE(C125:N125),"")</f>
        <v/>
      </c>
    </row>
    <row r="126" customFormat="false" ht="14.25" hidden="false" customHeight="false" outlineLevel="0" collapsed="false">
      <c r="A126" s="0" t="n">
        <f aca="false">Timestamp_Adjustment!D126</f>
        <v>1778852700</v>
      </c>
      <c r="B126" s="0" t="n">
        <f aca="false">IF(A126="","",V43_New!D126)</f>
        <v>4533.57</v>
      </c>
      <c r="C126" s="0" t="n">
        <f aca="false">IF(A126="","",V43_New!F126)</f>
        <v>4511.92</v>
      </c>
      <c r="D126" s="0" t="str">
        <f aca="false">IF(A126="","",V43_New!ER126)</f>
        <v/>
      </c>
      <c r="E126" s="0" t="str">
        <f aca="false">IF(A126="","",V43_New!ES126)</f>
        <v/>
      </c>
      <c r="F126" s="0" t="str">
        <f aca="false">IF(A126="","",V43_New!ET126)</f>
        <v/>
      </c>
      <c r="G126" s="0" t="str">
        <f aca="false">IF(A126="","",V43_New!EU126)</f>
        <v/>
      </c>
      <c r="H126" s="0" t="str">
        <f aca="false">IF(A126="","",V43_New!EV126)</f>
        <v/>
      </c>
      <c r="I126" s="0" t="str">
        <f aca="false">IF(A126="","",V43_New!EW126)</f>
        <v/>
      </c>
      <c r="J126" s="0" t="str">
        <f aca="false">IF(A126="","",V43_New!EX126)</f>
        <v/>
      </c>
      <c r="K126" s="0" t="str">
        <f aca="false">IF(A126="","",V43_New!EY126)</f>
        <v/>
      </c>
      <c r="L126" s="0" t="str">
        <f aca="false">IF(A126="","",V43_New!EZ126)</f>
        <v/>
      </c>
      <c r="M126" s="0" t="str">
        <f aca="false">IF(A126="","",V43_New!FA126)</f>
        <v/>
      </c>
      <c r="N126" s="0" t="str">
        <f aca="false">IF(A126="","",V43_New!FB126)</f>
        <v/>
      </c>
      <c r="O126" s="0" t="str">
        <f aca="false">IF(A126="","",V43_New!FC126)</f>
        <v/>
      </c>
      <c r="P126" s="0" t="str">
        <f aca="false">IF(A126="","",V43_New!FD126)</f>
        <v/>
      </c>
      <c r="Q126" s="0" t="str">
        <f aca="false">IF(A126="","",V43_New!FE126)</f>
        <v/>
      </c>
      <c r="R126" s="0" t="str">
        <f aca="false">IF(A126="","",V43_New!FF126)</f>
        <v/>
      </c>
      <c r="S126" s="0" t="str">
        <f aca="false">IF(A126="","",V43_New!FG126)</f>
        <v/>
      </c>
      <c r="T126" s="0" t="str">
        <f aca="false">IF(A126="","",V43_New!FH126)</f>
        <v/>
      </c>
      <c r="U126" s="0" t="str">
        <f aca="false">IF(A126="","",V43_New!FI126)</f>
        <v/>
      </c>
      <c r="V126" s="0" t="str">
        <f aca="false">IF(A126="","",V43_New!FJ126)</f>
        <v/>
      </c>
      <c r="W126" s="0" t="str">
        <f aca="false">IF(A126="","",V43_New!FK126)</f>
        <v/>
      </c>
      <c r="X126" s="0" t="str">
        <f aca="false">IF(A126="","",V43_New!FL126)</f>
        <v/>
      </c>
      <c r="Y126" s="0" t="str">
        <f aca="false">IF(A126="","",V43_New!FM126)</f>
        <v/>
      </c>
      <c r="Z126" s="0" t="n">
        <f aca="false">IF(C127&lt;&gt;"",COUNT(C126:N126),0)</f>
        <v>1</v>
      </c>
      <c r="AA126" s="0" t="n">
        <f aca="false">IF(AND(O126="",P126="",Q126="",R126="",S126="",T126="",U126="",V126="",W126="",X126="",Y126=""),0,1)</f>
        <v>0</v>
      </c>
      <c r="AB126" s="15" t="str">
        <f aca="false">IF(OR(Z126&gt;=3,AA126=1),AVERAGE(C126:N126),"")</f>
        <v/>
      </c>
    </row>
    <row r="127" customFormat="false" ht="14.25" hidden="false" customHeight="false" outlineLevel="0" collapsed="false">
      <c r="A127" s="0" t="n">
        <f aca="false">Timestamp_Adjustment!D127</f>
        <v>1778856300</v>
      </c>
      <c r="B127" s="0" t="n">
        <f aca="false">IF(A127="","",V43_New!D127)</f>
        <v>4562.82</v>
      </c>
      <c r="C127" s="0" t="n">
        <f aca="false">IF(A127="","",V43_New!F127)</f>
        <v>4566.43</v>
      </c>
      <c r="D127" s="0" t="str">
        <f aca="false">IF(A127="","",V43_New!ER127)</f>
        <v/>
      </c>
      <c r="E127" s="0" t="str">
        <f aca="false">IF(A127="","",V43_New!ES127)</f>
        <v/>
      </c>
      <c r="F127" s="0" t="str">
        <f aca="false">IF(A127="","",V43_New!ET127)</f>
        <v/>
      </c>
      <c r="G127" s="0" t="str">
        <f aca="false">IF(A127="","",V43_New!EU127)</f>
        <v/>
      </c>
      <c r="H127" s="0" t="str">
        <f aca="false">IF(A127="","",V43_New!EV127)</f>
        <v/>
      </c>
      <c r="I127" s="0" t="str">
        <f aca="false">IF(A127="","",V43_New!EW127)</f>
        <v/>
      </c>
      <c r="J127" s="0" t="str">
        <f aca="false">IF(A127="","",V43_New!EX127)</f>
        <v/>
      </c>
      <c r="K127" s="0" t="str">
        <f aca="false">IF(A127="","",V43_New!EY127)</f>
        <v/>
      </c>
      <c r="L127" s="0" t="str">
        <f aca="false">IF(A127="","",V43_New!EZ127)</f>
        <v/>
      </c>
      <c r="M127" s="0" t="str">
        <f aca="false">IF(A127="","",V43_New!FA127)</f>
        <v/>
      </c>
      <c r="N127" s="0" t="str">
        <f aca="false">IF(A127="","",V43_New!FB127)</f>
        <v/>
      </c>
      <c r="O127" s="0" t="str">
        <f aca="false">IF(A127="","",V43_New!FC127)</f>
        <v/>
      </c>
      <c r="P127" s="0" t="str">
        <f aca="false">IF(A127="","",V43_New!FD127)</f>
        <v/>
      </c>
      <c r="Q127" s="0" t="str">
        <f aca="false">IF(A127="","",V43_New!FE127)</f>
        <v/>
      </c>
      <c r="R127" s="0" t="str">
        <f aca="false">IF(A127="","",V43_New!FF127)</f>
        <v/>
      </c>
      <c r="S127" s="0" t="str">
        <f aca="false">IF(A127="","",V43_New!FG127)</f>
        <v/>
      </c>
      <c r="T127" s="0" t="str">
        <f aca="false">IF(A127="","",V43_New!FH127)</f>
        <v/>
      </c>
      <c r="U127" s="0" t="str">
        <f aca="false">IF(A127="","",V43_New!FI127)</f>
        <v/>
      </c>
      <c r="V127" s="0" t="str">
        <f aca="false">IF(A127="","",V43_New!FJ127)</f>
        <v/>
      </c>
      <c r="W127" s="0" t="str">
        <f aca="false">IF(A127="","",V43_New!FK127)</f>
        <v/>
      </c>
      <c r="X127" s="0" t="str">
        <f aca="false">IF(A127="","",V43_New!FL127)</f>
        <v/>
      </c>
      <c r="Y127" s="0" t="str">
        <f aca="false">IF(A127="","",V43_New!FM127)</f>
        <v/>
      </c>
      <c r="Z127" s="0" t="n">
        <f aca="false">IF(C128&lt;&gt;"",COUNT(C127:N127),0)</f>
        <v>1</v>
      </c>
      <c r="AA127" s="0" t="n">
        <f aca="false">IF(AND(O127="",P127="",Q127="",R127="",S127="",T127="",U127="",V127="",W127="",X127="",Y127=""),0,1)</f>
        <v>0</v>
      </c>
      <c r="AB127" s="15" t="str">
        <f aca="false">IF(OR(Z127&gt;=3,AA127=1),AVERAGE(C127:N127),"")</f>
        <v/>
      </c>
    </row>
    <row r="128" customFormat="false" ht="14.25" hidden="false" customHeight="false" outlineLevel="0" collapsed="false">
      <c r="A128" s="0" t="n">
        <f aca="false">Timestamp_Adjustment!D128</f>
        <v>1779065100</v>
      </c>
      <c r="B128" s="0" t="n">
        <f aca="false">IF(A128="","",V43_New!D128)</f>
        <v>4515.89</v>
      </c>
      <c r="C128" s="0" t="n">
        <f aca="false">IF(A128="","",V43_New!F128)</f>
        <v>4480.72</v>
      </c>
      <c r="D128" s="0" t="str">
        <f aca="false">IF(A128="","",V43_New!ER128)</f>
        <v/>
      </c>
      <c r="E128" s="0" t="str">
        <f aca="false">IF(A128="","",V43_New!ES128)</f>
        <v/>
      </c>
      <c r="F128" s="0" t="str">
        <f aca="false">IF(A128="","",V43_New!ET128)</f>
        <v/>
      </c>
      <c r="G128" s="0" t="str">
        <f aca="false">IF(A128="","",V43_New!EU128)</f>
        <v/>
      </c>
      <c r="H128" s="0" t="str">
        <f aca="false">IF(A128="","",V43_New!EV128)</f>
        <v/>
      </c>
      <c r="I128" s="0" t="str">
        <f aca="false">IF(A128="","",V43_New!EW128)</f>
        <v/>
      </c>
      <c r="J128" s="0" t="str">
        <f aca="false">IF(A128="","",V43_New!EX128)</f>
        <v/>
      </c>
      <c r="K128" s="0" t="str">
        <f aca="false">IF(A128="","",V43_New!EY128)</f>
        <v/>
      </c>
      <c r="L128" s="0" t="str">
        <f aca="false">IF(A128="","",V43_New!EZ128)</f>
        <v/>
      </c>
      <c r="M128" s="0" t="str">
        <f aca="false">IF(A128="","",V43_New!FA128)</f>
        <v/>
      </c>
      <c r="N128" s="0" t="str">
        <f aca="false">IF(A128="","",V43_New!FB128)</f>
        <v/>
      </c>
      <c r="O128" s="0" t="str">
        <f aca="false">IF(A128="","",V43_New!FC128)</f>
        <v/>
      </c>
      <c r="P128" s="0" t="str">
        <f aca="false">IF(A128="","",V43_New!FD128)</f>
        <v/>
      </c>
      <c r="Q128" s="0" t="str">
        <f aca="false">IF(A128="","",V43_New!FE128)</f>
        <v/>
      </c>
      <c r="R128" s="0" t="str">
        <f aca="false">IF(A128="","",V43_New!FF128)</f>
        <v/>
      </c>
      <c r="S128" s="0" t="str">
        <f aca="false">IF(A128="","",V43_New!FG128)</f>
        <v/>
      </c>
      <c r="T128" s="0" t="str">
        <f aca="false">IF(A128="","",V43_New!FH128)</f>
        <v/>
      </c>
      <c r="U128" s="0" t="str">
        <f aca="false">IF(A128="","",V43_New!FI128)</f>
        <v/>
      </c>
      <c r="V128" s="0" t="str">
        <f aca="false">IF(A128="","",V43_New!FJ128)</f>
        <v/>
      </c>
      <c r="W128" s="0" t="str">
        <f aca="false">IF(A128="","",V43_New!FK128)</f>
        <v/>
      </c>
      <c r="X128" s="0" t="str">
        <f aca="false">IF(A128="","",V43_New!FL128)</f>
        <v/>
      </c>
      <c r="Y128" s="0" t="str">
        <f aca="false">IF(A128="","",V43_New!FM128)</f>
        <v/>
      </c>
      <c r="Z128" s="0" t="n">
        <f aca="false">IF(C129&lt;&gt;"",COUNT(C128:N128),0)</f>
        <v>1</v>
      </c>
      <c r="AA128" s="0" t="n">
        <f aca="false">IF(AND(O128="",P128="",Q128="",R128="",S128="",T128="",U128="",V128="",W128="",X128="",Y128=""),0,1)</f>
        <v>0</v>
      </c>
      <c r="AB128" s="15" t="str">
        <f aca="false">IF(OR(Z128&gt;=3,AA128=1),AVERAGE(C128:N128),"")</f>
        <v/>
      </c>
    </row>
    <row r="129" customFormat="false" ht="14.25" hidden="false" customHeight="false" outlineLevel="0" collapsed="false">
      <c r="A129" s="0" t="n">
        <f aca="false">Timestamp_Adjustment!D129</f>
        <v>1779089400</v>
      </c>
      <c r="B129" s="0" t="n">
        <f aca="false">IF(A129="","",V43_New!D129)</f>
        <v>4549.3</v>
      </c>
      <c r="C129" s="0" t="n">
        <f aca="false">IF(A129="","",V43_New!F129)</f>
        <v>4559.95</v>
      </c>
      <c r="D129" s="0" t="str">
        <f aca="false">IF(A129="","",V43_New!ER129)</f>
        <v/>
      </c>
      <c r="E129" s="0" t="str">
        <f aca="false">IF(A129="","",V43_New!ES129)</f>
        <v/>
      </c>
      <c r="F129" s="0" t="str">
        <f aca="false">IF(A129="","",V43_New!ET129)</f>
        <v/>
      </c>
      <c r="G129" s="0" t="str">
        <f aca="false">IF(A129="","",V43_New!EU129)</f>
        <v/>
      </c>
      <c r="H129" s="0" t="str">
        <f aca="false">IF(A129="","",V43_New!EV129)</f>
        <v/>
      </c>
      <c r="I129" s="0" t="str">
        <f aca="false">IF(A129="","",V43_New!EW129)</f>
        <v/>
      </c>
      <c r="J129" s="0" t="str">
        <f aca="false">IF(A129="","",V43_New!EX129)</f>
        <v/>
      </c>
      <c r="K129" s="0" t="str">
        <f aca="false">IF(A129="","",V43_New!EY129)</f>
        <v/>
      </c>
      <c r="L129" s="0" t="str">
        <f aca="false">IF(A129="","",V43_New!EZ129)</f>
        <v/>
      </c>
      <c r="M129" s="0" t="str">
        <f aca="false">IF(A129="","",V43_New!FA129)</f>
        <v/>
      </c>
      <c r="N129" s="0" t="str">
        <f aca="false">IF(A129="","",V43_New!FB129)</f>
        <v/>
      </c>
      <c r="O129" s="0" t="str">
        <f aca="false">IF(A129="","",V43_New!FC129)</f>
        <v/>
      </c>
      <c r="P129" s="0" t="str">
        <f aca="false">IF(A129="","",V43_New!FD129)</f>
        <v/>
      </c>
      <c r="Q129" s="0" t="str">
        <f aca="false">IF(A129="","",V43_New!FE129)</f>
        <v/>
      </c>
      <c r="R129" s="0" t="str">
        <f aca="false">IF(A129="","",V43_New!FF129)</f>
        <v/>
      </c>
      <c r="S129" s="0" t="str">
        <f aca="false">IF(A129="","",V43_New!FG129)</f>
        <v/>
      </c>
      <c r="T129" s="0" t="str">
        <f aca="false">IF(A129="","",V43_New!FH129)</f>
        <v/>
      </c>
      <c r="U129" s="0" t="str">
        <f aca="false">IF(A129="","",V43_New!FI129)</f>
        <v/>
      </c>
      <c r="V129" s="0" t="str">
        <f aca="false">IF(A129="","",V43_New!FJ129)</f>
        <v/>
      </c>
      <c r="W129" s="0" t="str">
        <f aca="false">IF(A129="","",V43_New!FK129)</f>
        <v/>
      </c>
      <c r="X129" s="0" t="str">
        <f aca="false">IF(A129="","",V43_New!FL129)</f>
        <v/>
      </c>
      <c r="Y129" s="0" t="str">
        <f aca="false">IF(A129="","",V43_New!FM129)</f>
        <v/>
      </c>
      <c r="Z129" s="0" t="n">
        <f aca="false">IF(C130&lt;&gt;"",COUNT(C129:N129),0)</f>
        <v>1</v>
      </c>
      <c r="AA129" s="0" t="n">
        <f aca="false">IF(AND(O129="",P129="",Q129="",R129="",S129="",T129="",U129="",V129="",W129="",X129="",Y129=""),0,1)</f>
        <v>0</v>
      </c>
      <c r="AB129" s="15" t="str">
        <f aca="false">IF(OR(Z129&gt;=3,AA129=1),AVERAGE(C129:N129),"")</f>
        <v/>
      </c>
    </row>
    <row r="130" customFormat="false" ht="14.25" hidden="false" customHeight="false" outlineLevel="0" collapsed="false">
      <c r="A130" s="0" t="n">
        <f aca="false">Timestamp_Adjustment!D130</f>
        <v>1779102000</v>
      </c>
      <c r="B130" s="0" t="n">
        <f aca="false">IF(A130="","",V43_New!D130)</f>
        <v>4539.54</v>
      </c>
      <c r="C130" s="0" t="n">
        <f aca="false">IF(A130="","",V43_New!F130)</f>
        <v>4530.01</v>
      </c>
      <c r="D130" s="0" t="str">
        <f aca="false">IF(A130="","",V43_New!ER130)</f>
        <v/>
      </c>
      <c r="E130" s="0" t="str">
        <f aca="false">IF(A130="","",V43_New!ES130)</f>
        <v/>
      </c>
      <c r="F130" s="0" t="n">
        <f aca="false">IF(A130="","",V43_New!ET130)</f>
        <v>4532.03</v>
      </c>
      <c r="G130" s="0" t="str">
        <f aca="false">IF(A130="","",V43_New!EU130)</f>
        <v/>
      </c>
      <c r="H130" s="0" t="str">
        <f aca="false">IF(A130="","",V43_New!EV130)</f>
        <v/>
      </c>
      <c r="I130" s="0" t="str">
        <f aca="false">IF(A130="","",V43_New!EW130)</f>
        <v/>
      </c>
      <c r="J130" s="0" t="str">
        <f aca="false">IF(A130="","",V43_New!EX130)</f>
        <v/>
      </c>
      <c r="K130" s="0" t="str">
        <f aca="false">IF(A130="","",V43_New!EY130)</f>
        <v/>
      </c>
      <c r="L130" s="0" t="str">
        <f aca="false">IF(A130="","",V43_New!EZ130)</f>
        <v/>
      </c>
      <c r="M130" s="0" t="str">
        <f aca="false">IF(A130="","",V43_New!FA130)</f>
        <v/>
      </c>
      <c r="N130" s="0" t="str">
        <f aca="false">IF(A130="","",V43_New!FB130)</f>
        <v/>
      </c>
      <c r="O130" s="0" t="str">
        <f aca="false">IF(A130="","",V43_New!FC130)</f>
        <v/>
      </c>
      <c r="P130" s="0" t="str">
        <f aca="false">IF(A130="","",V43_New!FD130)</f>
        <v/>
      </c>
      <c r="Q130" s="0" t="str">
        <f aca="false">IF(A130="","",V43_New!FE130)</f>
        <v>IEQL</v>
      </c>
      <c r="R130" s="0" t="str">
        <f aca="false">IF(A130="","",V43_New!FF130)</f>
        <v/>
      </c>
      <c r="S130" s="0" t="str">
        <f aca="false">IF(A130="","",V43_New!FG130)</f>
        <v/>
      </c>
      <c r="T130" s="0" t="str">
        <f aca="false">IF(A130="","",V43_New!FH130)</f>
        <v/>
      </c>
      <c r="U130" s="0" t="str">
        <f aca="false">IF(A130="","",V43_New!FI130)</f>
        <v/>
      </c>
      <c r="V130" s="0" t="str">
        <f aca="false">IF(A130="","",V43_New!FJ130)</f>
        <v/>
      </c>
      <c r="W130" s="0" t="str">
        <f aca="false">IF(A130="","",V43_New!FK130)</f>
        <v/>
      </c>
      <c r="X130" s="0" t="str">
        <f aca="false">IF(A130="","",V43_New!FL130)</f>
        <v/>
      </c>
      <c r="Y130" s="0" t="str">
        <f aca="false">IF(A130="","",V43_New!FM130)</f>
        <v/>
      </c>
      <c r="Z130" s="0" t="n">
        <f aca="false">IF(C131&lt;&gt;"",COUNT(C130:N130),0)</f>
        <v>2</v>
      </c>
      <c r="AA130" s="0" t="n">
        <f aca="false">IF(AND(O130="",P130="",Q130="",R130="",S130="",T130="",U130="",V130="",W130="",X130="",Y130=""),0,1)</f>
        <v>1</v>
      </c>
      <c r="AB130" s="15" t="n">
        <f aca="false">IF(OR(Z130&gt;=3,AA130=1),AVERAGE(C130:N130),"")</f>
        <v>4531.02</v>
      </c>
    </row>
    <row r="131" customFormat="false" ht="14.25" hidden="false" customHeight="false" outlineLevel="0" collapsed="false">
      <c r="A131" s="0" t="n">
        <f aca="false">Timestamp_Adjustment!D131</f>
        <v>1779111900</v>
      </c>
      <c r="B131" s="0" t="n">
        <f aca="false">IF(A131="","",V43_New!D131)</f>
        <v>4575.63</v>
      </c>
      <c r="C131" s="0" t="n">
        <f aca="false">IF(A131="","",V43_New!F131)</f>
        <v>4584.14</v>
      </c>
      <c r="D131" s="0" t="str">
        <f aca="false">IF(A131="","",V43_New!ER131)</f>
        <v/>
      </c>
      <c r="E131" s="0" t="str">
        <f aca="false">IF(A131="","",V43_New!ES131)</f>
        <v/>
      </c>
      <c r="F131" s="0" t="str">
        <f aca="false">IF(A131="","",V43_New!ET131)</f>
        <v/>
      </c>
      <c r="G131" s="0" t="str">
        <f aca="false">IF(A131="","",V43_New!EU131)</f>
        <v/>
      </c>
      <c r="H131" s="0" t="str">
        <f aca="false">IF(A131="","",V43_New!EV131)</f>
        <v/>
      </c>
      <c r="I131" s="0" t="str">
        <f aca="false">IF(A131="","",V43_New!EW131)</f>
        <v/>
      </c>
      <c r="J131" s="0" t="str">
        <f aca="false">IF(A131="","",V43_New!EX131)</f>
        <v/>
      </c>
      <c r="K131" s="0" t="str">
        <f aca="false">IF(A131="","",V43_New!EY131)</f>
        <v/>
      </c>
      <c r="L131" s="0" t="str">
        <f aca="false">IF(A131="","",V43_New!EZ131)</f>
        <v/>
      </c>
      <c r="M131" s="0" t="str">
        <f aca="false">IF(A131="","",V43_New!FA131)</f>
        <v/>
      </c>
      <c r="N131" s="0" t="str">
        <f aca="false">IF(A131="","",V43_New!FB131)</f>
        <v/>
      </c>
      <c r="O131" s="0" t="str">
        <f aca="false">IF(A131="","",V43_New!FC131)</f>
        <v/>
      </c>
      <c r="P131" s="0" t="str">
        <f aca="false">IF(A131="","",V43_New!FD131)</f>
        <v/>
      </c>
      <c r="Q131" s="0" t="str">
        <f aca="false">IF(A131="","",V43_New!FE131)</f>
        <v/>
      </c>
      <c r="R131" s="0" t="str">
        <f aca="false">IF(A131="","",V43_New!FF131)</f>
        <v/>
      </c>
      <c r="S131" s="0" t="str">
        <f aca="false">IF(A131="","",V43_New!FG131)</f>
        <v/>
      </c>
      <c r="T131" s="0" t="str">
        <f aca="false">IF(A131="","",V43_New!FH131)</f>
        <v/>
      </c>
      <c r="U131" s="0" t="str">
        <f aca="false">IF(A131="","",V43_New!FI131)</f>
        <v/>
      </c>
      <c r="V131" s="0" t="str">
        <f aca="false">IF(A131="","",V43_New!FJ131)</f>
        <v/>
      </c>
      <c r="W131" s="0" t="str">
        <f aca="false">IF(A131="","",V43_New!FK131)</f>
        <v/>
      </c>
      <c r="X131" s="0" t="str">
        <f aca="false">IF(A131="","",V43_New!FL131)</f>
        <v/>
      </c>
      <c r="Y131" s="0" t="str">
        <f aca="false">IF(A131="","",V43_New!FM131)</f>
        <v/>
      </c>
      <c r="Z131" s="0" t="n">
        <f aca="false">IF(C132&lt;&gt;"",COUNT(C131:N131),0)</f>
        <v>1</v>
      </c>
      <c r="AA131" s="0" t="n">
        <f aca="false">IF(AND(O131="",P131="",Q131="",R131="",S131="",T131="",U131="",V131="",W131="",X131="",Y131=""),0,1)</f>
        <v>0</v>
      </c>
      <c r="AB131" s="15" t="str">
        <f aca="false">IF(OR(Z131&gt;=3,AA131=1),AVERAGE(C131:N131),"")</f>
        <v/>
      </c>
    </row>
    <row r="132" customFormat="false" ht="14.25" hidden="false" customHeight="false" outlineLevel="0" collapsed="false">
      <c r="A132" s="0" t="n">
        <f aca="false">Timestamp_Adjustment!D132</f>
        <v>1779116400</v>
      </c>
      <c r="B132" s="0" t="n">
        <f aca="false">IF(A132="","",V43_New!D132)</f>
        <v>4540.53</v>
      </c>
      <c r="C132" s="0" t="n">
        <f aca="false">IF(A132="","",V43_New!F132)</f>
        <v>4532</v>
      </c>
      <c r="D132" s="0" t="str">
        <f aca="false">IF(A132="","",V43_New!ER132)</f>
        <v/>
      </c>
      <c r="E132" s="0" t="str">
        <f aca="false">IF(A132="","",V43_New!ES132)</f>
        <v/>
      </c>
      <c r="F132" s="0" t="str">
        <f aca="false">IF(A132="","",V43_New!ET132)</f>
        <v/>
      </c>
      <c r="G132" s="0" t="n">
        <f aca="false">IF(A132="","",V43_New!EU132)</f>
        <v>4532.03</v>
      </c>
      <c r="H132" s="0" t="str">
        <f aca="false">IF(A132="","",V43_New!EV132)</f>
        <v/>
      </c>
      <c r="I132" s="0" t="str">
        <f aca="false">IF(A132="","",V43_New!EW132)</f>
        <v/>
      </c>
      <c r="J132" s="0" t="str">
        <f aca="false">IF(A132="","",V43_New!EX132)</f>
        <v/>
      </c>
      <c r="K132" s="0" t="str">
        <f aca="false">IF(A132="","",V43_New!EY132)</f>
        <v/>
      </c>
      <c r="L132" s="0" t="str">
        <f aca="false">IF(A132="","",V43_New!EZ132)</f>
        <v/>
      </c>
      <c r="M132" s="0" t="str">
        <f aca="false">IF(A132="","",V43_New!FA132)</f>
        <v/>
      </c>
      <c r="N132" s="0" t="str">
        <f aca="false">IF(A132="","",V43_New!FB132)</f>
        <v/>
      </c>
      <c r="O132" s="0" t="str">
        <f aca="false">IF(A132="","",V43_New!FC132)</f>
        <v/>
      </c>
      <c r="P132" s="0" t="str">
        <f aca="false">IF(A132="","",V43_New!FD132)</f>
        <v/>
      </c>
      <c r="Q132" s="0" t="str">
        <f aca="false">IF(A132="","",V43_New!FE132)</f>
        <v/>
      </c>
      <c r="R132" s="0" t="str">
        <f aca="false">IF(A132="","",V43_New!FF132)</f>
        <v>IEQL</v>
      </c>
      <c r="S132" s="0" t="str">
        <f aca="false">IF(A132="","",V43_New!FG132)</f>
        <v/>
      </c>
      <c r="T132" s="0" t="str">
        <f aca="false">IF(A132="","",V43_New!FH132)</f>
        <v/>
      </c>
      <c r="U132" s="0" t="str">
        <f aca="false">IF(A132="","",V43_New!FI132)</f>
        <v/>
      </c>
      <c r="V132" s="0" t="str">
        <f aca="false">IF(A132="","",V43_New!FJ132)</f>
        <v/>
      </c>
      <c r="W132" s="0" t="str">
        <f aca="false">IF(A132="","",V43_New!FK132)</f>
        <v/>
      </c>
      <c r="X132" s="0" t="str">
        <f aca="false">IF(A132="","",V43_New!FL132)</f>
        <v/>
      </c>
      <c r="Y132" s="0" t="str">
        <f aca="false">IF(A132="","",V43_New!FM132)</f>
        <v/>
      </c>
      <c r="Z132" s="0" t="n">
        <f aca="false">IF(C133&lt;&gt;"",COUNT(C132:N132),0)</f>
        <v>2</v>
      </c>
      <c r="AA132" s="0" t="n">
        <f aca="false">IF(AND(O132="",P132="",Q132="",R132="",S132="",T132="",U132="",V132="",W132="",X132="",Y132=""),0,1)</f>
        <v>1</v>
      </c>
      <c r="AB132" s="15" t="n">
        <f aca="false">IF(OR(Z132&gt;=3,AA132=1),AVERAGE(C132:N132),"")</f>
        <v>4532.015</v>
      </c>
    </row>
    <row r="133" customFormat="false" ht="14.25" hidden="false" customHeight="false" outlineLevel="0" collapsed="false">
      <c r="A133" s="0" t="n">
        <f aca="false">Timestamp_Adjustment!D133</f>
        <v>1779148800</v>
      </c>
      <c r="B133" s="0" t="n">
        <f aca="false">IF(A133="","",V43_New!D133)</f>
        <v>4578.88</v>
      </c>
      <c r="C133" s="0" t="n">
        <f aca="false">IF(A133="","",V43_New!F133)</f>
        <v>4589.36</v>
      </c>
      <c r="D133" s="0" t="n">
        <f aca="false">IF(A133="","",V43_New!ER133)</f>
        <v>4584.14</v>
      </c>
      <c r="E133" s="0" t="str">
        <f aca="false">IF(A133="","",V43_New!ES133)</f>
        <v/>
      </c>
      <c r="F133" s="0" t="str">
        <f aca="false">IF(A133="","",V43_New!ET133)</f>
        <v/>
      </c>
      <c r="G133" s="0" t="str">
        <f aca="false">IF(A133="","",V43_New!EU133)</f>
        <v/>
      </c>
      <c r="H133" s="0" t="str">
        <f aca="false">IF(A133="","",V43_New!EV133)</f>
        <v/>
      </c>
      <c r="I133" s="0" t="str">
        <f aca="false">IF(A133="","",V43_New!EW133)</f>
        <v/>
      </c>
      <c r="J133" s="0" t="str">
        <f aca="false">IF(A133="","",V43_New!EX133)</f>
        <v/>
      </c>
      <c r="K133" s="0" t="str">
        <f aca="false">IF(A133="","",V43_New!EY133)</f>
        <v/>
      </c>
      <c r="L133" s="0" t="str">
        <f aca="false">IF(A133="","",V43_New!EZ133)</f>
        <v/>
      </c>
      <c r="M133" s="0" t="str">
        <f aca="false">IF(A133="","",V43_New!FA133)</f>
        <v/>
      </c>
      <c r="N133" s="0" t="str">
        <f aca="false">IF(A133="","",V43_New!FB133)</f>
        <v/>
      </c>
      <c r="O133" s="0" t="str">
        <f aca="false">IF(A133="","",V43_New!FC133)</f>
        <v/>
      </c>
      <c r="P133" s="0" t="str">
        <f aca="false">IF(A133="","",V43_New!FD133)</f>
        <v/>
      </c>
      <c r="Q133" s="0" t="str">
        <f aca="false">IF(A133="","",V43_New!FE133)</f>
        <v/>
      </c>
      <c r="R133" s="0" t="str">
        <f aca="false">IF(A133="","",V43_New!FF133)</f>
        <v/>
      </c>
      <c r="S133" s="0" t="str">
        <f aca="false">IF(A133="","",V43_New!FG133)</f>
        <v/>
      </c>
      <c r="T133" s="0" t="str">
        <f aca="false">IF(A133="","",V43_New!FH133)</f>
        <v/>
      </c>
      <c r="U133" s="0" t="str">
        <f aca="false">IF(A133="","",V43_New!FI133)</f>
        <v/>
      </c>
      <c r="V133" s="0" t="str">
        <f aca="false">IF(A133="","",V43_New!FJ133)</f>
        <v/>
      </c>
      <c r="W133" s="0" t="str">
        <f aca="false">IF(A133="","",V43_New!FK133)</f>
        <v/>
      </c>
      <c r="X133" s="0" t="str">
        <f aca="false">IF(A133="","",V43_New!FL133)</f>
        <v/>
      </c>
      <c r="Y133" s="0" t="str">
        <f aca="false">IF(A133="","",V43_New!FM133)</f>
        <v/>
      </c>
      <c r="Z133" s="0" t="n">
        <f aca="false">IF(C134&lt;&gt;"",COUNT(C133:N133),0)</f>
        <v>2</v>
      </c>
      <c r="AA133" s="0" t="n">
        <f aca="false">IF(AND(O133="",P133="",Q133="",R133="",S133="",T133="",U133="",V133="",W133="",X133="",Y133=""),0,1)</f>
        <v>0</v>
      </c>
      <c r="AB133" s="15" t="str">
        <f aca="false">IF(OR(Z133&gt;=3,AA133=1),AVERAGE(C133:N133),"")</f>
        <v/>
      </c>
    </row>
    <row r="134" customFormat="false" ht="14.25" hidden="false" customHeight="false" outlineLevel="0" collapsed="false">
      <c r="A134" s="0" t="n">
        <f aca="false">Timestamp_Adjustment!D134</f>
        <v>1779167700</v>
      </c>
      <c r="B134" s="0" t="n">
        <f aca="false">IF(A134="","",V43_New!D134)</f>
        <v>4538.61</v>
      </c>
      <c r="C134" s="0" t="n">
        <f aca="false">IF(A134="","",V43_New!F134)</f>
        <v>4531.31</v>
      </c>
      <c r="D134" s="0" t="str">
        <f aca="false">IF(A134="","",V43_New!ER134)</f>
        <v/>
      </c>
      <c r="E134" s="0" t="str">
        <f aca="false">IF(A134="","",V43_New!ES134)</f>
        <v/>
      </c>
      <c r="F134" s="0" t="str">
        <f aca="false">IF(A134="","",V43_New!ET134)</f>
        <v/>
      </c>
      <c r="G134" s="0" t="str">
        <f aca="false">IF(A134="","",V43_New!EU134)</f>
        <v/>
      </c>
      <c r="H134" s="0" t="n">
        <f aca="false">IF(A134="","",V43_New!EV134)</f>
        <v>4532.03</v>
      </c>
      <c r="I134" s="0" t="str">
        <f aca="false">IF(A134="","",V43_New!EW134)</f>
        <v/>
      </c>
      <c r="J134" s="0" t="str">
        <f aca="false">IF(A134="","",V43_New!EX134)</f>
        <v/>
      </c>
      <c r="K134" s="0" t="str">
        <f aca="false">IF(A134="","",V43_New!EY134)</f>
        <v/>
      </c>
      <c r="L134" s="0" t="str">
        <f aca="false">IF(A134="","",V43_New!EZ134)</f>
        <v/>
      </c>
      <c r="M134" s="0" t="str">
        <f aca="false">IF(A134="","",V43_New!FA134)</f>
        <v/>
      </c>
      <c r="N134" s="0" t="str">
        <f aca="false">IF(A134="","",V43_New!FB134)</f>
        <v/>
      </c>
      <c r="O134" s="0" t="str">
        <f aca="false">IF(A134="","",V43_New!FC134)</f>
        <v/>
      </c>
      <c r="P134" s="0" t="str">
        <f aca="false">IF(A134="","",V43_New!FD134)</f>
        <v/>
      </c>
      <c r="Q134" s="0" t="str">
        <f aca="false">IF(A134="","",V43_New!FE134)</f>
        <v/>
      </c>
      <c r="R134" s="0" t="str">
        <f aca="false">IF(A134="","",V43_New!FF134)</f>
        <v/>
      </c>
      <c r="S134" s="0" t="str">
        <f aca="false">IF(A134="","",V43_New!FG134)</f>
        <v>IEQL</v>
      </c>
      <c r="T134" s="0" t="str">
        <f aca="false">IF(A134="","",V43_New!FH134)</f>
        <v/>
      </c>
      <c r="U134" s="0" t="str">
        <f aca="false">IF(A134="","",V43_New!FI134)</f>
        <v/>
      </c>
      <c r="V134" s="0" t="str">
        <f aca="false">IF(A134="","",V43_New!FJ134)</f>
        <v/>
      </c>
      <c r="W134" s="0" t="str">
        <f aca="false">IF(A134="","",V43_New!FK134)</f>
        <v/>
      </c>
      <c r="X134" s="0" t="str">
        <f aca="false">IF(A134="","",V43_New!FL134)</f>
        <v/>
      </c>
      <c r="Y134" s="0" t="str">
        <f aca="false">IF(A134="","",V43_New!FM134)</f>
        <v/>
      </c>
      <c r="Z134" s="0" t="n">
        <f aca="false">IF(C135&lt;&gt;"",COUNT(C134:N134),0)</f>
        <v>2</v>
      </c>
      <c r="AA134" s="0" t="n">
        <f aca="false">IF(AND(O134="",P134="",Q134="",R134="",S134="",T134="",U134="",V134="",W134="",X134="",Y134=""),0,1)</f>
        <v>1</v>
      </c>
      <c r="AB134" s="15" t="n">
        <f aca="false">IF(OR(Z134&gt;=3,AA134=1),AVERAGE(C134:N134),"")</f>
        <v>4531.67</v>
      </c>
    </row>
    <row r="135" customFormat="false" ht="14.25" hidden="false" customHeight="false" outlineLevel="0" collapsed="false">
      <c r="A135" s="0" t="n">
        <f aca="false">Timestamp_Adjustment!D135</f>
        <v>1779176700</v>
      </c>
      <c r="B135" s="0" t="n">
        <f aca="false">IF(A135="","",V43_New!D135)</f>
        <v>4557.24</v>
      </c>
      <c r="C135" s="0" t="n">
        <f aca="false">IF(A135="","",V43_New!F135)</f>
        <v>4559.38</v>
      </c>
      <c r="D135" s="0" t="str">
        <f aca="false">IF(A135="","",V43_New!ER135)</f>
        <v/>
      </c>
      <c r="E135" s="0" t="str">
        <f aca="false">IF(A135="","",V43_New!ES135)</f>
        <v/>
      </c>
      <c r="F135" s="0" t="str">
        <f aca="false">IF(A135="","",V43_New!ET135)</f>
        <v/>
      </c>
      <c r="G135" s="0" t="str">
        <f aca="false">IF(A135="","",V43_New!EU135)</f>
        <v/>
      </c>
      <c r="H135" s="0" t="str">
        <f aca="false">IF(A135="","",V43_New!EV135)</f>
        <v/>
      </c>
      <c r="I135" s="0" t="str">
        <f aca="false">IF(A135="","",V43_New!EW135)</f>
        <v/>
      </c>
      <c r="J135" s="0" t="str">
        <f aca="false">IF(A135="","",V43_New!EX135)</f>
        <v/>
      </c>
      <c r="K135" s="0" t="str">
        <f aca="false">IF(A135="","",V43_New!EY135)</f>
        <v/>
      </c>
      <c r="L135" s="0" t="str">
        <f aca="false">IF(A135="","",V43_New!EZ135)</f>
        <v/>
      </c>
      <c r="M135" s="0" t="str">
        <f aca="false">IF(A135="","",V43_New!FA135)</f>
        <v/>
      </c>
      <c r="N135" s="0" t="str">
        <f aca="false">IF(A135="","",V43_New!FB135)</f>
        <v/>
      </c>
      <c r="O135" s="0" t="str">
        <f aca="false">IF(A135="","",V43_New!FC135)</f>
        <v/>
      </c>
      <c r="P135" s="0" t="str">
        <f aca="false">IF(A135="","",V43_New!FD135)</f>
        <v/>
      </c>
      <c r="Q135" s="0" t="str">
        <f aca="false">IF(A135="","",V43_New!FE135)</f>
        <v/>
      </c>
      <c r="R135" s="0" t="str">
        <f aca="false">IF(A135="","",V43_New!FF135)</f>
        <v/>
      </c>
      <c r="S135" s="0" t="str">
        <f aca="false">IF(A135="","",V43_New!FG135)</f>
        <v/>
      </c>
      <c r="T135" s="0" t="str">
        <f aca="false">IF(A135="","",V43_New!FH135)</f>
        <v/>
      </c>
      <c r="U135" s="0" t="str">
        <f aca="false">IF(A135="","",V43_New!FI135)</f>
        <v/>
      </c>
      <c r="V135" s="0" t="str">
        <f aca="false">IF(A135="","",V43_New!FJ135)</f>
        <v/>
      </c>
      <c r="W135" s="0" t="str">
        <f aca="false">IF(A135="","",V43_New!FK135)</f>
        <v/>
      </c>
      <c r="X135" s="0" t="str">
        <f aca="false">IF(A135="","",V43_New!FL135)</f>
        <v/>
      </c>
      <c r="Y135" s="0" t="str">
        <f aca="false">IF(A135="","",V43_New!FM135)</f>
        <v/>
      </c>
      <c r="Z135" s="0" t="n">
        <f aca="false">IF(C136&lt;&gt;"",COUNT(C135:N135),0)</f>
        <v>1</v>
      </c>
      <c r="AA135" s="0" t="n">
        <f aca="false">IF(AND(O135="",P135="",Q135="",R135="",S135="",T135="",U135="",V135="",W135="",X135="",Y135=""),0,1)</f>
        <v>0</v>
      </c>
      <c r="AB135" s="15" t="str">
        <f aca="false">IF(OR(Z135&gt;=3,AA135=1),AVERAGE(C135:N135),"")</f>
        <v/>
      </c>
    </row>
    <row r="136" customFormat="false" ht="14.25" hidden="false" customHeight="false" outlineLevel="0" collapsed="false">
      <c r="A136" s="0" t="n">
        <f aca="false">Timestamp_Adjustment!D136</f>
        <v>1779197400</v>
      </c>
      <c r="B136" s="0" t="n">
        <f aca="false">IF(A136="","",V43_New!D136)</f>
        <v>4476.25</v>
      </c>
      <c r="C136" s="0" t="n">
        <f aca="false">IF(A136="","",V43_New!F136)</f>
        <v>4464.78</v>
      </c>
      <c r="D136" s="0" t="str">
        <f aca="false">IF(A136="","",V43_New!ER136)</f>
        <v/>
      </c>
      <c r="E136" s="0" t="str">
        <f aca="false">IF(A136="","",V43_New!ES136)</f>
        <v/>
      </c>
      <c r="F136" s="0" t="str">
        <f aca="false">IF(A136="","",V43_New!ET136)</f>
        <v/>
      </c>
      <c r="G136" s="0" t="str">
        <f aca="false">IF(A136="","",V43_New!EU136)</f>
        <v/>
      </c>
      <c r="H136" s="0" t="str">
        <f aca="false">IF(A136="","",V43_New!EV136)</f>
        <v/>
      </c>
      <c r="I136" s="0" t="str">
        <f aca="false">IF(A136="","",V43_New!EW136)</f>
        <v/>
      </c>
      <c r="J136" s="0" t="str">
        <f aca="false">IF(A136="","",V43_New!EX136)</f>
        <v/>
      </c>
      <c r="K136" s="0" t="str">
        <f aca="false">IF(A136="","",V43_New!EY136)</f>
        <v/>
      </c>
      <c r="L136" s="0" t="str">
        <f aca="false">IF(A136="","",V43_New!EZ136)</f>
        <v/>
      </c>
      <c r="M136" s="0" t="str">
        <f aca="false">IF(A136="","",V43_New!FA136)</f>
        <v/>
      </c>
      <c r="N136" s="0" t="str">
        <f aca="false">IF(A136="","",V43_New!FB136)</f>
        <v/>
      </c>
      <c r="O136" s="0" t="str">
        <f aca="false">IF(A136="","",V43_New!FC136)</f>
        <v/>
      </c>
      <c r="P136" s="0" t="str">
        <f aca="false">IF(A136="","",V43_New!FD136)</f>
        <v/>
      </c>
      <c r="Q136" s="0" t="str">
        <f aca="false">IF(A136="","",V43_New!FE136)</f>
        <v/>
      </c>
      <c r="R136" s="0" t="str">
        <f aca="false">IF(A136="","",V43_New!FF136)</f>
        <v/>
      </c>
      <c r="S136" s="0" t="str">
        <f aca="false">IF(A136="","",V43_New!FG136)</f>
        <v/>
      </c>
      <c r="T136" s="0" t="str">
        <f aca="false">IF(A136="","",V43_New!FH136)</f>
        <v/>
      </c>
      <c r="U136" s="0" t="str">
        <f aca="false">IF(A136="","",V43_New!FI136)</f>
        <v/>
      </c>
      <c r="V136" s="0" t="str">
        <f aca="false">IF(A136="","",V43_New!FJ136)</f>
        <v/>
      </c>
      <c r="W136" s="0" t="str">
        <f aca="false">IF(A136="","",V43_New!FK136)</f>
        <v/>
      </c>
      <c r="X136" s="0" t="str">
        <f aca="false">IF(A136="","",V43_New!FL136)</f>
        <v/>
      </c>
      <c r="Y136" s="0" t="str">
        <f aca="false">IF(A136="","",V43_New!FM136)</f>
        <v/>
      </c>
      <c r="Z136" s="0" t="n">
        <f aca="false">IF(C137&lt;&gt;"",COUNT(C136:N136),0)</f>
        <v>1</v>
      </c>
      <c r="AA136" s="0" t="n">
        <f aca="false">IF(AND(O136="",P136="",Q136="",R136="",S136="",T136="",U136="",V136="",W136="",X136="",Y136=""),0,1)</f>
        <v>0</v>
      </c>
      <c r="AB136" s="15" t="str">
        <f aca="false">IF(OR(Z136&gt;=3,AA136=1),AVERAGE(C136:N136),"")</f>
        <v/>
      </c>
    </row>
    <row r="137" customFormat="false" ht="14.25" hidden="false" customHeight="false" outlineLevel="0" collapsed="false">
      <c r="A137" s="0" t="n">
        <f aca="false">Timestamp_Adjustment!D137</f>
        <v>1779237900</v>
      </c>
      <c r="B137" s="0" t="n">
        <f aca="false">IF(A137="","",V43_New!D137)</f>
        <v>4500.98</v>
      </c>
      <c r="C137" s="0" t="n">
        <f aca="false">IF(A137="","",V43_New!F137)</f>
        <v>4508.81</v>
      </c>
      <c r="D137" s="0" t="str">
        <f aca="false">IF(A137="","",V43_New!ER137)</f>
        <v/>
      </c>
      <c r="E137" s="0" t="str">
        <f aca="false">IF(A137="","",V43_New!ES137)</f>
        <v/>
      </c>
      <c r="F137" s="0" t="str">
        <f aca="false">IF(A137="","",V43_New!ET137)</f>
        <v/>
      </c>
      <c r="G137" s="0" t="str">
        <f aca="false">IF(A137="","",V43_New!EU137)</f>
        <v/>
      </c>
      <c r="H137" s="0" t="str">
        <f aca="false">IF(A137="","",V43_New!EV137)</f>
        <v/>
      </c>
      <c r="I137" s="0" t="str">
        <f aca="false">IF(A137="","",V43_New!EW137)</f>
        <v/>
      </c>
      <c r="J137" s="0" t="str">
        <f aca="false">IF(A137="","",V43_New!EX137)</f>
        <v/>
      </c>
      <c r="K137" s="0" t="str">
        <f aca="false">IF(A137="","",V43_New!EY137)</f>
        <v/>
      </c>
      <c r="L137" s="0" t="str">
        <f aca="false">IF(A137="","",V43_New!EZ137)</f>
        <v/>
      </c>
      <c r="M137" s="0" t="str">
        <f aca="false">IF(A137="","",V43_New!FA137)</f>
        <v/>
      </c>
      <c r="N137" s="0" t="str">
        <f aca="false">IF(A137="","",V43_New!FB137)</f>
        <v/>
      </c>
      <c r="O137" s="0" t="str">
        <f aca="false">IF(A137="","",V43_New!FC137)</f>
        <v/>
      </c>
      <c r="P137" s="0" t="str">
        <f aca="false">IF(A137="","",V43_New!FD137)</f>
        <v/>
      </c>
      <c r="Q137" s="0" t="str">
        <f aca="false">IF(A137="","",V43_New!FE137)</f>
        <v/>
      </c>
      <c r="R137" s="0" t="str">
        <f aca="false">IF(A137="","",V43_New!FF137)</f>
        <v/>
      </c>
      <c r="S137" s="0" t="str">
        <f aca="false">IF(A137="","",V43_New!FG137)</f>
        <v/>
      </c>
      <c r="T137" s="0" t="str">
        <f aca="false">IF(A137="","",V43_New!FH137)</f>
        <v/>
      </c>
      <c r="U137" s="0" t="str">
        <f aca="false">IF(A137="","",V43_New!FI137)</f>
        <v/>
      </c>
      <c r="V137" s="0" t="str">
        <f aca="false">IF(A137="","",V43_New!FJ137)</f>
        <v/>
      </c>
      <c r="W137" s="0" t="str">
        <f aca="false">IF(A137="","",V43_New!FK137)</f>
        <v/>
      </c>
      <c r="X137" s="0" t="str">
        <f aca="false">IF(A137="","",V43_New!FL137)</f>
        <v/>
      </c>
      <c r="Y137" s="0" t="str">
        <f aca="false">IF(A137="","",V43_New!FM137)</f>
        <v/>
      </c>
      <c r="Z137" s="0" t="n">
        <f aca="false">IF(C138&lt;&gt;"",COUNT(C137:N137),0)</f>
        <v>1</v>
      </c>
      <c r="AA137" s="0" t="n">
        <f aca="false">IF(AND(O137="",P137="",Q137="",R137="",S137="",T137="",U137="",V137="",W137="",X137="",Y137=""),0,1)</f>
        <v>0</v>
      </c>
      <c r="AB137" s="15" t="str">
        <f aca="false">IF(OR(Z137&gt;=3,AA137=1),AVERAGE(C137:N137),"")</f>
        <v/>
      </c>
    </row>
    <row r="138" customFormat="false" ht="14.25" hidden="false" customHeight="false" outlineLevel="0" collapsed="false">
      <c r="A138" s="0" t="n">
        <f aca="false">Timestamp_Adjustment!D138</f>
        <v>1779246000</v>
      </c>
      <c r="B138" s="0" t="n">
        <f aca="false">IF(A138="","",V43_New!D138)</f>
        <v>4458.01</v>
      </c>
      <c r="C138" s="0" t="n">
        <f aca="false">IF(A138="","",V43_New!F138)</f>
        <v>4453.69</v>
      </c>
      <c r="D138" s="0" t="n">
        <f aca="false">IF(A138="","",V43_New!ER138)</f>
        <v>4464.78</v>
      </c>
      <c r="E138" s="0" t="str">
        <f aca="false">IF(A138="","",V43_New!ES138)</f>
        <v/>
      </c>
      <c r="F138" s="0" t="str">
        <f aca="false">IF(A138="","",V43_New!ET138)</f>
        <v/>
      </c>
      <c r="G138" s="0" t="str">
        <f aca="false">IF(A138="","",V43_New!EU138)</f>
        <v/>
      </c>
      <c r="H138" s="0" t="str">
        <f aca="false">IF(A138="","",V43_New!EV138)</f>
        <v/>
      </c>
      <c r="I138" s="0" t="str">
        <f aca="false">IF(A138="","",V43_New!EW138)</f>
        <v/>
      </c>
      <c r="J138" s="0" t="str">
        <f aca="false">IF(A138="","",V43_New!EX138)</f>
        <v/>
      </c>
      <c r="K138" s="0" t="str">
        <f aca="false">IF(A138="","",V43_New!EY138)</f>
        <v/>
      </c>
      <c r="L138" s="0" t="str">
        <f aca="false">IF(A138="","",V43_New!EZ138)</f>
        <v/>
      </c>
      <c r="M138" s="0" t="str">
        <f aca="false">IF(A138="","",V43_New!FA138)</f>
        <v/>
      </c>
      <c r="N138" s="0" t="str">
        <f aca="false">IF(A138="","",V43_New!FB138)</f>
        <v/>
      </c>
      <c r="O138" s="0" t="str">
        <f aca="false">IF(A138="","",V43_New!FC138)</f>
        <v>IEQL</v>
      </c>
      <c r="P138" s="0" t="str">
        <f aca="false">IF(A138="","",V43_New!FD138)</f>
        <v/>
      </c>
      <c r="Q138" s="0" t="str">
        <f aca="false">IF(A138="","",V43_New!FE138)</f>
        <v/>
      </c>
      <c r="R138" s="0" t="str">
        <f aca="false">IF(A138="","",V43_New!FF138)</f>
        <v/>
      </c>
      <c r="S138" s="0" t="str">
        <f aca="false">IF(A138="","",V43_New!FG138)</f>
        <v/>
      </c>
      <c r="T138" s="0" t="str">
        <f aca="false">IF(A138="","",V43_New!FH138)</f>
        <v/>
      </c>
      <c r="U138" s="0" t="str">
        <f aca="false">IF(A138="","",V43_New!FI138)</f>
        <v/>
      </c>
      <c r="V138" s="0" t="str">
        <f aca="false">IF(A138="","",V43_New!FJ138)</f>
        <v/>
      </c>
      <c r="W138" s="0" t="str">
        <f aca="false">IF(A138="","",V43_New!FK138)</f>
        <v/>
      </c>
      <c r="X138" s="0" t="str">
        <f aca="false">IF(A138="","",V43_New!FL138)</f>
        <v/>
      </c>
      <c r="Y138" s="0" t="str">
        <f aca="false">IF(A138="","",V43_New!FM138)</f>
        <v/>
      </c>
      <c r="Z138" s="0" t="n">
        <f aca="false">IF(C139&lt;&gt;"",COUNT(C138:N138),0)</f>
        <v>2</v>
      </c>
      <c r="AA138" s="0" t="n">
        <f aca="false">IF(AND(O138="",P138="",Q138="",R138="",S138="",T138="",U138="",V138="",W138="",X138="",Y138=""),0,1)</f>
        <v>1</v>
      </c>
      <c r="AB138" s="15" t="n">
        <f aca="false">IF(OR(Z138&gt;=3,AA138=1),AVERAGE(C138:N138),"")</f>
        <v>4459.235</v>
      </c>
    </row>
    <row r="139" customFormat="false" ht="14.25" hidden="false" customHeight="false" outlineLevel="0" collapsed="false">
      <c r="A139" s="0" t="n">
        <f aca="false">Timestamp_Adjustment!D139</f>
        <v>1779282000</v>
      </c>
      <c r="B139" s="0" t="n">
        <f aca="false">IF(A139="","",V43_New!D139)</f>
        <v>4505.15</v>
      </c>
      <c r="C139" s="0" t="n">
        <f aca="false">IF(A139="","",V43_New!F139)</f>
        <v>4505.94</v>
      </c>
      <c r="D139" s="0" t="str">
        <f aca="false">IF(A139="","",V43_New!ER139)</f>
        <v/>
      </c>
      <c r="E139" s="0" t="str">
        <f aca="false">IF(A139="","",V43_New!ES139)</f>
        <v/>
      </c>
      <c r="F139" s="0" t="str">
        <f aca="false">IF(A139="","",V43_New!ET139)</f>
        <v/>
      </c>
      <c r="G139" s="0" t="str">
        <f aca="false">IF(A139="","",V43_New!EU139)</f>
        <v/>
      </c>
      <c r="H139" s="0" t="str">
        <f aca="false">IF(A139="","",V43_New!EV139)</f>
        <v/>
      </c>
      <c r="I139" s="0" t="str">
        <f aca="false">IF(A139="","",V43_New!EW139)</f>
        <v/>
      </c>
      <c r="J139" s="0" t="str">
        <f aca="false">IF(A139="","",V43_New!EX139)</f>
        <v/>
      </c>
      <c r="K139" s="0" t="str">
        <f aca="false">IF(A139="","",V43_New!EY139)</f>
        <v/>
      </c>
      <c r="L139" s="0" t="str">
        <f aca="false">IF(A139="","",V43_New!EZ139)</f>
        <v/>
      </c>
      <c r="M139" s="0" t="str">
        <f aca="false">IF(A139="","",V43_New!FA139)</f>
        <v/>
      </c>
      <c r="N139" s="0" t="str">
        <f aca="false">IF(A139="","",V43_New!FB139)</f>
        <v/>
      </c>
      <c r="O139" s="0" t="str">
        <f aca="false">IF(A139="","",V43_New!FC139)</f>
        <v/>
      </c>
      <c r="P139" s="0" t="str">
        <f aca="false">IF(A139="","",V43_New!FD139)</f>
        <v/>
      </c>
      <c r="Q139" s="0" t="str">
        <f aca="false">IF(A139="","",V43_New!FE139)</f>
        <v/>
      </c>
      <c r="R139" s="0" t="str">
        <f aca="false">IF(A139="","",V43_New!FF139)</f>
        <v/>
      </c>
      <c r="S139" s="0" t="str">
        <f aca="false">IF(A139="","",V43_New!FG139)</f>
        <v/>
      </c>
      <c r="T139" s="0" t="str">
        <f aca="false">IF(A139="","",V43_New!FH139)</f>
        <v/>
      </c>
      <c r="U139" s="0" t="str">
        <f aca="false">IF(A139="","",V43_New!FI139)</f>
        <v/>
      </c>
      <c r="V139" s="0" t="str">
        <f aca="false">IF(A139="","",V43_New!FJ139)</f>
        <v/>
      </c>
      <c r="W139" s="0" t="str">
        <f aca="false">IF(A139="","",V43_New!FK139)</f>
        <v/>
      </c>
      <c r="X139" s="0" t="str">
        <f aca="false">IF(A139="","",V43_New!FL139)</f>
        <v/>
      </c>
      <c r="Y139" s="0" t="str">
        <f aca="false">IF(A139="","",V43_New!FM139)</f>
        <v/>
      </c>
      <c r="Z139" s="0" t="n">
        <f aca="false">IF(C140&lt;&gt;"",COUNT(C139:N139),0)</f>
        <v>1</v>
      </c>
      <c r="AA139" s="0" t="n">
        <f aca="false">IF(AND(O139="",P139="",Q139="",R139="",S139="",T139="",U139="",V139="",W139="",X139="",Y139=""),0,1)</f>
        <v>0</v>
      </c>
      <c r="AB139" s="15" t="str">
        <f aca="false">IF(OR(Z139&gt;=3,AA139=1),AVERAGE(C139:N139),"")</f>
        <v/>
      </c>
    </row>
    <row r="140" customFormat="false" ht="14.25" hidden="false" customHeight="false" outlineLevel="0" collapsed="false">
      <c r="A140" s="0" t="n">
        <f aca="false">Timestamp_Adjustment!D140</f>
        <v>1779285600</v>
      </c>
      <c r="B140" s="0" t="n">
        <f aca="false">IF(A140="","",V43_New!D140)</f>
        <v>4477.09</v>
      </c>
      <c r="C140" s="0" t="n">
        <f aca="false">IF(A140="","",V43_New!F140)</f>
        <v>4467.07</v>
      </c>
      <c r="D140" s="0" t="str">
        <f aca="false">IF(A140="","",V43_New!ER140)</f>
        <v/>
      </c>
      <c r="E140" s="0" t="n">
        <f aca="false">IF(A140="","",V43_New!ES140)</f>
        <v>4464.78</v>
      </c>
      <c r="F140" s="0" t="str">
        <f aca="false">IF(A140="","",V43_New!ET140)</f>
        <v/>
      </c>
      <c r="G140" s="0" t="str">
        <f aca="false">IF(A140="","",V43_New!EU140)</f>
        <v/>
      </c>
      <c r="H140" s="0" t="str">
        <f aca="false">IF(A140="","",V43_New!EV140)</f>
        <v/>
      </c>
      <c r="I140" s="0" t="str">
        <f aca="false">IF(A140="","",V43_New!EW140)</f>
        <v/>
      </c>
      <c r="J140" s="0" t="str">
        <f aca="false">IF(A140="","",V43_New!EX140)</f>
        <v/>
      </c>
      <c r="K140" s="0" t="str">
        <f aca="false">IF(A140="","",V43_New!EY140)</f>
        <v/>
      </c>
      <c r="L140" s="0" t="str">
        <f aca="false">IF(A140="","",V43_New!EZ140)</f>
        <v/>
      </c>
      <c r="M140" s="0" t="str">
        <f aca="false">IF(A140="","",V43_New!FA140)</f>
        <v/>
      </c>
      <c r="N140" s="0" t="str">
        <f aca="false">IF(A140="","",V43_New!FB140)</f>
        <v/>
      </c>
      <c r="O140" s="0" t="str">
        <f aca="false">IF(A140="","",V43_New!FC140)</f>
        <v/>
      </c>
      <c r="P140" s="0" t="str">
        <f aca="false">IF(A140="","",V43_New!FD140)</f>
        <v>IEQL</v>
      </c>
      <c r="Q140" s="0" t="str">
        <f aca="false">IF(A140="","",V43_New!FE140)</f>
        <v/>
      </c>
      <c r="R140" s="0" t="str">
        <f aca="false">IF(A140="","",V43_New!FF140)</f>
        <v/>
      </c>
      <c r="S140" s="0" t="str">
        <f aca="false">IF(A140="","",V43_New!FG140)</f>
        <v/>
      </c>
      <c r="T140" s="0" t="str">
        <f aca="false">IF(A140="","",V43_New!FH140)</f>
        <v/>
      </c>
      <c r="U140" s="0" t="str">
        <f aca="false">IF(A140="","",V43_New!FI140)</f>
        <v/>
      </c>
      <c r="V140" s="0" t="str">
        <f aca="false">IF(A140="","",V43_New!FJ140)</f>
        <v/>
      </c>
      <c r="W140" s="0" t="str">
        <f aca="false">IF(A140="","",V43_New!FK140)</f>
        <v/>
      </c>
      <c r="X140" s="0" t="str">
        <f aca="false">IF(A140="","",V43_New!FL140)</f>
        <v/>
      </c>
      <c r="Y140" s="0" t="str">
        <f aca="false">IF(A140="","",V43_New!FM140)</f>
        <v/>
      </c>
      <c r="Z140" s="0" t="n">
        <f aca="false">IF(C141&lt;&gt;"",COUNT(C140:N140),0)</f>
        <v>2</v>
      </c>
      <c r="AA140" s="0" t="n">
        <f aca="false">IF(AND(O140="",P140="",Q140="",R140="",S140="",T140="",U140="",V140="",W140="",X140="",Y140=""),0,1)</f>
        <v>1</v>
      </c>
      <c r="AB140" s="15" t="n">
        <f aca="false">IF(OR(Z140&gt;=3,AA140=1),AVERAGE(C140:N140),"")</f>
        <v>4465.925</v>
      </c>
    </row>
    <row r="141" customFormat="false" ht="14.25" hidden="false" customHeight="false" outlineLevel="0" collapsed="false">
      <c r="A141" s="0" t="n">
        <f aca="false">Timestamp_Adjustment!D141</f>
        <v>1779290100</v>
      </c>
      <c r="B141" s="0" t="n">
        <f aca="false">IF(A141="","",V43_New!D141)</f>
        <v>4529.44</v>
      </c>
      <c r="C141" s="0" t="n">
        <f aca="false">IF(A141="","",V43_New!F141)</f>
        <v>4552.71</v>
      </c>
      <c r="D141" s="0" t="str">
        <f aca="false">IF(A141="","",V43_New!ER141)</f>
        <v/>
      </c>
      <c r="E141" s="0" t="str">
        <f aca="false">IF(A141="","",V43_New!ES141)</f>
        <v/>
      </c>
      <c r="F141" s="0" t="str">
        <f aca="false">IF(A141="","",V43_New!ET141)</f>
        <v/>
      </c>
      <c r="G141" s="0" t="str">
        <f aca="false">IF(A141="","",V43_New!EU141)</f>
        <v/>
      </c>
      <c r="H141" s="0" t="str">
        <f aca="false">IF(A141="","",V43_New!EV141)</f>
        <v/>
      </c>
      <c r="I141" s="0" t="str">
        <f aca="false">IF(A141="","",V43_New!EW141)</f>
        <v/>
      </c>
      <c r="J141" s="0" t="str">
        <f aca="false">IF(A141="","",V43_New!EX141)</f>
        <v/>
      </c>
      <c r="K141" s="0" t="str">
        <f aca="false">IF(A141="","",V43_New!EY141)</f>
        <v/>
      </c>
      <c r="L141" s="0" t="str">
        <f aca="false">IF(A141="","",V43_New!EZ141)</f>
        <v/>
      </c>
      <c r="M141" s="0" t="str">
        <f aca="false">IF(A141="","",V43_New!FA141)</f>
        <v/>
      </c>
      <c r="N141" s="0" t="str">
        <f aca="false">IF(A141="","",V43_New!FB141)</f>
        <v/>
      </c>
      <c r="O141" s="0" t="str">
        <f aca="false">IF(A141="","",V43_New!FC141)</f>
        <v/>
      </c>
      <c r="P141" s="0" t="str">
        <f aca="false">IF(A141="","",V43_New!FD141)</f>
        <v/>
      </c>
      <c r="Q141" s="0" t="str">
        <f aca="false">IF(A141="","",V43_New!FE141)</f>
        <v/>
      </c>
      <c r="R141" s="0" t="str">
        <f aca="false">IF(A141="","",V43_New!FF141)</f>
        <v/>
      </c>
      <c r="S141" s="0" t="str">
        <f aca="false">IF(A141="","",V43_New!FG141)</f>
        <v/>
      </c>
      <c r="T141" s="0" t="str">
        <f aca="false">IF(A141="","",V43_New!FH141)</f>
        <v/>
      </c>
      <c r="U141" s="0" t="str">
        <f aca="false">IF(A141="","",V43_New!FI141)</f>
        <v/>
      </c>
      <c r="V141" s="0" t="str">
        <f aca="false">IF(A141="","",V43_New!FJ141)</f>
        <v/>
      </c>
      <c r="W141" s="0" t="str">
        <f aca="false">IF(A141="","",V43_New!FK141)</f>
        <v/>
      </c>
      <c r="X141" s="0" t="str">
        <f aca="false">IF(A141="","",V43_New!FL141)</f>
        <v/>
      </c>
      <c r="Y141" s="0" t="str">
        <f aca="false">IF(A141="","",V43_New!FM141)</f>
        <v/>
      </c>
      <c r="Z141" s="0" t="n">
        <f aca="false">IF(C142&lt;&gt;"",COUNT(C141:N141),0)</f>
        <v>1</v>
      </c>
      <c r="AA141" s="0" t="n">
        <f aca="false">IF(AND(O141="",P141="",Q141="",R141="",S141="",T141="",U141="",V141="",W141="",X141="",Y141=""),0,1)</f>
        <v>0</v>
      </c>
      <c r="AB141" s="15" t="str">
        <f aca="false">IF(OR(Z141&gt;=3,AA141=1),AVERAGE(C141:N141),"")</f>
        <v/>
      </c>
    </row>
    <row r="142" customFormat="false" ht="14.25" hidden="false" customHeight="false" outlineLevel="0" collapsed="false">
      <c r="A142" s="0" t="n">
        <f aca="false">Timestamp_Adjustment!D142</f>
        <v>1779318900</v>
      </c>
      <c r="B142" s="0" t="n">
        <f aca="false">IF(A142="","",V43_New!D142)</f>
        <v>4538.57</v>
      </c>
      <c r="C142" s="0" t="n">
        <f aca="false">IF(A142="","",V43_New!F142)</f>
        <v>4534.63</v>
      </c>
      <c r="D142" s="0" t="str">
        <f aca="false">IF(A142="","",V43_New!ER142)</f>
        <v/>
      </c>
      <c r="E142" s="0" t="str">
        <f aca="false">IF(A142="","",V43_New!ES142)</f>
        <v/>
      </c>
      <c r="F142" s="0" t="str">
        <f aca="false">IF(A142="","",V43_New!ET142)</f>
        <v/>
      </c>
      <c r="G142" s="0" t="n">
        <f aca="false">IF(A142="","",V43_New!EU142)</f>
        <v>4531.31</v>
      </c>
      <c r="H142" s="0" t="str">
        <f aca="false">IF(A142="","",V43_New!EV142)</f>
        <v/>
      </c>
      <c r="I142" s="0" t="str">
        <f aca="false">IF(A142="","",V43_New!EW142)</f>
        <v/>
      </c>
      <c r="J142" s="0" t="str">
        <f aca="false">IF(A142="","",V43_New!EX142)</f>
        <v/>
      </c>
      <c r="K142" s="0" t="str">
        <f aca="false">IF(A142="","",V43_New!EY142)</f>
        <v/>
      </c>
      <c r="L142" s="0" t="n">
        <f aca="false">IF(A142="","",V43_New!EZ142)</f>
        <v>4532.03</v>
      </c>
      <c r="M142" s="0" t="str">
        <f aca="false">IF(A142="","",V43_New!FA142)</f>
        <v/>
      </c>
      <c r="N142" s="0" t="str">
        <f aca="false">IF(A142="","",V43_New!FB142)</f>
        <v/>
      </c>
      <c r="O142" s="0" t="str">
        <f aca="false">IF(A142="","",V43_New!FC142)</f>
        <v/>
      </c>
      <c r="P142" s="0" t="str">
        <f aca="false">IF(A142="","",V43_New!FD142)</f>
        <v/>
      </c>
      <c r="Q142" s="0" t="str">
        <f aca="false">IF(A142="","",V43_New!FE142)</f>
        <v/>
      </c>
      <c r="R142" s="0" t="str">
        <f aca="false">IF(A142="","",V43_New!FF142)</f>
        <v/>
      </c>
      <c r="S142" s="0" t="str">
        <f aca="false">IF(A142="","",V43_New!FG142)</f>
        <v/>
      </c>
      <c r="T142" s="0" t="str">
        <f aca="false">IF(A142="","",V43_New!FH142)</f>
        <v/>
      </c>
      <c r="U142" s="0" t="str">
        <f aca="false">IF(A142="","",V43_New!FI142)</f>
        <v/>
      </c>
      <c r="V142" s="0" t="str">
        <f aca="false">IF(A142="","",V43_New!FJ142)</f>
        <v/>
      </c>
      <c r="W142" s="0" t="str">
        <f aca="false">IF(A142="","",V43_New!FK142)</f>
        <v>IEQL</v>
      </c>
      <c r="X142" s="0" t="str">
        <f aca="false">IF(A142="","",V43_New!FL142)</f>
        <v/>
      </c>
      <c r="Y142" s="0" t="str">
        <f aca="false">IF(A142="","",V43_New!FM142)</f>
        <v/>
      </c>
      <c r="Z142" s="0" t="n">
        <f aca="false">IF(C143&lt;&gt;"",COUNT(C142:N142),0)</f>
        <v>3</v>
      </c>
      <c r="AA142" s="0" t="n">
        <f aca="false">IF(AND(O142="",P142="",Q142="",R142="",S142="",T142="",U142="",V142="",W142="",X142="",Y142=""),0,1)</f>
        <v>1</v>
      </c>
      <c r="AB142" s="15" t="n">
        <f aca="false">IF(OR(Z142&gt;=3,AA142=1),AVERAGE(C142:N142),"")</f>
        <v>4532.65666666667</v>
      </c>
    </row>
    <row r="143" customFormat="false" ht="14.25" hidden="false" customHeight="false" outlineLevel="0" collapsed="false">
      <c r="A143" s="0" t="n">
        <f aca="false">Timestamp_Adjustment!D143</f>
        <v>1779327000</v>
      </c>
      <c r="B143" s="0" t="n">
        <f aca="false">IF(A143="","",V43_New!D143)</f>
        <v>4567.96</v>
      </c>
      <c r="C143" s="0" t="n">
        <f aca="false">IF(A143="","",V43_New!F143)</f>
        <v>4570.99</v>
      </c>
      <c r="D143" s="0" t="str">
        <f aca="false">IF(A143="","",V43_New!ER143)</f>
        <v/>
      </c>
      <c r="E143" s="0" t="str">
        <f aca="false">IF(A143="","",V43_New!ES143)</f>
        <v/>
      </c>
      <c r="F143" s="0" t="str">
        <f aca="false">IF(A143="","",V43_New!ET143)</f>
        <v/>
      </c>
      <c r="G143" s="0" t="str">
        <f aca="false">IF(A143="","",V43_New!EU143)</f>
        <v/>
      </c>
      <c r="H143" s="0" t="str">
        <f aca="false">IF(A143="","",V43_New!EV143)</f>
        <v/>
      </c>
      <c r="I143" s="0" t="str">
        <f aca="false">IF(A143="","",V43_New!EW143)</f>
        <v/>
      </c>
      <c r="J143" s="0" t="str">
        <f aca="false">IF(A143="","",V43_New!EX143)</f>
        <v/>
      </c>
      <c r="K143" s="0" t="str">
        <f aca="false">IF(A143="","",V43_New!EY143)</f>
        <v/>
      </c>
      <c r="L143" s="0" t="str">
        <f aca="false">IF(A143="","",V43_New!EZ143)</f>
        <v/>
      </c>
      <c r="M143" s="0" t="str">
        <f aca="false">IF(A143="","",V43_New!FA143)</f>
        <v/>
      </c>
      <c r="N143" s="0" t="str">
        <f aca="false">IF(A143="","",V43_New!FB143)</f>
        <v/>
      </c>
      <c r="O143" s="0" t="str">
        <f aca="false">IF(A143="","",V43_New!FC143)</f>
        <v/>
      </c>
      <c r="P143" s="0" t="str">
        <f aca="false">IF(A143="","",V43_New!FD143)</f>
        <v/>
      </c>
      <c r="Q143" s="0" t="str">
        <f aca="false">IF(A143="","",V43_New!FE143)</f>
        <v/>
      </c>
      <c r="R143" s="0" t="str">
        <f aca="false">IF(A143="","",V43_New!FF143)</f>
        <v/>
      </c>
      <c r="S143" s="0" t="str">
        <f aca="false">IF(A143="","",V43_New!FG143)</f>
        <v/>
      </c>
      <c r="T143" s="0" t="str">
        <f aca="false">IF(A143="","",V43_New!FH143)</f>
        <v/>
      </c>
      <c r="U143" s="0" t="str">
        <f aca="false">IF(A143="","",V43_New!FI143)</f>
        <v/>
      </c>
      <c r="V143" s="0" t="str">
        <f aca="false">IF(A143="","",V43_New!FJ143)</f>
        <v/>
      </c>
      <c r="W143" s="0" t="str">
        <f aca="false">IF(A143="","",V43_New!FK143)</f>
        <v/>
      </c>
      <c r="X143" s="0" t="str">
        <f aca="false">IF(A143="","",V43_New!FL143)</f>
        <v/>
      </c>
      <c r="Y143" s="0" t="str">
        <f aca="false">IF(A143="","",V43_New!FM143)</f>
        <v/>
      </c>
      <c r="Z143" s="0" t="n">
        <f aca="false">IF(C144&lt;&gt;"",COUNT(C143:N143),0)</f>
        <v>1</v>
      </c>
      <c r="AA143" s="0" t="n">
        <f aca="false">IF(AND(O143="",P143="",Q143="",R143="",S143="",T143="",U143="",V143="",W143="",X143="",Y143=""),0,1)</f>
        <v>0</v>
      </c>
      <c r="AB143" s="15" t="str">
        <f aca="false">IF(OR(Z143&gt;=3,AA143=1),AVERAGE(C143:N143),"")</f>
        <v/>
      </c>
    </row>
    <row r="144" customFormat="false" ht="14.25" hidden="false" customHeight="false" outlineLevel="0" collapsed="false">
      <c r="A144" s="0" t="n">
        <f aca="false">Timestamp_Adjustment!D144</f>
        <v>1779347700</v>
      </c>
      <c r="B144" s="0" t="n">
        <f aca="false">IF(A144="","",V43_New!D144)</f>
        <v>4512.95</v>
      </c>
      <c r="C144" s="0" t="n">
        <f aca="false">IF(A144="","",V43_New!F144)</f>
        <v>4512.06</v>
      </c>
      <c r="D144" s="0" t="str">
        <f aca="false">IF(A144="","",V43_New!ER144)</f>
        <v/>
      </c>
      <c r="E144" s="0" t="str">
        <f aca="false">IF(A144="","",V43_New!ES144)</f>
        <v/>
      </c>
      <c r="F144" s="0" t="str">
        <f aca="false">IF(A144="","",V43_New!ET144)</f>
        <v/>
      </c>
      <c r="G144" s="0" t="str">
        <f aca="false">IF(A144="","",V43_New!EU144)</f>
        <v/>
      </c>
      <c r="H144" s="0" t="str">
        <f aca="false">IF(A144="","",V43_New!EV144)</f>
        <v/>
      </c>
      <c r="I144" s="0" t="str">
        <f aca="false">IF(A144="","",V43_New!EW144)</f>
        <v/>
      </c>
      <c r="J144" s="0" t="str">
        <f aca="false">IF(A144="","",V43_New!EX144)</f>
        <v/>
      </c>
      <c r="K144" s="0" t="str">
        <f aca="false">IF(A144="","",V43_New!EY144)</f>
        <v/>
      </c>
      <c r="L144" s="0" t="n">
        <f aca="false">IF(A144="","",V43_New!EZ144)</f>
        <v>4511.92</v>
      </c>
      <c r="M144" s="0" t="str">
        <f aca="false">IF(A144="","",V43_New!FA144)</f>
        <v/>
      </c>
      <c r="N144" s="0" t="str">
        <f aca="false">IF(A144="","",V43_New!FB144)</f>
        <v/>
      </c>
      <c r="O144" s="0" t="str">
        <f aca="false">IF(A144="","",V43_New!FC144)</f>
        <v/>
      </c>
      <c r="P144" s="0" t="str">
        <f aca="false">IF(A144="","",V43_New!FD144)</f>
        <v/>
      </c>
      <c r="Q144" s="0" t="str">
        <f aca="false">IF(A144="","",V43_New!FE144)</f>
        <v/>
      </c>
      <c r="R144" s="0" t="str">
        <f aca="false">IF(A144="","",V43_New!FF144)</f>
        <v/>
      </c>
      <c r="S144" s="0" t="str">
        <f aca="false">IF(A144="","",V43_New!FG144)</f>
        <v/>
      </c>
      <c r="T144" s="0" t="str">
        <f aca="false">IF(A144="","",V43_New!FH144)</f>
        <v/>
      </c>
      <c r="U144" s="0" t="str">
        <f aca="false">IF(A144="","",V43_New!FI144)</f>
        <v/>
      </c>
      <c r="V144" s="0" t="str">
        <f aca="false">IF(A144="","",V43_New!FJ144)</f>
        <v/>
      </c>
      <c r="W144" s="0" t="str">
        <f aca="false">IF(A144="","",V43_New!FK144)</f>
        <v/>
      </c>
      <c r="X144" s="0" t="str">
        <f aca="false">IF(A144="","",V43_New!FL144)</f>
        <v/>
      </c>
      <c r="Y144" s="0" t="str">
        <f aca="false">IF(A144="","",V43_New!FM144)</f>
        <v/>
      </c>
      <c r="Z144" s="0" t="n">
        <f aca="false">IF(C145&lt;&gt;"",COUNT(C144:N144),0)</f>
        <v>2</v>
      </c>
      <c r="AA144" s="0" t="n">
        <f aca="false">IF(AND(O144="",P144="",Q144="",R144="",S144="",T144="",U144="",V144="",W144="",X144="",Y144=""),0,1)</f>
        <v>0</v>
      </c>
      <c r="AB144" s="15" t="str">
        <f aca="false">IF(OR(Z144&gt;=3,AA144=1),AVERAGE(C144:N144),"")</f>
        <v/>
      </c>
    </row>
    <row r="145" customFormat="false" ht="14.25" hidden="false" customHeight="false" outlineLevel="0" collapsed="false">
      <c r="A145" s="0" t="n">
        <f aca="false">Timestamp_Adjustment!D145</f>
        <v>1779355800</v>
      </c>
      <c r="B145" s="0" t="n">
        <f aca="false">IF(A145="","",V43_New!D145)</f>
        <v>4529.86</v>
      </c>
      <c r="C145" s="0" t="n">
        <f aca="false">IF(A145="","",V43_New!F145)</f>
        <v>4542.7</v>
      </c>
      <c r="D145" s="0" t="str">
        <f aca="false">IF(A145="","",V43_New!ER145)</f>
        <v/>
      </c>
      <c r="E145" s="0" t="n">
        <f aca="false">IF(A145="","",V43_New!ES145)</f>
        <v>4552.71</v>
      </c>
      <c r="F145" s="0" t="str">
        <f aca="false">IF(A145="","",V43_New!ET145)</f>
        <v/>
      </c>
      <c r="G145" s="0" t="str">
        <f aca="false">IF(A145="","",V43_New!EU145)</f>
        <v/>
      </c>
      <c r="H145" s="0" t="str">
        <f aca="false">IF(A145="","",V43_New!EV145)</f>
        <v/>
      </c>
      <c r="I145" s="0" t="str">
        <f aca="false">IF(A145="","",V43_New!EW145)</f>
        <v/>
      </c>
      <c r="J145" s="0" t="str">
        <f aca="false">IF(A145="","",V43_New!EX145)</f>
        <v/>
      </c>
      <c r="K145" s="0" t="str">
        <f aca="false">IF(A145="","",V43_New!EY145)</f>
        <v/>
      </c>
      <c r="L145" s="0" t="str">
        <f aca="false">IF(A145="","",V43_New!EZ145)</f>
        <v/>
      </c>
      <c r="M145" s="0" t="str">
        <f aca="false">IF(A145="","",V43_New!FA145)</f>
        <v/>
      </c>
      <c r="N145" s="0" t="str">
        <f aca="false">IF(A145="","",V43_New!FB145)</f>
        <v/>
      </c>
      <c r="O145" s="0" t="str">
        <f aca="false">IF(A145="","",V43_New!FC145)</f>
        <v/>
      </c>
      <c r="P145" s="0" t="str">
        <f aca="false">IF(A145="","",V43_New!FD145)</f>
        <v>IEQH</v>
      </c>
      <c r="Q145" s="0" t="str">
        <f aca="false">IF(A145="","",V43_New!FE145)</f>
        <v/>
      </c>
      <c r="R145" s="0" t="str">
        <f aca="false">IF(A145="","",V43_New!FF145)</f>
        <v/>
      </c>
      <c r="S145" s="0" t="str">
        <f aca="false">IF(A145="","",V43_New!FG145)</f>
        <v/>
      </c>
      <c r="T145" s="0" t="str">
        <f aca="false">IF(A145="","",V43_New!FH145)</f>
        <v/>
      </c>
      <c r="U145" s="0" t="str">
        <f aca="false">IF(A145="","",V43_New!FI145)</f>
        <v/>
      </c>
      <c r="V145" s="0" t="str">
        <f aca="false">IF(A145="","",V43_New!FJ145)</f>
        <v/>
      </c>
      <c r="W145" s="0" t="str">
        <f aca="false">IF(A145="","",V43_New!FK145)</f>
        <v/>
      </c>
      <c r="X145" s="0" t="str">
        <f aca="false">IF(A145="","",V43_New!FL145)</f>
        <v/>
      </c>
      <c r="Y145" s="0" t="str">
        <f aca="false">IF(A145="","",V43_New!FM145)</f>
        <v/>
      </c>
      <c r="Z145" s="0" t="n">
        <f aca="false">IF(C146&lt;&gt;"",COUNT(C145:N145),0)</f>
        <v>2</v>
      </c>
      <c r="AA145" s="0" t="n">
        <f aca="false">IF(AND(O145="",P145="",Q145="",R145="",S145="",T145="",U145="",V145="",W145="",X145="",Y145=""),0,1)</f>
        <v>1</v>
      </c>
      <c r="AB145" s="15" t="n">
        <f aca="false">IF(OR(Z145&gt;=3,AA145=1),AVERAGE(C145:N145),"")</f>
        <v>4547.705</v>
      </c>
    </row>
    <row r="146" customFormat="false" ht="14.25" hidden="false" customHeight="false" outlineLevel="0" collapsed="false">
      <c r="A146" s="0" t="n">
        <f aca="false">Timestamp_Adjustment!D146</f>
        <v>1779370200</v>
      </c>
      <c r="B146" s="0" t="n">
        <f aca="false">IF(A146="","",V43_New!D146)</f>
        <v>4498.02</v>
      </c>
      <c r="C146" s="0" t="n">
        <f aca="false">IF(A146="","",V43_New!F146)</f>
        <v>4488.72</v>
      </c>
      <c r="D146" s="0" t="str">
        <f aca="false">IF(A146="","",V43_New!ER146)</f>
        <v/>
      </c>
      <c r="E146" s="0" t="str">
        <f aca="false">IF(A146="","",V43_New!ES146)</f>
        <v/>
      </c>
      <c r="F146" s="0" t="str">
        <f aca="false">IF(A146="","",V43_New!ET146)</f>
        <v/>
      </c>
      <c r="G146" s="0" t="str">
        <f aca="false">IF(A146="","",V43_New!EU146)</f>
        <v/>
      </c>
      <c r="H146" s="0" t="str">
        <f aca="false">IF(A146="","",V43_New!EV146)</f>
        <v/>
      </c>
      <c r="I146" s="0" t="str">
        <f aca="false">IF(A146="","",V43_New!EW146)</f>
        <v/>
      </c>
      <c r="J146" s="0" t="str">
        <f aca="false">IF(A146="","",V43_New!EX146)</f>
        <v/>
      </c>
      <c r="K146" s="0" t="str">
        <f aca="false">IF(A146="","",V43_New!EY146)</f>
        <v/>
      </c>
      <c r="L146" s="0" t="n">
        <f aca="false">IF(A146="","",V43_New!EZ146)</f>
        <v>4480.72</v>
      </c>
      <c r="M146" s="0" t="str">
        <f aca="false">IF(A146="","",V43_New!FA146)</f>
        <v/>
      </c>
      <c r="N146" s="0" t="str">
        <f aca="false">IF(A146="","",V43_New!FB146)</f>
        <v/>
      </c>
      <c r="O146" s="0" t="str">
        <f aca="false">IF(A146="","",V43_New!FC146)</f>
        <v/>
      </c>
      <c r="P146" s="0" t="str">
        <f aca="false">IF(A146="","",V43_New!FD146)</f>
        <v/>
      </c>
      <c r="Q146" s="0" t="str">
        <f aca="false">IF(A146="","",V43_New!FE146)</f>
        <v/>
      </c>
      <c r="R146" s="0" t="str">
        <f aca="false">IF(A146="","",V43_New!FF146)</f>
        <v/>
      </c>
      <c r="S146" s="0" t="str">
        <f aca="false">IF(A146="","",V43_New!FG146)</f>
        <v/>
      </c>
      <c r="T146" s="0" t="str">
        <f aca="false">IF(A146="","",V43_New!FH146)</f>
        <v/>
      </c>
      <c r="U146" s="0" t="str">
        <f aca="false">IF(A146="","",V43_New!FI146)</f>
        <v/>
      </c>
      <c r="V146" s="0" t="str">
        <f aca="false">IF(A146="","",V43_New!FJ146)</f>
        <v/>
      </c>
      <c r="W146" s="0" t="str">
        <f aca="false">IF(A146="","",V43_New!FK146)</f>
        <v/>
      </c>
      <c r="X146" s="0" t="str">
        <f aca="false">IF(A146="","",V43_New!FL146)</f>
        <v/>
      </c>
      <c r="Y146" s="0" t="str">
        <f aca="false">IF(A146="","",V43_New!FM146)</f>
        <v/>
      </c>
      <c r="Z146" s="0" t="n">
        <f aca="false">IF(C147&lt;&gt;"",COUNT(C146:N146),0)</f>
        <v>2</v>
      </c>
      <c r="AA146" s="0" t="n">
        <f aca="false">IF(AND(O146="",P146="",Q146="",R146="",S146="",T146="",U146="",V146="",W146="",X146="",Y146=""),0,1)</f>
        <v>0</v>
      </c>
      <c r="AB146" s="15" t="str">
        <f aca="false">IF(OR(Z146&gt;=3,AA146=1),AVERAGE(C146:N146),"")</f>
        <v/>
      </c>
    </row>
    <row r="147" customFormat="false" ht="14.25" hidden="false" customHeight="false" outlineLevel="0" collapsed="false">
      <c r="A147" s="0" t="n">
        <f aca="false">Timestamp_Adjustment!D147</f>
        <v>1779385500</v>
      </c>
      <c r="B147" s="0" t="n">
        <f aca="false">IF(A147="","",V43_New!D147)</f>
        <v>4551.54</v>
      </c>
      <c r="C147" s="0" t="n">
        <f aca="false">IF(A147="","",V43_New!F147)</f>
        <v>4559.28</v>
      </c>
      <c r="D147" s="0" t="str">
        <f aca="false">IF(A147="","",V43_New!ER147)</f>
        <v/>
      </c>
      <c r="E147" s="0" t="str">
        <f aca="false">IF(A147="","",V43_New!ES147)</f>
        <v/>
      </c>
      <c r="F147" s="0" t="n">
        <f aca="false">IF(A147="","",V43_New!ET147)</f>
        <v>4552.71</v>
      </c>
      <c r="G147" s="0" t="str">
        <f aca="false">IF(A147="","",V43_New!EU147)</f>
        <v/>
      </c>
      <c r="H147" s="0" t="str">
        <f aca="false">IF(A147="","",V43_New!EV147)</f>
        <v/>
      </c>
      <c r="I147" s="0" t="str">
        <f aca="false">IF(A147="","",V43_New!EW147)</f>
        <v/>
      </c>
      <c r="J147" s="0" t="str">
        <f aca="false">IF(A147="","",V43_New!EX147)</f>
        <v/>
      </c>
      <c r="K147" s="0" t="str">
        <f aca="false">IF(A147="","",V43_New!EY147)</f>
        <v/>
      </c>
      <c r="L147" s="0" t="str">
        <f aca="false">IF(A147="","",V43_New!EZ147)</f>
        <v/>
      </c>
      <c r="M147" s="0" t="str">
        <f aca="false">IF(A147="","",V43_New!FA147)</f>
        <v/>
      </c>
      <c r="N147" s="0" t="str">
        <f aca="false">IF(A147="","",V43_New!FB147)</f>
        <v/>
      </c>
      <c r="O147" s="0" t="str">
        <f aca="false">IF(A147="","",V43_New!FC147)</f>
        <v/>
      </c>
      <c r="P147" s="0" t="str">
        <f aca="false">IF(A147="","",V43_New!FD147)</f>
        <v/>
      </c>
      <c r="Q147" s="0" t="str">
        <f aca="false">IF(A147="","",V43_New!FE147)</f>
        <v>IEQH</v>
      </c>
      <c r="R147" s="0" t="str">
        <f aca="false">IF(A147="","",V43_New!FF147)</f>
        <v/>
      </c>
      <c r="S147" s="0" t="str">
        <f aca="false">IF(A147="","",V43_New!FG147)</f>
        <v/>
      </c>
      <c r="T147" s="0" t="str">
        <f aca="false">IF(A147="","",V43_New!FH147)</f>
        <v/>
      </c>
      <c r="U147" s="0" t="str">
        <f aca="false">IF(A147="","",V43_New!FI147)</f>
        <v/>
      </c>
      <c r="V147" s="0" t="str">
        <f aca="false">IF(A147="","",V43_New!FJ147)</f>
        <v/>
      </c>
      <c r="W147" s="0" t="str">
        <f aca="false">IF(A147="","",V43_New!FK147)</f>
        <v/>
      </c>
      <c r="X147" s="0" t="str">
        <f aca="false">IF(A147="","",V43_New!FL147)</f>
        <v/>
      </c>
      <c r="Y147" s="0" t="str">
        <f aca="false">IF(A147="","",V43_New!FM147)</f>
        <v/>
      </c>
      <c r="Z147" s="0" t="n">
        <f aca="false">IF(C148&lt;&gt;"",COUNT(C147:N147),0)</f>
        <v>2</v>
      </c>
      <c r="AA147" s="0" t="n">
        <f aca="false">IF(AND(O147="",P147="",Q147="",R147="",S147="",T147="",U147="",V147="",W147="",X147="",Y147=""),0,1)</f>
        <v>1</v>
      </c>
      <c r="AB147" s="15" t="n">
        <f aca="false">IF(OR(Z147&gt;=3,AA147=1),AVERAGE(C147:N147),"")</f>
        <v>4555.995</v>
      </c>
    </row>
    <row r="148" customFormat="false" ht="14.25" hidden="false" customHeight="false" outlineLevel="0" collapsed="false">
      <c r="A148" s="0" t="n">
        <f aca="false">Timestamp_Adjustment!D148</f>
        <v>1779417000</v>
      </c>
      <c r="B148" s="0" t="n">
        <f aca="false">IF(A148="","",V43_New!D148)</f>
        <v>4522.61</v>
      </c>
      <c r="C148" s="0" t="n">
        <f aca="false">IF(A148="","",V43_New!F148)</f>
        <v>4518.56</v>
      </c>
      <c r="D148" s="0" t="str">
        <f aca="false">IF(A148="","",V43_New!ER148)</f>
        <v/>
      </c>
      <c r="E148" s="0" t="n">
        <f aca="false">IF(A148="","",V43_New!ES148)</f>
        <v>4512.06</v>
      </c>
      <c r="F148" s="0" t="str">
        <f aca="false">IF(A148="","",V43_New!ET148)</f>
        <v/>
      </c>
      <c r="G148" s="0" t="str">
        <f aca="false">IF(A148="","",V43_New!EU148)</f>
        <v/>
      </c>
      <c r="H148" s="0" t="str">
        <f aca="false">IF(A148="","",V43_New!EV148)</f>
        <v/>
      </c>
      <c r="I148" s="0" t="str">
        <f aca="false">IF(A148="","",V43_New!EW148)</f>
        <v/>
      </c>
      <c r="J148" s="0" t="str">
        <f aca="false">IF(A148="","",V43_New!EX148)</f>
        <v/>
      </c>
      <c r="K148" s="0" t="str">
        <f aca="false">IF(A148="","",V43_New!EY148)</f>
        <v/>
      </c>
      <c r="L148" s="0" t="str">
        <f aca="false">IF(A148="","",V43_New!EZ148)</f>
        <v/>
      </c>
      <c r="M148" s="0" t="str">
        <f aca="false">IF(A148="","",V43_New!FA148)</f>
        <v/>
      </c>
      <c r="N148" s="0" t="n">
        <f aca="false">IF(A148="","",V43_New!FB148)</f>
        <v>4511.92</v>
      </c>
      <c r="O148" s="0" t="str">
        <f aca="false">IF(A148="","",V43_New!FC148)</f>
        <v/>
      </c>
      <c r="P148" s="0" t="str">
        <f aca="false">IF(A148="","",V43_New!FD148)</f>
        <v/>
      </c>
      <c r="Q148" s="0" t="str">
        <f aca="false">IF(A148="","",V43_New!FE148)</f>
        <v/>
      </c>
      <c r="R148" s="0" t="str">
        <f aca="false">IF(A148="","",V43_New!FF148)</f>
        <v/>
      </c>
      <c r="S148" s="0" t="str">
        <f aca="false">IF(A148="","",V43_New!FG148)</f>
        <v/>
      </c>
      <c r="T148" s="0" t="str">
        <f aca="false">IF(A148="","",V43_New!FH148)</f>
        <v/>
      </c>
      <c r="U148" s="0" t="str">
        <f aca="false">IF(A148="","",V43_New!FI148)</f>
        <v/>
      </c>
      <c r="V148" s="0" t="str">
        <f aca="false">IF(A148="","",V43_New!FJ148)</f>
        <v/>
      </c>
      <c r="W148" s="0" t="str">
        <f aca="false">IF(A148="","",V43_New!FK148)</f>
        <v/>
      </c>
      <c r="X148" s="0" t="str">
        <f aca="false">IF(A148="","",V43_New!FL148)</f>
        <v/>
      </c>
      <c r="Y148" s="0" t="str">
        <f aca="false">IF(A148="","",V43_New!FM148)</f>
        <v/>
      </c>
      <c r="Z148" s="0" t="n">
        <f aca="false">IF(C149&lt;&gt;"",COUNT(C148:N148),0)</f>
        <v>3</v>
      </c>
      <c r="AA148" s="0" t="n">
        <f aca="false">IF(AND(O148="",P148="",Q148="",R148="",S148="",T148="",U148="",V148="",W148="",X148="",Y148=""),0,1)</f>
        <v>0</v>
      </c>
      <c r="AB148" s="15" t="n">
        <f aca="false">IF(OR(Z148&gt;=3,AA148=1),AVERAGE(C148:N148),"")</f>
        <v>4514.18</v>
      </c>
    </row>
    <row r="149" customFormat="false" ht="14.25" hidden="false" customHeight="false" outlineLevel="0" collapsed="false">
      <c r="A149" s="0" t="n">
        <f aca="false">Timestamp_Adjustment!D149</f>
        <v>1779427800</v>
      </c>
      <c r="B149" s="0" t="n">
        <f aca="false">IF(A149="","",V43_New!D149)</f>
        <v>4534.1</v>
      </c>
      <c r="C149" s="0" t="n">
        <f aca="false">IF(A149="","",V43_New!F149)</f>
        <v>4534.16</v>
      </c>
      <c r="D149" s="0" t="str">
        <f aca="false">IF(A149="","",V43_New!ER149)</f>
        <v/>
      </c>
      <c r="E149" s="0" t="str">
        <f aca="false">IF(A149="","",V43_New!ES149)</f>
        <v/>
      </c>
      <c r="F149" s="0" t="str">
        <f aca="false">IF(A149="","",V43_New!ET149)</f>
        <v/>
      </c>
      <c r="G149" s="0" t="str">
        <f aca="false">IF(A149="","",V43_New!EU149)</f>
        <v/>
      </c>
      <c r="H149" s="0" t="str">
        <f aca="false">IF(A149="","",V43_New!EV149)</f>
        <v/>
      </c>
      <c r="I149" s="0" t="str">
        <f aca="false">IF(A149="","",V43_New!EW149)</f>
        <v/>
      </c>
      <c r="J149" s="0" t="str">
        <f aca="false">IF(A149="","",V43_New!EX149)</f>
        <v/>
      </c>
      <c r="K149" s="0" t="str">
        <f aca="false">IF(A149="","",V43_New!EY149)</f>
        <v/>
      </c>
      <c r="L149" s="0" t="str">
        <f aca="false">IF(A149="","",V43_New!EZ149)</f>
        <v/>
      </c>
      <c r="M149" s="0" t="str">
        <f aca="false">IF(A149="","",V43_New!FA149)</f>
        <v/>
      </c>
      <c r="N149" s="0" t="str">
        <f aca="false">IF(A149="","",V43_New!FB149)</f>
        <v/>
      </c>
      <c r="O149" s="0" t="str">
        <f aca="false">IF(A149="","",V43_New!FC149)</f>
        <v/>
      </c>
      <c r="P149" s="0" t="str">
        <f aca="false">IF(A149="","",V43_New!FD149)</f>
        <v/>
      </c>
      <c r="Q149" s="0" t="str">
        <f aca="false">IF(A149="","",V43_New!FE149)</f>
        <v/>
      </c>
      <c r="R149" s="0" t="str">
        <f aca="false">IF(A149="","",V43_New!FF149)</f>
        <v/>
      </c>
      <c r="S149" s="0" t="str">
        <f aca="false">IF(A149="","",V43_New!FG149)</f>
        <v/>
      </c>
      <c r="T149" s="0" t="str">
        <f aca="false">IF(A149="","",V43_New!FH149)</f>
        <v/>
      </c>
      <c r="U149" s="0" t="str">
        <f aca="false">IF(A149="","",V43_New!FI149)</f>
        <v/>
      </c>
      <c r="V149" s="0" t="str">
        <f aca="false">IF(A149="","",V43_New!FJ149)</f>
        <v/>
      </c>
      <c r="W149" s="0" t="str">
        <f aca="false">IF(A149="","",V43_New!FK149)</f>
        <v/>
      </c>
      <c r="X149" s="0" t="str">
        <f aca="false">IF(A149="","",V43_New!FL149)</f>
        <v/>
      </c>
      <c r="Y149" s="0" t="str">
        <f aca="false">IF(A149="","",V43_New!FM149)</f>
        <v/>
      </c>
      <c r="Z149" s="0" t="n">
        <f aca="false">IF(C150&lt;&gt;"",COUNT(C149:N149),0)</f>
        <v>1</v>
      </c>
      <c r="AA149" s="0" t="n">
        <f aca="false">IF(AND(O149="",P149="",Q149="",R149="",S149="",T149="",U149="",V149="",W149="",X149="",Y149=""),0,1)</f>
        <v>0</v>
      </c>
      <c r="AB149" s="15" t="str">
        <f aca="false">IF(OR(Z149&gt;=3,AA149=1),AVERAGE(C149:N149),"")</f>
        <v/>
      </c>
    </row>
    <row r="150" customFormat="false" ht="14.25" hidden="false" customHeight="false" outlineLevel="0" collapsed="false">
      <c r="A150" s="0" t="n">
        <f aca="false">Timestamp_Adjustment!D150</f>
        <v>1779428700</v>
      </c>
      <c r="B150" s="0" t="n">
        <f aca="false">IF(A150="","",V43_New!D150)</f>
        <v>4511.19</v>
      </c>
      <c r="C150" s="0" t="n">
        <f aca="false">IF(A150="","",V43_New!F150)</f>
        <v>4507.44</v>
      </c>
      <c r="D150" s="0" t="str">
        <f aca="false">IF(A150="","",V43_New!ER150)</f>
        <v/>
      </c>
      <c r="E150" s="0" t="str">
        <f aca="false">IF(A150="","",V43_New!ES150)</f>
        <v/>
      </c>
      <c r="F150" s="0" t="n">
        <f aca="false">IF(A150="","",V43_New!ET150)</f>
        <v>4512.06</v>
      </c>
      <c r="G150" s="0" t="str">
        <f aca="false">IF(A150="","",V43_New!EU150)</f>
        <v/>
      </c>
      <c r="H150" s="0" t="str">
        <f aca="false">IF(A150="","",V43_New!EV150)</f>
        <v/>
      </c>
      <c r="I150" s="0" t="str">
        <f aca="false">IF(A150="","",V43_New!EW150)</f>
        <v/>
      </c>
      <c r="J150" s="0" t="str">
        <f aca="false">IF(A150="","",V43_New!EX150)</f>
        <v/>
      </c>
      <c r="K150" s="0" t="str">
        <f aca="false">IF(A150="","",V43_New!EY150)</f>
        <v/>
      </c>
      <c r="L150" s="0" t="str">
        <f aca="false">IF(A150="","",V43_New!EZ150)</f>
        <v/>
      </c>
      <c r="M150" s="0" t="str">
        <f aca="false">IF(A150="","",V43_New!FA150)</f>
        <v/>
      </c>
      <c r="N150" s="0" t="str">
        <f aca="false">IF(A150="","",V43_New!FB150)</f>
        <v/>
      </c>
      <c r="O150" s="0" t="str">
        <f aca="false">IF(A150="","",V43_New!FC150)</f>
        <v/>
      </c>
      <c r="P150" s="0" t="str">
        <f aca="false">IF(A150="","",V43_New!FD150)</f>
        <v/>
      </c>
      <c r="Q150" s="0" t="str">
        <f aca="false">IF(A150="","",V43_New!FE150)</f>
        <v/>
      </c>
      <c r="R150" s="0" t="str">
        <f aca="false">IF(A150="","",V43_New!FF150)</f>
        <v/>
      </c>
      <c r="S150" s="0" t="str">
        <f aca="false">IF(A150="","",V43_New!FG150)</f>
        <v/>
      </c>
      <c r="T150" s="0" t="str">
        <f aca="false">IF(A150="","",V43_New!FH150)</f>
        <v/>
      </c>
      <c r="U150" s="0" t="str">
        <f aca="false">IF(A150="","",V43_New!FI150)</f>
        <v/>
      </c>
      <c r="V150" s="0" t="str">
        <f aca="false">IF(A150="","",V43_New!FJ150)</f>
        <v/>
      </c>
      <c r="W150" s="0" t="str">
        <f aca="false">IF(A150="","",V43_New!FK150)</f>
        <v/>
      </c>
      <c r="X150" s="0" t="str">
        <f aca="false">IF(A150="","",V43_New!FL150)</f>
        <v/>
      </c>
      <c r="Y150" s="0" t="str">
        <f aca="false">IF(A150="","",V43_New!FM150)</f>
        <v/>
      </c>
      <c r="Z150" s="0" t="n">
        <f aca="false">IF(C151&lt;&gt;"",COUNT(C150:N150),0)</f>
        <v>2</v>
      </c>
      <c r="AA150" s="0" t="n">
        <f aca="false">IF(AND(O150="",P150="",Q150="",R150="",S150="",T150="",U150="",V150="",W150="",X150="",Y150=""),0,1)</f>
        <v>0</v>
      </c>
      <c r="AB150" s="15" t="str">
        <f aca="false">IF(OR(Z150&gt;=3,AA150=1),AVERAGE(C150:N150),"")</f>
        <v/>
      </c>
    </row>
    <row r="151" customFormat="false" ht="14.25" hidden="false" customHeight="false" outlineLevel="0" collapsed="false">
      <c r="A151" s="0" t="n">
        <f aca="false">Timestamp_Adjustment!D151</f>
        <v>1779444000</v>
      </c>
      <c r="B151" s="0" t="n">
        <f aca="false">IF(A151="","",V43_New!D151)</f>
        <v>4533.84</v>
      </c>
      <c r="C151" s="0" t="n">
        <f aca="false">IF(A151="","",V43_New!F151)</f>
        <v>4536.83</v>
      </c>
      <c r="D151" s="0" t="str">
        <f aca="false">IF(A151="","",V43_New!ER151)</f>
        <v/>
      </c>
      <c r="E151" s="0" t="str">
        <f aca="false">IF(A151="","",V43_New!ES151)</f>
        <v/>
      </c>
      <c r="F151" s="0" t="str">
        <f aca="false">IF(A151="","",V43_New!ET151)</f>
        <v/>
      </c>
      <c r="G151" s="0" t="str">
        <f aca="false">IF(A151="","",V43_New!EU151)</f>
        <v/>
      </c>
      <c r="H151" s="0" t="str">
        <f aca="false">IF(A151="","",V43_New!EV151)</f>
        <v/>
      </c>
      <c r="I151" s="0" t="str">
        <f aca="false">IF(A151="","",V43_New!EW151)</f>
        <v/>
      </c>
      <c r="J151" s="0" t="str">
        <f aca="false">IF(A151="","",V43_New!EX151)</f>
        <v/>
      </c>
      <c r="K151" s="0" t="str">
        <f aca="false">IF(A151="","",V43_New!EY151)</f>
        <v/>
      </c>
      <c r="L151" s="0" t="str">
        <f aca="false">IF(A151="","",V43_New!EZ151)</f>
        <v/>
      </c>
      <c r="M151" s="0" t="str">
        <f aca="false">IF(A151="","",V43_New!FA151)</f>
        <v/>
      </c>
      <c r="N151" s="0" t="str">
        <f aca="false">IF(A151="","",V43_New!FB151)</f>
        <v/>
      </c>
      <c r="O151" s="0" t="str">
        <f aca="false">IF(A151="","",V43_New!FC151)</f>
        <v/>
      </c>
      <c r="P151" s="0" t="str">
        <f aca="false">IF(A151="","",V43_New!FD151)</f>
        <v/>
      </c>
      <c r="Q151" s="0" t="str">
        <f aca="false">IF(A151="","",V43_New!FE151)</f>
        <v/>
      </c>
      <c r="R151" s="0" t="str">
        <f aca="false">IF(A151="","",V43_New!FF151)</f>
        <v/>
      </c>
      <c r="S151" s="0" t="str">
        <f aca="false">IF(A151="","",V43_New!FG151)</f>
        <v/>
      </c>
      <c r="T151" s="0" t="str">
        <f aca="false">IF(A151="","",V43_New!FH151)</f>
        <v/>
      </c>
      <c r="U151" s="0" t="str">
        <f aca="false">IF(A151="","",V43_New!FI151)</f>
        <v/>
      </c>
      <c r="V151" s="0" t="str">
        <f aca="false">IF(A151="","",V43_New!FJ151)</f>
        <v/>
      </c>
      <c r="W151" s="0" t="str">
        <f aca="false">IF(A151="","",V43_New!FK151)</f>
        <v/>
      </c>
      <c r="X151" s="0" t="str">
        <f aca="false">IF(A151="","",V43_New!FL151)</f>
        <v/>
      </c>
      <c r="Y151" s="0" t="str">
        <f aca="false">IF(A151="","",V43_New!FM151)</f>
        <v/>
      </c>
      <c r="Z151" s="0" t="n">
        <f aca="false">IF(C152&lt;&gt;"",COUNT(C151:N151),0)</f>
        <v>1</v>
      </c>
      <c r="AA151" s="0" t="n">
        <f aca="false">IF(AND(O151="",P151="",Q151="",R151="",S151="",T151="",U151="",V151="",W151="",X151="",Y151=""),0,1)</f>
        <v>0</v>
      </c>
      <c r="AB151" s="15" t="str">
        <f aca="false">IF(OR(Z151&gt;=3,AA151=1),AVERAGE(C151:N151),"")</f>
        <v/>
      </c>
    </row>
    <row r="152" customFormat="false" ht="14.25" hidden="false" customHeight="false" outlineLevel="0" collapsed="false">
      <c r="A152" s="0" t="n">
        <f aca="false">Timestamp_Adjustment!D152</f>
        <v>1779459300</v>
      </c>
      <c r="B152" s="0" t="n">
        <f aca="false">IF(A152="","",V43_New!D152)</f>
        <v>4499.05</v>
      </c>
      <c r="C152" s="0" t="n">
        <f aca="false">IF(A152="","",V43_New!F152)</f>
        <v>4491.93</v>
      </c>
      <c r="D152" s="0" t="str">
        <f aca="false">IF(A152="","",V43_New!ER152)</f>
        <v/>
      </c>
      <c r="E152" s="0" t="str">
        <f aca="false">IF(A152="","",V43_New!ES152)</f>
        <v/>
      </c>
      <c r="F152" s="0" t="n">
        <f aca="false">IF(A152="","",V43_New!ET152)</f>
        <v>4488.72</v>
      </c>
      <c r="G152" s="0" t="str">
        <f aca="false">IF(A152="","",V43_New!EU152)</f>
        <v/>
      </c>
      <c r="H152" s="0" t="str">
        <f aca="false">IF(A152="","",V43_New!EV152)</f>
        <v/>
      </c>
      <c r="I152" s="0" t="str">
        <f aca="false">IF(A152="","",V43_New!EW152)</f>
        <v/>
      </c>
      <c r="J152" s="0" t="str">
        <f aca="false">IF(A152="","",V43_New!EX152)</f>
        <v/>
      </c>
      <c r="K152" s="0" t="str">
        <f aca="false">IF(A152="","",V43_New!EY152)</f>
        <v/>
      </c>
      <c r="L152" s="0" t="str">
        <f aca="false">IF(A152="","",V43_New!EZ152)</f>
        <v/>
      </c>
      <c r="M152" s="0" t="str">
        <f aca="false">IF(A152="","",V43_New!FA152)</f>
        <v/>
      </c>
      <c r="N152" s="0" t="str">
        <f aca="false">IF(A152="","",V43_New!FB152)</f>
        <v/>
      </c>
      <c r="O152" s="0" t="str">
        <f aca="false">IF(A152="","",V43_New!FC152)</f>
        <v/>
      </c>
      <c r="P152" s="0" t="str">
        <f aca="false">IF(A152="","",V43_New!FD152)</f>
        <v/>
      </c>
      <c r="Q152" s="0" t="str">
        <f aca="false">IF(A152="","",V43_New!FE152)</f>
        <v/>
      </c>
      <c r="R152" s="0" t="str">
        <f aca="false">IF(A152="","",V43_New!FF152)</f>
        <v/>
      </c>
      <c r="S152" s="0" t="str">
        <f aca="false">IF(A152="","",V43_New!FG152)</f>
        <v/>
      </c>
      <c r="T152" s="0" t="str">
        <f aca="false">IF(A152="","",V43_New!FH152)</f>
        <v/>
      </c>
      <c r="U152" s="0" t="str">
        <f aca="false">IF(A152="","",V43_New!FI152)</f>
        <v/>
      </c>
      <c r="V152" s="0" t="str">
        <f aca="false">IF(A152="","",V43_New!FJ152)</f>
        <v/>
      </c>
      <c r="W152" s="0" t="str">
        <f aca="false">IF(A152="","",V43_New!FK152)</f>
        <v/>
      </c>
      <c r="X152" s="0" t="str">
        <f aca="false">IF(A152="","",V43_New!FL152)</f>
        <v/>
      </c>
      <c r="Y152" s="0" t="str">
        <f aca="false">IF(A152="","",V43_New!FM152)</f>
        <v/>
      </c>
      <c r="Z152" s="0" t="n">
        <f aca="false">IF(C153&lt;&gt;"",COUNT(C152:N152),0)</f>
        <v>2</v>
      </c>
      <c r="AA152" s="0" t="n">
        <f aca="false">IF(AND(O152="",P152="",Q152="",R152="",S152="",T152="",U152="",V152="",W152="",X152="",Y152=""),0,1)</f>
        <v>0</v>
      </c>
      <c r="AB152" s="15" t="str">
        <f aca="false">IF(OR(Z152&gt;=3,AA152=1),AVERAGE(C152:N152),"")</f>
        <v/>
      </c>
    </row>
    <row r="153" customFormat="false" ht="14.25" hidden="false" customHeight="false" outlineLevel="0" collapsed="false">
      <c r="A153" s="0" t="n">
        <f aca="false">Timestamp_Adjustment!D153</f>
        <v>1779471000</v>
      </c>
      <c r="B153" s="0" t="n">
        <f aca="false">IF(A153="","",V43_New!D153)</f>
        <v>4522.2</v>
      </c>
      <c r="C153" s="0" t="n">
        <f aca="false">IF(A153="","",V43_New!F153)</f>
        <v>4527.75</v>
      </c>
      <c r="D153" s="0" t="n">
        <f aca="false">IF(A153="","",V43_New!ER153)</f>
        <v>4536.83</v>
      </c>
      <c r="E153" s="0" t="str">
        <f aca="false">IF(A153="","",V43_New!ES153)</f>
        <v/>
      </c>
      <c r="F153" s="0" t="str">
        <f aca="false">IF(A153="","",V43_New!ET153)</f>
        <v/>
      </c>
      <c r="G153" s="0" t="str">
        <f aca="false">IF(A153="","",V43_New!EU153)</f>
        <v/>
      </c>
      <c r="H153" s="0" t="str">
        <f aca="false">IF(A153="","",V43_New!EV153)</f>
        <v/>
      </c>
      <c r="I153" s="0" t="str">
        <f aca="false">IF(A153="","",V43_New!EW153)</f>
        <v/>
      </c>
      <c r="J153" s="0" t="str">
        <f aca="false">IF(A153="","",V43_New!EX153)</f>
        <v/>
      </c>
      <c r="K153" s="0" t="str">
        <f aca="false">IF(A153="","",V43_New!EY153)</f>
        <v/>
      </c>
      <c r="L153" s="0" t="str">
        <f aca="false">IF(A153="","",V43_New!EZ153)</f>
        <v/>
      </c>
      <c r="M153" s="0" t="str">
        <f aca="false">IF(A153="","",V43_New!FA153)</f>
        <v/>
      </c>
      <c r="N153" s="0" t="str">
        <f aca="false">IF(A153="","",V43_New!FB153)</f>
        <v/>
      </c>
      <c r="O153" s="0" t="str">
        <f aca="false">IF(A153="","",V43_New!FC153)</f>
        <v/>
      </c>
      <c r="P153" s="0" t="str">
        <f aca="false">IF(A153="","",V43_New!FD153)</f>
        <v/>
      </c>
      <c r="Q153" s="0" t="str">
        <f aca="false">IF(A153="","",V43_New!FE153)</f>
        <v/>
      </c>
      <c r="R153" s="0" t="str">
        <f aca="false">IF(A153="","",V43_New!FF153)</f>
        <v/>
      </c>
      <c r="S153" s="0" t="str">
        <f aca="false">IF(A153="","",V43_New!FG153)</f>
        <v/>
      </c>
      <c r="T153" s="0" t="str">
        <f aca="false">IF(A153="","",V43_New!FH153)</f>
        <v/>
      </c>
      <c r="U153" s="0" t="str">
        <f aca="false">IF(A153="","",V43_New!FI153)</f>
        <v/>
      </c>
      <c r="V153" s="0" t="str">
        <f aca="false">IF(A153="","",V43_New!FJ153)</f>
        <v/>
      </c>
      <c r="W153" s="0" t="str">
        <f aca="false">IF(A153="","",V43_New!FK153)</f>
        <v/>
      </c>
      <c r="X153" s="0" t="str">
        <f aca="false">IF(A153="","",V43_New!FL153)</f>
        <v/>
      </c>
      <c r="Y153" s="0" t="str">
        <f aca="false">IF(A153="","",V43_New!FM153)</f>
        <v/>
      </c>
      <c r="Z153" s="0" t="n">
        <f aca="false">IF(C154&lt;&gt;"",COUNT(C153:N153),0)</f>
        <v>2</v>
      </c>
      <c r="AA153" s="0" t="n">
        <f aca="false">IF(AND(O153="",P153="",Q153="",R153="",S153="",T153="",U153="",V153="",W153="",X153="",Y153=""),0,1)</f>
        <v>0</v>
      </c>
      <c r="AB153" s="15" t="str">
        <f aca="false">IF(OR(Z153&gt;=3,AA153=1),AVERAGE(C153:N153),"")</f>
        <v/>
      </c>
    </row>
    <row r="154" customFormat="false" ht="14.25" hidden="false" customHeight="false" outlineLevel="0" collapsed="false">
      <c r="A154" s="0" t="n">
        <f aca="false">Timestamp_Adjustment!D154</f>
        <v>1779478200</v>
      </c>
      <c r="B154" s="0" t="n">
        <f aca="false">IF(A154="","",V43_New!D154)</f>
        <v>4509.65</v>
      </c>
      <c r="C154" s="0" t="n">
        <f aca="false">IF(A154="","",V43_New!F154)</f>
        <v>4504.39</v>
      </c>
      <c r="D154" s="0" t="str">
        <f aca="false">IF(A154="","",V43_New!ER154)</f>
        <v/>
      </c>
      <c r="E154" s="0" t="n">
        <f aca="false">IF(A154="","",V43_New!ES154)</f>
        <v>4507.44</v>
      </c>
      <c r="F154" s="0" t="str">
        <f aca="false">IF(A154="","",V43_New!ET154)</f>
        <v/>
      </c>
      <c r="G154" s="0" t="str">
        <f aca="false">IF(A154="","",V43_New!EU154)</f>
        <v/>
      </c>
      <c r="H154" s="0" t="n">
        <f aca="false">IF(A154="","",V43_New!EV154)</f>
        <v>4512.06</v>
      </c>
      <c r="I154" s="0" t="str">
        <f aca="false">IF(A154="","",V43_New!EW154)</f>
        <v/>
      </c>
      <c r="J154" s="0" t="str">
        <f aca="false">IF(A154="","",V43_New!EX154)</f>
        <v/>
      </c>
      <c r="K154" s="0" t="str">
        <f aca="false">IF(A154="","",V43_New!EY154)</f>
        <v/>
      </c>
      <c r="L154" s="0" t="str">
        <f aca="false">IF(A154="","",V43_New!EZ154)</f>
        <v/>
      </c>
      <c r="M154" s="0" t="str">
        <f aca="false">IF(A154="","",V43_New!FA154)</f>
        <v/>
      </c>
      <c r="N154" s="0" t="str">
        <f aca="false">IF(A154="","",V43_New!FB154)</f>
        <v/>
      </c>
      <c r="O154" s="0" t="str">
        <f aca="false">IF(A154="","",V43_New!FC154)</f>
        <v/>
      </c>
      <c r="P154" s="0" t="str">
        <f aca="false">IF(A154="","",V43_New!FD154)</f>
        <v/>
      </c>
      <c r="Q154" s="0" t="str">
        <f aca="false">IF(A154="","",V43_New!FE154)</f>
        <v/>
      </c>
      <c r="R154" s="0" t="str">
        <f aca="false">IF(A154="","",V43_New!FF154)</f>
        <v/>
      </c>
      <c r="S154" s="0" t="str">
        <f aca="false">IF(A154="","",V43_New!FG154)</f>
        <v/>
      </c>
      <c r="T154" s="0" t="str">
        <f aca="false">IF(A154="","",V43_New!FH154)</f>
        <v/>
      </c>
      <c r="U154" s="0" t="str">
        <f aca="false">IF(A154="","",V43_New!FI154)</f>
        <v/>
      </c>
      <c r="V154" s="0" t="str">
        <f aca="false">IF(A154="","",V43_New!FJ154)</f>
        <v/>
      </c>
      <c r="W154" s="0" t="str">
        <f aca="false">IF(A154="","",V43_New!FK154)</f>
        <v/>
      </c>
      <c r="X154" s="0" t="str">
        <f aca="false">IF(A154="","",V43_New!FL154)</f>
        <v/>
      </c>
      <c r="Y154" s="0" t="str">
        <f aca="false">IF(A154="","",V43_New!FM154)</f>
        <v/>
      </c>
      <c r="Z154" s="0" t="n">
        <f aca="false">IF(C155&lt;&gt;"",COUNT(C154:N154),0)</f>
        <v>3</v>
      </c>
      <c r="AA154" s="0" t="n">
        <f aca="false">IF(AND(O154="",P154="",Q154="",R154="",S154="",T154="",U154="",V154="",W154="",X154="",Y154=""),0,1)</f>
        <v>0</v>
      </c>
      <c r="AB154" s="15" t="n">
        <f aca="false">IF(OR(Z154&gt;=3,AA154=1),AVERAGE(C154:N154),"")</f>
        <v>4507.96333333333</v>
      </c>
    </row>
    <row r="155" customFormat="false" ht="14.25" hidden="false" customHeight="false" outlineLevel="0" collapsed="false">
      <c r="A155" s="0" t="n">
        <f aca="false">Timestamp_Adjustment!D155</f>
        <v>1779665400</v>
      </c>
      <c r="B155" s="0" t="n">
        <f aca="false">IF(A155="","",V43_New!D155)</f>
        <v>4577.25</v>
      </c>
      <c r="C155" s="0" t="n">
        <f aca="false">IF(A155="","",V43_New!F155)</f>
        <v>4579.98</v>
      </c>
      <c r="D155" s="0" t="str">
        <f aca="false">IF(A155="","",V43_New!ER155)</f>
        <v/>
      </c>
      <c r="E155" s="0" t="str">
        <f aca="false">IF(A155="","",V43_New!ES155)</f>
        <v/>
      </c>
      <c r="F155" s="0" t="str">
        <f aca="false">IF(A155="","",V43_New!ET155)</f>
        <v/>
      </c>
      <c r="G155" s="0" t="str">
        <f aca="false">IF(A155="","",V43_New!EU155)</f>
        <v/>
      </c>
      <c r="H155" s="0" t="str">
        <f aca="false">IF(A155="","",V43_New!EV155)</f>
        <v/>
      </c>
      <c r="I155" s="0" t="n">
        <f aca="false">IF(A155="","",V43_New!EW155)</f>
        <v>4570.99</v>
      </c>
      <c r="J155" s="0" t="str">
        <f aca="false">IF(A155="","",V43_New!EX155)</f>
        <v/>
      </c>
      <c r="K155" s="0" t="str">
        <f aca="false">IF(A155="","",V43_New!EY155)</f>
        <v/>
      </c>
      <c r="L155" s="0" t="str">
        <f aca="false">IF(A155="","",V43_New!EZ155)</f>
        <v/>
      </c>
      <c r="M155" s="0" t="str">
        <f aca="false">IF(A155="","",V43_New!FA155)</f>
        <v/>
      </c>
      <c r="N155" s="0" t="n">
        <f aca="false">IF(A155="","",V43_New!FB155)</f>
        <v>4589.36</v>
      </c>
      <c r="O155" s="0" t="str">
        <f aca="false">IF(A155="","",V43_New!FC155)</f>
        <v/>
      </c>
      <c r="P155" s="0" t="str">
        <f aca="false">IF(A155="","",V43_New!FD155)</f>
        <v/>
      </c>
      <c r="Q155" s="0" t="str">
        <f aca="false">IF(A155="","",V43_New!FE155)</f>
        <v/>
      </c>
      <c r="R155" s="0" t="str">
        <f aca="false">IF(A155="","",V43_New!FF155)</f>
        <v/>
      </c>
      <c r="S155" s="0" t="str">
        <f aca="false">IF(A155="","",V43_New!FG155)</f>
        <v/>
      </c>
      <c r="T155" s="0" t="str">
        <f aca="false">IF(A155="","",V43_New!FH155)</f>
        <v/>
      </c>
      <c r="U155" s="0" t="str">
        <f aca="false">IF(A155="","",V43_New!FI155)</f>
        <v/>
      </c>
      <c r="V155" s="0" t="str">
        <f aca="false">IF(A155="","",V43_New!FJ155)</f>
        <v/>
      </c>
      <c r="W155" s="0" t="str">
        <f aca="false">IF(A155="","",V43_New!FK155)</f>
        <v/>
      </c>
      <c r="X155" s="0" t="str">
        <f aca="false">IF(A155="","",V43_New!FL155)</f>
        <v/>
      </c>
      <c r="Y155" s="0" t="str">
        <f aca="false">IF(A155="","",V43_New!FM155)</f>
        <v/>
      </c>
      <c r="Z155" s="0" t="n">
        <f aca="false">IF(C156&lt;&gt;"",COUNT(C155:N155),0)</f>
        <v>3</v>
      </c>
      <c r="AA155" s="0" t="n">
        <f aca="false">IF(AND(O155="",P155="",Q155="",R155="",S155="",T155="",U155="",V155="",W155="",X155="",Y155=""),0,1)</f>
        <v>0</v>
      </c>
      <c r="AB155" s="15" t="n">
        <f aca="false">IF(OR(Z155&gt;=3,AA155=1),AVERAGE(C155:N155),"")</f>
        <v>4580.11</v>
      </c>
    </row>
    <row r="156" customFormat="false" ht="14.25" hidden="false" customHeight="false" outlineLevel="0" collapsed="false">
      <c r="A156" s="0" t="n">
        <f aca="false">Timestamp_Adjustment!D156</f>
        <v>1779688800</v>
      </c>
      <c r="B156" s="0" t="n">
        <f aca="false">IF(A156="","",V43_New!D156)</f>
        <v>4553.81</v>
      </c>
      <c r="C156" s="0" t="n">
        <f aca="false">IF(A156="","",V43_New!F156)</f>
        <v>4550.48</v>
      </c>
      <c r="D156" s="0" t="str">
        <f aca="false">IF(A156="","",V43_New!ER156)</f>
        <v/>
      </c>
      <c r="E156" s="0" t="str">
        <f aca="false">IF(A156="","",V43_New!ES156)</f>
        <v/>
      </c>
      <c r="F156" s="0" t="str">
        <f aca="false">IF(A156="","",V43_New!ET156)</f>
        <v/>
      </c>
      <c r="G156" s="0" t="str">
        <f aca="false">IF(A156="","",V43_New!EU156)</f>
        <v/>
      </c>
      <c r="H156" s="0" t="str">
        <f aca="false">IF(A156="","",V43_New!EV156)</f>
        <v/>
      </c>
      <c r="I156" s="0" t="str">
        <f aca="false">IF(A156="","",V43_New!EW156)</f>
        <v/>
      </c>
      <c r="J156" s="0" t="str">
        <f aca="false">IF(A156="","",V43_New!EX156)</f>
        <v/>
      </c>
      <c r="K156" s="0" t="str">
        <f aca="false">IF(A156="","",V43_New!EY156)</f>
        <v/>
      </c>
      <c r="L156" s="0" t="str">
        <f aca="false">IF(A156="","",V43_New!EZ156)</f>
        <v/>
      </c>
      <c r="M156" s="0" t="str">
        <f aca="false">IF(A156="","",V43_New!FA156)</f>
        <v/>
      </c>
      <c r="N156" s="0" t="str">
        <f aca="false">IF(A156="","",V43_New!FB156)</f>
        <v/>
      </c>
      <c r="O156" s="0" t="str">
        <f aca="false">IF(A156="","",V43_New!FC156)</f>
        <v/>
      </c>
      <c r="P156" s="0" t="str">
        <f aca="false">IF(A156="","",V43_New!FD156)</f>
        <v/>
      </c>
      <c r="Q156" s="0" t="str">
        <f aca="false">IF(A156="","",V43_New!FE156)</f>
        <v/>
      </c>
      <c r="R156" s="0" t="str">
        <f aca="false">IF(A156="","",V43_New!FF156)</f>
        <v/>
      </c>
      <c r="S156" s="0" t="str">
        <f aca="false">IF(A156="","",V43_New!FG156)</f>
        <v/>
      </c>
      <c r="T156" s="0" t="str">
        <f aca="false">IF(A156="","",V43_New!FH156)</f>
        <v/>
      </c>
      <c r="U156" s="0" t="str">
        <f aca="false">IF(A156="","",V43_New!FI156)</f>
        <v/>
      </c>
      <c r="V156" s="0" t="str">
        <f aca="false">IF(A156="","",V43_New!FJ156)</f>
        <v/>
      </c>
      <c r="W156" s="0" t="str">
        <f aca="false">IF(A156="","",V43_New!FK156)</f>
        <v/>
      </c>
      <c r="X156" s="0" t="str">
        <f aca="false">IF(A156="","",V43_New!FL156)</f>
        <v/>
      </c>
      <c r="Y156" s="0" t="str">
        <f aca="false">IF(A156="","",V43_New!FM156)</f>
        <v/>
      </c>
      <c r="Z156" s="0" t="n">
        <f aca="false">IF(C157&lt;&gt;"",COUNT(C156:N156),0)</f>
        <v>1</v>
      </c>
      <c r="AA156" s="0" t="n">
        <f aca="false">IF(AND(O156="",P156="",Q156="",R156="",S156="",T156="",U156="",V156="",W156="",X156="",Y156=""),0,1)</f>
        <v>0</v>
      </c>
      <c r="AB156" s="15" t="str">
        <f aca="false">IF(OR(Z156&gt;=3,AA156=1),AVERAGE(C156:N156),"")</f>
        <v/>
      </c>
    </row>
    <row r="157" customFormat="false" ht="14.25" hidden="false" customHeight="false" outlineLevel="0" collapsed="false">
      <c r="A157" s="0" t="n">
        <f aca="false">Timestamp_Adjustment!D157</f>
        <v>1779709500</v>
      </c>
      <c r="B157" s="0" t="n">
        <f aca="false">IF(A157="","",V43_New!D157)</f>
        <v>4569.45</v>
      </c>
      <c r="C157" s="0" t="n">
        <f aca="false">IF(A157="","",V43_New!F157)</f>
        <v>4577.02</v>
      </c>
      <c r="D157" s="0" t="n">
        <f aca="false">IF(A157="","",V43_New!ER157)</f>
        <v>4579.98</v>
      </c>
      <c r="E157" s="0" t="str">
        <f aca="false">IF(A157="","",V43_New!ES157)</f>
        <v/>
      </c>
      <c r="F157" s="0" t="str">
        <f aca="false">IF(A157="","",V43_New!ET157)</f>
        <v/>
      </c>
      <c r="G157" s="0" t="str">
        <f aca="false">IF(A157="","",V43_New!EU157)</f>
        <v/>
      </c>
      <c r="H157" s="0" t="str">
        <f aca="false">IF(A157="","",V43_New!EV157)</f>
        <v/>
      </c>
      <c r="I157" s="0" t="str">
        <f aca="false">IF(A157="","",V43_New!EW157)</f>
        <v/>
      </c>
      <c r="J157" s="0" t="n">
        <f aca="false">IF(A157="","",V43_New!EX157)</f>
        <v>4570.99</v>
      </c>
      <c r="K157" s="0" t="str">
        <f aca="false">IF(A157="","",V43_New!EY157)</f>
        <v/>
      </c>
      <c r="L157" s="0" t="str">
        <f aca="false">IF(A157="","",V43_New!EZ157)</f>
        <v/>
      </c>
      <c r="M157" s="0" t="str">
        <f aca="false">IF(A157="","",V43_New!FA157)</f>
        <v/>
      </c>
      <c r="N157" s="0" t="str">
        <f aca="false">IF(A157="","",V43_New!FB157)</f>
        <v/>
      </c>
      <c r="O157" s="0" t="str">
        <f aca="false">IF(A157="","",V43_New!FC157)</f>
        <v/>
      </c>
      <c r="P157" s="0" t="str">
        <f aca="false">IF(A157="","",V43_New!FD157)</f>
        <v/>
      </c>
      <c r="Q157" s="0" t="str">
        <f aca="false">IF(A157="","",V43_New!FE157)</f>
        <v/>
      </c>
      <c r="R157" s="0" t="str">
        <f aca="false">IF(A157="","",V43_New!FF157)</f>
        <v/>
      </c>
      <c r="S157" s="0" t="str">
        <f aca="false">IF(A157="","",V43_New!FG157)</f>
        <v/>
      </c>
      <c r="T157" s="0" t="str">
        <f aca="false">IF(A157="","",V43_New!FH157)</f>
        <v/>
      </c>
      <c r="U157" s="0" t="str">
        <f aca="false">IF(A157="","",V43_New!FI157)</f>
        <v/>
      </c>
      <c r="V157" s="0" t="str">
        <f aca="false">IF(A157="","",V43_New!FJ157)</f>
        <v/>
      </c>
      <c r="W157" s="0" t="str">
        <f aca="false">IF(A157="","",V43_New!FK157)</f>
        <v/>
      </c>
      <c r="X157" s="0" t="str">
        <f aca="false">IF(A157="","",V43_New!FL157)</f>
        <v/>
      </c>
      <c r="Y157" s="0" t="str">
        <f aca="false">IF(A157="","",V43_New!FM157)</f>
        <v/>
      </c>
      <c r="Z157" s="0" t="n">
        <f aca="false">IF(C158&lt;&gt;"",COUNT(C157:N157),0)</f>
        <v>3</v>
      </c>
      <c r="AA157" s="0" t="n">
        <f aca="false">IF(AND(O157="",P157="",Q157="",R157="",S157="",T157="",U157="",V157="",W157="",X157="",Y157=""),0,1)</f>
        <v>0</v>
      </c>
      <c r="AB157" s="15" t="n">
        <f aca="false">IF(OR(Z157&gt;=3,AA157=1),AVERAGE(C157:N157),"")</f>
        <v>4575.99666666667</v>
      </c>
    </row>
    <row r="158" customFormat="false" ht="14.25" hidden="false" customHeight="false" outlineLevel="0" collapsed="false">
      <c r="A158" s="0" t="n">
        <f aca="false">Timestamp_Adjustment!D158</f>
        <v>1779711300</v>
      </c>
      <c r="B158" s="0" t="n">
        <f aca="false">IF(A158="","",V43_New!D158)</f>
        <v>4560.54</v>
      </c>
      <c r="C158" s="0" t="n">
        <f aca="false">IF(A158="","",V43_New!F158)</f>
        <v>4552.93</v>
      </c>
      <c r="D158" s="0" t="str">
        <f aca="false">IF(A158="","",V43_New!ER158)</f>
        <v/>
      </c>
      <c r="E158" s="0" t="str">
        <f aca="false">IF(A158="","",V43_New!ES158)</f>
        <v/>
      </c>
      <c r="F158" s="0" t="str">
        <f aca="false">IF(A158="","",V43_New!ET158)</f>
        <v/>
      </c>
      <c r="G158" s="0" t="str">
        <f aca="false">IF(A158="","",V43_New!EU158)</f>
        <v/>
      </c>
      <c r="H158" s="0" t="str">
        <f aca="false">IF(A158="","",V43_New!EV158)</f>
        <v/>
      </c>
      <c r="I158" s="0" t="str">
        <f aca="false">IF(A158="","",V43_New!EW158)</f>
        <v/>
      </c>
      <c r="J158" s="0" t="str">
        <f aca="false">IF(A158="","",V43_New!EX158)</f>
        <v/>
      </c>
      <c r="K158" s="0" t="str">
        <f aca="false">IF(A158="","",V43_New!EY158)</f>
        <v/>
      </c>
      <c r="L158" s="0" t="str">
        <f aca="false">IF(A158="","",V43_New!EZ158)</f>
        <v/>
      </c>
      <c r="M158" s="0" t="str">
        <f aca="false">IF(A158="","",V43_New!FA158)</f>
        <v/>
      </c>
      <c r="N158" s="0" t="str">
        <f aca="false">IF(A158="","",V43_New!FB158)</f>
        <v/>
      </c>
      <c r="O158" s="0" t="str">
        <f aca="false">IF(A158="","",V43_New!FC158)</f>
        <v/>
      </c>
      <c r="P158" s="0" t="str">
        <f aca="false">IF(A158="","",V43_New!FD158)</f>
        <v/>
      </c>
      <c r="Q158" s="0" t="str">
        <f aca="false">IF(A158="","",V43_New!FE158)</f>
        <v/>
      </c>
      <c r="R158" s="0" t="str">
        <f aca="false">IF(A158="","",V43_New!FF158)</f>
        <v/>
      </c>
      <c r="S158" s="0" t="str">
        <f aca="false">IF(A158="","",V43_New!FG158)</f>
        <v/>
      </c>
      <c r="T158" s="0" t="str">
        <f aca="false">IF(A158="","",V43_New!FH158)</f>
        <v/>
      </c>
      <c r="U158" s="0" t="str">
        <f aca="false">IF(A158="","",V43_New!FI158)</f>
        <v/>
      </c>
      <c r="V158" s="0" t="str">
        <f aca="false">IF(A158="","",V43_New!FJ158)</f>
        <v/>
      </c>
      <c r="W158" s="0" t="str">
        <f aca="false">IF(A158="","",V43_New!FK158)</f>
        <v/>
      </c>
      <c r="X158" s="0" t="str">
        <f aca="false">IF(A158="","",V43_New!FL158)</f>
        <v/>
      </c>
      <c r="Y158" s="0" t="str">
        <f aca="false">IF(A158="","",V43_New!FM158)</f>
        <v/>
      </c>
      <c r="Z158" s="0" t="n">
        <f aca="false">IF(C159&lt;&gt;"",COUNT(C158:N158),0)</f>
        <v>1</v>
      </c>
      <c r="AA158" s="0" t="n">
        <f aca="false">IF(AND(O158="",P158="",Q158="",R158="",S158="",T158="",U158="",V158="",W158="",X158="",Y158=""),0,1)</f>
        <v>0</v>
      </c>
      <c r="AB158" s="15" t="str">
        <f aca="false">IF(OR(Z158&gt;=3,AA158=1),AVERAGE(C158:N158),"")</f>
        <v/>
      </c>
    </row>
    <row r="159" customFormat="false" ht="14.25" hidden="false" customHeight="false" outlineLevel="0" collapsed="false">
      <c r="A159" s="0" t="n">
        <f aca="false">Timestamp_Adjustment!D159</f>
        <v>1779728400</v>
      </c>
      <c r="B159" s="0" t="n">
        <f aca="false">IF(A159="","",V43_New!D159)</f>
        <v>4574.24</v>
      </c>
      <c r="C159" s="0" t="n">
        <f aca="false">IF(A159="","",V43_New!F159)</f>
        <v>4577.8</v>
      </c>
      <c r="D159" s="0" t="str">
        <f aca="false">IF(A159="","",V43_New!ER159)</f>
        <v/>
      </c>
      <c r="E159" s="0" t="n">
        <f aca="false">IF(A159="","",V43_New!ES159)</f>
        <v>4579.98</v>
      </c>
      <c r="F159" s="0" t="str">
        <f aca="false">IF(A159="","",V43_New!ET159)</f>
        <v/>
      </c>
      <c r="G159" s="0" t="str">
        <f aca="false">IF(A159="","",V43_New!EU159)</f>
        <v/>
      </c>
      <c r="H159" s="0" t="str">
        <f aca="false">IF(A159="","",V43_New!EV159)</f>
        <v/>
      </c>
      <c r="I159" s="0" t="str">
        <f aca="false">IF(A159="","",V43_New!EW159)</f>
        <v/>
      </c>
      <c r="J159" s="0" t="str">
        <f aca="false">IF(A159="","",V43_New!EX159)</f>
        <v/>
      </c>
      <c r="K159" s="0" t="n">
        <f aca="false">IF(A159="","",V43_New!EY159)</f>
        <v>4570.99</v>
      </c>
      <c r="L159" s="0" t="str">
        <f aca="false">IF(A159="","",V43_New!EZ159)</f>
        <v/>
      </c>
      <c r="M159" s="0" t="str">
        <f aca="false">IF(A159="","",V43_New!FA159)</f>
        <v/>
      </c>
      <c r="N159" s="0" t="str">
        <f aca="false">IF(A159="","",V43_New!FB159)</f>
        <v/>
      </c>
      <c r="O159" s="0" t="str">
        <f aca="false">IF(A159="","",V43_New!FC159)</f>
        <v/>
      </c>
      <c r="P159" s="0" t="str">
        <f aca="false">IF(A159="","",V43_New!FD159)</f>
        <v/>
      </c>
      <c r="Q159" s="0" t="str">
        <f aca="false">IF(A159="","",V43_New!FE159)</f>
        <v/>
      </c>
      <c r="R159" s="0" t="str">
        <f aca="false">IF(A159="","",V43_New!FF159)</f>
        <v/>
      </c>
      <c r="S159" s="0" t="str">
        <f aca="false">IF(A159="","",V43_New!FG159)</f>
        <v/>
      </c>
      <c r="T159" s="0" t="str">
        <f aca="false">IF(A159="","",V43_New!FH159)</f>
        <v/>
      </c>
      <c r="U159" s="0" t="str">
        <f aca="false">IF(A159="","",V43_New!FI159)</f>
        <v/>
      </c>
      <c r="V159" s="0" t="str">
        <f aca="false">IF(A159="","",V43_New!FJ159)</f>
        <v/>
      </c>
      <c r="W159" s="0" t="str">
        <f aca="false">IF(A159="","",V43_New!FK159)</f>
        <v/>
      </c>
      <c r="X159" s="0" t="str">
        <f aca="false">IF(A159="","",V43_New!FL159)</f>
        <v/>
      </c>
      <c r="Y159" s="0" t="str">
        <f aca="false">IF(A159="","",V43_New!FM159)</f>
        <v/>
      </c>
      <c r="Z159" s="0" t="n">
        <f aca="false">IF(C160&lt;&gt;"",COUNT(C159:N159),0)</f>
        <v>3</v>
      </c>
      <c r="AA159" s="0" t="n">
        <f aca="false">IF(AND(O159="",P159="",Q159="",R159="",S159="",T159="",U159="",V159="",W159="",X159="",Y159=""),0,1)</f>
        <v>0</v>
      </c>
      <c r="AB159" s="15" t="n">
        <f aca="false">IF(OR(Z159&gt;=3,AA159=1),AVERAGE(C159:N159),"")</f>
        <v>4576.25666666667</v>
      </c>
    </row>
    <row r="160" customFormat="false" ht="14.25" hidden="false" customHeight="false" outlineLevel="0" collapsed="false">
      <c r="A160" s="0" t="n">
        <f aca="false">Timestamp_Adjustment!D160</f>
        <v>1779731100</v>
      </c>
      <c r="B160" s="0" t="n">
        <f aca="false">IF(A160="","",V43_New!D160)</f>
        <v>4565.14</v>
      </c>
      <c r="C160" s="0" t="n">
        <f aca="false">IF(A160="","",V43_New!F160)</f>
        <v>4563.4</v>
      </c>
      <c r="D160" s="0" t="str">
        <f aca="false">IF(A160="","",V43_New!ER160)</f>
        <v/>
      </c>
      <c r="E160" s="0" t="str">
        <f aca="false">IF(A160="","",V43_New!ES160)</f>
        <v/>
      </c>
      <c r="F160" s="0" t="str">
        <f aca="false">IF(A160="","",V43_New!ET160)</f>
        <v/>
      </c>
      <c r="G160" s="0" t="str">
        <f aca="false">IF(A160="","",V43_New!EU160)</f>
        <v/>
      </c>
      <c r="H160" s="0" t="str">
        <f aca="false">IF(A160="","",V43_New!EV160)</f>
        <v/>
      </c>
      <c r="I160" s="0" t="str">
        <f aca="false">IF(A160="","",V43_New!EW160)</f>
        <v/>
      </c>
      <c r="J160" s="0" t="str">
        <f aca="false">IF(A160="","",V43_New!EX160)</f>
        <v/>
      </c>
      <c r="K160" s="0" t="str">
        <f aca="false">IF(A160="","",V43_New!EY160)</f>
        <v/>
      </c>
      <c r="L160" s="0" t="str">
        <f aca="false">IF(A160="","",V43_New!EZ160)</f>
        <v/>
      </c>
      <c r="M160" s="0" t="str">
        <f aca="false">IF(A160="","",V43_New!FA160)</f>
        <v/>
      </c>
      <c r="N160" s="0" t="str">
        <f aca="false">IF(A160="","",V43_New!FB160)</f>
        <v/>
      </c>
      <c r="O160" s="0" t="str">
        <f aca="false">IF(A160="","",V43_New!FC160)</f>
        <v/>
      </c>
      <c r="P160" s="0" t="str">
        <f aca="false">IF(A160="","",V43_New!FD160)</f>
        <v/>
      </c>
      <c r="Q160" s="0" t="str">
        <f aca="false">IF(A160="","",V43_New!FE160)</f>
        <v/>
      </c>
      <c r="R160" s="0" t="str">
        <f aca="false">IF(A160="","",V43_New!FF160)</f>
        <v/>
      </c>
      <c r="S160" s="0" t="str">
        <f aca="false">IF(A160="","",V43_New!FG160)</f>
        <v/>
      </c>
      <c r="T160" s="0" t="str">
        <f aca="false">IF(A160="","",V43_New!FH160)</f>
        <v/>
      </c>
      <c r="U160" s="0" t="str">
        <f aca="false">IF(A160="","",V43_New!FI160)</f>
        <v/>
      </c>
      <c r="V160" s="0" t="str">
        <f aca="false">IF(A160="","",V43_New!FJ160)</f>
        <v/>
      </c>
      <c r="W160" s="0" t="str">
        <f aca="false">IF(A160="","",V43_New!FK160)</f>
        <v/>
      </c>
      <c r="X160" s="0" t="str">
        <f aca="false">IF(A160="","",V43_New!FL160)</f>
        <v/>
      </c>
      <c r="Y160" s="0" t="str">
        <f aca="false">IF(A160="","",V43_New!FM160)</f>
        <v/>
      </c>
      <c r="Z160" s="0" t="n">
        <f aca="false">IF(C161&lt;&gt;"",COUNT(C160:N160),0)</f>
        <v>1</v>
      </c>
      <c r="AA160" s="0" t="n">
        <f aca="false">IF(AND(O160="",P160="",Q160="",R160="",S160="",T160="",U160="",V160="",W160="",X160="",Y160=""),0,1)</f>
        <v>0</v>
      </c>
      <c r="AB160" s="15" t="str">
        <f aca="false">IF(OR(Z160&gt;=3,AA160=1),AVERAGE(C160:N160),"")</f>
        <v/>
      </c>
    </row>
    <row r="161" customFormat="false" ht="14.25" hidden="false" customHeight="false" outlineLevel="0" collapsed="false">
      <c r="A161" s="0" t="n">
        <f aca="false">Timestamp_Adjustment!D161</f>
        <v>1779750900</v>
      </c>
      <c r="B161" s="0" t="n">
        <f aca="false">IF(A161="","",V43_New!D161)</f>
        <v>4568.14</v>
      </c>
      <c r="C161" s="0" t="n">
        <f aca="false">IF(A161="","",V43_New!F161)</f>
        <v>4580.28</v>
      </c>
      <c r="D161" s="0" t="n">
        <f aca="false">IF(A161="","",V43_New!ER161)</f>
        <v>4577.8</v>
      </c>
      <c r="E161" s="0" t="str">
        <f aca="false">IF(A161="","",V43_New!ES161)</f>
        <v/>
      </c>
      <c r="F161" s="0" t="n">
        <f aca="false">IF(A161="","",V43_New!ET161)</f>
        <v>4579.98</v>
      </c>
      <c r="G161" s="0" t="str">
        <f aca="false">IF(A161="","",V43_New!EU161)</f>
        <v/>
      </c>
      <c r="H161" s="0" t="str">
        <f aca="false">IF(A161="","",V43_New!EV161)</f>
        <v/>
      </c>
      <c r="I161" s="0" t="str">
        <f aca="false">IF(A161="","",V43_New!EW161)</f>
        <v/>
      </c>
      <c r="J161" s="0" t="str">
        <f aca="false">IF(A161="","",V43_New!EX161)</f>
        <v/>
      </c>
      <c r="K161" s="0" t="str">
        <f aca="false">IF(A161="","",V43_New!EY161)</f>
        <v/>
      </c>
      <c r="L161" s="0" t="n">
        <f aca="false">IF(A161="","",V43_New!EZ161)</f>
        <v>4570.99</v>
      </c>
      <c r="M161" s="0" t="str">
        <f aca="false">IF(A161="","",V43_New!FA161)</f>
        <v/>
      </c>
      <c r="N161" s="0" t="str">
        <f aca="false">IF(A161="","",V43_New!FB161)</f>
        <v/>
      </c>
      <c r="O161" s="0" t="str">
        <f aca="false">IF(A161="","",V43_New!FC161)</f>
        <v/>
      </c>
      <c r="P161" s="0" t="str">
        <f aca="false">IF(A161="","",V43_New!FD161)</f>
        <v/>
      </c>
      <c r="Q161" s="0" t="str">
        <f aca="false">IF(A161="","",V43_New!FE161)</f>
        <v/>
      </c>
      <c r="R161" s="0" t="str">
        <f aca="false">IF(A161="","",V43_New!FF161)</f>
        <v/>
      </c>
      <c r="S161" s="0" t="str">
        <f aca="false">IF(A161="","",V43_New!FG161)</f>
        <v/>
      </c>
      <c r="T161" s="0" t="str">
        <f aca="false">IF(A161="","",V43_New!FH161)</f>
        <v/>
      </c>
      <c r="U161" s="0" t="str">
        <f aca="false">IF(A161="","",V43_New!FI161)</f>
        <v/>
      </c>
      <c r="V161" s="0" t="str">
        <f aca="false">IF(A161="","",V43_New!FJ161)</f>
        <v/>
      </c>
      <c r="W161" s="0" t="str">
        <f aca="false">IF(A161="","",V43_New!FK161)</f>
        <v/>
      </c>
      <c r="X161" s="0" t="str">
        <f aca="false">IF(A161="","",V43_New!FL161)</f>
        <v/>
      </c>
      <c r="Y161" s="0" t="str">
        <f aca="false">IF(A161="","",V43_New!FM161)</f>
        <v/>
      </c>
      <c r="Z161" s="0" t="n">
        <f aca="false">IF(C162&lt;&gt;"",COUNT(C161:N161),0)</f>
        <v>4</v>
      </c>
      <c r="AA161" s="0" t="n">
        <f aca="false">IF(AND(O161="",P161="",Q161="",R161="",S161="",T161="",U161="",V161="",W161="",X161="",Y161=""),0,1)</f>
        <v>0</v>
      </c>
      <c r="AB161" s="15" t="n">
        <f aca="false">IF(OR(Z161&gt;=3,AA161=1),AVERAGE(C161:N161),"")</f>
        <v>4577.2625</v>
      </c>
    </row>
    <row r="162" customFormat="false" ht="14.25" hidden="false" customHeight="false" outlineLevel="0" collapsed="false">
      <c r="A162" s="0" t="n">
        <f aca="false">Timestamp_Adjustment!D162</f>
        <v>1779780600</v>
      </c>
      <c r="B162" s="0" t="n">
        <f aca="false">IF(A162="","",V43_New!D162)</f>
        <v>4526.72</v>
      </c>
      <c r="C162" s="0" t="n">
        <f aca="false">IF(A162="","",V43_New!F162)</f>
        <v>4521.72</v>
      </c>
      <c r="D162" s="0" t="str">
        <f aca="false">IF(A162="","",V43_New!ER162)</f>
        <v/>
      </c>
      <c r="E162" s="0" t="str">
        <f aca="false">IF(A162="","",V43_New!ES162)</f>
        <v/>
      </c>
      <c r="F162" s="0" t="str">
        <f aca="false">IF(A162="","",V43_New!ET162)</f>
        <v/>
      </c>
      <c r="G162" s="0" t="str">
        <f aca="false">IF(A162="","",V43_New!EU162)</f>
        <v/>
      </c>
      <c r="H162" s="0" t="str">
        <f aca="false">IF(A162="","",V43_New!EV162)</f>
        <v/>
      </c>
      <c r="I162" s="0" t="str">
        <f aca="false">IF(A162="","",V43_New!EW162)</f>
        <v/>
      </c>
      <c r="J162" s="0" t="str">
        <f aca="false">IF(A162="","",V43_New!EX162)</f>
        <v/>
      </c>
      <c r="K162" s="0" t="str">
        <f aca="false">IF(A162="","",V43_New!EY162)</f>
        <v/>
      </c>
      <c r="L162" s="0" t="n">
        <f aca="false">IF(A162="","",V43_New!EZ162)</f>
        <v>4512.06</v>
      </c>
      <c r="M162" s="0" t="str">
        <f aca="false">IF(A162="","",V43_New!FA162)</f>
        <v/>
      </c>
      <c r="N162" s="0" t="str">
        <f aca="false">IF(A162="","",V43_New!FB162)</f>
        <v/>
      </c>
      <c r="O162" s="0" t="str">
        <f aca="false">IF(A162="","",V43_New!FC162)</f>
        <v/>
      </c>
      <c r="P162" s="0" t="str">
        <f aca="false">IF(A162="","",V43_New!FD162)</f>
        <v/>
      </c>
      <c r="Q162" s="0" t="str">
        <f aca="false">IF(A162="","",V43_New!FE162)</f>
        <v/>
      </c>
      <c r="R162" s="0" t="str">
        <f aca="false">IF(A162="","",V43_New!FF162)</f>
        <v/>
      </c>
      <c r="S162" s="0" t="str">
        <f aca="false">IF(A162="","",V43_New!FG162)</f>
        <v/>
      </c>
      <c r="T162" s="0" t="str">
        <f aca="false">IF(A162="","",V43_New!FH162)</f>
        <v/>
      </c>
      <c r="U162" s="0" t="str">
        <f aca="false">IF(A162="","",V43_New!FI162)</f>
        <v/>
      </c>
      <c r="V162" s="0" t="str">
        <f aca="false">IF(A162="","",V43_New!FJ162)</f>
        <v/>
      </c>
      <c r="W162" s="0" t="str">
        <f aca="false">IF(A162="","",V43_New!FK162)</f>
        <v/>
      </c>
      <c r="X162" s="0" t="str">
        <f aca="false">IF(A162="","",V43_New!FL162)</f>
        <v/>
      </c>
      <c r="Y162" s="0" t="str">
        <f aca="false">IF(A162="","",V43_New!FM162)</f>
        <v/>
      </c>
      <c r="Z162" s="0" t="n">
        <f aca="false">IF(C163&lt;&gt;"",COUNT(C162:N162),0)</f>
        <v>2</v>
      </c>
      <c r="AA162" s="0" t="n">
        <f aca="false">IF(AND(O162="",P162="",Q162="",R162="",S162="",T162="",U162="",V162="",W162="",X162="",Y162=""),0,1)</f>
        <v>0</v>
      </c>
      <c r="AB162" s="15" t="str">
        <f aca="false">IF(OR(Z162&gt;=3,AA162=1),AVERAGE(C162:N162),"")</f>
        <v/>
      </c>
    </row>
    <row r="163" customFormat="false" ht="14.25" hidden="false" customHeight="false" outlineLevel="0" collapsed="false">
      <c r="A163" s="0" t="n">
        <f aca="false">Timestamp_Adjustment!D163</f>
        <v>1779781500</v>
      </c>
      <c r="B163" s="0" t="n">
        <f aca="false">IF(A163="","",V43_New!D163)</f>
        <v>4538.23</v>
      </c>
      <c r="C163" s="0" t="n">
        <f aca="false">IF(A163="","",V43_New!F163)</f>
        <v>4539.01</v>
      </c>
      <c r="D163" s="0" t="str">
        <f aca="false">IF(A163="","",V43_New!ER163)</f>
        <v/>
      </c>
      <c r="E163" s="0" t="str">
        <f aca="false">IF(A163="","",V43_New!ES163)</f>
        <v/>
      </c>
      <c r="F163" s="0" t="str">
        <f aca="false">IF(A163="","",V43_New!ET163)</f>
        <v/>
      </c>
      <c r="G163" s="0" t="str">
        <f aca="false">IF(A163="","",V43_New!EU163)</f>
        <v/>
      </c>
      <c r="H163" s="0" t="str">
        <f aca="false">IF(A163="","",V43_New!EV163)</f>
        <v/>
      </c>
      <c r="I163" s="0" t="n">
        <f aca="false">IF(A163="","",V43_New!EW163)</f>
        <v>4536.83</v>
      </c>
      <c r="J163" s="0" t="str">
        <f aca="false">IF(A163="","",V43_New!EX163)</f>
        <v/>
      </c>
      <c r="K163" s="0" t="str">
        <f aca="false">IF(A163="","",V43_New!EY163)</f>
        <v/>
      </c>
      <c r="L163" s="0" t="str">
        <f aca="false">IF(A163="","",V43_New!EZ163)</f>
        <v/>
      </c>
      <c r="M163" s="0" t="str">
        <f aca="false">IF(A163="","",V43_New!FA163)</f>
        <v/>
      </c>
      <c r="N163" s="0" t="str">
        <f aca="false">IF(A163="","",V43_New!FB163)</f>
        <v/>
      </c>
      <c r="O163" s="0" t="str">
        <f aca="false">IF(A163="","",V43_New!FC163)</f>
        <v/>
      </c>
      <c r="P163" s="0" t="str">
        <f aca="false">IF(A163="","",V43_New!FD163)</f>
        <v/>
      </c>
      <c r="Q163" s="0" t="str">
        <f aca="false">IF(A163="","",V43_New!FE163)</f>
        <v/>
      </c>
      <c r="R163" s="0" t="str">
        <f aca="false">IF(A163="","",V43_New!FF163)</f>
        <v/>
      </c>
      <c r="S163" s="0" t="str">
        <f aca="false">IF(A163="","",V43_New!FG163)</f>
        <v/>
      </c>
      <c r="T163" s="0" t="str">
        <f aca="false">IF(A163="","",V43_New!FH163)</f>
        <v/>
      </c>
      <c r="U163" s="0" t="str">
        <f aca="false">IF(A163="","",V43_New!FI163)</f>
        <v/>
      </c>
      <c r="V163" s="0" t="str">
        <f aca="false">IF(A163="","",V43_New!FJ163)</f>
        <v/>
      </c>
      <c r="W163" s="0" t="str">
        <f aca="false">IF(A163="","",V43_New!FK163)</f>
        <v/>
      </c>
      <c r="X163" s="0" t="str">
        <f aca="false">IF(A163="","",V43_New!FL163)</f>
        <v/>
      </c>
      <c r="Y163" s="0" t="str">
        <f aca="false">IF(A163="","",V43_New!FM163)</f>
        <v/>
      </c>
      <c r="Z163" s="0" t="n">
        <f aca="false">IF(C164&lt;&gt;"",COUNT(C163:N163),0)</f>
        <v>2</v>
      </c>
      <c r="AA163" s="0" t="n">
        <f aca="false">IF(AND(O163="",P163="",Q163="",R163="",S163="",T163="",U163="",V163="",W163="",X163="",Y163=""),0,1)</f>
        <v>0</v>
      </c>
      <c r="AB163" s="15" t="str">
        <f aca="false">IF(OR(Z163&gt;=3,AA163=1),AVERAGE(C163:N163),"")</f>
        <v/>
      </c>
    </row>
    <row r="164" customFormat="false" ht="14.25" hidden="false" customHeight="false" outlineLevel="0" collapsed="false">
      <c r="A164" s="0" t="n">
        <f aca="false">Timestamp_Adjustment!D164</f>
        <v>1779787800</v>
      </c>
      <c r="B164" s="0" t="n">
        <f aca="false">IF(A164="","",V43_New!D164)</f>
        <v>4513.24</v>
      </c>
      <c r="C164" s="0" t="n">
        <f aca="false">IF(A164="","",V43_New!F164)</f>
        <v>4512.11</v>
      </c>
      <c r="D164" s="0" t="n">
        <f aca="false">IF(A164="","",V43_New!ER164)</f>
        <v>4521.72</v>
      </c>
      <c r="E164" s="0" t="str">
        <f aca="false">IF(A164="","",V43_New!ES164)</f>
        <v/>
      </c>
      <c r="F164" s="0" t="str">
        <f aca="false">IF(A164="","",V43_New!ET164)</f>
        <v/>
      </c>
      <c r="G164" s="0" t="str">
        <f aca="false">IF(A164="","",V43_New!EU164)</f>
        <v/>
      </c>
      <c r="H164" s="0" t="str">
        <f aca="false">IF(A164="","",V43_New!EV164)</f>
        <v/>
      </c>
      <c r="I164" s="0" t="str">
        <f aca="false">IF(A164="","",V43_New!EW164)</f>
        <v/>
      </c>
      <c r="J164" s="0" t="n">
        <f aca="false">IF(A164="","",V43_New!EX164)</f>
        <v>4507.44</v>
      </c>
      <c r="K164" s="0" t="str">
        <f aca="false">IF(A164="","",V43_New!EY164)</f>
        <v/>
      </c>
      <c r="L164" s="0" t="str">
        <f aca="false">IF(A164="","",V43_New!EZ164)</f>
        <v/>
      </c>
      <c r="M164" s="0" t="n">
        <f aca="false">IF(A164="","",V43_New!FA164)</f>
        <v>4512.06</v>
      </c>
      <c r="N164" s="0" t="str">
        <f aca="false">IF(A164="","",V43_New!FB164)</f>
        <v/>
      </c>
      <c r="O164" s="0" t="str">
        <f aca="false">IF(A164="","",V43_New!FC164)</f>
        <v/>
      </c>
      <c r="P164" s="0" t="str">
        <f aca="false">IF(A164="","",V43_New!FD164)</f>
        <v/>
      </c>
      <c r="Q164" s="0" t="str">
        <f aca="false">IF(A164="","",V43_New!FE164)</f>
        <v/>
      </c>
      <c r="R164" s="0" t="str">
        <f aca="false">IF(A164="","",V43_New!FF164)</f>
        <v/>
      </c>
      <c r="S164" s="0" t="str">
        <f aca="false">IF(A164="","",V43_New!FG164)</f>
        <v/>
      </c>
      <c r="T164" s="0" t="str">
        <f aca="false">IF(A164="","",V43_New!FH164)</f>
        <v/>
      </c>
      <c r="U164" s="0" t="str">
        <f aca="false">IF(A164="","",V43_New!FI164)</f>
        <v/>
      </c>
      <c r="V164" s="0" t="str">
        <f aca="false">IF(A164="","",V43_New!FJ164)</f>
        <v/>
      </c>
      <c r="W164" s="0" t="str">
        <f aca="false">IF(A164="","",V43_New!FK164)</f>
        <v/>
      </c>
      <c r="X164" s="0" t="str">
        <f aca="false">IF(A164="","",V43_New!FL164)</f>
        <v/>
      </c>
      <c r="Y164" s="0" t="str">
        <f aca="false">IF(A164="","",V43_New!FM164)</f>
        <v/>
      </c>
      <c r="Z164" s="0" t="n">
        <f aca="false">IF(C165&lt;&gt;"",COUNT(C164:N164),0)</f>
        <v>4</v>
      </c>
      <c r="AA164" s="0" t="n">
        <f aca="false">IF(AND(O164="",P164="",Q164="",R164="",S164="",T164="",U164="",V164="",W164="",X164="",Y164=""),0,1)</f>
        <v>0</v>
      </c>
      <c r="AB164" s="15" t="n">
        <f aca="false">IF(OR(Z164&gt;=3,AA164=1),AVERAGE(C164:N164),"")</f>
        <v>4513.3325</v>
      </c>
    </row>
    <row r="165" customFormat="false" ht="14.25" hidden="false" customHeight="false" outlineLevel="0" collapsed="false">
      <c r="A165" s="0" t="n">
        <f aca="false">Timestamp_Adjustment!D165</f>
        <v>1779792300</v>
      </c>
      <c r="B165" s="0" t="n">
        <f aca="false">IF(A165="","",V43_New!D165)</f>
        <v>4534.48</v>
      </c>
      <c r="C165" s="0" t="n">
        <f aca="false">IF(A165="","",V43_New!F165)</f>
        <v>4540.53</v>
      </c>
      <c r="D165" s="0" t="str">
        <f aca="false">IF(A165="","",V43_New!ER165)</f>
        <v/>
      </c>
      <c r="E165" s="0" t="str">
        <f aca="false">IF(A165="","",V43_New!ES165)</f>
        <v/>
      </c>
      <c r="F165" s="0" t="str">
        <f aca="false">IF(A165="","",V43_New!ET165)</f>
        <v/>
      </c>
      <c r="G165" s="0" t="str">
        <f aca="false">IF(A165="","",V43_New!EU165)</f>
        <v/>
      </c>
      <c r="H165" s="0" t="str">
        <f aca="false">IF(A165="","",V43_New!EV165)</f>
        <v/>
      </c>
      <c r="I165" s="0" t="str">
        <f aca="false">IF(A165="","",V43_New!EW165)</f>
        <v/>
      </c>
      <c r="J165" s="0" t="n">
        <f aca="false">IF(A165="","",V43_New!EX165)</f>
        <v>4536.83</v>
      </c>
      <c r="K165" s="0" t="str">
        <f aca="false">IF(A165="","",V43_New!EY165)</f>
        <v/>
      </c>
      <c r="L165" s="0" t="str">
        <f aca="false">IF(A165="","",V43_New!EZ165)</f>
        <v/>
      </c>
      <c r="M165" s="0" t="str">
        <f aca="false">IF(A165="","",V43_New!FA165)</f>
        <v/>
      </c>
      <c r="N165" s="0" t="str">
        <f aca="false">IF(A165="","",V43_New!FB165)</f>
        <v/>
      </c>
      <c r="O165" s="0" t="str">
        <f aca="false">IF(A165="","",V43_New!FC165)</f>
        <v/>
      </c>
      <c r="P165" s="0" t="str">
        <f aca="false">IF(A165="","",V43_New!FD165)</f>
        <v/>
      </c>
      <c r="Q165" s="0" t="str">
        <f aca="false">IF(A165="","",V43_New!FE165)</f>
        <v/>
      </c>
      <c r="R165" s="0" t="str">
        <f aca="false">IF(A165="","",V43_New!FF165)</f>
        <v/>
      </c>
      <c r="S165" s="0" t="str">
        <f aca="false">IF(A165="","",V43_New!FG165)</f>
        <v/>
      </c>
      <c r="T165" s="0" t="str">
        <f aca="false">IF(A165="","",V43_New!FH165)</f>
        <v/>
      </c>
      <c r="U165" s="0" t="str">
        <f aca="false">IF(A165="","",V43_New!FI165)</f>
        <v/>
      </c>
      <c r="V165" s="0" t="str">
        <f aca="false">IF(A165="","",V43_New!FJ165)</f>
        <v/>
      </c>
      <c r="W165" s="0" t="str">
        <f aca="false">IF(A165="","",V43_New!FK165)</f>
        <v/>
      </c>
      <c r="X165" s="0" t="str">
        <f aca="false">IF(A165="","",V43_New!FL165)</f>
        <v/>
      </c>
      <c r="Y165" s="0" t="str">
        <f aca="false">IF(A165="","",V43_New!FM165)</f>
        <v/>
      </c>
      <c r="Z165" s="0" t="n">
        <f aca="false">IF(C166&lt;&gt;"",COUNT(C165:N165),0)</f>
        <v>2</v>
      </c>
      <c r="AA165" s="0" t="n">
        <f aca="false">IF(AND(O165="",P165="",Q165="",R165="",S165="",T165="",U165="",V165="",W165="",X165="",Y165=""),0,1)</f>
        <v>0</v>
      </c>
      <c r="AB165" s="15" t="str">
        <f aca="false">IF(OR(Z165&gt;=3,AA165=1),AVERAGE(C165:N165),"")</f>
        <v/>
      </c>
    </row>
    <row r="166" customFormat="false" ht="14.25" hidden="false" customHeight="false" outlineLevel="0" collapsed="false">
      <c r="A166" s="0" t="n">
        <f aca="false">Timestamp_Adjustment!D166</f>
        <v>1779818400</v>
      </c>
      <c r="B166" s="0" t="n">
        <f aca="false">IF(A166="","",V43_New!D166)</f>
        <v>4487.11</v>
      </c>
      <c r="C166" s="0" t="n">
        <f aca="false">IF(A166="","",V43_New!F166)</f>
        <v>4482.74</v>
      </c>
      <c r="D166" s="0" t="str">
        <f aca="false">IF(A166="","",V43_New!ER166)</f>
        <v/>
      </c>
      <c r="E166" s="0" t="str">
        <f aca="false">IF(A166="","",V43_New!ES166)</f>
        <v/>
      </c>
      <c r="F166" s="0" t="str">
        <f aca="false">IF(A166="","",V43_New!ET166)</f>
        <v/>
      </c>
      <c r="G166" s="0" t="str">
        <f aca="false">IF(A166="","",V43_New!EU166)</f>
        <v/>
      </c>
      <c r="H166" s="0" t="str">
        <f aca="false">IF(A166="","",V43_New!EV166)</f>
        <v/>
      </c>
      <c r="I166" s="0" t="str">
        <f aca="false">IF(A166="","",V43_New!EW166)</f>
        <v/>
      </c>
      <c r="J166" s="0" t="n">
        <f aca="false">IF(A166="","",V43_New!EX166)</f>
        <v>4491.93</v>
      </c>
      <c r="K166" s="0" t="str">
        <f aca="false">IF(A166="","",V43_New!EY166)</f>
        <v/>
      </c>
      <c r="L166" s="0" t="str">
        <f aca="false">IF(A166="","",V43_New!EZ166)</f>
        <v/>
      </c>
      <c r="M166" s="0" t="n">
        <f aca="false">IF(A166="","",V43_New!FA166)</f>
        <v>4488.72</v>
      </c>
      <c r="N166" s="0" t="str">
        <f aca="false">IF(A166="","",V43_New!FB166)</f>
        <v/>
      </c>
      <c r="O166" s="0" t="str">
        <f aca="false">IF(A166="","",V43_New!FC166)</f>
        <v/>
      </c>
      <c r="P166" s="0" t="str">
        <f aca="false">IF(A166="","",V43_New!FD166)</f>
        <v/>
      </c>
      <c r="Q166" s="0" t="str">
        <f aca="false">IF(A166="","",V43_New!FE166)</f>
        <v/>
      </c>
      <c r="R166" s="0" t="str">
        <f aca="false">IF(A166="","",V43_New!FF166)</f>
        <v/>
      </c>
      <c r="S166" s="0" t="str">
        <f aca="false">IF(A166="","",V43_New!FG166)</f>
        <v/>
      </c>
      <c r="T166" s="0" t="str">
        <f aca="false">IF(A166="","",V43_New!FH166)</f>
        <v/>
      </c>
      <c r="U166" s="0" t="str">
        <f aca="false">IF(A166="","",V43_New!FI166)</f>
        <v/>
      </c>
      <c r="V166" s="0" t="str">
        <f aca="false">IF(A166="","",V43_New!FJ166)</f>
        <v/>
      </c>
      <c r="W166" s="0" t="str">
        <f aca="false">IF(A166="","",V43_New!FK166)</f>
        <v/>
      </c>
      <c r="X166" s="0" t="str">
        <f aca="false">IF(A166="","",V43_New!FL166)</f>
        <v/>
      </c>
      <c r="Y166" s="0" t="str">
        <f aca="false">IF(A166="","",V43_New!FM166)</f>
        <v/>
      </c>
      <c r="Z166" s="0" t="n">
        <f aca="false">IF(C167&lt;&gt;"",COUNT(C166:N166),0)</f>
        <v>3</v>
      </c>
      <c r="AA166" s="0" t="n">
        <f aca="false">IF(AND(O166="",P166="",Q166="",R166="",S166="",T166="",U166="",V166="",W166="",X166="",Y166=""),0,1)</f>
        <v>0</v>
      </c>
      <c r="AB166" s="15" t="n">
        <f aca="false">IF(OR(Z166&gt;=3,AA166=1),AVERAGE(C166:N166),"")</f>
        <v>4487.79666666667</v>
      </c>
    </row>
    <row r="167" customFormat="false" ht="14.25" hidden="false" customHeight="false" outlineLevel="0" collapsed="false">
      <c r="A167" s="0" t="n">
        <f aca="false">Timestamp_Adjustment!D167</f>
        <v>1779832800</v>
      </c>
      <c r="B167" s="0" t="n">
        <f aca="false">IF(A167="","",V43_New!D167)</f>
        <v>4504.89</v>
      </c>
      <c r="C167" s="0" t="n">
        <f aca="false">IF(A167="","",V43_New!F167)</f>
        <v>4537.84</v>
      </c>
      <c r="D167" s="0" t="n">
        <f aca="false">IF(A167="","",V43_New!ER167)</f>
        <v>4540.53</v>
      </c>
      <c r="E167" s="0" t="str">
        <f aca="false">IF(A167="","",V43_New!ES167)</f>
        <v/>
      </c>
      <c r="F167" s="0" t="str">
        <f aca="false">IF(A167="","",V43_New!ET167)</f>
        <v/>
      </c>
      <c r="G167" s="0" t="str">
        <f aca="false">IF(A167="","",V43_New!EU167)</f>
        <v/>
      </c>
      <c r="H167" s="0" t="str">
        <f aca="false">IF(A167="","",V43_New!EV167)</f>
        <v/>
      </c>
      <c r="I167" s="0" t="str">
        <f aca="false">IF(A167="","",V43_New!EW167)</f>
        <v/>
      </c>
      <c r="J167" s="0" t="str">
        <f aca="false">IF(A167="","",V43_New!EX167)</f>
        <v/>
      </c>
      <c r="K167" s="0" t="n">
        <f aca="false">IF(A167="","",V43_New!EY167)</f>
        <v>4536.83</v>
      </c>
      <c r="L167" s="0" t="str">
        <f aca="false">IF(A167="","",V43_New!EZ167)</f>
        <v/>
      </c>
      <c r="M167" s="0" t="str">
        <f aca="false">IF(A167="","",V43_New!FA167)</f>
        <v/>
      </c>
      <c r="N167" s="0" t="str">
        <f aca="false">IF(A167="","",V43_New!FB167)</f>
        <v/>
      </c>
      <c r="O167" s="0" t="str">
        <f aca="false">IF(A167="","",V43_New!FC167)</f>
        <v/>
      </c>
      <c r="P167" s="0" t="str">
        <f aca="false">IF(A167="","",V43_New!FD167)</f>
        <v/>
      </c>
      <c r="Q167" s="0" t="str">
        <f aca="false">IF(A167="","",V43_New!FE167)</f>
        <v/>
      </c>
      <c r="R167" s="0" t="str">
        <f aca="false">IF(A167="","",V43_New!FF167)</f>
        <v/>
      </c>
      <c r="S167" s="0" t="str">
        <f aca="false">IF(A167="","",V43_New!FG167)</f>
        <v/>
      </c>
      <c r="T167" s="0" t="str">
        <f aca="false">IF(A167="","",V43_New!FH167)</f>
        <v/>
      </c>
      <c r="U167" s="0" t="str">
        <f aca="false">IF(A167="","",V43_New!FI167)</f>
        <v/>
      </c>
      <c r="V167" s="0" t="str">
        <f aca="false">IF(A167="","",V43_New!FJ167)</f>
        <v/>
      </c>
      <c r="W167" s="0" t="str">
        <f aca="false">IF(A167="","",V43_New!FK167)</f>
        <v/>
      </c>
      <c r="X167" s="0" t="str">
        <f aca="false">IF(A167="","",V43_New!FL167)</f>
        <v/>
      </c>
      <c r="Y167" s="0" t="str">
        <f aca="false">IF(A167="","",V43_New!FM167)</f>
        <v/>
      </c>
      <c r="Z167" s="0" t="n">
        <f aca="false">IF(C168&lt;&gt;"",COUNT(C167:N167),0)</f>
        <v>3</v>
      </c>
      <c r="AA167" s="0" t="n">
        <f aca="false">IF(AND(O167="",P167="",Q167="",R167="",S167="",T167="",U167="",V167="",W167="",X167="",Y167=""),0,1)</f>
        <v>0</v>
      </c>
      <c r="AB167" s="15" t="n">
        <f aca="false">IF(OR(Z167&gt;=3,AA167=1),AVERAGE(C167:N167),"")</f>
        <v>4538.4</v>
      </c>
    </row>
    <row r="168" customFormat="false" ht="14.25" hidden="false" customHeight="false" outlineLevel="0" collapsed="false">
      <c r="A168" s="0" t="n">
        <f aca="false">Timestamp_Adjustment!D168</f>
        <v>1779854400</v>
      </c>
      <c r="B168" s="0" t="n">
        <f aca="false">IF(A168="","",V43_New!D168)</f>
        <v>4503.18</v>
      </c>
      <c r="C168" s="0" t="n">
        <f aca="false">IF(A168="","",V43_New!F168)</f>
        <v>4495.97</v>
      </c>
      <c r="D168" s="0" t="str">
        <f aca="false">IF(A168="","",V43_New!ER168)</f>
        <v/>
      </c>
      <c r="E168" s="0" t="str">
        <f aca="false">IF(A168="","",V43_New!ES168)</f>
        <v/>
      </c>
      <c r="F168" s="0" t="str">
        <f aca="false">IF(A168="","",V43_New!ET168)</f>
        <v/>
      </c>
      <c r="G168" s="0" t="str">
        <f aca="false">IF(A168="","",V43_New!EU168)</f>
        <v/>
      </c>
      <c r="H168" s="0" t="str">
        <f aca="false">IF(A168="","",V43_New!EV168)</f>
        <v/>
      </c>
      <c r="I168" s="0" t="str">
        <f aca="false">IF(A168="","",V43_New!EW168)</f>
        <v/>
      </c>
      <c r="J168" s="0" t="str">
        <f aca="false">IF(A168="","",V43_New!EX168)</f>
        <v/>
      </c>
      <c r="K168" s="0" t="n">
        <f aca="false">IF(A168="","",V43_New!EY168)</f>
        <v>4491.93</v>
      </c>
      <c r="L168" s="0" t="str">
        <f aca="false">IF(A168="","",V43_New!EZ168)</f>
        <v/>
      </c>
      <c r="M168" s="0" t="str">
        <f aca="false">IF(A168="","",V43_New!FA168)</f>
        <v/>
      </c>
      <c r="N168" s="0" t="n">
        <f aca="false">IF(A168="","",V43_New!FB168)</f>
        <v>4488.72</v>
      </c>
      <c r="O168" s="0" t="str">
        <f aca="false">IF(A168="","",V43_New!FC168)</f>
        <v/>
      </c>
      <c r="P168" s="0" t="str">
        <f aca="false">IF(A168="","",V43_New!FD168)</f>
        <v/>
      </c>
      <c r="Q168" s="0" t="str">
        <f aca="false">IF(A168="","",V43_New!FE168)</f>
        <v/>
      </c>
      <c r="R168" s="0" t="str">
        <f aca="false">IF(A168="","",V43_New!FF168)</f>
        <v/>
      </c>
      <c r="S168" s="0" t="str">
        <f aca="false">IF(A168="","",V43_New!FG168)</f>
        <v/>
      </c>
      <c r="T168" s="0" t="str">
        <f aca="false">IF(A168="","",V43_New!FH168)</f>
        <v/>
      </c>
      <c r="U168" s="0" t="str">
        <f aca="false">IF(A168="","",V43_New!FI168)</f>
        <v/>
      </c>
      <c r="V168" s="0" t="str">
        <f aca="false">IF(A168="","",V43_New!FJ168)</f>
        <v/>
      </c>
      <c r="W168" s="0" t="str">
        <f aca="false">IF(A168="","",V43_New!FK168)</f>
        <v/>
      </c>
      <c r="X168" s="0" t="str">
        <f aca="false">IF(A168="","",V43_New!FL168)</f>
        <v/>
      </c>
      <c r="Y168" s="0" t="str">
        <f aca="false">IF(A168="","",V43_New!FM168)</f>
        <v/>
      </c>
      <c r="Z168" s="0" t="n">
        <f aca="false">IF(C169&lt;&gt;"",COUNT(C168:N168),0)</f>
        <v>3</v>
      </c>
      <c r="AA168" s="0" t="n">
        <f aca="false">IF(AND(O168="",P168="",Q168="",R168="",S168="",T168="",U168="",V168="",W168="",X168="",Y168=""),0,1)</f>
        <v>0</v>
      </c>
      <c r="AB168" s="15" t="n">
        <f aca="false">IF(OR(Z168&gt;=3,AA168=1),AVERAGE(C168:N168),"")</f>
        <v>4492.20666666667</v>
      </c>
    </row>
    <row r="169" customFormat="false" ht="14.25" hidden="false" customHeight="false" outlineLevel="0" collapsed="false">
      <c r="A169" s="0" t="n">
        <f aca="false">Timestamp_Adjustment!D169</f>
        <v>1779857100</v>
      </c>
      <c r="B169" s="0" t="n">
        <f aca="false">IF(A169="","",V43_New!D169)</f>
        <v>4510.11</v>
      </c>
      <c r="C169" s="0" t="n">
        <f aca="false">IF(A169="","",V43_New!F169)</f>
        <v>4517.18</v>
      </c>
      <c r="D169" s="0" t="str">
        <f aca="false">IF(A169="","",V43_New!ER169)</f>
        <v/>
      </c>
      <c r="E169" s="0" t="str">
        <f aca="false">IF(A169="","",V43_New!ES169)</f>
        <v/>
      </c>
      <c r="F169" s="0" t="str">
        <f aca="false">IF(A169="","",V43_New!ET169)</f>
        <v/>
      </c>
      <c r="G169" s="0" t="str">
        <f aca="false">IF(A169="","",V43_New!EU169)</f>
        <v/>
      </c>
      <c r="H169" s="0" t="str">
        <f aca="false">IF(A169="","",V43_New!EV169)</f>
        <v/>
      </c>
      <c r="I169" s="0" t="str">
        <f aca="false">IF(A169="","",V43_New!EW169)</f>
        <v/>
      </c>
      <c r="J169" s="0" t="str">
        <f aca="false">IF(A169="","",V43_New!EX169)</f>
        <v/>
      </c>
      <c r="K169" s="0" t="str">
        <f aca="false">IF(A169="","",V43_New!EY169)</f>
        <v/>
      </c>
      <c r="L169" s="0" t="str">
        <f aca="false">IF(A169="","",V43_New!EZ169)</f>
        <v/>
      </c>
      <c r="M169" s="0" t="str">
        <f aca="false">IF(A169="","",V43_New!FA169)</f>
        <v/>
      </c>
      <c r="N169" s="0" t="str">
        <f aca="false">IF(A169="","",V43_New!FB169)</f>
        <v/>
      </c>
      <c r="O169" s="0" t="str">
        <f aca="false">IF(A169="","",V43_New!FC169)</f>
        <v/>
      </c>
      <c r="P169" s="0" t="str">
        <f aca="false">IF(A169="","",V43_New!FD169)</f>
        <v/>
      </c>
      <c r="Q169" s="0" t="str">
        <f aca="false">IF(A169="","",V43_New!FE169)</f>
        <v/>
      </c>
      <c r="R169" s="0" t="str">
        <f aca="false">IF(A169="","",V43_New!FF169)</f>
        <v/>
      </c>
      <c r="S169" s="0" t="str">
        <f aca="false">IF(A169="","",V43_New!FG169)</f>
        <v/>
      </c>
      <c r="T169" s="0" t="str">
        <f aca="false">IF(A169="","",V43_New!FH169)</f>
        <v/>
      </c>
      <c r="U169" s="0" t="str">
        <f aca="false">IF(A169="","",V43_New!FI169)</f>
        <v/>
      </c>
      <c r="V169" s="0" t="str">
        <f aca="false">IF(A169="","",V43_New!FJ169)</f>
        <v/>
      </c>
      <c r="W169" s="0" t="str">
        <f aca="false">IF(A169="","",V43_New!FK169)</f>
        <v/>
      </c>
      <c r="X169" s="0" t="str">
        <f aca="false">IF(A169="","",V43_New!FL169)</f>
        <v/>
      </c>
      <c r="Y169" s="0" t="str">
        <f aca="false">IF(A169="","",V43_New!FM169)</f>
        <v/>
      </c>
      <c r="Z169" s="0" t="n">
        <f aca="false">IF(C170&lt;&gt;"",COUNT(C169:N169),0)</f>
        <v>1</v>
      </c>
      <c r="AA169" s="0" t="n">
        <f aca="false">IF(AND(O169="",P169="",Q169="",R169="",S169="",T169="",U169="",V169="",W169="",X169="",Y169=""),0,1)</f>
        <v>0</v>
      </c>
      <c r="AB169" s="15" t="str">
        <f aca="false">IF(OR(Z169&gt;=3,AA169=1),AVERAGE(C169:N169),"")</f>
        <v/>
      </c>
    </row>
    <row r="170" customFormat="false" ht="14.25" hidden="false" customHeight="false" outlineLevel="0" collapsed="false">
      <c r="A170" s="0" t="n">
        <f aca="false">Timestamp_Adjustment!D170</f>
        <v>1779887700</v>
      </c>
      <c r="B170" s="0" t="n">
        <f aca="false">IF(A170="","",V43_New!D170)</f>
        <v>4404.89</v>
      </c>
      <c r="C170" s="0" t="n">
        <f aca="false">IF(A170="","",V43_New!F170)</f>
        <v>4401.5</v>
      </c>
      <c r="D170" s="0" t="str">
        <f aca="false">IF(A170="","",V43_New!ER170)</f>
        <v/>
      </c>
      <c r="E170" s="0" t="str">
        <f aca="false">IF(A170="","",V43_New!ES170)</f>
        <v/>
      </c>
      <c r="F170" s="0" t="str">
        <f aca="false">IF(A170="","",V43_New!ET170)</f>
        <v/>
      </c>
      <c r="G170" s="0" t="str">
        <f aca="false">IF(A170="","",V43_New!EU170)</f>
        <v/>
      </c>
      <c r="H170" s="0" t="str">
        <f aca="false">IF(A170="","",V43_New!EV170)</f>
        <v/>
      </c>
      <c r="I170" s="0" t="str">
        <f aca="false">IF(A170="","",V43_New!EW170)</f>
        <v/>
      </c>
      <c r="J170" s="0" t="str">
        <f aca="false">IF(A170="","",V43_New!EX170)</f>
        <v/>
      </c>
      <c r="K170" s="0" t="str">
        <f aca="false">IF(A170="","",V43_New!EY170)</f>
        <v/>
      </c>
      <c r="L170" s="0" t="str">
        <f aca="false">IF(A170="","",V43_New!EZ170)</f>
        <v/>
      </c>
      <c r="M170" s="0" t="str">
        <f aca="false">IF(A170="","",V43_New!FA170)</f>
        <v/>
      </c>
      <c r="N170" s="0" t="str">
        <f aca="false">IF(A170="","",V43_New!FB170)</f>
        <v/>
      </c>
      <c r="O170" s="0" t="str">
        <f aca="false">IF(A170="","",V43_New!FC170)</f>
        <v/>
      </c>
      <c r="P170" s="0" t="str">
        <f aca="false">IF(A170="","",V43_New!FD170)</f>
        <v/>
      </c>
      <c r="Q170" s="0" t="str">
        <f aca="false">IF(A170="","",V43_New!FE170)</f>
        <v/>
      </c>
      <c r="R170" s="0" t="str">
        <f aca="false">IF(A170="","",V43_New!FF170)</f>
        <v/>
      </c>
      <c r="S170" s="0" t="str">
        <f aca="false">IF(A170="","",V43_New!FG170)</f>
        <v/>
      </c>
      <c r="T170" s="0" t="str">
        <f aca="false">IF(A170="","",V43_New!FH170)</f>
        <v/>
      </c>
      <c r="U170" s="0" t="str">
        <f aca="false">IF(A170="","",V43_New!FI170)</f>
        <v/>
      </c>
      <c r="V170" s="0" t="str">
        <f aca="false">IF(A170="","",V43_New!FJ170)</f>
        <v/>
      </c>
      <c r="W170" s="0" t="str">
        <f aca="false">IF(A170="","",V43_New!FK170)</f>
        <v/>
      </c>
      <c r="X170" s="0" t="str">
        <f aca="false">IF(A170="","",V43_New!FL170)</f>
        <v/>
      </c>
      <c r="Y170" s="0" t="str">
        <f aca="false">IF(A170="","",V43_New!FM170)</f>
        <v/>
      </c>
      <c r="Z170" s="0" t="n">
        <f aca="false">IF(C171&lt;&gt;"",COUNT(C170:N170),0)</f>
        <v>1</v>
      </c>
      <c r="AA170" s="0" t="n">
        <f aca="false">IF(AND(O170="",P170="",Q170="",R170="",S170="",T170="",U170="",V170="",W170="",X170="",Y170=""),0,1)</f>
        <v>0</v>
      </c>
      <c r="AB170" s="15" t="str">
        <f aca="false">IF(OR(Z170&gt;=3,AA170=1),AVERAGE(C170:N170),"")</f>
        <v/>
      </c>
    </row>
    <row r="171" customFormat="false" ht="14.25" hidden="false" customHeight="false" outlineLevel="0" collapsed="false">
      <c r="A171" s="0" t="n">
        <f aca="false">Timestamp_Adjustment!D171</f>
        <v>1779919200</v>
      </c>
      <c r="B171" s="0" t="n">
        <f aca="false">IF(A171="","",V43_New!D171)</f>
        <v>4457.94</v>
      </c>
      <c r="C171" s="0" t="n">
        <f aca="false">IF(A171="","",V43_New!F171)</f>
        <v>4465.92</v>
      </c>
      <c r="D171" s="0" t="str">
        <f aca="false">IF(A171="","",V43_New!ER171)</f>
        <v/>
      </c>
      <c r="E171" s="0" t="str">
        <f aca="false">IF(A171="","",V43_New!ES171)</f>
        <v/>
      </c>
      <c r="F171" s="0" t="str">
        <f aca="false">IF(A171="","",V43_New!ET171)</f>
        <v/>
      </c>
      <c r="G171" s="0" t="str">
        <f aca="false">IF(A171="","",V43_New!EU171)</f>
        <v/>
      </c>
      <c r="H171" s="0" t="str">
        <f aca="false">IF(A171="","",V43_New!EV171)</f>
        <v/>
      </c>
      <c r="I171" s="0" t="str">
        <f aca="false">IF(A171="","",V43_New!EW171)</f>
        <v/>
      </c>
      <c r="J171" s="0" t="str">
        <f aca="false">IF(A171="","",V43_New!EX171)</f>
        <v/>
      </c>
      <c r="K171" s="0" t="str">
        <f aca="false">IF(A171="","",V43_New!EY171)</f>
        <v/>
      </c>
      <c r="L171" s="0" t="str">
        <f aca="false">IF(A171="","",V43_New!EZ171)</f>
        <v/>
      </c>
      <c r="M171" s="0" t="str">
        <f aca="false">IF(A171="","",V43_New!FA171)</f>
        <v/>
      </c>
      <c r="N171" s="0" t="str">
        <f aca="false">IF(A171="","",V43_New!FB171)</f>
        <v/>
      </c>
      <c r="O171" s="0" t="str">
        <f aca="false">IF(A171="","",V43_New!FC171)</f>
        <v/>
      </c>
      <c r="P171" s="0" t="str">
        <f aca="false">IF(A171="","",V43_New!FD171)</f>
        <v/>
      </c>
      <c r="Q171" s="0" t="str">
        <f aca="false">IF(A171="","",V43_New!FE171)</f>
        <v/>
      </c>
      <c r="R171" s="0" t="str">
        <f aca="false">IF(A171="","",V43_New!FF171)</f>
        <v/>
      </c>
      <c r="S171" s="0" t="str">
        <f aca="false">IF(A171="","",V43_New!FG171)</f>
        <v/>
      </c>
      <c r="T171" s="0" t="str">
        <f aca="false">IF(A171="","",V43_New!FH171)</f>
        <v/>
      </c>
      <c r="U171" s="0" t="str">
        <f aca="false">IF(A171="","",V43_New!FI171)</f>
        <v/>
      </c>
      <c r="V171" s="0" t="str">
        <f aca="false">IF(A171="","",V43_New!FJ171)</f>
        <v/>
      </c>
      <c r="W171" s="0" t="str">
        <f aca="false">IF(A171="","",V43_New!FK171)</f>
        <v/>
      </c>
      <c r="X171" s="0" t="str">
        <f aca="false">IF(A171="","",V43_New!FL171)</f>
        <v/>
      </c>
      <c r="Y171" s="0" t="str">
        <f aca="false">IF(A171="","",V43_New!FM171)</f>
        <v/>
      </c>
      <c r="Z171" s="0" t="n">
        <f aca="false">IF(C172&lt;&gt;"",COUNT(C171:N171),0)</f>
        <v>1</v>
      </c>
      <c r="AA171" s="0" t="n">
        <f aca="false">IF(AND(O171="",P171="",Q171="",R171="",S171="",T171="",U171="",V171="",W171="",X171="",Y171=""),0,1)</f>
        <v>0</v>
      </c>
      <c r="AB171" s="15" t="str">
        <f aca="false">IF(OR(Z171&gt;=3,AA171=1),AVERAGE(C171:N171),"")</f>
        <v/>
      </c>
    </row>
    <row r="172" customFormat="false" ht="14.25" hidden="false" customHeight="false" outlineLevel="0" collapsed="false">
      <c r="A172" s="0" t="n">
        <f aca="false">Timestamp_Adjustment!D172</f>
        <v>1779941700</v>
      </c>
      <c r="B172" s="0" t="n">
        <f aca="false">IF(A172="","",V43_New!D172)</f>
        <v>4368.47</v>
      </c>
      <c r="C172" s="0" t="n">
        <f aca="false">IF(A172="","",V43_New!F172)</f>
        <v>4366.32</v>
      </c>
      <c r="D172" s="0" t="str">
        <f aca="false">IF(A172="","",V43_New!ER172)</f>
        <v/>
      </c>
      <c r="E172" s="0" t="str">
        <f aca="false">IF(A172="","",V43_New!ES172)</f>
        <v/>
      </c>
      <c r="F172" s="0" t="str">
        <f aca="false">IF(A172="","",V43_New!ET172)</f>
        <v/>
      </c>
      <c r="G172" s="0" t="str">
        <f aca="false">IF(A172="","",V43_New!EU172)</f>
        <v/>
      </c>
      <c r="H172" s="0" t="str">
        <f aca="false">IF(A172="","",V43_New!EV172)</f>
        <v/>
      </c>
      <c r="I172" s="0" t="str">
        <f aca="false">IF(A172="","",V43_New!EW172)</f>
        <v/>
      </c>
      <c r="J172" s="0" t="str">
        <f aca="false">IF(A172="","",V43_New!EX172)</f>
        <v/>
      </c>
      <c r="K172" s="0" t="str">
        <f aca="false">IF(A172="","",V43_New!EY172)</f>
        <v/>
      </c>
      <c r="L172" s="0" t="str">
        <f aca="false">IF(A172="","",V43_New!EZ172)</f>
        <v/>
      </c>
      <c r="M172" s="0" t="str">
        <f aca="false">IF(A172="","",V43_New!FA172)</f>
        <v/>
      </c>
      <c r="N172" s="0" t="str">
        <f aca="false">IF(A172="","",V43_New!FB172)</f>
        <v/>
      </c>
      <c r="O172" s="0" t="str">
        <f aca="false">IF(A172="","",V43_New!FC172)</f>
        <v/>
      </c>
      <c r="P172" s="0" t="str">
        <f aca="false">IF(A172="","",V43_New!FD172)</f>
        <v/>
      </c>
      <c r="Q172" s="0" t="str">
        <f aca="false">IF(A172="","",V43_New!FE172)</f>
        <v/>
      </c>
      <c r="R172" s="0" t="str">
        <f aca="false">IF(A172="","",V43_New!FF172)</f>
        <v/>
      </c>
      <c r="S172" s="0" t="str">
        <f aca="false">IF(A172="","",V43_New!FG172)</f>
        <v/>
      </c>
      <c r="T172" s="0" t="str">
        <f aca="false">IF(A172="","",V43_New!FH172)</f>
        <v/>
      </c>
      <c r="U172" s="0" t="str">
        <f aca="false">IF(A172="","",V43_New!FI172)</f>
        <v/>
      </c>
      <c r="V172" s="0" t="str">
        <f aca="false">IF(A172="","",V43_New!FJ172)</f>
        <v/>
      </c>
      <c r="W172" s="0" t="str">
        <f aca="false">IF(A172="","",V43_New!FK172)</f>
        <v/>
      </c>
      <c r="X172" s="0" t="str">
        <f aca="false">IF(A172="","",V43_New!FL172)</f>
        <v/>
      </c>
      <c r="Y172" s="0" t="str">
        <f aca="false">IF(A172="","",V43_New!FM172)</f>
        <v/>
      </c>
      <c r="Z172" s="0" t="n">
        <f aca="false">IF(C173&lt;&gt;"",COUNT(C172:N172),0)</f>
        <v>1</v>
      </c>
      <c r="AA172" s="0" t="n">
        <f aca="false">IF(AND(O172="",P172="",Q172="",R172="",S172="",T172="",U172="",V172="",W172="",X172="",Y172=""),0,1)</f>
        <v>0</v>
      </c>
      <c r="AB172" s="15" t="str">
        <f aca="false">IF(OR(Z172&gt;=3,AA172=1),AVERAGE(C172:N172),"")</f>
        <v/>
      </c>
    </row>
    <row r="173" customFormat="false" ht="14.25" hidden="false" customHeight="false" outlineLevel="0" collapsed="false">
      <c r="A173" s="0" t="n">
        <f aca="false">Timestamp_Adjustment!D173</f>
        <v>1779962400</v>
      </c>
      <c r="B173" s="0" t="n">
        <f aca="false">IF(A173="","",V43_New!D173)</f>
        <v>4399.34</v>
      </c>
      <c r="C173" s="0" t="n">
        <f aca="false">IF(A173="","",V43_New!F173)</f>
        <v>4404.43</v>
      </c>
      <c r="D173" s="0" t="str">
        <f aca="false">IF(A173="","",V43_New!ER173)</f>
        <v/>
      </c>
      <c r="E173" s="0" t="str">
        <f aca="false">IF(A173="","",V43_New!ES173)</f>
        <v/>
      </c>
      <c r="F173" s="0" t="str">
        <f aca="false">IF(A173="","",V43_New!ET173)</f>
        <v/>
      </c>
      <c r="G173" s="0" t="str">
        <f aca="false">IF(A173="","",V43_New!EU173)</f>
        <v/>
      </c>
      <c r="H173" s="0" t="str">
        <f aca="false">IF(A173="","",V43_New!EV173)</f>
        <v/>
      </c>
      <c r="I173" s="0" t="str">
        <f aca="false">IF(A173="","",V43_New!EW173)</f>
        <v/>
      </c>
      <c r="J173" s="0" t="str">
        <f aca="false">IF(A173="","",V43_New!EX173)</f>
        <v/>
      </c>
      <c r="K173" s="0" t="str">
        <f aca="false">IF(A173="","",V43_New!EY173)</f>
        <v/>
      </c>
      <c r="L173" s="0" t="str">
        <f aca="false">IF(A173="","",V43_New!EZ173)</f>
        <v/>
      </c>
      <c r="M173" s="0" t="str">
        <f aca="false">IF(A173="","",V43_New!FA173)</f>
        <v/>
      </c>
      <c r="N173" s="0" t="str">
        <f aca="false">IF(A173="","",V43_New!FB173)</f>
        <v/>
      </c>
      <c r="O173" s="0" t="str">
        <f aca="false">IF(A173="","",V43_New!FC173)</f>
        <v/>
      </c>
      <c r="P173" s="0" t="str">
        <f aca="false">IF(A173="","",V43_New!FD173)</f>
        <v/>
      </c>
      <c r="Q173" s="0" t="str">
        <f aca="false">IF(A173="","",V43_New!FE173)</f>
        <v/>
      </c>
      <c r="R173" s="0" t="str">
        <f aca="false">IF(A173="","",V43_New!FF173)</f>
        <v/>
      </c>
      <c r="S173" s="0" t="str">
        <f aca="false">IF(A173="","",V43_New!FG173)</f>
        <v/>
      </c>
      <c r="T173" s="0" t="str">
        <f aca="false">IF(A173="","",V43_New!FH173)</f>
        <v/>
      </c>
      <c r="U173" s="0" t="str">
        <f aca="false">IF(A173="","",V43_New!FI173)</f>
        <v/>
      </c>
      <c r="V173" s="0" t="str">
        <f aca="false">IF(A173="","",V43_New!FJ173)</f>
        <v/>
      </c>
      <c r="W173" s="0" t="str">
        <f aca="false">IF(A173="","",V43_New!FK173)</f>
        <v/>
      </c>
      <c r="X173" s="0" t="str">
        <f aca="false">IF(A173="","",V43_New!FL173)</f>
        <v/>
      </c>
      <c r="Y173" s="0" t="str">
        <f aca="false">IF(A173="","",V43_New!FM173)</f>
        <v/>
      </c>
      <c r="Z173" s="0" t="n">
        <f aca="false">IF(C174&lt;&gt;"",COUNT(C173:N173),0)</f>
        <v>1</v>
      </c>
      <c r="AA173" s="0" t="n">
        <f aca="false">IF(AND(O173="",P173="",Q173="",R173="",S173="",T173="",U173="",V173="",W173="",X173="",Y173=""),0,1)</f>
        <v>0</v>
      </c>
      <c r="AB173" s="15" t="str">
        <f aca="false">IF(OR(Z173&gt;=3,AA173=1),AVERAGE(C173:N173),"")</f>
        <v/>
      </c>
    </row>
    <row r="174" customFormat="false" ht="14.25" hidden="false" customHeight="false" outlineLevel="0" collapsed="false">
      <c r="A174" s="0" t="n">
        <f aca="false">Timestamp_Adjustment!D174</f>
        <v>1779965100</v>
      </c>
      <c r="B174" s="0" t="n">
        <f aca="false">IF(A174="","",V43_New!D174)</f>
        <v>4382.96</v>
      </c>
      <c r="C174" s="0" t="n">
        <f aca="false">IF(A174="","",V43_New!F174)</f>
        <v>4375.47</v>
      </c>
      <c r="D174" s="0" t="n">
        <f aca="false">IF(A174="","",V43_New!ER174)</f>
        <v>4366.32</v>
      </c>
      <c r="E174" s="0" t="str">
        <f aca="false">IF(A174="","",V43_New!ES174)</f>
        <v/>
      </c>
      <c r="F174" s="0" t="str">
        <f aca="false">IF(A174="","",V43_New!ET174)</f>
        <v/>
      </c>
      <c r="G174" s="0" t="str">
        <f aca="false">IF(A174="","",V43_New!EU174)</f>
        <v/>
      </c>
      <c r="H174" s="0" t="str">
        <f aca="false">IF(A174="","",V43_New!EV174)</f>
        <v/>
      </c>
      <c r="I174" s="0" t="str">
        <f aca="false">IF(A174="","",V43_New!EW174)</f>
        <v/>
      </c>
      <c r="J174" s="0" t="str">
        <f aca="false">IF(A174="","",V43_New!EX174)</f>
        <v/>
      </c>
      <c r="K174" s="0" t="str">
        <f aca="false">IF(A174="","",V43_New!EY174)</f>
        <v/>
      </c>
      <c r="L174" s="0" t="str">
        <f aca="false">IF(A174="","",V43_New!EZ174)</f>
        <v/>
      </c>
      <c r="M174" s="0" t="str">
        <f aca="false">IF(A174="","",V43_New!FA174)</f>
        <v/>
      </c>
      <c r="N174" s="0" t="str">
        <f aca="false">IF(A174="","",V43_New!FB174)</f>
        <v/>
      </c>
      <c r="O174" s="0" t="str">
        <f aca="false">IF(A174="","",V43_New!FC174)</f>
        <v>IEQL</v>
      </c>
      <c r="P174" s="0" t="str">
        <f aca="false">IF(A174="","",V43_New!FD174)</f>
        <v/>
      </c>
      <c r="Q174" s="0" t="str">
        <f aca="false">IF(A174="","",V43_New!FE174)</f>
        <v/>
      </c>
      <c r="R174" s="0" t="str">
        <f aca="false">IF(A174="","",V43_New!FF174)</f>
        <v/>
      </c>
      <c r="S174" s="0" t="str">
        <f aca="false">IF(A174="","",V43_New!FG174)</f>
        <v/>
      </c>
      <c r="T174" s="0" t="str">
        <f aca="false">IF(A174="","",V43_New!FH174)</f>
        <v/>
      </c>
      <c r="U174" s="0" t="str">
        <f aca="false">IF(A174="","",V43_New!FI174)</f>
        <v/>
      </c>
      <c r="V174" s="0" t="str">
        <f aca="false">IF(A174="","",V43_New!FJ174)</f>
        <v/>
      </c>
      <c r="W174" s="0" t="str">
        <f aca="false">IF(A174="","",V43_New!FK174)</f>
        <v/>
      </c>
      <c r="X174" s="0" t="str">
        <f aca="false">IF(A174="","",V43_New!FL174)</f>
        <v/>
      </c>
      <c r="Y174" s="0" t="str">
        <f aca="false">IF(A174="","",V43_New!FM174)</f>
        <v/>
      </c>
      <c r="Z174" s="0" t="n">
        <f aca="false">IF(C175&lt;&gt;"",COUNT(C174:N174),0)</f>
        <v>2</v>
      </c>
      <c r="AA174" s="0" t="n">
        <f aca="false">IF(AND(O174="",P174="",Q174="",R174="",S174="",T174="",U174="",V174="",W174="",X174="",Y174=""),0,1)</f>
        <v>1</v>
      </c>
      <c r="AB174" s="15" t="n">
        <f aca="false">IF(OR(Z174&gt;=3,AA174=1),AVERAGE(C174:N174),"")</f>
        <v>4370.895</v>
      </c>
    </row>
    <row r="175" customFormat="false" ht="14.25" hidden="false" customHeight="false" outlineLevel="0" collapsed="false">
      <c r="A175" s="0" t="n">
        <f aca="false">Timestamp_Adjustment!D175</f>
        <v>1779991200</v>
      </c>
      <c r="B175" s="0" t="n">
        <f aca="false">IF(A175="","",V43_New!D175)</f>
        <v>4507.69</v>
      </c>
      <c r="C175" s="0" t="n">
        <f aca="false">IF(A175="","",V43_New!F175)</f>
        <v>4516.57</v>
      </c>
      <c r="D175" s="0" t="str">
        <f aca="false">IF(A175="","",V43_New!ER175)</f>
        <v/>
      </c>
      <c r="E175" s="0" t="str">
        <f aca="false">IF(A175="","",V43_New!ES175)</f>
        <v/>
      </c>
      <c r="F175" s="0" t="str">
        <f aca="false">IF(A175="","",V43_New!ET175)</f>
        <v/>
      </c>
      <c r="G175" s="0" t="str">
        <f aca="false">IF(A175="","",V43_New!EU175)</f>
        <v/>
      </c>
      <c r="H175" s="0" t="str">
        <f aca="false">IF(A175="","",V43_New!EV175)</f>
        <v/>
      </c>
      <c r="I175" s="0" t="str">
        <f aca="false">IF(A175="","",V43_New!EW175)</f>
        <v/>
      </c>
      <c r="J175" s="0" t="str">
        <f aca="false">IF(A175="","",V43_New!EX175)</f>
        <v/>
      </c>
      <c r="K175" s="0" t="str">
        <f aca="false">IF(A175="","",V43_New!EY175)</f>
        <v/>
      </c>
      <c r="L175" s="0" t="str">
        <f aca="false">IF(A175="","",V43_New!EZ175)</f>
        <v/>
      </c>
      <c r="M175" s="0" t="str">
        <f aca="false">IF(A175="","",V43_New!FA175)</f>
        <v/>
      </c>
      <c r="N175" s="0" t="str">
        <f aca="false">IF(A175="","",V43_New!FB175)</f>
        <v/>
      </c>
      <c r="O175" s="0" t="str">
        <f aca="false">IF(A175="","",V43_New!FC175)</f>
        <v/>
      </c>
      <c r="P175" s="0" t="str">
        <f aca="false">IF(A175="","",V43_New!FD175)</f>
        <v/>
      </c>
      <c r="Q175" s="0" t="str">
        <f aca="false">IF(A175="","",V43_New!FE175)</f>
        <v/>
      </c>
      <c r="R175" s="0" t="str">
        <f aca="false">IF(A175="","",V43_New!FF175)</f>
        <v/>
      </c>
      <c r="S175" s="0" t="str">
        <f aca="false">IF(A175="","",V43_New!FG175)</f>
        <v/>
      </c>
      <c r="T175" s="0" t="str">
        <f aca="false">IF(A175="","",V43_New!FH175)</f>
        <v/>
      </c>
      <c r="U175" s="0" t="str">
        <f aca="false">IF(A175="","",V43_New!FI175)</f>
        <v/>
      </c>
      <c r="V175" s="0" t="str">
        <f aca="false">IF(A175="","",V43_New!FJ175)</f>
        <v/>
      </c>
      <c r="W175" s="0" t="str">
        <f aca="false">IF(A175="","",V43_New!FK175)</f>
        <v/>
      </c>
      <c r="X175" s="0" t="str">
        <f aca="false">IF(A175="","",V43_New!FL175)</f>
        <v/>
      </c>
      <c r="Y175" s="0" t="str">
        <f aca="false">IF(A175="","",V43_New!FM175)</f>
        <v/>
      </c>
      <c r="Z175" s="0" t="n">
        <f aca="false">IF(C176&lt;&gt;"",COUNT(C175:N175),0)</f>
        <v>1</v>
      </c>
      <c r="AA175" s="0" t="n">
        <f aca="false">IF(AND(O175="",P175="",Q175="",R175="",S175="",T175="",U175="",V175="",W175="",X175="",Y175=""),0,1)</f>
        <v>0</v>
      </c>
      <c r="AB175" s="15" t="str">
        <f aca="false">IF(OR(Z175&gt;=3,AA175=1),AVERAGE(C175:N175),"")</f>
        <v/>
      </c>
    </row>
    <row r="176" customFormat="false" ht="14.25" hidden="false" customHeight="false" outlineLevel="0" collapsed="false">
      <c r="A176" s="0" t="n">
        <f aca="false">Timestamp_Adjustment!D176</f>
        <v>1780011900</v>
      </c>
      <c r="B176" s="0" t="n">
        <f aca="false">IF(A176="","",V43_New!D176)</f>
        <v>4495.24</v>
      </c>
      <c r="C176" s="0" t="n">
        <f aca="false">IF(A176="","",V43_New!F176)</f>
        <v>4489.19</v>
      </c>
      <c r="D176" s="0" t="str">
        <f aca="false">IF(A176="","",V43_New!ER176)</f>
        <v/>
      </c>
      <c r="E176" s="0" t="str">
        <f aca="false">IF(A176="","",V43_New!ES176)</f>
        <v/>
      </c>
      <c r="F176" s="0" t="str">
        <f aca="false">IF(A176="","",V43_New!ET176)</f>
        <v/>
      </c>
      <c r="G176" s="0" t="str">
        <f aca="false">IF(A176="","",V43_New!EU176)</f>
        <v/>
      </c>
      <c r="H176" s="0" t="n">
        <f aca="false">IF(A176="","",V43_New!EV176)</f>
        <v>4482.74</v>
      </c>
      <c r="I176" s="0" t="str">
        <f aca="false">IF(A176="","",V43_New!EW176)</f>
        <v/>
      </c>
      <c r="J176" s="0" t="str">
        <f aca="false">IF(A176="","",V43_New!EX176)</f>
        <v/>
      </c>
      <c r="K176" s="0" t="str">
        <f aca="false">IF(A176="","",V43_New!EY176)</f>
        <v/>
      </c>
      <c r="L176" s="0" t="str">
        <f aca="false">IF(A176="","",V43_New!EZ176)</f>
        <v/>
      </c>
      <c r="M176" s="0" t="str">
        <f aca="false">IF(A176="","",V43_New!FA176)</f>
        <v/>
      </c>
      <c r="N176" s="0" t="str">
        <f aca="false">IF(A176="","",V43_New!FB176)</f>
        <v/>
      </c>
      <c r="O176" s="0" t="str">
        <f aca="false">IF(A176="","",V43_New!FC176)</f>
        <v/>
      </c>
      <c r="P176" s="0" t="str">
        <f aca="false">IF(A176="","",V43_New!FD176)</f>
        <v/>
      </c>
      <c r="Q176" s="0" t="str">
        <f aca="false">IF(A176="","",V43_New!FE176)</f>
        <v/>
      </c>
      <c r="R176" s="0" t="str">
        <f aca="false">IF(A176="","",V43_New!FF176)</f>
        <v/>
      </c>
      <c r="S176" s="0" t="str">
        <f aca="false">IF(A176="","",V43_New!FG176)</f>
        <v/>
      </c>
      <c r="T176" s="0" t="str">
        <f aca="false">IF(A176="","",V43_New!FH176)</f>
        <v/>
      </c>
      <c r="U176" s="0" t="str">
        <f aca="false">IF(A176="","",V43_New!FI176)</f>
        <v/>
      </c>
      <c r="V176" s="0" t="str">
        <f aca="false">IF(A176="","",V43_New!FJ176)</f>
        <v/>
      </c>
      <c r="W176" s="0" t="str">
        <f aca="false">IF(A176="","",V43_New!FK176)</f>
        <v/>
      </c>
      <c r="X176" s="0" t="str">
        <f aca="false">IF(A176="","",V43_New!FL176)</f>
        <v/>
      </c>
      <c r="Y176" s="0" t="str">
        <f aca="false">IF(A176="","",V43_New!FM176)</f>
        <v/>
      </c>
      <c r="Z176" s="0" t="n">
        <f aca="false">IF(C177&lt;&gt;"",COUNT(C176:N176),0)</f>
        <v>2</v>
      </c>
      <c r="AA176" s="0" t="n">
        <f aca="false">IF(AND(O176="",P176="",Q176="",R176="",S176="",T176="",U176="",V176="",W176="",X176="",Y176=""),0,1)</f>
        <v>0</v>
      </c>
      <c r="AB176" s="15" t="str">
        <f aca="false">IF(OR(Z176&gt;=3,AA176=1),AVERAGE(C176:N176),"")</f>
        <v/>
      </c>
    </row>
    <row r="177" customFormat="false" ht="14.25" hidden="false" customHeight="false" outlineLevel="0" collapsed="false">
      <c r="A177" s="0" t="n">
        <f aca="false">Timestamp_Adjustment!D177</f>
        <v>1780040700</v>
      </c>
      <c r="B177" s="0" t="n">
        <f aca="false">IF(A177="","",V43_New!D177)</f>
        <v>4524.76</v>
      </c>
      <c r="C177" s="0" t="n">
        <f aca="false">IF(A177="","",V43_New!F177)</f>
        <v>4526.21</v>
      </c>
      <c r="D177" s="0" t="n">
        <f aca="false">IF(A177="","",V43_New!ER177)</f>
        <v>4516.57</v>
      </c>
      <c r="E177" s="0" t="str">
        <f aca="false">IF(A177="","",V43_New!ES177)</f>
        <v/>
      </c>
      <c r="F177" s="0" t="str">
        <f aca="false">IF(A177="","",V43_New!ET177)</f>
        <v/>
      </c>
      <c r="G177" s="0" t="str">
        <f aca="false">IF(A177="","",V43_New!EU177)</f>
        <v/>
      </c>
      <c r="H177" s="0" t="str">
        <f aca="false">IF(A177="","",V43_New!EV177)</f>
        <v/>
      </c>
      <c r="I177" s="0" t="str">
        <f aca="false">IF(A177="","",V43_New!EW177)</f>
        <v/>
      </c>
      <c r="J177" s="0" t="str">
        <f aca="false">IF(A177="","",V43_New!EX177)</f>
        <v/>
      </c>
      <c r="K177" s="0" t="str">
        <f aca="false">IF(A177="","",V43_New!EY177)</f>
        <v/>
      </c>
      <c r="L177" s="0" t="str">
        <f aca="false">IF(A177="","",V43_New!EZ177)</f>
        <v/>
      </c>
      <c r="M177" s="0" t="str">
        <f aca="false">IF(A177="","",V43_New!FA177)</f>
        <v/>
      </c>
      <c r="N177" s="0" t="str">
        <f aca="false">IF(A177="","",V43_New!FB177)</f>
        <v/>
      </c>
      <c r="O177" s="0" t="str">
        <f aca="false">IF(A177="","",V43_New!FC177)</f>
        <v>IEQH</v>
      </c>
      <c r="P177" s="0" t="str">
        <f aca="false">IF(A177="","",V43_New!FD177)</f>
        <v/>
      </c>
      <c r="Q177" s="0" t="str">
        <f aca="false">IF(A177="","",V43_New!FE177)</f>
        <v/>
      </c>
      <c r="R177" s="0" t="str">
        <f aca="false">IF(A177="","",V43_New!FF177)</f>
        <v/>
      </c>
      <c r="S177" s="0" t="str">
        <f aca="false">IF(A177="","",V43_New!FG177)</f>
        <v/>
      </c>
      <c r="T177" s="0" t="str">
        <f aca="false">IF(A177="","",V43_New!FH177)</f>
        <v/>
      </c>
      <c r="U177" s="0" t="str">
        <f aca="false">IF(A177="","",V43_New!FI177)</f>
        <v/>
      </c>
      <c r="V177" s="0" t="str">
        <f aca="false">IF(A177="","",V43_New!FJ177)</f>
        <v/>
      </c>
      <c r="W177" s="0" t="str">
        <f aca="false">IF(A177="","",V43_New!FK177)</f>
        <v/>
      </c>
      <c r="X177" s="0" t="str">
        <f aca="false">IF(A177="","",V43_New!FL177)</f>
        <v/>
      </c>
      <c r="Y177" s="0" t="str">
        <f aca="false">IF(A177="","",V43_New!FM177)</f>
        <v/>
      </c>
      <c r="Z177" s="0" t="n">
        <f aca="false">IF(C178&lt;&gt;"",COUNT(C177:N177),0)</f>
        <v>2</v>
      </c>
      <c r="AA177" s="0" t="n">
        <f aca="false">IF(AND(O177="",P177="",Q177="",R177="",S177="",T177="",U177="",V177="",W177="",X177="",Y177=""),0,1)</f>
        <v>1</v>
      </c>
      <c r="AB177" s="15" t="n">
        <f aca="false">IF(OR(Z177&gt;=3,AA177=1),AVERAGE(C177:N177),"")</f>
        <v>4521.39</v>
      </c>
    </row>
    <row r="178" customFormat="false" ht="14.25" hidden="false" customHeight="false" outlineLevel="0" collapsed="false">
      <c r="A178" s="0" t="n">
        <f aca="false">Timestamp_Adjustment!D178</f>
        <v>1780044300</v>
      </c>
      <c r="B178" s="0" t="n">
        <f aca="false">IF(A178="","",V43_New!D178)</f>
        <v>4514.88</v>
      </c>
      <c r="C178" s="0" t="n">
        <f aca="false">IF(A178="","",V43_New!F178)</f>
        <v>4510.03</v>
      </c>
      <c r="D178" s="0" t="str">
        <f aca="false">IF(A178="","",V43_New!ER178)</f>
        <v/>
      </c>
      <c r="E178" s="0" t="str">
        <f aca="false">IF(A178="","",V43_New!ES178)</f>
        <v/>
      </c>
      <c r="F178" s="0" t="str">
        <f aca="false">IF(A178="","",V43_New!ET178)</f>
        <v/>
      </c>
      <c r="G178" s="0" t="str">
        <f aca="false">IF(A178="","",V43_New!EU178)</f>
        <v/>
      </c>
      <c r="H178" s="0" t="str">
        <f aca="false">IF(A178="","",V43_New!EV178)</f>
        <v/>
      </c>
      <c r="I178" s="0" t="str">
        <f aca="false">IF(A178="","",V43_New!EW178)</f>
        <v/>
      </c>
      <c r="J178" s="0" t="n">
        <f aca="false">IF(A178="","",V43_New!EX178)</f>
        <v>4512.11</v>
      </c>
      <c r="K178" s="0" t="str">
        <f aca="false">IF(A178="","",V43_New!EY178)</f>
        <v/>
      </c>
      <c r="L178" s="0" t="str">
        <f aca="false">IF(A178="","",V43_New!EZ178)</f>
        <v/>
      </c>
      <c r="M178" s="0" t="str">
        <f aca="false">IF(A178="","",V43_New!FA178)</f>
        <v/>
      </c>
      <c r="N178" s="0" t="str">
        <f aca="false">IF(A178="","",V43_New!FB178)</f>
        <v/>
      </c>
      <c r="O178" s="0" t="str">
        <f aca="false">IF(A178="","",V43_New!FC178)</f>
        <v/>
      </c>
      <c r="P178" s="0" t="str">
        <f aca="false">IF(A178="","",V43_New!FD178)</f>
        <v/>
      </c>
      <c r="Q178" s="0" t="str">
        <f aca="false">IF(A178="","",V43_New!FE178)</f>
        <v/>
      </c>
      <c r="R178" s="0" t="str">
        <f aca="false">IF(A178="","",V43_New!FF178)</f>
        <v/>
      </c>
      <c r="S178" s="0" t="str">
        <f aca="false">IF(A178="","",V43_New!FG178)</f>
        <v/>
      </c>
      <c r="T178" s="0" t="str">
        <f aca="false">IF(A178="","",V43_New!FH178)</f>
        <v/>
      </c>
      <c r="U178" s="0" t="str">
        <f aca="false">IF(A178="","",V43_New!FI178)</f>
        <v/>
      </c>
      <c r="V178" s="0" t="str">
        <f aca="false">IF(A178="","",V43_New!FJ178)</f>
        <v/>
      </c>
      <c r="W178" s="0" t="str">
        <f aca="false">IF(A178="","",V43_New!FK178)</f>
        <v/>
      </c>
      <c r="X178" s="0" t="str">
        <f aca="false">IF(A178="","",V43_New!FL178)</f>
        <v/>
      </c>
      <c r="Y178" s="0" t="str">
        <f aca="false">IF(A178="","",V43_New!FM178)</f>
        <v/>
      </c>
      <c r="Z178" s="0" t="n">
        <f aca="false">IF(C179&lt;&gt;"",COUNT(C178:N178),0)</f>
        <v>2</v>
      </c>
      <c r="AA178" s="0" t="n">
        <f aca="false">IF(AND(O178="",P178="",Q178="",R178="",S178="",T178="",U178="",V178="",W178="",X178="",Y178=""),0,1)</f>
        <v>0</v>
      </c>
      <c r="AB178" s="15" t="str">
        <f aca="false">IF(OR(Z178&gt;=3,AA178=1),AVERAGE(C178:N178),"")</f>
        <v/>
      </c>
    </row>
    <row r="179" customFormat="false" ht="14.25" hidden="false" customHeight="false" outlineLevel="0" collapsed="false">
      <c r="A179" s="0" t="n">
        <f aca="false">Timestamp_Adjustment!D179</f>
        <v>1780050600</v>
      </c>
      <c r="B179" s="0" t="n">
        <f aca="false">IF(A179="","",V43_New!D179)</f>
        <v>4537.92</v>
      </c>
      <c r="C179" s="0" t="n">
        <f aca="false">IF(A179="","",V43_New!F179)</f>
        <v>4543.31</v>
      </c>
      <c r="D179" s="0" t="str">
        <f aca="false">IF(A179="","",V43_New!ER179)</f>
        <v/>
      </c>
      <c r="E179" s="0" t="str">
        <f aca="false">IF(A179="","",V43_New!ES179)</f>
        <v/>
      </c>
      <c r="F179" s="0" t="str">
        <f aca="false">IF(A179="","",V43_New!ET179)</f>
        <v/>
      </c>
      <c r="G179" s="0" t="str">
        <f aca="false">IF(A179="","",V43_New!EU179)</f>
        <v/>
      </c>
      <c r="H179" s="0" t="str">
        <f aca="false">IF(A179="","",V43_New!EV179)</f>
        <v/>
      </c>
      <c r="I179" s="0" t="str">
        <f aca="false">IF(A179="","",V43_New!EW179)</f>
        <v/>
      </c>
      <c r="J179" s="0" t="n">
        <f aca="false">IF(A179="","",V43_New!EX179)</f>
        <v>4540.53</v>
      </c>
      <c r="K179" s="0" t="str">
        <f aca="false">IF(A179="","",V43_New!EY179)</f>
        <v/>
      </c>
      <c r="L179" s="0" t="str">
        <f aca="false">IF(A179="","",V43_New!EZ179)</f>
        <v/>
      </c>
      <c r="M179" s="0" t="str">
        <f aca="false">IF(A179="","",V43_New!FA179)</f>
        <v/>
      </c>
      <c r="N179" s="0" t="str">
        <f aca="false">IF(A179="","",V43_New!FB179)</f>
        <v/>
      </c>
      <c r="O179" s="0" t="str">
        <f aca="false">IF(A179="","",V43_New!FC179)</f>
        <v/>
      </c>
      <c r="P179" s="0" t="str">
        <f aca="false">IF(A179="","",V43_New!FD179)</f>
        <v/>
      </c>
      <c r="Q179" s="0" t="str">
        <f aca="false">IF(A179="","",V43_New!FE179)</f>
        <v/>
      </c>
      <c r="R179" s="0" t="str">
        <f aca="false">IF(A179="","",V43_New!FF179)</f>
        <v/>
      </c>
      <c r="S179" s="0" t="str">
        <f aca="false">IF(A179="","",V43_New!FG179)</f>
        <v/>
      </c>
      <c r="T179" s="0" t="str">
        <f aca="false">IF(A179="","",V43_New!FH179)</f>
        <v/>
      </c>
      <c r="U179" s="0" t="str">
        <f aca="false">IF(A179="","",V43_New!FI179)</f>
        <v/>
      </c>
      <c r="V179" s="0" t="str">
        <f aca="false">IF(A179="","",V43_New!FJ179)</f>
        <v/>
      </c>
      <c r="W179" s="0" t="str">
        <f aca="false">IF(A179="","",V43_New!FK179)</f>
        <v/>
      </c>
      <c r="X179" s="0" t="str">
        <f aca="false">IF(A179="","",V43_New!FL179)</f>
        <v/>
      </c>
      <c r="Y179" s="0" t="str">
        <f aca="false">IF(A179="","",V43_New!FM179)</f>
        <v/>
      </c>
      <c r="Z179" s="0" t="n">
        <f aca="false">IF(C180&lt;&gt;"",COUNT(C179:N179),0)</f>
        <v>2</v>
      </c>
      <c r="AA179" s="0" t="n">
        <f aca="false">IF(AND(O179="",P179="",Q179="",R179="",S179="",T179="",U179="",V179="",W179="",X179="",Y179=""),0,1)</f>
        <v>0</v>
      </c>
      <c r="AB179" s="15" t="str">
        <f aca="false">IF(OR(Z179&gt;=3,AA179=1),AVERAGE(C179:N179),"")</f>
        <v/>
      </c>
    </row>
    <row r="180" customFormat="false" ht="14.25" hidden="false" customHeight="false" outlineLevel="0" collapsed="false">
      <c r="A180" s="0" t="n">
        <f aca="false">Timestamp_Adjustment!D180</f>
        <v>1780057800</v>
      </c>
      <c r="B180" s="0" t="n">
        <f aca="false">IF(A180="","",V43_New!D180)</f>
        <v>4514.13</v>
      </c>
      <c r="C180" s="0" t="n">
        <f aca="false">IF(A180="","",V43_New!F180)</f>
        <v>4512.71</v>
      </c>
      <c r="D180" s="0" t="str">
        <f aca="false">IF(A180="","",V43_New!ER180)</f>
        <v/>
      </c>
      <c r="E180" s="0" t="str">
        <f aca="false">IF(A180="","",V43_New!ES180)</f>
        <v/>
      </c>
      <c r="F180" s="0" t="str">
        <f aca="false">IF(A180="","",V43_New!ET180)</f>
        <v/>
      </c>
      <c r="G180" s="0" t="str">
        <f aca="false">IF(A180="","",V43_New!EU180)</f>
        <v/>
      </c>
      <c r="H180" s="0" t="str">
        <f aca="false">IF(A180="","",V43_New!EV180)</f>
        <v/>
      </c>
      <c r="I180" s="0" t="str">
        <f aca="false">IF(A180="","",V43_New!EW180)</f>
        <v/>
      </c>
      <c r="J180" s="0" t="str">
        <f aca="false">IF(A180="","",V43_New!EX180)</f>
        <v/>
      </c>
      <c r="K180" s="0" t="n">
        <f aca="false">IF(A180="","",V43_New!EY180)</f>
        <v>4512.11</v>
      </c>
      <c r="L180" s="0" t="n">
        <f aca="false">IF(A180="","",V43_New!EZ180)</f>
        <v>4521.72</v>
      </c>
      <c r="M180" s="0" t="str">
        <f aca="false">IF(A180="","",V43_New!FA180)</f>
        <v/>
      </c>
      <c r="N180" s="0" t="str">
        <f aca="false">IF(A180="","",V43_New!FB180)</f>
        <v/>
      </c>
      <c r="O180" s="0" t="str">
        <f aca="false">IF(A180="","",V43_New!FC180)</f>
        <v/>
      </c>
      <c r="P180" s="0" t="str">
        <f aca="false">IF(A180="","",V43_New!FD180)</f>
        <v/>
      </c>
      <c r="Q180" s="0" t="str">
        <f aca="false">IF(A180="","",V43_New!FE180)</f>
        <v/>
      </c>
      <c r="R180" s="0" t="str">
        <f aca="false">IF(A180="","",V43_New!FF180)</f>
        <v/>
      </c>
      <c r="S180" s="0" t="str">
        <f aca="false">IF(A180="","",V43_New!FG180)</f>
        <v/>
      </c>
      <c r="T180" s="0" t="str">
        <f aca="false">IF(A180="","",V43_New!FH180)</f>
        <v/>
      </c>
      <c r="U180" s="0" t="str">
        <f aca="false">IF(A180="","",V43_New!FI180)</f>
        <v/>
      </c>
      <c r="V180" s="0" t="str">
        <f aca="false">IF(A180="","",V43_New!FJ180)</f>
        <v/>
      </c>
      <c r="W180" s="0" t="str">
        <f aca="false">IF(A180="","",V43_New!FK180)</f>
        <v/>
      </c>
      <c r="X180" s="0" t="str">
        <f aca="false">IF(A180="","",V43_New!FL180)</f>
        <v/>
      </c>
      <c r="Y180" s="0" t="str">
        <f aca="false">IF(A180="","",V43_New!FM180)</f>
        <v/>
      </c>
      <c r="Z180" s="0" t="n">
        <f aca="false">IF(C181&lt;&gt;"",COUNT(C180:N180),0)</f>
        <v>3</v>
      </c>
      <c r="AA180" s="0" t="n">
        <f aca="false">IF(AND(O180="",P180="",Q180="",R180="",S180="",T180="",U180="",V180="",W180="",X180="",Y180=""),0,1)</f>
        <v>0</v>
      </c>
      <c r="AB180" s="15" t="n">
        <f aca="false">IF(OR(Z180&gt;=3,AA180=1),AVERAGE(C180:N180),"")</f>
        <v>4515.51333333333</v>
      </c>
    </row>
    <row r="181" customFormat="false" ht="14.25" hidden="false" customHeight="false" outlineLevel="0" collapsed="false">
      <c r="A181" s="0" t="n">
        <f aca="false">Timestamp_Adjustment!D181</f>
        <v>1780066800</v>
      </c>
      <c r="B181" s="0" t="n">
        <f aca="false">IF(A181="","",V43_New!D181)</f>
        <v>4590.1</v>
      </c>
      <c r="C181" s="0" t="n">
        <f aca="false">IF(A181="","",V43_New!F181)</f>
        <v>4595.19</v>
      </c>
      <c r="D181" s="0" t="str">
        <f aca="false">IF(A181="","",V43_New!ER181)</f>
        <v/>
      </c>
      <c r="E181" s="0" t="str">
        <f aca="false">IF(A181="","",V43_New!ES181)</f>
        <v/>
      </c>
      <c r="F181" s="0" t="str">
        <f aca="false">IF(A181="","",V43_New!ET181)</f>
        <v/>
      </c>
      <c r="G181" s="0" t="str">
        <f aca="false">IF(A181="","",V43_New!EU181)</f>
        <v/>
      </c>
      <c r="H181" s="0" t="str">
        <f aca="false">IF(A181="","",V43_New!EV181)</f>
        <v/>
      </c>
      <c r="I181" s="0" t="str">
        <f aca="false">IF(A181="","",V43_New!EW181)</f>
        <v/>
      </c>
      <c r="J181" s="0" t="str">
        <f aca="false">IF(A181="","",V43_New!EX181)</f>
        <v/>
      </c>
      <c r="K181" s="0" t="str">
        <f aca="false">IF(A181="","",V43_New!EY181)</f>
        <v/>
      </c>
      <c r="L181" s="0" t="str">
        <f aca="false">IF(A181="","",V43_New!EZ181)</f>
        <v/>
      </c>
      <c r="M181" s="0" t="str">
        <f aca="false">IF(A181="","",V43_New!FA181)</f>
        <v/>
      </c>
      <c r="N181" s="0" t="str">
        <f aca="false">IF(A181="","",V43_New!FB181)</f>
        <v/>
      </c>
      <c r="O181" s="0" t="str">
        <f aca="false">IF(A181="","",V43_New!FC181)</f>
        <v/>
      </c>
      <c r="P181" s="0" t="str">
        <f aca="false">IF(A181="","",V43_New!FD181)</f>
        <v/>
      </c>
      <c r="Q181" s="0" t="str">
        <f aca="false">IF(A181="","",V43_New!FE181)</f>
        <v/>
      </c>
      <c r="R181" s="0" t="str">
        <f aca="false">IF(A181="","",V43_New!FF181)</f>
        <v/>
      </c>
      <c r="S181" s="0" t="str">
        <f aca="false">IF(A181="","",V43_New!FG181)</f>
        <v/>
      </c>
      <c r="T181" s="0" t="str">
        <f aca="false">IF(A181="","",V43_New!FH181)</f>
        <v/>
      </c>
      <c r="U181" s="0" t="str">
        <f aca="false">IF(A181="","",V43_New!FI181)</f>
        <v/>
      </c>
      <c r="V181" s="0" t="str">
        <f aca="false">IF(A181="","",V43_New!FJ181)</f>
        <v/>
      </c>
      <c r="W181" s="0" t="str">
        <f aca="false">IF(A181="","",V43_New!FK181)</f>
        <v/>
      </c>
      <c r="X181" s="0" t="str">
        <f aca="false">IF(A181="","",V43_New!FL181)</f>
        <v/>
      </c>
      <c r="Y181" s="0" t="str">
        <f aca="false">IF(A181="","",V43_New!FM181)</f>
        <v/>
      </c>
      <c r="Z181" s="0" t="n">
        <f aca="false">IF(C182&lt;&gt;"",COUNT(C181:N181),0)</f>
        <v>1</v>
      </c>
      <c r="AA181" s="0" t="n">
        <f aca="false">IF(AND(O181="",P181="",Q181="",R181="",S181="",T181="",U181="",V181="",W181="",X181="",Y181=""),0,1)</f>
        <v>0</v>
      </c>
      <c r="AB181" s="15" t="str">
        <f aca="false">IF(OR(Z181&gt;=3,AA181=1),AVERAGE(C181:N181),"")</f>
        <v/>
      </c>
    </row>
    <row r="182" customFormat="false" ht="14.25" hidden="false" customHeight="false" outlineLevel="0" collapsed="false">
      <c r="A182" s="0" t="n">
        <f aca="false">Timestamp_Adjustment!D182</f>
        <v>1780087500</v>
      </c>
      <c r="B182" s="0" t="n">
        <f aca="false">IF(A182="","",V43_New!D182)</f>
        <v>4540.62</v>
      </c>
      <c r="C182" s="0" t="n">
        <f aca="false">IF(A182="","",V43_New!F182)</f>
        <v>4539.55</v>
      </c>
      <c r="D182" s="0" t="str">
        <f aca="false">IF(A182="","",V43_New!ER182)</f>
        <v/>
      </c>
      <c r="E182" s="0" t="str">
        <f aca="false">IF(A182="","",V43_New!ES182)</f>
        <v/>
      </c>
      <c r="F182" s="0" t="str">
        <f aca="false">IF(A182="","",V43_New!ET182)</f>
        <v/>
      </c>
      <c r="G182" s="0" t="str">
        <f aca="false">IF(A182="","",V43_New!EU182)</f>
        <v/>
      </c>
      <c r="H182" s="0" t="str">
        <f aca="false">IF(A182="","",V43_New!EV182)</f>
        <v/>
      </c>
      <c r="I182" s="0" t="str">
        <f aca="false">IF(A182="","",V43_New!EW182)</f>
        <v/>
      </c>
      <c r="J182" s="0" t="str">
        <f aca="false">IF(A182="","",V43_New!EX182)</f>
        <v/>
      </c>
      <c r="K182" s="0" t="str">
        <f aca="false">IF(A182="","",V43_New!EY182)</f>
        <v/>
      </c>
      <c r="L182" s="0" t="str">
        <f aca="false">IF(A182="","",V43_New!EZ182)</f>
        <v/>
      </c>
      <c r="M182" s="0" t="str">
        <f aca="false">IF(A182="","",V43_New!FA182)</f>
        <v/>
      </c>
      <c r="N182" s="0" t="str">
        <f aca="false">IF(A182="","",V43_New!FB182)</f>
        <v/>
      </c>
      <c r="O182" s="0" t="str">
        <f aca="false">IF(A182="","",V43_New!FC182)</f>
        <v/>
      </c>
      <c r="P182" s="0" t="str">
        <f aca="false">IF(A182="","",V43_New!FD182)</f>
        <v/>
      </c>
      <c r="Q182" s="0" t="str">
        <f aca="false">IF(A182="","",V43_New!FE182)</f>
        <v/>
      </c>
      <c r="R182" s="0" t="str">
        <f aca="false">IF(A182="","",V43_New!FF182)</f>
        <v/>
      </c>
      <c r="S182" s="0" t="str">
        <f aca="false">IF(A182="","",V43_New!FG182)</f>
        <v/>
      </c>
      <c r="T182" s="0" t="str">
        <f aca="false">IF(A182="","",V43_New!FH182)</f>
        <v/>
      </c>
      <c r="U182" s="0" t="str">
        <f aca="false">IF(A182="","",V43_New!FI182)</f>
        <v/>
      </c>
      <c r="V182" s="0" t="str">
        <f aca="false">IF(A182="","",V43_New!FJ182)</f>
        <v/>
      </c>
      <c r="W182" s="0" t="str">
        <f aca="false">IF(A182="","",V43_New!FK182)</f>
        <v/>
      </c>
      <c r="X182" s="0" t="str">
        <f aca="false">IF(A182="","",V43_New!FL182)</f>
        <v/>
      </c>
      <c r="Y182" s="0" t="str">
        <f aca="false">IF(A182="","",V43_New!FM182)</f>
        <v/>
      </c>
      <c r="Z182" s="0" t="n">
        <f aca="false">IF(C183&lt;&gt;"",COUNT(C182:N182),0)</f>
        <v>0</v>
      </c>
      <c r="AA182" s="0" t="n">
        <f aca="false">IF(AND(O182="",P182="",Q182="",R182="",S182="",T182="",U182="",V182="",W182="",X182="",Y182=""),0,1)</f>
        <v>0</v>
      </c>
      <c r="AB182" s="15" t="str">
        <f aca="false">IF(OR(Z182&gt;=3,AA182=1),AVERAGE(C182:N182),"")</f>
        <v/>
      </c>
    </row>
    <row r="183" customFormat="false" ht="14.25" hidden="false" customHeight="false" outlineLevel="0" collapsed="false">
      <c r="B183" s="0" t="str">
        <f aca="false">IF(A183="","",V43_New!D183)</f>
        <v/>
      </c>
      <c r="C183" s="0" t="str">
        <f aca="false">IF(A183="","",V43_New!F183)</f>
        <v/>
      </c>
      <c r="D183" s="0" t="str">
        <f aca="false">IF(A183="","",V43_New!ER183)</f>
        <v/>
      </c>
      <c r="E183" s="0" t="str">
        <f aca="false">IF(A183="","",V43_New!ES183)</f>
        <v/>
      </c>
      <c r="F183" s="0" t="str">
        <f aca="false">IF(A183="","",V43_New!ET183)</f>
        <v/>
      </c>
      <c r="G183" s="0" t="str">
        <f aca="false">IF(A183="","",V43_New!EU183)</f>
        <v/>
      </c>
      <c r="H183" s="0" t="str">
        <f aca="false">IF(A183="","",V43_New!EV183)</f>
        <v/>
      </c>
      <c r="I183" s="0" t="str">
        <f aca="false">IF(A183="","",V43_New!EW183)</f>
        <v/>
      </c>
      <c r="J183" s="0" t="str">
        <f aca="false">IF(A183="","",V43_New!EX183)</f>
        <v/>
      </c>
      <c r="K183" s="0" t="str">
        <f aca="false">IF(A183="","",V43_New!EY183)</f>
        <v/>
      </c>
      <c r="L183" s="0" t="str">
        <f aca="false">IF(A183="","",V43_New!EZ183)</f>
        <v/>
      </c>
      <c r="M183" s="0" t="str">
        <f aca="false">IF(A183="","",V43_New!FA183)</f>
        <v/>
      </c>
      <c r="N183" s="0" t="str">
        <f aca="false">IF(A183="","",V43_New!FB183)</f>
        <v/>
      </c>
      <c r="O183" s="0" t="str">
        <f aca="false">IF(A183="","",V43_New!FC183)</f>
        <v/>
      </c>
      <c r="P183" s="0" t="str">
        <f aca="false">IF(A183="","",V43_New!FD183)</f>
        <v/>
      </c>
      <c r="Q183" s="0" t="str">
        <f aca="false">IF(A183="","",V43_New!FE183)</f>
        <v/>
      </c>
      <c r="R183" s="0" t="str">
        <f aca="false">IF(A183="","",V43_New!FF183)</f>
        <v/>
      </c>
      <c r="S183" s="0" t="str">
        <f aca="false">IF(A183="","",V43_New!FG183)</f>
        <v/>
      </c>
      <c r="T183" s="0" t="str">
        <f aca="false">IF(A183="","",V43_New!FH183)</f>
        <v/>
      </c>
      <c r="U183" s="0" t="str">
        <f aca="false">IF(A183="","",V43_New!FI183)</f>
        <v/>
      </c>
      <c r="V183" s="0" t="str">
        <f aca="false">IF(A183="","",V43_New!FJ183)</f>
        <v/>
      </c>
      <c r="W183" s="0" t="str">
        <f aca="false">IF(A183="","",V43_New!FK183)</f>
        <v/>
      </c>
      <c r="X183" s="0" t="str">
        <f aca="false">IF(A183="","",V43_New!FL183)</f>
        <v/>
      </c>
      <c r="Y183" s="0" t="str">
        <f aca="false">IF(A183="","",V43_New!FM183)</f>
        <v/>
      </c>
      <c r="Z183" s="0" t="n">
        <f aca="false">IF(C184&lt;&gt;"",COUNT(C183:N183),0)</f>
        <v>0</v>
      </c>
      <c r="AA183" s="0" t="n">
        <f aca="false">IF(AND(O183="",P183="",Q183="",R183="",S183="",T183="",U183="",V183="",W183="",X183="",Y183=""),0,1)</f>
        <v>0</v>
      </c>
      <c r="AB183" s="15" t="str">
        <f aca="false">IF(OR(Z183&gt;=3,AA183=1),AVERAGE(C183:N183),"")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2026-05-06T03:31:46Z</dcterms:created>
  <dc:creator>WiN</dc:creator>
  <dc:description/>
  <dc:language>en-US</dc:language>
  <cp:lastModifiedBy>WiN</cp:lastModifiedBy>
  <dcterms:modified xsi:type="dcterms:W3CDTF">2026-06-03T08:49:04Z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